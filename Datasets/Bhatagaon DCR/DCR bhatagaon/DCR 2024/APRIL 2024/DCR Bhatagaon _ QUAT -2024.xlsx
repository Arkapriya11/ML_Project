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0" sheetId="39" r:id="rId31"/>
    <sheet name="CALIBRATION REPORT" sheetId="6" r:id="rId32"/>
    <sheet name="POWER OFF" sheetId="5" r:id="rId33"/>
    <sheet name="MUX SIGNALS" sheetId="43" r:id="rId34"/>
  </sheets>
  <calcPr calcId="144525"/>
</workbook>
</file>

<file path=xl/calcChain.xml><?xml version="1.0" encoding="utf-8"?>
<calcChain xmlns="http://schemas.openxmlformats.org/spreadsheetml/2006/main">
  <c r="H110" i="41" l="1"/>
  <c r="G110" i="41"/>
  <c r="G111" i="41" s="1"/>
  <c r="I110" i="41"/>
  <c r="I110" i="40"/>
  <c r="I112" i="40" s="1"/>
  <c r="H110" i="40"/>
  <c r="G110" i="40"/>
  <c r="G112" i="40"/>
  <c r="I110" i="32"/>
  <c r="I112" i="32" s="1"/>
  <c r="H110" i="32"/>
  <c r="H112" i="32"/>
  <c r="G110" i="32"/>
  <c r="G111" i="32" s="1"/>
  <c r="Q110" i="31"/>
  <c r="Q112" i="31"/>
  <c r="G110" i="31"/>
  <c r="H110" i="31"/>
  <c r="H112" i="31" s="1"/>
  <c r="I110" i="31"/>
  <c r="I111" i="31" s="1"/>
  <c r="I110" i="30"/>
  <c r="I112" i="30" s="1"/>
  <c r="H110" i="30"/>
  <c r="H112" i="30"/>
  <c r="G110" i="30"/>
  <c r="G112" i="30"/>
  <c r="J110" i="29"/>
  <c r="H110" i="29"/>
  <c r="H112" i="29" s="1"/>
  <c r="G110" i="29"/>
  <c r="G111" i="29"/>
  <c r="H110" i="28"/>
  <c r="G110" i="28"/>
  <c r="G112" i="28" s="1"/>
  <c r="C110" i="28"/>
  <c r="D110" i="28"/>
  <c r="D111" i="28"/>
  <c r="B110" i="28"/>
  <c r="B111" i="28"/>
  <c r="J110" i="28"/>
  <c r="B106" i="28"/>
  <c r="C106" i="28"/>
  <c r="D106" i="28"/>
  <c r="E106" i="28"/>
  <c r="F106" i="28"/>
  <c r="G106" i="28"/>
  <c r="H106" i="28"/>
  <c r="I106" i="28"/>
  <c r="J106" i="28"/>
  <c r="K106" i="28"/>
  <c r="L106" i="28"/>
  <c r="M106" i="28"/>
  <c r="N106" i="28"/>
  <c r="O106" i="28"/>
  <c r="P106" i="28"/>
  <c r="Q106" i="28"/>
  <c r="B107" i="28"/>
  <c r="C107" i="28"/>
  <c r="D107" i="28"/>
  <c r="E107" i="28"/>
  <c r="F107" i="28"/>
  <c r="G107" i="28"/>
  <c r="H107" i="28"/>
  <c r="I107" i="28"/>
  <c r="J107" i="28"/>
  <c r="K107" i="28"/>
  <c r="L107" i="28"/>
  <c r="M107" i="28"/>
  <c r="N107" i="28"/>
  <c r="O107" i="28"/>
  <c r="P107" i="28"/>
  <c r="Q107" i="28"/>
  <c r="B108" i="28"/>
  <c r="B31" i="39"/>
  <c r="C108" i="28"/>
  <c r="C31" i="39" s="1"/>
  <c r="D108" i="28"/>
  <c r="D31" i="39"/>
  <c r="E108" i="28"/>
  <c r="F108" i="28"/>
  <c r="G108" i="28"/>
  <c r="H108" i="28"/>
  <c r="H31" i="39"/>
  <c r="I108" i="28"/>
  <c r="J108" i="28"/>
  <c r="K108" i="28"/>
  <c r="L108" i="28"/>
  <c r="M108" i="28"/>
  <c r="N108" i="28"/>
  <c r="O108" i="28"/>
  <c r="P108" i="28"/>
  <c r="Q108" i="28"/>
  <c r="B109" i="28"/>
  <c r="C109" i="28"/>
  <c r="D109" i="28"/>
  <c r="E109" i="28"/>
  <c r="F109" i="28"/>
  <c r="G109" i="28"/>
  <c r="H109" i="28"/>
  <c r="I109" i="28"/>
  <c r="J109" i="28"/>
  <c r="K109" i="28"/>
  <c r="L109" i="28"/>
  <c r="M109" i="28"/>
  <c r="N109" i="28"/>
  <c r="O109" i="28"/>
  <c r="P109" i="28"/>
  <c r="Q109" i="28"/>
  <c r="C112" i="28"/>
  <c r="E110" i="28"/>
  <c r="E112" i="28" s="1"/>
  <c r="F110" i="28"/>
  <c r="F112" i="28" s="1"/>
  <c r="H112" i="28"/>
  <c r="I110" i="28"/>
  <c r="K110" i="28"/>
  <c r="L110" i="28"/>
  <c r="L111" i="28" s="1"/>
  <c r="M110" i="28"/>
  <c r="N110" i="28"/>
  <c r="O110" i="28"/>
  <c r="P110" i="28"/>
  <c r="P112" i="28" s="1"/>
  <c r="P111" i="28"/>
  <c r="Q110" i="28"/>
  <c r="Q111" i="28"/>
  <c r="C111" i="28"/>
  <c r="E111" i="28"/>
  <c r="I111" i="28"/>
  <c r="J111" i="28"/>
  <c r="K111" i="28"/>
  <c r="M111" i="28"/>
  <c r="N111" i="28"/>
  <c r="O111" i="28"/>
  <c r="I112" i="28"/>
  <c r="J112" i="28"/>
  <c r="K112" i="28"/>
  <c r="L112" i="28"/>
  <c r="M112" i="28"/>
  <c r="N112" i="28"/>
  <c r="O112" i="28"/>
  <c r="H110" i="27"/>
  <c r="H112" i="27" s="1"/>
  <c r="I110" i="27"/>
  <c r="I112" i="27" s="1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B110" i="26"/>
  <c r="B111" i="26"/>
  <c r="C110" i="25"/>
  <c r="D110" i="25"/>
  <c r="D112" i="25" s="1"/>
  <c r="E110" i="25"/>
  <c r="E111" i="25"/>
  <c r="F110" i="25"/>
  <c r="G110" i="25"/>
  <c r="H110" i="25"/>
  <c r="I110" i="25"/>
  <c r="J110" i="25"/>
  <c r="K110" i="25"/>
  <c r="L110" i="25"/>
  <c r="L112" i="25" s="1"/>
  <c r="M110" i="25"/>
  <c r="N110" i="25"/>
  <c r="O110" i="25"/>
  <c r="P110" i="25"/>
  <c r="Q110" i="25"/>
  <c r="Q111" i="25" s="1"/>
  <c r="B110" i="25"/>
  <c r="B111" i="25"/>
  <c r="Q110" i="23"/>
  <c r="Q112" i="23" s="1"/>
  <c r="G110" i="22"/>
  <c r="H110" i="22"/>
  <c r="Q110" i="19"/>
  <c r="H110" i="18"/>
  <c r="I110" i="18"/>
  <c r="J110" i="18"/>
  <c r="Q110" i="17"/>
  <c r="Q110" i="16"/>
  <c r="Q110" i="15"/>
  <c r="Q110" i="14"/>
  <c r="I110" i="14"/>
  <c r="I111" i="14" s="1"/>
  <c r="H110" i="14"/>
  <c r="G110" i="14"/>
  <c r="G111" i="14" s="1"/>
  <c r="C110" i="14"/>
  <c r="C111" i="14"/>
  <c r="D110" i="14"/>
  <c r="E110" i="14"/>
  <c r="B110" i="14"/>
  <c r="B111" i="14" s="1"/>
  <c r="I110" i="13"/>
  <c r="F110" i="12"/>
  <c r="G110" i="12"/>
  <c r="H110" i="12"/>
  <c r="H111" i="12" s="1"/>
  <c r="I110" i="12"/>
  <c r="H110" i="11"/>
  <c r="I110" i="11"/>
  <c r="I111" i="11" s="1"/>
  <c r="C110" i="11"/>
  <c r="C112" i="11" s="1"/>
  <c r="D110" i="11"/>
  <c r="D112" i="11" s="1"/>
  <c r="B110" i="11"/>
  <c r="B111" i="11"/>
  <c r="H110" i="8"/>
  <c r="G110" i="8"/>
  <c r="G111" i="8" s="1"/>
  <c r="C110" i="8"/>
  <c r="D110" i="8"/>
  <c r="E110" i="8"/>
  <c r="F110" i="8"/>
  <c r="I110" i="8"/>
  <c r="J110" i="8"/>
  <c r="K110" i="8"/>
  <c r="L110" i="8"/>
  <c r="M110" i="8"/>
  <c r="N110" i="8"/>
  <c r="O110" i="8"/>
  <c r="O112" i="8" s="1"/>
  <c r="P110" i="8"/>
  <c r="Q110" i="8"/>
  <c r="Q111" i="8"/>
  <c r="B110" i="8"/>
  <c r="B111" i="8"/>
  <c r="I110" i="3"/>
  <c r="I110" i="2"/>
  <c r="I111" i="2" s="1"/>
  <c r="H110" i="2"/>
  <c r="H111" i="2" s="1"/>
  <c r="G110" i="2"/>
  <c r="G111" i="2" s="1"/>
  <c r="C110" i="2"/>
  <c r="D110" i="2"/>
  <c r="E110" i="2"/>
  <c r="E111" i="2" s="1"/>
  <c r="B110" i="2"/>
  <c r="B111" i="2" s="1"/>
  <c r="I111" i="41"/>
  <c r="J110" i="41"/>
  <c r="J112" i="41"/>
  <c r="H112" i="41"/>
  <c r="J110" i="40"/>
  <c r="J111" i="40" s="1"/>
  <c r="H111" i="40"/>
  <c r="G110" i="33"/>
  <c r="G112" i="33" s="1"/>
  <c r="H110" i="33"/>
  <c r="H112" i="33" s="1"/>
  <c r="I110" i="33"/>
  <c r="I112" i="33" s="1"/>
  <c r="J110" i="33"/>
  <c r="J112" i="33" s="1"/>
  <c r="J110" i="32"/>
  <c r="J111" i="32"/>
  <c r="J110" i="31"/>
  <c r="J111" i="31" s="1"/>
  <c r="G112" i="31"/>
  <c r="J110" i="30"/>
  <c r="J112" i="30" s="1"/>
  <c r="J112" i="29"/>
  <c r="I110" i="29"/>
  <c r="I112" i="29" s="1"/>
  <c r="C110" i="27"/>
  <c r="C111" i="27" s="1"/>
  <c r="D110" i="27"/>
  <c r="D111" i="27" s="1"/>
  <c r="E110" i="27"/>
  <c r="F110" i="27"/>
  <c r="F112" i="27" s="1"/>
  <c r="G110" i="27"/>
  <c r="G111" i="27" s="1"/>
  <c r="J110" i="27"/>
  <c r="J112" i="27"/>
  <c r="K110" i="27"/>
  <c r="K112" i="27" s="1"/>
  <c r="L110" i="27"/>
  <c r="M110" i="27"/>
  <c r="N110" i="27"/>
  <c r="O110" i="27"/>
  <c r="P110" i="27"/>
  <c r="Q110" i="27"/>
  <c r="Q112" i="27" s="1"/>
  <c r="Q111" i="26"/>
  <c r="J111" i="26"/>
  <c r="I112" i="26"/>
  <c r="H111" i="26"/>
  <c r="G112" i="26"/>
  <c r="F112" i="26"/>
  <c r="E112" i="26"/>
  <c r="C112" i="26"/>
  <c r="P111" i="25"/>
  <c r="O111" i="25"/>
  <c r="N111" i="25"/>
  <c r="M112" i="25"/>
  <c r="K111" i="25"/>
  <c r="J112" i="25"/>
  <c r="I111" i="25"/>
  <c r="H111" i="25"/>
  <c r="G111" i="25"/>
  <c r="F112" i="25"/>
  <c r="C111" i="25"/>
  <c r="J110" i="24"/>
  <c r="J111" i="24" s="1"/>
  <c r="I110" i="24"/>
  <c r="I112" i="24" s="1"/>
  <c r="H110" i="24"/>
  <c r="H111" i="24" s="1"/>
  <c r="J110" i="23"/>
  <c r="J112" i="23" s="1"/>
  <c r="I110" i="23"/>
  <c r="I111" i="23" s="1"/>
  <c r="H110" i="23"/>
  <c r="J110" i="22"/>
  <c r="J112" i="22" s="1"/>
  <c r="I110" i="22"/>
  <c r="I112" i="22" s="1"/>
  <c r="H112" i="22"/>
  <c r="G111" i="22"/>
  <c r="J110" i="21"/>
  <c r="J111" i="21"/>
  <c r="I110" i="21"/>
  <c r="I111" i="21"/>
  <c r="H110" i="21"/>
  <c r="H111" i="21"/>
  <c r="H110" i="20"/>
  <c r="H112" i="20" s="1"/>
  <c r="I110" i="20"/>
  <c r="I111" i="20" s="1"/>
  <c r="J110" i="20"/>
  <c r="J111" i="20" s="1"/>
  <c r="Q112" i="19"/>
  <c r="J110" i="19"/>
  <c r="J111" i="19" s="1"/>
  <c r="I110" i="19"/>
  <c r="I111" i="19" s="1"/>
  <c r="H110" i="19"/>
  <c r="H112" i="19" s="1"/>
  <c r="Q112" i="17"/>
  <c r="J110" i="17"/>
  <c r="J112" i="17" s="1"/>
  <c r="I110" i="17"/>
  <c r="I111" i="17" s="1"/>
  <c r="H110" i="17"/>
  <c r="H112" i="17" s="1"/>
  <c r="H110" i="16"/>
  <c r="H111" i="16" s="1"/>
  <c r="I110" i="16"/>
  <c r="I111" i="16" s="1"/>
  <c r="J110" i="16"/>
  <c r="J112" i="16"/>
  <c r="H110" i="15"/>
  <c r="H111" i="15" s="1"/>
  <c r="I110" i="15"/>
  <c r="I112" i="15" s="1"/>
  <c r="J110" i="15"/>
  <c r="J112" i="15" s="1"/>
  <c r="Q111" i="15"/>
  <c r="Q111" i="14"/>
  <c r="J110" i="14"/>
  <c r="J111" i="14" s="1"/>
  <c r="H111" i="14"/>
  <c r="J110" i="13"/>
  <c r="J112" i="13"/>
  <c r="H110" i="13"/>
  <c r="H112" i="13"/>
  <c r="I111" i="13"/>
  <c r="F111" i="12"/>
  <c r="J110" i="12"/>
  <c r="J111" i="12" s="1"/>
  <c r="I111" i="12"/>
  <c r="J110" i="11"/>
  <c r="J111" i="11" s="1"/>
  <c r="H111" i="11"/>
  <c r="G110" i="11"/>
  <c r="G112" i="11"/>
  <c r="J110" i="10"/>
  <c r="J112" i="10" s="1"/>
  <c r="I110" i="10"/>
  <c r="I112" i="10" s="1"/>
  <c r="H110" i="10"/>
  <c r="H112" i="10" s="1"/>
  <c r="J110" i="9"/>
  <c r="J112" i="9" s="1"/>
  <c r="I110" i="9"/>
  <c r="I111" i="9" s="1"/>
  <c r="H110" i="9"/>
  <c r="H111" i="9" s="1"/>
  <c r="J111" i="8"/>
  <c r="I111" i="8"/>
  <c r="H111" i="8"/>
  <c r="P112" i="8"/>
  <c r="M112" i="8"/>
  <c r="L112" i="8"/>
  <c r="K111" i="8"/>
  <c r="F111" i="8"/>
  <c r="I112" i="3"/>
  <c r="B2" i="23"/>
  <c r="C111" i="2"/>
  <c r="F110" i="2"/>
  <c r="F112" i="2"/>
  <c r="J110" i="2"/>
  <c r="K110" i="2"/>
  <c r="K111" i="2" s="1"/>
  <c r="L110" i="2"/>
  <c r="L112" i="2"/>
  <c r="M110" i="2"/>
  <c r="M112" i="2"/>
  <c r="N110" i="2"/>
  <c r="N112" i="2" s="1"/>
  <c r="O110" i="2"/>
  <c r="P110" i="2"/>
  <c r="P112" i="2"/>
  <c r="Q110" i="2"/>
  <c r="C110" i="3"/>
  <c r="C111" i="3" s="1"/>
  <c r="D110" i="3"/>
  <c r="D111" i="3" s="1"/>
  <c r="E110" i="3"/>
  <c r="E111" i="3" s="1"/>
  <c r="F110" i="3"/>
  <c r="F111" i="3"/>
  <c r="G110" i="3"/>
  <c r="G112" i="3"/>
  <c r="H110" i="3"/>
  <c r="H112" i="3" s="1"/>
  <c r="J110" i="3"/>
  <c r="J111" i="3" s="1"/>
  <c r="K110" i="3"/>
  <c r="K111" i="3" s="1"/>
  <c r="L110" i="3"/>
  <c r="L111" i="3" s="1"/>
  <c r="M110" i="3"/>
  <c r="M112" i="3" s="1"/>
  <c r="N110" i="3"/>
  <c r="N112" i="3" s="1"/>
  <c r="O110" i="3"/>
  <c r="P110" i="3"/>
  <c r="Q110" i="3"/>
  <c r="Q110" i="41"/>
  <c r="Q111" i="41" s="1"/>
  <c r="P110" i="41"/>
  <c r="P112" i="41"/>
  <c r="O110" i="41"/>
  <c r="O112" i="41"/>
  <c r="N110" i="41"/>
  <c r="N112" i="41"/>
  <c r="M110" i="41"/>
  <c r="M112" i="41"/>
  <c r="L110" i="41"/>
  <c r="L112" i="41"/>
  <c r="K110" i="41"/>
  <c r="K112" i="41"/>
  <c r="F110" i="41"/>
  <c r="F112" i="41" s="1"/>
  <c r="E110" i="41"/>
  <c r="E112" i="41" s="1"/>
  <c r="D110" i="41"/>
  <c r="D112" i="41"/>
  <c r="C110" i="41"/>
  <c r="C112" i="41"/>
  <c r="B110" i="41"/>
  <c r="B112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P108" i="41"/>
  <c r="O108" i="41"/>
  <c r="N108" i="41"/>
  <c r="N38" i="39" s="1"/>
  <c r="M108" i="41"/>
  <c r="L108" i="41"/>
  <c r="K108" i="41"/>
  <c r="J108" i="41"/>
  <c r="J38" i="39" s="1"/>
  <c r="I108" i="41"/>
  <c r="I38" i="39" s="1"/>
  <c r="H108" i="41"/>
  <c r="G108" i="41"/>
  <c r="F108" i="41"/>
  <c r="E108" i="41"/>
  <c r="D108" i="41"/>
  <c r="C108" i="41"/>
  <c r="B108" i="41"/>
  <c r="B38" i="39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/>
  <c r="Q110" i="40"/>
  <c r="Q112" i="40" s="1"/>
  <c r="P110" i="40"/>
  <c r="P112" i="40" s="1"/>
  <c r="O110" i="40"/>
  <c r="O112" i="40" s="1"/>
  <c r="N110" i="40"/>
  <c r="N112" i="40"/>
  <c r="M110" i="40"/>
  <c r="M112" i="40"/>
  <c r="L110" i="40"/>
  <c r="L112" i="40"/>
  <c r="K110" i="40"/>
  <c r="K112" i="40"/>
  <c r="F110" i="40"/>
  <c r="F112" i="40"/>
  <c r="E110" i="40"/>
  <c r="E112" i="40" s="1"/>
  <c r="D110" i="40"/>
  <c r="D112" i="40" s="1"/>
  <c r="C110" i="40"/>
  <c r="C112" i="40" s="1"/>
  <c r="B110" i="40"/>
  <c r="B112" i="40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/>
  <c r="O108" i="40"/>
  <c r="N108" i="40"/>
  <c r="M108" i="40"/>
  <c r="L108" i="40"/>
  <c r="K108" i="40"/>
  <c r="J108" i="40"/>
  <c r="I108" i="40"/>
  <c r="H108" i="40"/>
  <c r="H37" i="39"/>
  <c r="G108" i="40"/>
  <c r="G37" i="39"/>
  <c r="F108" i="40"/>
  <c r="F37" i="39"/>
  <c r="E108" i="40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/>
  <c r="O110" i="33"/>
  <c r="O112" i="33" s="1"/>
  <c r="N110" i="33"/>
  <c r="N112" i="33" s="1"/>
  <c r="M110" i="33"/>
  <c r="M112" i="33"/>
  <c r="L110" i="33"/>
  <c r="L112" i="33"/>
  <c r="K110" i="33"/>
  <c r="K111" i="33" s="1"/>
  <c r="F110" i="33"/>
  <c r="F112" i="33" s="1"/>
  <c r="E110" i="33"/>
  <c r="E112" i="33" s="1"/>
  <c r="D110" i="33"/>
  <c r="D112" i="33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N108" i="33"/>
  <c r="M108" i="33"/>
  <c r="M36" i="39" s="1"/>
  <c r="L108" i="33"/>
  <c r="L36" i="39" s="1"/>
  <c r="K108" i="33"/>
  <c r="J108" i="33"/>
  <c r="I108" i="33"/>
  <c r="I36" i="39"/>
  <c r="H108" i="33"/>
  <c r="G108" i="33"/>
  <c r="F108" i="33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 s="1"/>
  <c r="O110" i="32"/>
  <c r="O112" i="32" s="1"/>
  <c r="N110" i="32"/>
  <c r="N111" i="32"/>
  <c r="M110" i="32"/>
  <c r="M112" i="32" s="1"/>
  <c r="L110" i="32"/>
  <c r="L112" i="32" s="1"/>
  <c r="K110" i="32"/>
  <c r="K112" i="32" s="1"/>
  <c r="F110" i="32"/>
  <c r="F112" i="32"/>
  <c r="E110" i="32"/>
  <c r="E111" i="32" s="1"/>
  <c r="D110" i="32"/>
  <c r="D112" i="32" s="1"/>
  <c r="C110" i="32"/>
  <c r="C111" i="32" s="1"/>
  <c r="B110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P108" i="32"/>
  <c r="O108" i="32"/>
  <c r="O35" i="39" s="1"/>
  <c r="N108" i="32"/>
  <c r="M108" i="32"/>
  <c r="L108" i="32"/>
  <c r="K108" i="32"/>
  <c r="J108" i="32"/>
  <c r="J35" i="39" s="1"/>
  <c r="I108" i="32"/>
  <c r="I35" i="39" s="1"/>
  <c r="H108" i="32"/>
  <c r="G108" i="32"/>
  <c r="F108" i="32"/>
  <c r="F35" i="39"/>
  <c r="E108" i="32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P110" i="31"/>
  <c r="P112" i="31" s="1"/>
  <c r="O110" i="31"/>
  <c r="O112" i="31" s="1"/>
  <c r="N110" i="31"/>
  <c r="N112" i="31"/>
  <c r="M110" i="31"/>
  <c r="M111" i="31"/>
  <c r="L110" i="31"/>
  <c r="L112" i="31"/>
  <c r="K110" i="31"/>
  <c r="K111" i="31"/>
  <c r="F110" i="31"/>
  <c r="F112" i="31" s="1"/>
  <c r="E110" i="31"/>
  <c r="E112" i="31"/>
  <c r="D110" i="31"/>
  <c r="D112" i="31" s="1"/>
  <c r="C110" i="31"/>
  <c r="C112" i="31" s="1"/>
  <c r="B110" i="31"/>
  <c r="B112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/>
  <c r="P108" i="31"/>
  <c r="P34" i="39"/>
  <c r="O108" i="31"/>
  <c r="O34" i="39"/>
  <c r="N108" i="31"/>
  <c r="N34" i="39" s="1"/>
  <c r="M108" i="31"/>
  <c r="L108" i="31"/>
  <c r="K108" i="31"/>
  <c r="J108" i="31"/>
  <c r="I108" i="31"/>
  <c r="H108" i="31"/>
  <c r="G108" i="31"/>
  <c r="F108" i="31"/>
  <c r="E108" i="31"/>
  <c r="D108" i="31"/>
  <c r="D34" i="39" s="1"/>
  <c r="C108" i="31"/>
  <c r="C34" i="39" s="1"/>
  <c r="B108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2" i="30" s="1"/>
  <c r="O110" i="30"/>
  <c r="O112" i="30"/>
  <c r="N110" i="30"/>
  <c r="N112" i="30" s="1"/>
  <c r="M110" i="30"/>
  <c r="M112" i="30" s="1"/>
  <c r="L110" i="30"/>
  <c r="L112" i="30" s="1"/>
  <c r="K110" i="30"/>
  <c r="K112" i="30" s="1"/>
  <c r="F110" i="30"/>
  <c r="F112" i="30" s="1"/>
  <c r="E110" i="30"/>
  <c r="E112" i="30" s="1"/>
  <c r="D110" i="30"/>
  <c r="D112" i="30" s="1"/>
  <c r="C110" i="30"/>
  <c r="C111" i="30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L108" i="30"/>
  <c r="K108" i="30"/>
  <c r="K33" i="39" s="1"/>
  <c r="J108" i="30"/>
  <c r="I108" i="30"/>
  <c r="H108" i="30"/>
  <c r="G108" i="30"/>
  <c r="F108" i="30"/>
  <c r="E108" i="30"/>
  <c r="E33" i="39"/>
  <c r="D108" i="30"/>
  <c r="D33" i="39"/>
  <c r="C108" i="30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/>
  <c r="P110" i="29"/>
  <c r="P112" i="29" s="1"/>
  <c r="O110" i="29"/>
  <c r="O112" i="29" s="1"/>
  <c r="N110" i="29"/>
  <c r="N112" i="29"/>
  <c r="M110" i="29"/>
  <c r="M112" i="29"/>
  <c r="L110" i="29"/>
  <c r="L112" i="29"/>
  <c r="K110" i="29"/>
  <c r="K112" i="29"/>
  <c r="F110" i="29"/>
  <c r="F111" i="29" s="1"/>
  <c r="E110" i="29"/>
  <c r="E112" i="29"/>
  <c r="D110" i="29"/>
  <c r="D112" i="29" s="1"/>
  <c r="C110" i="29"/>
  <c r="C112" i="29" s="1"/>
  <c r="B110" i="29"/>
  <c r="B112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J108" i="29"/>
  <c r="I108" i="29"/>
  <c r="H108" i="29"/>
  <c r="G108" i="29"/>
  <c r="F108" i="29"/>
  <c r="E108" i="29"/>
  <c r="D108" i="29"/>
  <c r="C108" i="29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O31" i="39"/>
  <c r="L31" i="39"/>
  <c r="K31" i="39"/>
  <c r="E31" i="39"/>
  <c r="B2" i="28"/>
  <c r="A31" i="39" s="1"/>
  <c r="P112" i="27"/>
  <c r="O112" i="27"/>
  <c r="N112" i="27"/>
  <c r="M112" i="27"/>
  <c r="L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 s="1"/>
  <c r="N108" i="27"/>
  <c r="N30" i="39"/>
  <c r="M108" i="27"/>
  <c r="L108" i="27"/>
  <c r="K108" i="27"/>
  <c r="K30" i="39" s="1"/>
  <c r="J108" i="27"/>
  <c r="J30" i="39"/>
  <c r="I108" i="27"/>
  <c r="H108" i="27"/>
  <c r="H30" i="39" s="1"/>
  <c r="G108" i="27"/>
  <c r="G30" i="39" s="1"/>
  <c r="F108" i="27"/>
  <c r="E108" i="27"/>
  <c r="E30" i="39" s="1"/>
  <c r="D108" i="27"/>
  <c r="D30" i="39"/>
  <c r="C108" i="27"/>
  <c r="C30" i="39" s="1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O111" i="26"/>
  <c r="N112" i="26"/>
  <c r="M111" i="26"/>
  <c r="L112" i="26"/>
  <c r="K112" i="26"/>
  <c r="D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 s="1"/>
  <c r="O108" i="26"/>
  <c r="O29" i="39" s="1"/>
  <c r="N108" i="26"/>
  <c r="M108" i="26"/>
  <c r="L108" i="26"/>
  <c r="L29" i="39" s="1"/>
  <c r="K108" i="26"/>
  <c r="J108" i="26"/>
  <c r="I108" i="26"/>
  <c r="I29" i="39" s="1"/>
  <c r="H108" i="26"/>
  <c r="G108" i="26"/>
  <c r="F108" i="26"/>
  <c r="E108" i="26"/>
  <c r="D108" i="26"/>
  <c r="C108" i="26"/>
  <c r="C29" i="39"/>
  <c r="B108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E28" i="39" s="1"/>
  <c r="D108" i="25"/>
  <c r="D28" i="39" s="1"/>
  <c r="C108" i="25"/>
  <c r="C28" i="39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/>
  <c r="O110" i="24"/>
  <c r="O112" i="24" s="1"/>
  <c r="N110" i="24"/>
  <c r="N112" i="24" s="1"/>
  <c r="M110" i="24"/>
  <c r="M112" i="24"/>
  <c r="L110" i="24"/>
  <c r="L112" i="24" s="1"/>
  <c r="K110" i="24"/>
  <c r="K112" i="24"/>
  <c r="G110" i="24"/>
  <c r="G112" i="24" s="1"/>
  <c r="F110" i="24"/>
  <c r="F112" i="24" s="1"/>
  <c r="E110" i="24"/>
  <c r="E112" i="24"/>
  <c r="D110" i="24"/>
  <c r="D112" i="24" s="1"/>
  <c r="C110" i="24"/>
  <c r="C112" i="24" s="1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O108" i="24"/>
  <c r="N108" i="24"/>
  <c r="N27" i="39" s="1"/>
  <c r="M108" i="24"/>
  <c r="M27" i="39" s="1"/>
  <c r="L108" i="24"/>
  <c r="K108" i="24"/>
  <c r="K27" i="39" s="1"/>
  <c r="J108" i="24"/>
  <c r="I108" i="24"/>
  <c r="H108" i="24"/>
  <c r="G108" i="24"/>
  <c r="F108" i="24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P110" i="23"/>
  <c r="P112" i="23"/>
  <c r="O110" i="23"/>
  <c r="O112" i="23" s="1"/>
  <c r="N110" i="23"/>
  <c r="N112" i="23" s="1"/>
  <c r="M110" i="23"/>
  <c r="M112" i="23"/>
  <c r="L110" i="23"/>
  <c r="L112" i="23" s="1"/>
  <c r="K110" i="23"/>
  <c r="K112" i="23" s="1"/>
  <c r="H112" i="23"/>
  <c r="G110" i="23"/>
  <c r="G111" i="23"/>
  <c r="F110" i="23"/>
  <c r="F111" i="23"/>
  <c r="E110" i="23"/>
  <c r="E112" i="23" s="1"/>
  <c r="D110" i="23"/>
  <c r="D112" i="23"/>
  <c r="C110" i="23"/>
  <c r="C112" i="23" s="1"/>
  <c r="B110" i="23"/>
  <c r="B112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/>
  <c r="P108" i="23"/>
  <c r="P26" i="39" s="1"/>
  <c r="O108" i="23"/>
  <c r="O26" i="39"/>
  <c r="N108" i="23"/>
  <c r="N26" i="39"/>
  <c r="M108" i="23"/>
  <c r="M26" i="39" s="1"/>
  <c r="L108" i="23"/>
  <c r="K108" i="23"/>
  <c r="J108" i="23"/>
  <c r="J26" i="39" s="1"/>
  <c r="I108" i="23"/>
  <c r="H108" i="23"/>
  <c r="G108" i="23"/>
  <c r="F108" i="23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/>
  <c r="P110" i="22"/>
  <c r="P112" i="22"/>
  <c r="O110" i="22"/>
  <c r="O111" i="22" s="1"/>
  <c r="N110" i="22"/>
  <c r="N112" i="22"/>
  <c r="M110" i="22"/>
  <c r="M112" i="22" s="1"/>
  <c r="L110" i="22"/>
  <c r="L111" i="22" s="1"/>
  <c r="K110" i="22"/>
  <c r="K112" i="22" s="1"/>
  <c r="F110" i="22"/>
  <c r="F111" i="22" s="1"/>
  <c r="E110" i="22"/>
  <c r="E112" i="22"/>
  <c r="D110" i="22"/>
  <c r="D112" i="22"/>
  <c r="C110" i="22"/>
  <c r="C112" i="22" s="1"/>
  <c r="B110" i="22"/>
  <c r="B112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N25" i="39"/>
  <c r="M108" i="22"/>
  <c r="M25" i="39"/>
  <c r="L108" i="22"/>
  <c r="K108" i="22"/>
  <c r="J108" i="22"/>
  <c r="I108" i="22"/>
  <c r="H108" i="22"/>
  <c r="H25" i="39" s="1"/>
  <c r="G108" i="22"/>
  <c r="F108" i="22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/>
  <c r="P110" i="21"/>
  <c r="P111" i="21" s="1"/>
  <c r="O110" i="21"/>
  <c r="O112" i="21" s="1"/>
  <c r="N110" i="21"/>
  <c r="N112" i="21"/>
  <c r="M110" i="21"/>
  <c r="M112" i="21" s="1"/>
  <c r="L110" i="21"/>
  <c r="L112" i="21" s="1"/>
  <c r="K110" i="21"/>
  <c r="K112" i="21" s="1"/>
  <c r="G110" i="21"/>
  <c r="G112" i="21" s="1"/>
  <c r="F110" i="21"/>
  <c r="F112" i="21"/>
  <c r="E110" i="21"/>
  <c r="E112" i="21" s="1"/>
  <c r="D110" i="21"/>
  <c r="D111" i="21" s="1"/>
  <c r="C110" i="21"/>
  <c r="C112" i="2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P24" i="39" s="1"/>
  <c r="O108" i="21"/>
  <c r="O24" i="39"/>
  <c r="N108" i="21"/>
  <c r="N24" i="39"/>
  <c r="M108" i="21"/>
  <c r="M24" i="39" s="1"/>
  <c r="L108" i="21"/>
  <c r="L24" i="39"/>
  <c r="K108" i="21"/>
  <c r="K24" i="39" s="1"/>
  <c r="J108" i="21"/>
  <c r="J24" i="39"/>
  <c r="I108" i="21"/>
  <c r="I24" i="39"/>
  <c r="H108" i="21"/>
  <c r="G108" i="21"/>
  <c r="G24" i="39" s="1"/>
  <c r="F108" i="21"/>
  <c r="E108" i="21"/>
  <c r="D108" i="21"/>
  <c r="D24" i="39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/>
  <c r="Q110" i="20"/>
  <c r="Q111" i="20" s="1"/>
  <c r="P110" i="20"/>
  <c r="P111" i="20" s="1"/>
  <c r="O110" i="20"/>
  <c r="O112" i="20" s="1"/>
  <c r="N110" i="20"/>
  <c r="N111" i="20" s="1"/>
  <c r="M110" i="20"/>
  <c r="M112" i="20"/>
  <c r="L110" i="20"/>
  <c r="L112" i="20" s="1"/>
  <c r="K110" i="20"/>
  <c r="K112" i="20" s="1"/>
  <c r="G110" i="20"/>
  <c r="G112" i="20"/>
  <c r="F110" i="20"/>
  <c r="F112" i="20" s="1"/>
  <c r="E110" i="20"/>
  <c r="E112" i="20" s="1"/>
  <c r="D110" i="20"/>
  <c r="D112" i="20" s="1"/>
  <c r="C110" i="20"/>
  <c r="C112" i="20" s="1"/>
  <c r="B110" i="20"/>
  <c r="B112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L23" i="39"/>
  <c r="K108" i="20"/>
  <c r="J108" i="20"/>
  <c r="J23" i="39" s="1"/>
  <c r="I108" i="20"/>
  <c r="H108" i="20"/>
  <c r="G108" i="20"/>
  <c r="F108" i="20"/>
  <c r="F23" i="39"/>
  <c r="E108" i="20"/>
  <c r="D108" i="20"/>
  <c r="D23" i="39" s="1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/>
  <c r="P110" i="19"/>
  <c r="P112" i="19" s="1"/>
  <c r="O110" i="19"/>
  <c r="O112" i="19" s="1"/>
  <c r="N110" i="19"/>
  <c r="N112" i="19" s="1"/>
  <c r="M110" i="19"/>
  <c r="M111" i="19" s="1"/>
  <c r="L110" i="19"/>
  <c r="L112" i="19"/>
  <c r="K110" i="19"/>
  <c r="K111" i="19" s="1"/>
  <c r="G110" i="19"/>
  <c r="G112" i="19" s="1"/>
  <c r="F110" i="19"/>
  <c r="F112" i="19"/>
  <c r="E110" i="19"/>
  <c r="E111" i="19" s="1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K108" i="19"/>
  <c r="K22" i="39"/>
  <c r="J108" i="19"/>
  <c r="I108" i="19"/>
  <c r="I22" i="39" s="1"/>
  <c r="H108" i="19"/>
  <c r="G108" i="19"/>
  <c r="F108" i="19"/>
  <c r="F22" i="39" s="1"/>
  <c r="E108" i="19"/>
  <c r="D108" i="19"/>
  <c r="C108" i="19"/>
  <c r="B108" i="19"/>
  <c r="B22" i="3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/>
  <c r="Q110" i="18"/>
  <c r="Q112" i="18"/>
  <c r="P110" i="18"/>
  <c r="P112" i="18"/>
  <c r="O110" i="18"/>
  <c r="O112" i="18" s="1"/>
  <c r="N110" i="18"/>
  <c r="N111" i="18"/>
  <c r="M110" i="18"/>
  <c r="M111" i="18"/>
  <c r="L110" i="18"/>
  <c r="L112" i="18" s="1"/>
  <c r="K110" i="18"/>
  <c r="K112" i="18"/>
  <c r="J111" i="18"/>
  <c r="I112" i="18"/>
  <c r="H112" i="18"/>
  <c r="G110" i="18"/>
  <c r="G112" i="18" s="1"/>
  <c r="F110" i="18"/>
  <c r="F111" i="18" s="1"/>
  <c r="E110" i="18"/>
  <c r="E112" i="18" s="1"/>
  <c r="D110" i="18"/>
  <c r="D112" i="18" s="1"/>
  <c r="C110" i="18"/>
  <c r="C111" i="18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N108" i="18"/>
  <c r="N21" i="39"/>
  <c r="M108" i="18"/>
  <c r="L108" i="18"/>
  <c r="K108" i="18"/>
  <c r="K21" i="39" s="1"/>
  <c r="J108" i="18"/>
  <c r="I108" i="18"/>
  <c r="I21" i="39" s="1"/>
  <c r="H108" i="18"/>
  <c r="H21" i="39"/>
  <c r="G108" i="18"/>
  <c r="F108" i="18"/>
  <c r="F21" i="39"/>
  <c r="E108" i="18"/>
  <c r="E21" i="39" s="1"/>
  <c r="D108" i="18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1" i="17" s="1"/>
  <c r="O110" i="17"/>
  <c r="O112" i="17"/>
  <c r="N110" i="17"/>
  <c r="N111" i="17"/>
  <c r="M110" i="17"/>
  <c r="M112" i="17" s="1"/>
  <c r="L110" i="17"/>
  <c r="L111" i="17"/>
  <c r="K110" i="17"/>
  <c r="K111" i="17" s="1"/>
  <c r="G110" i="17"/>
  <c r="G112" i="17"/>
  <c r="F110" i="17"/>
  <c r="F111" i="17"/>
  <c r="E110" i="17"/>
  <c r="E112" i="17" s="1"/>
  <c r="D110" i="17"/>
  <c r="D111" i="17"/>
  <c r="C110" i="17"/>
  <c r="C111" i="17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/>
  <c r="P108" i="17"/>
  <c r="O108" i="17"/>
  <c r="O20" i="39"/>
  <c r="N108" i="17"/>
  <c r="N20" i="39" s="1"/>
  <c r="M108" i="17"/>
  <c r="M20" i="39" s="1"/>
  <c r="L108" i="17"/>
  <c r="L20" i="39" s="1"/>
  <c r="K108" i="17"/>
  <c r="K20" i="39" s="1"/>
  <c r="J108" i="17"/>
  <c r="J20" i="39"/>
  <c r="I108" i="17"/>
  <c r="I20" i="39" s="1"/>
  <c r="H108" i="17"/>
  <c r="H20" i="39" s="1"/>
  <c r="G108" i="17"/>
  <c r="G20" i="39"/>
  <c r="F108" i="17"/>
  <c r="E108" i="17"/>
  <c r="D108" i="17"/>
  <c r="C108" i="17"/>
  <c r="C20" i="39" s="1"/>
  <c r="B108" i="17"/>
  <c r="B20" i="39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 s="1"/>
  <c r="O110" i="16"/>
  <c r="O112" i="16"/>
  <c r="N110" i="16"/>
  <c r="N112" i="16"/>
  <c r="M110" i="16"/>
  <c r="M112" i="16"/>
  <c r="L110" i="16"/>
  <c r="L112" i="16"/>
  <c r="K110" i="16"/>
  <c r="K112" i="16" s="1"/>
  <c r="G110" i="16"/>
  <c r="G112" i="16"/>
  <c r="F110" i="16"/>
  <c r="F112" i="16"/>
  <c r="E110" i="16"/>
  <c r="E112" i="16" s="1"/>
  <c r="D110" i="16"/>
  <c r="D112" i="16"/>
  <c r="C110" i="16"/>
  <c r="C112" i="16"/>
  <c r="B110" i="16"/>
  <c r="B112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 s="1"/>
  <c r="O108" i="16"/>
  <c r="O19" i="39"/>
  <c r="N108" i="16"/>
  <c r="M108" i="16"/>
  <c r="M19" i="39"/>
  <c r="L108" i="16"/>
  <c r="K108" i="16"/>
  <c r="J108" i="16"/>
  <c r="J19" i="39" s="1"/>
  <c r="I108" i="16"/>
  <c r="I19" i="39"/>
  <c r="H108" i="16"/>
  <c r="G108" i="16"/>
  <c r="F108" i="16"/>
  <c r="E108" i="16"/>
  <c r="E19" i="39" s="1"/>
  <c r="D108" i="16"/>
  <c r="D19" i="39"/>
  <c r="C108" i="16"/>
  <c r="C19" i="39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 s="1"/>
  <c r="O110" i="15"/>
  <c r="O112" i="15"/>
  <c r="N110" i="15"/>
  <c r="N112" i="15" s="1"/>
  <c r="M110" i="15"/>
  <c r="M112" i="15" s="1"/>
  <c r="L110" i="15"/>
  <c r="L111" i="15"/>
  <c r="K110" i="15"/>
  <c r="K112" i="15" s="1"/>
  <c r="G110" i="15"/>
  <c r="G111" i="15"/>
  <c r="F110" i="15"/>
  <c r="F112" i="15" s="1"/>
  <c r="E110" i="15"/>
  <c r="E112" i="15" s="1"/>
  <c r="D110" i="15"/>
  <c r="D112" i="15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O108" i="15"/>
  <c r="N108" i="15"/>
  <c r="N18" i="39"/>
  <c r="M108" i="15"/>
  <c r="L108" i="15"/>
  <c r="K108" i="15"/>
  <c r="K18" i="39" s="1"/>
  <c r="J108" i="15"/>
  <c r="I108" i="15"/>
  <c r="H108" i="15"/>
  <c r="G108" i="15"/>
  <c r="F108" i="15"/>
  <c r="E108" i="15"/>
  <c r="D108" i="15"/>
  <c r="C108" i="15"/>
  <c r="C18" i="39"/>
  <c r="B108" i="15"/>
  <c r="B18" i="39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/>
  <c r="O110" i="14"/>
  <c r="O111" i="14"/>
  <c r="N110" i="14"/>
  <c r="N112" i="14"/>
  <c r="M110" i="14"/>
  <c r="M112" i="14"/>
  <c r="L110" i="14"/>
  <c r="L112" i="14" s="1"/>
  <c r="K110" i="14"/>
  <c r="K112" i="14"/>
  <c r="F110" i="14"/>
  <c r="F111" i="14"/>
  <c r="E112" i="14"/>
  <c r="D112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N108" i="14"/>
  <c r="M108" i="14"/>
  <c r="L108" i="14"/>
  <c r="K108" i="14"/>
  <c r="K17" i="39"/>
  <c r="J108" i="14"/>
  <c r="I108" i="14"/>
  <c r="H108" i="14"/>
  <c r="H17" i="39"/>
  <c r="G108" i="14"/>
  <c r="G17" i="39"/>
  <c r="F108" i="14"/>
  <c r="F17" i="39" s="1"/>
  <c r="E108" i="14"/>
  <c r="E17" i="39"/>
  <c r="D108" i="14"/>
  <c r="D17" i="39"/>
  <c r="C108" i="14"/>
  <c r="C17" i="39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1" i="13"/>
  <c r="O110" i="13"/>
  <c r="O111" i="13" s="1"/>
  <c r="N110" i="13"/>
  <c r="N112" i="13" s="1"/>
  <c r="M110" i="13"/>
  <c r="M111" i="13"/>
  <c r="L110" i="13"/>
  <c r="L112" i="13"/>
  <c r="K110" i="13"/>
  <c r="K112" i="13"/>
  <c r="G110" i="13"/>
  <c r="G112" i="13"/>
  <c r="F110" i="13"/>
  <c r="F112" i="13" s="1"/>
  <c r="E110" i="13"/>
  <c r="E112" i="13"/>
  <c r="D110" i="13"/>
  <c r="D111" i="13" s="1"/>
  <c r="C110" i="13"/>
  <c r="C112" i="13" s="1"/>
  <c r="B110" i="13"/>
  <c r="B111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/>
  <c r="N108" i="13"/>
  <c r="M108" i="13"/>
  <c r="L108" i="13"/>
  <c r="K108" i="13"/>
  <c r="J108" i="13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/>
  <c r="O110" i="12"/>
  <c r="O111" i="12" s="1"/>
  <c r="N110" i="12"/>
  <c r="N112" i="12"/>
  <c r="M110" i="12"/>
  <c r="M111" i="12"/>
  <c r="L110" i="12"/>
  <c r="L112" i="12" s="1"/>
  <c r="K110" i="12"/>
  <c r="K111" i="12"/>
  <c r="G112" i="12"/>
  <c r="E110" i="12"/>
  <c r="E112" i="12"/>
  <c r="D110" i="12"/>
  <c r="D112" i="12" s="1"/>
  <c r="C110" i="12"/>
  <c r="C112" i="12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/>
  <c r="N108" i="12"/>
  <c r="M108" i="12"/>
  <c r="L108" i="12"/>
  <c r="K108" i="12"/>
  <c r="J108" i="12"/>
  <c r="I108" i="12"/>
  <c r="I15" i="39" s="1"/>
  <c r="H108" i="12"/>
  <c r="G108" i="12"/>
  <c r="F108" i="12"/>
  <c r="E108" i="12"/>
  <c r="E15" i="39" s="1"/>
  <c r="D108" i="12"/>
  <c r="D15" i="39"/>
  <c r="C108" i="12"/>
  <c r="C15" i="39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/>
  <c r="Q110" i="11"/>
  <c r="Q111" i="11" s="1"/>
  <c r="P110" i="11"/>
  <c r="P112" i="11"/>
  <c r="O110" i="11"/>
  <c r="O112" i="11" s="1"/>
  <c r="N110" i="11"/>
  <c r="N112" i="11" s="1"/>
  <c r="M110" i="11"/>
  <c r="M112" i="11"/>
  <c r="L110" i="11"/>
  <c r="L112" i="11"/>
  <c r="K110" i="11"/>
  <c r="K112" i="11" s="1"/>
  <c r="F110" i="11"/>
  <c r="F112" i="1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/>
  <c r="P108" i="11"/>
  <c r="P14" i="39" s="1"/>
  <c r="O108" i="11"/>
  <c r="O14" i="39" s="1"/>
  <c r="N108" i="11"/>
  <c r="N14" i="39"/>
  <c r="M108" i="11"/>
  <c r="M14" i="39"/>
  <c r="L108" i="11"/>
  <c r="L14" i="39" s="1"/>
  <c r="K108" i="11"/>
  <c r="K14" i="39"/>
  <c r="J108" i="11"/>
  <c r="J14" i="39" s="1"/>
  <c r="I108" i="11"/>
  <c r="H108" i="11"/>
  <c r="G108" i="11"/>
  <c r="G14" i="39" s="1"/>
  <c r="F108" i="11"/>
  <c r="F14" i="39" s="1"/>
  <c r="E108" i="11"/>
  <c r="D108" i="11"/>
  <c r="D14" i="39" s="1"/>
  <c r="C108" i="11"/>
  <c r="C14" i="39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/>
  <c r="P110" i="10"/>
  <c r="P112" i="10" s="1"/>
  <c r="O110" i="10"/>
  <c r="O111" i="10"/>
  <c r="N110" i="10"/>
  <c r="N112" i="10"/>
  <c r="M110" i="10"/>
  <c r="M111" i="10" s="1"/>
  <c r="L110" i="10"/>
  <c r="L111" i="10"/>
  <c r="K110" i="10"/>
  <c r="K112" i="10" s="1"/>
  <c r="G110" i="10"/>
  <c r="G112" i="10" s="1"/>
  <c r="F110" i="10"/>
  <c r="F112" i="10"/>
  <c r="E110" i="10"/>
  <c r="E112" i="10" s="1"/>
  <c r="D110" i="10"/>
  <c r="D112" i="10"/>
  <c r="C110" i="10"/>
  <c r="C112" i="10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/>
  <c r="N108" i="10"/>
  <c r="M108" i="10"/>
  <c r="M13" i="39"/>
  <c r="L108" i="10"/>
  <c r="L13" i="39" s="1"/>
  <c r="K108" i="10"/>
  <c r="K13" i="39"/>
  <c r="J108" i="10"/>
  <c r="I108" i="10"/>
  <c r="I13" i="39"/>
  <c r="H108" i="10"/>
  <c r="H13" i="39"/>
  <c r="G108" i="10"/>
  <c r="G13" i="39" s="1"/>
  <c r="F108" i="10"/>
  <c r="F13" i="39" s="1"/>
  <c r="E108" i="10"/>
  <c r="E13" i="39" s="1"/>
  <c r="D108" i="10"/>
  <c r="C108" i="10"/>
  <c r="C13" i="39" s="1"/>
  <c r="B108" i="10"/>
  <c r="B13" i="39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/>
  <c r="Q110" i="9"/>
  <c r="Q111" i="9" s="1"/>
  <c r="P110" i="9"/>
  <c r="P112" i="9"/>
  <c r="O110" i="9"/>
  <c r="O112" i="9" s="1"/>
  <c r="N110" i="9"/>
  <c r="N112" i="9" s="1"/>
  <c r="M110" i="9"/>
  <c r="M112" i="9"/>
  <c r="L110" i="9"/>
  <c r="L112" i="9" s="1"/>
  <c r="K110" i="9"/>
  <c r="K112" i="9"/>
  <c r="G110" i="9"/>
  <c r="G112" i="9"/>
  <c r="F110" i="9"/>
  <c r="F111" i="9" s="1"/>
  <c r="E110" i="9"/>
  <c r="E112" i="9"/>
  <c r="D110" i="9"/>
  <c r="D111" i="9" s="1"/>
  <c r="C110" i="9"/>
  <c r="C112" i="9" s="1"/>
  <c r="B110" i="9"/>
  <c r="B112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N108" i="9"/>
  <c r="N12" i="39"/>
  <c r="M108" i="9"/>
  <c r="M12" i="39" s="1"/>
  <c r="L108" i="9"/>
  <c r="L12" i="39" s="1"/>
  <c r="K108" i="9"/>
  <c r="J108" i="9"/>
  <c r="J12" i="39" s="1"/>
  <c r="I108" i="9"/>
  <c r="H108" i="9"/>
  <c r="H12" i="39"/>
  <c r="G108" i="9"/>
  <c r="G12" i="39" s="1"/>
  <c r="F108" i="9"/>
  <c r="E108" i="9"/>
  <c r="E12" i="39" s="1"/>
  <c r="D108" i="9"/>
  <c r="C108" i="9"/>
  <c r="B108" i="9"/>
  <c r="B12" i="3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/>
  <c r="N112" i="8"/>
  <c r="E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/>
  <c r="P108" i="8"/>
  <c r="P11" i="39" s="1"/>
  <c r="O108" i="8"/>
  <c r="O11" i="39" s="1"/>
  <c r="N108" i="8"/>
  <c r="M108" i="8"/>
  <c r="M11" i="39" s="1"/>
  <c r="L108" i="8"/>
  <c r="L11" i="39" s="1"/>
  <c r="K108" i="8"/>
  <c r="K11" i="39" s="1"/>
  <c r="J108" i="8"/>
  <c r="I108" i="8"/>
  <c r="I11" i="39" s="1"/>
  <c r="H108" i="8"/>
  <c r="H11" i="39"/>
  <c r="G108" i="8"/>
  <c r="G11" i="39" s="1"/>
  <c r="F108" i="8"/>
  <c r="F11" i="39" s="1"/>
  <c r="E108" i="8"/>
  <c r="E11" i="39" s="1"/>
  <c r="D108" i="8"/>
  <c r="D11" i="39"/>
  <c r="C108" i="8"/>
  <c r="C11" i="39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K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N108" i="3"/>
  <c r="N10" i="39" s="1"/>
  <c r="M108" i="3"/>
  <c r="M10" i="39" s="1"/>
  <c r="L108" i="3"/>
  <c r="L10" i="39"/>
  <c r="K108" i="3"/>
  <c r="K10" i="39" s="1"/>
  <c r="J108" i="3"/>
  <c r="J10" i="39"/>
  <c r="I108" i="3"/>
  <c r="I10" i="39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/>
  <c r="B108" i="3"/>
  <c r="B10" i="39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I27" i="39"/>
  <c r="F27" i="39"/>
  <c r="C27" i="39"/>
  <c r="N109" i="2"/>
  <c r="O109" i="2"/>
  <c r="P109" i="2"/>
  <c r="N108" i="2"/>
  <c r="N9" i="39" s="1"/>
  <c r="O108" i="2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J111" i="2"/>
  <c r="N17" i="39"/>
  <c r="Q35" i="39"/>
  <c r="M35" i="39"/>
  <c r="L35" i="39"/>
  <c r="K35" i="39"/>
  <c r="H35" i="39"/>
  <c r="D35" i="39"/>
  <c r="B35" i="39"/>
  <c r="A35" i="39"/>
  <c r="K92" i="6"/>
  <c r="J92" i="6"/>
  <c r="K51" i="6"/>
  <c r="J51" i="6"/>
  <c r="K50" i="6"/>
  <c r="J50" i="6"/>
  <c r="K91" i="6"/>
  <c r="J91" i="6"/>
  <c r="K90" i="6"/>
  <c r="J90" i="6"/>
  <c r="D112" i="2"/>
  <c r="O112" i="2"/>
  <c r="Q112" i="2"/>
  <c r="T40" i="6"/>
  <c r="T21" i="6"/>
  <c r="K88" i="6"/>
  <c r="J88" i="6"/>
  <c r="K115" i="6"/>
  <c r="J115" i="6"/>
  <c r="I115" i="6"/>
  <c r="I12" i="39"/>
  <c r="F12" i="39"/>
  <c r="D12" i="39"/>
  <c r="C12" i="39"/>
  <c r="J9" i="6"/>
  <c r="K9" i="6"/>
  <c r="J10" i="6"/>
  <c r="K10" i="6"/>
  <c r="J11" i="6"/>
  <c r="K11" i="6"/>
  <c r="J12" i="6"/>
  <c r="K12" i="6"/>
  <c r="J13" i="6"/>
  <c r="K13" i="6"/>
  <c r="J14" i="6"/>
  <c r="K14" i="6"/>
  <c r="Q38" i="39"/>
  <c r="P38" i="39"/>
  <c r="O38" i="39"/>
  <c r="M38" i="39"/>
  <c r="L38" i="39"/>
  <c r="K38" i="39"/>
  <c r="H38" i="39"/>
  <c r="G38" i="39"/>
  <c r="F38" i="39"/>
  <c r="E38" i="39"/>
  <c r="D38" i="39"/>
  <c r="C38" i="39"/>
  <c r="O37" i="39"/>
  <c r="N37" i="39"/>
  <c r="M37" i="39"/>
  <c r="L37" i="39"/>
  <c r="K37" i="39"/>
  <c r="J37" i="39"/>
  <c r="I37" i="39"/>
  <c r="E37" i="39"/>
  <c r="C37" i="39"/>
  <c r="B37" i="39"/>
  <c r="A37" i="39"/>
  <c r="A26" i="39"/>
  <c r="C26" i="39"/>
  <c r="D26" i="39"/>
  <c r="H26" i="39"/>
  <c r="I26" i="39"/>
  <c r="K26" i="39"/>
  <c r="L26" i="39"/>
  <c r="O25" i="39"/>
  <c r="L25" i="39"/>
  <c r="K25" i="39"/>
  <c r="J25" i="39"/>
  <c r="G25" i="39"/>
  <c r="F25" i="39"/>
  <c r="E25" i="39"/>
  <c r="D25" i="39"/>
  <c r="C25" i="39"/>
  <c r="Q24" i="39"/>
  <c r="E24" i="39"/>
  <c r="Q23" i="39"/>
  <c r="M23" i="39"/>
  <c r="K23" i="39"/>
  <c r="I23" i="39"/>
  <c r="H23" i="39"/>
  <c r="E23" i="39"/>
  <c r="B23" i="39"/>
  <c r="Q22" i="39"/>
  <c r="N22" i="39"/>
  <c r="M22" i="39"/>
  <c r="L22" i="39"/>
  <c r="G22" i="39"/>
  <c r="C22" i="39"/>
  <c r="Q21" i="39"/>
  <c r="P21" i="39"/>
  <c r="M21" i="39"/>
  <c r="L21" i="39"/>
  <c r="J21" i="39"/>
  <c r="G21" i="39"/>
  <c r="D21" i="39"/>
  <c r="C21" i="39"/>
  <c r="B21" i="39"/>
  <c r="A21" i="39"/>
  <c r="E20" i="39"/>
  <c r="A20" i="39"/>
  <c r="L19" i="39"/>
  <c r="K19" i="39"/>
  <c r="H19" i="39"/>
  <c r="G19" i="39"/>
  <c r="B19" i="39"/>
  <c r="M18" i="39"/>
  <c r="L18" i="39"/>
  <c r="J18" i="39"/>
  <c r="I18" i="39"/>
  <c r="H18" i="39"/>
  <c r="G18" i="39"/>
  <c r="E18" i="39"/>
  <c r="D18" i="39"/>
  <c r="P17" i="39"/>
  <c r="M17" i="39"/>
  <c r="L17" i="39"/>
  <c r="I17" i="39"/>
  <c r="A17" i="39"/>
  <c r="Q16" i="39"/>
  <c r="P16" i="39"/>
  <c r="L16" i="39"/>
  <c r="J16" i="39"/>
  <c r="I16" i="39"/>
  <c r="F16" i="39"/>
  <c r="E16" i="39"/>
  <c r="D16" i="39"/>
  <c r="C16" i="39"/>
  <c r="B16" i="39"/>
  <c r="N15" i="39"/>
  <c r="M15" i="39"/>
  <c r="L15" i="39"/>
  <c r="H15" i="39"/>
  <c r="G15" i="39"/>
  <c r="F15" i="39"/>
  <c r="I14" i="39"/>
  <c r="H14" i="39"/>
  <c r="E14" i="39"/>
  <c r="P13" i="39"/>
  <c r="D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/>
  <c r="C108" i="2"/>
  <c r="C9" i="39" s="1"/>
  <c r="D108" i="2"/>
  <c r="D9" i="39"/>
  <c r="E108" i="2"/>
  <c r="E9" i="39" s="1"/>
  <c r="F108" i="2"/>
  <c r="F9" i="39"/>
  <c r="G108" i="2"/>
  <c r="G9" i="39"/>
  <c r="H108" i="2"/>
  <c r="H9" i="39" s="1"/>
  <c r="I108" i="2"/>
  <c r="I9" i="39" s="1"/>
  <c r="J108" i="2"/>
  <c r="J9" i="39"/>
  <c r="K108" i="2"/>
  <c r="K9" i="39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G36" i="39"/>
  <c r="E36" i="39"/>
  <c r="D36" i="39"/>
  <c r="C36" i="39"/>
  <c r="A36" i="39"/>
  <c r="P35" i="39"/>
  <c r="G35" i="39"/>
  <c r="E35" i="39"/>
  <c r="C35" i="39"/>
  <c r="M34" i="39"/>
  <c r="L34" i="39"/>
  <c r="K34" i="39"/>
  <c r="J34" i="39"/>
  <c r="I34" i="39"/>
  <c r="H34" i="39"/>
  <c r="F34" i="39"/>
  <c r="M33" i="39"/>
  <c r="L33" i="39"/>
  <c r="J33" i="39"/>
  <c r="I33" i="39"/>
  <c r="H33" i="39"/>
  <c r="F33" i="39"/>
  <c r="C33" i="39"/>
  <c r="B33" i="39"/>
  <c r="Q32" i="39"/>
  <c r="O32" i="39"/>
  <c r="N32" i="39"/>
  <c r="K32" i="39"/>
  <c r="I32" i="39"/>
  <c r="G32" i="39"/>
  <c r="F32" i="39"/>
  <c r="E32" i="39"/>
  <c r="C32" i="39"/>
  <c r="B32" i="39"/>
  <c r="Q31" i="39"/>
  <c r="P31" i="39"/>
  <c r="M31" i="39"/>
  <c r="J31" i="39"/>
  <c r="I31" i="39"/>
  <c r="F31" i="39"/>
  <c r="P30" i="39"/>
  <c r="M30" i="39"/>
  <c r="L30" i="39"/>
  <c r="I30" i="39"/>
  <c r="F30" i="39"/>
  <c r="B30" i="39"/>
  <c r="Q29" i="39"/>
  <c r="M29" i="39"/>
  <c r="K29" i="39"/>
  <c r="J29" i="39"/>
  <c r="H29" i="39"/>
  <c r="G29" i="39"/>
  <c r="F29" i="39"/>
  <c r="E29" i="39"/>
  <c r="D29" i="39"/>
  <c r="P28" i="39"/>
  <c r="N28" i="39"/>
  <c r="M28" i="39"/>
  <c r="L28" i="39"/>
  <c r="K28" i="39"/>
  <c r="I28" i="39"/>
  <c r="H28" i="39"/>
  <c r="G28" i="39"/>
  <c r="F28" i="39"/>
  <c r="B28" i="39"/>
  <c r="P27" i="39"/>
  <c r="O27" i="39"/>
  <c r="L27" i="39"/>
  <c r="H27" i="39"/>
  <c r="G27" i="39"/>
  <c r="B27" i="39"/>
  <c r="G26" i="39"/>
  <c r="I25" i="39"/>
  <c r="H24" i="39"/>
  <c r="N23" i="39"/>
  <c r="C23" i="39"/>
  <c r="O22" i="39"/>
  <c r="D22" i="39"/>
  <c r="O21" i="39"/>
  <c r="P20" i="39"/>
  <c r="F20" i="39"/>
  <c r="D20" i="39"/>
  <c r="F18" i="39"/>
  <c r="M16" i="39"/>
  <c r="K16" i="39"/>
  <c r="K15" i="39"/>
  <c r="J15" i="39"/>
  <c r="Q12" i="39"/>
  <c r="O12" i="39"/>
  <c r="N11" i="39"/>
  <c r="P10" i="39"/>
  <c r="P36" i="39"/>
  <c r="E34" i="39"/>
  <c r="E26" i="39"/>
  <c r="P23" i="39"/>
  <c r="P18" i="39"/>
  <c r="Q17" i="39"/>
  <c r="P15" i="39"/>
  <c r="B2" i="2"/>
  <c r="A9" i="39"/>
  <c r="B2" i="39"/>
  <c r="E22" i="39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O36" i="39"/>
  <c r="J36" i="39"/>
  <c r="F36" i="39"/>
  <c r="B36" i="39"/>
  <c r="N35" i="39"/>
  <c r="G34" i="39"/>
  <c r="B34" i="39"/>
  <c r="J32" i="39"/>
  <c r="H32" i="39"/>
  <c r="D32" i="39"/>
  <c r="N29" i="39"/>
  <c r="B29" i="39"/>
  <c r="J28" i="39"/>
  <c r="O23" i="39"/>
  <c r="G23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O28" i="39"/>
  <c r="F26" i="39"/>
  <c r="F24" i="39"/>
  <c r="J22" i="39"/>
  <c r="N19" i="39"/>
  <c r="F19" i="39"/>
  <c r="O18" i="39"/>
  <c r="O17" i="39"/>
  <c r="J17" i="39"/>
  <c r="B17" i="39"/>
  <c r="N16" i="39"/>
  <c r="K28" i="6"/>
  <c r="J28" i="6"/>
  <c r="N13" i="39"/>
  <c r="J13" i="39"/>
  <c r="D9" i="5"/>
  <c r="D10" i="5"/>
  <c r="I119" i="6"/>
  <c r="J101" i="6"/>
  <c r="J81" i="6"/>
  <c r="J61" i="6"/>
  <c r="I21" i="6"/>
  <c r="O9" i="39"/>
  <c r="O41" i="39" s="1"/>
  <c r="D8" i="5"/>
  <c r="D24" i="5"/>
  <c r="D20" i="5"/>
  <c r="D21" i="5"/>
  <c r="D22" i="5"/>
  <c r="D23" i="5"/>
  <c r="D11" i="5"/>
  <c r="D44" i="5" s="1"/>
  <c r="D12" i="5"/>
  <c r="D13" i="5"/>
  <c r="D14" i="5"/>
  <c r="D15" i="5"/>
  <c r="D16" i="5"/>
  <c r="D17" i="5"/>
  <c r="D18" i="5"/>
  <c r="D19" i="5"/>
  <c r="H22" i="39"/>
  <c r="O111" i="2"/>
  <c r="P111" i="41"/>
  <c r="O111" i="41"/>
  <c r="N111" i="41"/>
  <c r="M111" i="41"/>
  <c r="L111" i="41"/>
  <c r="K111" i="41"/>
  <c r="F111" i="41"/>
  <c r="E111" i="41"/>
  <c r="D111" i="41"/>
  <c r="C111" i="41"/>
  <c r="B111" i="41"/>
  <c r="Q111" i="40"/>
  <c r="P111" i="40"/>
  <c r="O111" i="40"/>
  <c r="N111" i="40"/>
  <c r="M111" i="40"/>
  <c r="K111" i="40"/>
  <c r="F111" i="40"/>
  <c r="E111" i="40"/>
  <c r="C111" i="40"/>
  <c r="B111" i="40"/>
  <c r="P111" i="33"/>
  <c r="O111" i="33"/>
  <c r="N111" i="33"/>
  <c r="M111" i="33"/>
  <c r="L111" i="33"/>
  <c r="I111" i="33"/>
  <c r="F111" i="33"/>
  <c r="D111" i="33"/>
  <c r="C111" i="33"/>
  <c r="B111" i="33"/>
  <c r="Q111" i="32"/>
  <c r="O111" i="32"/>
  <c r="M111" i="32"/>
  <c r="L111" i="32"/>
  <c r="K111" i="32"/>
  <c r="F111" i="32"/>
  <c r="D111" i="32"/>
  <c r="O111" i="31"/>
  <c r="N111" i="31"/>
  <c r="L111" i="31"/>
  <c r="F111" i="31"/>
  <c r="E111" i="31"/>
  <c r="D111" i="31"/>
  <c r="C111" i="31"/>
  <c r="B111" i="31"/>
  <c r="P111" i="30"/>
  <c r="O111" i="30"/>
  <c r="N111" i="30"/>
  <c r="M111" i="30"/>
  <c r="L111" i="30"/>
  <c r="E111" i="30"/>
  <c r="D111" i="30"/>
  <c r="B111" i="30"/>
  <c r="P111" i="29"/>
  <c r="N111" i="29"/>
  <c r="M111" i="29"/>
  <c r="L111" i="29"/>
  <c r="K111" i="29"/>
  <c r="E111" i="29"/>
  <c r="D111" i="29"/>
  <c r="C111" i="29"/>
  <c r="B111" i="29"/>
  <c r="P111" i="27"/>
  <c r="N111" i="27"/>
  <c r="M111" i="27"/>
  <c r="L111" i="27"/>
  <c r="E111" i="27"/>
  <c r="B111" i="27"/>
  <c r="N111" i="26"/>
  <c r="L111" i="26"/>
  <c r="K111" i="26"/>
  <c r="D111" i="26"/>
  <c r="P111" i="24"/>
  <c r="O111" i="24"/>
  <c r="N111" i="24"/>
  <c r="M111" i="24"/>
  <c r="L111" i="24"/>
  <c r="K111" i="24"/>
  <c r="Q111" i="24"/>
  <c r="F111" i="24"/>
  <c r="E111" i="24"/>
  <c r="D111" i="24"/>
  <c r="C111" i="24"/>
  <c r="B111" i="24"/>
  <c r="P111" i="23"/>
  <c r="N111" i="23"/>
  <c r="M111" i="23"/>
  <c r="L111" i="23"/>
  <c r="K111" i="23"/>
  <c r="H111" i="23"/>
  <c r="E111" i="23"/>
  <c r="D111" i="23"/>
  <c r="C111" i="23"/>
  <c r="B111" i="23"/>
  <c r="P111" i="22"/>
  <c r="N111" i="22"/>
  <c r="M111" i="22"/>
  <c r="K111" i="22"/>
  <c r="E111" i="22"/>
  <c r="D111" i="22"/>
  <c r="C111" i="22"/>
  <c r="B111" i="22"/>
  <c r="Q111" i="21"/>
  <c r="N111" i="21"/>
  <c r="M111" i="21"/>
  <c r="L111" i="21"/>
  <c r="K111" i="21"/>
  <c r="G111" i="21"/>
  <c r="E111" i="21"/>
  <c r="C111" i="21"/>
  <c r="B111" i="21"/>
  <c r="O111" i="20"/>
  <c r="Q112" i="20"/>
  <c r="M111" i="20"/>
  <c r="L111" i="20"/>
  <c r="K111" i="20"/>
  <c r="G111" i="20"/>
  <c r="F111" i="20"/>
  <c r="E111" i="20"/>
  <c r="D111" i="20"/>
  <c r="B111" i="20"/>
  <c r="P111" i="19"/>
  <c r="O111" i="19"/>
  <c r="N111" i="19"/>
  <c r="L111" i="19"/>
  <c r="H111" i="19"/>
  <c r="G111" i="19"/>
  <c r="F111" i="19"/>
  <c r="D111" i="19"/>
  <c r="B111" i="19"/>
  <c r="Q111" i="18"/>
  <c r="P111" i="18"/>
  <c r="O111" i="18"/>
  <c r="L111" i="18"/>
  <c r="I111" i="18"/>
  <c r="H111" i="18"/>
  <c r="G111" i="18"/>
  <c r="E111" i="18"/>
  <c r="D111" i="18"/>
  <c r="O111" i="17"/>
  <c r="G111" i="17"/>
  <c r="B111" i="17"/>
  <c r="O111" i="16"/>
  <c r="N111" i="16"/>
  <c r="L111" i="16"/>
  <c r="G111" i="16"/>
  <c r="F111" i="16"/>
  <c r="E111" i="16"/>
  <c r="D111" i="16"/>
  <c r="P111" i="15"/>
  <c r="O111" i="15"/>
  <c r="N111" i="15"/>
  <c r="M111" i="15"/>
  <c r="K111" i="15"/>
  <c r="J111" i="15"/>
  <c r="F111" i="15"/>
  <c r="E111" i="15"/>
  <c r="D111" i="15"/>
  <c r="C111" i="15"/>
  <c r="B111" i="15"/>
  <c r="P111" i="14"/>
  <c r="N111" i="14"/>
  <c r="M111" i="14"/>
  <c r="L111" i="14"/>
  <c r="K111" i="14"/>
  <c r="E111" i="14"/>
  <c r="Q111" i="13"/>
  <c r="N111" i="13"/>
  <c r="L111" i="13"/>
  <c r="K111" i="13"/>
  <c r="G111" i="13"/>
  <c r="F111" i="13"/>
  <c r="E111" i="13"/>
  <c r="C111" i="13"/>
  <c r="Q111" i="12"/>
  <c r="P111" i="12"/>
  <c r="N111" i="12"/>
  <c r="L111" i="12"/>
  <c r="E111" i="12"/>
  <c r="D111" i="12"/>
  <c r="C111" i="12"/>
  <c r="B111" i="12"/>
  <c r="O111" i="11"/>
  <c r="N111" i="11"/>
  <c r="M111" i="11"/>
  <c r="L111" i="11"/>
  <c r="K111" i="11"/>
  <c r="E111" i="11"/>
  <c r="Q111" i="10"/>
  <c r="P111" i="10"/>
  <c r="N111" i="10"/>
  <c r="K111" i="10"/>
  <c r="G111" i="10"/>
  <c r="F111" i="10"/>
  <c r="C111" i="10"/>
  <c r="B111" i="10"/>
  <c r="P111" i="9"/>
  <c r="N111" i="9"/>
  <c r="M111" i="9"/>
  <c r="K111" i="9"/>
  <c r="E111" i="9"/>
  <c r="C111" i="9"/>
  <c r="E111" i="8"/>
  <c r="D111" i="8"/>
  <c r="C111" i="8"/>
  <c r="Q111" i="3"/>
  <c r="P111" i="3"/>
  <c r="O111" i="3"/>
  <c r="H111" i="3"/>
  <c r="G111" i="3"/>
  <c r="C112" i="30"/>
  <c r="C112" i="17"/>
  <c r="D112" i="3"/>
  <c r="M111" i="2"/>
  <c r="K112" i="2"/>
  <c r="Q111" i="2"/>
  <c r="J112" i="2"/>
  <c r="D111" i="2"/>
  <c r="L112" i="10"/>
  <c r="M112" i="10"/>
  <c r="E111" i="10"/>
  <c r="L111" i="9"/>
  <c r="G111" i="9"/>
  <c r="E112" i="2"/>
  <c r="C112" i="2"/>
  <c r="N111" i="2"/>
  <c r="B111" i="3"/>
  <c r="L111" i="2"/>
  <c r="I111" i="3"/>
  <c r="F112" i="3"/>
  <c r="M111" i="3"/>
  <c r="J111" i="10"/>
  <c r="I111" i="10"/>
  <c r="I112" i="9"/>
  <c r="H112" i="9"/>
  <c r="B111" i="9"/>
  <c r="J112" i="8"/>
  <c r="P111" i="8"/>
  <c r="L111" i="8"/>
  <c r="O111" i="8"/>
  <c r="I112" i="8"/>
  <c r="H112" i="8"/>
  <c r="F112" i="8"/>
  <c r="N111" i="8"/>
  <c r="J111" i="13"/>
  <c r="I112" i="13"/>
  <c r="P112" i="13"/>
  <c r="F112" i="12"/>
  <c r="J112" i="12"/>
  <c r="H112" i="12"/>
  <c r="I112" i="12"/>
  <c r="G111" i="12"/>
  <c r="O112" i="12"/>
  <c r="J112" i="11"/>
  <c r="Q112" i="11"/>
  <c r="P111" i="11"/>
  <c r="H112" i="11"/>
  <c r="G111" i="11"/>
  <c r="I112" i="11"/>
  <c r="C111" i="16"/>
  <c r="I112" i="16"/>
  <c r="P111" i="16"/>
  <c r="Q112" i="16"/>
  <c r="I111" i="15"/>
  <c r="Q112" i="15"/>
  <c r="Q112" i="14"/>
  <c r="I112" i="14"/>
  <c r="H112" i="14"/>
  <c r="J112" i="14"/>
  <c r="Q111" i="17"/>
  <c r="J111" i="17"/>
  <c r="I112" i="17"/>
  <c r="H111" i="17"/>
  <c r="N112" i="17"/>
  <c r="L112" i="17"/>
  <c r="M111" i="17"/>
  <c r="K112" i="17"/>
  <c r="F112" i="17"/>
  <c r="D112" i="17"/>
  <c r="I112" i="20"/>
  <c r="J112" i="20"/>
  <c r="Q111" i="19"/>
  <c r="J112" i="19"/>
  <c r="I112" i="19"/>
  <c r="E112" i="19"/>
  <c r="M112" i="19"/>
  <c r="C112" i="19"/>
  <c r="P112" i="25"/>
  <c r="O112" i="25"/>
  <c r="N112" i="25"/>
  <c r="L111" i="25"/>
  <c r="J111" i="25"/>
  <c r="H112" i="25"/>
  <c r="G112" i="25"/>
  <c r="F111" i="25"/>
  <c r="Q112" i="25"/>
  <c r="D111" i="25"/>
  <c r="K112" i="25"/>
  <c r="C112" i="25"/>
  <c r="I112" i="25"/>
  <c r="J112" i="24"/>
  <c r="I111" i="24"/>
  <c r="H112" i="24"/>
  <c r="J111" i="23"/>
  <c r="O111" i="23"/>
  <c r="I112" i="23"/>
  <c r="G112" i="23"/>
  <c r="J111" i="22"/>
  <c r="H111" i="22"/>
  <c r="Q112" i="22"/>
  <c r="O112" i="22"/>
  <c r="J112" i="21"/>
  <c r="H112" i="21"/>
  <c r="P112" i="21"/>
  <c r="D112" i="27"/>
  <c r="C112" i="27"/>
  <c r="H111" i="27"/>
  <c r="Q111" i="27"/>
  <c r="Q112" i="26"/>
  <c r="J112" i="26"/>
  <c r="I111" i="26"/>
  <c r="G111" i="26"/>
  <c r="F111" i="26"/>
  <c r="E111" i="26"/>
  <c r="C111" i="26"/>
  <c r="H112" i="26"/>
  <c r="P112" i="26"/>
  <c r="O111" i="27"/>
  <c r="K111" i="27"/>
  <c r="J111" i="27"/>
  <c r="B112" i="32"/>
  <c r="J112" i="32"/>
  <c r="I112" i="31"/>
  <c r="G111" i="31"/>
  <c r="P111" i="31"/>
  <c r="J111" i="30"/>
  <c r="J111" i="29"/>
  <c r="I111" i="29"/>
  <c r="O111" i="29"/>
  <c r="J112" i="40"/>
  <c r="H112" i="40"/>
  <c r="D111" i="40"/>
  <c r="G111" i="33"/>
  <c r="J111" i="33"/>
  <c r="H111" i="33"/>
  <c r="J111" i="41"/>
  <c r="H111" i="41"/>
  <c r="I112" i="41"/>
  <c r="Q112" i="41"/>
  <c r="P111" i="2"/>
  <c r="F111" i="2"/>
  <c r="J112" i="3"/>
  <c r="L112" i="3"/>
  <c r="C112" i="3"/>
  <c r="K112" i="8"/>
  <c r="Q112" i="8"/>
  <c r="F112" i="9"/>
  <c r="J111" i="9"/>
  <c r="Q112" i="9"/>
  <c r="D112" i="9"/>
  <c r="O111" i="9"/>
  <c r="D111" i="10"/>
  <c r="O112" i="10"/>
  <c r="H111" i="10"/>
  <c r="F111" i="11"/>
  <c r="M112" i="12"/>
  <c r="K112" i="12"/>
  <c r="D112" i="13"/>
  <c r="O112" i="13"/>
  <c r="B112" i="13"/>
  <c r="M112" i="13"/>
  <c r="H111" i="13"/>
  <c r="F112" i="14"/>
  <c r="D111" i="14"/>
  <c r="O112" i="14"/>
  <c r="L112" i="15"/>
  <c r="G112" i="15"/>
  <c r="H112" i="15"/>
  <c r="H112" i="16"/>
  <c r="B111" i="16"/>
  <c r="M111" i="16"/>
  <c r="J111" i="16"/>
  <c r="K111" i="16"/>
  <c r="M112" i="18"/>
  <c r="C112" i="18"/>
  <c r="K111" i="18"/>
  <c r="K112" i="19"/>
  <c r="P112" i="20"/>
  <c r="C111" i="20"/>
  <c r="H111" i="20"/>
  <c r="N112" i="20"/>
  <c r="F111" i="21"/>
  <c r="D112" i="21"/>
  <c r="O111" i="21"/>
  <c r="I112" i="21"/>
  <c r="I111" i="22"/>
  <c r="L112" i="22"/>
  <c r="F112" i="22"/>
  <c r="G112" i="22"/>
  <c r="F112" i="23"/>
  <c r="G111" i="24"/>
  <c r="M111" i="25"/>
  <c r="E112" i="25"/>
  <c r="O112" i="26"/>
  <c r="M112" i="26"/>
  <c r="F111" i="27"/>
  <c r="G112" i="27"/>
  <c r="F112" i="29"/>
  <c r="Q112" i="29"/>
  <c r="K111" i="30"/>
  <c r="F111" i="30"/>
  <c r="Q112" i="30"/>
  <c r="M112" i="31"/>
  <c r="H111" i="31"/>
  <c r="K112" i="31"/>
  <c r="J112" i="31"/>
  <c r="E112" i="32"/>
  <c r="P111" i="32"/>
  <c r="C112" i="32"/>
  <c r="N112" i="32"/>
  <c r="K112" i="33"/>
  <c r="E111" i="33"/>
  <c r="Q112" i="33"/>
  <c r="L111" i="40"/>
  <c r="D111" i="11"/>
  <c r="C111" i="11"/>
  <c r="B112" i="11"/>
  <c r="G112" i="8"/>
  <c r="B112" i="8"/>
  <c r="M111" i="8"/>
  <c r="E112" i="3"/>
  <c r="N111" i="3"/>
  <c r="I112" i="2"/>
  <c r="H112" i="2"/>
  <c r="G112" i="2"/>
  <c r="B112" i="2"/>
  <c r="F112" i="18"/>
  <c r="N112" i="18"/>
  <c r="B112" i="18"/>
  <c r="J112" i="18"/>
  <c r="E111" i="17"/>
  <c r="P112" i="17"/>
  <c r="G112" i="14"/>
  <c r="C112" i="14"/>
  <c r="B112" i="14"/>
  <c r="G111" i="28"/>
  <c r="H111" i="28"/>
  <c r="Q112" i="28"/>
  <c r="B112" i="28"/>
  <c r="D112" i="28"/>
  <c r="B112" i="26"/>
  <c r="B112" i="25"/>
  <c r="Q111" i="23"/>
  <c r="I111" i="32"/>
  <c r="H111" i="32"/>
  <c r="G112" i="32"/>
  <c r="I111" i="30"/>
  <c r="H111" i="30"/>
  <c r="G111" i="30"/>
  <c r="H111" i="29"/>
  <c r="G112" i="29"/>
  <c r="G112" i="41"/>
  <c r="I111" i="40"/>
  <c r="G111" i="40"/>
  <c r="E43" i="39" l="1"/>
  <c r="E44" i="39"/>
  <c r="E42" i="39"/>
  <c r="E41" i="39"/>
  <c r="E40" i="39"/>
  <c r="G42" i="39"/>
  <c r="G40" i="39"/>
  <c r="G43" i="39"/>
  <c r="G44" i="39"/>
  <c r="G41" i="39"/>
  <c r="D42" i="39"/>
  <c r="B42" i="39"/>
  <c r="B40" i="39"/>
  <c r="B41" i="39"/>
  <c r="B44" i="39"/>
  <c r="B43" i="39"/>
  <c r="Q42" i="39"/>
  <c r="Q40" i="39"/>
  <c r="Q44" i="39"/>
  <c r="Q41" i="39"/>
  <c r="Q43" i="39"/>
  <c r="C42" i="39"/>
  <c r="C43" i="39"/>
  <c r="C40" i="39"/>
  <c r="C41" i="39"/>
  <c r="C44" i="39"/>
  <c r="M43" i="39"/>
  <c r="M42" i="39"/>
  <c r="M40" i="39"/>
  <c r="M44" i="39"/>
  <c r="M41" i="39"/>
  <c r="O44" i="39"/>
  <c r="O42" i="39"/>
  <c r="O40" i="39"/>
  <c r="O43" i="39"/>
  <c r="L42" i="39"/>
  <c r="L43" i="39"/>
  <c r="L41" i="39"/>
  <c r="L44" i="39"/>
  <c r="L40" i="39"/>
  <c r="K40" i="39"/>
  <c r="K44" i="39"/>
  <c r="K42" i="39"/>
  <c r="K41" i="39"/>
  <c r="K43" i="39"/>
  <c r="J40" i="39"/>
  <c r="J42" i="39"/>
  <c r="J43" i="39"/>
  <c r="J44" i="39"/>
  <c r="J41" i="39"/>
  <c r="H43" i="39"/>
  <c r="H42" i="39"/>
  <c r="H40" i="39"/>
  <c r="H41" i="39"/>
  <c r="H44" i="39"/>
  <c r="I41" i="39"/>
  <c r="I42" i="39"/>
  <c r="I43" i="39"/>
  <c r="I40" i="39"/>
  <c r="I44" i="39"/>
  <c r="P41" i="39"/>
  <c r="P40" i="39"/>
  <c r="P42" i="39"/>
  <c r="P44" i="39"/>
  <c r="P43" i="39"/>
  <c r="D43" i="39"/>
  <c r="D44" i="39"/>
  <c r="D40" i="39"/>
  <c r="D41" i="39"/>
  <c r="N41" i="39"/>
  <c r="N44" i="39"/>
  <c r="N40" i="39"/>
  <c r="N42" i="39"/>
  <c r="N43" i="39"/>
  <c r="F41" i="39"/>
  <c r="F42" i="39"/>
  <c r="F44" i="39"/>
  <c r="F40" i="39"/>
  <c r="F43" i="39"/>
  <c r="F111" i="28"/>
  <c r="P45" i="39" l="1"/>
  <c r="P46" i="39"/>
  <c r="B45" i="39"/>
  <c r="B46" i="39"/>
  <c r="M45" i="39"/>
  <c r="M46" i="39"/>
  <c r="E46" i="39"/>
  <c r="E45" i="39"/>
  <c r="O45" i="39"/>
  <c r="O46" i="39"/>
  <c r="F46" i="39"/>
  <c r="F45" i="39"/>
  <c r="I46" i="39"/>
  <c r="I45" i="39"/>
  <c r="K45" i="39"/>
  <c r="K46" i="39"/>
  <c r="C45" i="39"/>
  <c r="C46" i="39"/>
  <c r="G46" i="39"/>
  <c r="G45" i="39"/>
  <c r="H45" i="39"/>
  <c r="H46" i="39"/>
  <c r="N45" i="39"/>
  <c r="N46" i="39"/>
  <c r="L46" i="39"/>
  <c r="L45" i="39"/>
  <c r="J45" i="39"/>
  <c r="J46" i="39"/>
  <c r="D45" i="39"/>
  <c r="D46" i="39"/>
  <c r="Q46" i="39"/>
  <c r="Q45" i="39"/>
</calcChain>
</file>

<file path=xl/sharedStrings.xml><?xml version="1.0" encoding="utf-8"?>
<sst xmlns="http://schemas.openxmlformats.org/spreadsheetml/2006/main" count="5878" uniqueCount="3128">
  <si>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</si>
  <si>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</si>
  <si>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</si>
  <si>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</si>
  <si>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</si>
  <si>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</si>
  <si>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</si>
  <si>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</si>
  <si>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</si>
  <si>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</si>
  <si>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</si>
  <si>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</si>
  <si>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</si>
  <si>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</si>
  <si>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</si>
  <si>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</si>
  <si>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</si>
  <si>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</si>
  <si>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</si>
  <si>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</si>
  <si>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</si>
  <si>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</si>
  <si>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</si>
  <si>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</si>
  <si>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</si>
  <si>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</si>
  <si>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</si>
  <si>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</si>
  <si>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</si>
  <si>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</si>
  <si>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</si>
  <si>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</si>
  <si>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</si>
  <si>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</si>
  <si>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</si>
  <si>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</si>
  <si>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</si>
  <si>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</si>
  <si>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</si>
  <si>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</si>
  <si>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</si>
  <si>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</si>
  <si>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</si>
  <si>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</si>
  <si>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</si>
  <si>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</si>
  <si>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</si>
  <si>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</si>
  <si>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</si>
  <si>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</si>
  <si>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</si>
  <si>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</si>
  <si>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</si>
  <si>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</si>
  <si>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</si>
  <si>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</si>
  <si>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</si>
  <si>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</si>
  <si>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</si>
  <si>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</si>
  <si>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</si>
  <si>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</si>
  <si>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</si>
  <si>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</si>
  <si>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</si>
  <si>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</si>
  <si>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</si>
  <si>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</si>
  <si>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</si>
  <si>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</si>
  <si>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</si>
  <si>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</si>
  <si>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</si>
  <si>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</si>
  <si>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</si>
  <si>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</si>
  <si>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</si>
  <si>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</si>
  <si>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</si>
  <si>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</si>
  <si>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</si>
  <si>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</si>
  <si>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</si>
  <si>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</si>
  <si>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</si>
  <si>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</si>
  <si>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</si>
  <si>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</si>
  <si>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</si>
  <si>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</si>
  <si>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</si>
  <si>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</si>
  <si>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</si>
  <si>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</si>
  <si>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</si>
  <si>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</si>
  <si>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</si>
  <si>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</si>
  <si>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</si>
  <si>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</si>
  <si>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</si>
  <si>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</si>
  <si>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</si>
  <si>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</si>
  <si>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</si>
  <si>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</si>
  <si>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</si>
  <si>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</si>
  <si>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</si>
  <si>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</si>
  <si>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</si>
  <si>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</si>
  <si>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</si>
  <si>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</si>
  <si>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</si>
  <si>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</si>
  <si>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</si>
  <si>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</si>
  <si>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</si>
  <si>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</si>
  <si>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</si>
  <si>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</si>
  <si>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</si>
  <si>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</si>
  <si>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</si>
  <si>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</si>
  <si>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</si>
  <si>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</si>
  <si>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</si>
  <si>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</si>
  <si>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</si>
  <si>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</si>
  <si>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</si>
  <si>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</si>
  <si>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</si>
  <si>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</si>
  <si>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</si>
  <si>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</si>
  <si>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</si>
  <si>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</si>
  <si>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</si>
  <si>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</si>
  <si>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</si>
  <si>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</si>
  <si>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</si>
  <si>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</si>
  <si>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</si>
  <si>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</si>
  <si>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</si>
  <si>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</si>
  <si>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</si>
  <si>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</si>
  <si>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</si>
  <si>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</si>
  <si>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</si>
  <si>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</si>
  <si>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</si>
  <si>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</si>
  <si>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</si>
  <si>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</si>
  <si>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</si>
  <si>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</si>
  <si>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</si>
  <si>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</si>
  <si>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</si>
  <si>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</si>
  <si>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</si>
  <si>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</si>
  <si>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</si>
  <si>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</si>
  <si>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</si>
  <si>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</si>
  <si>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</si>
  <si>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</si>
  <si>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</si>
  <si>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</si>
  <si>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</si>
  <si>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</si>
  <si>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</si>
  <si>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</si>
  <si>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</si>
  <si>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</si>
  <si>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</si>
  <si>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</si>
  <si>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</si>
  <si>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</si>
  <si>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</si>
  <si>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</si>
  <si>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</si>
  <si>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</si>
  <si>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</si>
  <si>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</si>
  <si>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</si>
  <si>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</si>
  <si>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</si>
  <si>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</si>
  <si>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</si>
  <si>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</si>
  <si>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</si>
  <si>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</si>
  <si>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</si>
  <si>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</si>
  <si>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</si>
  <si>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</si>
  <si>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</si>
  <si>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</si>
  <si>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</si>
  <si>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</si>
  <si>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</si>
  <si>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</si>
  <si>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</si>
  <si>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</si>
  <si>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</si>
  <si>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</si>
  <si>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</si>
  <si>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</si>
  <si>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</si>
  <si>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</si>
  <si>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</si>
  <si>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</si>
  <si>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</si>
  <si>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</si>
  <si>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</si>
  <si>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</si>
  <si>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</si>
  <si>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</si>
  <si>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</si>
  <si>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</si>
  <si>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</si>
  <si>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</si>
  <si>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</si>
  <si>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</si>
  <si>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</si>
  <si>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</si>
  <si>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</si>
  <si>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</si>
  <si>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</si>
  <si>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</si>
  <si>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</si>
  <si>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pm 10</t>
  </si>
  <si>
    <t>rahul</t>
  </si>
  <si>
    <t>RAHUL</t>
  </si>
  <si>
    <t>Calibration report Of BHATAGAON, RAIPUR</t>
  </si>
  <si>
    <t>POWER OFF REPORT OF BHATAGAON, RAIPUR</t>
  </si>
  <si>
    <t>847 ug/cm2</t>
  </si>
  <si>
    <t>835 ug/cm2</t>
  </si>
  <si>
    <t>01/04/2023 - 30/04/2023</t>
  </si>
  <si>
    <t>ppb</t>
  </si>
  <si>
    <t>01-04-2024 00:15</t>
  </si>
  <si>
    <t>01-04-2024 00:30</t>
  </si>
  <si>
    <t>01-04-2024 00:45</t>
  </si>
  <si>
    <t>01-04-2024 01:00</t>
  </si>
  <si>
    <t>01-04-2024 01:15</t>
  </si>
  <si>
    <t>01-04-2024 01:30</t>
  </si>
  <si>
    <t>01-04-2024 01:45</t>
  </si>
  <si>
    <t>01-04-2024 02:00</t>
  </si>
  <si>
    <t>01-04-2024 02:15</t>
  </si>
  <si>
    <t>01-04-2024 02:30</t>
  </si>
  <si>
    <t>01-04-2024 02:45</t>
  </si>
  <si>
    <t>01-04-2024 03:00</t>
  </si>
  <si>
    <t>01-04-2024 03:15</t>
  </si>
  <si>
    <t>01-04-2024 03:30</t>
  </si>
  <si>
    <t>01-04-2024 03:45</t>
  </si>
  <si>
    <t>01-04-2024 04:00</t>
  </si>
  <si>
    <t>01-04-2024 04:15</t>
  </si>
  <si>
    <t>01-04-2024 04:30</t>
  </si>
  <si>
    <t>01-04-2024 04:45</t>
  </si>
  <si>
    <t>01-04-2024 05:00</t>
  </si>
  <si>
    <t>01-04-2024 05:15</t>
  </si>
  <si>
    <t>01-04-2024 05:30</t>
  </si>
  <si>
    <t>01-04-2024 05:45</t>
  </si>
  <si>
    <t>01-04-2024 06:00</t>
  </si>
  <si>
    <t>01-04-2024 06:15</t>
  </si>
  <si>
    <t>01-04-2024 06:30</t>
  </si>
  <si>
    <t>01-04-2024 06:45</t>
  </si>
  <si>
    <t>01-04-2024 07:00</t>
  </si>
  <si>
    <t>01-04-2024 07:15</t>
  </si>
  <si>
    <t>01-04-2024 07:30</t>
  </si>
  <si>
    <t>01-04-2024 07:45</t>
  </si>
  <si>
    <t>01-04-2024 08:00</t>
  </si>
  <si>
    <t>01-04-2024 08:15</t>
  </si>
  <si>
    <t>01-04-2024 08:30</t>
  </si>
  <si>
    <t>01-04-2024 08:45</t>
  </si>
  <si>
    <t>01-04-2024 09:00</t>
  </si>
  <si>
    <t>01-04-2024 09:15</t>
  </si>
  <si>
    <t>01-04-2024 09:30</t>
  </si>
  <si>
    <t>01-04-2024 09:45</t>
  </si>
  <si>
    <t>01-04-2024 10:00</t>
  </si>
  <si>
    <t>01-04-2024 10:15</t>
  </si>
  <si>
    <t>01-04-2024 10:30</t>
  </si>
  <si>
    <t>01-04-2024 10:45</t>
  </si>
  <si>
    <t>01-04-2024 11:00</t>
  </si>
  <si>
    <t>01-04-2024 11:15</t>
  </si>
  <si>
    <t>01-04-2024 11:30</t>
  </si>
  <si>
    <t>01-04-2024 11:45</t>
  </si>
  <si>
    <t>01-04-2024 12:00</t>
  </si>
  <si>
    <t>01-04-2024 12:15</t>
  </si>
  <si>
    <t>01-04-2024 12:30</t>
  </si>
  <si>
    <t>01-04-2024 12:45</t>
  </si>
  <si>
    <t>01-04-2024 13:00</t>
  </si>
  <si>
    <t>01-04-2024 13:15</t>
  </si>
  <si>
    <t>01-04-2024 13:30</t>
  </si>
  <si>
    <t>01-04-2024 13:45</t>
  </si>
  <si>
    <t>01-04-2024 14:00</t>
  </si>
  <si>
    <t>01-04-2024 14:15</t>
  </si>
  <si>
    <t>01-04-2024 14:30</t>
  </si>
  <si>
    <t>01-04-2024 14:45</t>
  </si>
  <si>
    <t>01-04-2024 15:00</t>
  </si>
  <si>
    <t>01-04-2024 15:15</t>
  </si>
  <si>
    <t>01-04-2024 15:30</t>
  </si>
  <si>
    <t>01-04-2024 15:45</t>
  </si>
  <si>
    <t>01-04-2024 16:00</t>
  </si>
  <si>
    <t>01-04-2024 16:15</t>
  </si>
  <si>
    <t>01-04-2024 16:30</t>
  </si>
  <si>
    <t>01-04-2024 16:45</t>
  </si>
  <si>
    <t>01-04-2024 17:00</t>
  </si>
  <si>
    <t>01-04-2024 17:15</t>
  </si>
  <si>
    <t>01-04-2024 17:30</t>
  </si>
  <si>
    <t>01-04-2024 17:45</t>
  </si>
  <si>
    <t>01-04-2024 18:00</t>
  </si>
  <si>
    <t>01-04-2024 18:15</t>
  </si>
  <si>
    <t>01-04-2024 18:30</t>
  </si>
  <si>
    <t>01-04-2024 18:45</t>
  </si>
  <si>
    <t>01-04-2024 19:00</t>
  </si>
  <si>
    <t>01-04-2024 19:15</t>
  </si>
  <si>
    <t>01-04-2024 19:30</t>
  </si>
  <si>
    <t>01-04-2024 19:45</t>
  </si>
  <si>
    <t>01-04-2024 20:00</t>
  </si>
  <si>
    <t>01-04-2024 20:15</t>
  </si>
  <si>
    <t>01-04-2024 20:30</t>
  </si>
  <si>
    <t>01-04-2024 20:45</t>
  </si>
  <si>
    <t>01-04-2024 21:00</t>
  </si>
  <si>
    <t>01-04-2024 21:15</t>
  </si>
  <si>
    <t>01-04-2024 21:30</t>
  </si>
  <si>
    <t>01-04-2024 21:45</t>
  </si>
  <si>
    <t>01-04-2024 22:00</t>
  </si>
  <si>
    <t>01-04-2024 22:15</t>
  </si>
  <si>
    <t>01-04-2024 22:30</t>
  </si>
  <si>
    <t>01-04-2024 22:45</t>
  </si>
  <si>
    <t>01-04-2024 23:00</t>
  </si>
  <si>
    <t>01-04-2024 23:15</t>
  </si>
  <si>
    <t>01-04-2024 23:30</t>
  </si>
  <si>
    <t>01-04-2024 23:45</t>
  </si>
  <si>
    <t>01-04-2024 24:00</t>
  </si>
  <si>
    <t>02-04-2024 00:15</t>
  </si>
  <si>
    <t>02-04-2024 00:30</t>
  </si>
  <si>
    <t>02-04-2024 00:45</t>
  </si>
  <si>
    <t>02-04-2024 01:00</t>
  </si>
  <si>
    <t>02-04-2024 01:15</t>
  </si>
  <si>
    <t>02-04-2024 01:30</t>
  </si>
  <si>
    <t>02-04-2024 01:45</t>
  </si>
  <si>
    <t>02-04-2024 02:00</t>
  </si>
  <si>
    <t>02-04-2024 02:15</t>
  </si>
  <si>
    <t>02-04-2024 02:30</t>
  </si>
  <si>
    <t>02-04-2024 02:45</t>
  </si>
  <si>
    <t>02-04-2024 03:00</t>
  </si>
  <si>
    <t>02-04-2024 03:15</t>
  </si>
  <si>
    <t>02-04-2024 03:30</t>
  </si>
  <si>
    <t>02-04-2024 03:45</t>
  </si>
  <si>
    <t>02-04-2024 04:00</t>
  </si>
  <si>
    <t>02-04-2024 04:15</t>
  </si>
  <si>
    <t>02-04-2024 04:30</t>
  </si>
  <si>
    <t>02-04-2024 04:45</t>
  </si>
  <si>
    <t>02-04-2024 05:00</t>
  </si>
  <si>
    <t>02-04-2024 05:15</t>
  </si>
  <si>
    <t>02-04-2024 05:30</t>
  </si>
  <si>
    <t>02-04-2024 05:45</t>
  </si>
  <si>
    <t>02-04-2024 06:00</t>
  </si>
  <si>
    <t>02-04-2024 06:15</t>
  </si>
  <si>
    <t>02-04-2024 06:30</t>
  </si>
  <si>
    <t>02-04-2024 06:45</t>
  </si>
  <si>
    <t>02-04-2024 07:00</t>
  </si>
  <si>
    <t>02-04-2024 07:15</t>
  </si>
  <si>
    <t>02-04-2024 07:30</t>
  </si>
  <si>
    <t>02-04-2024 07:45</t>
  </si>
  <si>
    <t>02-04-2024 08:00</t>
  </si>
  <si>
    <t>02-04-2024 08:15</t>
  </si>
  <si>
    <t>02-04-2024 08:30</t>
  </si>
  <si>
    <t>02-04-2024 08:45</t>
  </si>
  <si>
    <t>02-04-2024 09:00</t>
  </si>
  <si>
    <t>02-04-2024 09:15</t>
  </si>
  <si>
    <t>02-04-2024 09:30</t>
  </si>
  <si>
    <t>02-04-2024 09:45</t>
  </si>
  <si>
    <t>02-04-2024 10:00</t>
  </si>
  <si>
    <t>02-04-2024 10:15</t>
  </si>
  <si>
    <t>02-04-2024 10:30</t>
  </si>
  <si>
    <t>02-04-2024 10:45</t>
  </si>
  <si>
    <t>02-04-2024 11:00</t>
  </si>
  <si>
    <t>02-04-2024 11:15</t>
  </si>
  <si>
    <t>02-04-2024 11:30</t>
  </si>
  <si>
    <t>02-04-2024 11:45</t>
  </si>
  <si>
    <t>02-04-2024 12:00</t>
  </si>
  <si>
    <t>02-04-2024 12:15</t>
  </si>
  <si>
    <t>02-04-2024 12:30</t>
  </si>
  <si>
    <t>02-04-2024 12:45</t>
  </si>
  <si>
    <t>02-04-2024 13:00</t>
  </si>
  <si>
    <t>02-04-2024 13:15</t>
  </si>
  <si>
    <t>02-04-2024 13:30</t>
  </si>
  <si>
    <t>02-04-2024 13:45</t>
  </si>
  <si>
    <t>02-04-2024 14:00</t>
  </si>
  <si>
    <t>02-04-2024 14:15</t>
  </si>
  <si>
    <t>02-04-2024 14:30</t>
  </si>
  <si>
    <t>02-04-2024 14:45</t>
  </si>
  <si>
    <t>02-04-2024 15:00</t>
  </si>
  <si>
    <t>02-04-2024 15:15</t>
  </si>
  <si>
    <t>02-04-2024 15:30</t>
  </si>
  <si>
    <t>02-04-2024 15:45</t>
  </si>
  <si>
    <t>02-04-2024 16:00</t>
  </si>
  <si>
    <t>02-04-2024 16:15</t>
  </si>
  <si>
    <t>02-04-2024 16:30</t>
  </si>
  <si>
    <t>02-04-2024 16:45</t>
  </si>
  <si>
    <t>02-04-2024 17:00</t>
  </si>
  <si>
    <t>02-04-2024 17:15</t>
  </si>
  <si>
    <t>02-04-2024 17:30</t>
  </si>
  <si>
    <t>02-04-2024 17:45</t>
  </si>
  <si>
    <t>02-04-2024 18:00</t>
  </si>
  <si>
    <t>02-04-2024 18:15</t>
  </si>
  <si>
    <t>02-04-2024 18:30</t>
  </si>
  <si>
    <t>02-04-2024 18:45</t>
  </si>
  <si>
    <t>02-04-2024 19:00</t>
  </si>
  <si>
    <t>02-04-2024 19:15</t>
  </si>
  <si>
    <t>02-04-2024 19:30</t>
  </si>
  <si>
    <t>02-04-2024 19:45</t>
  </si>
  <si>
    <t>02-04-2024 20:00</t>
  </si>
  <si>
    <t>02-04-2024 20:15</t>
  </si>
  <si>
    <t>02-04-2024 20:30</t>
  </si>
  <si>
    <t>02-04-2024 20:45</t>
  </si>
  <si>
    <t>02-04-2024 21:00</t>
  </si>
  <si>
    <t>02-04-2024 21:15</t>
  </si>
  <si>
    <t>02-04-2024 21:30</t>
  </si>
  <si>
    <t>02-04-2024 21:45</t>
  </si>
  <si>
    <t>02-04-2024 22:00</t>
  </si>
  <si>
    <t>02-04-2024 22:15</t>
  </si>
  <si>
    <t>02-04-2024 22:30</t>
  </si>
  <si>
    <t>02-04-2024 22:45</t>
  </si>
  <si>
    <t>02-04-2024 23:00</t>
  </si>
  <si>
    <t>02-04-2024 23:15</t>
  </si>
  <si>
    <t>02-04-2024 23:30</t>
  </si>
  <si>
    <t>02-04-2024 23:45</t>
  </si>
  <si>
    <t>02-04-2024 24:00</t>
  </si>
  <si>
    <t>03-04-2024 00:15</t>
  </si>
  <si>
    <t>03-04-2024 00:30</t>
  </si>
  <si>
    <t>03-04-2024 00:45</t>
  </si>
  <si>
    <t>03-04-2024 01:00</t>
  </si>
  <si>
    <t>03-04-2024 01:15</t>
  </si>
  <si>
    <t>03-04-2024 01:30</t>
  </si>
  <si>
    <t>03-04-2024 01:45</t>
  </si>
  <si>
    <t>03-04-2024 02:00</t>
  </si>
  <si>
    <t>03-04-2024 02:15</t>
  </si>
  <si>
    <t>03-04-2024 02:30</t>
  </si>
  <si>
    <t>03-04-2024 02:45</t>
  </si>
  <si>
    <t>03-04-2024 03:00</t>
  </si>
  <si>
    <t>03-04-2024 03:15</t>
  </si>
  <si>
    <t>03-04-2024 03:30</t>
  </si>
  <si>
    <t>03-04-2024 03:45</t>
  </si>
  <si>
    <t>03-04-2024 04:00</t>
  </si>
  <si>
    <t>03-04-2024 04:15</t>
  </si>
  <si>
    <t>03-04-2024 04:30</t>
  </si>
  <si>
    <t>03-04-2024 04:45</t>
  </si>
  <si>
    <t>03-04-2024 05:00</t>
  </si>
  <si>
    <t>03-04-2024 05:15</t>
  </si>
  <si>
    <t>03-04-2024 05:30</t>
  </si>
  <si>
    <t>03-04-2024 05:45</t>
  </si>
  <si>
    <t>03-04-2024 06:00</t>
  </si>
  <si>
    <t>03-04-2024 06:15</t>
  </si>
  <si>
    <t>03-04-2024 06:30</t>
  </si>
  <si>
    <t>03-04-2024 06:45</t>
  </si>
  <si>
    <t>03-04-2024 07:00</t>
  </si>
  <si>
    <t>03-04-2024 07:15</t>
  </si>
  <si>
    <t>03-04-2024 07:30</t>
  </si>
  <si>
    <t>03-04-2024 07:45</t>
  </si>
  <si>
    <t>03-04-2024 08:00</t>
  </si>
  <si>
    <t>03-04-2024 08:15</t>
  </si>
  <si>
    <t>03-04-2024 08:30</t>
  </si>
  <si>
    <t>03-04-2024 08:45</t>
  </si>
  <si>
    <t>03-04-2024 09:00</t>
  </si>
  <si>
    <t>03-04-2024 09:15</t>
  </si>
  <si>
    <t>03-04-2024 09:30</t>
  </si>
  <si>
    <t>03-04-2024 09:45</t>
  </si>
  <si>
    <t>03-04-2024 10:00</t>
  </si>
  <si>
    <t>03-04-2024 10:15</t>
  </si>
  <si>
    <t>03-04-2024 10:30</t>
  </si>
  <si>
    <t>03-04-2024 10:45</t>
  </si>
  <si>
    <t>03-04-2024 11:00</t>
  </si>
  <si>
    <t>03-04-2024 11:15</t>
  </si>
  <si>
    <t>03-04-2024 11:30</t>
  </si>
  <si>
    <t>03-04-2024 11:45</t>
  </si>
  <si>
    <t>03-04-2024 12:00</t>
  </si>
  <si>
    <t>03-04-2024 12:15</t>
  </si>
  <si>
    <t>03-04-2024 12:30</t>
  </si>
  <si>
    <t>03-04-2024 12:45</t>
  </si>
  <si>
    <t>03-04-2024 13:00</t>
  </si>
  <si>
    <t>03-04-2024 13:15</t>
  </si>
  <si>
    <t>03-04-2024 13:30</t>
  </si>
  <si>
    <t>03-04-2024 13:45</t>
  </si>
  <si>
    <t>03-04-2024 14:00</t>
  </si>
  <si>
    <t>03-04-2024 14:15</t>
  </si>
  <si>
    <t>03-04-2024 14:30</t>
  </si>
  <si>
    <t>03-04-2024 14:45</t>
  </si>
  <si>
    <t>03-04-2024 15:00</t>
  </si>
  <si>
    <t>03-04-2024 15:15</t>
  </si>
  <si>
    <t>03-04-2024 15:30</t>
  </si>
  <si>
    <t>03-04-2024 15:45</t>
  </si>
  <si>
    <t>03-04-2024 16:00</t>
  </si>
  <si>
    <t>03-04-2024 16:15</t>
  </si>
  <si>
    <t>03-04-2024 16:30</t>
  </si>
  <si>
    <t>03-04-2024 16:45</t>
  </si>
  <si>
    <t>03-04-2024 17:00</t>
  </si>
  <si>
    <t>03-04-2024 17:15</t>
  </si>
  <si>
    <t>03-04-2024 17:30</t>
  </si>
  <si>
    <t>03-04-2024 17:45</t>
  </si>
  <si>
    <t>03-04-2024 18:00</t>
  </si>
  <si>
    <t>03-04-2024 18:15</t>
  </si>
  <si>
    <t>03-04-2024 18:30</t>
  </si>
  <si>
    <t>03-04-2024 18:45</t>
  </si>
  <si>
    <t>03-04-2024 19:00</t>
  </si>
  <si>
    <t>03-04-2024 19:15</t>
  </si>
  <si>
    <t>03-04-2024 19:30</t>
  </si>
  <si>
    <t>03-04-2024 19:45</t>
  </si>
  <si>
    <t>03-04-2024 20:00</t>
  </si>
  <si>
    <t>03-04-2024 20:15</t>
  </si>
  <si>
    <t>03-04-2024 20:30</t>
  </si>
  <si>
    <t>03-04-2024 20:45</t>
  </si>
  <si>
    <t>03-04-2024 21:00</t>
  </si>
  <si>
    <t>03-04-2024 21:15</t>
  </si>
  <si>
    <t>03-04-2024 21:30</t>
  </si>
  <si>
    <t>03-04-2024 21:45</t>
  </si>
  <si>
    <t>03-04-2024 22:00</t>
  </si>
  <si>
    <t>03-04-2024 22:15</t>
  </si>
  <si>
    <t>03-04-2024 22:30</t>
  </si>
  <si>
    <t>03-04-2024 22:45</t>
  </si>
  <si>
    <t>03-04-2024 23:00</t>
  </si>
  <si>
    <t>03-04-2024 23:15</t>
  </si>
  <si>
    <t>03-04-2024 23:30</t>
  </si>
  <si>
    <t>03-04-2024 23:45</t>
  </si>
  <si>
    <t>03-04-2024 24:00</t>
  </si>
  <si>
    <t>04-04-2024 00:15</t>
  </si>
  <si>
    <t>04-04-2024 00:30</t>
  </si>
  <si>
    <t>04-04-2024 00:45</t>
  </si>
  <si>
    <t>04-04-2024 01:00</t>
  </si>
  <si>
    <t>04-04-2024 01:15</t>
  </si>
  <si>
    <t>04-04-2024 01:30</t>
  </si>
  <si>
    <t>04-04-2024 01:45</t>
  </si>
  <si>
    <t>04-04-2024 02:00</t>
  </si>
  <si>
    <t>04-04-2024 02:15</t>
  </si>
  <si>
    <t>04-04-2024 02:30</t>
  </si>
  <si>
    <t>04-04-2024 02:45</t>
  </si>
  <si>
    <t>04-04-2024 03:00</t>
  </si>
  <si>
    <t>04-04-2024 03:15</t>
  </si>
  <si>
    <t>04-04-2024 03:30</t>
  </si>
  <si>
    <t>04-04-2024 03:45</t>
  </si>
  <si>
    <t>04-04-2024 04:00</t>
  </si>
  <si>
    <t>04-04-2024 04:15</t>
  </si>
  <si>
    <t>04-04-2024 04:30</t>
  </si>
  <si>
    <t>04-04-2024 04:45</t>
  </si>
  <si>
    <t>04-04-2024 05:00</t>
  </si>
  <si>
    <t>04-04-2024 05:15</t>
  </si>
  <si>
    <t>04-04-2024 05:30</t>
  </si>
  <si>
    <t>04-04-2024 05:45</t>
  </si>
  <si>
    <t>04-04-2024 06:00</t>
  </si>
  <si>
    <t>04-04-2024 06:15</t>
  </si>
  <si>
    <t>04-04-2024 06:30</t>
  </si>
  <si>
    <t>04-04-2024 06:45</t>
  </si>
  <si>
    <t>04-04-2024 07:00</t>
  </si>
  <si>
    <t>04-04-2024 07:15</t>
  </si>
  <si>
    <t>04-04-2024 07:30</t>
  </si>
  <si>
    <t>04-04-2024 07:45</t>
  </si>
  <si>
    <t>04-04-2024 08:00</t>
  </si>
  <si>
    <t>04-04-2024 08:15</t>
  </si>
  <si>
    <t>04-04-2024 08:30</t>
  </si>
  <si>
    <t>04-04-2024 08:45</t>
  </si>
  <si>
    <t>04-04-2024 09:00</t>
  </si>
  <si>
    <t>04-04-2024 09:15</t>
  </si>
  <si>
    <t>04-04-2024 09:30</t>
  </si>
  <si>
    <t>04-04-2024 09:45</t>
  </si>
  <si>
    <t>04-04-2024 10:00</t>
  </si>
  <si>
    <t>04-04-2024 10:15</t>
  </si>
  <si>
    <t>04-04-2024 10:30</t>
  </si>
  <si>
    <t>04-04-2024 10:45</t>
  </si>
  <si>
    <t>04-04-2024 11:00</t>
  </si>
  <si>
    <t>04-04-2024 11:15</t>
  </si>
  <si>
    <t>04-04-2024 11:30</t>
  </si>
  <si>
    <t>04-04-2024 11:45</t>
  </si>
  <si>
    <t>04-04-2024 12:00</t>
  </si>
  <si>
    <t>04-04-2024 12:15</t>
  </si>
  <si>
    <t>04-04-2024 12:30</t>
  </si>
  <si>
    <t>04-04-2024 12:45</t>
  </si>
  <si>
    <t>04-04-2024 13:00</t>
  </si>
  <si>
    <t>04-04-2024 13:15</t>
  </si>
  <si>
    <t>04-04-2024 13:30</t>
  </si>
  <si>
    <t>04-04-2024 13:45</t>
  </si>
  <si>
    <t>04-04-2024 14:00</t>
  </si>
  <si>
    <t>04-04-2024 14:15</t>
  </si>
  <si>
    <t>04-04-2024 14:30</t>
  </si>
  <si>
    <t>04-04-2024 14:45</t>
  </si>
  <si>
    <t>04-04-2024 15:00</t>
  </si>
  <si>
    <t>04-04-2024 15:15</t>
  </si>
  <si>
    <t>04-04-2024 15:30</t>
  </si>
  <si>
    <t>04-04-2024 15:45</t>
  </si>
  <si>
    <t>04-04-2024 16:00</t>
  </si>
  <si>
    <t>04-04-2024 16:15</t>
  </si>
  <si>
    <t>04-04-2024 16:30</t>
  </si>
  <si>
    <t>04-04-2024 16:45</t>
  </si>
  <si>
    <t>04-04-2024 17:00</t>
  </si>
  <si>
    <t>04-04-2024 17:15</t>
  </si>
  <si>
    <t>04-04-2024 17:30</t>
  </si>
  <si>
    <t>04-04-2024 17:45</t>
  </si>
  <si>
    <t>04-04-2024 18:00</t>
  </si>
  <si>
    <t>04-04-2024 18:15</t>
  </si>
  <si>
    <t>04-04-2024 18:30</t>
  </si>
  <si>
    <t>04-04-2024 18:45</t>
  </si>
  <si>
    <t>04-04-2024 19:00</t>
  </si>
  <si>
    <t>04-04-2024 19:15</t>
  </si>
  <si>
    <t>04-04-2024 19:30</t>
  </si>
  <si>
    <t>04-04-2024 19:45</t>
  </si>
  <si>
    <t>04-04-2024 20:00</t>
  </si>
  <si>
    <t>04-04-2024 20:15</t>
  </si>
  <si>
    <t>04-04-2024 20:30</t>
  </si>
  <si>
    <t>04-04-2024 20:45</t>
  </si>
  <si>
    <t>04-04-2024 21:00</t>
  </si>
  <si>
    <t>04-04-2024 21:15</t>
  </si>
  <si>
    <t>04-04-2024 21:30</t>
  </si>
  <si>
    <t>04-04-2024 21:45</t>
  </si>
  <si>
    <t>04-04-2024 22:00</t>
  </si>
  <si>
    <t>04-04-2024 22:15</t>
  </si>
  <si>
    <t>04-04-2024 22:30</t>
  </si>
  <si>
    <t>04-04-2024 22:45</t>
  </si>
  <si>
    <t>04-04-2024 23:00</t>
  </si>
  <si>
    <t>04-04-2024 23:15</t>
  </si>
  <si>
    <t>04-04-2024 23:30</t>
  </si>
  <si>
    <t>04-04-2024 23:45</t>
  </si>
  <si>
    <t>04-04-2024 24:00</t>
  </si>
  <si>
    <t>05-04-2024 00:15</t>
  </si>
  <si>
    <t>05-04-2024 00:30</t>
  </si>
  <si>
    <t>05-04-2024 00:45</t>
  </si>
  <si>
    <t>05-04-2024 01:00</t>
  </si>
  <si>
    <t>05-04-2024 01:15</t>
  </si>
  <si>
    <t>05-04-2024 01:30</t>
  </si>
  <si>
    <t>05-04-2024 01:45</t>
  </si>
  <si>
    <t>05-04-2024 02:00</t>
  </si>
  <si>
    <t>05-04-2024 02:15</t>
  </si>
  <si>
    <t>05-04-2024 02:30</t>
  </si>
  <si>
    <t>05-04-2024 02:45</t>
  </si>
  <si>
    <t>05-04-2024 03:00</t>
  </si>
  <si>
    <t>05-04-2024 03:15</t>
  </si>
  <si>
    <t>05-04-2024 03:30</t>
  </si>
  <si>
    <t>05-04-2024 03:45</t>
  </si>
  <si>
    <t>05-04-2024 04:00</t>
  </si>
  <si>
    <t>05-04-2024 04:15</t>
  </si>
  <si>
    <t>05-04-2024 04:30</t>
  </si>
  <si>
    <t>05-04-2024 04:45</t>
  </si>
  <si>
    <t>05-04-2024 05:00</t>
  </si>
  <si>
    <t>05-04-2024 05:15</t>
  </si>
  <si>
    <t>05-04-2024 05:30</t>
  </si>
  <si>
    <t>05-04-2024 05:45</t>
  </si>
  <si>
    <t>05-04-2024 06:00</t>
  </si>
  <si>
    <t>05-04-2024 06:15</t>
  </si>
  <si>
    <t>05-04-2024 06:30</t>
  </si>
  <si>
    <t>05-04-2024 06:45</t>
  </si>
  <si>
    <t>05-04-2024 07:00</t>
  </si>
  <si>
    <t>05-04-2024 07:15</t>
  </si>
  <si>
    <t>05-04-2024 07:30</t>
  </si>
  <si>
    <t>05-04-2024 07:45</t>
  </si>
  <si>
    <t>05-04-2024 08:00</t>
  </si>
  <si>
    <t>05-04-2024 08:15</t>
  </si>
  <si>
    <t>05-04-2024 08:30</t>
  </si>
  <si>
    <t>05-04-2024 08:45</t>
  </si>
  <si>
    <t>05-04-2024 09:00</t>
  </si>
  <si>
    <t>05-04-2024 09:15</t>
  </si>
  <si>
    <t>05-04-2024 09:30</t>
  </si>
  <si>
    <t>05-04-2024 09:45</t>
  </si>
  <si>
    <t>05-04-2024 10:00</t>
  </si>
  <si>
    <t>05-04-2024 10:15</t>
  </si>
  <si>
    <t>05-04-2024 10:30</t>
  </si>
  <si>
    <t>05-04-2024 10:45</t>
  </si>
  <si>
    <t>05-04-2024 11:00</t>
  </si>
  <si>
    <t>05-04-2024 11:15</t>
  </si>
  <si>
    <t>05-04-2024 11:30</t>
  </si>
  <si>
    <t>05-04-2024 11:45</t>
  </si>
  <si>
    <t>05-04-2024 12:00</t>
  </si>
  <si>
    <t>05-04-2024 12:15</t>
  </si>
  <si>
    <t>05-04-2024 12:30</t>
  </si>
  <si>
    <t>05-04-2024 12:45</t>
  </si>
  <si>
    <t>05-04-2024 13:00</t>
  </si>
  <si>
    <t>05-04-2024 13:15</t>
  </si>
  <si>
    <t>05-04-2024 13:30</t>
  </si>
  <si>
    <t>05-04-2024 13:45</t>
  </si>
  <si>
    <t>05-04-2024 14:00</t>
  </si>
  <si>
    <t>05-04-2024 14:15</t>
  </si>
  <si>
    <t>05-04-2024 14:30</t>
  </si>
  <si>
    <t>05-04-2024 14:45</t>
  </si>
  <si>
    <t>05-04-2024 15:00</t>
  </si>
  <si>
    <t>05-04-2024 15:15</t>
  </si>
  <si>
    <t>05-04-2024 15:30</t>
  </si>
  <si>
    <t>05-04-2024 15:45</t>
  </si>
  <si>
    <t>05-04-2024 16:00</t>
  </si>
  <si>
    <t>05-04-2024 16:15</t>
  </si>
  <si>
    <t>05-04-2024 16:30</t>
  </si>
  <si>
    <t>05-04-2024 16:45</t>
  </si>
  <si>
    <t>05-04-2024 17:00</t>
  </si>
  <si>
    <t>05-04-2024 17:15</t>
  </si>
  <si>
    <t>05-04-2024 17:30</t>
  </si>
  <si>
    <t>05-04-2024 17:45</t>
  </si>
  <si>
    <t>05-04-2024 18:00</t>
  </si>
  <si>
    <t>05-04-2024 18:15</t>
  </si>
  <si>
    <t>05-04-2024 18:30</t>
  </si>
  <si>
    <t>05-04-2024 18:45</t>
  </si>
  <si>
    <t>05-04-2024 19:00</t>
  </si>
  <si>
    <t>05-04-2024 19:15</t>
  </si>
  <si>
    <t>05-04-2024 19:30</t>
  </si>
  <si>
    <t>05-04-2024 19:45</t>
  </si>
  <si>
    <t>05-04-2024 20:00</t>
  </si>
  <si>
    <t>05-04-2024 20:15</t>
  </si>
  <si>
    <t>05-04-2024 20:30</t>
  </si>
  <si>
    <t>05-04-2024 20:45</t>
  </si>
  <si>
    <t>05-04-2024 21:00</t>
  </si>
  <si>
    <t>05-04-2024 21:15</t>
  </si>
  <si>
    <t>05-04-2024 21:30</t>
  </si>
  <si>
    <t>05-04-2024 21:45</t>
  </si>
  <si>
    <t>05-04-2024 22:00</t>
  </si>
  <si>
    <t>05-04-2024 22:15</t>
  </si>
  <si>
    <t>05-04-2024 22:30</t>
  </si>
  <si>
    <t>05-04-2024 22:45</t>
  </si>
  <si>
    <t>05-04-2024 23:00</t>
  </si>
  <si>
    <t>05-04-2024 23:15</t>
  </si>
  <si>
    <t>05-04-2024 23:30</t>
  </si>
  <si>
    <t>05-04-2024 23:45</t>
  </si>
  <si>
    <t>05-04-2024 24:00</t>
  </si>
  <si>
    <t>06-04-2024 00:15</t>
  </si>
  <si>
    <t>06-04-2024 00:30</t>
  </si>
  <si>
    <t>06-04-2024 00:45</t>
  </si>
  <si>
    <t>06-04-2024 01:00</t>
  </si>
  <si>
    <t>06-04-2024 01:15</t>
  </si>
  <si>
    <t>06-04-2024 01:30</t>
  </si>
  <si>
    <t>06-04-2024 01:45</t>
  </si>
  <si>
    <t>06-04-2024 02:00</t>
  </si>
  <si>
    <t>06-04-2024 02:15</t>
  </si>
  <si>
    <t>06-04-2024 02:30</t>
  </si>
  <si>
    <t>06-04-2024 02:45</t>
  </si>
  <si>
    <t>06-04-2024 03:00</t>
  </si>
  <si>
    <t>06-04-2024 03:15</t>
  </si>
  <si>
    <t>06-04-2024 03:30</t>
  </si>
  <si>
    <t>06-04-2024 03:45</t>
  </si>
  <si>
    <t>06-04-2024 04:00</t>
  </si>
  <si>
    <t>06-04-2024 04:15</t>
  </si>
  <si>
    <t>06-04-2024 04:30</t>
  </si>
  <si>
    <t>06-04-2024 04:45</t>
  </si>
  <si>
    <t>06-04-2024 05:00</t>
  </si>
  <si>
    <t>06-04-2024 05:15</t>
  </si>
  <si>
    <t>06-04-2024 05:30</t>
  </si>
  <si>
    <t>06-04-2024 05:45</t>
  </si>
  <si>
    <t>06-04-2024 06:00</t>
  </si>
  <si>
    <t>06-04-2024 06:15</t>
  </si>
  <si>
    <t>06-04-2024 06:30</t>
  </si>
  <si>
    <t>06-04-2024 06:45</t>
  </si>
  <si>
    <t>06-04-2024 07:00</t>
  </si>
  <si>
    <t>06-04-2024 07:15</t>
  </si>
  <si>
    <t>06-04-2024 07:30</t>
  </si>
  <si>
    <t>06-04-2024 07:45</t>
  </si>
  <si>
    <t>06-04-2024 08:00</t>
  </si>
  <si>
    <t>06-04-2024 08:15</t>
  </si>
  <si>
    <t>06-04-2024 08:30</t>
  </si>
  <si>
    <t>06-04-2024 08:45</t>
  </si>
  <si>
    <t>06-04-2024 09:00</t>
  </si>
  <si>
    <t>06-04-2024 09:15</t>
  </si>
  <si>
    <t>06-04-2024 09:30</t>
  </si>
  <si>
    <t>06-04-2024 09:45</t>
  </si>
  <si>
    <t>06-04-2024 10:00</t>
  </si>
  <si>
    <t>06-04-2024 10:15</t>
  </si>
  <si>
    <t>06-04-2024 10:30</t>
  </si>
  <si>
    <t>06-04-2024 10:45</t>
  </si>
  <si>
    <t>06-04-2024 11:00</t>
  </si>
  <si>
    <t>06-04-2024 11:15</t>
  </si>
  <si>
    <t>06-04-2024 11:30</t>
  </si>
  <si>
    <t>06-04-2024 11:45</t>
  </si>
  <si>
    <t>06-04-2024 12:00</t>
  </si>
  <si>
    <t>06-04-2024 12:15</t>
  </si>
  <si>
    <t>06-04-2024 12:30</t>
  </si>
  <si>
    <t>06-04-2024 12:45</t>
  </si>
  <si>
    <t>06-04-2024 13:00</t>
  </si>
  <si>
    <t>06-04-2024 13:15</t>
  </si>
  <si>
    <t>06-04-2024 13:30</t>
  </si>
  <si>
    <t>06-04-2024 13:45</t>
  </si>
  <si>
    <t>06-04-2024 14:00</t>
  </si>
  <si>
    <t>06-04-2024 14:15</t>
  </si>
  <si>
    <t>06-04-2024 14:30</t>
  </si>
  <si>
    <t>06-04-2024 14:45</t>
  </si>
  <si>
    <t>06-04-2024 15:00</t>
  </si>
  <si>
    <t>06-04-2024 15:15</t>
  </si>
  <si>
    <t>06-04-2024 15:30</t>
  </si>
  <si>
    <t>06-04-2024 15:45</t>
  </si>
  <si>
    <t>06-04-2024 16:00</t>
  </si>
  <si>
    <t>06-04-2024 16:15</t>
  </si>
  <si>
    <t>06-04-2024 16:30</t>
  </si>
  <si>
    <t>06-04-2024 16:45</t>
  </si>
  <si>
    <t>06-04-2024 17:00</t>
  </si>
  <si>
    <t>06-04-2024 17:15</t>
  </si>
  <si>
    <t>06-04-2024 17:30</t>
  </si>
  <si>
    <t>06-04-2024 17:45</t>
  </si>
  <si>
    <t>06-04-2024 18:00</t>
  </si>
  <si>
    <t>06-04-2024 18:15</t>
  </si>
  <si>
    <t>06-04-2024 18:30</t>
  </si>
  <si>
    <t>06-04-2024 18:45</t>
  </si>
  <si>
    <t>06-04-2024 19:00</t>
  </si>
  <si>
    <t>06-04-2024 19:15</t>
  </si>
  <si>
    <t>06-04-2024 19:30</t>
  </si>
  <si>
    <t>06-04-2024 19:45</t>
  </si>
  <si>
    <t>06-04-2024 20:00</t>
  </si>
  <si>
    <t>06-04-2024 20:15</t>
  </si>
  <si>
    <t>06-04-2024 20:30</t>
  </si>
  <si>
    <t>06-04-2024 20:45</t>
  </si>
  <si>
    <t>06-04-2024 21:00</t>
  </si>
  <si>
    <t>06-04-2024 21:15</t>
  </si>
  <si>
    <t>06-04-2024 21:30</t>
  </si>
  <si>
    <t>06-04-2024 21:45</t>
  </si>
  <si>
    <t>06-04-2024 22:00</t>
  </si>
  <si>
    <t>06-04-2024 22:15</t>
  </si>
  <si>
    <t>06-04-2024 22:30</t>
  </si>
  <si>
    <t>06-04-2024 22:45</t>
  </si>
  <si>
    <t>06-04-2024 23:00</t>
  </si>
  <si>
    <t>06-04-2024 23:15</t>
  </si>
  <si>
    <t>06-04-2024 23:30</t>
  </si>
  <si>
    <t>06-04-2024 23:45</t>
  </si>
  <si>
    <t>06-04-2024 24:00</t>
  </si>
  <si>
    <t>07-04-2024 00:15</t>
  </si>
  <si>
    <t>07-04-2024 00:30</t>
  </si>
  <si>
    <t>07-04-2024 00:45</t>
  </si>
  <si>
    <t>07-04-2024 01:00</t>
  </si>
  <si>
    <t>07-04-2024 01:15</t>
  </si>
  <si>
    <t>07-04-2024 01:30</t>
  </si>
  <si>
    <t>07-04-2024 01:45</t>
  </si>
  <si>
    <t>07-04-2024 02:00</t>
  </si>
  <si>
    <t>07-04-2024 02:15</t>
  </si>
  <si>
    <t>07-04-2024 02:30</t>
  </si>
  <si>
    <t>07-04-2024 02:45</t>
  </si>
  <si>
    <t>07-04-2024 03:00</t>
  </si>
  <si>
    <t>07-04-2024 03:15</t>
  </si>
  <si>
    <t>07-04-2024 03:30</t>
  </si>
  <si>
    <t>07-04-2024 03:45</t>
  </si>
  <si>
    <t>07-04-2024 04:00</t>
  </si>
  <si>
    <t>07-04-2024 04:15</t>
  </si>
  <si>
    <t>07-04-2024 04:30</t>
  </si>
  <si>
    <t>07-04-2024 04:45</t>
  </si>
  <si>
    <t>07-04-2024 05:00</t>
  </si>
  <si>
    <t>07-04-2024 05:15</t>
  </si>
  <si>
    <t>07-04-2024 05:30</t>
  </si>
  <si>
    <t>07-04-2024 05:45</t>
  </si>
  <si>
    <t>07-04-2024 06:00</t>
  </si>
  <si>
    <t>07-04-2024 06:15</t>
  </si>
  <si>
    <t>07-04-2024 06:30</t>
  </si>
  <si>
    <t>07-04-2024 06:45</t>
  </si>
  <si>
    <t>07-04-2024 07:00</t>
  </si>
  <si>
    <t>07-04-2024 07:15</t>
  </si>
  <si>
    <t>07-04-2024 07:30</t>
  </si>
  <si>
    <t>07-04-2024 07:45</t>
  </si>
  <si>
    <t>07-04-2024 08:00</t>
  </si>
  <si>
    <t>07-04-2024 08:15</t>
  </si>
  <si>
    <t>07-04-2024 08:30</t>
  </si>
  <si>
    <t>07-04-2024 08:45</t>
  </si>
  <si>
    <t>07-04-2024 09:00</t>
  </si>
  <si>
    <t>07-04-2024 09:15</t>
  </si>
  <si>
    <t>07-04-2024 09:30</t>
  </si>
  <si>
    <t>07-04-2024 09:45</t>
  </si>
  <si>
    <t>07-04-2024 10:00</t>
  </si>
  <si>
    <t>07-04-2024 10:15</t>
  </si>
  <si>
    <t>07-04-2024 10:30</t>
  </si>
  <si>
    <t>07-04-2024 10:45</t>
  </si>
  <si>
    <t>07-04-2024 11:00</t>
  </si>
  <si>
    <t>07-04-2024 11:15</t>
  </si>
  <si>
    <t>07-04-2024 11:30</t>
  </si>
  <si>
    <t>07-04-2024 11:45</t>
  </si>
  <si>
    <t>07-04-2024 12:00</t>
  </si>
  <si>
    <t>07-04-2024 12:15</t>
  </si>
  <si>
    <t>07-04-2024 12:30</t>
  </si>
  <si>
    <t>07-04-2024 12:45</t>
  </si>
  <si>
    <t>07-04-2024 13:00</t>
  </si>
  <si>
    <t>07-04-2024 13:15</t>
  </si>
  <si>
    <t>07-04-2024 13:30</t>
  </si>
  <si>
    <t>07-04-2024 13:45</t>
  </si>
  <si>
    <t>07-04-2024 14:00</t>
  </si>
  <si>
    <t>07-04-2024 14:15</t>
  </si>
  <si>
    <t>07-04-2024 14:30</t>
  </si>
  <si>
    <t>07-04-2024 14:45</t>
  </si>
  <si>
    <t>07-04-2024 15:00</t>
  </si>
  <si>
    <t>07-04-2024 15:15</t>
  </si>
  <si>
    <t>07-04-2024 15:30</t>
  </si>
  <si>
    <t>07-04-2024 15:45</t>
  </si>
  <si>
    <t>07-04-2024 16:00</t>
  </si>
  <si>
    <t>07-04-2024 16:15</t>
  </si>
  <si>
    <t>07-04-2024 16:30</t>
  </si>
  <si>
    <t>07-04-2024 16:45</t>
  </si>
  <si>
    <t>07-04-2024 17:00</t>
  </si>
  <si>
    <t>07-04-2024 17:15</t>
  </si>
  <si>
    <t>07-04-2024 17:30</t>
  </si>
  <si>
    <t>07-04-2024 17:45</t>
  </si>
  <si>
    <t>07-04-2024 18:00</t>
  </si>
  <si>
    <t>07-04-2024 18:15</t>
  </si>
  <si>
    <t>07-04-2024 18:30</t>
  </si>
  <si>
    <t>07-04-2024 18:45</t>
  </si>
  <si>
    <t>07-04-2024 19:00</t>
  </si>
  <si>
    <t>07-04-2024 19:15</t>
  </si>
  <si>
    <t>07-04-2024 19:30</t>
  </si>
  <si>
    <t>07-04-2024 19:45</t>
  </si>
  <si>
    <t>07-04-2024 20:00</t>
  </si>
  <si>
    <t>07-04-2024 20:15</t>
  </si>
  <si>
    <t>07-04-2024 20:30</t>
  </si>
  <si>
    <t>07-04-2024 20:45</t>
  </si>
  <si>
    <t>07-04-2024 21:00</t>
  </si>
  <si>
    <t>07-04-2024 21:15</t>
  </si>
  <si>
    <t>07-04-2024 21:30</t>
  </si>
  <si>
    <t>07-04-2024 21:45</t>
  </si>
  <si>
    <t>07-04-2024 22:00</t>
  </si>
  <si>
    <t>07-04-2024 22:15</t>
  </si>
  <si>
    <t>07-04-2024 22:30</t>
  </si>
  <si>
    <t>07-04-2024 22:45</t>
  </si>
  <si>
    <t>07-04-2024 23:00</t>
  </si>
  <si>
    <t>07-04-2024 23:15</t>
  </si>
  <si>
    <t>07-04-2024 23:30</t>
  </si>
  <si>
    <t>07-04-2024 23:45</t>
  </si>
  <si>
    <t>07-04-2024 24:00</t>
  </si>
  <si>
    <t>08-04-2024 00:15</t>
  </si>
  <si>
    <t>08-04-2024 00:30</t>
  </si>
  <si>
    <t>08-04-2024 00:45</t>
  </si>
  <si>
    <t>08-04-2024 01:00</t>
  </si>
  <si>
    <t>08-04-2024 01:15</t>
  </si>
  <si>
    <t>08-04-2024 01:30</t>
  </si>
  <si>
    <t>08-04-2024 01:45</t>
  </si>
  <si>
    <t>08-04-2024 02:00</t>
  </si>
  <si>
    <t>08-04-2024 02:15</t>
  </si>
  <si>
    <t>08-04-2024 02:30</t>
  </si>
  <si>
    <t>08-04-2024 02:45</t>
  </si>
  <si>
    <t>08-04-2024 03:00</t>
  </si>
  <si>
    <t>08-04-2024 03:15</t>
  </si>
  <si>
    <t>08-04-2024 03:30</t>
  </si>
  <si>
    <t>08-04-2024 03:45</t>
  </si>
  <si>
    <t>08-04-2024 04:00</t>
  </si>
  <si>
    <t>08-04-2024 04:15</t>
  </si>
  <si>
    <t>08-04-2024 04:30</t>
  </si>
  <si>
    <t>08-04-2024 04:45</t>
  </si>
  <si>
    <t>08-04-2024 05:00</t>
  </si>
  <si>
    <t>08-04-2024 05:15</t>
  </si>
  <si>
    <t>08-04-2024 05:30</t>
  </si>
  <si>
    <t>08-04-2024 05:45</t>
  </si>
  <si>
    <t>08-04-2024 06:00</t>
  </si>
  <si>
    <t>08-04-2024 06:15</t>
  </si>
  <si>
    <t>08-04-2024 06:30</t>
  </si>
  <si>
    <t>08-04-2024 06:45</t>
  </si>
  <si>
    <t>08-04-2024 07:00</t>
  </si>
  <si>
    <t>08-04-2024 07:15</t>
  </si>
  <si>
    <t>08-04-2024 07:30</t>
  </si>
  <si>
    <t>08-04-2024 07:45</t>
  </si>
  <si>
    <t>08-04-2024 08:00</t>
  </si>
  <si>
    <t>08-04-2024 08:15</t>
  </si>
  <si>
    <t>08-04-2024 08:30</t>
  </si>
  <si>
    <t>08-04-2024 08:45</t>
  </si>
  <si>
    <t>08-04-2024 09:00</t>
  </si>
  <si>
    <t>08-04-2024 09:15</t>
  </si>
  <si>
    <t>08-04-2024 09:30</t>
  </si>
  <si>
    <t>08-04-2024 09:45</t>
  </si>
  <si>
    <t>08-04-2024 10:00</t>
  </si>
  <si>
    <t>08-04-2024 10:15</t>
  </si>
  <si>
    <t>08-04-2024 10:30</t>
  </si>
  <si>
    <t>08-04-2024 10:45</t>
  </si>
  <si>
    <t>08-04-2024 11:00</t>
  </si>
  <si>
    <t>08-04-2024 11:15</t>
  </si>
  <si>
    <t>08-04-2024 11:30</t>
  </si>
  <si>
    <t>08-04-2024 11:45</t>
  </si>
  <si>
    <t>08-04-2024 12:00</t>
  </si>
  <si>
    <t>08-04-2024 12:15</t>
  </si>
  <si>
    <t>08-04-2024 12:30</t>
  </si>
  <si>
    <t>08-04-2024 12:45</t>
  </si>
  <si>
    <t>08-04-2024 13:00</t>
  </si>
  <si>
    <t>08-04-2024 13:15</t>
  </si>
  <si>
    <t>08-04-2024 13:30</t>
  </si>
  <si>
    <t>08-04-2024 13:45</t>
  </si>
  <si>
    <t>08-04-2024 14:00</t>
  </si>
  <si>
    <t>08-04-2024 14:15</t>
  </si>
  <si>
    <t>08-04-2024 14:30</t>
  </si>
  <si>
    <t>08-04-2024 14:45</t>
  </si>
  <si>
    <t>08-04-2024 15:00</t>
  </si>
  <si>
    <t>08-04-2024 15:15</t>
  </si>
  <si>
    <t>08-04-2024 15:30</t>
  </si>
  <si>
    <t>08-04-2024 15:45</t>
  </si>
  <si>
    <t>08-04-2024 16:00</t>
  </si>
  <si>
    <t>08-04-2024 16:15</t>
  </si>
  <si>
    <t>08-04-2024 16:30</t>
  </si>
  <si>
    <t>08-04-2024 16:45</t>
  </si>
  <si>
    <t>08-04-2024 17:00</t>
  </si>
  <si>
    <t>08-04-2024 17:15</t>
  </si>
  <si>
    <t>08-04-2024 17:30</t>
  </si>
  <si>
    <t>08-04-2024 17:45</t>
  </si>
  <si>
    <t>08-04-2024 18:00</t>
  </si>
  <si>
    <t>08-04-2024 18:15</t>
  </si>
  <si>
    <t>08-04-2024 18:30</t>
  </si>
  <si>
    <t>08-04-2024 18:45</t>
  </si>
  <si>
    <t>08-04-2024 19:00</t>
  </si>
  <si>
    <t>08-04-2024 19:15</t>
  </si>
  <si>
    <t>08-04-2024 19:30</t>
  </si>
  <si>
    <t>08-04-2024 19:45</t>
  </si>
  <si>
    <t>08-04-2024 20:00</t>
  </si>
  <si>
    <t>08-04-2024 20:15</t>
  </si>
  <si>
    <t>08-04-2024 20:30</t>
  </si>
  <si>
    <t>08-04-2024 20:45</t>
  </si>
  <si>
    <t>08-04-2024 21:00</t>
  </si>
  <si>
    <t>08-04-2024 21:15</t>
  </si>
  <si>
    <t>08-04-2024 21:30</t>
  </si>
  <si>
    <t>08-04-2024 21:45</t>
  </si>
  <si>
    <t>08-04-2024 22:00</t>
  </si>
  <si>
    <t>08-04-2024 22:15</t>
  </si>
  <si>
    <t>08-04-2024 22:30</t>
  </si>
  <si>
    <t>08-04-2024 22:45</t>
  </si>
  <si>
    <t>08-04-2024 23:00</t>
  </si>
  <si>
    <t>08-04-2024 23:15</t>
  </si>
  <si>
    <t>08-04-2024 23:30</t>
  </si>
  <si>
    <t>08-04-2024 23:45</t>
  </si>
  <si>
    <t>08-04-2024 24:00</t>
  </si>
  <si>
    <t>09-04-2024 00:15</t>
  </si>
  <si>
    <t>09-04-2024 00:30</t>
  </si>
  <si>
    <t>09-04-2024 00:45</t>
  </si>
  <si>
    <t>09-04-2024 01:00</t>
  </si>
  <si>
    <t>09-04-2024 01:15</t>
  </si>
  <si>
    <t>09-04-2024 01:30</t>
  </si>
  <si>
    <t>09-04-2024 01:45</t>
  </si>
  <si>
    <t>09-04-2024 02:00</t>
  </si>
  <si>
    <t>09-04-2024 02:15</t>
  </si>
  <si>
    <t>09-04-2024 02:30</t>
  </si>
  <si>
    <t>09-04-2024 02:45</t>
  </si>
  <si>
    <t>09-04-2024 03:00</t>
  </si>
  <si>
    <t>09-04-2024 03:15</t>
  </si>
  <si>
    <t>09-04-2024 03:30</t>
  </si>
  <si>
    <t>09-04-2024 03:45</t>
  </si>
  <si>
    <t>09-04-2024 04:00</t>
  </si>
  <si>
    <t>09-04-2024 04:15</t>
  </si>
  <si>
    <t>09-04-2024 04:30</t>
  </si>
  <si>
    <t>09-04-2024 04:45</t>
  </si>
  <si>
    <t>09-04-2024 05:00</t>
  </si>
  <si>
    <t>09-04-2024 05:15</t>
  </si>
  <si>
    <t>09-04-2024 05:30</t>
  </si>
  <si>
    <t>09-04-2024 05:45</t>
  </si>
  <si>
    <t>09-04-2024 06:00</t>
  </si>
  <si>
    <t>09-04-2024 06:15</t>
  </si>
  <si>
    <t>09-04-2024 06:30</t>
  </si>
  <si>
    <t>09-04-2024 06:45</t>
  </si>
  <si>
    <t>09-04-2024 07:00</t>
  </si>
  <si>
    <t>09-04-2024 07:15</t>
  </si>
  <si>
    <t>09-04-2024 07:30</t>
  </si>
  <si>
    <t>09-04-2024 07:45</t>
  </si>
  <si>
    <t>09-04-2024 08:00</t>
  </si>
  <si>
    <t>09-04-2024 08:15</t>
  </si>
  <si>
    <t>09-04-2024 08:30</t>
  </si>
  <si>
    <t>09-04-2024 08:45</t>
  </si>
  <si>
    <t>09-04-2024 09:00</t>
  </si>
  <si>
    <t>09-04-2024 09:15</t>
  </si>
  <si>
    <t>09-04-2024 09:30</t>
  </si>
  <si>
    <t>09-04-2024 09:45</t>
  </si>
  <si>
    <t>09-04-2024 10:00</t>
  </si>
  <si>
    <t>09-04-2024 10:15</t>
  </si>
  <si>
    <t>09-04-2024 10:30</t>
  </si>
  <si>
    <t>09-04-2024 10:45</t>
  </si>
  <si>
    <t>09-04-2024 11:00</t>
  </si>
  <si>
    <t>09-04-2024 11:15</t>
  </si>
  <si>
    <t>09-04-2024 11:30</t>
  </si>
  <si>
    <t>09-04-2024 11:45</t>
  </si>
  <si>
    <t>09-04-2024 12:00</t>
  </si>
  <si>
    <t>09-04-2024 12:15</t>
  </si>
  <si>
    <t>09-04-2024 12:30</t>
  </si>
  <si>
    <t>09-04-2024 12:45</t>
  </si>
  <si>
    <t>09-04-2024 13:00</t>
  </si>
  <si>
    <t>09-04-2024 13:15</t>
  </si>
  <si>
    <t>09-04-2024 13:30</t>
  </si>
  <si>
    <t>09-04-2024 13:45</t>
  </si>
  <si>
    <t>09-04-2024 14:00</t>
  </si>
  <si>
    <t>09-04-2024 14:15</t>
  </si>
  <si>
    <t>09-04-2024 14:30</t>
  </si>
  <si>
    <t>09-04-2024 14:45</t>
  </si>
  <si>
    <t>09-04-2024 15:00</t>
  </si>
  <si>
    <t>09-04-2024 15:15</t>
  </si>
  <si>
    <t>09-04-2024 15:30</t>
  </si>
  <si>
    <t>09-04-2024 15:45</t>
  </si>
  <si>
    <t>09-04-2024 16:00</t>
  </si>
  <si>
    <t>09-04-2024 16:15</t>
  </si>
  <si>
    <t>09-04-2024 16:30</t>
  </si>
  <si>
    <t>09-04-2024 16:45</t>
  </si>
  <si>
    <t>09-04-2024 17:00</t>
  </si>
  <si>
    <t>09-04-2024 17:15</t>
  </si>
  <si>
    <t>09-04-2024 17:30</t>
  </si>
  <si>
    <t>09-04-2024 17:45</t>
  </si>
  <si>
    <t>09-04-2024 18:00</t>
  </si>
  <si>
    <t>09-04-2024 18:15</t>
  </si>
  <si>
    <t>09-04-2024 18:30</t>
  </si>
  <si>
    <t>09-04-2024 18:45</t>
  </si>
  <si>
    <t>09-04-2024 19:00</t>
  </si>
  <si>
    <t>09-04-2024 19:15</t>
  </si>
  <si>
    <t>09-04-2024 19:30</t>
  </si>
  <si>
    <t>09-04-2024 19:45</t>
  </si>
  <si>
    <t>09-04-2024 20:00</t>
  </si>
  <si>
    <t>09-04-2024 20:15</t>
  </si>
  <si>
    <t>09-04-2024 20:30</t>
  </si>
  <si>
    <t>09-04-2024 20:45</t>
  </si>
  <si>
    <t>09-04-2024 21:00</t>
  </si>
  <si>
    <t>09-04-2024 21:15</t>
  </si>
  <si>
    <t>09-04-2024 21:30</t>
  </si>
  <si>
    <t>09-04-2024 21:45</t>
  </si>
  <si>
    <t>09-04-2024 22:00</t>
  </si>
  <si>
    <t>09-04-2024 22:15</t>
  </si>
  <si>
    <t>09-04-2024 22:30</t>
  </si>
  <si>
    <t>09-04-2024 22:45</t>
  </si>
  <si>
    <t>09-04-2024 23:00</t>
  </si>
  <si>
    <t>09-04-2024 23:15</t>
  </si>
  <si>
    <t>09-04-2024 23:30</t>
  </si>
  <si>
    <t>09-04-2024 23:45</t>
  </si>
  <si>
    <t>09-04-2024 24:00</t>
  </si>
  <si>
    <t>10-04-2024 00:15</t>
  </si>
  <si>
    <t>10-04-2024 00:30</t>
  </si>
  <si>
    <t>10-04-2024 00:45</t>
  </si>
  <si>
    <t>10-04-2024 01:00</t>
  </si>
  <si>
    <t>10-04-2024 01:15</t>
  </si>
  <si>
    <t>10-04-2024 01:30</t>
  </si>
  <si>
    <t>10-04-2024 01:45</t>
  </si>
  <si>
    <t>10-04-2024 02:00</t>
  </si>
  <si>
    <t>10-04-2024 02:15</t>
  </si>
  <si>
    <t>10-04-2024 02:30</t>
  </si>
  <si>
    <t>10-04-2024 02:45</t>
  </si>
  <si>
    <t>10-04-2024 03:00</t>
  </si>
  <si>
    <t>10-04-2024 03:15</t>
  </si>
  <si>
    <t>10-04-2024 03:30</t>
  </si>
  <si>
    <t>10-04-2024 03:45</t>
  </si>
  <si>
    <t>10-04-2024 04:00</t>
  </si>
  <si>
    <t>10-04-2024 04:15</t>
  </si>
  <si>
    <t>10-04-2024 04:30</t>
  </si>
  <si>
    <t>10-04-2024 04:45</t>
  </si>
  <si>
    <t>10-04-2024 05:00</t>
  </si>
  <si>
    <t>10-04-2024 05:15</t>
  </si>
  <si>
    <t>10-04-2024 05:30</t>
  </si>
  <si>
    <t>10-04-2024 05:45</t>
  </si>
  <si>
    <t>10-04-2024 06:00</t>
  </si>
  <si>
    <t>10-04-2024 06:15</t>
  </si>
  <si>
    <t>10-04-2024 06:30</t>
  </si>
  <si>
    <t>10-04-2024 06:45</t>
  </si>
  <si>
    <t>10-04-2024 07:00</t>
  </si>
  <si>
    <t>10-04-2024 07:15</t>
  </si>
  <si>
    <t>10-04-2024 07:30</t>
  </si>
  <si>
    <t>10-04-2024 07:45</t>
  </si>
  <si>
    <t>10-04-2024 08:00</t>
  </si>
  <si>
    <t>10-04-2024 08:15</t>
  </si>
  <si>
    <t>10-04-2024 08:30</t>
  </si>
  <si>
    <t>10-04-2024 08:45</t>
  </si>
  <si>
    <t>10-04-2024 09:00</t>
  </si>
  <si>
    <t>10-04-2024 09:15</t>
  </si>
  <si>
    <t>10-04-2024 09:30</t>
  </si>
  <si>
    <t>10-04-2024 09:45</t>
  </si>
  <si>
    <t>10-04-2024 10:00</t>
  </si>
  <si>
    <t>10-04-2024 10:15</t>
  </si>
  <si>
    <t>10-04-2024 10:30</t>
  </si>
  <si>
    <t>10-04-2024 10:45</t>
  </si>
  <si>
    <t>10-04-2024 11:00</t>
  </si>
  <si>
    <t>10-04-2024 11:15</t>
  </si>
  <si>
    <t>10-04-2024 11:30</t>
  </si>
  <si>
    <t>10-04-2024 11:45</t>
  </si>
  <si>
    <t>10-04-2024 12:00</t>
  </si>
  <si>
    <t>10-04-2024 12:15</t>
  </si>
  <si>
    <t>10-04-2024 12:30</t>
  </si>
  <si>
    <t>10-04-2024 12:45</t>
  </si>
  <si>
    <t>10-04-2024 13:00</t>
  </si>
  <si>
    <t>10-04-2024 13:15</t>
  </si>
  <si>
    <t>10-04-2024 13:30</t>
  </si>
  <si>
    <t>10-04-2024 13:45</t>
  </si>
  <si>
    <t>10-04-2024 14:00</t>
  </si>
  <si>
    <t>10-04-2024 14:15</t>
  </si>
  <si>
    <t>10-04-2024 14:30</t>
  </si>
  <si>
    <t>10-04-2024 14:45</t>
  </si>
  <si>
    <t>10-04-2024 15:00</t>
  </si>
  <si>
    <t>10-04-2024 15:15</t>
  </si>
  <si>
    <t>10-04-2024 15:30</t>
  </si>
  <si>
    <t>10-04-2024 15:45</t>
  </si>
  <si>
    <t>10-04-2024 16:00</t>
  </si>
  <si>
    <t>10-04-2024 16:15</t>
  </si>
  <si>
    <t>10-04-2024 16:30</t>
  </si>
  <si>
    <t>10-04-2024 16:45</t>
  </si>
  <si>
    <t>10-04-2024 17:00</t>
  </si>
  <si>
    <t>10-04-2024 17:15</t>
  </si>
  <si>
    <t>10-04-2024 17:30</t>
  </si>
  <si>
    <t>10-04-2024 17:45</t>
  </si>
  <si>
    <t>10-04-2024 18:00</t>
  </si>
  <si>
    <t>10-04-2024 18:15</t>
  </si>
  <si>
    <t>10-04-2024 18:30</t>
  </si>
  <si>
    <t>10-04-2024 18:45</t>
  </si>
  <si>
    <t>10-04-2024 19:00</t>
  </si>
  <si>
    <t>10-04-2024 19:15</t>
  </si>
  <si>
    <t>10-04-2024 19:30</t>
  </si>
  <si>
    <t>10-04-2024 19:45</t>
  </si>
  <si>
    <t>10-04-2024 20:00</t>
  </si>
  <si>
    <t>10-04-2024 20:15</t>
  </si>
  <si>
    <t>10-04-2024 20:30</t>
  </si>
  <si>
    <t>10-04-2024 20:45</t>
  </si>
  <si>
    <t>10-04-2024 21:00</t>
  </si>
  <si>
    <t>10-04-2024 21:15</t>
  </si>
  <si>
    <t>10-04-2024 21:30</t>
  </si>
  <si>
    <t>10-04-2024 21:45</t>
  </si>
  <si>
    <t>10-04-2024 22:00</t>
  </si>
  <si>
    <t>10-04-2024 22:15</t>
  </si>
  <si>
    <t>10-04-2024 22:30</t>
  </si>
  <si>
    <t>10-04-2024 22:45</t>
  </si>
  <si>
    <t>10-04-2024 23:00</t>
  </si>
  <si>
    <t>10-04-2024 23:15</t>
  </si>
  <si>
    <t>10-04-2024 23:30</t>
  </si>
  <si>
    <t>10-04-2024 23:45</t>
  </si>
  <si>
    <t>10-04-2024 24:00</t>
  </si>
  <si>
    <t>11-04-2024 00:15</t>
  </si>
  <si>
    <t>11-04-2024 00:30</t>
  </si>
  <si>
    <t>11-04-2024 00:45</t>
  </si>
  <si>
    <t>11-04-2024 01:00</t>
  </si>
  <si>
    <t>11-04-2024 01:15</t>
  </si>
  <si>
    <t>11-04-2024 01:30</t>
  </si>
  <si>
    <t>11-04-2024 01:45</t>
  </si>
  <si>
    <t>11-04-2024 02:00</t>
  </si>
  <si>
    <t>11-04-2024 02:15</t>
  </si>
  <si>
    <t>11-04-2024 02:30</t>
  </si>
  <si>
    <t>11-04-2024 02:45</t>
  </si>
  <si>
    <t>11-04-2024 03:00</t>
  </si>
  <si>
    <t>11-04-2024 03:15</t>
  </si>
  <si>
    <t>11-04-2024 03:30</t>
  </si>
  <si>
    <t>11-04-2024 03:45</t>
  </si>
  <si>
    <t>11-04-2024 04:00</t>
  </si>
  <si>
    <t>11-04-2024 04:15</t>
  </si>
  <si>
    <t>11-04-2024 04:30</t>
  </si>
  <si>
    <t>11-04-2024 04:45</t>
  </si>
  <si>
    <t>11-04-2024 05:00</t>
  </si>
  <si>
    <t>11-04-2024 05:15</t>
  </si>
  <si>
    <t>11-04-2024 05:30</t>
  </si>
  <si>
    <t>11-04-2024 05:45</t>
  </si>
  <si>
    <t>11-04-2024 06:00</t>
  </si>
  <si>
    <t>11-04-2024 06:15</t>
  </si>
  <si>
    <t>11-04-2024 06:30</t>
  </si>
  <si>
    <t>11-04-2024 06:45</t>
  </si>
  <si>
    <t>11-04-2024 07:00</t>
  </si>
  <si>
    <t>11-04-2024 07:15</t>
  </si>
  <si>
    <t>11-04-2024 07:30</t>
  </si>
  <si>
    <t>11-04-2024 07:45</t>
  </si>
  <si>
    <t>11-04-2024 08:00</t>
  </si>
  <si>
    <t>11-04-2024 08:15</t>
  </si>
  <si>
    <t>11-04-2024 08:30</t>
  </si>
  <si>
    <t>11-04-2024 08:45</t>
  </si>
  <si>
    <t>11-04-2024 09:00</t>
  </si>
  <si>
    <t>11-04-2024 09:15</t>
  </si>
  <si>
    <t>11-04-2024 09:30</t>
  </si>
  <si>
    <t>11-04-2024 09:45</t>
  </si>
  <si>
    <t>11-04-2024 10:00</t>
  </si>
  <si>
    <t>11-04-2024 10:15</t>
  </si>
  <si>
    <t>11-04-2024 10:30</t>
  </si>
  <si>
    <t>11-04-2024 10:45</t>
  </si>
  <si>
    <t>11-04-2024 11:00</t>
  </si>
  <si>
    <t>11-04-2024 11:15</t>
  </si>
  <si>
    <t>11-04-2024 11:30</t>
  </si>
  <si>
    <t>11-04-2024 11:45</t>
  </si>
  <si>
    <t>11-04-2024 12:00</t>
  </si>
  <si>
    <t>11-04-2024 12:15</t>
  </si>
  <si>
    <t>11-04-2024 12:30</t>
  </si>
  <si>
    <t>11-04-2024 12:45</t>
  </si>
  <si>
    <t>11-04-2024 13:00</t>
  </si>
  <si>
    <t>11-04-2024 13:15</t>
  </si>
  <si>
    <t>11-04-2024 13:30</t>
  </si>
  <si>
    <t>11-04-2024 13:45</t>
  </si>
  <si>
    <t>11-04-2024 14:00</t>
  </si>
  <si>
    <t>11-04-2024 14:15</t>
  </si>
  <si>
    <t>11-04-2024 14:30</t>
  </si>
  <si>
    <t>11-04-2024 14:45</t>
  </si>
  <si>
    <t>11-04-2024 15:00</t>
  </si>
  <si>
    <t>11-04-2024 15:15</t>
  </si>
  <si>
    <t>11-04-2024 15:30</t>
  </si>
  <si>
    <t>11-04-2024 15:45</t>
  </si>
  <si>
    <t>11-04-2024 16:00</t>
  </si>
  <si>
    <t>11-04-2024 16:15</t>
  </si>
  <si>
    <t>11-04-2024 16:30</t>
  </si>
  <si>
    <t>11-04-2024 16:45</t>
  </si>
  <si>
    <t>11-04-2024 17:00</t>
  </si>
  <si>
    <t>11-04-2024 17:15</t>
  </si>
  <si>
    <t>11-04-2024 17:30</t>
  </si>
  <si>
    <t>11-04-2024 17:45</t>
  </si>
  <si>
    <t>11-04-2024 18:00</t>
  </si>
  <si>
    <t>11-04-2024 18:15</t>
  </si>
  <si>
    <t>11-04-2024 18:30</t>
  </si>
  <si>
    <t>11-04-2024 18:45</t>
  </si>
  <si>
    <t>11-04-2024 19:00</t>
  </si>
  <si>
    <t>11-04-2024 19:15</t>
  </si>
  <si>
    <t>11-04-2024 19:30</t>
  </si>
  <si>
    <t>11-04-2024 19:45</t>
  </si>
  <si>
    <t>11-04-2024 20:00</t>
  </si>
  <si>
    <t>11-04-2024 20:15</t>
  </si>
  <si>
    <t>11-04-2024 20:30</t>
  </si>
  <si>
    <t>11-04-2024 20:45</t>
  </si>
  <si>
    <t>11-04-2024 21:00</t>
  </si>
  <si>
    <t>11-04-2024 21:15</t>
  </si>
  <si>
    <t>11-04-2024 21:30</t>
  </si>
  <si>
    <t>11-04-2024 21:45</t>
  </si>
  <si>
    <t>11-04-2024 22:00</t>
  </si>
  <si>
    <t>11-04-2024 22:15</t>
  </si>
  <si>
    <t>11-04-2024 22:30</t>
  </si>
  <si>
    <t>11-04-2024 22:45</t>
  </si>
  <si>
    <t>11-04-2024 23:00</t>
  </si>
  <si>
    <t>11-04-2024 23:15</t>
  </si>
  <si>
    <t>11-04-2024 23:30</t>
  </si>
  <si>
    <t>11-04-2024 23:45</t>
  </si>
  <si>
    <t>11-04-2024 24:00</t>
  </si>
  <si>
    <t>12-04-2024 00:15</t>
  </si>
  <si>
    <t>12-04-2024 00:30</t>
  </si>
  <si>
    <t>12-04-2024 00:45</t>
  </si>
  <si>
    <t>12-04-2024 01:00</t>
  </si>
  <si>
    <t>12-04-2024 01:15</t>
  </si>
  <si>
    <t>12-04-2024 01:30</t>
  </si>
  <si>
    <t>12-04-2024 01:45</t>
  </si>
  <si>
    <t>12-04-2024 02:00</t>
  </si>
  <si>
    <t>12-04-2024 02:15</t>
  </si>
  <si>
    <t>12-04-2024 02:30</t>
  </si>
  <si>
    <t>12-04-2024 02:45</t>
  </si>
  <si>
    <t>12-04-2024 03:00</t>
  </si>
  <si>
    <t>12-04-2024 03:15</t>
  </si>
  <si>
    <t>12-04-2024 03:30</t>
  </si>
  <si>
    <t>12-04-2024 03:45</t>
  </si>
  <si>
    <t>12-04-2024 04:00</t>
  </si>
  <si>
    <t>12-04-2024 04:15</t>
  </si>
  <si>
    <t>12-04-2024 04:30</t>
  </si>
  <si>
    <t>12-04-2024 04:45</t>
  </si>
  <si>
    <t>12-04-2024 05:00</t>
  </si>
  <si>
    <t>12-04-2024 05:15</t>
  </si>
  <si>
    <t>12-04-2024 05:30</t>
  </si>
  <si>
    <t>12-04-2024 05:45</t>
  </si>
  <si>
    <t>12-04-2024 06:00</t>
  </si>
  <si>
    <t>12-04-2024 06:15</t>
  </si>
  <si>
    <t>12-04-2024 06:30</t>
  </si>
  <si>
    <t>12-04-2024 06:45</t>
  </si>
  <si>
    <t>12-04-2024 07:00</t>
  </si>
  <si>
    <t>12-04-2024 07:15</t>
  </si>
  <si>
    <t>12-04-2024 07:30</t>
  </si>
  <si>
    <t>12-04-2024 07:45</t>
  </si>
  <si>
    <t>12-04-2024 08:00</t>
  </si>
  <si>
    <t>12-04-2024 08:15</t>
  </si>
  <si>
    <t>12-04-2024 08:30</t>
  </si>
  <si>
    <t>12-04-2024 08:45</t>
  </si>
  <si>
    <t>12-04-2024 09:00</t>
  </si>
  <si>
    <t>12-04-2024 09:15</t>
  </si>
  <si>
    <t>12-04-2024 09:30</t>
  </si>
  <si>
    <t>12-04-2024 09:45</t>
  </si>
  <si>
    <t>12-04-2024 10:00</t>
  </si>
  <si>
    <t>12-04-2024 10:15</t>
  </si>
  <si>
    <t>12-04-2024 10:30</t>
  </si>
  <si>
    <t>12-04-2024 10:45</t>
  </si>
  <si>
    <t>12-04-2024 11:00</t>
  </si>
  <si>
    <t>12-04-2024 11:15</t>
  </si>
  <si>
    <t>12-04-2024 11:30</t>
  </si>
  <si>
    <t>12-04-2024 11:45</t>
  </si>
  <si>
    <t>12-04-2024 12:00</t>
  </si>
  <si>
    <t>12-04-2024 12:15</t>
  </si>
  <si>
    <t>12-04-2024 12:30</t>
  </si>
  <si>
    <t>12-04-2024 12:45</t>
  </si>
  <si>
    <t>12-04-2024 13:00</t>
  </si>
  <si>
    <t>12-04-2024 13:15</t>
  </si>
  <si>
    <t>12-04-2024 13:30</t>
  </si>
  <si>
    <t>12-04-2024 13:45</t>
  </si>
  <si>
    <t>12-04-2024 14:00</t>
  </si>
  <si>
    <t>12-04-2024 14:15</t>
  </si>
  <si>
    <t>12-04-2024 14:30</t>
  </si>
  <si>
    <t>12-04-2024 14:45</t>
  </si>
  <si>
    <t>12-04-2024 15:00</t>
  </si>
  <si>
    <t>12-04-2024 15:15</t>
  </si>
  <si>
    <t>12-04-2024 15:30</t>
  </si>
  <si>
    <t>12-04-2024 15:45</t>
  </si>
  <si>
    <t>12-04-2024 16:00</t>
  </si>
  <si>
    <t>12-04-2024 16:15</t>
  </si>
  <si>
    <t>12-04-2024 16:30</t>
  </si>
  <si>
    <t>12-04-2024 16:45</t>
  </si>
  <si>
    <t>12-04-2024 17:00</t>
  </si>
  <si>
    <t>12-04-2024 17:15</t>
  </si>
  <si>
    <t>12-04-2024 17:30</t>
  </si>
  <si>
    <t>12-04-2024 17:45</t>
  </si>
  <si>
    <t>12-04-2024 18:00</t>
  </si>
  <si>
    <t>12-04-2024 18:15</t>
  </si>
  <si>
    <t>12-04-2024 18:30</t>
  </si>
  <si>
    <t>12-04-2024 18:45</t>
  </si>
  <si>
    <t>12-04-2024 19:00</t>
  </si>
  <si>
    <t>12-04-2024 19:15</t>
  </si>
  <si>
    <t>12-04-2024 19:30</t>
  </si>
  <si>
    <t>12-04-2024 19:45</t>
  </si>
  <si>
    <t>12-04-2024 20:00</t>
  </si>
  <si>
    <t>12-04-2024 20:15</t>
  </si>
  <si>
    <t>12-04-2024 20:30</t>
  </si>
  <si>
    <t>12-04-2024 20:45</t>
  </si>
  <si>
    <t>12-04-2024 21:00</t>
  </si>
  <si>
    <t>12-04-2024 21:15</t>
  </si>
  <si>
    <t>12-04-2024 21:30</t>
  </si>
  <si>
    <t>12-04-2024 21:45</t>
  </si>
  <si>
    <t>12-04-2024 22:00</t>
  </si>
  <si>
    <t>12-04-2024 22:15</t>
  </si>
  <si>
    <t>12-04-2024 22:30</t>
  </si>
  <si>
    <t>12-04-2024 22:45</t>
  </si>
  <si>
    <t>12-04-2024 23:00</t>
  </si>
  <si>
    <t>12-04-2024 23:15</t>
  </si>
  <si>
    <t>12-04-2024 23:30</t>
  </si>
  <si>
    <t>12-04-2024 23:45</t>
  </si>
  <si>
    <t>12-04-2024 24:00</t>
  </si>
  <si>
    <t>13-04-2024 00:15</t>
  </si>
  <si>
    <t>13-04-2024 00:30</t>
  </si>
  <si>
    <t>13-04-2024 00:45</t>
  </si>
  <si>
    <t>13-04-2024 01:00</t>
  </si>
  <si>
    <t>13-04-2024 01:15</t>
  </si>
  <si>
    <t>13-04-2024 01:30</t>
  </si>
  <si>
    <t>13-04-2024 01:45</t>
  </si>
  <si>
    <t>13-04-2024 02:00</t>
  </si>
  <si>
    <t>13-04-2024 02:15</t>
  </si>
  <si>
    <t>13-04-2024 02:30</t>
  </si>
  <si>
    <t>13-04-2024 02:45</t>
  </si>
  <si>
    <t>13-04-2024 03:00</t>
  </si>
  <si>
    <t>13-04-2024 03:15</t>
  </si>
  <si>
    <t>13-04-2024 03:30</t>
  </si>
  <si>
    <t>13-04-2024 03:45</t>
  </si>
  <si>
    <t>13-04-2024 04:00</t>
  </si>
  <si>
    <t>13-04-2024 04:15</t>
  </si>
  <si>
    <t>13-04-2024 04:30</t>
  </si>
  <si>
    <t>13-04-2024 04:45</t>
  </si>
  <si>
    <t>13-04-2024 05:00</t>
  </si>
  <si>
    <t>13-04-2024 05:15</t>
  </si>
  <si>
    <t>13-04-2024 05:30</t>
  </si>
  <si>
    <t>13-04-2024 05:45</t>
  </si>
  <si>
    <t>13-04-2024 06:00</t>
  </si>
  <si>
    <t>13-04-2024 06:15</t>
  </si>
  <si>
    <t>13-04-2024 06:30</t>
  </si>
  <si>
    <t>13-04-2024 06:45</t>
  </si>
  <si>
    <t>13-04-2024 07:00</t>
  </si>
  <si>
    <t>13-04-2024 07:15</t>
  </si>
  <si>
    <t>13-04-2024 07:30</t>
  </si>
  <si>
    <t>13-04-2024 07:45</t>
  </si>
  <si>
    <t>13-04-2024 08:00</t>
  </si>
  <si>
    <t>13-04-2024 08:15</t>
  </si>
  <si>
    <t>13-04-2024 08:30</t>
  </si>
  <si>
    <t>13-04-2024 08:45</t>
  </si>
  <si>
    <t>13-04-2024 09:00</t>
  </si>
  <si>
    <t>13-04-2024 09:15</t>
  </si>
  <si>
    <t>13-04-2024 09:30</t>
  </si>
  <si>
    <t>13-04-2024 09:45</t>
  </si>
  <si>
    <t>13-04-2024 10:00</t>
  </si>
  <si>
    <t>13-04-2024 10:15</t>
  </si>
  <si>
    <t>13-04-2024 10:30</t>
  </si>
  <si>
    <t>13-04-2024 10:45</t>
  </si>
  <si>
    <t>13-04-2024 11:00</t>
  </si>
  <si>
    <t>13-04-2024 11:15</t>
  </si>
  <si>
    <t>13-04-2024 11:30</t>
  </si>
  <si>
    <t>13-04-2024 11:45</t>
  </si>
  <si>
    <t>13-04-2024 12:00</t>
  </si>
  <si>
    <t>13-04-2024 12:15</t>
  </si>
  <si>
    <t>13-04-2024 12:30</t>
  </si>
  <si>
    <t>13-04-2024 12:45</t>
  </si>
  <si>
    <t>13-04-2024 13:00</t>
  </si>
  <si>
    <t>13-04-2024 13:15</t>
  </si>
  <si>
    <t>13-04-2024 13:30</t>
  </si>
  <si>
    <t>13-04-2024 13:45</t>
  </si>
  <si>
    <t>13-04-2024 14:00</t>
  </si>
  <si>
    <t>13-04-2024 14:15</t>
  </si>
  <si>
    <t>13-04-2024 14:30</t>
  </si>
  <si>
    <t>13-04-2024 14:45</t>
  </si>
  <si>
    <t>13-04-2024 15:00</t>
  </si>
  <si>
    <t>13-04-2024 15:15</t>
  </si>
  <si>
    <t>13-04-2024 15:30</t>
  </si>
  <si>
    <t>13-04-2024 15:45</t>
  </si>
  <si>
    <t>13-04-2024 16:00</t>
  </si>
  <si>
    <t>13-04-2024 16:15</t>
  </si>
  <si>
    <t>13-04-2024 16:30</t>
  </si>
  <si>
    <t>13-04-2024 16:45</t>
  </si>
  <si>
    <t>13-04-2024 17:00</t>
  </si>
  <si>
    <t>13-04-2024 17:15</t>
  </si>
  <si>
    <t>13-04-2024 17:30</t>
  </si>
  <si>
    <t>13-04-2024 17:45</t>
  </si>
  <si>
    <t>13-04-2024 18:00</t>
  </si>
  <si>
    <t>13-04-2024 18:15</t>
  </si>
  <si>
    <t>13-04-2024 18:30</t>
  </si>
  <si>
    <t>13-04-2024 18:45</t>
  </si>
  <si>
    <t>13-04-2024 19:00</t>
  </si>
  <si>
    <t>13-04-2024 19:15</t>
  </si>
  <si>
    <t>13-04-2024 19:30</t>
  </si>
  <si>
    <t>13-04-2024 19:45</t>
  </si>
  <si>
    <t>13-04-2024 20:00</t>
  </si>
  <si>
    <t>13-04-2024 20:15</t>
  </si>
  <si>
    <t>13-04-2024 20:30</t>
  </si>
  <si>
    <t>13-04-2024 20:45</t>
  </si>
  <si>
    <t>13-04-2024 21:00</t>
  </si>
  <si>
    <t>13-04-2024 21:15</t>
  </si>
  <si>
    <t>13-04-2024 21:30</t>
  </si>
  <si>
    <t>13-04-2024 21:45</t>
  </si>
  <si>
    <t>13-04-2024 22:00</t>
  </si>
  <si>
    <t>13-04-2024 22:15</t>
  </si>
  <si>
    <t>13-04-2024 22:30</t>
  </si>
  <si>
    <t>13-04-2024 22:45</t>
  </si>
  <si>
    <t>13-04-2024 23:00</t>
  </si>
  <si>
    <t>13-04-2024 23:15</t>
  </si>
  <si>
    <t>13-04-2024 23:30</t>
  </si>
  <si>
    <t>13-04-2024 23:45</t>
  </si>
  <si>
    <t>13-04-2024 24:00</t>
  </si>
  <si>
    <t>14-04-2024 00:15</t>
  </si>
  <si>
    <t>14-04-2024 00:30</t>
  </si>
  <si>
    <t>14-04-2024 00:45</t>
  </si>
  <si>
    <t>14-04-2024 01:00</t>
  </si>
  <si>
    <t>14-04-2024 01:15</t>
  </si>
  <si>
    <t>14-04-2024 01:30</t>
  </si>
  <si>
    <t>14-04-2024 01:45</t>
  </si>
  <si>
    <t>14-04-2024 02:00</t>
  </si>
  <si>
    <t>14-04-2024 02:15</t>
  </si>
  <si>
    <t>14-04-2024 02:30</t>
  </si>
  <si>
    <t>14-04-2024 02:45</t>
  </si>
  <si>
    <t>14-04-2024 03:00</t>
  </si>
  <si>
    <t>14-04-2024 03:15</t>
  </si>
  <si>
    <t>14-04-2024 03:30</t>
  </si>
  <si>
    <t>14-04-2024 03:45</t>
  </si>
  <si>
    <t>14-04-2024 04:00</t>
  </si>
  <si>
    <t>14-04-2024 04:15</t>
  </si>
  <si>
    <t>14-04-2024 04:30</t>
  </si>
  <si>
    <t>14-04-2024 04:45</t>
  </si>
  <si>
    <t>14-04-2024 05:00</t>
  </si>
  <si>
    <t>14-04-2024 05:15</t>
  </si>
  <si>
    <t>14-04-2024 05:30</t>
  </si>
  <si>
    <t>14-04-2024 05:45</t>
  </si>
  <si>
    <t>14-04-2024 06:00</t>
  </si>
  <si>
    <t>14-04-2024 06:15</t>
  </si>
  <si>
    <t>14-04-2024 06:30</t>
  </si>
  <si>
    <t>14-04-2024 06:45</t>
  </si>
  <si>
    <t>14-04-2024 07:00</t>
  </si>
  <si>
    <t>14-04-2024 07:15</t>
  </si>
  <si>
    <t>14-04-2024 07:30</t>
  </si>
  <si>
    <t>14-04-2024 07:45</t>
  </si>
  <si>
    <t>14-04-2024 08:00</t>
  </si>
  <si>
    <t>14-04-2024 08:15</t>
  </si>
  <si>
    <t>14-04-2024 08:30</t>
  </si>
  <si>
    <t>14-04-2024 08:45</t>
  </si>
  <si>
    <t>14-04-2024 09:00</t>
  </si>
  <si>
    <t>14-04-2024 09:15</t>
  </si>
  <si>
    <t>14-04-2024 09:30</t>
  </si>
  <si>
    <t>14-04-2024 09:45</t>
  </si>
  <si>
    <t>14-04-2024 10:00</t>
  </si>
  <si>
    <t>14-04-2024 10:15</t>
  </si>
  <si>
    <t>14-04-2024 10:30</t>
  </si>
  <si>
    <t>14-04-2024 10:45</t>
  </si>
  <si>
    <t>14-04-2024 11:00</t>
  </si>
  <si>
    <t>14-04-2024 11:15</t>
  </si>
  <si>
    <t>14-04-2024 11:30</t>
  </si>
  <si>
    <t>14-04-2024 11:45</t>
  </si>
  <si>
    <t>14-04-2024 12:00</t>
  </si>
  <si>
    <t>14-04-2024 12:15</t>
  </si>
  <si>
    <t>14-04-2024 12:30</t>
  </si>
  <si>
    <t>14-04-2024 12:45</t>
  </si>
  <si>
    <t>14-04-2024 13:00</t>
  </si>
  <si>
    <t>14-04-2024 13:15</t>
  </si>
  <si>
    <t>14-04-2024 13:30</t>
  </si>
  <si>
    <t>14-04-2024 13:45</t>
  </si>
  <si>
    <t>14-04-2024 14:00</t>
  </si>
  <si>
    <t>14-04-2024 14:15</t>
  </si>
  <si>
    <t>14-04-2024 14:30</t>
  </si>
  <si>
    <t>14-04-2024 14:45</t>
  </si>
  <si>
    <t>14-04-2024 15:00</t>
  </si>
  <si>
    <t>14-04-2024 15:15</t>
  </si>
  <si>
    <t>14-04-2024 15:30</t>
  </si>
  <si>
    <t>14-04-2024 15:45</t>
  </si>
  <si>
    <t>14-04-2024 16:00</t>
  </si>
  <si>
    <t>14-04-2024 16:15</t>
  </si>
  <si>
    <t>14-04-2024 16:30</t>
  </si>
  <si>
    <t>14-04-2024 16:45</t>
  </si>
  <si>
    <t>14-04-2024 17:00</t>
  </si>
  <si>
    <t>14-04-2024 17:15</t>
  </si>
  <si>
    <t>14-04-2024 17:30</t>
  </si>
  <si>
    <t>14-04-2024 17:45</t>
  </si>
  <si>
    <t>14-04-2024 18:00</t>
  </si>
  <si>
    <t>14-04-2024 18:15</t>
  </si>
  <si>
    <t>14-04-2024 18:30</t>
  </si>
  <si>
    <t>14-04-2024 18:45</t>
  </si>
  <si>
    <t>14-04-2024 19:00</t>
  </si>
  <si>
    <t>14-04-2024 19:15</t>
  </si>
  <si>
    <t>14-04-2024 19:30</t>
  </si>
  <si>
    <t>14-04-2024 19:45</t>
  </si>
  <si>
    <t>14-04-2024 20:00</t>
  </si>
  <si>
    <t>14-04-2024 20:15</t>
  </si>
  <si>
    <t>14-04-2024 20:30</t>
  </si>
  <si>
    <t>14-04-2024 20:45</t>
  </si>
  <si>
    <t>14-04-2024 21:00</t>
  </si>
  <si>
    <t>14-04-2024 21:15</t>
  </si>
  <si>
    <t>14-04-2024 21:30</t>
  </si>
  <si>
    <t>14-04-2024 21:45</t>
  </si>
  <si>
    <t>14-04-2024 22:00</t>
  </si>
  <si>
    <t>14-04-2024 22:15</t>
  </si>
  <si>
    <t>14-04-2024 22:30</t>
  </si>
  <si>
    <t>14-04-2024 22:45</t>
  </si>
  <si>
    <t>14-04-2024 23:00</t>
  </si>
  <si>
    <t>14-04-2024 23:15</t>
  </si>
  <si>
    <t>14-04-2024 23:30</t>
  </si>
  <si>
    <t>14-04-2024 23:45</t>
  </si>
  <si>
    <t>14-04-2024 24:00</t>
  </si>
  <si>
    <t>15-04-2024 00:15</t>
  </si>
  <si>
    <t>15-04-2024 00:30</t>
  </si>
  <si>
    <t>15-04-2024 00:45</t>
  </si>
  <si>
    <t>15-04-2024 01:00</t>
  </si>
  <si>
    <t>15-04-2024 01:15</t>
  </si>
  <si>
    <t>15-04-2024 01:30</t>
  </si>
  <si>
    <t>15-04-2024 01:45</t>
  </si>
  <si>
    <t>15-04-2024 02:00</t>
  </si>
  <si>
    <t>15-04-2024 02:15</t>
  </si>
  <si>
    <t>15-04-2024 02:30</t>
  </si>
  <si>
    <t>15-04-2024 02:45</t>
  </si>
  <si>
    <t>15-04-2024 03:00</t>
  </si>
  <si>
    <t>15-04-2024 03:15</t>
  </si>
  <si>
    <t>15-04-2024 03:30</t>
  </si>
  <si>
    <t>15-04-2024 03:45</t>
  </si>
  <si>
    <t>15-04-2024 04:00</t>
  </si>
  <si>
    <t>15-04-2024 04:15</t>
  </si>
  <si>
    <t>15-04-2024 04:30</t>
  </si>
  <si>
    <t>15-04-2024 04:45</t>
  </si>
  <si>
    <t>15-04-2024 05:00</t>
  </si>
  <si>
    <t>15-04-2024 05:15</t>
  </si>
  <si>
    <t>15-04-2024 05:30</t>
  </si>
  <si>
    <t>15-04-2024 05:45</t>
  </si>
  <si>
    <t>15-04-2024 06:00</t>
  </si>
  <si>
    <t>15-04-2024 06:15</t>
  </si>
  <si>
    <t>15-04-2024 06:30</t>
  </si>
  <si>
    <t>15-04-2024 06:45</t>
  </si>
  <si>
    <t>15-04-2024 07:00</t>
  </si>
  <si>
    <t>15-04-2024 07:15</t>
  </si>
  <si>
    <t>15-04-2024 07:30</t>
  </si>
  <si>
    <t>15-04-2024 07:45</t>
  </si>
  <si>
    <t>15-04-2024 08:00</t>
  </si>
  <si>
    <t>15-04-2024 08:15</t>
  </si>
  <si>
    <t>15-04-2024 08:30</t>
  </si>
  <si>
    <t>15-04-2024 08:45</t>
  </si>
  <si>
    <t>15-04-2024 09:00</t>
  </si>
  <si>
    <t>15-04-2024 09:15</t>
  </si>
  <si>
    <t>15-04-2024 09:30</t>
  </si>
  <si>
    <t>15-04-2024 09:45</t>
  </si>
  <si>
    <t>15-04-2024 10:00</t>
  </si>
  <si>
    <t>15-04-2024 10:15</t>
  </si>
  <si>
    <t>15-04-2024 10:30</t>
  </si>
  <si>
    <t>15-04-2024 10:45</t>
  </si>
  <si>
    <t>15-04-2024 11:00</t>
  </si>
  <si>
    <t>15-04-2024 11:15</t>
  </si>
  <si>
    <t>15-04-2024 11:30</t>
  </si>
  <si>
    <t>15-04-2024 11:45</t>
  </si>
  <si>
    <t>15-04-2024 12:00</t>
  </si>
  <si>
    <t>15-04-2024 12:15</t>
  </si>
  <si>
    <t>15-04-2024 12:30</t>
  </si>
  <si>
    <t>15-04-2024 12:45</t>
  </si>
  <si>
    <t>15-04-2024 13:00</t>
  </si>
  <si>
    <t>15-04-2024 13:15</t>
  </si>
  <si>
    <t>15-04-2024 13:30</t>
  </si>
  <si>
    <t>15-04-2024 13:45</t>
  </si>
  <si>
    <t>15-04-2024 14:00</t>
  </si>
  <si>
    <t>15-04-2024 14:15</t>
  </si>
  <si>
    <t>15-04-2024 14:30</t>
  </si>
  <si>
    <t>15-04-2024 14:45</t>
  </si>
  <si>
    <t>15-04-2024 15:00</t>
  </si>
  <si>
    <t>15-04-2024 15:15</t>
  </si>
  <si>
    <t>15-04-2024 15:30</t>
  </si>
  <si>
    <t>15-04-2024 15:45</t>
  </si>
  <si>
    <t>15-04-2024 16:00</t>
  </si>
  <si>
    <t>15-04-2024 16:15</t>
  </si>
  <si>
    <t>15-04-2024 16:30</t>
  </si>
  <si>
    <t>15-04-2024 16:45</t>
  </si>
  <si>
    <t>15-04-2024 17:00</t>
  </si>
  <si>
    <t>15-04-2024 17:15</t>
  </si>
  <si>
    <t>15-04-2024 17:30</t>
  </si>
  <si>
    <t>15-04-2024 17:45</t>
  </si>
  <si>
    <t>15-04-2024 18:00</t>
  </si>
  <si>
    <t>15-04-2024 18:15</t>
  </si>
  <si>
    <t>15-04-2024 18:30</t>
  </si>
  <si>
    <t>15-04-2024 18:45</t>
  </si>
  <si>
    <t>15-04-2024 19:00</t>
  </si>
  <si>
    <t>15-04-2024 19:15</t>
  </si>
  <si>
    <t>15-04-2024 19:30</t>
  </si>
  <si>
    <t>15-04-2024 19:45</t>
  </si>
  <si>
    <t>15-04-2024 20:00</t>
  </si>
  <si>
    <t>15-04-2024 20:15</t>
  </si>
  <si>
    <t>15-04-2024 20:30</t>
  </si>
  <si>
    <t>15-04-2024 20:45</t>
  </si>
  <si>
    <t>15-04-2024 21:00</t>
  </si>
  <si>
    <t>15-04-2024 21:15</t>
  </si>
  <si>
    <t>15-04-2024 21:30</t>
  </si>
  <si>
    <t>15-04-2024 21:45</t>
  </si>
  <si>
    <t>15-04-2024 22:00</t>
  </si>
  <si>
    <t>15-04-2024 22:15</t>
  </si>
  <si>
    <t>15-04-2024 22:30</t>
  </si>
  <si>
    <t>15-04-2024 22:45</t>
  </si>
  <si>
    <t>15-04-2024 23:00</t>
  </si>
  <si>
    <t>15-04-2024 23:15</t>
  </si>
  <si>
    <t>15-04-2024 23:30</t>
  </si>
  <si>
    <t>15-04-2024 23:45</t>
  </si>
  <si>
    <t>15-04-2024 24:00</t>
  </si>
  <si>
    <t>16-04-2024 00:15</t>
  </si>
  <si>
    <t>16-04-2024 00:30</t>
  </si>
  <si>
    <t>16-04-2024 00:45</t>
  </si>
  <si>
    <t>16-04-2024 01:00</t>
  </si>
  <si>
    <t>16-04-2024 01:15</t>
  </si>
  <si>
    <t>16-04-2024 01:30</t>
  </si>
  <si>
    <t>16-04-2024 01:45</t>
  </si>
  <si>
    <t>16-04-2024 02:00</t>
  </si>
  <si>
    <t>16-04-2024 02:15</t>
  </si>
  <si>
    <t>16-04-2024 02:30</t>
  </si>
  <si>
    <t>16-04-2024 02:45</t>
  </si>
  <si>
    <t>16-04-2024 03:00</t>
  </si>
  <si>
    <t>16-04-2024 03:15</t>
  </si>
  <si>
    <t>16-04-2024 03:30</t>
  </si>
  <si>
    <t>16-04-2024 03:45</t>
  </si>
  <si>
    <t>16-04-2024 04:00</t>
  </si>
  <si>
    <t>16-04-2024 04:15</t>
  </si>
  <si>
    <t>16-04-2024 04:30</t>
  </si>
  <si>
    <t>16-04-2024 04:45</t>
  </si>
  <si>
    <t>16-04-2024 05:00</t>
  </si>
  <si>
    <t>16-04-2024 05:15</t>
  </si>
  <si>
    <t>16-04-2024 05:30</t>
  </si>
  <si>
    <t>16-04-2024 05:45</t>
  </si>
  <si>
    <t>16-04-2024 06:00</t>
  </si>
  <si>
    <t>16-04-2024 06:15</t>
  </si>
  <si>
    <t>16-04-2024 06:30</t>
  </si>
  <si>
    <t>16-04-2024 06:45</t>
  </si>
  <si>
    <t>16-04-2024 07:00</t>
  </si>
  <si>
    <t>16-04-2024 07:15</t>
  </si>
  <si>
    <t>16-04-2024 07:30</t>
  </si>
  <si>
    <t>16-04-2024 07:45</t>
  </si>
  <si>
    <t>16-04-2024 08:00</t>
  </si>
  <si>
    <t>16-04-2024 08:15</t>
  </si>
  <si>
    <t>16-04-2024 08:30</t>
  </si>
  <si>
    <t>16-04-2024 08:45</t>
  </si>
  <si>
    <t>16-04-2024 09:00</t>
  </si>
  <si>
    <t>16-04-2024 09:15</t>
  </si>
  <si>
    <t>16-04-2024 09:30</t>
  </si>
  <si>
    <t>16-04-2024 09:45</t>
  </si>
  <si>
    <t>16-04-2024 10:00</t>
  </si>
  <si>
    <t>16-04-2024 10:15</t>
  </si>
  <si>
    <t>16-04-2024 10:30</t>
  </si>
  <si>
    <t>16-04-2024 10:45</t>
  </si>
  <si>
    <t>16-04-2024 11:00</t>
  </si>
  <si>
    <t>16-04-2024 11:15</t>
  </si>
  <si>
    <t>16-04-2024 11:30</t>
  </si>
  <si>
    <t>16-04-2024 11:45</t>
  </si>
  <si>
    <t>16-04-2024 12:00</t>
  </si>
  <si>
    <t>16-04-2024 12:15</t>
  </si>
  <si>
    <t>16-04-2024 12:30</t>
  </si>
  <si>
    <t>16-04-2024 12:45</t>
  </si>
  <si>
    <t>16-04-2024 13:00</t>
  </si>
  <si>
    <t>16-04-2024 13:15</t>
  </si>
  <si>
    <t>16-04-2024 13:30</t>
  </si>
  <si>
    <t>16-04-2024 13:45</t>
  </si>
  <si>
    <t>16-04-2024 14:00</t>
  </si>
  <si>
    <t>16-04-2024 14:15</t>
  </si>
  <si>
    <t>16-04-2024 14:30</t>
  </si>
  <si>
    <t>16-04-2024 14:45</t>
  </si>
  <si>
    <t>16-04-2024 15:00</t>
  </si>
  <si>
    <t>16-04-2024 15:15</t>
  </si>
  <si>
    <t>16-04-2024 15:30</t>
  </si>
  <si>
    <t>16-04-2024 15:45</t>
  </si>
  <si>
    <t>16-04-2024 16:00</t>
  </si>
  <si>
    <t>16-04-2024 16:15</t>
  </si>
  <si>
    <t>16-04-2024 16:30</t>
  </si>
  <si>
    <t>16-04-2024 16:45</t>
  </si>
  <si>
    <t>16-04-2024 17:00</t>
  </si>
  <si>
    <t>16-04-2024 17:15</t>
  </si>
  <si>
    <t>16-04-2024 17:30</t>
  </si>
  <si>
    <t>16-04-2024 17:45</t>
  </si>
  <si>
    <t>16-04-2024 18:00</t>
  </si>
  <si>
    <t>16-04-2024 18:15</t>
  </si>
  <si>
    <t>16-04-2024 18:30</t>
  </si>
  <si>
    <t>16-04-2024 18:45</t>
  </si>
  <si>
    <t>16-04-2024 19:00</t>
  </si>
  <si>
    <t>16-04-2024 19:15</t>
  </si>
  <si>
    <t>16-04-2024 19:30</t>
  </si>
  <si>
    <t>16-04-2024 19:45</t>
  </si>
  <si>
    <t>16-04-2024 20:00</t>
  </si>
  <si>
    <t>16-04-2024 20:15</t>
  </si>
  <si>
    <t>16-04-2024 20:30</t>
  </si>
  <si>
    <t>16-04-2024 20:45</t>
  </si>
  <si>
    <t>16-04-2024 21:00</t>
  </si>
  <si>
    <t>16-04-2024 21:15</t>
  </si>
  <si>
    <t>16-04-2024 21:30</t>
  </si>
  <si>
    <t>16-04-2024 21:45</t>
  </si>
  <si>
    <t>16-04-2024 22:00</t>
  </si>
  <si>
    <t>16-04-2024 22:15</t>
  </si>
  <si>
    <t>16-04-2024 22:30</t>
  </si>
  <si>
    <t>16-04-2024 22:45</t>
  </si>
  <si>
    <t>16-04-2024 23:00</t>
  </si>
  <si>
    <t>16-04-2024 23:15</t>
  </si>
  <si>
    <t>16-04-2024 23:30</t>
  </si>
  <si>
    <t>16-04-2024 23:45</t>
  </si>
  <si>
    <t>16-04-2024 24:00</t>
  </si>
  <si>
    <t>17-04-2024 00:15</t>
  </si>
  <si>
    <t>17-04-2024 00:30</t>
  </si>
  <si>
    <t>17-04-2024 00:45</t>
  </si>
  <si>
    <t>17-04-2024 01:00</t>
  </si>
  <si>
    <t>17-04-2024 01:15</t>
  </si>
  <si>
    <t>17-04-2024 01:30</t>
  </si>
  <si>
    <t>17-04-2024 01:45</t>
  </si>
  <si>
    <t>17-04-2024 02:00</t>
  </si>
  <si>
    <t>17-04-2024 02:15</t>
  </si>
  <si>
    <t>17-04-2024 02:30</t>
  </si>
  <si>
    <t>17-04-2024 02:45</t>
  </si>
  <si>
    <t>17-04-2024 03:00</t>
  </si>
  <si>
    <t>17-04-2024 03:15</t>
  </si>
  <si>
    <t>17-04-2024 03:30</t>
  </si>
  <si>
    <t>17-04-2024 03:45</t>
  </si>
  <si>
    <t>17-04-2024 04:00</t>
  </si>
  <si>
    <t>17-04-2024 04:15</t>
  </si>
  <si>
    <t>17-04-2024 04:30</t>
  </si>
  <si>
    <t>17-04-2024 04:45</t>
  </si>
  <si>
    <t>17-04-2024 05:00</t>
  </si>
  <si>
    <t>17-04-2024 05:15</t>
  </si>
  <si>
    <t>17-04-2024 05:30</t>
  </si>
  <si>
    <t>17-04-2024 05:45</t>
  </si>
  <si>
    <t>17-04-2024 06:00</t>
  </si>
  <si>
    <t>17-04-2024 06:15</t>
  </si>
  <si>
    <t>17-04-2024 06:30</t>
  </si>
  <si>
    <t>17-04-2024 06:45</t>
  </si>
  <si>
    <t>17-04-2024 07:00</t>
  </si>
  <si>
    <t>17-04-2024 07:15</t>
  </si>
  <si>
    <t>17-04-2024 07:30</t>
  </si>
  <si>
    <t>17-04-2024 07:45</t>
  </si>
  <si>
    <t>17-04-2024 08:00</t>
  </si>
  <si>
    <t>17-04-2024 08:15</t>
  </si>
  <si>
    <t>17-04-2024 08:30</t>
  </si>
  <si>
    <t>17-04-2024 08:45</t>
  </si>
  <si>
    <t>17-04-2024 09:00</t>
  </si>
  <si>
    <t>17-04-2024 09:15</t>
  </si>
  <si>
    <t>17-04-2024 09:30</t>
  </si>
  <si>
    <t>17-04-2024 09:45</t>
  </si>
  <si>
    <t>17-04-2024 10:00</t>
  </si>
  <si>
    <t>17-04-2024 10:15</t>
  </si>
  <si>
    <t>17-04-2024 10:30</t>
  </si>
  <si>
    <t>17-04-2024 10:45</t>
  </si>
  <si>
    <t>17-04-2024 11:00</t>
  </si>
  <si>
    <t>17-04-2024 11:15</t>
  </si>
  <si>
    <t>17-04-2024 11:30</t>
  </si>
  <si>
    <t>17-04-2024 11:45</t>
  </si>
  <si>
    <t>17-04-2024 12:00</t>
  </si>
  <si>
    <t>17-04-2024 12:15</t>
  </si>
  <si>
    <t>17-04-2024 12:30</t>
  </si>
  <si>
    <t>17-04-2024 12:45</t>
  </si>
  <si>
    <t>17-04-2024 13:00</t>
  </si>
  <si>
    <t>17-04-2024 13:15</t>
  </si>
  <si>
    <t>17-04-2024 13:30</t>
  </si>
  <si>
    <t>17-04-2024 13:45</t>
  </si>
  <si>
    <t>17-04-2024 14:00</t>
  </si>
  <si>
    <t>17-04-2024 14:15</t>
  </si>
  <si>
    <t>17-04-2024 14:30</t>
  </si>
  <si>
    <t>17-04-2024 14:45</t>
  </si>
  <si>
    <t>17-04-2024 15:00</t>
  </si>
  <si>
    <t>17-04-2024 15:15</t>
  </si>
  <si>
    <t>17-04-2024 15:30</t>
  </si>
  <si>
    <t>17-04-2024 15:45</t>
  </si>
  <si>
    <t>17-04-2024 16:00</t>
  </si>
  <si>
    <t>17-04-2024 16:15</t>
  </si>
  <si>
    <t>17-04-2024 16:30</t>
  </si>
  <si>
    <t>17-04-2024 16:45</t>
  </si>
  <si>
    <t>17-04-2024 17:00</t>
  </si>
  <si>
    <t>17-04-2024 17:15</t>
  </si>
  <si>
    <t>17-04-2024 17:30</t>
  </si>
  <si>
    <t>17-04-2024 17:45</t>
  </si>
  <si>
    <t>17-04-2024 18:00</t>
  </si>
  <si>
    <t>17-04-2024 18:15</t>
  </si>
  <si>
    <t>17-04-2024 18:30</t>
  </si>
  <si>
    <t>17-04-2024 18:45</t>
  </si>
  <si>
    <t>17-04-2024 19:00</t>
  </si>
  <si>
    <t>17-04-2024 19:15</t>
  </si>
  <si>
    <t>17-04-2024 19:30</t>
  </si>
  <si>
    <t>17-04-2024 19:45</t>
  </si>
  <si>
    <t>17-04-2024 20:00</t>
  </si>
  <si>
    <t>17-04-2024 20:15</t>
  </si>
  <si>
    <t>17-04-2024 20:30</t>
  </si>
  <si>
    <t>17-04-2024 20:45</t>
  </si>
  <si>
    <t>17-04-2024 21:00</t>
  </si>
  <si>
    <t>17-04-2024 21:15</t>
  </si>
  <si>
    <t>17-04-2024 21:30</t>
  </si>
  <si>
    <t>17-04-2024 21:45</t>
  </si>
  <si>
    <t>17-04-2024 22:00</t>
  </si>
  <si>
    <t>17-04-2024 22:15</t>
  </si>
  <si>
    <t>17-04-2024 22:30</t>
  </si>
  <si>
    <t>17-04-2024 22:45</t>
  </si>
  <si>
    <t>17-04-2024 23:00</t>
  </si>
  <si>
    <t>17-04-2024 23:15</t>
  </si>
  <si>
    <t>17-04-2024 23:30</t>
  </si>
  <si>
    <t>17-04-2024 23:45</t>
  </si>
  <si>
    <t>17-04-2024 24:00</t>
  </si>
  <si>
    <t>18-04-2024 00:15</t>
  </si>
  <si>
    <t>18-04-2024 00:30</t>
  </si>
  <si>
    <t>18-04-2024 00:45</t>
  </si>
  <si>
    <t>18-04-2024 01:00</t>
  </si>
  <si>
    <t>18-04-2024 01:15</t>
  </si>
  <si>
    <t>18-04-2024 01:30</t>
  </si>
  <si>
    <t>18-04-2024 01:45</t>
  </si>
  <si>
    <t>18-04-2024 02:00</t>
  </si>
  <si>
    <t>18-04-2024 02:15</t>
  </si>
  <si>
    <t>18-04-2024 02:30</t>
  </si>
  <si>
    <t>18-04-2024 02:45</t>
  </si>
  <si>
    <t>18-04-2024 03:00</t>
  </si>
  <si>
    <t>18-04-2024 03:15</t>
  </si>
  <si>
    <t>18-04-2024 03:30</t>
  </si>
  <si>
    <t>18-04-2024 03:45</t>
  </si>
  <si>
    <t>18-04-2024 04:00</t>
  </si>
  <si>
    <t>18-04-2024 04:15</t>
  </si>
  <si>
    <t>18-04-2024 04:30</t>
  </si>
  <si>
    <t>18-04-2024 04:45</t>
  </si>
  <si>
    <t>18-04-2024 05:00</t>
  </si>
  <si>
    <t>18-04-2024 05:15</t>
  </si>
  <si>
    <t>18-04-2024 05:30</t>
  </si>
  <si>
    <t>18-04-2024 05:45</t>
  </si>
  <si>
    <t>18-04-2024 06:00</t>
  </si>
  <si>
    <t>18-04-2024 06:15</t>
  </si>
  <si>
    <t>18-04-2024 06:30</t>
  </si>
  <si>
    <t>18-04-2024 06:45</t>
  </si>
  <si>
    <t>18-04-2024 07:00</t>
  </si>
  <si>
    <t>18-04-2024 07:15</t>
  </si>
  <si>
    <t>18-04-2024 07:30</t>
  </si>
  <si>
    <t>18-04-2024 07:45</t>
  </si>
  <si>
    <t>18-04-2024 08:00</t>
  </si>
  <si>
    <t>18-04-2024 08:15</t>
  </si>
  <si>
    <t>18-04-2024 08:30</t>
  </si>
  <si>
    <t>18-04-2024 08:45</t>
  </si>
  <si>
    <t>18-04-2024 09:00</t>
  </si>
  <si>
    <t>18-04-2024 09:15</t>
  </si>
  <si>
    <t>18-04-2024 09:30</t>
  </si>
  <si>
    <t>18-04-2024 09:45</t>
  </si>
  <si>
    <t>18-04-2024 10:00</t>
  </si>
  <si>
    <t>18-04-2024 10:15</t>
  </si>
  <si>
    <t>18-04-2024 10:30</t>
  </si>
  <si>
    <t>18-04-2024 10:45</t>
  </si>
  <si>
    <t>18-04-2024 11:00</t>
  </si>
  <si>
    <t>18-04-2024 11:15</t>
  </si>
  <si>
    <t>18-04-2024 11:30</t>
  </si>
  <si>
    <t>18-04-2024 11:45</t>
  </si>
  <si>
    <t>18-04-2024 12:00</t>
  </si>
  <si>
    <t>18-04-2024 12:15</t>
  </si>
  <si>
    <t>18-04-2024 12:30</t>
  </si>
  <si>
    <t>18-04-2024 12:45</t>
  </si>
  <si>
    <t>18-04-2024 13:00</t>
  </si>
  <si>
    <t>18-04-2024 13:15</t>
  </si>
  <si>
    <t>18-04-2024 13:30</t>
  </si>
  <si>
    <t>18-04-2024 13:45</t>
  </si>
  <si>
    <t>18-04-2024 14:00</t>
  </si>
  <si>
    <t>18-04-2024 14:15</t>
  </si>
  <si>
    <t>18-04-2024 14:30</t>
  </si>
  <si>
    <t>18-04-2024 14:45</t>
  </si>
  <si>
    <t>18-04-2024 15:00</t>
  </si>
  <si>
    <t>18-04-2024 15:15</t>
  </si>
  <si>
    <t>18-04-2024 15:30</t>
  </si>
  <si>
    <t>18-04-2024 15:45</t>
  </si>
  <si>
    <t>18-04-2024 16:00</t>
  </si>
  <si>
    <t>18-04-2024 16:15</t>
  </si>
  <si>
    <t>18-04-2024 16:30</t>
  </si>
  <si>
    <t>18-04-2024 16:45</t>
  </si>
  <si>
    <t>18-04-2024 17:00</t>
  </si>
  <si>
    <t>18-04-2024 17:15</t>
  </si>
  <si>
    <t>18-04-2024 17:30</t>
  </si>
  <si>
    <t>18-04-2024 17:45</t>
  </si>
  <si>
    <t>18-04-2024 18:00</t>
  </si>
  <si>
    <t>18-04-2024 18:15</t>
  </si>
  <si>
    <t>18-04-2024 18:30</t>
  </si>
  <si>
    <t>18-04-2024 18:45</t>
  </si>
  <si>
    <t>18-04-2024 19:00</t>
  </si>
  <si>
    <t>18-04-2024 19:15</t>
  </si>
  <si>
    <t>18-04-2024 19:30</t>
  </si>
  <si>
    <t>18-04-2024 19:45</t>
  </si>
  <si>
    <t>18-04-2024 20:00</t>
  </si>
  <si>
    <t>18-04-2024 20:15</t>
  </si>
  <si>
    <t>18-04-2024 20:30</t>
  </si>
  <si>
    <t>18-04-2024 20:45</t>
  </si>
  <si>
    <t>18-04-2024 21:00</t>
  </si>
  <si>
    <t>18-04-2024 21:15</t>
  </si>
  <si>
    <t>18-04-2024 21:30</t>
  </si>
  <si>
    <t>18-04-2024 21:45</t>
  </si>
  <si>
    <t>18-04-2024 22:00</t>
  </si>
  <si>
    <t>18-04-2024 22:15</t>
  </si>
  <si>
    <t>18-04-2024 22:30</t>
  </si>
  <si>
    <t>18-04-2024 22:45</t>
  </si>
  <si>
    <t>18-04-2024 23:00</t>
  </si>
  <si>
    <t>18-04-2024 23:15</t>
  </si>
  <si>
    <t>18-04-2024 23:30</t>
  </si>
  <si>
    <t>18-04-2024 23:45</t>
  </si>
  <si>
    <t>18-04-2024 24:00</t>
  </si>
  <si>
    <t>19-04-2024 00:15</t>
  </si>
  <si>
    <t>19-04-2024 00:30</t>
  </si>
  <si>
    <t>19-04-2024 00:45</t>
  </si>
  <si>
    <t>19-04-2024 01:00</t>
  </si>
  <si>
    <t>19-04-2024 01:15</t>
  </si>
  <si>
    <t>19-04-2024 01:30</t>
  </si>
  <si>
    <t>19-04-2024 01:45</t>
  </si>
  <si>
    <t>19-04-2024 02:00</t>
  </si>
  <si>
    <t>19-04-2024 02:15</t>
  </si>
  <si>
    <t>19-04-2024 02:30</t>
  </si>
  <si>
    <t>19-04-2024 02:45</t>
  </si>
  <si>
    <t>19-04-2024 03:00</t>
  </si>
  <si>
    <t>19-04-2024 03:15</t>
  </si>
  <si>
    <t>19-04-2024 03:30</t>
  </si>
  <si>
    <t>19-04-2024 03:45</t>
  </si>
  <si>
    <t>19-04-2024 04:00</t>
  </si>
  <si>
    <t>19-04-2024 04:15</t>
  </si>
  <si>
    <t>19-04-2024 04:30</t>
  </si>
  <si>
    <t>19-04-2024 04:45</t>
  </si>
  <si>
    <t>19-04-2024 05:00</t>
  </si>
  <si>
    <t>19-04-2024 05:15</t>
  </si>
  <si>
    <t>19-04-2024 05:30</t>
  </si>
  <si>
    <t>19-04-2024 05:45</t>
  </si>
  <si>
    <t>19-04-2024 06:00</t>
  </si>
  <si>
    <t>19-04-2024 06:15</t>
  </si>
  <si>
    <t>19-04-2024 06:30</t>
  </si>
  <si>
    <t>19-04-2024 06:45</t>
  </si>
  <si>
    <t>19-04-2024 07:00</t>
  </si>
  <si>
    <t>19-04-2024 07:15</t>
  </si>
  <si>
    <t>19-04-2024 07:30</t>
  </si>
  <si>
    <t>19-04-2024 07:45</t>
  </si>
  <si>
    <t>19-04-2024 08:00</t>
  </si>
  <si>
    <t>19-04-2024 08:15</t>
  </si>
  <si>
    <t>19-04-2024 08:30</t>
  </si>
  <si>
    <t>19-04-2024 08:45</t>
  </si>
  <si>
    <t>19-04-2024 09:00</t>
  </si>
  <si>
    <t>19-04-2024 09:15</t>
  </si>
  <si>
    <t>19-04-2024 09:30</t>
  </si>
  <si>
    <t>19-04-2024 09:45</t>
  </si>
  <si>
    <t>19-04-2024 10:00</t>
  </si>
  <si>
    <t>19-04-2024 10:15</t>
  </si>
  <si>
    <t>19-04-2024 10:30</t>
  </si>
  <si>
    <t>19-04-2024 10:45</t>
  </si>
  <si>
    <t>19-04-2024 11:00</t>
  </si>
  <si>
    <t>19-04-2024 11:15</t>
  </si>
  <si>
    <t>19-04-2024 11:30</t>
  </si>
  <si>
    <t>19-04-2024 11:45</t>
  </si>
  <si>
    <t>19-04-2024 12:00</t>
  </si>
  <si>
    <t>19-04-2024 12:15</t>
  </si>
  <si>
    <t>19-04-2024 12:30</t>
  </si>
  <si>
    <t>19-04-2024 12:45</t>
  </si>
  <si>
    <t>19-04-2024 13:00</t>
  </si>
  <si>
    <t>19-04-2024 13:15</t>
  </si>
  <si>
    <t>19-04-2024 13:30</t>
  </si>
  <si>
    <t>19-04-2024 13:45</t>
  </si>
  <si>
    <t>19-04-2024 14:00</t>
  </si>
  <si>
    <t>19-04-2024 14:15</t>
  </si>
  <si>
    <t>19-04-2024 14:30</t>
  </si>
  <si>
    <t>19-04-2024 14:45</t>
  </si>
  <si>
    <t>19-04-2024 15:00</t>
  </si>
  <si>
    <t>19-04-2024 15:15</t>
  </si>
  <si>
    <t>19-04-2024 15:30</t>
  </si>
  <si>
    <t>19-04-2024 15:45</t>
  </si>
  <si>
    <t>19-04-2024 16:00</t>
  </si>
  <si>
    <t>19-04-2024 16:15</t>
  </si>
  <si>
    <t>19-04-2024 16:30</t>
  </si>
  <si>
    <t>19-04-2024 16:45</t>
  </si>
  <si>
    <t>19-04-2024 17:00</t>
  </si>
  <si>
    <t>19-04-2024 17:15</t>
  </si>
  <si>
    <t>19-04-2024 17:30</t>
  </si>
  <si>
    <t>19-04-2024 17:45</t>
  </si>
  <si>
    <t>19-04-2024 18:00</t>
  </si>
  <si>
    <t>19-04-2024 18:15</t>
  </si>
  <si>
    <t>19-04-2024 18:30</t>
  </si>
  <si>
    <t>19-04-2024 18:45</t>
  </si>
  <si>
    <t>19-04-2024 19:00</t>
  </si>
  <si>
    <t>19-04-2024 19:15</t>
  </si>
  <si>
    <t>19-04-2024 19:30</t>
  </si>
  <si>
    <t>19-04-2024 19:45</t>
  </si>
  <si>
    <t>19-04-2024 20:00</t>
  </si>
  <si>
    <t>19-04-2024 20:15</t>
  </si>
  <si>
    <t>19-04-2024 20:30</t>
  </si>
  <si>
    <t>19-04-2024 20:45</t>
  </si>
  <si>
    <t>19-04-2024 21:00</t>
  </si>
  <si>
    <t>19-04-2024 21:15</t>
  </si>
  <si>
    <t>19-04-2024 21:30</t>
  </si>
  <si>
    <t>19-04-2024 21:45</t>
  </si>
  <si>
    <t>19-04-2024 22:00</t>
  </si>
  <si>
    <t>19-04-2024 22:15</t>
  </si>
  <si>
    <t>19-04-2024 22:30</t>
  </si>
  <si>
    <t>19-04-2024 22:45</t>
  </si>
  <si>
    <t>19-04-2024 23:00</t>
  </si>
  <si>
    <t>19-04-2024 23:15</t>
  </si>
  <si>
    <t>19-04-2024 23:30</t>
  </si>
  <si>
    <t>19-04-2024 23:45</t>
  </si>
  <si>
    <t>19-04-2024 24:00</t>
  </si>
  <si>
    <t>20-04-2024 00:15</t>
  </si>
  <si>
    <t>20-04-2024 00:30</t>
  </si>
  <si>
    <t>20-04-2024 00:45</t>
  </si>
  <si>
    <t>20-04-2024 01:00</t>
  </si>
  <si>
    <t>20-04-2024 01:15</t>
  </si>
  <si>
    <t>20-04-2024 01:30</t>
  </si>
  <si>
    <t>20-04-2024 01:45</t>
  </si>
  <si>
    <t>20-04-2024 02:00</t>
  </si>
  <si>
    <t>20-04-2024 02:15</t>
  </si>
  <si>
    <t>20-04-2024 02:30</t>
  </si>
  <si>
    <t>20-04-2024 02:45</t>
  </si>
  <si>
    <t>20-04-2024 03:00</t>
  </si>
  <si>
    <t>20-04-2024 03:15</t>
  </si>
  <si>
    <t>20-04-2024 03:30</t>
  </si>
  <si>
    <t>20-04-2024 03:45</t>
  </si>
  <si>
    <t>20-04-2024 04:00</t>
  </si>
  <si>
    <t>20-04-2024 04:15</t>
  </si>
  <si>
    <t>20-04-2024 04:30</t>
  </si>
  <si>
    <t>20-04-2024 04:45</t>
  </si>
  <si>
    <t>20-04-2024 05:00</t>
  </si>
  <si>
    <t>20-04-2024 05:15</t>
  </si>
  <si>
    <t>20-04-2024 05:30</t>
  </si>
  <si>
    <t>20-04-2024 05:45</t>
  </si>
  <si>
    <t>20-04-2024 06:00</t>
  </si>
  <si>
    <t>20-04-2024 06:15</t>
  </si>
  <si>
    <t>20-04-2024 06:30</t>
  </si>
  <si>
    <t>20-04-2024 06:45</t>
  </si>
  <si>
    <t>20-04-2024 07:00</t>
  </si>
  <si>
    <t>20-04-2024 07:15</t>
  </si>
  <si>
    <t>20-04-2024 07:30</t>
  </si>
  <si>
    <t>20-04-2024 07:45</t>
  </si>
  <si>
    <t>20-04-2024 08:00</t>
  </si>
  <si>
    <t>20-04-2024 08:15</t>
  </si>
  <si>
    <t>20-04-2024 08:30</t>
  </si>
  <si>
    <t>20-04-2024 08:45</t>
  </si>
  <si>
    <t>20-04-2024 09:00</t>
  </si>
  <si>
    <t>20-04-2024 09:15</t>
  </si>
  <si>
    <t>20-04-2024 09:30</t>
  </si>
  <si>
    <t>20-04-2024 09:45</t>
  </si>
  <si>
    <t>20-04-2024 10:00</t>
  </si>
  <si>
    <t>20-04-2024 10:15</t>
  </si>
  <si>
    <t>20-04-2024 10:30</t>
  </si>
  <si>
    <t>20-04-2024 10:45</t>
  </si>
  <si>
    <t>20-04-2024 11:00</t>
  </si>
  <si>
    <t>20-04-2024 11:15</t>
  </si>
  <si>
    <t>20-04-2024 11:30</t>
  </si>
  <si>
    <t>20-04-2024 11:45</t>
  </si>
  <si>
    <t>20-04-2024 12:00</t>
  </si>
  <si>
    <t>20-04-2024 12:15</t>
  </si>
  <si>
    <t>20-04-2024 12:30</t>
  </si>
  <si>
    <t>20-04-2024 12:45</t>
  </si>
  <si>
    <t>20-04-2024 13:00</t>
  </si>
  <si>
    <t>20-04-2024 13:15</t>
  </si>
  <si>
    <t>20-04-2024 13:30</t>
  </si>
  <si>
    <t>20-04-2024 13:45</t>
  </si>
  <si>
    <t>20-04-2024 14:00</t>
  </si>
  <si>
    <t>20-04-2024 14:15</t>
  </si>
  <si>
    <t>20-04-2024 14:30</t>
  </si>
  <si>
    <t>20-04-2024 14:45</t>
  </si>
  <si>
    <t>20-04-2024 15:00</t>
  </si>
  <si>
    <t>20-04-2024 15:15</t>
  </si>
  <si>
    <t>20-04-2024 15:30</t>
  </si>
  <si>
    <t>20-04-2024 15:45</t>
  </si>
  <si>
    <t>20-04-2024 16:00</t>
  </si>
  <si>
    <t>20-04-2024 16:15</t>
  </si>
  <si>
    <t>20-04-2024 16:30</t>
  </si>
  <si>
    <t>20-04-2024 16:45</t>
  </si>
  <si>
    <t>20-04-2024 17:00</t>
  </si>
  <si>
    <t>20-04-2024 17:15</t>
  </si>
  <si>
    <t>20-04-2024 17:30</t>
  </si>
  <si>
    <t>20-04-2024 17:45</t>
  </si>
  <si>
    <t>20-04-2024 18:00</t>
  </si>
  <si>
    <t>20-04-2024 18:15</t>
  </si>
  <si>
    <t>20-04-2024 18:30</t>
  </si>
  <si>
    <t>20-04-2024 18:45</t>
  </si>
  <si>
    <t>20-04-2024 19:00</t>
  </si>
  <si>
    <t>20-04-2024 19:15</t>
  </si>
  <si>
    <t>20-04-2024 19:30</t>
  </si>
  <si>
    <t>20-04-2024 19:45</t>
  </si>
  <si>
    <t>20-04-2024 20:00</t>
  </si>
  <si>
    <t>20-04-2024 20:15</t>
  </si>
  <si>
    <t>20-04-2024 20:30</t>
  </si>
  <si>
    <t>20-04-2024 20:45</t>
  </si>
  <si>
    <t>20-04-2024 21:00</t>
  </si>
  <si>
    <t>20-04-2024 21:15</t>
  </si>
  <si>
    <t>20-04-2024 21:30</t>
  </si>
  <si>
    <t>20-04-2024 21:45</t>
  </si>
  <si>
    <t>20-04-2024 22:00</t>
  </si>
  <si>
    <t>20-04-2024 22:15</t>
  </si>
  <si>
    <t>20-04-2024 22:30</t>
  </si>
  <si>
    <t>20-04-2024 22:45</t>
  </si>
  <si>
    <t>20-04-2024 23:00</t>
  </si>
  <si>
    <t>20-04-2024 23:15</t>
  </si>
  <si>
    <t>20-04-2024 23:30</t>
  </si>
  <si>
    <t>20-04-2024 23:45</t>
  </si>
  <si>
    <t>20-04-2024 24:00</t>
  </si>
  <si>
    <t>21-04-2024 00:15</t>
  </si>
  <si>
    <t>21-04-2024 00:30</t>
  </si>
  <si>
    <t>21-04-2024 00:45</t>
  </si>
  <si>
    <t>21-04-2024 01:00</t>
  </si>
  <si>
    <t>21-04-2024 01:15</t>
  </si>
  <si>
    <t>21-04-2024 01:30</t>
  </si>
  <si>
    <t>21-04-2024 01:45</t>
  </si>
  <si>
    <t>21-04-2024 02:00</t>
  </si>
  <si>
    <t>21-04-2024 02:15</t>
  </si>
  <si>
    <t>21-04-2024 02:30</t>
  </si>
  <si>
    <t>21-04-2024 02:45</t>
  </si>
  <si>
    <t>21-04-2024 03:00</t>
  </si>
  <si>
    <t>21-04-2024 03:15</t>
  </si>
  <si>
    <t>21-04-2024 03:30</t>
  </si>
  <si>
    <t>21-04-2024 03:45</t>
  </si>
  <si>
    <t>21-04-2024 04:00</t>
  </si>
  <si>
    <t>21-04-2024 04:15</t>
  </si>
  <si>
    <t>21-04-2024 04:30</t>
  </si>
  <si>
    <t>21-04-2024 04:45</t>
  </si>
  <si>
    <t>21-04-2024 05:00</t>
  </si>
  <si>
    <t>21-04-2024 05:15</t>
  </si>
  <si>
    <t>21-04-2024 05:30</t>
  </si>
  <si>
    <t>21-04-2024 05:45</t>
  </si>
  <si>
    <t>21-04-2024 06:00</t>
  </si>
  <si>
    <t>21-04-2024 06:15</t>
  </si>
  <si>
    <t>21-04-2024 06:30</t>
  </si>
  <si>
    <t>21-04-2024 06:45</t>
  </si>
  <si>
    <t>21-04-2024 07:00</t>
  </si>
  <si>
    <t>21-04-2024 07:15</t>
  </si>
  <si>
    <t>21-04-2024 07:30</t>
  </si>
  <si>
    <t>21-04-2024 07:45</t>
  </si>
  <si>
    <t>21-04-2024 08:00</t>
  </si>
  <si>
    <t>21-04-2024 08:15</t>
  </si>
  <si>
    <t>21-04-2024 08:30</t>
  </si>
  <si>
    <t>21-04-2024 08:45</t>
  </si>
  <si>
    <t>21-04-2024 09:00</t>
  </si>
  <si>
    <t>21-04-2024 09:15</t>
  </si>
  <si>
    <t>21-04-2024 09:30</t>
  </si>
  <si>
    <t>21-04-2024 09:45</t>
  </si>
  <si>
    <t>21-04-2024 10:00</t>
  </si>
  <si>
    <t>21-04-2024 10:15</t>
  </si>
  <si>
    <t>21-04-2024 10:30</t>
  </si>
  <si>
    <t>21-04-2024 10:45</t>
  </si>
  <si>
    <t>21-04-2024 11:00</t>
  </si>
  <si>
    <t>21-04-2024 11:15</t>
  </si>
  <si>
    <t>21-04-2024 11:30</t>
  </si>
  <si>
    <t>21-04-2024 11:45</t>
  </si>
  <si>
    <t>21-04-2024 12:00</t>
  </si>
  <si>
    <t>21-04-2024 12:15</t>
  </si>
  <si>
    <t>21-04-2024 12:30</t>
  </si>
  <si>
    <t>21-04-2024 12:45</t>
  </si>
  <si>
    <t>21-04-2024 13:00</t>
  </si>
  <si>
    <t>21-04-2024 13:15</t>
  </si>
  <si>
    <t>21-04-2024 13:30</t>
  </si>
  <si>
    <t>21-04-2024 13:45</t>
  </si>
  <si>
    <t>21-04-2024 14:00</t>
  </si>
  <si>
    <t>21-04-2024 14:15</t>
  </si>
  <si>
    <t>21-04-2024 14:30</t>
  </si>
  <si>
    <t>21-04-2024 14:45</t>
  </si>
  <si>
    <t>21-04-2024 15:00</t>
  </si>
  <si>
    <t>21-04-2024 15:15</t>
  </si>
  <si>
    <t>21-04-2024 15:30</t>
  </si>
  <si>
    <t>21-04-2024 15:45</t>
  </si>
  <si>
    <t>21-04-2024 16:00</t>
  </si>
  <si>
    <t>21-04-2024 16:15</t>
  </si>
  <si>
    <t>21-04-2024 16:30</t>
  </si>
  <si>
    <t>21-04-2024 16:45</t>
  </si>
  <si>
    <t>21-04-2024 17:00</t>
  </si>
  <si>
    <t>21-04-2024 17:15</t>
  </si>
  <si>
    <t>21-04-2024 17:30</t>
  </si>
  <si>
    <t>21-04-2024 17:45</t>
  </si>
  <si>
    <t>21-04-2024 18:00</t>
  </si>
  <si>
    <t>21-04-2024 18:15</t>
  </si>
  <si>
    <t>21-04-2024 18:30</t>
  </si>
  <si>
    <t>21-04-2024 18:45</t>
  </si>
  <si>
    <t>21-04-2024 19:00</t>
  </si>
  <si>
    <t>21-04-2024 19:15</t>
  </si>
  <si>
    <t>21-04-2024 19:30</t>
  </si>
  <si>
    <t>21-04-2024 19:45</t>
  </si>
  <si>
    <t>21-04-2024 20:00</t>
  </si>
  <si>
    <t>21-04-2024 20:15</t>
  </si>
  <si>
    <t>21-04-2024 20:30</t>
  </si>
  <si>
    <t>21-04-2024 20:45</t>
  </si>
  <si>
    <t>21-04-2024 21:00</t>
  </si>
  <si>
    <t>21-04-2024 21:15</t>
  </si>
  <si>
    <t>21-04-2024 21:30</t>
  </si>
  <si>
    <t>21-04-2024 21:45</t>
  </si>
  <si>
    <t>21-04-2024 22:00</t>
  </si>
  <si>
    <t>21-04-2024 22:15</t>
  </si>
  <si>
    <t>21-04-2024 22:30</t>
  </si>
  <si>
    <t>21-04-2024 22:45</t>
  </si>
  <si>
    <t>21-04-2024 23:00</t>
  </si>
  <si>
    <t>21-04-2024 23:15</t>
  </si>
  <si>
    <t>21-04-2024 23:30</t>
  </si>
  <si>
    <t>21-04-2024 23:45</t>
  </si>
  <si>
    <t>21-04-2024 24:00</t>
  </si>
  <si>
    <t>22-04-2024 00:15</t>
  </si>
  <si>
    <t>22-04-2024 00:30</t>
  </si>
  <si>
    <t>22-04-2024 00:45</t>
  </si>
  <si>
    <t>22-04-2024 01:00</t>
  </si>
  <si>
    <t>22-04-2024 01:15</t>
  </si>
  <si>
    <t>22-04-2024 01:30</t>
  </si>
  <si>
    <t>22-04-2024 01:45</t>
  </si>
  <si>
    <t>22-04-2024 02:00</t>
  </si>
  <si>
    <t>22-04-2024 02:15</t>
  </si>
  <si>
    <t>22-04-2024 02:30</t>
  </si>
  <si>
    <t>22-04-2024 02:45</t>
  </si>
  <si>
    <t>22-04-2024 03:00</t>
  </si>
  <si>
    <t>22-04-2024 03:15</t>
  </si>
  <si>
    <t>22-04-2024 03:30</t>
  </si>
  <si>
    <t>22-04-2024 03:45</t>
  </si>
  <si>
    <t>22-04-2024 04:00</t>
  </si>
  <si>
    <t>22-04-2024 04:15</t>
  </si>
  <si>
    <t>22-04-2024 04:30</t>
  </si>
  <si>
    <t>22-04-2024 04:45</t>
  </si>
  <si>
    <t>22-04-2024 05:00</t>
  </si>
  <si>
    <t>22-04-2024 05:15</t>
  </si>
  <si>
    <t>22-04-2024 05:30</t>
  </si>
  <si>
    <t>22-04-2024 05:45</t>
  </si>
  <si>
    <t>22-04-2024 06:00</t>
  </si>
  <si>
    <t>22-04-2024 06:15</t>
  </si>
  <si>
    <t>22-04-2024 06:30</t>
  </si>
  <si>
    <t>22-04-2024 06:45</t>
  </si>
  <si>
    <t>22-04-2024 07:00</t>
  </si>
  <si>
    <t>22-04-2024 07:15</t>
  </si>
  <si>
    <t>22-04-2024 07:30</t>
  </si>
  <si>
    <t>22-04-2024 07:45</t>
  </si>
  <si>
    <t>22-04-2024 08:00</t>
  </si>
  <si>
    <t>22-04-2024 08:15</t>
  </si>
  <si>
    <t>22-04-2024 08:30</t>
  </si>
  <si>
    <t>22-04-2024 08:45</t>
  </si>
  <si>
    <t>22-04-2024 09:00</t>
  </si>
  <si>
    <t>22-04-2024 09:15</t>
  </si>
  <si>
    <t>22-04-2024 09:30</t>
  </si>
  <si>
    <t>22-04-2024 09:45</t>
  </si>
  <si>
    <t>22-04-2024 10:00</t>
  </si>
  <si>
    <t>22-04-2024 10:15</t>
  </si>
  <si>
    <t>22-04-2024 10:30</t>
  </si>
  <si>
    <t>22-04-2024 10:45</t>
  </si>
  <si>
    <t>22-04-2024 11:00</t>
  </si>
  <si>
    <t>22-04-2024 11:15</t>
  </si>
  <si>
    <t>22-04-2024 11:30</t>
  </si>
  <si>
    <t>22-04-2024 11:45</t>
  </si>
  <si>
    <t>22-04-2024 12:00</t>
  </si>
  <si>
    <t>22-04-2024 12:15</t>
  </si>
  <si>
    <t>22-04-2024 12:30</t>
  </si>
  <si>
    <t>22-04-2024 12:45</t>
  </si>
  <si>
    <t>22-04-2024 13:00</t>
  </si>
  <si>
    <t>22-04-2024 13:15</t>
  </si>
  <si>
    <t>22-04-2024 13:30</t>
  </si>
  <si>
    <t>22-04-2024 13:45</t>
  </si>
  <si>
    <t>22-04-2024 14:00</t>
  </si>
  <si>
    <t>22-04-2024 14:15</t>
  </si>
  <si>
    <t>22-04-2024 14:30</t>
  </si>
  <si>
    <t>22-04-2024 14:45</t>
  </si>
  <si>
    <t>22-04-2024 15:00</t>
  </si>
  <si>
    <t>22-04-2024 15:15</t>
  </si>
  <si>
    <t>22-04-2024 15:30</t>
  </si>
  <si>
    <t>22-04-2024 15:45</t>
  </si>
  <si>
    <t>22-04-2024 16:00</t>
  </si>
  <si>
    <t>22-04-2024 16:15</t>
  </si>
  <si>
    <t>22-04-2024 16:30</t>
  </si>
  <si>
    <t>22-04-2024 16:45</t>
  </si>
  <si>
    <t>22-04-2024 17:00</t>
  </si>
  <si>
    <t>22-04-2024 17:15</t>
  </si>
  <si>
    <t>22-04-2024 17:30</t>
  </si>
  <si>
    <t>22-04-2024 17:45</t>
  </si>
  <si>
    <t>22-04-2024 18:00</t>
  </si>
  <si>
    <t>22-04-2024 18:15</t>
  </si>
  <si>
    <t>22-04-2024 18:30</t>
  </si>
  <si>
    <t>22-04-2024 18:45</t>
  </si>
  <si>
    <t>22-04-2024 19:00</t>
  </si>
  <si>
    <t>22-04-2024 19:15</t>
  </si>
  <si>
    <t>22-04-2024 19:30</t>
  </si>
  <si>
    <t>22-04-2024 19:45</t>
  </si>
  <si>
    <t>22-04-2024 20:00</t>
  </si>
  <si>
    <t>22-04-2024 20:15</t>
  </si>
  <si>
    <t>22-04-2024 20:30</t>
  </si>
  <si>
    <t>22-04-2024 20:45</t>
  </si>
  <si>
    <t>22-04-2024 21:00</t>
  </si>
  <si>
    <t>22-04-2024 21:15</t>
  </si>
  <si>
    <t>22-04-2024 21:30</t>
  </si>
  <si>
    <t>22-04-2024 21:45</t>
  </si>
  <si>
    <t>22-04-2024 22:00</t>
  </si>
  <si>
    <t>22-04-2024 22:15</t>
  </si>
  <si>
    <t>22-04-2024 22:30</t>
  </si>
  <si>
    <t>22-04-2024 22:45</t>
  </si>
  <si>
    <t>22-04-2024 23:00</t>
  </si>
  <si>
    <t>22-04-2024 23:15</t>
  </si>
  <si>
    <t>22-04-2024 23:30</t>
  </si>
  <si>
    <t>22-04-2024 23:45</t>
  </si>
  <si>
    <t>22-04-2024 24:00</t>
  </si>
  <si>
    <t>23-04-2024 00:15</t>
  </si>
  <si>
    <t>23-04-2024 00:30</t>
  </si>
  <si>
    <t>23-04-2024 00:45</t>
  </si>
  <si>
    <t>23-04-2024 01:00</t>
  </si>
  <si>
    <t>23-04-2024 01:15</t>
  </si>
  <si>
    <t>23-04-2024 01:30</t>
  </si>
  <si>
    <t>23-04-2024 01:45</t>
  </si>
  <si>
    <t>23-04-2024 02:00</t>
  </si>
  <si>
    <t>23-04-2024 02:15</t>
  </si>
  <si>
    <t>23-04-2024 02:30</t>
  </si>
  <si>
    <t>23-04-2024 02:45</t>
  </si>
  <si>
    <t>23-04-2024 03:00</t>
  </si>
  <si>
    <t>23-04-2024 03:15</t>
  </si>
  <si>
    <t>23-04-2024 03:30</t>
  </si>
  <si>
    <t>23-04-2024 03:45</t>
  </si>
  <si>
    <t>23-04-2024 04:00</t>
  </si>
  <si>
    <t>23-04-2024 04:15</t>
  </si>
  <si>
    <t>23-04-2024 04:30</t>
  </si>
  <si>
    <t>23-04-2024 04:45</t>
  </si>
  <si>
    <t>23-04-2024 05:00</t>
  </si>
  <si>
    <t>23-04-2024 05:15</t>
  </si>
  <si>
    <t>23-04-2024 05:30</t>
  </si>
  <si>
    <t>23-04-2024 05:45</t>
  </si>
  <si>
    <t>23-04-2024 06:00</t>
  </si>
  <si>
    <t>23-04-2024 06:15</t>
  </si>
  <si>
    <t>23-04-2024 06:30</t>
  </si>
  <si>
    <t>23-04-2024 06:45</t>
  </si>
  <si>
    <t>23-04-2024 07:00</t>
  </si>
  <si>
    <t>23-04-2024 07:15</t>
  </si>
  <si>
    <t>23-04-2024 07:30</t>
  </si>
  <si>
    <t>23-04-2024 07:45</t>
  </si>
  <si>
    <t>23-04-2024 08:00</t>
  </si>
  <si>
    <t>23-04-2024 08:15</t>
  </si>
  <si>
    <t>23-04-2024 08:30</t>
  </si>
  <si>
    <t>23-04-2024 08:45</t>
  </si>
  <si>
    <t>23-04-2024 09:00</t>
  </si>
  <si>
    <t>23-04-2024 09:15</t>
  </si>
  <si>
    <t>23-04-2024 09:30</t>
  </si>
  <si>
    <t>23-04-2024 09:45</t>
  </si>
  <si>
    <t>23-04-2024 10:00</t>
  </si>
  <si>
    <t>23-04-2024 10:15</t>
  </si>
  <si>
    <t>23-04-2024 10:30</t>
  </si>
  <si>
    <t>23-04-2024 10:45</t>
  </si>
  <si>
    <t>23-04-2024 11:00</t>
  </si>
  <si>
    <t>23-04-2024 11:15</t>
  </si>
  <si>
    <t>23-04-2024 11:30</t>
  </si>
  <si>
    <t>23-04-2024 11:45</t>
  </si>
  <si>
    <t>23-04-2024 12:00</t>
  </si>
  <si>
    <t>23-04-2024 12:15</t>
  </si>
  <si>
    <t>23-04-2024 12:30</t>
  </si>
  <si>
    <t>23-04-2024 12:45</t>
  </si>
  <si>
    <t>23-04-2024 13:00</t>
  </si>
  <si>
    <t>23-04-2024 13:15</t>
  </si>
  <si>
    <t>23-04-2024 13:30</t>
  </si>
  <si>
    <t>23-04-2024 13:45</t>
  </si>
  <si>
    <t>23-04-2024 14:00</t>
  </si>
  <si>
    <t>23-04-2024 14:15</t>
  </si>
  <si>
    <t>23-04-2024 14:30</t>
  </si>
  <si>
    <t>23-04-2024 14:45</t>
  </si>
  <si>
    <t>23-04-2024 15:00</t>
  </si>
  <si>
    <t>23-04-2024 15:15</t>
  </si>
  <si>
    <t>23-04-2024 15:30</t>
  </si>
  <si>
    <t>23-04-2024 15:45</t>
  </si>
  <si>
    <t>23-04-2024 16:00</t>
  </si>
  <si>
    <t>23-04-2024 16:15</t>
  </si>
  <si>
    <t>23-04-2024 16:30</t>
  </si>
  <si>
    <t>23-04-2024 16:45</t>
  </si>
  <si>
    <t>23-04-2024 17:00</t>
  </si>
  <si>
    <t>23-04-2024 17:15</t>
  </si>
  <si>
    <t>23-04-2024 17:30</t>
  </si>
  <si>
    <t>23-04-2024 17:45</t>
  </si>
  <si>
    <t>23-04-2024 18:00</t>
  </si>
  <si>
    <t>23-04-2024 18:15</t>
  </si>
  <si>
    <t>23-04-2024 18:30</t>
  </si>
  <si>
    <t>23-04-2024 18:45</t>
  </si>
  <si>
    <t>23-04-2024 19:00</t>
  </si>
  <si>
    <t>23-04-2024 19:15</t>
  </si>
  <si>
    <t>23-04-2024 19:30</t>
  </si>
  <si>
    <t>23-04-2024 19:45</t>
  </si>
  <si>
    <t>23-04-2024 20:00</t>
  </si>
  <si>
    <t>23-04-2024 20:15</t>
  </si>
  <si>
    <t>23-04-2024 20:30</t>
  </si>
  <si>
    <t>23-04-2024 20:45</t>
  </si>
  <si>
    <t>23-04-2024 21:00</t>
  </si>
  <si>
    <t>23-04-2024 21:15</t>
  </si>
  <si>
    <t>23-04-2024 21:30</t>
  </si>
  <si>
    <t>23-04-2024 21:45</t>
  </si>
  <si>
    <t>23-04-2024 22:00</t>
  </si>
  <si>
    <t>23-04-2024 22:15</t>
  </si>
  <si>
    <t>23-04-2024 22:30</t>
  </si>
  <si>
    <t>23-04-2024 22:45</t>
  </si>
  <si>
    <t>23-04-2024 23:00</t>
  </si>
  <si>
    <t>23-04-2024 23:15</t>
  </si>
  <si>
    <t>23-04-2024 23:30</t>
  </si>
  <si>
    <t>23-04-2024 23:45</t>
  </si>
  <si>
    <t>23-04-2024 24:00</t>
  </si>
  <si>
    <t>24-04-2024 00:15</t>
  </si>
  <si>
    <t>24-04-2024 00:30</t>
  </si>
  <si>
    <t>24-04-2024 00:45</t>
  </si>
  <si>
    <t>24-04-2024 01:00</t>
  </si>
  <si>
    <t>24-04-2024 01:15</t>
  </si>
  <si>
    <t>24-04-2024 01:30</t>
  </si>
  <si>
    <t>24-04-2024 01:45</t>
  </si>
  <si>
    <t>24-04-2024 02:00</t>
  </si>
  <si>
    <t>24-04-2024 02:15</t>
  </si>
  <si>
    <t>24-04-2024 02:30</t>
  </si>
  <si>
    <t>24-04-2024 02:45</t>
  </si>
  <si>
    <t>24-04-2024 03:00</t>
  </si>
  <si>
    <t>24-04-2024 03:15</t>
  </si>
  <si>
    <t>24-04-2024 03:30</t>
  </si>
  <si>
    <t>24-04-2024 03:45</t>
  </si>
  <si>
    <t>24-04-2024 04:00</t>
  </si>
  <si>
    <t>24-04-2024 04:15</t>
  </si>
  <si>
    <t>24-04-2024 04:30</t>
  </si>
  <si>
    <t>24-04-2024 04:45</t>
  </si>
  <si>
    <t>24-04-2024 05:00</t>
  </si>
  <si>
    <t>24-04-2024 05:15</t>
  </si>
  <si>
    <t>24-04-2024 05:30</t>
  </si>
  <si>
    <t>24-04-2024 05:45</t>
  </si>
  <si>
    <t>24-04-2024 06:00</t>
  </si>
  <si>
    <t>24-04-2024 06:15</t>
  </si>
  <si>
    <t>24-04-2024 06:30</t>
  </si>
  <si>
    <t>24-04-2024 06:45</t>
  </si>
  <si>
    <t>24-04-2024 07:00</t>
  </si>
  <si>
    <t>24-04-2024 07:15</t>
  </si>
  <si>
    <t>24-04-2024 07:30</t>
  </si>
  <si>
    <t>24-04-2024 07:45</t>
  </si>
  <si>
    <t>24-04-2024 08:00</t>
  </si>
  <si>
    <t>24-04-2024 08:15</t>
  </si>
  <si>
    <t>24-04-2024 08:30</t>
  </si>
  <si>
    <t>24-04-2024 08:45</t>
  </si>
  <si>
    <t>24-04-2024 09:00</t>
  </si>
  <si>
    <t>24-04-2024 09:15</t>
  </si>
  <si>
    <t>24-04-2024 09:30</t>
  </si>
  <si>
    <t>24-04-2024 09:45</t>
  </si>
  <si>
    <t>24-04-2024 10:00</t>
  </si>
  <si>
    <t>24-04-2024 10:15</t>
  </si>
  <si>
    <t>24-04-2024 10:30</t>
  </si>
  <si>
    <t>24-04-2024 10:45</t>
  </si>
  <si>
    <t>24-04-2024 11:00</t>
  </si>
  <si>
    <t>24-04-2024 11:15</t>
  </si>
  <si>
    <t>24-04-2024 11:30</t>
  </si>
  <si>
    <t>24-04-2024 11:45</t>
  </si>
  <si>
    <t>24-04-2024 12:00</t>
  </si>
  <si>
    <t>24-04-2024 12:15</t>
  </si>
  <si>
    <t>24-04-2024 12:30</t>
  </si>
  <si>
    <t>24-04-2024 12:45</t>
  </si>
  <si>
    <t>24-04-2024 13:00</t>
  </si>
  <si>
    <t>24-04-2024 13:15</t>
  </si>
  <si>
    <t>24-04-2024 13:30</t>
  </si>
  <si>
    <t>24-04-2024 13:45</t>
  </si>
  <si>
    <t>24-04-2024 14:00</t>
  </si>
  <si>
    <t>24-04-2024 14:15</t>
  </si>
  <si>
    <t>24-04-2024 14:30</t>
  </si>
  <si>
    <t>24-04-2024 14:45</t>
  </si>
  <si>
    <t>24-04-2024 15:00</t>
  </si>
  <si>
    <t>24-04-2024 15:15</t>
  </si>
  <si>
    <t>24-04-2024 15:30</t>
  </si>
  <si>
    <t>24-04-2024 15:45</t>
  </si>
  <si>
    <t>24-04-2024 16:00</t>
  </si>
  <si>
    <t>24-04-2024 16:15</t>
  </si>
  <si>
    <t>24-04-2024 16:30</t>
  </si>
  <si>
    <t>24-04-2024 16:45</t>
  </si>
  <si>
    <t>24-04-2024 17:00</t>
  </si>
  <si>
    <t>24-04-2024 17:15</t>
  </si>
  <si>
    <t>24-04-2024 17:30</t>
  </si>
  <si>
    <t>24-04-2024 17:45</t>
  </si>
  <si>
    <t>24-04-2024 18:00</t>
  </si>
  <si>
    <t>24-04-2024 18:15</t>
  </si>
  <si>
    <t>24-04-2024 18:30</t>
  </si>
  <si>
    <t>24-04-2024 18:45</t>
  </si>
  <si>
    <t>24-04-2024 19:00</t>
  </si>
  <si>
    <t>24-04-2024 19:15</t>
  </si>
  <si>
    <t>24-04-2024 19:30</t>
  </si>
  <si>
    <t>24-04-2024 19:45</t>
  </si>
  <si>
    <t>24-04-2024 20:00</t>
  </si>
  <si>
    <t>24-04-2024 20:15</t>
  </si>
  <si>
    <t>24-04-2024 20:30</t>
  </si>
  <si>
    <t>24-04-2024 20:45</t>
  </si>
  <si>
    <t>24-04-2024 21:00</t>
  </si>
  <si>
    <t>24-04-2024 21:15</t>
  </si>
  <si>
    <t>24-04-2024 21:30</t>
  </si>
  <si>
    <t>24-04-2024 21:45</t>
  </si>
  <si>
    <t>24-04-2024 22:00</t>
  </si>
  <si>
    <t>24-04-2024 22:15</t>
  </si>
  <si>
    <t>24-04-2024 22:30</t>
  </si>
  <si>
    <t>24-04-2024 22:45</t>
  </si>
  <si>
    <t>24-04-2024 23:00</t>
  </si>
  <si>
    <t>24-04-2024 23:15</t>
  </si>
  <si>
    <t>24-04-2024 23:30</t>
  </si>
  <si>
    <t>24-04-2024 23:45</t>
  </si>
  <si>
    <t>24-04-2024 24:00</t>
  </si>
  <si>
    <t>25-04-2024 00:15</t>
  </si>
  <si>
    <t>25-04-2024 00:30</t>
  </si>
  <si>
    <t>25-04-2024 00:45</t>
  </si>
  <si>
    <t>25-04-2024 01:00</t>
  </si>
  <si>
    <t>25-04-2024 01:15</t>
  </si>
  <si>
    <t>25-04-2024 01:30</t>
  </si>
  <si>
    <t>25-04-2024 01:45</t>
  </si>
  <si>
    <t>25-04-2024 02:00</t>
  </si>
  <si>
    <t>25-04-2024 02:15</t>
  </si>
  <si>
    <t>25-04-2024 02:30</t>
  </si>
  <si>
    <t>25-04-2024 02:45</t>
  </si>
  <si>
    <t>25-04-2024 03:00</t>
  </si>
  <si>
    <t>25-04-2024 03:15</t>
  </si>
  <si>
    <t>25-04-2024 03:30</t>
  </si>
  <si>
    <t>25-04-2024 03:45</t>
  </si>
  <si>
    <t>25-04-2024 04:00</t>
  </si>
  <si>
    <t>25-04-2024 04:15</t>
  </si>
  <si>
    <t>25-04-2024 04:30</t>
  </si>
  <si>
    <t>25-04-2024 04:45</t>
  </si>
  <si>
    <t>25-04-2024 05:00</t>
  </si>
  <si>
    <t>25-04-2024 05:15</t>
  </si>
  <si>
    <t>25-04-2024 05:30</t>
  </si>
  <si>
    <t>25-04-2024 05:45</t>
  </si>
  <si>
    <t>25-04-2024 06:00</t>
  </si>
  <si>
    <t>25-04-2024 06:15</t>
  </si>
  <si>
    <t>25-04-2024 06:30</t>
  </si>
  <si>
    <t>25-04-2024 06:45</t>
  </si>
  <si>
    <t>25-04-2024 07:00</t>
  </si>
  <si>
    <t>25-04-2024 07:15</t>
  </si>
  <si>
    <t>25-04-2024 07:30</t>
  </si>
  <si>
    <t>25-04-2024 07:45</t>
  </si>
  <si>
    <t>25-04-2024 08:00</t>
  </si>
  <si>
    <t>25-04-2024 08:15</t>
  </si>
  <si>
    <t>25-04-2024 08:30</t>
  </si>
  <si>
    <t>25-04-2024 08:45</t>
  </si>
  <si>
    <t>25-04-2024 09:00</t>
  </si>
  <si>
    <t>25-04-2024 09:15</t>
  </si>
  <si>
    <t>25-04-2024 09:30</t>
  </si>
  <si>
    <t>25-04-2024 09:45</t>
  </si>
  <si>
    <t>25-04-2024 10:00</t>
  </si>
  <si>
    <t>25-04-2024 10:15</t>
  </si>
  <si>
    <t>25-04-2024 10:30</t>
  </si>
  <si>
    <t>25-04-2024 10:45</t>
  </si>
  <si>
    <t>25-04-2024 11:00</t>
  </si>
  <si>
    <t>25-04-2024 11:15</t>
  </si>
  <si>
    <t>25-04-2024 11:30</t>
  </si>
  <si>
    <t>25-04-2024 11:45</t>
  </si>
  <si>
    <t>25-04-2024 12:00</t>
  </si>
  <si>
    <t>25-04-2024 12:15</t>
  </si>
  <si>
    <t>25-04-2024 12:30</t>
  </si>
  <si>
    <t>25-04-2024 12:45</t>
  </si>
  <si>
    <t>25-04-2024 13:00</t>
  </si>
  <si>
    <t>25-04-2024 13:15</t>
  </si>
  <si>
    <t>25-04-2024 13:30</t>
  </si>
  <si>
    <t>25-04-2024 13:45</t>
  </si>
  <si>
    <t>25-04-2024 14:00</t>
  </si>
  <si>
    <t>25-04-2024 14:15</t>
  </si>
  <si>
    <t>25-04-2024 14:30</t>
  </si>
  <si>
    <t>25-04-2024 14:45</t>
  </si>
  <si>
    <t>25-04-2024 15:00</t>
  </si>
  <si>
    <t>25-04-2024 15:15</t>
  </si>
  <si>
    <t>25-04-2024 15:30</t>
  </si>
  <si>
    <t>25-04-2024 15:45</t>
  </si>
  <si>
    <t>25-04-2024 16:00</t>
  </si>
  <si>
    <t>25-04-2024 16:15</t>
  </si>
  <si>
    <t>25-04-2024 16:30</t>
  </si>
  <si>
    <t>25-04-2024 16:45</t>
  </si>
  <si>
    <t>25-04-2024 17:00</t>
  </si>
  <si>
    <t>25-04-2024 17:15</t>
  </si>
  <si>
    <t>25-04-2024 17:30</t>
  </si>
  <si>
    <t>25-04-2024 17:45</t>
  </si>
  <si>
    <t>25-04-2024 18:00</t>
  </si>
  <si>
    <t>25-04-2024 18:15</t>
  </si>
  <si>
    <t>25-04-2024 18:30</t>
  </si>
  <si>
    <t>25-04-2024 18:45</t>
  </si>
  <si>
    <t>25-04-2024 19:00</t>
  </si>
  <si>
    <t>25-04-2024 19:15</t>
  </si>
  <si>
    <t>25-04-2024 19:30</t>
  </si>
  <si>
    <t>25-04-2024 19:45</t>
  </si>
  <si>
    <t>25-04-2024 20:00</t>
  </si>
  <si>
    <t>25-04-2024 20:15</t>
  </si>
  <si>
    <t>25-04-2024 20:30</t>
  </si>
  <si>
    <t>25-04-2024 20:45</t>
  </si>
  <si>
    <t>25-04-2024 21:00</t>
  </si>
  <si>
    <t>25-04-2024 21:15</t>
  </si>
  <si>
    <t>25-04-2024 21:30</t>
  </si>
  <si>
    <t>25-04-2024 21:45</t>
  </si>
  <si>
    <t>25-04-2024 22:00</t>
  </si>
  <si>
    <t>25-04-2024 22:15</t>
  </si>
  <si>
    <t>25-04-2024 22:30</t>
  </si>
  <si>
    <t>25-04-2024 22:45</t>
  </si>
  <si>
    <t>25-04-2024 23:00</t>
  </si>
  <si>
    <t>25-04-2024 23:15</t>
  </si>
  <si>
    <t>25-04-2024 23:30</t>
  </si>
  <si>
    <t>25-04-2024 23:45</t>
  </si>
  <si>
    <t>25-04-2024 24:00</t>
  </si>
  <si>
    <t>26-04-2024 00:15</t>
  </si>
  <si>
    <t>26-04-2024 00:30</t>
  </si>
  <si>
    <t>26-04-2024 00:45</t>
  </si>
  <si>
    <t>26-04-2024 01:00</t>
  </si>
  <si>
    <t>26-04-2024 01:15</t>
  </si>
  <si>
    <t>26-04-2024 01:30</t>
  </si>
  <si>
    <t>26-04-2024 01:45</t>
  </si>
  <si>
    <t>26-04-2024 02:00</t>
  </si>
  <si>
    <t>26-04-2024 02:15</t>
  </si>
  <si>
    <t>26-04-2024 02:30</t>
  </si>
  <si>
    <t>26-04-2024 02:45</t>
  </si>
  <si>
    <t>26-04-2024 03:00</t>
  </si>
  <si>
    <t>26-04-2024 03:15</t>
  </si>
  <si>
    <t>26-04-2024 03:30</t>
  </si>
  <si>
    <t>26-04-2024 03:45</t>
  </si>
  <si>
    <t>26-04-2024 04:00</t>
  </si>
  <si>
    <t>26-04-2024 04:15</t>
  </si>
  <si>
    <t>26-04-2024 04:30</t>
  </si>
  <si>
    <t>26-04-2024 04:45</t>
  </si>
  <si>
    <t>26-04-2024 05:00</t>
  </si>
  <si>
    <t>26-04-2024 05:15</t>
  </si>
  <si>
    <t>26-04-2024 05:30</t>
  </si>
  <si>
    <t>26-04-2024 05:45</t>
  </si>
  <si>
    <t>26-04-2024 06:00</t>
  </si>
  <si>
    <t>26-04-2024 06:15</t>
  </si>
  <si>
    <t>26-04-2024 06:30</t>
  </si>
  <si>
    <t>26-04-2024 06:45</t>
  </si>
  <si>
    <t>26-04-2024 07:00</t>
  </si>
  <si>
    <t>26-04-2024 07:15</t>
  </si>
  <si>
    <t>26-04-2024 07:30</t>
  </si>
  <si>
    <t>26-04-2024 07:45</t>
  </si>
  <si>
    <t>26-04-2024 08:00</t>
  </si>
  <si>
    <t>26-04-2024 08:15</t>
  </si>
  <si>
    <t>26-04-2024 08:30</t>
  </si>
  <si>
    <t>26-04-2024 08:45</t>
  </si>
  <si>
    <t>26-04-2024 09:00</t>
  </si>
  <si>
    <t>26-04-2024 09:15</t>
  </si>
  <si>
    <t>26-04-2024 09:30</t>
  </si>
  <si>
    <t>26-04-2024 09:45</t>
  </si>
  <si>
    <t>26-04-2024 10:00</t>
  </si>
  <si>
    <t>26-04-2024 10:15</t>
  </si>
  <si>
    <t>26-04-2024 10:30</t>
  </si>
  <si>
    <t>26-04-2024 10:45</t>
  </si>
  <si>
    <t>26-04-2024 11:00</t>
  </si>
  <si>
    <t>26-04-2024 11:15</t>
  </si>
  <si>
    <t>26-04-2024 11:30</t>
  </si>
  <si>
    <t>26-04-2024 11:45</t>
  </si>
  <si>
    <t>26-04-2024 12:00</t>
  </si>
  <si>
    <t>26-04-2024 12:15</t>
  </si>
  <si>
    <t>26-04-2024 12:30</t>
  </si>
  <si>
    <t>26-04-2024 12:45</t>
  </si>
  <si>
    <t>26-04-2024 13:00</t>
  </si>
  <si>
    <t>26-04-2024 13:15</t>
  </si>
  <si>
    <t>26-04-2024 13:30</t>
  </si>
  <si>
    <t>26-04-2024 13:45</t>
  </si>
  <si>
    <t>26-04-2024 14:00</t>
  </si>
  <si>
    <t>26-04-2024 14:15</t>
  </si>
  <si>
    <t>26-04-2024 14:30</t>
  </si>
  <si>
    <t>26-04-2024 14:45</t>
  </si>
  <si>
    <t>26-04-2024 15:00</t>
  </si>
  <si>
    <t>26-04-2024 15:15</t>
  </si>
  <si>
    <t>26-04-2024 15:30</t>
  </si>
  <si>
    <t>26-04-2024 15:45</t>
  </si>
  <si>
    <t>26-04-2024 16:00</t>
  </si>
  <si>
    <t>26-04-2024 16:15</t>
  </si>
  <si>
    <t>26-04-2024 16:30</t>
  </si>
  <si>
    <t>26-04-2024 16:45</t>
  </si>
  <si>
    <t>26-04-2024 17:00</t>
  </si>
  <si>
    <t>26-04-2024 17:15</t>
  </si>
  <si>
    <t>26-04-2024 17:30</t>
  </si>
  <si>
    <t>26-04-2024 17:45</t>
  </si>
  <si>
    <t>26-04-2024 18:00</t>
  </si>
  <si>
    <t>26-04-2024 18:15</t>
  </si>
  <si>
    <t>26-04-2024 18:30</t>
  </si>
  <si>
    <t>26-04-2024 18:45</t>
  </si>
  <si>
    <t>26-04-2024 19:00</t>
  </si>
  <si>
    <t>26-04-2024 19:15</t>
  </si>
  <si>
    <t>26-04-2024 19:30</t>
  </si>
  <si>
    <t>26-04-2024 19:45</t>
  </si>
  <si>
    <t>26-04-2024 20:00</t>
  </si>
  <si>
    <t>26-04-2024 20:15</t>
  </si>
  <si>
    <t>26-04-2024 20:30</t>
  </si>
  <si>
    <t>26-04-2024 20:45</t>
  </si>
  <si>
    <t>26-04-2024 21:00</t>
  </si>
  <si>
    <t>26-04-2024 21:15</t>
  </si>
  <si>
    <t>26-04-2024 21:30</t>
  </si>
  <si>
    <t>26-04-2024 21:45</t>
  </si>
  <si>
    <t>26-04-2024 22:00</t>
  </si>
  <si>
    <t>26-04-2024 22:15</t>
  </si>
  <si>
    <t>26-04-2024 22:30</t>
  </si>
  <si>
    <t>26-04-2024 22:45</t>
  </si>
  <si>
    <t>26-04-2024 23:00</t>
  </si>
  <si>
    <t>26-04-2024 23:15</t>
  </si>
  <si>
    <t>26-04-2024 23:30</t>
  </si>
  <si>
    <t>26-04-2024 23:45</t>
  </si>
  <si>
    <t>26-04-2024 24:00</t>
  </si>
  <si>
    <t>27-04-2024 00:15</t>
  </si>
  <si>
    <t>27-04-2024 00:30</t>
  </si>
  <si>
    <t>27-04-2024 00:45</t>
  </si>
  <si>
    <t>27-04-2024 01:00</t>
  </si>
  <si>
    <t>27-04-2024 01:15</t>
  </si>
  <si>
    <t>27-04-2024 01:30</t>
  </si>
  <si>
    <t>27-04-2024 01:45</t>
  </si>
  <si>
    <t>27-04-2024 02:00</t>
  </si>
  <si>
    <t>27-04-2024 02:15</t>
  </si>
  <si>
    <t>27-04-2024 02:30</t>
  </si>
  <si>
    <t>27-04-2024 02:45</t>
  </si>
  <si>
    <t>27-04-2024 03:00</t>
  </si>
  <si>
    <t>27-04-2024 03:15</t>
  </si>
  <si>
    <t>27-04-2024 03:30</t>
  </si>
  <si>
    <t>27-04-2024 03:45</t>
  </si>
  <si>
    <t>27-04-2024 04:00</t>
  </si>
  <si>
    <t>27-04-2024 04:15</t>
  </si>
  <si>
    <t>27-04-2024 04:30</t>
  </si>
  <si>
    <t>27-04-2024 04:45</t>
  </si>
  <si>
    <t>27-04-2024 05:00</t>
  </si>
  <si>
    <t>27-04-2024 05:15</t>
  </si>
  <si>
    <t>27-04-2024 05:30</t>
  </si>
  <si>
    <t>27-04-2024 05:45</t>
  </si>
  <si>
    <t>27-04-2024 06:00</t>
  </si>
  <si>
    <t>27-04-2024 06:15</t>
  </si>
  <si>
    <t>27-04-2024 06:30</t>
  </si>
  <si>
    <t>27-04-2024 06:45</t>
  </si>
  <si>
    <t>27-04-2024 07:00</t>
  </si>
  <si>
    <t>27-04-2024 07:15</t>
  </si>
  <si>
    <t>27-04-2024 07:30</t>
  </si>
  <si>
    <t>27-04-2024 07:45</t>
  </si>
  <si>
    <t>27-04-2024 08:00</t>
  </si>
  <si>
    <t>27-04-2024 08:15</t>
  </si>
  <si>
    <t>27-04-2024 08:30</t>
  </si>
  <si>
    <t>27-04-2024 08:45</t>
  </si>
  <si>
    <t>27-04-2024 09:00</t>
  </si>
  <si>
    <t>27-04-2024 09:15</t>
  </si>
  <si>
    <t>27-04-2024 09:30</t>
  </si>
  <si>
    <t>27-04-2024 09:45</t>
  </si>
  <si>
    <t>27-04-2024 10:00</t>
  </si>
  <si>
    <t>27-04-2024 10:15</t>
  </si>
  <si>
    <t>27-04-2024 10:30</t>
  </si>
  <si>
    <t>27-04-2024 10:45</t>
  </si>
  <si>
    <t>27-04-2024 11:00</t>
  </si>
  <si>
    <t>27-04-2024 11:15</t>
  </si>
  <si>
    <t>27-04-2024 11:30</t>
  </si>
  <si>
    <t>27-04-2024 11:45</t>
  </si>
  <si>
    <t>27-04-2024 12:00</t>
  </si>
  <si>
    <t>27-04-2024 12:15</t>
  </si>
  <si>
    <t>27-04-2024 12:30</t>
  </si>
  <si>
    <t>27-04-2024 12:45</t>
  </si>
  <si>
    <t>27-04-2024 13:00</t>
  </si>
  <si>
    <t>27-04-2024 13:15</t>
  </si>
  <si>
    <t>27-04-2024 13:30</t>
  </si>
  <si>
    <t>27-04-2024 13:45</t>
  </si>
  <si>
    <t>27-04-2024 14:00</t>
  </si>
  <si>
    <t>27-04-2024 14:15</t>
  </si>
  <si>
    <t>27-04-2024 14:30</t>
  </si>
  <si>
    <t>27-04-2024 14:45</t>
  </si>
  <si>
    <t>27-04-2024 15:00</t>
  </si>
  <si>
    <t>27-04-2024 15:15</t>
  </si>
  <si>
    <t>27-04-2024 15:30</t>
  </si>
  <si>
    <t>27-04-2024 15:45</t>
  </si>
  <si>
    <t>27-04-2024 16:00</t>
  </si>
  <si>
    <t>27-04-2024 16:15</t>
  </si>
  <si>
    <t>27-04-2024 16:30</t>
  </si>
  <si>
    <t>27-04-2024 16:45</t>
  </si>
  <si>
    <t>27-04-2024 17:00</t>
  </si>
  <si>
    <t>27-04-2024 17:15</t>
  </si>
  <si>
    <t>27-04-2024 17:30</t>
  </si>
  <si>
    <t>27-04-2024 17:45</t>
  </si>
  <si>
    <t>27-04-2024 18:00</t>
  </si>
  <si>
    <t>27-04-2024 18:15</t>
  </si>
  <si>
    <t>27-04-2024 18:30</t>
  </si>
  <si>
    <t>27-04-2024 18:45</t>
  </si>
  <si>
    <t>27-04-2024 19:00</t>
  </si>
  <si>
    <t>27-04-2024 19:15</t>
  </si>
  <si>
    <t>27-04-2024 19:30</t>
  </si>
  <si>
    <t>27-04-2024 19:45</t>
  </si>
  <si>
    <t>27-04-2024 20:00</t>
  </si>
  <si>
    <t>27-04-2024 20:15</t>
  </si>
  <si>
    <t>27-04-2024 20:30</t>
  </si>
  <si>
    <t>27-04-2024 20:45</t>
  </si>
  <si>
    <t>27-04-2024 21:00</t>
  </si>
  <si>
    <t>27-04-2024 21:15</t>
  </si>
  <si>
    <t>27-04-2024 21:30</t>
  </si>
  <si>
    <t>27-04-2024 21:45</t>
  </si>
  <si>
    <t>27-04-2024 22:00</t>
  </si>
  <si>
    <t>27-04-2024 22:15</t>
  </si>
  <si>
    <t>27-04-2024 22:30</t>
  </si>
  <si>
    <t>27-04-2024 22:45</t>
  </si>
  <si>
    <t>27-04-2024 23:00</t>
  </si>
  <si>
    <t>27-04-2024 23:15</t>
  </si>
  <si>
    <t>27-04-2024 23:30</t>
  </si>
  <si>
    <t>27-04-2024 23:45</t>
  </si>
  <si>
    <t>27-04-2024 24:00</t>
  </si>
  <si>
    <t>28-04-2024 00:15</t>
  </si>
  <si>
    <t>28-04-2024 00:30</t>
  </si>
  <si>
    <t>28-04-2024 00:45</t>
  </si>
  <si>
    <t>28-04-2024 01:00</t>
  </si>
  <si>
    <t>28-04-2024 01:15</t>
  </si>
  <si>
    <t>28-04-2024 01:30</t>
  </si>
  <si>
    <t>28-04-2024 01:45</t>
  </si>
  <si>
    <t>28-04-2024 02:00</t>
  </si>
  <si>
    <t>28-04-2024 02:15</t>
  </si>
  <si>
    <t>28-04-2024 02:30</t>
  </si>
  <si>
    <t>28-04-2024 02:45</t>
  </si>
  <si>
    <t>28-04-2024 03:00</t>
  </si>
  <si>
    <t>28-04-2024 03:15</t>
  </si>
  <si>
    <t>28-04-2024 03:30</t>
  </si>
  <si>
    <t>28-04-2024 03:45</t>
  </si>
  <si>
    <t>28-04-2024 04:00</t>
  </si>
  <si>
    <t>28-04-2024 04:15</t>
  </si>
  <si>
    <t>28-04-2024 04:30</t>
  </si>
  <si>
    <t>28-04-2024 04:45</t>
  </si>
  <si>
    <t>28-04-2024 05:00</t>
  </si>
  <si>
    <t>28-04-2024 05:15</t>
  </si>
  <si>
    <t>28-04-2024 05:30</t>
  </si>
  <si>
    <t>28-04-2024 05:45</t>
  </si>
  <si>
    <t>28-04-2024 06:00</t>
  </si>
  <si>
    <t>28-04-2024 06:15</t>
  </si>
  <si>
    <t>28-04-2024 06:30</t>
  </si>
  <si>
    <t>28-04-2024 06:45</t>
  </si>
  <si>
    <t>28-04-2024 07:00</t>
  </si>
  <si>
    <t>28-04-2024 07:15</t>
  </si>
  <si>
    <t>28-04-2024 07:30</t>
  </si>
  <si>
    <t>28-04-2024 07:45</t>
  </si>
  <si>
    <t>28-04-2024 08:00</t>
  </si>
  <si>
    <t>28-04-2024 08:15</t>
  </si>
  <si>
    <t>28-04-2024 08:30</t>
  </si>
  <si>
    <t>28-04-2024 08:45</t>
  </si>
  <si>
    <t>28-04-2024 09:00</t>
  </si>
  <si>
    <t>28-04-2024 09:15</t>
  </si>
  <si>
    <t>28-04-2024 09:30</t>
  </si>
  <si>
    <t>28-04-2024 09:45</t>
  </si>
  <si>
    <t>28-04-2024 10:00</t>
  </si>
  <si>
    <t>28-04-2024 10:15</t>
  </si>
  <si>
    <t>28-04-2024 10:30</t>
  </si>
  <si>
    <t>28-04-2024 10:45</t>
  </si>
  <si>
    <t>28-04-2024 11:00</t>
  </si>
  <si>
    <t>28-04-2024 11:15</t>
  </si>
  <si>
    <t>28-04-2024 11:30</t>
  </si>
  <si>
    <t>28-04-2024 11:45</t>
  </si>
  <si>
    <t>28-04-2024 12:00</t>
  </si>
  <si>
    <t>28-04-2024 12:15</t>
  </si>
  <si>
    <t>28-04-2024 12:30</t>
  </si>
  <si>
    <t>28-04-2024 12:45</t>
  </si>
  <si>
    <t>28-04-2024 13:00</t>
  </si>
  <si>
    <t>28-04-2024 13:15</t>
  </si>
  <si>
    <t>28-04-2024 13:30</t>
  </si>
  <si>
    <t>28-04-2024 13:45</t>
  </si>
  <si>
    <t>28-04-2024 14:00</t>
  </si>
  <si>
    <t>28-04-2024 14:15</t>
  </si>
  <si>
    <t>28-04-2024 14:30</t>
  </si>
  <si>
    <t>28-04-2024 14:45</t>
  </si>
  <si>
    <t>28-04-2024 15:00</t>
  </si>
  <si>
    <t>28-04-2024 15:15</t>
  </si>
  <si>
    <t>28-04-2024 15:30</t>
  </si>
  <si>
    <t>28-04-2024 15:45</t>
  </si>
  <si>
    <t>28-04-2024 16:00</t>
  </si>
  <si>
    <t>28-04-2024 16:15</t>
  </si>
  <si>
    <t>28-04-2024 16:30</t>
  </si>
  <si>
    <t>28-04-2024 16:45</t>
  </si>
  <si>
    <t>28-04-2024 17:00</t>
  </si>
  <si>
    <t>28-04-2024 17:15</t>
  </si>
  <si>
    <t>28-04-2024 17:30</t>
  </si>
  <si>
    <t>28-04-2024 17:45</t>
  </si>
  <si>
    <t>28-04-2024 18:00</t>
  </si>
  <si>
    <t>28-04-2024 18:15</t>
  </si>
  <si>
    <t>28-04-2024 18:30</t>
  </si>
  <si>
    <t>28-04-2024 18:45</t>
  </si>
  <si>
    <t>28-04-2024 19:00</t>
  </si>
  <si>
    <t>28-04-2024 19:15</t>
  </si>
  <si>
    <t>28-04-2024 19:30</t>
  </si>
  <si>
    <t>28-04-2024 19:45</t>
  </si>
  <si>
    <t>28-04-2024 20:00</t>
  </si>
  <si>
    <t>28-04-2024 20:15</t>
  </si>
  <si>
    <t>28-04-2024 20:30</t>
  </si>
  <si>
    <t>28-04-2024 20:45</t>
  </si>
  <si>
    <t>28-04-2024 21:00</t>
  </si>
  <si>
    <t>28-04-2024 21:15</t>
  </si>
  <si>
    <t>28-04-2024 21:30</t>
  </si>
  <si>
    <t>28-04-2024 21:45</t>
  </si>
  <si>
    <t>28-04-2024 22:00</t>
  </si>
  <si>
    <t>28-04-2024 22:15</t>
  </si>
  <si>
    <t>28-04-2024 22:30</t>
  </si>
  <si>
    <t>28-04-2024 22:45</t>
  </si>
  <si>
    <t>28-04-2024 23:00</t>
  </si>
  <si>
    <t>28-04-2024 23:15</t>
  </si>
  <si>
    <t>28-04-2024 23:30</t>
  </si>
  <si>
    <t>28-04-2024 23:45</t>
  </si>
  <si>
    <t>28-04-2024 24:00</t>
  </si>
  <si>
    <t>29-04-2024 00:15</t>
  </si>
  <si>
    <t>29-04-2024 00:30</t>
  </si>
  <si>
    <t>29-04-2024 00:45</t>
  </si>
  <si>
    <t>29-04-2024 01:00</t>
  </si>
  <si>
    <t>29-04-2024 01:15</t>
  </si>
  <si>
    <t>29-04-2024 01:30</t>
  </si>
  <si>
    <t>29-04-2024 01:45</t>
  </si>
  <si>
    <t>29-04-2024 02:00</t>
  </si>
  <si>
    <t>29-04-2024 02:15</t>
  </si>
  <si>
    <t>29-04-2024 02:30</t>
  </si>
  <si>
    <t>29-04-2024 02:45</t>
  </si>
  <si>
    <t>29-04-2024 03:00</t>
  </si>
  <si>
    <t>29-04-2024 03:15</t>
  </si>
  <si>
    <t>29-04-2024 03:30</t>
  </si>
  <si>
    <t>29-04-2024 03:45</t>
  </si>
  <si>
    <t>29-04-2024 04:00</t>
  </si>
  <si>
    <t>29-04-2024 04:15</t>
  </si>
  <si>
    <t>29-04-2024 04:30</t>
  </si>
  <si>
    <t>29-04-2024 04:45</t>
  </si>
  <si>
    <t>29-04-2024 05:00</t>
  </si>
  <si>
    <t>29-04-2024 05:15</t>
  </si>
  <si>
    <t>29-04-2024 05:30</t>
  </si>
  <si>
    <t>29-04-2024 05:45</t>
  </si>
  <si>
    <t>29-04-2024 06:00</t>
  </si>
  <si>
    <t>29-04-2024 06:15</t>
  </si>
  <si>
    <t>29-04-2024 06:30</t>
  </si>
  <si>
    <t>29-04-2024 06:45</t>
  </si>
  <si>
    <t>29-04-2024 07:00</t>
  </si>
  <si>
    <t>29-04-2024 07:15</t>
  </si>
  <si>
    <t>29-04-2024 07:30</t>
  </si>
  <si>
    <t>29-04-2024 07:45</t>
  </si>
  <si>
    <t>29-04-2024 08:00</t>
  </si>
  <si>
    <t>29-04-2024 08:15</t>
  </si>
  <si>
    <t>29-04-2024 08:30</t>
  </si>
  <si>
    <t>29-04-2024 08:45</t>
  </si>
  <si>
    <t>29-04-2024 09:00</t>
  </si>
  <si>
    <t>29-04-2024 09:15</t>
  </si>
  <si>
    <t>29-04-2024 09:30</t>
  </si>
  <si>
    <t>29-04-2024 09:45</t>
  </si>
  <si>
    <t>29-04-2024 10:00</t>
  </si>
  <si>
    <t>29-04-2024 10:15</t>
  </si>
  <si>
    <t>29-04-2024 10:30</t>
  </si>
  <si>
    <t>29-04-2024 10:45</t>
  </si>
  <si>
    <t>29-04-2024 11:00</t>
  </si>
  <si>
    <t>29-04-2024 11:15</t>
  </si>
  <si>
    <t>29-04-2024 11:30</t>
  </si>
  <si>
    <t>29-04-2024 11:45</t>
  </si>
  <si>
    <t>29-04-2024 12:00</t>
  </si>
  <si>
    <t>29-04-2024 12:15</t>
  </si>
  <si>
    <t>29-04-2024 12:30</t>
  </si>
  <si>
    <t>29-04-2024 12:45</t>
  </si>
  <si>
    <t>29-04-2024 13:00</t>
  </si>
  <si>
    <t>29-04-2024 13:15</t>
  </si>
  <si>
    <t>29-04-2024 13:30</t>
  </si>
  <si>
    <t>29-04-2024 13:45</t>
  </si>
  <si>
    <t>29-04-2024 14:00</t>
  </si>
  <si>
    <t>29-04-2024 14:15</t>
  </si>
  <si>
    <t>29-04-2024 14:30</t>
  </si>
  <si>
    <t>29-04-2024 14:45</t>
  </si>
  <si>
    <t>29-04-2024 15:00</t>
  </si>
  <si>
    <t>29-04-2024 15:15</t>
  </si>
  <si>
    <t>29-04-2024 15:30</t>
  </si>
  <si>
    <t>29-04-2024 15:45</t>
  </si>
  <si>
    <t>29-04-2024 16:00</t>
  </si>
  <si>
    <t>29-04-2024 16:15</t>
  </si>
  <si>
    <t>29-04-2024 16:30</t>
  </si>
  <si>
    <t>29-04-2024 16:45</t>
  </si>
  <si>
    <t>29-04-2024 17:00</t>
  </si>
  <si>
    <t>29-04-2024 17:15</t>
  </si>
  <si>
    <t>29-04-2024 17:30</t>
  </si>
  <si>
    <t>29-04-2024 17:45</t>
  </si>
  <si>
    <t>29-04-2024 18:00</t>
  </si>
  <si>
    <t>29-04-2024 18:15</t>
  </si>
  <si>
    <t>29-04-2024 18:30</t>
  </si>
  <si>
    <t>29-04-2024 18:45</t>
  </si>
  <si>
    <t>29-04-2024 19:00</t>
  </si>
  <si>
    <t>29-04-2024 19:15</t>
  </si>
  <si>
    <t>29-04-2024 19:30</t>
  </si>
  <si>
    <t>29-04-2024 19:45</t>
  </si>
  <si>
    <t>29-04-2024 20:00</t>
  </si>
  <si>
    <t>29-04-2024 20:15</t>
  </si>
  <si>
    <t>29-04-2024 20:30</t>
  </si>
  <si>
    <t>29-04-2024 20:45</t>
  </si>
  <si>
    <t>29-04-2024 21:00</t>
  </si>
  <si>
    <t>29-04-2024 21:15</t>
  </si>
  <si>
    <t>29-04-2024 21:30</t>
  </si>
  <si>
    <t>29-04-2024 21:45</t>
  </si>
  <si>
    <t>29-04-2024 22:00</t>
  </si>
  <si>
    <t>29-04-2024 22:15</t>
  </si>
  <si>
    <t>29-04-2024 22:30</t>
  </si>
  <si>
    <t>29-04-2024 22:45</t>
  </si>
  <si>
    <t>29-04-2024 23:00</t>
  </si>
  <si>
    <t>29-04-2024 23:15</t>
  </si>
  <si>
    <t>29-04-2024 23:30</t>
  </si>
  <si>
    <t>29-04-2024 23:45</t>
  </si>
  <si>
    <t>29-04-2024 24:00</t>
  </si>
  <si>
    <t>30-04-2024 00:15</t>
  </si>
  <si>
    <t>30-04-2024 00:30</t>
  </si>
  <si>
    <t>30-04-2024 00:45</t>
  </si>
  <si>
    <t>30-04-2024 01:00</t>
  </si>
  <si>
    <t>30-04-2024 01:15</t>
  </si>
  <si>
    <t>30-04-2024 01:30</t>
  </si>
  <si>
    <t>30-04-2024 01:45</t>
  </si>
  <si>
    <t>30-04-2024 02:00</t>
  </si>
  <si>
    <t>30-04-2024 02:15</t>
  </si>
  <si>
    <t>30-04-2024 02:30</t>
  </si>
  <si>
    <t>30-04-2024 02:45</t>
  </si>
  <si>
    <t>30-04-2024 03:00</t>
  </si>
  <si>
    <t>30-04-2024 03:15</t>
  </si>
  <si>
    <t>30-04-2024 03:30</t>
  </si>
  <si>
    <t>30-04-2024 03:45</t>
  </si>
  <si>
    <t>30-04-2024 04:00</t>
  </si>
  <si>
    <t>30-04-2024 04:15</t>
  </si>
  <si>
    <t>30-04-2024 04:30</t>
  </si>
  <si>
    <t>30-04-2024 04:45</t>
  </si>
  <si>
    <t>30-04-2024 05:00</t>
  </si>
  <si>
    <t>30-04-2024 05:15</t>
  </si>
  <si>
    <t>30-04-2024 05:30</t>
  </si>
  <si>
    <t>30-04-2024 05:45</t>
  </si>
  <si>
    <t>30-04-2024 06:00</t>
  </si>
  <si>
    <t>30-04-2024 06:15</t>
  </si>
  <si>
    <t>30-04-2024 06:30</t>
  </si>
  <si>
    <t>30-04-2024 06:45</t>
  </si>
  <si>
    <t>30-04-2024 07:00</t>
  </si>
  <si>
    <t>30-04-2024 07:15</t>
  </si>
  <si>
    <t>30-04-2024 07:30</t>
  </si>
  <si>
    <t>30-04-2024 07:45</t>
  </si>
  <si>
    <t>30-04-2024 08:00</t>
  </si>
  <si>
    <t>30-04-2024 08:15</t>
  </si>
  <si>
    <t>30-04-2024 08:30</t>
  </si>
  <si>
    <t>30-04-2024 08:45</t>
  </si>
  <si>
    <t>30-04-2024 09:00</t>
  </si>
  <si>
    <t>30-04-2024 09:15</t>
  </si>
  <si>
    <t>30-04-2024 09:30</t>
  </si>
  <si>
    <t>30-04-2024 09:45</t>
  </si>
  <si>
    <t>30-04-2024 10:00</t>
  </si>
  <si>
    <t>30-04-2024 10:15</t>
  </si>
  <si>
    <t>30-04-2024 10:30</t>
  </si>
  <si>
    <t>30-04-2024 10:45</t>
  </si>
  <si>
    <t>30-04-2024 11:00</t>
  </si>
  <si>
    <t>30-04-2024 11:15</t>
  </si>
  <si>
    <t>30-04-2024 11:30</t>
  </si>
  <si>
    <t>30-04-2024 11:45</t>
  </si>
  <si>
    <t>30-04-2024 12:00</t>
  </si>
  <si>
    <t>30-04-2024 12:15</t>
  </si>
  <si>
    <t>30-04-2024 12:30</t>
  </si>
  <si>
    <t>30-04-2024 12:45</t>
  </si>
  <si>
    <t>30-04-2024 13:00</t>
  </si>
  <si>
    <t>30-04-2024 13:15</t>
  </si>
  <si>
    <t>30-04-2024 13:30</t>
  </si>
  <si>
    <t>30-04-2024 13:45</t>
  </si>
  <si>
    <t>30-04-2024 14:00</t>
  </si>
  <si>
    <t>30-04-2024 14:15</t>
  </si>
  <si>
    <t>30-04-2024 14:30</t>
  </si>
  <si>
    <t>30-04-2024 14:45</t>
  </si>
  <si>
    <t>30-04-2024 15:00</t>
  </si>
  <si>
    <t>30-04-2024 15:15</t>
  </si>
  <si>
    <t>30-04-2024 15:30</t>
  </si>
  <si>
    <t>30-04-2024 15:45</t>
  </si>
  <si>
    <t>30-04-2024 16:00</t>
  </si>
  <si>
    <t>30-04-2024 16:15</t>
  </si>
  <si>
    <t>30-04-2024 16:30</t>
  </si>
  <si>
    <t>30-04-2024 16:45</t>
  </si>
  <si>
    <t>30-04-2024 17:00</t>
  </si>
  <si>
    <t>30-04-2024 17:15</t>
  </si>
  <si>
    <t>30-04-2024 17:30</t>
  </si>
  <si>
    <t>30-04-2024 17:45</t>
  </si>
  <si>
    <t>30-04-2024 18:00</t>
  </si>
  <si>
    <t>30-04-2024 18:15</t>
  </si>
  <si>
    <t>30-04-2024 18:30</t>
  </si>
  <si>
    <t>30-04-2024 18:45</t>
  </si>
  <si>
    <t>30-04-2024 19:00</t>
  </si>
  <si>
    <t>30-04-2024 19:15</t>
  </si>
  <si>
    <t>30-04-2024 19:30</t>
  </si>
  <si>
    <t>30-04-2024 19:45</t>
  </si>
  <si>
    <t>30-04-2024 20:00</t>
  </si>
  <si>
    <t>30-04-2024 20:15</t>
  </si>
  <si>
    <t>30-04-2024 20:30</t>
  </si>
  <si>
    <t>30-04-2024 20:45</t>
  </si>
  <si>
    <t>30-04-2024 21:00</t>
  </si>
  <si>
    <t>30-04-2024 21:15</t>
  </si>
  <si>
    <t>30-04-2024 21:30</t>
  </si>
  <si>
    <t>30-04-2024 21:45</t>
  </si>
  <si>
    <t>30-04-2024 22:00</t>
  </si>
  <si>
    <t>30-04-2024 22:15</t>
  </si>
  <si>
    <t>30-04-2024 22:30</t>
  </si>
  <si>
    <t>30-04-2024 22:45</t>
  </si>
  <si>
    <t>30-04-2024 23:00</t>
  </si>
  <si>
    <t>30-04-2024 23:15</t>
  </si>
  <si>
    <t>30-04-2024 23:30</t>
  </si>
  <si>
    <t>30-04-2024 23:45</t>
  </si>
  <si>
    <t>30-04-2024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</si>
</sst>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Arial Black"/>
      <family val="2"/>
    </font>
    <font>
      <b/>
      <sz val="26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39" fillId="13" borderId="0" xfId="0" applyNumberFormat="1" applyFont="1" applyFill="1" applyAlignment="1">
      <alignment horizontal="center" vertical="center"/>
    </xf>
    <xf numFmtId="0" fontId="40" fillId="13" borderId="0" xfId="0" applyFont="1" applyFill="1" applyAlignment="1">
      <alignment horizontal="center" vertical="center"/>
    </xf>
    <xf numFmtId="0" fontId="41" fillId="12" borderId="34" xfId="0" applyFont="1" applyFill="1" applyBorder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2" fillId="12" borderId="1" xfId="0" applyFont="1" applyFill="1" applyBorder="1" applyAlignment="1">
      <alignment horizontal="center" vertical="center"/>
    </xf>
    <xf numFmtId="0" fontId="42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41" fillId="12" borderId="36" xfId="0" applyFont="1" applyFill="1" applyBorder="1" applyAlignment="1">
      <alignment horizontal="center" vertical="center"/>
    </xf>
    <xf numFmtId="0" fontId="41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3" fillId="12" borderId="37" xfId="0" applyFont="1" applyFill="1" applyBorder="1" applyAlignment="1">
      <alignment horizontal="center" vertical="center"/>
    </xf>
    <xf numFmtId="0" fontId="43" fillId="12" borderId="25" xfId="0" applyFont="1" applyFill="1" applyBorder="1" applyAlignment="1">
      <alignment horizontal="center" vertical="center"/>
    </xf>
    <xf numFmtId="0" fontId="6" fillId="12" borderId="38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0" fontId="41" fillId="12" borderId="37" xfId="0" applyFont="1" applyFill="1" applyBorder="1" applyAlignment="1">
      <alignment horizontal="center" vertical="center"/>
    </xf>
    <xf numFmtId="0" fontId="41" fillId="12" borderId="25" xfId="0" applyFont="1" applyFill="1" applyBorder="1" applyAlignment="1">
      <alignment horizontal="center" vertical="center"/>
    </xf>
    <xf numFmtId="0" fontId="42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tabSelected="1"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238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248</v>
      </c>
      <c r="B9" s="64">
        <v>5.93</v>
      </c>
      <c r="C9" s="64">
        <v>45.57</v>
      </c>
      <c r="D9" s="64">
        <v>28.49</v>
      </c>
      <c r="E9" s="64">
        <v>0.71</v>
      </c>
      <c r="F9" s="64">
        <v>3.98</v>
      </c>
      <c r="G9" s="64">
        <v>36.85</v>
      </c>
      <c r="H9" s="64">
        <v>20.48</v>
      </c>
      <c r="I9" s="64">
        <v>4.42</v>
      </c>
      <c r="J9" s="64">
        <v>0.02</v>
      </c>
      <c r="K9" s="64">
        <v>123.29</v>
      </c>
      <c r="L9" s="64">
        <v>25.37</v>
      </c>
      <c r="M9" s="64">
        <v>52.16</v>
      </c>
      <c r="N9" s="64">
        <v>26.4</v>
      </c>
      <c r="O9" s="64">
        <v>0</v>
      </c>
      <c r="P9" s="64">
        <v>0.51</v>
      </c>
      <c r="Q9" s="64">
        <v>9.6300000000000008</v>
      </c>
      <c r="R9" s="198"/>
      <c r="S9" s="198"/>
      <c r="T9" s="198"/>
      <c r="U9" s="198"/>
    </row>
    <row r="10" spans="1:21" s="12" customFormat="1" x14ac:dyDescent="0.25">
      <c r="A10" s="214" t="s">
        <v>249</v>
      </c>
      <c r="B10" s="64">
        <v>6.1</v>
      </c>
      <c r="C10" s="64">
        <v>44.77</v>
      </c>
      <c r="D10" s="64">
        <v>28.2</v>
      </c>
      <c r="E10" s="64">
        <v>1.1200000000000001</v>
      </c>
      <c r="F10" s="64">
        <v>3.82</v>
      </c>
      <c r="G10" s="64">
        <v>36.85</v>
      </c>
      <c r="H10" s="64">
        <v>20.48</v>
      </c>
      <c r="I10" s="64">
        <v>5.66</v>
      </c>
      <c r="J10" s="64">
        <v>0.09</v>
      </c>
      <c r="K10" s="64">
        <v>261.3</v>
      </c>
      <c r="L10" s="64">
        <v>24.97</v>
      </c>
      <c r="M10" s="64">
        <v>55.85</v>
      </c>
      <c r="N10" s="64">
        <v>26.4</v>
      </c>
      <c r="O10" s="64">
        <v>0</v>
      </c>
      <c r="P10" s="64">
        <v>0.51</v>
      </c>
      <c r="Q10" s="64">
        <v>9.56</v>
      </c>
      <c r="R10" s="198"/>
      <c r="S10" s="198"/>
      <c r="T10" s="198"/>
      <c r="U10" s="198"/>
    </row>
    <row r="11" spans="1:21" s="12" customFormat="1" x14ac:dyDescent="0.25">
      <c r="A11" s="214" t="s">
        <v>250</v>
      </c>
      <c r="B11" s="64">
        <v>6.64</v>
      </c>
      <c r="C11" s="64">
        <v>44.04</v>
      </c>
      <c r="D11" s="64">
        <v>28.25</v>
      </c>
      <c r="E11" s="64">
        <v>1.32</v>
      </c>
      <c r="F11" s="64">
        <v>3.76</v>
      </c>
      <c r="G11" s="64">
        <v>38.130000000000003</v>
      </c>
      <c r="H11" s="64">
        <v>21.51</v>
      </c>
      <c r="I11" s="64">
        <v>5.59</v>
      </c>
      <c r="J11" s="64">
        <v>0.38</v>
      </c>
      <c r="K11" s="64">
        <v>164.39</v>
      </c>
      <c r="L11" s="64">
        <v>25.01</v>
      </c>
      <c r="M11" s="64">
        <v>53.85</v>
      </c>
      <c r="N11" s="64">
        <v>25.7</v>
      </c>
      <c r="O11" s="64">
        <v>0</v>
      </c>
      <c r="P11" s="64">
        <v>0.51</v>
      </c>
      <c r="Q11" s="64">
        <v>9.67</v>
      </c>
      <c r="R11" s="198"/>
      <c r="S11" s="198"/>
      <c r="T11" s="198"/>
      <c r="U11" s="198"/>
    </row>
    <row r="12" spans="1:21" s="12" customFormat="1" x14ac:dyDescent="0.25">
      <c r="A12" s="214" t="s">
        <v>251</v>
      </c>
      <c r="B12" s="64">
        <v>6.68</v>
      </c>
      <c r="C12" s="64">
        <v>43.44</v>
      </c>
      <c r="D12" s="64">
        <v>27.97</v>
      </c>
      <c r="E12" s="64">
        <v>1.19</v>
      </c>
      <c r="F12" s="64">
        <v>3.84</v>
      </c>
      <c r="G12" s="64">
        <v>39.74</v>
      </c>
      <c r="H12" s="64">
        <v>22.78</v>
      </c>
      <c r="I12" s="64">
        <v>5.72</v>
      </c>
      <c r="J12" s="64">
        <v>0.06</v>
      </c>
      <c r="K12" s="64">
        <v>353.24</v>
      </c>
      <c r="L12" s="64">
        <v>24.61</v>
      </c>
      <c r="M12" s="64">
        <v>57.34</v>
      </c>
      <c r="N12" s="64">
        <v>26.6</v>
      </c>
      <c r="O12" s="64">
        <v>0</v>
      </c>
      <c r="P12" s="64">
        <v>0.5</v>
      </c>
      <c r="Q12" s="64">
        <v>9.6300000000000008</v>
      </c>
      <c r="R12" s="198"/>
      <c r="S12" s="198"/>
      <c r="T12" s="198"/>
      <c r="U12" s="198"/>
    </row>
    <row r="13" spans="1:21" s="12" customFormat="1" x14ac:dyDescent="0.25">
      <c r="A13" s="214" t="s">
        <v>252</v>
      </c>
      <c r="B13" s="64">
        <v>6.52</v>
      </c>
      <c r="C13" s="64">
        <v>42.4</v>
      </c>
      <c r="D13" s="64">
        <v>27.3</v>
      </c>
      <c r="E13" s="64">
        <v>1.4</v>
      </c>
      <c r="F13" s="64">
        <v>3.69</v>
      </c>
      <c r="G13" s="64">
        <v>39.74</v>
      </c>
      <c r="H13" s="64">
        <v>22.78</v>
      </c>
      <c r="I13" s="64">
        <v>5.61</v>
      </c>
      <c r="J13" s="64">
        <v>0.06</v>
      </c>
      <c r="K13" s="64">
        <v>250.91</v>
      </c>
      <c r="L13" s="64">
        <v>24.34</v>
      </c>
      <c r="M13" s="64">
        <v>58.6</v>
      </c>
      <c r="N13" s="64">
        <v>26.3</v>
      </c>
      <c r="O13" s="64">
        <v>0</v>
      </c>
      <c r="P13" s="64">
        <v>0.49</v>
      </c>
      <c r="Q13" s="64">
        <v>9.7100000000000009</v>
      </c>
      <c r="R13" s="198"/>
      <c r="S13" s="198"/>
      <c r="T13" s="198"/>
      <c r="U13" s="198"/>
    </row>
    <row r="14" spans="1:21" s="12" customFormat="1" x14ac:dyDescent="0.25">
      <c r="A14" s="214" t="s">
        <v>253</v>
      </c>
      <c r="B14" s="64">
        <v>6.39</v>
      </c>
      <c r="C14" s="64">
        <v>41.49</v>
      </c>
      <c r="D14" s="64">
        <v>26.72</v>
      </c>
      <c r="E14" s="64">
        <v>1.1100000000000001</v>
      </c>
      <c r="F14" s="64">
        <v>3.79</v>
      </c>
      <c r="G14" s="64">
        <v>39.74</v>
      </c>
      <c r="H14" s="64">
        <v>22.78</v>
      </c>
      <c r="I14" s="64">
        <v>5.61</v>
      </c>
      <c r="J14" s="64">
        <v>0.02</v>
      </c>
      <c r="K14" s="64">
        <v>182.78</v>
      </c>
      <c r="L14" s="64">
        <v>24</v>
      </c>
      <c r="M14" s="64">
        <v>63.44</v>
      </c>
      <c r="N14" s="64">
        <v>26.4</v>
      </c>
      <c r="O14" s="64">
        <v>0</v>
      </c>
      <c r="P14" s="64">
        <v>0.51</v>
      </c>
      <c r="Q14" s="64">
        <v>9.5399999999999991</v>
      </c>
      <c r="R14" s="198"/>
      <c r="S14" s="198"/>
      <c r="T14" s="198"/>
      <c r="U14" s="198"/>
    </row>
    <row r="15" spans="1:21" s="12" customFormat="1" x14ac:dyDescent="0.25">
      <c r="A15" s="214" t="s">
        <v>254</v>
      </c>
      <c r="B15" s="64">
        <v>6.4</v>
      </c>
      <c r="C15" s="64">
        <v>41</v>
      </c>
      <c r="D15" s="64">
        <v>26.48</v>
      </c>
      <c r="E15" s="64">
        <v>1.21</v>
      </c>
      <c r="F15" s="64">
        <v>3.77</v>
      </c>
      <c r="G15" s="64">
        <v>38.369999999999997</v>
      </c>
      <c r="H15" s="64">
        <v>21.81</v>
      </c>
      <c r="I15" s="64">
        <v>5.6</v>
      </c>
      <c r="J15" s="64">
        <v>0.25</v>
      </c>
      <c r="K15" s="64">
        <v>247.54</v>
      </c>
      <c r="L15" s="64">
        <v>24.12</v>
      </c>
      <c r="M15" s="64">
        <v>60.59</v>
      </c>
      <c r="N15" s="64">
        <v>25.9</v>
      </c>
      <c r="O15" s="64">
        <v>0</v>
      </c>
      <c r="P15" s="64">
        <v>0.51</v>
      </c>
      <c r="Q15" s="64">
        <v>9.49</v>
      </c>
      <c r="R15" s="198"/>
      <c r="S15" s="198"/>
      <c r="T15" s="198"/>
      <c r="U15" s="198"/>
    </row>
    <row r="16" spans="1:21" s="12" customFormat="1" x14ac:dyDescent="0.25">
      <c r="A16" s="214" t="s">
        <v>255</v>
      </c>
      <c r="B16" s="64">
        <v>6.54</v>
      </c>
      <c r="C16" s="64">
        <v>40.94</v>
      </c>
      <c r="D16" s="64">
        <v>26.55</v>
      </c>
      <c r="E16" s="64">
        <v>1.1000000000000001</v>
      </c>
      <c r="F16" s="64">
        <v>3.91</v>
      </c>
      <c r="G16" s="64">
        <v>36.590000000000003</v>
      </c>
      <c r="H16" s="64">
        <v>20.6</v>
      </c>
      <c r="I16" s="64">
        <v>5.25</v>
      </c>
      <c r="J16" s="64">
        <v>0.23</v>
      </c>
      <c r="K16" s="64">
        <v>308.37</v>
      </c>
      <c r="L16" s="64">
        <v>23.78</v>
      </c>
      <c r="M16" s="64">
        <v>64.19</v>
      </c>
      <c r="N16" s="64">
        <v>26.5</v>
      </c>
      <c r="O16" s="64">
        <v>0</v>
      </c>
      <c r="P16" s="64">
        <v>0.5</v>
      </c>
      <c r="Q16" s="64">
        <v>9.56</v>
      </c>
      <c r="R16" s="198"/>
      <c r="S16" s="198"/>
      <c r="T16" s="198"/>
      <c r="U16" s="198"/>
    </row>
    <row r="17" spans="1:21" s="12" customFormat="1" x14ac:dyDescent="0.25">
      <c r="A17" s="214" t="s">
        <v>256</v>
      </c>
      <c r="B17" s="64">
        <v>6.69</v>
      </c>
      <c r="C17" s="64">
        <v>40.47</v>
      </c>
      <c r="D17" s="64">
        <v>26.43</v>
      </c>
      <c r="E17" s="64">
        <v>1.1599999999999999</v>
      </c>
      <c r="F17" s="64">
        <v>3.49</v>
      </c>
      <c r="G17" s="64">
        <v>36.590000000000003</v>
      </c>
      <c r="H17" s="64">
        <v>20.6</v>
      </c>
      <c r="I17" s="64">
        <v>5.54</v>
      </c>
      <c r="J17" s="64">
        <v>0.22</v>
      </c>
      <c r="K17" s="64">
        <v>230.05</v>
      </c>
      <c r="L17" s="64">
        <v>23.57</v>
      </c>
      <c r="M17" s="64">
        <v>63.07</v>
      </c>
      <c r="N17" s="64">
        <v>26</v>
      </c>
      <c r="O17" s="64">
        <v>0</v>
      </c>
      <c r="P17" s="64">
        <v>0.51</v>
      </c>
      <c r="Q17" s="64">
        <v>9.67</v>
      </c>
      <c r="R17" s="198"/>
      <c r="S17" s="198"/>
      <c r="T17" s="198"/>
      <c r="U17" s="198"/>
    </row>
    <row r="18" spans="1:21" s="12" customFormat="1" x14ac:dyDescent="0.25">
      <c r="A18" s="214" t="s">
        <v>257</v>
      </c>
      <c r="B18" s="64">
        <v>6.7</v>
      </c>
      <c r="C18" s="64">
        <v>40.74</v>
      </c>
      <c r="D18" s="64">
        <v>26.58</v>
      </c>
      <c r="E18" s="64">
        <v>1.1200000000000001</v>
      </c>
      <c r="F18" s="64">
        <v>3.54</v>
      </c>
      <c r="G18" s="64">
        <v>36.590000000000003</v>
      </c>
      <c r="H18" s="64">
        <v>20.6</v>
      </c>
      <c r="I18" s="64">
        <v>5.46</v>
      </c>
      <c r="J18" s="64">
        <v>0.24</v>
      </c>
      <c r="K18" s="64">
        <v>239.46</v>
      </c>
      <c r="L18" s="64">
        <v>24.04</v>
      </c>
      <c r="M18" s="64">
        <v>58.39</v>
      </c>
      <c r="N18" s="64">
        <v>26</v>
      </c>
      <c r="O18" s="64">
        <v>0</v>
      </c>
      <c r="P18" s="64">
        <v>0.5</v>
      </c>
      <c r="Q18" s="64">
        <v>9.59</v>
      </c>
      <c r="R18" s="198"/>
      <c r="S18" s="198"/>
      <c r="T18" s="198"/>
      <c r="U18" s="198"/>
    </row>
    <row r="19" spans="1:21" s="12" customFormat="1" x14ac:dyDescent="0.25">
      <c r="A19" s="214" t="s">
        <v>258</v>
      </c>
      <c r="B19" s="64">
        <v>6.61</v>
      </c>
      <c r="C19" s="64">
        <v>40.869999999999997</v>
      </c>
      <c r="D19" s="64">
        <v>26.58</v>
      </c>
      <c r="E19" s="64">
        <v>1.3</v>
      </c>
      <c r="F19" s="64">
        <v>3.39</v>
      </c>
      <c r="G19" s="64">
        <v>36.08</v>
      </c>
      <c r="H19" s="64">
        <v>20.29</v>
      </c>
      <c r="I19" s="64">
        <v>5.14</v>
      </c>
      <c r="J19" s="64">
        <v>0.23</v>
      </c>
      <c r="K19" s="64">
        <v>237.09</v>
      </c>
      <c r="L19" s="64">
        <v>23.94</v>
      </c>
      <c r="M19" s="64">
        <v>58.6</v>
      </c>
      <c r="N19" s="64">
        <v>26.2</v>
      </c>
      <c r="O19" s="64">
        <v>0</v>
      </c>
      <c r="P19" s="64">
        <v>0.49</v>
      </c>
      <c r="Q19" s="64">
        <v>9.4499999999999993</v>
      </c>
      <c r="R19" s="198"/>
      <c r="S19" s="198"/>
      <c r="T19" s="198"/>
      <c r="U19" s="198"/>
    </row>
    <row r="20" spans="1:21" s="12" customFormat="1" x14ac:dyDescent="0.25">
      <c r="A20" s="214" t="s">
        <v>259</v>
      </c>
      <c r="B20" s="64">
        <v>6.7</v>
      </c>
      <c r="C20" s="64">
        <v>41.38</v>
      </c>
      <c r="D20" s="64">
        <v>26.91</v>
      </c>
      <c r="E20" s="64">
        <v>0.9</v>
      </c>
      <c r="F20" s="64">
        <v>3.56</v>
      </c>
      <c r="G20" s="64">
        <v>35.409999999999997</v>
      </c>
      <c r="H20" s="64">
        <v>19.899999999999999</v>
      </c>
      <c r="I20" s="64">
        <v>4.93</v>
      </c>
      <c r="J20" s="64">
        <v>0.26</v>
      </c>
      <c r="K20" s="64">
        <v>221.64</v>
      </c>
      <c r="L20" s="64">
        <v>23.94</v>
      </c>
      <c r="M20" s="64">
        <v>58.37</v>
      </c>
      <c r="N20" s="64">
        <v>26</v>
      </c>
      <c r="O20" s="64">
        <v>0</v>
      </c>
      <c r="P20" s="64">
        <v>0.48</v>
      </c>
      <c r="Q20" s="64">
        <v>9.5299999999999994</v>
      </c>
      <c r="R20" s="198"/>
      <c r="S20" s="198"/>
      <c r="T20" s="198"/>
      <c r="U20" s="198"/>
    </row>
    <row r="21" spans="1:21" s="12" customFormat="1" x14ac:dyDescent="0.25">
      <c r="A21" s="214" t="s">
        <v>260</v>
      </c>
      <c r="B21" s="64">
        <v>6.82</v>
      </c>
      <c r="C21" s="64">
        <v>41.13</v>
      </c>
      <c r="D21" s="64">
        <v>26.88</v>
      </c>
      <c r="E21" s="64">
        <v>1.07</v>
      </c>
      <c r="F21" s="64">
        <v>3.4</v>
      </c>
      <c r="G21" s="64">
        <v>35.409999999999997</v>
      </c>
      <c r="H21" s="64">
        <v>19.899999999999999</v>
      </c>
      <c r="I21" s="64">
        <v>4.13</v>
      </c>
      <c r="J21" s="64">
        <v>0.16</v>
      </c>
      <c r="K21" s="64">
        <v>249.27</v>
      </c>
      <c r="L21" s="64">
        <v>23.78</v>
      </c>
      <c r="M21" s="64">
        <v>60.91</v>
      </c>
      <c r="N21" s="64">
        <v>26.3</v>
      </c>
      <c r="O21" s="64">
        <v>0</v>
      </c>
      <c r="P21" s="64">
        <v>0.49</v>
      </c>
      <c r="Q21" s="64">
        <v>9.61</v>
      </c>
      <c r="R21" s="198"/>
      <c r="S21" s="198"/>
      <c r="T21" s="198"/>
      <c r="U21" s="198"/>
    </row>
    <row r="22" spans="1:21" s="12" customFormat="1" x14ac:dyDescent="0.25">
      <c r="A22" s="214" t="s">
        <v>261</v>
      </c>
      <c r="B22" s="64">
        <v>7.02</v>
      </c>
      <c r="C22" s="64">
        <v>40.46</v>
      </c>
      <c r="D22" s="64">
        <v>26.69</v>
      </c>
      <c r="E22" s="64">
        <v>1.03</v>
      </c>
      <c r="F22" s="64">
        <v>3.72</v>
      </c>
      <c r="G22" s="64">
        <v>35.409999999999997</v>
      </c>
      <c r="H22" s="64">
        <v>19.899999999999999</v>
      </c>
      <c r="I22" s="64">
        <v>4.6500000000000004</v>
      </c>
      <c r="J22" s="64">
        <v>0.2</v>
      </c>
      <c r="K22" s="64">
        <v>316.02999999999997</v>
      </c>
      <c r="L22" s="64">
        <v>22.95</v>
      </c>
      <c r="M22" s="64">
        <v>66.48</v>
      </c>
      <c r="N22" s="64">
        <v>26.7</v>
      </c>
      <c r="O22" s="64">
        <v>0</v>
      </c>
      <c r="P22" s="64">
        <v>0.48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14" t="s">
        <v>262</v>
      </c>
      <c r="B23" s="64">
        <v>7.35</v>
      </c>
      <c r="C23" s="64">
        <v>41.07</v>
      </c>
      <c r="D23" s="64">
        <v>27.27</v>
      </c>
      <c r="E23" s="64">
        <v>1.28</v>
      </c>
      <c r="F23" s="64">
        <v>3.62</v>
      </c>
      <c r="G23" s="64">
        <v>37.17</v>
      </c>
      <c r="H23" s="64">
        <v>20.079999999999998</v>
      </c>
      <c r="I23" s="64">
        <v>4.75</v>
      </c>
      <c r="J23" s="64">
        <v>0.1</v>
      </c>
      <c r="K23" s="64">
        <v>267.23</v>
      </c>
      <c r="L23" s="64">
        <v>22.97</v>
      </c>
      <c r="M23" s="64">
        <v>62.44</v>
      </c>
      <c r="N23" s="64">
        <v>26.3</v>
      </c>
      <c r="O23" s="64">
        <v>0</v>
      </c>
      <c r="P23" s="64">
        <v>0.48</v>
      </c>
      <c r="Q23" s="64">
        <v>9.52</v>
      </c>
      <c r="R23" s="198"/>
      <c r="S23" s="198"/>
      <c r="T23" s="198"/>
      <c r="U23" s="198"/>
    </row>
    <row r="24" spans="1:21" s="12" customFormat="1" x14ac:dyDescent="0.25">
      <c r="A24" s="214" t="s">
        <v>263</v>
      </c>
      <c r="B24" s="64">
        <v>7.67</v>
      </c>
      <c r="C24" s="64">
        <v>40.659999999999997</v>
      </c>
      <c r="D24" s="64">
        <v>27.31</v>
      </c>
      <c r="E24" s="64">
        <v>2.67</v>
      </c>
      <c r="F24" s="64">
        <v>3.75</v>
      </c>
      <c r="G24" s="64">
        <v>39.47</v>
      </c>
      <c r="H24" s="64">
        <v>20.32</v>
      </c>
      <c r="I24" s="64">
        <v>4.42</v>
      </c>
      <c r="J24" s="64">
        <v>0.15</v>
      </c>
      <c r="K24" s="64">
        <v>238.07</v>
      </c>
      <c r="L24" s="64">
        <v>23.78</v>
      </c>
      <c r="M24" s="64">
        <v>57.21</v>
      </c>
      <c r="N24" s="64">
        <v>25.7</v>
      </c>
      <c r="O24" s="64">
        <v>0</v>
      </c>
      <c r="P24" s="64">
        <v>0.49</v>
      </c>
      <c r="Q24" s="64">
        <v>9.69</v>
      </c>
      <c r="R24" s="198"/>
      <c r="S24" s="198"/>
      <c r="T24" s="198"/>
      <c r="U24" s="198"/>
    </row>
    <row r="25" spans="1:21" s="12" customFormat="1" x14ac:dyDescent="0.25">
      <c r="A25" s="214" t="s">
        <v>264</v>
      </c>
      <c r="B25" s="64">
        <v>7.79</v>
      </c>
      <c r="C25" s="64">
        <v>39.96</v>
      </c>
      <c r="D25" s="64">
        <v>27.04</v>
      </c>
      <c r="E25" s="64">
        <v>2.73</v>
      </c>
      <c r="F25" s="64">
        <v>3.75</v>
      </c>
      <c r="G25" s="64">
        <v>39.47</v>
      </c>
      <c r="H25" s="64">
        <v>20.32</v>
      </c>
      <c r="I25" s="64">
        <v>4.57</v>
      </c>
      <c r="J25" s="64">
        <v>0.05</v>
      </c>
      <c r="K25" s="64">
        <v>264.81</v>
      </c>
      <c r="L25" s="64">
        <v>24.13</v>
      </c>
      <c r="M25" s="64">
        <v>54.92</v>
      </c>
      <c r="N25" s="64">
        <v>25.9</v>
      </c>
      <c r="O25" s="64">
        <v>0</v>
      </c>
      <c r="P25" s="64">
        <v>0.49</v>
      </c>
      <c r="Q25" s="64">
        <v>9.66</v>
      </c>
      <c r="R25" s="198"/>
      <c r="S25" s="198"/>
      <c r="T25" s="198"/>
      <c r="U25" s="198"/>
    </row>
    <row r="26" spans="1:21" s="12" customFormat="1" x14ac:dyDescent="0.25">
      <c r="A26" s="214" t="s">
        <v>265</v>
      </c>
      <c r="B26" s="64">
        <v>7.78</v>
      </c>
      <c r="C26" s="64">
        <v>42.12</v>
      </c>
      <c r="D26" s="64">
        <v>28.16</v>
      </c>
      <c r="E26" s="64">
        <v>2.4700000000000002</v>
      </c>
      <c r="F26" s="64">
        <v>3.75</v>
      </c>
      <c r="G26" s="64">
        <v>39.47</v>
      </c>
      <c r="H26" s="64">
        <v>20.32</v>
      </c>
      <c r="I26" s="64">
        <v>5.25</v>
      </c>
      <c r="J26" s="64">
        <v>0.11</v>
      </c>
      <c r="K26" s="64">
        <v>8.9499999999999993</v>
      </c>
      <c r="L26" s="64">
        <v>24.15</v>
      </c>
      <c r="M26" s="64">
        <v>54.65</v>
      </c>
      <c r="N26" s="64">
        <v>26</v>
      </c>
      <c r="O26" s="64">
        <v>0</v>
      </c>
      <c r="P26" s="64">
        <v>0.49</v>
      </c>
      <c r="Q26" s="64">
        <v>9.51</v>
      </c>
      <c r="R26" s="198"/>
      <c r="S26" s="198"/>
      <c r="T26" s="198"/>
      <c r="U26" s="198"/>
    </row>
    <row r="27" spans="1:21" s="12" customFormat="1" x14ac:dyDescent="0.25">
      <c r="A27" s="214" t="s">
        <v>266</v>
      </c>
      <c r="B27" s="64">
        <v>7.5</v>
      </c>
      <c r="C27" s="64">
        <v>43.17</v>
      </c>
      <c r="D27" s="64">
        <v>28.49</v>
      </c>
      <c r="E27" s="64">
        <v>2.44</v>
      </c>
      <c r="F27" s="64">
        <v>3.82</v>
      </c>
      <c r="G27" s="64">
        <v>38.32</v>
      </c>
      <c r="H27" s="64">
        <v>20.57</v>
      </c>
      <c r="I27" s="64">
        <v>5.3</v>
      </c>
      <c r="J27" s="64">
        <v>0.11</v>
      </c>
      <c r="K27" s="64">
        <v>342.63</v>
      </c>
      <c r="L27" s="64">
        <v>23.94</v>
      </c>
      <c r="M27" s="64">
        <v>55.1</v>
      </c>
      <c r="N27" s="64">
        <v>26.3</v>
      </c>
      <c r="O27" s="64">
        <v>0</v>
      </c>
      <c r="P27" s="64">
        <v>0.5</v>
      </c>
      <c r="Q27" s="64">
        <v>9.61</v>
      </c>
      <c r="R27" s="198"/>
      <c r="S27" s="198"/>
      <c r="T27" s="198"/>
      <c r="U27" s="198"/>
    </row>
    <row r="28" spans="1:21" s="12" customFormat="1" x14ac:dyDescent="0.25">
      <c r="A28" s="214" t="s">
        <v>267</v>
      </c>
      <c r="B28" s="64">
        <v>7.25</v>
      </c>
      <c r="C28" s="64">
        <v>43.37</v>
      </c>
      <c r="D28" s="64">
        <v>28.39</v>
      </c>
      <c r="E28" s="64">
        <v>2.5</v>
      </c>
      <c r="F28" s="64">
        <v>3.59</v>
      </c>
      <c r="G28" s="64">
        <v>36.82</v>
      </c>
      <c r="H28" s="64">
        <v>20.88</v>
      </c>
      <c r="I28" s="64">
        <v>6.32</v>
      </c>
      <c r="J28" s="64">
        <v>0.03</v>
      </c>
      <c r="K28" s="64">
        <v>322.74</v>
      </c>
      <c r="L28" s="64">
        <v>24</v>
      </c>
      <c r="M28" s="64">
        <v>54.63</v>
      </c>
      <c r="N28" s="64">
        <v>26</v>
      </c>
      <c r="O28" s="64">
        <v>0</v>
      </c>
      <c r="P28" s="64">
        <v>0.5</v>
      </c>
      <c r="Q28" s="64">
        <v>9.6199999999999992</v>
      </c>
      <c r="R28" s="198"/>
      <c r="S28" s="198"/>
      <c r="T28" s="198"/>
      <c r="U28" s="198"/>
    </row>
    <row r="29" spans="1:21" s="12" customFormat="1" x14ac:dyDescent="0.25">
      <c r="A29" s="214" t="s">
        <v>268</v>
      </c>
      <c r="B29" s="64">
        <v>6.98</v>
      </c>
      <c r="C29" s="64">
        <v>43.01</v>
      </c>
      <c r="D29" s="64">
        <v>27.99</v>
      </c>
      <c r="E29" s="64">
        <v>2.62</v>
      </c>
      <c r="F29" s="64">
        <v>3.71</v>
      </c>
      <c r="G29" s="64">
        <v>36.82</v>
      </c>
      <c r="H29" s="64">
        <v>20.88</v>
      </c>
      <c r="I29" s="64">
        <v>6.6</v>
      </c>
      <c r="J29" s="64">
        <v>0.18</v>
      </c>
      <c r="K29" s="64">
        <v>225.31</v>
      </c>
      <c r="L29" s="64">
        <v>24.03</v>
      </c>
      <c r="M29" s="64">
        <v>53.61</v>
      </c>
      <c r="N29" s="64">
        <v>25.8</v>
      </c>
      <c r="O29" s="64">
        <v>0</v>
      </c>
      <c r="P29" s="64">
        <v>0.5</v>
      </c>
      <c r="Q29" s="64">
        <v>9.69</v>
      </c>
      <c r="R29" s="198"/>
      <c r="S29" s="198"/>
      <c r="T29" s="198"/>
      <c r="U29" s="198"/>
    </row>
    <row r="30" spans="1:21" s="12" customFormat="1" x14ac:dyDescent="0.25">
      <c r="A30" s="214" t="s">
        <v>269</v>
      </c>
      <c r="B30" s="64">
        <v>6.55</v>
      </c>
      <c r="C30" s="64">
        <v>42.27</v>
      </c>
      <c r="D30" s="64">
        <v>27.26</v>
      </c>
      <c r="E30" s="64">
        <v>2.4300000000000002</v>
      </c>
      <c r="F30" s="64">
        <v>3.72</v>
      </c>
      <c r="G30" s="64">
        <v>36.82</v>
      </c>
      <c r="H30" s="64">
        <v>20.88</v>
      </c>
      <c r="I30" s="64">
        <v>6.59</v>
      </c>
      <c r="J30" s="64">
        <v>0.3</v>
      </c>
      <c r="K30" s="64">
        <v>189.8</v>
      </c>
      <c r="L30" s="64">
        <v>23.71</v>
      </c>
      <c r="M30" s="64">
        <v>55.96</v>
      </c>
      <c r="N30" s="64">
        <v>26.2</v>
      </c>
      <c r="O30" s="64">
        <v>0</v>
      </c>
      <c r="P30" s="64">
        <v>0.5</v>
      </c>
      <c r="Q30" s="64">
        <v>9.56</v>
      </c>
      <c r="R30" s="198"/>
      <c r="S30" s="198"/>
      <c r="T30" s="198"/>
      <c r="U30" s="198"/>
    </row>
    <row r="31" spans="1:21" s="12" customFormat="1" x14ac:dyDescent="0.25">
      <c r="A31" s="214" t="s">
        <v>270</v>
      </c>
      <c r="B31" s="64">
        <v>6.1</v>
      </c>
      <c r="C31" s="64">
        <v>42.15</v>
      </c>
      <c r="D31" s="64">
        <v>26.84</v>
      </c>
      <c r="E31" s="64">
        <v>2.2999999999999998</v>
      </c>
      <c r="F31" s="64">
        <v>3.66</v>
      </c>
      <c r="G31" s="64">
        <v>39.270000000000003</v>
      </c>
      <c r="H31" s="64">
        <v>21.18</v>
      </c>
      <c r="I31" s="64">
        <v>6.42</v>
      </c>
      <c r="J31" s="64">
        <v>0.13</v>
      </c>
      <c r="K31" s="64">
        <v>218.38</v>
      </c>
      <c r="L31" s="64">
        <v>23.64</v>
      </c>
      <c r="M31" s="64">
        <v>53.84</v>
      </c>
      <c r="N31" s="64">
        <v>27.2</v>
      </c>
      <c r="O31" s="64">
        <v>0</v>
      </c>
      <c r="P31" s="64">
        <v>0.51</v>
      </c>
      <c r="Q31" s="64">
        <v>9.61</v>
      </c>
      <c r="R31" s="198"/>
      <c r="S31" s="198"/>
      <c r="T31" s="198"/>
      <c r="U31" s="198"/>
    </row>
    <row r="32" spans="1:21" s="12" customFormat="1" x14ac:dyDescent="0.25">
      <c r="A32" s="214" t="s">
        <v>271</v>
      </c>
      <c r="B32" s="64">
        <v>5.58</v>
      </c>
      <c r="C32" s="64">
        <v>41.17</v>
      </c>
      <c r="D32" s="64">
        <v>25.91</v>
      </c>
      <c r="E32" s="64">
        <v>2.64</v>
      </c>
      <c r="F32" s="64">
        <v>4.07</v>
      </c>
      <c r="G32" s="64">
        <v>42.48</v>
      </c>
      <c r="H32" s="64">
        <v>21.56</v>
      </c>
      <c r="I32" s="64">
        <v>6.05</v>
      </c>
      <c r="J32" s="64">
        <v>0.12</v>
      </c>
      <c r="K32" s="64">
        <v>17.489999999999998</v>
      </c>
      <c r="L32" s="64">
        <v>23.65</v>
      </c>
      <c r="M32" s="64">
        <v>51.68</v>
      </c>
      <c r="N32" s="64">
        <v>33</v>
      </c>
      <c r="O32" s="64">
        <v>0</v>
      </c>
      <c r="P32" s="64">
        <v>0.5</v>
      </c>
      <c r="Q32" s="64">
        <v>9.4600000000000009</v>
      </c>
      <c r="R32" s="198"/>
      <c r="S32" s="198"/>
      <c r="T32" s="198"/>
      <c r="U32" s="198"/>
    </row>
    <row r="33" spans="1:21" s="12" customFormat="1" x14ac:dyDescent="0.25">
      <c r="A33" s="214" t="s">
        <v>272</v>
      </c>
      <c r="B33" s="64">
        <v>5.41</v>
      </c>
      <c r="C33" s="64">
        <v>41.99</v>
      </c>
      <c r="D33" s="64">
        <v>26.2</v>
      </c>
      <c r="E33" s="64">
        <v>2.57</v>
      </c>
      <c r="F33" s="64">
        <v>3.66</v>
      </c>
      <c r="G33" s="64">
        <v>42.48</v>
      </c>
      <c r="H33" s="64">
        <v>21.56</v>
      </c>
      <c r="I33" s="64">
        <v>5.95</v>
      </c>
      <c r="J33" s="64">
        <v>0.06</v>
      </c>
      <c r="K33" s="64">
        <v>319.55</v>
      </c>
      <c r="L33" s="64">
        <v>23.82</v>
      </c>
      <c r="M33" s="64">
        <v>48.59</v>
      </c>
      <c r="N33" s="64">
        <v>48.3</v>
      </c>
      <c r="O33" s="64">
        <v>0</v>
      </c>
      <c r="P33" s="64">
        <v>0.51</v>
      </c>
      <c r="Q33" s="64">
        <v>9.52</v>
      </c>
      <c r="R33" s="198"/>
      <c r="S33" s="198"/>
      <c r="T33" s="198"/>
      <c r="U33" s="198"/>
    </row>
    <row r="34" spans="1:21" s="12" customFormat="1" x14ac:dyDescent="0.25">
      <c r="A34" s="214" t="s">
        <v>273</v>
      </c>
      <c r="B34" s="64">
        <v>5.52</v>
      </c>
      <c r="C34" s="64">
        <v>42.43</v>
      </c>
      <c r="D34" s="64">
        <v>26.51</v>
      </c>
      <c r="E34" s="64">
        <v>2.63</v>
      </c>
      <c r="F34" s="64">
        <v>3.73</v>
      </c>
      <c r="G34" s="64">
        <v>42.48</v>
      </c>
      <c r="H34" s="64">
        <v>21.56</v>
      </c>
      <c r="I34" s="64">
        <v>5.87</v>
      </c>
      <c r="J34" s="64">
        <v>0.05</v>
      </c>
      <c r="K34" s="64">
        <v>237.43</v>
      </c>
      <c r="L34" s="64">
        <v>24.26</v>
      </c>
      <c r="M34" s="64">
        <v>46.52</v>
      </c>
      <c r="N34" s="64">
        <v>75.400000000000006</v>
      </c>
      <c r="O34" s="64">
        <v>0</v>
      </c>
      <c r="P34" s="64">
        <v>0.52</v>
      </c>
      <c r="Q34" s="64">
        <v>9.5299999999999994</v>
      </c>
      <c r="R34" s="198"/>
      <c r="S34" s="198"/>
      <c r="T34" s="198"/>
      <c r="U34" s="198"/>
    </row>
    <row r="35" spans="1:21" s="12" customFormat="1" x14ac:dyDescent="0.25">
      <c r="A35" s="214" t="s">
        <v>274</v>
      </c>
      <c r="B35" s="64">
        <v>5.61</v>
      </c>
      <c r="C35" s="64">
        <v>42.77</v>
      </c>
      <c r="D35" s="64">
        <v>26.76</v>
      </c>
      <c r="E35" s="64">
        <v>2.77</v>
      </c>
      <c r="F35" s="64">
        <v>3.42</v>
      </c>
      <c r="G35" s="64">
        <v>42.88</v>
      </c>
      <c r="H35" s="64">
        <v>21.13</v>
      </c>
      <c r="I35" s="64">
        <v>5.74</v>
      </c>
      <c r="J35" s="64">
        <v>7.0000000000000007E-2</v>
      </c>
      <c r="K35" s="64">
        <v>359.33</v>
      </c>
      <c r="L35" s="64">
        <v>24.89</v>
      </c>
      <c r="M35" s="64">
        <v>43.75</v>
      </c>
      <c r="N35" s="64">
        <v>110.9</v>
      </c>
      <c r="O35" s="64">
        <v>0</v>
      </c>
      <c r="P35" s="64">
        <v>0.53</v>
      </c>
      <c r="Q35" s="64">
        <v>9.4700000000000006</v>
      </c>
      <c r="R35" s="198"/>
      <c r="S35" s="198"/>
      <c r="T35" s="198"/>
      <c r="U35" s="198"/>
    </row>
    <row r="36" spans="1:21" s="12" customFormat="1" x14ac:dyDescent="0.25">
      <c r="A36" s="214" t="s">
        <v>275</v>
      </c>
      <c r="B36" s="64">
        <v>5.74</v>
      </c>
      <c r="C36" s="64">
        <v>44.01</v>
      </c>
      <c r="D36" s="64">
        <v>27.52</v>
      </c>
      <c r="E36" s="64">
        <v>2.65</v>
      </c>
      <c r="F36" s="64">
        <v>3.48</v>
      </c>
      <c r="G36" s="64">
        <v>43.4</v>
      </c>
      <c r="H36" s="64">
        <v>20.56</v>
      </c>
      <c r="I36" s="64">
        <v>5.59</v>
      </c>
      <c r="J36" s="64">
        <v>0.08</v>
      </c>
      <c r="K36" s="64">
        <v>340.25</v>
      </c>
      <c r="L36" s="64">
        <v>25.68</v>
      </c>
      <c r="M36" s="64">
        <v>42.43</v>
      </c>
      <c r="N36" s="64">
        <v>156.80000000000001</v>
      </c>
      <c r="O36" s="64">
        <v>0</v>
      </c>
      <c r="P36" s="64">
        <v>0.54</v>
      </c>
      <c r="Q36" s="64">
        <v>9.48</v>
      </c>
      <c r="R36" s="198"/>
      <c r="S36" s="198"/>
      <c r="T36" s="198"/>
      <c r="U36" s="198"/>
    </row>
    <row r="37" spans="1:21" s="12" customFormat="1" x14ac:dyDescent="0.25">
      <c r="A37" s="214" t="s">
        <v>276</v>
      </c>
      <c r="B37" s="64">
        <v>5.82</v>
      </c>
      <c r="C37" s="64">
        <v>43.48</v>
      </c>
      <c r="D37" s="64">
        <v>27.3</v>
      </c>
      <c r="E37" s="64">
        <v>2.34</v>
      </c>
      <c r="F37" s="64">
        <v>3.56</v>
      </c>
      <c r="G37" s="64">
        <v>43.4</v>
      </c>
      <c r="H37" s="64">
        <v>20.56</v>
      </c>
      <c r="I37" s="64">
        <v>5.75</v>
      </c>
      <c r="J37" s="64">
        <v>0.13</v>
      </c>
      <c r="K37" s="64">
        <v>344.6</v>
      </c>
      <c r="L37" s="64">
        <v>26.72</v>
      </c>
      <c r="M37" s="64">
        <v>40.14</v>
      </c>
      <c r="N37" s="64">
        <v>201.9</v>
      </c>
      <c r="O37" s="64">
        <v>0</v>
      </c>
      <c r="P37" s="64">
        <v>0.52</v>
      </c>
      <c r="Q37" s="64">
        <v>9.4700000000000006</v>
      </c>
      <c r="R37" s="198"/>
      <c r="S37" s="198"/>
      <c r="T37" s="198"/>
      <c r="U37" s="198"/>
    </row>
    <row r="38" spans="1:21" s="12" customFormat="1" x14ac:dyDescent="0.25">
      <c r="A38" s="214" t="s">
        <v>277</v>
      </c>
      <c r="B38" s="64">
        <v>6.03</v>
      </c>
      <c r="C38" s="64">
        <v>40.840000000000003</v>
      </c>
      <c r="D38" s="64">
        <v>26.09</v>
      </c>
      <c r="E38" s="64">
        <v>2.73</v>
      </c>
      <c r="F38" s="64">
        <v>3.72</v>
      </c>
      <c r="G38" s="64">
        <v>43.4</v>
      </c>
      <c r="H38" s="64">
        <v>20.56</v>
      </c>
      <c r="I38" s="64">
        <v>5.71</v>
      </c>
      <c r="J38" s="64">
        <v>0.04</v>
      </c>
      <c r="K38" s="64">
        <v>15.08</v>
      </c>
      <c r="L38" s="64">
        <v>27.21</v>
      </c>
      <c r="M38" s="64">
        <v>38.909999999999997</v>
      </c>
      <c r="N38" s="64">
        <v>255</v>
      </c>
      <c r="O38" s="64">
        <v>0</v>
      </c>
      <c r="P38" s="64">
        <v>0.56000000000000005</v>
      </c>
      <c r="Q38" s="64">
        <v>9.65</v>
      </c>
      <c r="R38" s="198"/>
      <c r="S38" s="198"/>
      <c r="T38" s="198"/>
      <c r="U38" s="198"/>
    </row>
    <row r="39" spans="1:21" s="12" customFormat="1" x14ac:dyDescent="0.25">
      <c r="A39" s="214" t="s">
        <v>278</v>
      </c>
      <c r="B39" s="64">
        <v>5.96</v>
      </c>
      <c r="C39" s="64">
        <v>42.38</v>
      </c>
      <c r="D39" s="64">
        <v>26.84</v>
      </c>
      <c r="E39" s="64">
        <v>2.54</v>
      </c>
      <c r="F39" s="64">
        <v>4.0199999999999996</v>
      </c>
      <c r="G39" s="64">
        <v>45.69</v>
      </c>
      <c r="H39" s="64">
        <v>20.88</v>
      </c>
      <c r="I39" s="64">
        <v>5.77</v>
      </c>
      <c r="J39" s="64">
        <v>0.11</v>
      </c>
      <c r="K39" s="64">
        <v>12.25</v>
      </c>
      <c r="L39" s="64">
        <v>27.65</v>
      </c>
      <c r="M39" s="64">
        <v>38.44</v>
      </c>
      <c r="N39" s="64">
        <v>309.7</v>
      </c>
      <c r="O39" s="64">
        <v>0</v>
      </c>
      <c r="P39" s="64">
        <v>0.57999999999999996</v>
      </c>
      <c r="Q39" s="64">
        <v>9.5299999999999994</v>
      </c>
      <c r="R39" s="198"/>
      <c r="S39" s="198"/>
      <c r="T39" s="198"/>
      <c r="U39" s="198"/>
    </row>
    <row r="40" spans="1:21" s="12" customFormat="1" x14ac:dyDescent="0.25">
      <c r="A40" s="214" t="s">
        <v>279</v>
      </c>
      <c r="B40" s="64">
        <v>5.77</v>
      </c>
      <c r="C40" s="64">
        <v>45.87</v>
      </c>
      <c r="D40" s="64">
        <v>28.51</v>
      </c>
      <c r="E40" s="64">
        <v>1.72</v>
      </c>
      <c r="F40" s="64">
        <v>3.84</v>
      </c>
      <c r="G40" s="64">
        <v>48.69</v>
      </c>
      <c r="H40" s="64">
        <v>21.27</v>
      </c>
      <c r="I40" s="64">
        <v>5.91</v>
      </c>
      <c r="J40" s="64">
        <v>0.06</v>
      </c>
      <c r="K40" s="64">
        <v>329.91</v>
      </c>
      <c r="L40" s="64">
        <v>28.66</v>
      </c>
      <c r="M40" s="64">
        <v>37.81</v>
      </c>
      <c r="N40" s="64">
        <v>365.8</v>
      </c>
      <c r="O40" s="64">
        <v>0</v>
      </c>
      <c r="P40" s="64">
        <v>0.6</v>
      </c>
      <c r="Q40" s="64">
        <v>9.75</v>
      </c>
      <c r="R40" s="198"/>
      <c r="S40" s="198"/>
      <c r="T40" s="198"/>
      <c r="U40" s="198"/>
    </row>
    <row r="41" spans="1:21" s="12" customFormat="1" x14ac:dyDescent="0.25">
      <c r="A41" s="214" t="s">
        <v>280</v>
      </c>
      <c r="B41" s="64">
        <v>5.4</v>
      </c>
      <c r="C41" s="64">
        <v>47.26</v>
      </c>
      <c r="D41" s="64">
        <v>28.94</v>
      </c>
      <c r="E41" s="64">
        <v>1.91</v>
      </c>
      <c r="F41" s="64">
        <v>4.03</v>
      </c>
      <c r="G41" s="64">
        <v>48.69</v>
      </c>
      <c r="H41" s="64">
        <v>21.27</v>
      </c>
      <c r="I41" s="64">
        <v>5.81</v>
      </c>
      <c r="J41" s="64">
        <v>0.09</v>
      </c>
      <c r="K41" s="64">
        <v>224.24</v>
      </c>
      <c r="L41" s="64">
        <v>28.48</v>
      </c>
      <c r="M41" s="64">
        <v>38.340000000000003</v>
      </c>
      <c r="N41" s="64">
        <v>418.9</v>
      </c>
      <c r="O41" s="64">
        <v>0</v>
      </c>
      <c r="P41" s="64">
        <v>0.61</v>
      </c>
      <c r="Q41" s="64">
        <v>9.5299999999999994</v>
      </c>
      <c r="R41" s="198"/>
      <c r="S41" s="198"/>
      <c r="T41" s="198"/>
      <c r="U41" s="198"/>
    </row>
    <row r="42" spans="1:21" s="12" customFormat="1" x14ac:dyDescent="0.25">
      <c r="A42" s="214" t="s">
        <v>281</v>
      </c>
      <c r="B42" s="64">
        <v>4.6399999999999997</v>
      </c>
      <c r="C42" s="64">
        <v>47.43</v>
      </c>
      <c r="D42" s="64">
        <v>28.42</v>
      </c>
      <c r="E42" s="64">
        <v>1.99</v>
      </c>
      <c r="F42" s="64">
        <v>4.21</v>
      </c>
      <c r="G42" s="64">
        <v>48.69</v>
      </c>
      <c r="H42" s="64">
        <v>21.27</v>
      </c>
      <c r="I42" s="64">
        <v>5.92</v>
      </c>
      <c r="J42" s="64">
        <v>0.09</v>
      </c>
      <c r="K42" s="64">
        <v>302.95</v>
      </c>
      <c r="L42" s="64">
        <v>29.61</v>
      </c>
      <c r="M42" s="64">
        <v>37.630000000000003</v>
      </c>
      <c r="N42" s="64">
        <v>475.6</v>
      </c>
      <c r="O42" s="64">
        <v>0</v>
      </c>
      <c r="P42" s="64">
        <v>0.61</v>
      </c>
      <c r="Q42" s="64">
        <v>9.42</v>
      </c>
      <c r="R42" s="198"/>
      <c r="S42" s="198"/>
      <c r="T42" s="198"/>
      <c r="U42" s="198"/>
    </row>
    <row r="43" spans="1:21" s="12" customFormat="1" x14ac:dyDescent="0.25">
      <c r="A43" s="214" t="s">
        <v>282</v>
      </c>
      <c r="B43" s="64">
        <v>3.79</v>
      </c>
      <c r="C43" s="64">
        <v>47.99</v>
      </c>
      <c r="D43" s="64">
        <v>28.03</v>
      </c>
      <c r="E43" s="64">
        <v>2.27</v>
      </c>
      <c r="F43" s="64">
        <v>4.91</v>
      </c>
      <c r="G43" s="64">
        <v>49.65</v>
      </c>
      <c r="H43" s="64">
        <v>22.35</v>
      </c>
      <c r="I43" s="64">
        <v>5.85</v>
      </c>
      <c r="J43" s="64">
        <v>0.12</v>
      </c>
      <c r="K43" s="64">
        <v>251.28</v>
      </c>
      <c r="L43" s="64">
        <v>29.77</v>
      </c>
      <c r="M43" s="64">
        <v>36.29</v>
      </c>
      <c r="N43" s="64">
        <v>535.29999999999995</v>
      </c>
      <c r="O43" s="64">
        <v>0</v>
      </c>
      <c r="P43" s="64">
        <v>0.61</v>
      </c>
      <c r="Q43" s="64">
        <v>9.67</v>
      </c>
      <c r="R43" s="198"/>
      <c r="S43" s="198"/>
      <c r="T43" s="198"/>
      <c r="U43" s="198"/>
    </row>
    <row r="44" spans="1:21" s="12" customFormat="1" x14ac:dyDescent="0.25">
      <c r="A44" s="214" t="s">
        <v>283</v>
      </c>
      <c r="B44" s="64">
        <v>2.48</v>
      </c>
      <c r="C44" s="64">
        <v>48.45</v>
      </c>
      <c r="D44" s="64">
        <v>27.23</v>
      </c>
      <c r="E44" s="64">
        <v>2.2799999999999998</v>
      </c>
      <c r="F44" s="64">
        <v>6.05</v>
      </c>
      <c r="G44" s="64">
        <v>50.91</v>
      </c>
      <c r="H44" s="64">
        <v>23.72</v>
      </c>
      <c r="I44" s="64">
        <v>5.85</v>
      </c>
      <c r="J44" s="64">
        <v>0.12</v>
      </c>
      <c r="K44" s="64">
        <v>344.35</v>
      </c>
      <c r="L44" s="64">
        <v>30.48</v>
      </c>
      <c r="M44" s="64">
        <v>35.630000000000003</v>
      </c>
      <c r="N44" s="64">
        <v>582.6</v>
      </c>
      <c r="O44" s="64">
        <v>0</v>
      </c>
      <c r="P44" s="64">
        <v>0.6</v>
      </c>
      <c r="Q44" s="64">
        <v>9.4600000000000009</v>
      </c>
      <c r="R44" s="198"/>
      <c r="S44" s="198"/>
      <c r="T44" s="198"/>
      <c r="U44" s="198"/>
    </row>
    <row r="45" spans="1:21" s="12" customFormat="1" x14ac:dyDescent="0.25">
      <c r="A45" s="214" t="s">
        <v>284</v>
      </c>
      <c r="B45" s="64">
        <v>1.67</v>
      </c>
      <c r="C45" s="64">
        <v>50.47</v>
      </c>
      <c r="D45" s="64">
        <v>27.63</v>
      </c>
      <c r="E45" s="64">
        <v>2.48</v>
      </c>
      <c r="F45" s="64">
        <v>6.6</v>
      </c>
      <c r="G45" s="64">
        <v>50.91</v>
      </c>
      <c r="H45" s="64">
        <v>23.72</v>
      </c>
      <c r="I45" s="64">
        <v>5.62</v>
      </c>
      <c r="J45" s="64">
        <v>0.23</v>
      </c>
      <c r="K45" s="64">
        <v>18.07</v>
      </c>
      <c r="L45" s="64">
        <v>31.09</v>
      </c>
      <c r="M45" s="64">
        <v>34.6</v>
      </c>
      <c r="N45" s="64">
        <v>628.1</v>
      </c>
      <c r="O45" s="64">
        <v>0</v>
      </c>
      <c r="P45" s="64">
        <v>0.6</v>
      </c>
      <c r="Q45" s="64">
        <v>9.32</v>
      </c>
      <c r="R45" s="198"/>
      <c r="S45" s="198"/>
      <c r="T45" s="198"/>
      <c r="U45" s="198"/>
    </row>
    <row r="46" spans="1:21" s="12" customFormat="1" x14ac:dyDescent="0.25">
      <c r="A46" s="214" t="s">
        <v>285</v>
      </c>
      <c r="B46" s="64">
        <v>1.21</v>
      </c>
      <c r="C46" s="64">
        <v>53.44</v>
      </c>
      <c r="D46" s="64">
        <v>28.82</v>
      </c>
      <c r="E46" s="64">
        <v>2.4900000000000002</v>
      </c>
      <c r="F46" s="64">
        <v>7.89</v>
      </c>
      <c r="G46" s="64">
        <v>50.91</v>
      </c>
      <c r="H46" s="64">
        <v>23.72</v>
      </c>
      <c r="I46" s="64">
        <v>5.23</v>
      </c>
      <c r="J46" s="64">
        <v>0.17</v>
      </c>
      <c r="K46" s="64">
        <v>13.95</v>
      </c>
      <c r="L46" s="64">
        <v>31.38</v>
      </c>
      <c r="M46" s="64">
        <v>33.520000000000003</v>
      </c>
      <c r="N46" s="64">
        <v>679.7</v>
      </c>
      <c r="O46" s="64">
        <v>0</v>
      </c>
      <c r="P46" s="64">
        <v>0.59</v>
      </c>
      <c r="Q46" s="64">
        <v>9.65</v>
      </c>
      <c r="R46" s="198"/>
      <c r="S46" s="198"/>
      <c r="T46" s="198"/>
      <c r="U46" s="198"/>
    </row>
    <row r="47" spans="1:21" s="12" customFormat="1" x14ac:dyDescent="0.25">
      <c r="A47" s="214" t="s">
        <v>286</v>
      </c>
      <c r="B47" s="64">
        <v>0.95</v>
      </c>
      <c r="C47" s="64">
        <v>51.68</v>
      </c>
      <c r="D47" s="64">
        <v>27.69</v>
      </c>
      <c r="E47" s="64">
        <v>2.38</v>
      </c>
      <c r="F47" s="64">
        <v>8.56</v>
      </c>
      <c r="G47" s="64">
        <v>52.35</v>
      </c>
      <c r="H47" s="64">
        <v>23.72</v>
      </c>
      <c r="I47" s="64">
        <v>4.79</v>
      </c>
      <c r="J47" s="64">
        <v>0.25</v>
      </c>
      <c r="K47" s="64">
        <v>26.65</v>
      </c>
      <c r="L47" s="64">
        <v>32.31</v>
      </c>
      <c r="M47" s="64">
        <v>32.659999999999997</v>
      </c>
      <c r="N47" s="64">
        <v>718.9</v>
      </c>
      <c r="O47" s="64">
        <v>0</v>
      </c>
      <c r="P47" s="64">
        <v>0.57999999999999996</v>
      </c>
      <c r="Q47" s="64">
        <v>9.6199999999999992</v>
      </c>
      <c r="R47" s="198"/>
      <c r="S47" s="198"/>
      <c r="T47" s="198"/>
      <c r="U47" s="198"/>
    </row>
    <row r="48" spans="1:21" s="12" customFormat="1" x14ac:dyDescent="0.25">
      <c r="A48" s="214" t="s">
        <v>287</v>
      </c>
      <c r="B48" s="64">
        <v>0.88</v>
      </c>
      <c r="C48" s="64">
        <v>51.8</v>
      </c>
      <c r="D48" s="64">
        <v>27.69</v>
      </c>
      <c r="E48" s="64">
        <v>2.63</v>
      </c>
      <c r="F48" s="64">
        <v>9.06</v>
      </c>
      <c r="G48" s="64">
        <v>54.24</v>
      </c>
      <c r="H48" s="64">
        <v>23.72</v>
      </c>
      <c r="I48" s="64">
        <v>4.2</v>
      </c>
      <c r="J48" s="64">
        <v>0.02</v>
      </c>
      <c r="K48" s="64">
        <v>3.24</v>
      </c>
      <c r="L48" s="64">
        <v>32.51</v>
      </c>
      <c r="M48" s="64">
        <v>31.37</v>
      </c>
      <c r="N48" s="64">
        <v>774.5</v>
      </c>
      <c r="O48" s="64">
        <v>0</v>
      </c>
      <c r="P48" s="64">
        <v>0.56999999999999995</v>
      </c>
      <c r="Q48" s="64">
        <v>9.39</v>
      </c>
      <c r="R48" s="198"/>
      <c r="S48" s="198"/>
      <c r="T48" s="198"/>
      <c r="U48" s="198"/>
    </row>
    <row r="49" spans="1:21" s="12" customFormat="1" x14ac:dyDescent="0.25">
      <c r="A49" s="214" t="s">
        <v>288</v>
      </c>
      <c r="B49" s="64">
        <v>0.73</v>
      </c>
      <c r="C49" s="64">
        <v>52.72</v>
      </c>
      <c r="D49" s="64">
        <v>28.05</v>
      </c>
      <c r="E49" s="64">
        <v>2.65</v>
      </c>
      <c r="F49" s="64">
        <v>9.26</v>
      </c>
      <c r="G49" s="64">
        <v>54.24</v>
      </c>
      <c r="H49" s="64">
        <v>23.72</v>
      </c>
      <c r="I49" s="64">
        <v>3.82</v>
      </c>
      <c r="J49" s="64">
        <v>0.5</v>
      </c>
      <c r="K49" s="64">
        <v>209.23</v>
      </c>
      <c r="L49" s="64">
        <v>32.25</v>
      </c>
      <c r="M49" s="64">
        <v>31.59</v>
      </c>
      <c r="N49" s="64">
        <v>822.1</v>
      </c>
      <c r="O49" s="64">
        <v>0</v>
      </c>
      <c r="P49" s="64">
        <v>0.55000000000000004</v>
      </c>
      <c r="Q49" s="64">
        <v>9.5299999999999994</v>
      </c>
      <c r="R49" s="198"/>
      <c r="S49" s="198"/>
      <c r="T49" s="198"/>
      <c r="U49" s="198"/>
    </row>
    <row r="50" spans="1:21" s="12" customFormat="1" x14ac:dyDescent="0.25">
      <c r="A50" s="214" t="s">
        <v>289</v>
      </c>
      <c r="B50" s="64">
        <v>0.67</v>
      </c>
      <c r="C50" s="64">
        <v>54.7</v>
      </c>
      <c r="D50" s="64">
        <v>29.04</v>
      </c>
      <c r="E50" s="64">
        <v>2.59</v>
      </c>
      <c r="F50" s="64">
        <v>9.81</v>
      </c>
      <c r="G50" s="64">
        <v>54.24</v>
      </c>
      <c r="H50" s="64">
        <v>23.72</v>
      </c>
      <c r="I50" s="64">
        <v>3.51</v>
      </c>
      <c r="J50" s="64">
        <v>0.15</v>
      </c>
      <c r="K50" s="64">
        <v>15.67</v>
      </c>
      <c r="L50" s="64">
        <v>33.42</v>
      </c>
      <c r="M50" s="64">
        <v>30.32</v>
      </c>
      <c r="N50" s="64">
        <v>833.1</v>
      </c>
      <c r="O50" s="64">
        <v>0</v>
      </c>
      <c r="P50" s="64">
        <v>0.53</v>
      </c>
      <c r="Q50" s="64">
        <v>9.5399999999999991</v>
      </c>
      <c r="R50" s="198"/>
      <c r="S50" s="198"/>
      <c r="T50" s="198"/>
      <c r="U50" s="198"/>
    </row>
    <row r="51" spans="1:21" s="12" customFormat="1" x14ac:dyDescent="0.25">
      <c r="A51" s="214" t="s">
        <v>290</v>
      </c>
      <c r="B51" s="64">
        <v>0.65</v>
      </c>
      <c r="C51" s="64">
        <v>55.7</v>
      </c>
      <c r="D51" s="64">
        <v>29.54</v>
      </c>
      <c r="E51" s="64">
        <v>2.83</v>
      </c>
      <c r="F51" s="64">
        <v>13.59</v>
      </c>
      <c r="G51" s="64">
        <v>54.24</v>
      </c>
      <c r="H51" s="64">
        <v>23.72</v>
      </c>
      <c r="I51" s="64">
        <v>3.26</v>
      </c>
      <c r="J51" s="64">
        <v>0.24</v>
      </c>
      <c r="K51" s="64">
        <v>322.27999999999997</v>
      </c>
      <c r="L51" s="64">
        <v>34.25</v>
      </c>
      <c r="M51" s="64">
        <v>28.84</v>
      </c>
      <c r="N51" s="64">
        <v>857.6</v>
      </c>
      <c r="O51" s="64">
        <v>0</v>
      </c>
      <c r="P51" s="64">
        <v>0.53</v>
      </c>
      <c r="Q51" s="64">
        <v>9.58</v>
      </c>
      <c r="R51" s="198"/>
      <c r="S51" s="198"/>
      <c r="T51" s="198"/>
      <c r="U51" s="198"/>
    </row>
    <row r="52" spans="1:21" s="12" customFormat="1" x14ac:dyDescent="0.25">
      <c r="A52" s="214" t="s">
        <v>291</v>
      </c>
      <c r="B52" s="64">
        <v>0.92</v>
      </c>
      <c r="C52" s="64">
        <v>48.26</v>
      </c>
      <c r="D52" s="64">
        <v>25.87</v>
      </c>
      <c r="E52" s="64">
        <v>1.45</v>
      </c>
      <c r="F52" s="64">
        <v>13.15</v>
      </c>
      <c r="G52" s="64">
        <v>54.24</v>
      </c>
      <c r="H52" s="64">
        <v>23.72</v>
      </c>
      <c r="I52" s="64">
        <v>3.03</v>
      </c>
      <c r="J52" s="64">
        <v>0.67</v>
      </c>
      <c r="K52" s="64">
        <v>310.82</v>
      </c>
      <c r="L52" s="64">
        <v>35.42</v>
      </c>
      <c r="M52" s="64">
        <v>27.74</v>
      </c>
      <c r="N52" s="64">
        <v>865.8</v>
      </c>
      <c r="O52" s="64">
        <v>0</v>
      </c>
      <c r="P52" s="64">
        <v>0.52</v>
      </c>
      <c r="Q52" s="64">
        <v>9.36</v>
      </c>
      <c r="R52" s="198"/>
      <c r="S52" s="198"/>
      <c r="T52" s="198"/>
      <c r="U52" s="198"/>
    </row>
    <row r="53" spans="1:21" s="12" customFormat="1" x14ac:dyDescent="0.25">
      <c r="A53" s="214" t="s">
        <v>292</v>
      </c>
      <c r="B53" s="64">
        <v>1.18</v>
      </c>
      <c r="C53" s="64">
        <v>44.21</v>
      </c>
      <c r="D53" s="64">
        <v>23.97</v>
      </c>
      <c r="E53" s="64">
        <v>4.41</v>
      </c>
      <c r="F53" s="64">
        <v>14.01</v>
      </c>
      <c r="G53" s="64">
        <v>54.24</v>
      </c>
      <c r="H53" s="64">
        <v>23.72</v>
      </c>
      <c r="I53" s="64">
        <v>2.81</v>
      </c>
      <c r="J53" s="64">
        <v>0.33</v>
      </c>
      <c r="K53" s="64">
        <v>345.59</v>
      </c>
      <c r="L53" s="64">
        <v>35.18</v>
      </c>
      <c r="M53" s="64">
        <v>27.51</v>
      </c>
      <c r="N53" s="64">
        <v>861.3</v>
      </c>
      <c r="O53" s="64">
        <v>0</v>
      </c>
      <c r="P53" s="64">
        <v>0.51</v>
      </c>
      <c r="Q53" s="64">
        <v>9.16</v>
      </c>
      <c r="R53" s="198"/>
      <c r="S53" s="198"/>
      <c r="T53" s="198"/>
      <c r="U53" s="198"/>
    </row>
    <row r="54" spans="1:21" s="12" customFormat="1" x14ac:dyDescent="0.25">
      <c r="A54" s="214" t="s">
        <v>293</v>
      </c>
      <c r="B54" s="64">
        <v>1.1299999999999999</v>
      </c>
      <c r="C54" s="64">
        <v>42.3</v>
      </c>
      <c r="D54" s="64">
        <v>22.93</v>
      </c>
      <c r="E54" s="64">
        <v>2.75</v>
      </c>
      <c r="F54" s="64">
        <v>13.68</v>
      </c>
      <c r="G54" s="64">
        <v>54.24</v>
      </c>
      <c r="H54" s="64">
        <v>23.72</v>
      </c>
      <c r="I54" s="64">
        <v>2.68</v>
      </c>
      <c r="J54" s="64">
        <v>0.54</v>
      </c>
      <c r="K54" s="64">
        <v>324.66000000000003</v>
      </c>
      <c r="L54" s="64">
        <v>36.840000000000003</v>
      </c>
      <c r="M54" s="64">
        <v>26.27</v>
      </c>
      <c r="N54" s="64">
        <v>920.5</v>
      </c>
      <c r="O54" s="64">
        <v>0</v>
      </c>
      <c r="P54" s="64">
        <v>0.51</v>
      </c>
      <c r="Q54" s="64">
        <v>9.3800000000000008</v>
      </c>
      <c r="R54" s="198"/>
      <c r="S54" s="198"/>
      <c r="T54" s="198"/>
      <c r="U54" s="198"/>
    </row>
    <row r="55" spans="1:21" s="12" customFormat="1" x14ac:dyDescent="0.25">
      <c r="A55" s="214" t="s">
        <v>294</v>
      </c>
      <c r="B55" s="64">
        <v>1.01</v>
      </c>
      <c r="C55" s="64">
        <v>43.48</v>
      </c>
      <c r="D55" s="64">
        <v>23.44</v>
      </c>
      <c r="E55" s="211" t="s">
        <v>40</v>
      </c>
      <c r="F55" s="64">
        <v>17.41</v>
      </c>
      <c r="G55" s="64">
        <v>11.45</v>
      </c>
      <c r="H55" s="64">
        <v>5.01</v>
      </c>
      <c r="I55" s="64">
        <v>2.54</v>
      </c>
      <c r="J55" s="64">
        <v>0.45</v>
      </c>
      <c r="K55" s="64">
        <v>340.88</v>
      </c>
      <c r="L55" s="64">
        <v>36.69</v>
      </c>
      <c r="M55" s="64">
        <v>24.38</v>
      </c>
      <c r="N55" s="64">
        <v>922.7</v>
      </c>
      <c r="O55" s="64">
        <v>0</v>
      </c>
      <c r="P55" s="64">
        <v>0.51</v>
      </c>
      <c r="Q55" s="64">
        <v>9.44</v>
      </c>
      <c r="R55" s="198"/>
      <c r="S55" s="198"/>
      <c r="T55" s="198"/>
      <c r="U55" s="198"/>
    </row>
    <row r="56" spans="1:21" s="12" customFormat="1" x14ac:dyDescent="0.25">
      <c r="A56" s="214" t="s">
        <v>295</v>
      </c>
      <c r="B56" s="64">
        <v>0.78</v>
      </c>
      <c r="C56" s="64">
        <v>41.44</v>
      </c>
      <c r="D56" s="64">
        <v>22.19</v>
      </c>
      <c r="E56" s="211" t="s">
        <v>40</v>
      </c>
      <c r="F56" s="64">
        <v>18.22</v>
      </c>
      <c r="G56" s="211" t="s">
        <v>40</v>
      </c>
      <c r="H56" s="211" t="s">
        <v>40</v>
      </c>
      <c r="I56" s="64">
        <v>2.71</v>
      </c>
      <c r="J56" s="64">
        <v>0.5</v>
      </c>
      <c r="K56" s="64">
        <v>332.72</v>
      </c>
      <c r="L56" s="64">
        <v>36.58</v>
      </c>
      <c r="M56" s="64">
        <v>23.78</v>
      </c>
      <c r="N56" s="64">
        <v>913.9</v>
      </c>
      <c r="O56" s="64">
        <v>0</v>
      </c>
      <c r="P56" s="64">
        <v>0.5</v>
      </c>
      <c r="Q56" s="64">
        <v>9.3699999999999992</v>
      </c>
      <c r="R56" s="198"/>
      <c r="S56" s="198"/>
      <c r="T56" s="198"/>
      <c r="U56" s="198"/>
    </row>
    <row r="57" spans="1:21" s="12" customFormat="1" x14ac:dyDescent="0.25">
      <c r="A57" s="214" t="s">
        <v>296</v>
      </c>
      <c r="B57" s="211" t="s">
        <v>40</v>
      </c>
      <c r="C57" s="211" t="s">
        <v>40</v>
      </c>
      <c r="D57" s="211" t="s">
        <v>40</v>
      </c>
      <c r="E57" s="64">
        <v>6</v>
      </c>
      <c r="F57" s="64">
        <v>18.059999999999999</v>
      </c>
      <c r="G57" s="211" t="s">
        <v>40</v>
      </c>
      <c r="H57" s="211" t="s">
        <v>40</v>
      </c>
      <c r="I57" s="64">
        <v>3.89</v>
      </c>
      <c r="J57" s="64">
        <v>0.34</v>
      </c>
      <c r="K57" s="64">
        <v>348.38</v>
      </c>
      <c r="L57" s="64">
        <v>35.78</v>
      </c>
      <c r="M57" s="64">
        <v>23.38</v>
      </c>
      <c r="N57" s="64">
        <v>913.9</v>
      </c>
      <c r="O57" s="64">
        <v>0</v>
      </c>
      <c r="P57" s="64">
        <v>0.48</v>
      </c>
      <c r="Q57" s="64">
        <v>9.3000000000000007</v>
      </c>
      <c r="R57" s="198"/>
      <c r="S57" s="198"/>
      <c r="T57" s="198"/>
      <c r="U57" s="198"/>
    </row>
    <row r="58" spans="1:21" s="12" customFormat="1" x14ac:dyDescent="0.25">
      <c r="A58" s="214" t="s">
        <v>297</v>
      </c>
      <c r="B58" s="211" t="s">
        <v>40</v>
      </c>
      <c r="C58" s="211" t="s">
        <v>40</v>
      </c>
      <c r="D58" s="211" t="s">
        <v>40</v>
      </c>
      <c r="E58" s="64">
        <v>2.39</v>
      </c>
      <c r="F58" s="64">
        <v>18.010000000000002</v>
      </c>
      <c r="G58" s="211" t="s">
        <v>40</v>
      </c>
      <c r="H58" s="211" t="s">
        <v>40</v>
      </c>
      <c r="I58" s="64">
        <v>5.34</v>
      </c>
      <c r="J58" s="64">
        <v>0.44</v>
      </c>
      <c r="K58" s="64">
        <v>343.22</v>
      </c>
      <c r="L58" s="64">
        <v>36.78</v>
      </c>
      <c r="M58" s="64">
        <v>22.34</v>
      </c>
      <c r="N58" s="64">
        <v>853.2</v>
      </c>
      <c r="O58" s="64">
        <v>0</v>
      </c>
      <c r="P58" s="64">
        <v>3.3</v>
      </c>
      <c r="Q58" s="64">
        <v>9.4</v>
      </c>
      <c r="R58" s="198"/>
      <c r="S58" s="198"/>
      <c r="T58" s="198"/>
      <c r="U58" s="198"/>
    </row>
    <row r="59" spans="1:21" s="12" customFormat="1" x14ac:dyDescent="0.25">
      <c r="A59" s="214" t="s">
        <v>298</v>
      </c>
      <c r="B59" s="64">
        <v>0.41</v>
      </c>
      <c r="C59" s="64">
        <v>44.29</v>
      </c>
      <c r="D59" s="64">
        <v>23.39</v>
      </c>
      <c r="E59" s="64">
        <v>2.4300000000000002</v>
      </c>
      <c r="F59" s="64">
        <v>16.91</v>
      </c>
      <c r="G59" s="64">
        <v>66.430000000000007</v>
      </c>
      <c r="H59" s="64">
        <v>18.309999999999999</v>
      </c>
      <c r="I59" s="64">
        <v>6.08</v>
      </c>
      <c r="J59" s="64">
        <v>0.1</v>
      </c>
      <c r="K59" s="64">
        <v>350.52</v>
      </c>
      <c r="L59" s="64">
        <v>35.79</v>
      </c>
      <c r="M59" s="64">
        <v>21.97</v>
      </c>
      <c r="N59" s="64">
        <v>895.3</v>
      </c>
      <c r="O59" s="64">
        <v>0</v>
      </c>
      <c r="P59" s="64">
        <v>0.49</v>
      </c>
      <c r="Q59" s="64">
        <v>9.35</v>
      </c>
      <c r="R59" s="198"/>
      <c r="S59" s="198"/>
      <c r="T59" s="198"/>
      <c r="U59" s="198"/>
    </row>
    <row r="60" spans="1:21" s="12" customFormat="1" x14ac:dyDescent="0.25">
      <c r="A60" s="214" t="s">
        <v>299</v>
      </c>
      <c r="B60" s="64">
        <v>0.39</v>
      </c>
      <c r="C60" s="64">
        <v>42.06</v>
      </c>
      <c r="D60" s="64">
        <v>22.21</v>
      </c>
      <c r="E60" s="64">
        <v>2.69</v>
      </c>
      <c r="F60" s="64">
        <v>16.18</v>
      </c>
      <c r="G60" s="64">
        <v>66.430000000000007</v>
      </c>
      <c r="H60" s="64">
        <v>18.309999999999999</v>
      </c>
      <c r="I60" s="64">
        <v>6.43</v>
      </c>
      <c r="J60" s="64">
        <v>0.28999999999999998</v>
      </c>
      <c r="K60" s="64">
        <v>5.03</v>
      </c>
      <c r="L60" s="64">
        <v>36.1</v>
      </c>
      <c r="M60" s="64">
        <v>21.59</v>
      </c>
      <c r="N60" s="64">
        <v>867</v>
      </c>
      <c r="O60" s="64">
        <v>0</v>
      </c>
      <c r="P60" s="64">
        <v>0.48</v>
      </c>
      <c r="Q60" s="64">
        <v>9.32</v>
      </c>
      <c r="R60" s="198"/>
      <c r="S60" s="198"/>
      <c r="T60" s="198"/>
      <c r="U60" s="198"/>
    </row>
    <row r="61" spans="1:21" s="12" customFormat="1" x14ac:dyDescent="0.25">
      <c r="A61" s="214" t="s">
        <v>300</v>
      </c>
      <c r="B61" s="64">
        <v>0.5</v>
      </c>
      <c r="C61" s="64">
        <v>41.2</v>
      </c>
      <c r="D61" s="64">
        <v>21.85</v>
      </c>
      <c r="E61" s="64">
        <v>2.4500000000000002</v>
      </c>
      <c r="F61" s="64">
        <v>12.06</v>
      </c>
      <c r="G61" s="64">
        <v>66.430000000000007</v>
      </c>
      <c r="H61" s="64">
        <v>18.309999999999999</v>
      </c>
      <c r="I61" s="64">
        <v>6.25</v>
      </c>
      <c r="J61" s="64">
        <v>0.3</v>
      </c>
      <c r="K61" s="64">
        <v>332.06</v>
      </c>
      <c r="L61" s="64">
        <v>36.75</v>
      </c>
      <c r="M61" s="64">
        <v>21</v>
      </c>
      <c r="N61" s="64">
        <v>847</v>
      </c>
      <c r="O61" s="64">
        <v>0</v>
      </c>
      <c r="P61" s="64">
        <v>0.44</v>
      </c>
      <c r="Q61" s="64">
        <v>9.35</v>
      </c>
      <c r="R61" s="198"/>
      <c r="S61" s="198"/>
      <c r="T61" s="198"/>
      <c r="U61" s="198"/>
    </row>
    <row r="62" spans="1:21" s="12" customFormat="1" x14ac:dyDescent="0.25">
      <c r="A62" s="214" t="s">
        <v>301</v>
      </c>
      <c r="B62" s="64">
        <v>0.54</v>
      </c>
      <c r="C62" s="64">
        <v>39.520000000000003</v>
      </c>
      <c r="D62" s="64">
        <v>21.01</v>
      </c>
      <c r="E62" s="64">
        <v>2.21</v>
      </c>
      <c r="F62" s="64">
        <v>13.5</v>
      </c>
      <c r="G62" s="64">
        <v>66.430000000000007</v>
      </c>
      <c r="H62" s="64">
        <v>18.309999999999999</v>
      </c>
      <c r="I62" s="64">
        <v>5.41</v>
      </c>
      <c r="J62" s="64">
        <v>0.27</v>
      </c>
      <c r="K62" s="64">
        <v>2.95</v>
      </c>
      <c r="L62" s="64">
        <v>36.090000000000003</v>
      </c>
      <c r="M62" s="64">
        <v>20.99</v>
      </c>
      <c r="N62" s="64">
        <v>756.1</v>
      </c>
      <c r="O62" s="64">
        <v>0</v>
      </c>
      <c r="P62" s="64">
        <v>0.47</v>
      </c>
      <c r="Q62" s="64">
        <v>9.31</v>
      </c>
      <c r="R62" s="198"/>
      <c r="S62" s="198"/>
      <c r="T62" s="198"/>
      <c r="U62" s="198"/>
    </row>
    <row r="63" spans="1:21" s="12" customFormat="1" x14ac:dyDescent="0.25">
      <c r="A63" s="214" t="s">
        <v>302</v>
      </c>
      <c r="B63" s="64">
        <v>0.56999999999999995</v>
      </c>
      <c r="C63" s="64">
        <v>50.62</v>
      </c>
      <c r="D63" s="64">
        <v>26.82</v>
      </c>
      <c r="E63" s="64">
        <v>3.2</v>
      </c>
      <c r="F63" s="64">
        <v>13.62</v>
      </c>
      <c r="G63" s="64">
        <v>64.099999999999994</v>
      </c>
      <c r="H63" s="64">
        <v>21.66</v>
      </c>
      <c r="I63" s="64">
        <v>5.1100000000000003</v>
      </c>
      <c r="J63" s="64">
        <v>0.35</v>
      </c>
      <c r="K63" s="64">
        <v>355.44</v>
      </c>
      <c r="L63" s="64">
        <v>36.89</v>
      </c>
      <c r="M63" s="64">
        <v>20.86</v>
      </c>
      <c r="N63" s="64">
        <v>774.2</v>
      </c>
      <c r="O63" s="64">
        <v>0</v>
      </c>
      <c r="P63" s="64">
        <v>0.48</v>
      </c>
      <c r="Q63" s="64">
        <v>9.51</v>
      </c>
      <c r="R63" s="198"/>
      <c r="S63" s="198"/>
      <c r="T63" s="198"/>
      <c r="U63" s="198"/>
    </row>
    <row r="64" spans="1:21" s="12" customFormat="1" x14ac:dyDescent="0.25">
      <c r="A64" s="214" t="s">
        <v>303</v>
      </c>
      <c r="B64" s="64">
        <v>0.6</v>
      </c>
      <c r="C64" s="64">
        <v>57.78</v>
      </c>
      <c r="D64" s="64">
        <v>30.59</v>
      </c>
      <c r="E64" s="64">
        <v>2.08</v>
      </c>
      <c r="F64" s="64">
        <v>11.43</v>
      </c>
      <c r="G64" s="64">
        <v>63.51</v>
      </c>
      <c r="H64" s="64">
        <v>22.49</v>
      </c>
      <c r="I64" s="64">
        <v>4.78</v>
      </c>
      <c r="J64" s="64">
        <v>0.3</v>
      </c>
      <c r="K64" s="64">
        <v>347.51</v>
      </c>
      <c r="L64" s="64">
        <v>36.81</v>
      </c>
      <c r="M64" s="64">
        <v>20.97</v>
      </c>
      <c r="N64" s="64">
        <v>626.9</v>
      </c>
      <c r="O64" s="64">
        <v>0</v>
      </c>
      <c r="P64" s="64">
        <v>0.48</v>
      </c>
      <c r="Q64" s="64">
        <v>9.35</v>
      </c>
      <c r="R64" s="198"/>
      <c r="S64" s="198"/>
      <c r="T64" s="198"/>
      <c r="U64" s="198"/>
    </row>
    <row r="65" spans="1:21" s="12" customFormat="1" x14ac:dyDescent="0.25">
      <c r="A65" s="214" t="s">
        <v>304</v>
      </c>
      <c r="B65" s="64">
        <v>0.7</v>
      </c>
      <c r="C65" s="64">
        <v>58.45</v>
      </c>
      <c r="D65" s="64">
        <v>31.02</v>
      </c>
      <c r="E65" s="64">
        <v>2.2000000000000002</v>
      </c>
      <c r="F65" s="64">
        <v>8.7799999999999994</v>
      </c>
      <c r="G65" s="64">
        <v>63.51</v>
      </c>
      <c r="H65" s="64">
        <v>22.49</v>
      </c>
      <c r="I65" s="64">
        <v>4.41</v>
      </c>
      <c r="J65" s="64">
        <v>0.49</v>
      </c>
      <c r="K65" s="64">
        <v>338.87</v>
      </c>
      <c r="L65" s="64">
        <v>36.5</v>
      </c>
      <c r="M65" s="64">
        <v>21.59</v>
      </c>
      <c r="N65" s="64">
        <v>592.6</v>
      </c>
      <c r="O65" s="64">
        <v>0</v>
      </c>
      <c r="P65" s="64">
        <v>0.48</v>
      </c>
      <c r="Q65" s="64">
        <v>9.4700000000000006</v>
      </c>
      <c r="R65" s="198"/>
      <c r="S65" s="198"/>
      <c r="T65" s="198"/>
      <c r="U65" s="198"/>
    </row>
    <row r="66" spans="1:21" s="12" customFormat="1" x14ac:dyDescent="0.25">
      <c r="A66" s="214" t="s">
        <v>305</v>
      </c>
      <c r="B66" s="64">
        <v>0.68</v>
      </c>
      <c r="C66" s="64">
        <v>57.65</v>
      </c>
      <c r="D66" s="64">
        <v>30.58</v>
      </c>
      <c r="E66" s="64">
        <v>2.54</v>
      </c>
      <c r="F66" s="64">
        <v>9.25</v>
      </c>
      <c r="G66" s="64">
        <v>63.51</v>
      </c>
      <c r="H66" s="64">
        <v>22.49</v>
      </c>
      <c r="I66" s="64">
        <v>4.17</v>
      </c>
      <c r="J66" s="64">
        <v>0.28999999999999998</v>
      </c>
      <c r="K66" s="64">
        <v>349.33</v>
      </c>
      <c r="L66" s="64">
        <v>36.31</v>
      </c>
      <c r="M66" s="64">
        <v>21.62</v>
      </c>
      <c r="N66" s="64">
        <v>594</v>
      </c>
      <c r="O66" s="64">
        <v>0</v>
      </c>
      <c r="P66" s="64">
        <v>0.48</v>
      </c>
      <c r="Q66" s="64">
        <v>9.44</v>
      </c>
      <c r="R66" s="198"/>
      <c r="S66" s="198"/>
      <c r="T66" s="198"/>
      <c r="U66" s="198"/>
    </row>
    <row r="67" spans="1:21" s="12" customFormat="1" x14ac:dyDescent="0.25">
      <c r="A67" s="214" t="s">
        <v>306</v>
      </c>
      <c r="B67" s="64">
        <v>0.59</v>
      </c>
      <c r="C67" s="64">
        <v>40.869999999999997</v>
      </c>
      <c r="D67" s="64">
        <v>21.75</v>
      </c>
      <c r="E67" s="64">
        <v>2.25</v>
      </c>
      <c r="F67" s="64">
        <v>10.199999999999999</v>
      </c>
      <c r="G67" s="64">
        <v>56.36</v>
      </c>
      <c r="H67" s="64">
        <v>24.08</v>
      </c>
      <c r="I67" s="64">
        <v>3.97</v>
      </c>
      <c r="J67" s="64">
        <v>0.38</v>
      </c>
      <c r="K67" s="64">
        <v>327.33999999999997</v>
      </c>
      <c r="L67" s="64">
        <v>36.479999999999997</v>
      </c>
      <c r="M67" s="64">
        <v>21.79</v>
      </c>
      <c r="N67" s="64">
        <v>591.4</v>
      </c>
      <c r="O67" s="64">
        <v>0</v>
      </c>
      <c r="P67" s="64">
        <v>0.48</v>
      </c>
      <c r="Q67" s="64">
        <v>9.7899999999999991</v>
      </c>
      <c r="R67" s="198"/>
      <c r="S67" s="198"/>
      <c r="T67" s="198"/>
      <c r="U67" s="198"/>
    </row>
    <row r="68" spans="1:21" s="12" customFormat="1" x14ac:dyDescent="0.25">
      <c r="A68" s="214" t="s">
        <v>307</v>
      </c>
      <c r="B68" s="64">
        <v>0.77</v>
      </c>
      <c r="C68" s="64">
        <v>55.97</v>
      </c>
      <c r="D68" s="64">
        <v>29.78</v>
      </c>
      <c r="E68" s="64">
        <v>2.77</v>
      </c>
      <c r="F68" s="64">
        <v>13.31</v>
      </c>
      <c r="G68" s="64">
        <v>54.58</v>
      </c>
      <c r="H68" s="64">
        <v>24.48</v>
      </c>
      <c r="I68" s="64">
        <v>3.72</v>
      </c>
      <c r="J68" s="64">
        <v>0.17</v>
      </c>
      <c r="K68" s="64">
        <v>339.31</v>
      </c>
      <c r="L68" s="64">
        <v>35.74</v>
      </c>
      <c r="M68" s="64">
        <v>22.1</v>
      </c>
      <c r="N68" s="64">
        <v>542.5</v>
      </c>
      <c r="O68" s="64">
        <v>0</v>
      </c>
      <c r="P68" s="64">
        <v>0.46</v>
      </c>
      <c r="Q68" s="64">
        <v>9.58</v>
      </c>
      <c r="R68" s="198"/>
      <c r="S68" s="198"/>
      <c r="T68" s="198"/>
      <c r="U68" s="198"/>
    </row>
    <row r="69" spans="1:21" s="12" customFormat="1" x14ac:dyDescent="0.25">
      <c r="A69" s="214" t="s">
        <v>308</v>
      </c>
      <c r="B69" s="64">
        <v>0.56999999999999995</v>
      </c>
      <c r="C69" s="64">
        <v>35</v>
      </c>
      <c r="D69" s="64">
        <v>18.670000000000002</v>
      </c>
      <c r="E69" s="64">
        <v>2.73</v>
      </c>
      <c r="F69" s="64">
        <v>11.56</v>
      </c>
      <c r="G69" s="64">
        <v>54.58</v>
      </c>
      <c r="H69" s="64">
        <v>24.48</v>
      </c>
      <c r="I69" s="64">
        <v>3.52</v>
      </c>
      <c r="J69" s="64">
        <v>0.12</v>
      </c>
      <c r="K69" s="64">
        <v>336.84</v>
      </c>
      <c r="L69" s="64">
        <v>35.409999999999997</v>
      </c>
      <c r="M69" s="64">
        <v>22.94</v>
      </c>
      <c r="N69" s="64">
        <v>361.4</v>
      </c>
      <c r="O69" s="64">
        <v>0</v>
      </c>
      <c r="P69" s="64">
        <v>0.45</v>
      </c>
      <c r="Q69" s="64">
        <v>9.23</v>
      </c>
      <c r="R69" s="198"/>
      <c r="S69" s="198"/>
      <c r="T69" s="198"/>
      <c r="U69" s="198"/>
    </row>
    <row r="70" spans="1:21" s="12" customFormat="1" x14ac:dyDescent="0.25">
      <c r="A70" s="214" t="s">
        <v>309</v>
      </c>
      <c r="B70" s="64">
        <v>0.84</v>
      </c>
      <c r="C70" s="64">
        <v>58.09</v>
      </c>
      <c r="D70" s="64">
        <v>30.94</v>
      </c>
      <c r="E70" s="64">
        <v>2.64</v>
      </c>
      <c r="F70" s="64">
        <v>9.74</v>
      </c>
      <c r="G70" s="64">
        <v>54.58</v>
      </c>
      <c r="H70" s="64">
        <v>24.48</v>
      </c>
      <c r="I70" s="64">
        <v>3.29</v>
      </c>
      <c r="J70" s="64">
        <v>0.13</v>
      </c>
      <c r="K70" s="64">
        <v>333.39</v>
      </c>
      <c r="L70" s="64">
        <v>35.74</v>
      </c>
      <c r="M70" s="64">
        <v>21.42</v>
      </c>
      <c r="N70" s="64">
        <v>247</v>
      </c>
      <c r="O70" s="64">
        <v>0</v>
      </c>
      <c r="P70" s="64">
        <v>0.44</v>
      </c>
      <c r="Q70" s="64">
        <v>9.6300000000000008</v>
      </c>
      <c r="R70" s="198"/>
      <c r="S70" s="198"/>
      <c r="T70" s="198"/>
      <c r="U70" s="198"/>
    </row>
    <row r="71" spans="1:21" s="12" customFormat="1" x14ac:dyDescent="0.25">
      <c r="A71" s="214" t="s">
        <v>310</v>
      </c>
      <c r="B71" s="64">
        <v>0.51</v>
      </c>
      <c r="C71" s="64">
        <v>52.53</v>
      </c>
      <c r="D71" s="64">
        <v>27.78</v>
      </c>
      <c r="E71" s="64">
        <v>2.67</v>
      </c>
      <c r="F71" s="64">
        <v>12.28</v>
      </c>
      <c r="G71" s="64">
        <v>44.21</v>
      </c>
      <c r="H71" s="64">
        <v>32.43</v>
      </c>
      <c r="I71" s="64">
        <v>3.02</v>
      </c>
      <c r="J71" s="64">
        <v>0.36</v>
      </c>
      <c r="K71" s="64">
        <v>336.86</v>
      </c>
      <c r="L71" s="64">
        <v>34.9</v>
      </c>
      <c r="M71" s="64">
        <v>22.19</v>
      </c>
      <c r="N71" s="64">
        <v>210.9</v>
      </c>
      <c r="O71" s="64">
        <v>0</v>
      </c>
      <c r="P71" s="64">
        <v>0.41</v>
      </c>
      <c r="Q71" s="64">
        <v>9.51</v>
      </c>
      <c r="R71" s="198"/>
      <c r="S71" s="198"/>
      <c r="T71" s="198"/>
      <c r="U71" s="198"/>
    </row>
    <row r="72" spans="1:21" s="12" customFormat="1" x14ac:dyDescent="0.25">
      <c r="A72" s="214" t="s">
        <v>311</v>
      </c>
      <c r="B72" s="64">
        <v>0.53</v>
      </c>
      <c r="C72" s="64">
        <v>53.15</v>
      </c>
      <c r="D72" s="64">
        <v>28.11</v>
      </c>
      <c r="E72" s="64">
        <v>0.82</v>
      </c>
      <c r="F72" s="64">
        <v>10.75</v>
      </c>
      <c r="G72" s="64">
        <v>41.62</v>
      </c>
      <c r="H72" s="64">
        <v>34.409999999999997</v>
      </c>
      <c r="I72" s="64">
        <v>2.85</v>
      </c>
      <c r="J72" s="64">
        <v>0.17</v>
      </c>
      <c r="K72" s="64">
        <v>2.6</v>
      </c>
      <c r="L72" s="64">
        <v>34.619999999999997</v>
      </c>
      <c r="M72" s="64">
        <v>22.02</v>
      </c>
      <c r="N72" s="64">
        <v>212.9</v>
      </c>
      <c r="O72" s="64">
        <v>0</v>
      </c>
      <c r="P72" s="64">
        <v>0.41</v>
      </c>
      <c r="Q72" s="64">
        <v>9.42</v>
      </c>
      <c r="R72" s="198"/>
      <c r="S72" s="198"/>
      <c r="T72" s="198"/>
      <c r="U72" s="198"/>
    </row>
    <row r="73" spans="1:21" s="12" customFormat="1" x14ac:dyDescent="0.25">
      <c r="A73" s="214" t="s">
        <v>312</v>
      </c>
      <c r="B73" s="64">
        <v>0.49</v>
      </c>
      <c r="C73" s="64">
        <v>53.74</v>
      </c>
      <c r="D73" s="64">
        <v>28.39</v>
      </c>
      <c r="E73" s="64">
        <v>1.46</v>
      </c>
      <c r="F73" s="64">
        <v>187.5</v>
      </c>
      <c r="G73" s="64">
        <v>41.62</v>
      </c>
      <c r="H73" s="64">
        <v>34.409999999999997</v>
      </c>
      <c r="I73" s="64">
        <v>2.62</v>
      </c>
      <c r="J73" s="64">
        <v>0.11</v>
      </c>
      <c r="K73" s="64">
        <v>351.44</v>
      </c>
      <c r="L73" s="64">
        <v>34.6</v>
      </c>
      <c r="M73" s="64">
        <v>23.02</v>
      </c>
      <c r="N73" s="64">
        <v>197.1</v>
      </c>
      <c r="O73" s="64">
        <v>0</v>
      </c>
      <c r="P73" s="64">
        <v>0.41</v>
      </c>
      <c r="Q73" s="64">
        <v>9.41</v>
      </c>
      <c r="R73" s="198"/>
      <c r="S73" s="198"/>
      <c r="T73" s="198"/>
      <c r="U73" s="198"/>
    </row>
    <row r="74" spans="1:21" s="12" customFormat="1" x14ac:dyDescent="0.25">
      <c r="A74" s="214" t="s">
        <v>313</v>
      </c>
      <c r="B74" s="64">
        <v>0.39</v>
      </c>
      <c r="C74" s="64">
        <v>48.48</v>
      </c>
      <c r="D74" s="64">
        <v>25.56</v>
      </c>
      <c r="E74" s="64">
        <v>1.36</v>
      </c>
      <c r="F74" s="64">
        <v>254.75</v>
      </c>
      <c r="G74" s="64">
        <v>41.62</v>
      </c>
      <c r="H74" s="64">
        <v>34.409999999999997</v>
      </c>
      <c r="I74" s="64">
        <v>2.4900000000000002</v>
      </c>
      <c r="J74" s="64">
        <v>0.08</v>
      </c>
      <c r="K74" s="64">
        <v>3.78</v>
      </c>
      <c r="L74" s="64">
        <v>34.200000000000003</v>
      </c>
      <c r="M74" s="64">
        <v>23.12</v>
      </c>
      <c r="N74" s="64">
        <v>170</v>
      </c>
      <c r="O74" s="64">
        <v>0</v>
      </c>
      <c r="P74" s="64">
        <v>0.41</v>
      </c>
      <c r="Q74" s="64">
        <v>9.48</v>
      </c>
      <c r="R74" s="198"/>
      <c r="S74" s="198"/>
      <c r="T74" s="198"/>
      <c r="U74" s="198"/>
    </row>
    <row r="75" spans="1:21" s="12" customFormat="1" x14ac:dyDescent="0.25">
      <c r="A75" s="214" t="s">
        <v>314</v>
      </c>
      <c r="B75" s="64">
        <v>0.59</v>
      </c>
      <c r="C75" s="64">
        <v>47.95</v>
      </c>
      <c r="D75" s="64">
        <v>25.45</v>
      </c>
      <c r="E75" s="64">
        <v>1.1399999999999999</v>
      </c>
      <c r="F75" s="64">
        <v>242.6</v>
      </c>
      <c r="G75" s="64">
        <v>51.56</v>
      </c>
      <c r="H75" s="64">
        <v>32.03</v>
      </c>
      <c r="I75" s="64">
        <v>2.4300000000000002</v>
      </c>
      <c r="J75" s="64">
        <v>0.14000000000000001</v>
      </c>
      <c r="K75" s="64">
        <v>31.98</v>
      </c>
      <c r="L75" s="64">
        <v>34.119999999999997</v>
      </c>
      <c r="M75" s="64">
        <v>22.87</v>
      </c>
      <c r="N75" s="64">
        <v>152.69999999999999</v>
      </c>
      <c r="O75" s="64">
        <v>0</v>
      </c>
      <c r="P75" s="64">
        <v>0.41</v>
      </c>
      <c r="Q75" s="64">
        <v>9.5299999999999994</v>
      </c>
      <c r="R75" s="198"/>
      <c r="S75" s="198"/>
      <c r="T75" s="198"/>
      <c r="U75" s="198"/>
    </row>
    <row r="76" spans="1:21" s="12" customFormat="1" x14ac:dyDescent="0.25">
      <c r="A76" s="214" t="s">
        <v>315</v>
      </c>
      <c r="B76" s="64">
        <v>0.68</v>
      </c>
      <c r="C76" s="64">
        <v>45.05</v>
      </c>
      <c r="D76" s="64">
        <v>24</v>
      </c>
      <c r="E76" s="64">
        <v>1.06</v>
      </c>
      <c r="F76" s="64">
        <v>238</v>
      </c>
      <c r="G76" s="64">
        <v>54.05</v>
      </c>
      <c r="H76" s="64">
        <v>31.43</v>
      </c>
      <c r="I76" s="64">
        <v>2.4</v>
      </c>
      <c r="J76" s="64">
        <v>0.18</v>
      </c>
      <c r="K76" s="64">
        <v>20.66</v>
      </c>
      <c r="L76" s="64">
        <v>33.96</v>
      </c>
      <c r="M76" s="64">
        <v>23.24</v>
      </c>
      <c r="N76" s="64">
        <v>132.80000000000001</v>
      </c>
      <c r="O76" s="64">
        <v>0</v>
      </c>
      <c r="P76" s="64">
        <v>0.41</v>
      </c>
      <c r="Q76" s="64">
        <v>9.2899999999999991</v>
      </c>
      <c r="R76" s="198"/>
      <c r="S76" s="198"/>
      <c r="T76" s="198"/>
      <c r="U76" s="198"/>
    </row>
    <row r="77" spans="1:21" s="12" customFormat="1" x14ac:dyDescent="0.25">
      <c r="A77" s="214" t="s">
        <v>316</v>
      </c>
      <c r="B77" s="64">
        <v>0.39</v>
      </c>
      <c r="C77" s="64">
        <v>20.96</v>
      </c>
      <c r="D77" s="64">
        <v>11.19</v>
      </c>
      <c r="E77" s="64">
        <v>1.0900000000000001</v>
      </c>
      <c r="F77" s="64">
        <v>237.96</v>
      </c>
      <c r="G77" s="64">
        <v>54.05</v>
      </c>
      <c r="H77" s="64">
        <v>31.43</v>
      </c>
      <c r="I77" s="64">
        <v>2.4300000000000002</v>
      </c>
      <c r="J77" s="64">
        <v>0.24</v>
      </c>
      <c r="K77" s="64">
        <v>14.11</v>
      </c>
      <c r="L77" s="64">
        <v>33.83</v>
      </c>
      <c r="M77" s="64">
        <v>23.83</v>
      </c>
      <c r="N77" s="64">
        <v>105.9</v>
      </c>
      <c r="O77" s="64">
        <v>0</v>
      </c>
      <c r="P77" s="64">
        <v>0.41</v>
      </c>
      <c r="Q77" s="64">
        <v>9.5500000000000007</v>
      </c>
      <c r="R77" s="198"/>
      <c r="S77" s="198"/>
      <c r="T77" s="198"/>
      <c r="U77" s="198"/>
    </row>
    <row r="78" spans="1:21" s="12" customFormat="1" x14ac:dyDescent="0.25">
      <c r="A78" s="214" t="s">
        <v>317</v>
      </c>
      <c r="B78" s="64">
        <v>2.88</v>
      </c>
      <c r="C78" s="64">
        <v>17.899999999999999</v>
      </c>
      <c r="D78" s="64">
        <v>11.34</v>
      </c>
      <c r="E78" s="64">
        <v>0.91</v>
      </c>
      <c r="F78" s="64">
        <v>55.72</v>
      </c>
      <c r="G78" s="64">
        <v>54.05</v>
      </c>
      <c r="H78" s="64">
        <v>31.43</v>
      </c>
      <c r="I78" s="64">
        <v>2.41</v>
      </c>
      <c r="J78" s="64">
        <v>0.17</v>
      </c>
      <c r="K78" s="64">
        <v>355.62</v>
      </c>
      <c r="L78" s="64">
        <v>33.74</v>
      </c>
      <c r="M78" s="64">
        <v>24.03</v>
      </c>
      <c r="N78" s="64">
        <v>104.2</v>
      </c>
      <c r="O78" s="64">
        <v>0</v>
      </c>
      <c r="P78" s="64">
        <v>0.44</v>
      </c>
      <c r="Q78" s="64">
        <v>9.5299999999999994</v>
      </c>
      <c r="R78" s="198"/>
      <c r="S78" s="198"/>
      <c r="T78" s="198"/>
      <c r="U78" s="198"/>
    </row>
    <row r="79" spans="1:21" s="12" customFormat="1" x14ac:dyDescent="0.25">
      <c r="A79" s="214" t="s">
        <v>318</v>
      </c>
      <c r="B79" s="64">
        <v>5.99</v>
      </c>
      <c r="C79" s="64">
        <v>51.61</v>
      </c>
      <c r="D79" s="64">
        <v>31.69</v>
      </c>
      <c r="E79" s="64">
        <v>1.07</v>
      </c>
      <c r="F79" s="64">
        <v>6.62</v>
      </c>
      <c r="G79" s="64">
        <v>32.72</v>
      </c>
      <c r="H79" s="64">
        <v>29.5</v>
      </c>
      <c r="I79" s="64">
        <v>2.52</v>
      </c>
      <c r="J79" s="64">
        <v>0.11</v>
      </c>
      <c r="K79" s="64">
        <v>353.82</v>
      </c>
      <c r="L79" s="64">
        <v>33.47</v>
      </c>
      <c r="M79" s="64">
        <v>24.43</v>
      </c>
      <c r="N79" s="64">
        <v>77.2</v>
      </c>
      <c r="O79" s="64">
        <v>0</v>
      </c>
      <c r="P79" s="64">
        <v>0.46</v>
      </c>
      <c r="Q79" s="64">
        <v>9.4499999999999993</v>
      </c>
      <c r="R79" s="198"/>
      <c r="S79" s="198"/>
      <c r="T79" s="198"/>
      <c r="U79" s="198"/>
    </row>
    <row r="80" spans="1:21" s="12" customFormat="1" x14ac:dyDescent="0.25">
      <c r="A80" s="214" t="s">
        <v>319</v>
      </c>
      <c r="B80" s="64">
        <v>5.7</v>
      </c>
      <c r="C80" s="64">
        <v>52.2</v>
      </c>
      <c r="D80" s="64">
        <v>31.76</v>
      </c>
      <c r="E80" s="64">
        <v>1.31</v>
      </c>
      <c r="F80" s="64">
        <v>5.78</v>
      </c>
      <c r="G80" s="64">
        <v>27.38</v>
      </c>
      <c r="H80" s="64">
        <v>29.01</v>
      </c>
      <c r="I80" s="64">
        <v>2.65</v>
      </c>
      <c r="J80" s="64">
        <v>0.11</v>
      </c>
      <c r="K80" s="64">
        <v>358.76</v>
      </c>
      <c r="L80" s="64">
        <v>33.020000000000003</v>
      </c>
      <c r="M80" s="64">
        <v>25.26</v>
      </c>
      <c r="N80" s="64">
        <v>52.1</v>
      </c>
      <c r="O80" s="64">
        <v>0</v>
      </c>
      <c r="P80" s="64">
        <v>0.51</v>
      </c>
      <c r="Q80" s="64">
        <v>9.5299999999999994</v>
      </c>
      <c r="R80" s="198"/>
      <c r="S80" s="198"/>
      <c r="T80" s="198"/>
      <c r="U80" s="198"/>
    </row>
    <row r="81" spans="1:26" s="12" customFormat="1" x14ac:dyDescent="0.25">
      <c r="A81" s="214" t="s">
        <v>320</v>
      </c>
      <c r="B81" s="64">
        <v>6.2</v>
      </c>
      <c r="C81" s="64">
        <v>56.27</v>
      </c>
      <c r="D81" s="64">
        <v>34.29</v>
      </c>
      <c r="E81" s="64">
        <v>1</v>
      </c>
      <c r="F81" s="64">
        <v>5.07</v>
      </c>
      <c r="G81" s="64">
        <v>27.38</v>
      </c>
      <c r="H81" s="64">
        <v>29.01</v>
      </c>
      <c r="I81" s="64">
        <v>2.82</v>
      </c>
      <c r="J81" s="64">
        <v>0.11</v>
      </c>
      <c r="K81" s="64">
        <v>353.13</v>
      </c>
      <c r="L81" s="64">
        <v>32.43</v>
      </c>
      <c r="M81" s="64">
        <v>26.47</v>
      </c>
      <c r="N81" s="64">
        <v>38.200000000000003</v>
      </c>
      <c r="O81" s="64">
        <v>0</v>
      </c>
      <c r="P81" s="64">
        <v>0.54</v>
      </c>
      <c r="Q81" s="64">
        <v>9.57</v>
      </c>
      <c r="R81" s="198"/>
      <c r="S81" s="198"/>
      <c r="T81" s="198"/>
      <c r="U81" s="198"/>
    </row>
    <row r="82" spans="1:26" s="12" customFormat="1" x14ac:dyDescent="0.25">
      <c r="A82" s="214" t="s">
        <v>321</v>
      </c>
      <c r="B82" s="64">
        <v>7.11</v>
      </c>
      <c r="C82" s="64">
        <v>56.84</v>
      </c>
      <c r="D82" s="64">
        <v>35.32</v>
      </c>
      <c r="E82" s="64">
        <v>1.25</v>
      </c>
      <c r="F82" s="64">
        <v>3.95</v>
      </c>
      <c r="G82" s="64">
        <v>27.38</v>
      </c>
      <c r="H82" s="64">
        <v>29.01</v>
      </c>
      <c r="I82" s="64">
        <v>3.13</v>
      </c>
      <c r="J82" s="64">
        <v>0.09</v>
      </c>
      <c r="K82" s="64">
        <v>276.93</v>
      </c>
      <c r="L82" s="64">
        <v>31.85</v>
      </c>
      <c r="M82" s="64">
        <v>27.43</v>
      </c>
      <c r="N82" s="64">
        <v>33.4</v>
      </c>
      <c r="O82" s="64">
        <v>0</v>
      </c>
      <c r="P82" s="64">
        <v>0.57999999999999996</v>
      </c>
      <c r="Q82" s="64">
        <v>9.41</v>
      </c>
      <c r="R82" s="198"/>
      <c r="S82" s="198"/>
      <c r="T82" s="198"/>
      <c r="U82" s="198"/>
    </row>
    <row r="83" spans="1:26" s="12" customFormat="1" x14ac:dyDescent="0.25">
      <c r="A83" s="214" t="s">
        <v>322</v>
      </c>
      <c r="B83" s="64">
        <v>8.15</v>
      </c>
      <c r="C83" s="64">
        <v>56.44</v>
      </c>
      <c r="D83" s="64">
        <v>35.94</v>
      </c>
      <c r="E83" s="64">
        <v>1.04</v>
      </c>
      <c r="F83" s="64">
        <v>3.88</v>
      </c>
      <c r="G83" s="64">
        <v>57.97</v>
      </c>
      <c r="H83" s="64">
        <v>26.53</v>
      </c>
      <c r="I83" s="64">
        <v>3.42</v>
      </c>
      <c r="J83" s="64">
        <v>0.17</v>
      </c>
      <c r="K83" s="64">
        <v>255.15</v>
      </c>
      <c r="L83" s="64">
        <v>30.94</v>
      </c>
      <c r="M83" s="64">
        <v>29.57</v>
      </c>
      <c r="N83" s="64">
        <v>32.6</v>
      </c>
      <c r="O83" s="64">
        <v>0</v>
      </c>
      <c r="P83" s="64">
        <v>0.66</v>
      </c>
      <c r="Q83" s="64">
        <v>9.59</v>
      </c>
      <c r="R83" s="198"/>
      <c r="S83" s="198"/>
      <c r="T83" s="198"/>
      <c r="U83" s="198"/>
    </row>
    <row r="84" spans="1:26" s="12" customFormat="1" x14ac:dyDescent="0.25">
      <c r="A84" s="214" t="s">
        <v>323</v>
      </c>
      <c r="B84" s="64">
        <v>9.36</v>
      </c>
      <c r="C84" s="64">
        <v>58.17</v>
      </c>
      <c r="D84" s="64">
        <v>37.82</v>
      </c>
      <c r="E84" s="64">
        <v>1.1599999999999999</v>
      </c>
      <c r="F84" s="64">
        <v>3.96</v>
      </c>
      <c r="G84" s="64">
        <v>65.62</v>
      </c>
      <c r="H84" s="64">
        <v>25.9</v>
      </c>
      <c r="I84" s="64">
        <v>3.72</v>
      </c>
      <c r="J84" s="64">
        <v>0.09</v>
      </c>
      <c r="K84" s="64">
        <v>296.63</v>
      </c>
      <c r="L84" s="64">
        <v>30.89</v>
      </c>
      <c r="M84" s="64">
        <v>29.26</v>
      </c>
      <c r="N84" s="64">
        <v>32.200000000000003</v>
      </c>
      <c r="O84" s="64">
        <v>0</v>
      </c>
      <c r="P84" s="64">
        <v>0.7</v>
      </c>
      <c r="Q84" s="64">
        <v>9.8800000000000008</v>
      </c>
      <c r="R84" s="198"/>
      <c r="S84" s="198"/>
      <c r="T84" s="198"/>
      <c r="U84" s="198"/>
    </row>
    <row r="85" spans="1:26" s="12" customFormat="1" x14ac:dyDescent="0.25">
      <c r="A85" s="214" t="s">
        <v>324</v>
      </c>
      <c r="B85" s="64">
        <v>9.89</v>
      </c>
      <c r="C85" s="64">
        <v>59.48</v>
      </c>
      <c r="D85" s="64">
        <v>38.93</v>
      </c>
      <c r="E85" s="64">
        <v>1.1399999999999999</v>
      </c>
      <c r="F85" s="64">
        <v>4.33</v>
      </c>
      <c r="G85" s="64">
        <v>65.62</v>
      </c>
      <c r="H85" s="64">
        <v>25.9</v>
      </c>
      <c r="I85" s="64">
        <v>4.03</v>
      </c>
      <c r="J85" s="64">
        <v>0.09</v>
      </c>
      <c r="K85" s="64">
        <v>287.88</v>
      </c>
      <c r="L85" s="64">
        <v>30.77</v>
      </c>
      <c r="M85" s="64">
        <v>29.63</v>
      </c>
      <c r="N85" s="64">
        <v>32.200000000000003</v>
      </c>
      <c r="O85" s="64">
        <v>0</v>
      </c>
      <c r="P85" s="64">
        <v>0.71</v>
      </c>
      <c r="Q85" s="64">
        <v>9.81</v>
      </c>
      <c r="R85" s="198"/>
      <c r="S85" s="198"/>
      <c r="T85" s="198"/>
      <c r="U85" s="198"/>
    </row>
    <row r="86" spans="1:26" s="12" customFormat="1" x14ac:dyDescent="0.25">
      <c r="A86" s="214" t="s">
        <v>325</v>
      </c>
      <c r="B86" s="64">
        <v>10.17</v>
      </c>
      <c r="C86" s="64">
        <v>60.3</v>
      </c>
      <c r="D86" s="64">
        <v>39.58</v>
      </c>
      <c r="E86" s="64">
        <v>1.1499999999999999</v>
      </c>
      <c r="F86" s="64">
        <v>3.89</v>
      </c>
      <c r="G86" s="64">
        <v>65.62</v>
      </c>
      <c r="H86" s="64">
        <v>25.9</v>
      </c>
      <c r="I86" s="64">
        <v>4.17</v>
      </c>
      <c r="J86" s="64">
        <v>0.15</v>
      </c>
      <c r="K86" s="64">
        <v>305.01</v>
      </c>
      <c r="L86" s="64">
        <v>30.35</v>
      </c>
      <c r="M86" s="64">
        <v>31.06</v>
      </c>
      <c r="N86" s="64">
        <v>32.700000000000003</v>
      </c>
      <c r="O86" s="64">
        <v>0</v>
      </c>
      <c r="P86" s="64">
        <v>0.81</v>
      </c>
      <c r="Q86" s="64">
        <v>9.7799999999999994</v>
      </c>
      <c r="R86" s="198"/>
      <c r="S86" s="198"/>
      <c r="T86" s="198"/>
      <c r="U86" s="198"/>
    </row>
    <row r="87" spans="1:26" s="12" customFormat="1" x14ac:dyDescent="0.25">
      <c r="A87" s="214" t="s">
        <v>326</v>
      </c>
      <c r="B87" s="64">
        <v>11.47</v>
      </c>
      <c r="C87" s="64">
        <v>61.82</v>
      </c>
      <c r="D87" s="64">
        <v>41.41</v>
      </c>
      <c r="E87" s="64">
        <v>1.23</v>
      </c>
      <c r="F87" s="64">
        <v>3.82</v>
      </c>
      <c r="G87" s="64">
        <v>63.64</v>
      </c>
      <c r="H87" s="64">
        <v>20.79</v>
      </c>
      <c r="I87" s="64">
        <v>4.4400000000000004</v>
      </c>
      <c r="J87" s="64">
        <v>0.17</v>
      </c>
      <c r="K87" s="64">
        <v>315.33999999999997</v>
      </c>
      <c r="L87" s="64">
        <v>29.49</v>
      </c>
      <c r="M87" s="64">
        <v>34.39</v>
      </c>
      <c r="N87" s="64">
        <v>33</v>
      </c>
      <c r="O87" s="64">
        <v>0</v>
      </c>
      <c r="P87" s="64">
        <v>0.95</v>
      </c>
      <c r="Q87" s="64">
        <v>9.67</v>
      </c>
      <c r="R87" s="198"/>
      <c r="S87" s="198"/>
      <c r="T87" s="198"/>
      <c r="U87" s="198"/>
    </row>
    <row r="88" spans="1:26" s="12" customFormat="1" x14ac:dyDescent="0.25">
      <c r="A88" s="214" t="s">
        <v>327</v>
      </c>
      <c r="B88" s="64">
        <v>10.77</v>
      </c>
      <c r="C88" s="64">
        <v>46.25</v>
      </c>
      <c r="D88" s="64">
        <v>32.72</v>
      </c>
      <c r="E88" s="64">
        <v>0.18</v>
      </c>
      <c r="F88" s="64">
        <v>3.93</v>
      </c>
      <c r="G88" s="64">
        <v>63.14</v>
      </c>
      <c r="H88" s="64">
        <v>19.52</v>
      </c>
      <c r="I88" s="64">
        <v>5.33</v>
      </c>
      <c r="J88" s="64">
        <v>0.1</v>
      </c>
      <c r="K88" s="64">
        <v>286.14</v>
      </c>
      <c r="L88" s="64">
        <v>28.86</v>
      </c>
      <c r="M88" s="64">
        <v>35.049999999999997</v>
      </c>
      <c r="N88" s="64">
        <v>33</v>
      </c>
      <c r="O88" s="64">
        <v>0</v>
      </c>
      <c r="P88" s="64">
        <v>0.98</v>
      </c>
      <c r="Q88" s="64">
        <v>9.59</v>
      </c>
      <c r="R88" s="198"/>
      <c r="S88" s="198"/>
      <c r="T88" s="198"/>
      <c r="U88" s="198"/>
    </row>
    <row r="89" spans="1:26" s="12" customFormat="1" x14ac:dyDescent="0.25">
      <c r="A89" s="214" t="s">
        <v>328</v>
      </c>
      <c r="B89" s="64">
        <v>16.2</v>
      </c>
      <c r="C89" s="64">
        <v>65.22</v>
      </c>
      <c r="D89" s="64">
        <v>46.99</v>
      </c>
      <c r="E89" s="64">
        <v>0.33</v>
      </c>
      <c r="F89" s="64">
        <v>3.78</v>
      </c>
      <c r="G89" s="64">
        <v>63.14</v>
      </c>
      <c r="H89" s="64">
        <v>19.52</v>
      </c>
      <c r="I89" s="64">
        <v>6.11</v>
      </c>
      <c r="J89" s="64">
        <v>0.08</v>
      </c>
      <c r="K89" s="64">
        <v>265.02</v>
      </c>
      <c r="L89" s="64">
        <v>28.48</v>
      </c>
      <c r="M89" s="64">
        <v>37.26</v>
      </c>
      <c r="N89" s="64">
        <v>33.4</v>
      </c>
      <c r="O89" s="64">
        <v>0</v>
      </c>
      <c r="P89" s="64">
        <v>1.05</v>
      </c>
      <c r="Q89" s="64">
        <v>9.7200000000000006</v>
      </c>
      <c r="R89" s="198"/>
      <c r="S89" s="198"/>
      <c r="T89" s="198"/>
      <c r="U89" s="198"/>
    </row>
    <row r="90" spans="1:26" s="12" customFormat="1" x14ac:dyDescent="0.25">
      <c r="A90" s="214" t="s">
        <v>329</v>
      </c>
      <c r="B90" s="64">
        <v>19.25</v>
      </c>
      <c r="C90" s="64">
        <v>65.95</v>
      </c>
      <c r="D90" s="64">
        <v>49.81</v>
      </c>
      <c r="E90" s="64">
        <v>0.55000000000000004</v>
      </c>
      <c r="F90" s="64">
        <v>3.74</v>
      </c>
      <c r="G90" s="64">
        <v>63.14</v>
      </c>
      <c r="H90" s="64">
        <v>19.52</v>
      </c>
      <c r="I90" s="64">
        <v>5.64</v>
      </c>
      <c r="J90" s="64">
        <v>0.05</v>
      </c>
      <c r="K90" s="64">
        <v>247.37</v>
      </c>
      <c r="L90" s="64">
        <v>28</v>
      </c>
      <c r="M90" s="64">
        <v>38.729999999999997</v>
      </c>
      <c r="N90" s="64">
        <v>33.5</v>
      </c>
      <c r="O90" s="64">
        <v>0</v>
      </c>
      <c r="P90" s="64">
        <v>1.1399999999999999</v>
      </c>
      <c r="Q90" s="64">
        <v>9.5</v>
      </c>
      <c r="R90" s="198"/>
      <c r="S90" s="198"/>
      <c r="T90" s="198"/>
      <c r="U90" s="198"/>
    </row>
    <row r="91" spans="1:26" s="12" customFormat="1" x14ac:dyDescent="0.25">
      <c r="A91" s="214" t="s">
        <v>330</v>
      </c>
      <c r="B91" s="64">
        <v>21.72</v>
      </c>
      <c r="C91" s="64">
        <v>66.930000000000007</v>
      </c>
      <c r="D91" s="64">
        <v>52.31</v>
      </c>
      <c r="E91" s="64">
        <v>0.54</v>
      </c>
      <c r="F91" s="64">
        <v>3.31</v>
      </c>
      <c r="G91" s="64">
        <v>78.38</v>
      </c>
      <c r="H91" s="64">
        <v>21.01</v>
      </c>
      <c r="I91" s="64">
        <v>6.12</v>
      </c>
      <c r="J91" s="64">
        <v>0.02</v>
      </c>
      <c r="K91" s="64">
        <v>117.44</v>
      </c>
      <c r="L91" s="64">
        <v>27.82</v>
      </c>
      <c r="M91" s="64">
        <v>38.81</v>
      </c>
      <c r="N91" s="64">
        <v>33.5</v>
      </c>
      <c r="O91" s="64">
        <v>0</v>
      </c>
      <c r="P91" s="64">
        <v>1.18</v>
      </c>
      <c r="Q91" s="64">
        <v>9.82</v>
      </c>
      <c r="R91" s="198"/>
      <c r="S91" s="198"/>
      <c r="T91" s="198"/>
      <c r="U91" s="198"/>
    </row>
    <row r="92" spans="1:26" s="12" customFormat="1" x14ac:dyDescent="0.25">
      <c r="A92" s="214" t="s">
        <v>331</v>
      </c>
      <c r="B92" s="64">
        <v>24.01</v>
      </c>
      <c r="C92" s="64">
        <v>64.77</v>
      </c>
      <c r="D92" s="64">
        <v>53.02</v>
      </c>
      <c r="E92" s="64">
        <v>0.72</v>
      </c>
      <c r="F92" s="64">
        <v>3.78</v>
      </c>
      <c r="G92" s="64">
        <v>82.19</v>
      </c>
      <c r="H92" s="64">
        <v>21.38</v>
      </c>
      <c r="I92" s="64">
        <v>6.52</v>
      </c>
      <c r="J92" s="64">
        <v>0.14000000000000001</v>
      </c>
      <c r="K92" s="64">
        <v>30.3</v>
      </c>
      <c r="L92" s="64">
        <v>27.6</v>
      </c>
      <c r="M92" s="64">
        <v>47.66</v>
      </c>
      <c r="N92" s="64">
        <v>33.700000000000003</v>
      </c>
      <c r="O92" s="64">
        <v>0</v>
      </c>
      <c r="P92" s="64">
        <v>1.3</v>
      </c>
      <c r="Q92" s="64">
        <v>10.1</v>
      </c>
      <c r="R92" s="198"/>
      <c r="S92" s="198"/>
      <c r="T92" s="198"/>
      <c r="U92" s="198"/>
    </row>
    <row r="93" spans="1:26" s="12" customFormat="1" x14ac:dyDescent="0.25">
      <c r="A93" s="214" t="s">
        <v>332</v>
      </c>
      <c r="B93" s="64">
        <v>26.74</v>
      </c>
      <c r="C93" s="64">
        <v>60.88</v>
      </c>
      <c r="D93" s="64">
        <v>53.17</v>
      </c>
      <c r="E93" s="64">
        <v>0.55000000000000004</v>
      </c>
      <c r="F93" s="64">
        <v>3.99</v>
      </c>
      <c r="G93" s="64">
        <v>82.19</v>
      </c>
      <c r="H93" s="64">
        <v>21.38</v>
      </c>
      <c r="I93" s="64">
        <v>6.68</v>
      </c>
      <c r="J93" s="64">
        <v>0.26</v>
      </c>
      <c r="K93" s="64">
        <v>211.12</v>
      </c>
      <c r="L93" s="64">
        <v>27.64</v>
      </c>
      <c r="M93" s="64">
        <v>41.86</v>
      </c>
      <c r="N93" s="64">
        <v>33.299999999999997</v>
      </c>
      <c r="O93" s="64">
        <v>0</v>
      </c>
      <c r="P93" s="64">
        <v>1.26</v>
      </c>
      <c r="Q93" s="64">
        <v>9.66</v>
      </c>
      <c r="R93" s="198"/>
      <c r="S93" s="198"/>
      <c r="T93" s="198"/>
      <c r="U93" s="198"/>
    </row>
    <row r="94" spans="1:26" s="12" customFormat="1" x14ac:dyDescent="0.25">
      <c r="A94" s="214" t="s">
        <v>333</v>
      </c>
      <c r="B94" s="64">
        <v>28.31</v>
      </c>
      <c r="C94" s="64">
        <v>61.23</v>
      </c>
      <c r="D94" s="64">
        <v>54.61</v>
      </c>
      <c r="E94" s="64">
        <v>0.4</v>
      </c>
      <c r="F94" s="64">
        <v>3.8</v>
      </c>
      <c r="G94" s="64">
        <v>82.19</v>
      </c>
      <c r="H94" s="64">
        <v>21.38</v>
      </c>
      <c r="I94" s="64">
        <v>7.16</v>
      </c>
      <c r="J94" s="64">
        <v>0.22</v>
      </c>
      <c r="K94" s="64">
        <v>228.82</v>
      </c>
      <c r="L94" s="64">
        <v>28.05</v>
      </c>
      <c r="M94" s="64">
        <v>37.6</v>
      </c>
      <c r="N94" s="64">
        <v>33.5</v>
      </c>
      <c r="O94" s="64">
        <v>0</v>
      </c>
      <c r="P94" s="64">
        <v>1.2</v>
      </c>
      <c r="Q94" s="64">
        <v>10.01</v>
      </c>
      <c r="R94" s="198"/>
      <c r="S94" s="198"/>
      <c r="T94" s="198"/>
      <c r="U94" s="198"/>
    </row>
    <row r="95" spans="1:26" s="12" customFormat="1" x14ac:dyDescent="0.25">
      <c r="A95" s="214" t="s">
        <v>334</v>
      </c>
      <c r="B95" s="64">
        <v>28.81</v>
      </c>
      <c r="C95" s="64">
        <v>60.75</v>
      </c>
      <c r="D95" s="64">
        <v>54.77</v>
      </c>
      <c r="E95" s="64">
        <v>0.48</v>
      </c>
      <c r="F95" s="64">
        <v>3.62</v>
      </c>
      <c r="G95" s="64">
        <v>80.790000000000006</v>
      </c>
      <c r="H95" s="64">
        <v>16.739999999999998</v>
      </c>
      <c r="I95" s="64">
        <v>6.53</v>
      </c>
      <c r="J95" s="64">
        <v>0.13</v>
      </c>
      <c r="K95" s="64">
        <v>221.57</v>
      </c>
      <c r="L95" s="64">
        <v>27.78</v>
      </c>
      <c r="M95" s="64">
        <v>39.17</v>
      </c>
      <c r="N95" s="64">
        <v>34.5</v>
      </c>
      <c r="O95" s="64">
        <v>0</v>
      </c>
      <c r="P95" s="64">
        <v>1.23</v>
      </c>
      <c r="Q95" s="64">
        <v>9.57</v>
      </c>
      <c r="R95" s="198"/>
      <c r="S95" s="198"/>
      <c r="T95" s="198"/>
      <c r="U95" s="198"/>
    </row>
    <row r="96" spans="1:26" s="12" customFormat="1" x14ac:dyDescent="0.25">
      <c r="A96" s="214" t="s">
        <v>335</v>
      </c>
      <c r="B96" s="64">
        <v>29.71</v>
      </c>
      <c r="C96" s="64">
        <v>60.63</v>
      </c>
      <c r="D96" s="64">
        <v>55.42</v>
      </c>
      <c r="E96" s="64">
        <v>0.49</v>
      </c>
      <c r="F96" s="64">
        <v>3.5</v>
      </c>
      <c r="G96" s="64">
        <v>80.44</v>
      </c>
      <c r="H96" s="64">
        <v>15.58</v>
      </c>
      <c r="I96" s="64">
        <v>5.87</v>
      </c>
      <c r="J96" s="64">
        <v>0.03</v>
      </c>
      <c r="K96" s="64">
        <v>259.89999999999998</v>
      </c>
      <c r="L96" s="64">
        <v>27.26</v>
      </c>
      <c r="M96" s="64">
        <v>41.27</v>
      </c>
      <c r="N96" s="64">
        <v>35.299999999999997</v>
      </c>
      <c r="O96" s="64">
        <v>0</v>
      </c>
      <c r="P96" s="64">
        <v>1.18</v>
      </c>
      <c r="Q96" s="64">
        <v>10.039999999999999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336</v>
      </c>
      <c r="B97" s="64">
        <v>31.23</v>
      </c>
      <c r="C97" s="64">
        <v>60.67</v>
      </c>
      <c r="D97" s="64">
        <v>56.66</v>
      </c>
      <c r="E97" s="64">
        <v>0.87</v>
      </c>
      <c r="F97" s="64">
        <v>3.46</v>
      </c>
      <c r="G97" s="64">
        <v>80.44</v>
      </c>
      <c r="H97" s="64">
        <v>15.58</v>
      </c>
      <c r="I97" s="64">
        <v>5.79</v>
      </c>
      <c r="J97" s="64">
        <v>0.17</v>
      </c>
      <c r="K97" s="64">
        <v>334.99</v>
      </c>
      <c r="L97" s="64">
        <v>26.8</v>
      </c>
      <c r="M97" s="64">
        <v>44.99</v>
      </c>
      <c r="N97" s="64">
        <v>35.799999999999997</v>
      </c>
      <c r="O97" s="64">
        <v>0</v>
      </c>
      <c r="P97" s="64">
        <v>1.26</v>
      </c>
      <c r="Q97" s="64">
        <v>9.84</v>
      </c>
      <c r="R97" s="198"/>
      <c r="S97" s="198"/>
      <c r="T97" s="198"/>
      <c r="U97" s="198"/>
    </row>
    <row r="98" spans="1:33" s="12" customFormat="1" x14ac:dyDescent="0.25">
      <c r="A98" s="214" t="s">
        <v>337</v>
      </c>
      <c r="B98" s="64">
        <v>33.770000000000003</v>
      </c>
      <c r="C98" s="64">
        <v>60.21</v>
      </c>
      <c r="D98" s="64">
        <v>58.46</v>
      </c>
      <c r="E98" s="64">
        <v>0.79</v>
      </c>
      <c r="F98" s="64">
        <v>3.56</v>
      </c>
      <c r="G98" s="64">
        <v>80.44</v>
      </c>
      <c r="H98" s="64">
        <v>15.58</v>
      </c>
      <c r="I98" s="64">
        <v>5.34</v>
      </c>
      <c r="J98" s="64">
        <v>0.1</v>
      </c>
      <c r="K98" s="64">
        <v>340.04</v>
      </c>
      <c r="L98" s="64">
        <v>26.5</v>
      </c>
      <c r="M98" s="64">
        <v>47.29</v>
      </c>
      <c r="N98" s="64">
        <v>36.200000000000003</v>
      </c>
      <c r="O98" s="64">
        <v>0</v>
      </c>
      <c r="P98" s="64">
        <v>1.33</v>
      </c>
      <c r="Q98" s="64">
        <v>9.99</v>
      </c>
      <c r="R98" s="198"/>
      <c r="S98" s="198"/>
      <c r="T98" s="198"/>
      <c r="U98" s="198"/>
    </row>
    <row r="99" spans="1:33" s="12" customFormat="1" x14ac:dyDescent="0.25">
      <c r="A99" s="214" t="s">
        <v>338</v>
      </c>
      <c r="B99" s="64">
        <v>36.17</v>
      </c>
      <c r="C99" s="64">
        <v>61.56</v>
      </c>
      <c r="D99" s="64">
        <v>61.09</v>
      </c>
      <c r="E99" s="64">
        <v>0.77</v>
      </c>
      <c r="F99" s="64">
        <v>3.53</v>
      </c>
      <c r="G99" s="64">
        <v>76.75</v>
      </c>
      <c r="H99" s="64">
        <v>15.29</v>
      </c>
      <c r="I99" s="64">
        <v>6.34</v>
      </c>
      <c r="J99" s="64">
        <v>0.16</v>
      </c>
      <c r="K99" s="64">
        <v>347.67</v>
      </c>
      <c r="L99" s="64">
        <v>26.24</v>
      </c>
      <c r="M99" s="64">
        <v>49.74</v>
      </c>
      <c r="N99" s="64">
        <v>36.9</v>
      </c>
      <c r="O99" s="64">
        <v>0</v>
      </c>
      <c r="P99" s="64">
        <v>1.35</v>
      </c>
      <c r="Q99" s="64">
        <v>9.52</v>
      </c>
      <c r="R99" s="198"/>
      <c r="S99" s="198"/>
      <c r="T99" s="198"/>
      <c r="U99" s="198"/>
    </row>
    <row r="100" spans="1:33" s="12" customFormat="1" x14ac:dyDescent="0.25">
      <c r="A100" s="214" t="s">
        <v>339</v>
      </c>
      <c r="B100" s="64">
        <v>39.450000000000003</v>
      </c>
      <c r="C100" s="64">
        <v>66.05</v>
      </c>
      <c r="D100" s="64">
        <v>66.069999999999993</v>
      </c>
      <c r="E100" s="64">
        <v>0.52</v>
      </c>
      <c r="F100" s="64">
        <v>3.87</v>
      </c>
      <c r="G100" s="64">
        <v>75.83</v>
      </c>
      <c r="H100" s="64">
        <v>15.22</v>
      </c>
      <c r="I100" s="64">
        <v>7.14</v>
      </c>
      <c r="J100" s="64">
        <v>0.15</v>
      </c>
      <c r="K100" s="64">
        <v>333.83</v>
      </c>
      <c r="L100" s="64">
        <v>25.92</v>
      </c>
      <c r="M100" s="64">
        <v>51.44</v>
      </c>
      <c r="N100" s="64">
        <v>37.700000000000003</v>
      </c>
      <c r="O100" s="64">
        <v>0</v>
      </c>
      <c r="P100" s="64">
        <v>1.31</v>
      </c>
      <c r="Q100" s="64">
        <v>10.45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340</v>
      </c>
      <c r="B101" s="64">
        <v>42.71</v>
      </c>
      <c r="C101" s="64">
        <v>67.34</v>
      </c>
      <c r="D101" s="64">
        <v>69.36</v>
      </c>
      <c r="E101" s="64">
        <v>0.61</v>
      </c>
      <c r="F101" s="64">
        <v>3.39</v>
      </c>
      <c r="G101" s="64">
        <v>75.83</v>
      </c>
      <c r="H101" s="64">
        <v>15.22</v>
      </c>
      <c r="I101" s="64">
        <v>7.21</v>
      </c>
      <c r="J101" s="64">
        <v>0.22</v>
      </c>
      <c r="K101" s="64">
        <v>356.81</v>
      </c>
      <c r="L101" s="64">
        <v>25.68</v>
      </c>
      <c r="M101" s="64">
        <v>55.64</v>
      </c>
      <c r="N101" s="64">
        <v>38.4</v>
      </c>
      <c r="O101" s="64">
        <v>0</v>
      </c>
      <c r="P101" s="64">
        <v>1.33</v>
      </c>
      <c r="Q101" s="64">
        <v>10.16</v>
      </c>
      <c r="R101" s="198"/>
      <c r="S101" s="198"/>
      <c r="T101" s="198"/>
      <c r="U101" s="198"/>
    </row>
    <row r="102" spans="1:33" s="12" customFormat="1" x14ac:dyDescent="0.25">
      <c r="A102" s="214" t="s">
        <v>341</v>
      </c>
      <c r="B102" s="64">
        <v>45.47</v>
      </c>
      <c r="C102" s="64">
        <v>66.61</v>
      </c>
      <c r="D102" s="64">
        <v>71.19</v>
      </c>
      <c r="E102" s="64">
        <v>0.9</v>
      </c>
      <c r="F102" s="64">
        <v>3.59</v>
      </c>
      <c r="G102" s="64">
        <v>75.83</v>
      </c>
      <c r="H102" s="64">
        <v>15.22</v>
      </c>
      <c r="I102" s="64">
        <v>7.56</v>
      </c>
      <c r="J102" s="64">
        <v>0.09</v>
      </c>
      <c r="K102" s="64">
        <v>272.52999999999997</v>
      </c>
      <c r="L102" s="64">
        <v>25.46</v>
      </c>
      <c r="M102" s="64">
        <v>54.21</v>
      </c>
      <c r="N102" s="64">
        <v>38.799999999999997</v>
      </c>
      <c r="O102" s="64">
        <v>0</v>
      </c>
      <c r="P102" s="64">
        <v>1.34</v>
      </c>
      <c r="Q102" s="64">
        <v>10.19</v>
      </c>
      <c r="R102" s="198"/>
      <c r="S102" s="198"/>
      <c r="T102" s="198"/>
      <c r="U102" s="198"/>
    </row>
    <row r="103" spans="1:33" s="12" customFormat="1" x14ac:dyDescent="0.25">
      <c r="A103" s="214" t="s">
        <v>342</v>
      </c>
      <c r="B103" s="64">
        <v>46.22</v>
      </c>
      <c r="C103" s="64">
        <v>67.13</v>
      </c>
      <c r="D103" s="64">
        <v>72.06</v>
      </c>
      <c r="E103" s="64">
        <v>0.59</v>
      </c>
      <c r="F103" s="64">
        <v>3.39</v>
      </c>
      <c r="G103" s="64">
        <v>73.459999999999994</v>
      </c>
      <c r="H103" s="64">
        <v>16.149999999999999</v>
      </c>
      <c r="I103" s="64">
        <v>7.71</v>
      </c>
      <c r="J103" s="64">
        <v>0.18</v>
      </c>
      <c r="K103" s="64">
        <v>260.89999999999998</v>
      </c>
      <c r="L103" s="64">
        <v>25.89</v>
      </c>
      <c r="M103" s="64">
        <v>47.5</v>
      </c>
      <c r="N103" s="64">
        <v>38.6</v>
      </c>
      <c r="O103" s="64">
        <v>0</v>
      </c>
      <c r="P103" s="64">
        <v>1.31</v>
      </c>
      <c r="Q103" s="64">
        <v>10.44</v>
      </c>
      <c r="R103" s="198"/>
      <c r="S103" s="198"/>
      <c r="T103" s="198"/>
      <c r="U103" s="198"/>
    </row>
    <row r="104" spans="1:33" s="12" customFormat="1" x14ac:dyDescent="0.25">
      <c r="A104" s="214" t="s">
        <v>343</v>
      </c>
      <c r="B104" s="64">
        <v>44.59</v>
      </c>
      <c r="C104" s="64">
        <v>67.03</v>
      </c>
      <c r="D104" s="64">
        <v>70.7</v>
      </c>
      <c r="E104" s="64">
        <v>3.02</v>
      </c>
      <c r="F104" s="64">
        <v>4.01</v>
      </c>
      <c r="G104" s="64">
        <v>72.87</v>
      </c>
      <c r="H104" s="64">
        <v>16.39</v>
      </c>
      <c r="I104" s="64">
        <v>7.55</v>
      </c>
      <c r="J104" s="64">
        <v>0.18</v>
      </c>
      <c r="K104" s="64">
        <v>250.33</v>
      </c>
      <c r="L104" s="64">
        <v>26.14</v>
      </c>
      <c r="M104" s="64">
        <v>46.57</v>
      </c>
      <c r="N104" s="64">
        <v>39.4</v>
      </c>
      <c r="O104" s="64">
        <v>0</v>
      </c>
      <c r="P104" s="64">
        <v>1.29</v>
      </c>
      <c r="Q104" s="64">
        <v>10.39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0.39</v>
      </c>
      <c r="C106" s="67">
        <f>MIN(C9:C104)</f>
        <v>17.899999999999999</v>
      </c>
      <c r="D106" s="67">
        <f t="shared" ref="D106:Q106" si="0">MIN(D9:D104)</f>
        <v>11.19</v>
      </c>
      <c r="E106" s="67">
        <f t="shared" si="0"/>
        <v>0.18</v>
      </c>
      <c r="F106" s="67">
        <f t="shared" si="0"/>
        <v>3.31</v>
      </c>
      <c r="G106" s="67">
        <f t="shared" si="0"/>
        <v>11.45</v>
      </c>
      <c r="H106" s="67">
        <f t="shared" si="0"/>
        <v>5.01</v>
      </c>
      <c r="I106" s="67">
        <f t="shared" si="0"/>
        <v>2.4</v>
      </c>
      <c r="J106" s="67">
        <f t="shared" si="0"/>
        <v>0.02</v>
      </c>
      <c r="K106" s="67">
        <f t="shared" si="0"/>
        <v>2.6</v>
      </c>
      <c r="L106" s="67">
        <f t="shared" si="0"/>
        <v>22.95</v>
      </c>
      <c r="M106" s="67">
        <f t="shared" si="0"/>
        <v>20.86</v>
      </c>
      <c r="N106" s="67">
        <f t="shared" si="0"/>
        <v>25.7</v>
      </c>
      <c r="O106" s="67">
        <f t="shared" si="0"/>
        <v>0</v>
      </c>
      <c r="P106" s="67">
        <f t="shared" si="0"/>
        <v>0.41</v>
      </c>
      <c r="Q106" s="67">
        <f t="shared" si="0"/>
        <v>9.16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46.22</v>
      </c>
      <c r="C107" s="66">
        <f t="shared" ref="C107:Q107" si="1">MAX(C9:C104)</f>
        <v>67.34</v>
      </c>
      <c r="D107" s="66">
        <f t="shared" si="1"/>
        <v>72.06</v>
      </c>
      <c r="E107" s="66">
        <f t="shared" si="1"/>
        <v>6</v>
      </c>
      <c r="F107" s="66">
        <f t="shared" si="1"/>
        <v>254.75</v>
      </c>
      <c r="G107" s="66">
        <f t="shared" si="1"/>
        <v>82.19</v>
      </c>
      <c r="H107" s="66">
        <f t="shared" si="1"/>
        <v>34.409999999999997</v>
      </c>
      <c r="I107" s="66">
        <f t="shared" si="1"/>
        <v>7.71</v>
      </c>
      <c r="J107" s="66">
        <f t="shared" si="1"/>
        <v>0.67</v>
      </c>
      <c r="K107" s="66">
        <f t="shared" si="1"/>
        <v>359.33</v>
      </c>
      <c r="L107" s="66">
        <f t="shared" si="1"/>
        <v>36.89</v>
      </c>
      <c r="M107" s="66">
        <f t="shared" si="1"/>
        <v>66.48</v>
      </c>
      <c r="N107" s="66">
        <f t="shared" si="1"/>
        <v>922.7</v>
      </c>
      <c r="O107" s="66">
        <f t="shared" si="1"/>
        <v>0</v>
      </c>
      <c r="P107" s="66">
        <f t="shared" si="1"/>
        <v>3.3</v>
      </c>
      <c r="Q107" s="66">
        <f t="shared" si="1"/>
        <v>10.45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9.032234042553192</v>
      </c>
      <c r="C108" s="67">
        <f t="shared" ref="C108:Q108" si="2">AVERAGE(C9:C104)</f>
        <v>49.322872340425533</v>
      </c>
      <c r="D108" s="67">
        <f t="shared" si="2"/>
        <v>32.930638297872335</v>
      </c>
      <c r="E108" s="67">
        <f t="shared" si="2"/>
        <v>1.7726595744680853</v>
      </c>
      <c r="F108" s="67">
        <f t="shared" si="2"/>
        <v>18.798854166666665</v>
      </c>
      <c r="G108" s="67">
        <f t="shared" si="2"/>
        <v>52.116989247311821</v>
      </c>
      <c r="H108" s="67">
        <f t="shared" si="2"/>
        <v>22.197849462365596</v>
      </c>
      <c r="I108" s="67">
        <f t="shared" si="2"/>
        <v>4.9168750000000001</v>
      </c>
      <c r="J108" s="67">
        <f t="shared" si="2"/>
        <v>0.18291666666666662</v>
      </c>
      <c r="K108" s="67">
        <f t="shared" si="2"/>
        <v>241.8793750000001</v>
      </c>
      <c r="L108" s="67">
        <f t="shared" si="2"/>
        <v>29.542083333333323</v>
      </c>
      <c r="M108" s="67">
        <f t="shared" si="2"/>
        <v>38.792812500000004</v>
      </c>
      <c r="N108" s="67">
        <f t="shared" si="2"/>
        <v>267.5864583333335</v>
      </c>
      <c r="O108" s="67">
        <f t="shared" si="2"/>
        <v>0</v>
      </c>
      <c r="P108" s="67">
        <f t="shared" si="2"/>
        <v>0.67624999999999968</v>
      </c>
      <c r="Q108" s="67">
        <f t="shared" si="2"/>
        <v>9.5986458333333342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11.577263605437874</v>
      </c>
      <c r="C109" s="67">
        <f t="shared" ref="C109:Q109" si="3">STDEV(C9:C104)</f>
        <v>9.7686750427606146</v>
      </c>
      <c r="D109" s="67">
        <f t="shared" si="3"/>
        <v>13.111014970881916</v>
      </c>
      <c r="E109" s="67">
        <f t="shared" si="3"/>
        <v>0.97610612803470909</v>
      </c>
      <c r="F109" s="67">
        <f t="shared" si="3"/>
        <v>50.98165917619253</v>
      </c>
      <c r="G109" s="67">
        <f t="shared" si="3"/>
        <v>15.515927775994694</v>
      </c>
      <c r="H109" s="67">
        <f t="shared" si="3"/>
        <v>4.7589272744157851</v>
      </c>
      <c r="I109" s="67">
        <f t="shared" si="3"/>
        <v>1.4217426760290059</v>
      </c>
      <c r="J109" s="67">
        <f t="shared" si="3"/>
        <v>0.12928887823431576</v>
      </c>
      <c r="K109" s="67">
        <f t="shared" si="3"/>
        <v>118.87260427880882</v>
      </c>
      <c r="L109" s="67">
        <f t="shared" si="3"/>
        <v>4.7238218061375781</v>
      </c>
      <c r="M109" s="67">
        <f t="shared" si="3"/>
        <v>14.008660907725334</v>
      </c>
      <c r="N109" s="67">
        <f t="shared" si="3"/>
        <v>322.02280750210076</v>
      </c>
      <c r="O109" s="67">
        <f t="shared" si="3"/>
        <v>0</v>
      </c>
      <c r="P109" s="67">
        <f t="shared" si="3"/>
        <v>0.39583954750431549</v>
      </c>
      <c r="Q109" s="67">
        <f t="shared" si="3"/>
        <v>0.2414849664784284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COUNT(B9:B104)+2</f>
        <v>96</v>
      </c>
      <c r="C110" s="66">
        <f>COUNT(C9:C104)+2</f>
        <v>96</v>
      </c>
      <c r="D110" s="66">
        <f>COUNT(D9:D104)+2</f>
        <v>96</v>
      </c>
      <c r="E110" s="66">
        <f>COUNT(E9:E104)+2</f>
        <v>96</v>
      </c>
      <c r="F110" s="66">
        <f t="shared" ref="F110:Q110" si="4">COUNT(F9:F104)</f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344</v>
      </c>
      <c r="B9" s="64">
        <v>41.77</v>
      </c>
      <c r="C9" s="64">
        <v>65.98</v>
      </c>
      <c r="D9" s="64">
        <v>67.89</v>
      </c>
      <c r="E9" s="64">
        <v>2.66</v>
      </c>
      <c r="F9" s="64">
        <v>3.92</v>
      </c>
      <c r="G9" s="64">
        <v>72.87</v>
      </c>
      <c r="H9" s="64">
        <v>16.39</v>
      </c>
      <c r="I9" s="64">
        <v>7.44</v>
      </c>
      <c r="J9" s="64">
        <v>7.0000000000000007E-2</v>
      </c>
      <c r="K9" s="64">
        <v>273.89</v>
      </c>
      <c r="L9" s="64">
        <v>26.01</v>
      </c>
      <c r="M9" s="64">
        <v>47.67</v>
      </c>
      <c r="N9" s="64">
        <v>40</v>
      </c>
      <c r="O9" s="64">
        <v>0</v>
      </c>
      <c r="P9" s="64">
        <v>1.24</v>
      </c>
      <c r="Q9" s="64">
        <v>10.24</v>
      </c>
      <c r="R9" s="198"/>
      <c r="S9" s="198"/>
      <c r="T9" s="198"/>
      <c r="U9" s="198"/>
    </row>
    <row r="10" spans="1:21" s="12" customFormat="1" x14ac:dyDescent="0.25">
      <c r="A10" s="214" t="s">
        <v>345</v>
      </c>
      <c r="B10" s="64">
        <v>38.79</v>
      </c>
      <c r="C10" s="64">
        <v>64.790000000000006</v>
      </c>
      <c r="D10" s="64">
        <v>64.88</v>
      </c>
      <c r="E10" s="64">
        <v>2.85</v>
      </c>
      <c r="F10" s="64">
        <v>3.29</v>
      </c>
      <c r="G10" s="64">
        <v>72.87</v>
      </c>
      <c r="H10" s="64">
        <v>16.39</v>
      </c>
      <c r="I10" s="64">
        <v>8.23</v>
      </c>
      <c r="J10" s="64">
        <v>0.32</v>
      </c>
      <c r="K10" s="64">
        <v>340.08</v>
      </c>
      <c r="L10" s="64">
        <v>25.56</v>
      </c>
      <c r="M10" s="64">
        <v>51.22</v>
      </c>
      <c r="N10" s="64">
        <v>41.1</v>
      </c>
      <c r="O10" s="64">
        <v>0</v>
      </c>
      <c r="P10" s="64">
        <v>1.2</v>
      </c>
      <c r="Q10" s="64">
        <v>10.27</v>
      </c>
      <c r="R10" s="198"/>
      <c r="S10" s="198"/>
      <c r="T10" s="198"/>
      <c r="U10" s="198"/>
    </row>
    <row r="11" spans="1:21" s="12" customFormat="1" x14ac:dyDescent="0.25">
      <c r="A11" s="214" t="s">
        <v>346</v>
      </c>
      <c r="B11" s="64">
        <v>36.229999999999997</v>
      </c>
      <c r="C11" s="64">
        <v>63.98</v>
      </c>
      <c r="D11" s="64">
        <v>62.4</v>
      </c>
      <c r="E11" s="64">
        <v>2.46</v>
      </c>
      <c r="F11" s="64">
        <v>3.76</v>
      </c>
      <c r="G11" s="64">
        <v>64.92</v>
      </c>
      <c r="H11" s="64">
        <v>14.51</v>
      </c>
      <c r="I11" s="64">
        <v>7.97</v>
      </c>
      <c r="J11" s="64">
        <v>0.6</v>
      </c>
      <c r="K11" s="64">
        <v>345.25</v>
      </c>
      <c r="L11" s="64">
        <v>24.92</v>
      </c>
      <c r="M11" s="64">
        <v>55.15</v>
      </c>
      <c r="N11" s="64">
        <v>41.3</v>
      </c>
      <c r="O11" s="64">
        <v>0</v>
      </c>
      <c r="P11" s="64">
        <v>1.18</v>
      </c>
      <c r="Q11" s="64">
        <v>9.99</v>
      </c>
      <c r="R11" s="198"/>
      <c r="S11" s="198"/>
      <c r="T11" s="198"/>
      <c r="U11" s="198"/>
    </row>
    <row r="12" spans="1:21" s="12" customFormat="1" x14ac:dyDescent="0.25">
      <c r="A12" s="214" t="s">
        <v>347</v>
      </c>
      <c r="B12" s="64">
        <v>33.659999999999997</v>
      </c>
      <c r="C12" s="64">
        <v>63.34</v>
      </c>
      <c r="D12" s="64">
        <v>60.01</v>
      </c>
      <c r="E12" s="64">
        <v>2.57</v>
      </c>
      <c r="F12" s="64">
        <v>3.65</v>
      </c>
      <c r="G12" s="64">
        <v>62.93</v>
      </c>
      <c r="H12" s="64">
        <v>14.04</v>
      </c>
      <c r="I12" s="64">
        <v>7.71</v>
      </c>
      <c r="J12" s="64">
        <v>0.68</v>
      </c>
      <c r="K12" s="64">
        <v>332.17</v>
      </c>
      <c r="L12" s="64">
        <v>24.96</v>
      </c>
      <c r="M12" s="64">
        <v>51.94</v>
      </c>
      <c r="N12" s="64">
        <v>41.3</v>
      </c>
      <c r="O12" s="64">
        <v>0</v>
      </c>
      <c r="P12" s="64">
        <v>1.1399999999999999</v>
      </c>
      <c r="Q12" s="64">
        <v>10.050000000000001</v>
      </c>
      <c r="R12" s="198"/>
      <c r="S12" s="198"/>
      <c r="T12" s="198"/>
      <c r="U12" s="198"/>
    </row>
    <row r="13" spans="1:21" s="12" customFormat="1" x14ac:dyDescent="0.25">
      <c r="A13" s="214" t="s">
        <v>348</v>
      </c>
      <c r="B13" s="64">
        <v>31.02</v>
      </c>
      <c r="C13" s="64">
        <v>62.81</v>
      </c>
      <c r="D13" s="64">
        <v>57.61</v>
      </c>
      <c r="E13" s="64">
        <v>2.4</v>
      </c>
      <c r="F13" s="64">
        <v>3.81</v>
      </c>
      <c r="G13" s="64">
        <v>62.93</v>
      </c>
      <c r="H13" s="64">
        <v>14.04</v>
      </c>
      <c r="I13" s="64">
        <v>7.86</v>
      </c>
      <c r="J13" s="64">
        <v>0.43</v>
      </c>
      <c r="K13" s="64">
        <v>330.08</v>
      </c>
      <c r="L13" s="64">
        <v>25.09</v>
      </c>
      <c r="M13" s="64">
        <v>50.43</v>
      </c>
      <c r="N13" s="64">
        <v>42.6</v>
      </c>
      <c r="O13" s="64">
        <v>0</v>
      </c>
      <c r="P13" s="64">
        <v>0.99</v>
      </c>
      <c r="Q13" s="64">
        <v>9.9700000000000006</v>
      </c>
      <c r="R13" s="198"/>
      <c r="S13" s="198"/>
      <c r="T13" s="198"/>
      <c r="U13" s="198"/>
    </row>
    <row r="14" spans="1:21" s="12" customFormat="1" x14ac:dyDescent="0.25">
      <c r="A14" s="214" t="s">
        <v>349</v>
      </c>
      <c r="B14" s="64">
        <v>28.62</v>
      </c>
      <c r="C14" s="64">
        <v>62.54</v>
      </c>
      <c r="D14" s="64">
        <v>55.55</v>
      </c>
      <c r="E14" s="64">
        <v>2.5</v>
      </c>
      <c r="F14" s="64">
        <v>3.79</v>
      </c>
      <c r="G14" s="64">
        <v>62.93</v>
      </c>
      <c r="H14" s="64">
        <v>14.04</v>
      </c>
      <c r="I14" s="64">
        <v>7.75</v>
      </c>
      <c r="J14" s="64">
        <v>0.1</v>
      </c>
      <c r="K14" s="64">
        <v>341.68</v>
      </c>
      <c r="L14" s="64">
        <v>25.13</v>
      </c>
      <c r="M14" s="64">
        <v>48.49</v>
      </c>
      <c r="N14" s="64">
        <v>43.7</v>
      </c>
      <c r="O14" s="64">
        <v>0</v>
      </c>
      <c r="P14" s="64">
        <v>0.96</v>
      </c>
      <c r="Q14" s="64">
        <v>10.14</v>
      </c>
      <c r="R14" s="198"/>
      <c r="S14" s="198"/>
      <c r="T14" s="198"/>
      <c r="U14" s="198"/>
    </row>
    <row r="15" spans="1:21" s="12" customFormat="1" x14ac:dyDescent="0.25">
      <c r="A15" s="214" t="s">
        <v>350</v>
      </c>
      <c r="B15" s="64">
        <v>27.38</v>
      </c>
      <c r="C15" s="64">
        <v>55.12</v>
      </c>
      <c r="D15" s="64">
        <v>50.67</v>
      </c>
      <c r="E15" s="64">
        <v>2.3199999999999998</v>
      </c>
      <c r="F15" s="64">
        <v>3.35</v>
      </c>
      <c r="G15" s="64">
        <v>61.82</v>
      </c>
      <c r="H15" s="64">
        <v>13.54</v>
      </c>
      <c r="I15" s="64">
        <v>7.49</v>
      </c>
      <c r="J15" s="64">
        <v>7.0000000000000007E-2</v>
      </c>
      <c r="K15" s="64">
        <v>61.71</v>
      </c>
      <c r="L15" s="64">
        <v>25.39</v>
      </c>
      <c r="M15" s="64">
        <v>46.12</v>
      </c>
      <c r="N15" s="64">
        <v>45.4</v>
      </c>
      <c r="O15" s="64">
        <v>0</v>
      </c>
      <c r="P15" s="64">
        <v>0.92</v>
      </c>
      <c r="Q15" s="64">
        <v>10.24</v>
      </c>
      <c r="R15" s="198"/>
      <c r="S15" s="198"/>
      <c r="T15" s="198"/>
      <c r="U15" s="198"/>
    </row>
    <row r="16" spans="1:21" s="12" customFormat="1" x14ac:dyDescent="0.25">
      <c r="A16" s="214" t="s">
        <v>351</v>
      </c>
      <c r="B16" s="64">
        <v>26.65</v>
      </c>
      <c r="C16" s="64">
        <v>52.4</v>
      </c>
      <c r="D16" s="64">
        <v>48.67</v>
      </c>
      <c r="E16" s="64">
        <v>2.41</v>
      </c>
      <c r="F16" s="64">
        <v>3.76</v>
      </c>
      <c r="G16" s="64">
        <v>61.54</v>
      </c>
      <c r="H16" s="64">
        <v>13.42</v>
      </c>
      <c r="I16" s="64">
        <v>6.62</v>
      </c>
      <c r="J16" s="64">
        <v>0.08</v>
      </c>
      <c r="K16" s="64">
        <v>264.68</v>
      </c>
      <c r="L16" s="64">
        <v>25.4</v>
      </c>
      <c r="M16" s="64">
        <v>45.66</v>
      </c>
      <c r="N16" s="64">
        <v>46.7</v>
      </c>
      <c r="O16" s="64">
        <v>0</v>
      </c>
      <c r="P16" s="64">
        <v>0.88</v>
      </c>
      <c r="Q16" s="64">
        <v>9.85</v>
      </c>
      <c r="R16" s="198"/>
      <c r="S16" s="198"/>
      <c r="T16" s="198"/>
      <c r="U16" s="198"/>
    </row>
    <row r="17" spans="1:21" s="12" customFormat="1" x14ac:dyDescent="0.25">
      <c r="A17" s="214" t="s">
        <v>352</v>
      </c>
      <c r="B17" s="64">
        <v>25.83</v>
      </c>
      <c r="C17" s="64">
        <v>52.26</v>
      </c>
      <c r="D17" s="64">
        <v>47.94</v>
      </c>
      <c r="E17" s="64">
        <v>2.06</v>
      </c>
      <c r="F17" s="64">
        <v>3.64</v>
      </c>
      <c r="G17" s="64">
        <v>61.54</v>
      </c>
      <c r="H17" s="64">
        <v>13.42</v>
      </c>
      <c r="I17" s="64">
        <v>6.35</v>
      </c>
      <c r="J17" s="64">
        <v>0.1</v>
      </c>
      <c r="K17" s="64">
        <v>276.22000000000003</v>
      </c>
      <c r="L17" s="64">
        <v>25.05</v>
      </c>
      <c r="M17" s="64">
        <v>47.35</v>
      </c>
      <c r="N17" s="64">
        <v>47.6</v>
      </c>
      <c r="O17" s="64">
        <v>0</v>
      </c>
      <c r="P17" s="64">
        <v>0.88</v>
      </c>
      <c r="Q17" s="64">
        <v>10.08</v>
      </c>
      <c r="R17" s="198"/>
      <c r="S17" s="198"/>
      <c r="T17" s="198"/>
      <c r="U17" s="198"/>
    </row>
    <row r="18" spans="1:21" s="12" customFormat="1" x14ac:dyDescent="0.25">
      <c r="A18" s="214" t="s">
        <v>353</v>
      </c>
      <c r="B18" s="64">
        <v>25.14</v>
      </c>
      <c r="C18" s="64">
        <v>53.05</v>
      </c>
      <c r="D18" s="64">
        <v>47.8</v>
      </c>
      <c r="E18" s="64">
        <v>2.19</v>
      </c>
      <c r="F18" s="64">
        <v>3.77</v>
      </c>
      <c r="G18" s="64">
        <v>61.54</v>
      </c>
      <c r="H18" s="64">
        <v>13.42</v>
      </c>
      <c r="I18" s="64">
        <v>6.3</v>
      </c>
      <c r="J18" s="64">
        <v>0.08</v>
      </c>
      <c r="K18" s="64">
        <v>233.36</v>
      </c>
      <c r="L18" s="64">
        <v>24.77</v>
      </c>
      <c r="M18" s="64">
        <v>46.4</v>
      </c>
      <c r="N18" s="64">
        <v>48</v>
      </c>
      <c r="O18" s="64">
        <v>0</v>
      </c>
      <c r="P18" s="64">
        <v>0.85</v>
      </c>
      <c r="Q18" s="64">
        <v>10.01</v>
      </c>
      <c r="R18" s="198"/>
      <c r="S18" s="198"/>
      <c r="T18" s="198"/>
      <c r="U18" s="198"/>
    </row>
    <row r="19" spans="1:21" s="12" customFormat="1" x14ac:dyDescent="0.25">
      <c r="A19" s="214" t="s">
        <v>354</v>
      </c>
      <c r="B19" s="64">
        <v>24.5</v>
      </c>
      <c r="C19" s="64">
        <v>53.77</v>
      </c>
      <c r="D19" s="64">
        <v>47.65</v>
      </c>
      <c r="E19" s="64">
        <v>2.48</v>
      </c>
      <c r="F19" s="64">
        <v>3.6</v>
      </c>
      <c r="G19" s="64">
        <v>60.75</v>
      </c>
      <c r="H19" s="64">
        <v>12.72</v>
      </c>
      <c r="I19" s="64">
        <v>6.36</v>
      </c>
      <c r="J19" s="64">
        <v>0.19</v>
      </c>
      <c r="K19" s="64">
        <v>205.61</v>
      </c>
      <c r="L19" s="64">
        <v>25.24</v>
      </c>
      <c r="M19" s="64">
        <v>44.48</v>
      </c>
      <c r="N19" s="64">
        <v>46.7</v>
      </c>
      <c r="O19" s="64">
        <v>0</v>
      </c>
      <c r="P19" s="64">
        <v>0.84</v>
      </c>
      <c r="Q19" s="64">
        <v>9.91</v>
      </c>
      <c r="R19" s="198"/>
      <c r="S19" s="198"/>
      <c r="T19" s="198"/>
      <c r="U19" s="198"/>
    </row>
    <row r="20" spans="1:21" s="12" customFormat="1" x14ac:dyDescent="0.25">
      <c r="A20" s="214" t="s">
        <v>355</v>
      </c>
      <c r="B20" s="64">
        <v>23.9</v>
      </c>
      <c r="C20" s="64">
        <v>53.7</v>
      </c>
      <c r="D20" s="64">
        <v>47.14</v>
      </c>
      <c r="E20" s="64">
        <v>2.2599999999999998</v>
      </c>
      <c r="F20" s="64">
        <v>3.61</v>
      </c>
      <c r="G20" s="64">
        <v>60.56</v>
      </c>
      <c r="H20" s="64">
        <v>12.55</v>
      </c>
      <c r="I20" s="64">
        <v>6.24</v>
      </c>
      <c r="J20" s="64">
        <v>0.12</v>
      </c>
      <c r="K20" s="64">
        <v>321.45</v>
      </c>
      <c r="L20" s="64">
        <v>24.71</v>
      </c>
      <c r="M20" s="64">
        <v>50.58</v>
      </c>
      <c r="N20" s="64">
        <v>46.8</v>
      </c>
      <c r="O20" s="64">
        <v>0</v>
      </c>
      <c r="P20" s="64">
        <v>0.82</v>
      </c>
      <c r="Q20" s="64">
        <v>10.01</v>
      </c>
      <c r="R20" s="198"/>
      <c r="S20" s="198"/>
      <c r="T20" s="198"/>
      <c r="U20" s="198"/>
    </row>
    <row r="21" spans="1:21" s="12" customFormat="1" x14ac:dyDescent="0.25">
      <c r="A21" s="214" t="s">
        <v>356</v>
      </c>
      <c r="B21" s="64">
        <v>23.5</v>
      </c>
      <c r="C21" s="64">
        <v>53.3</v>
      </c>
      <c r="D21" s="64">
        <v>46.61</v>
      </c>
      <c r="E21" s="64">
        <v>2.54</v>
      </c>
      <c r="F21" s="64">
        <v>3.69</v>
      </c>
      <c r="G21" s="64">
        <v>60.56</v>
      </c>
      <c r="H21" s="64">
        <v>12.55</v>
      </c>
      <c r="I21" s="64">
        <v>6.54</v>
      </c>
      <c r="J21" s="64">
        <v>7.0000000000000007E-2</v>
      </c>
      <c r="K21" s="64">
        <v>121.01</v>
      </c>
      <c r="L21" s="64">
        <v>24.18</v>
      </c>
      <c r="M21" s="64">
        <v>50.09</v>
      </c>
      <c r="N21" s="64">
        <v>48</v>
      </c>
      <c r="O21" s="64">
        <v>0</v>
      </c>
      <c r="P21" s="64">
        <v>0.82</v>
      </c>
      <c r="Q21" s="64">
        <v>9.92</v>
      </c>
      <c r="R21" s="198"/>
      <c r="S21" s="198"/>
      <c r="T21" s="198"/>
      <c r="U21" s="198"/>
    </row>
    <row r="22" spans="1:21" s="12" customFormat="1" x14ac:dyDescent="0.25">
      <c r="A22" s="214" t="s">
        <v>357</v>
      </c>
      <c r="B22" s="64">
        <v>22.95</v>
      </c>
      <c r="C22" s="64">
        <v>56.23</v>
      </c>
      <c r="D22" s="64">
        <v>47.7</v>
      </c>
      <c r="E22" s="64">
        <v>2.4500000000000002</v>
      </c>
      <c r="F22" s="64">
        <v>3.38</v>
      </c>
      <c r="G22" s="64">
        <v>60.56</v>
      </c>
      <c r="H22" s="64">
        <v>12.55</v>
      </c>
      <c r="I22" s="64">
        <v>6.91</v>
      </c>
      <c r="J22" s="64">
        <v>0.08</v>
      </c>
      <c r="K22" s="64">
        <v>158.94999999999999</v>
      </c>
      <c r="L22" s="64">
        <v>24.09</v>
      </c>
      <c r="M22" s="64">
        <v>51.54</v>
      </c>
      <c r="N22" s="64">
        <v>49.7</v>
      </c>
      <c r="O22" s="64">
        <v>0</v>
      </c>
      <c r="P22" s="64">
        <v>0.83</v>
      </c>
      <c r="Q22" s="64">
        <v>9.94</v>
      </c>
      <c r="R22" s="198"/>
      <c r="S22" s="198"/>
      <c r="T22" s="198"/>
      <c r="U22" s="198"/>
    </row>
    <row r="23" spans="1:21" s="12" customFormat="1" x14ac:dyDescent="0.25">
      <c r="A23" s="214" t="s">
        <v>358</v>
      </c>
      <c r="B23" s="64">
        <v>22.01</v>
      </c>
      <c r="C23" s="64">
        <v>56.33</v>
      </c>
      <c r="D23" s="64">
        <v>47</v>
      </c>
      <c r="E23" s="64">
        <v>1.98</v>
      </c>
      <c r="F23" s="64">
        <v>3.38</v>
      </c>
      <c r="G23" s="64">
        <v>59.44</v>
      </c>
      <c r="H23" s="64">
        <v>12.76</v>
      </c>
      <c r="I23" s="64">
        <v>7.57</v>
      </c>
      <c r="J23" s="64">
        <v>0.08</v>
      </c>
      <c r="K23" s="64">
        <v>298.38</v>
      </c>
      <c r="L23" s="64">
        <v>23.68</v>
      </c>
      <c r="M23" s="64">
        <v>54</v>
      </c>
      <c r="N23" s="64">
        <v>49.8</v>
      </c>
      <c r="O23" s="64">
        <v>0</v>
      </c>
      <c r="P23" s="64">
        <v>0.81</v>
      </c>
      <c r="Q23" s="64">
        <v>10.07</v>
      </c>
      <c r="R23" s="198"/>
      <c r="S23" s="198"/>
      <c r="T23" s="198"/>
      <c r="U23" s="198"/>
    </row>
    <row r="24" spans="1:21" s="12" customFormat="1" x14ac:dyDescent="0.25">
      <c r="A24" s="214" t="s">
        <v>359</v>
      </c>
      <c r="B24" s="64">
        <v>22.27</v>
      </c>
      <c r="C24" s="64">
        <v>57.97</v>
      </c>
      <c r="D24" s="64">
        <v>48.07</v>
      </c>
      <c r="E24" s="64">
        <v>1.61</v>
      </c>
      <c r="F24" s="64">
        <v>3.06</v>
      </c>
      <c r="G24" s="64">
        <v>59.16</v>
      </c>
      <c r="H24" s="64">
        <v>12.81</v>
      </c>
      <c r="I24" s="64">
        <v>8.4</v>
      </c>
      <c r="J24" s="64">
        <v>0.14000000000000001</v>
      </c>
      <c r="K24" s="64">
        <v>285.87</v>
      </c>
      <c r="L24" s="64">
        <v>23.66</v>
      </c>
      <c r="M24" s="64">
        <v>54.3</v>
      </c>
      <c r="N24" s="64">
        <v>49.4</v>
      </c>
      <c r="O24" s="64">
        <v>0</v>
      </c>
      <c r="P24" s="64">
        <v>0.8</v>
      </c>
      <c r="Q24" s="64">
        <v>9.9499999999999993</v>
      </c>
      <c r="R24" s="198"/>
      <c r="S24" s="198"/>
      <c r="T24" s="198"/>
      <c r="U24" s="198"/>
    </row>
    <row r="25" spans="1:21" s="12" customFormat="1" x14ac:dyDescent="0.25">
      <c r="A25" s="214" t="s">
        <v>360</v>
      </c>
      <c r="B25" s="64">
        <v>22.62</v>
      </c>
      <c r="C25" s="64">
        <v>58</v>
      </c>
      <c r="D25" s="64">
        <v>48.36</v>
      </c>
      <c r="E25" s="64">
        <v>1.76</v>
      </c>
      <c r="F25" s="64">
        <v>3.72</v>
      </c>
      <c r="G25" s="64">
        <v>59.16</v>
      </c>
      <c r="H25" s="64">
        <v>12.81</v>
      </c>
      <c r="I25" s="64">
        <v>8.57</v>
      </c>
      <c r="J25" s="64">
        <v>0.2</v>
      </c>
      <c r="K25" s="64">
        <v>346.45</v>
      </c>
      <c r="L25" s="64">
        <v>22.89</v>
      </c>
      <c r="M25" s="64">
        <v>59.97</v>
      </c>
      <c r="N25" s="64">
        <v>49.5</v>
      </c>
      <c r="O25" s="64">
        <v>0</v>
      </c>
      <c r="P25" s="64">
        <v>0.78</v>
      </c>
      <c r="Q25" s="64">
        <v>10.029999999999999</v>
      </c>
      <c r="R25" s="198"/>
      <c r="S25" s="198"/>
      <c r="T25" s="198"/>
      <c r="U25" s="198"/>
    </row>
    <row r="26" spans="1:21" s="12" customFormat="1" x14ac:dyDescent="0.25">
      <c r="A26" s="214" t="s">
        <v>361</v>
      </c>
      <c r="B26" s="64">
        <v>23.11</v>
      </c>
      <c r="C26" s="64">
        <v>58.24</v>
      </c>
      <c r="D26" s="64">
        <v>48.88</v>
      </c>
      <c r="E26" s="64">
        <v>2.06</v>
      </c>
      <c r="F26" s="64">
        <v>3.1</v>
      </c>
      <c r="G26" s="64">
        <v>59.16</v>
      </c>
      <c r="H26" s="64">
        <v>12.81</v>
      </c>
      <c r="I26" s="64">
        <v>8.7799999999999994</v>
      </c>
      <c r="J26" s="64">
        <v>0.14000000000000001</v>
      </c>
      <c r="K26" s="64">
        <v>220.03</v>
      </c>
      <c r="L26" s="64">
        <v>22.43</v>
      </c>
      <c r="M26" s="64">
        <v>61.02</v>
      </c>
      <c r="N26" s="64">
        <v>48.8</v>
      </c>
      <c r="O26" s="64">
        <v>0</v>
      </c>
      <c r="P26" s="64">
        <v>0.78</v>
      </c>
      <c r="Q26" s="64">
        <v>9.75</v>
      </c>
      <c r="R26" s="198"/>
      <c r="S26" s="198"/>
      <c r="T26" s="198"/>
      <c r="U26" s="198"/>
    </row>
    <row r="27" spans="1:21" s="12" customFormat="1" x14ac:dyDescent="0.25">
      <c r="A27" s="214" t="s">
        <v>362</v>
      </c>
      <c r="B27" s="64">
        <v>23.74</v>
      </c>
      <c r="C27" s="64">
        <v>58.73</v>
      </c>
      <c r="D27" s="64">
        <v>49.64</v>
      </c>
      <c r="E27" s="64">
        <v>2.34</v>
      </c>
      <c r="F27" s="64">
        <v>3.3</v>
      </c>
      <c r="G27" s="64">
        <v>59.22</v>
      </c>
      <c r="H27" s="64">
        <v>11.96</v>
      </c>
      <c r="I27" s="64">
        <v>8.65</v>
      </c>
      <c r="J27" s="64">
        <v>0.09</v>
      </c>
      <c r="K27" s="64">
        <v>2.87</v>
      </c>
      <c r="L27" s="64">
        <v>22.27</v>
      </c>
      <c r="M27" s="64">
        <v>64.849999999999994</v>
      </c>
      <c r="N27" s="64">
        <v>49.7</v>
      </c>
      <c r="O27" s="64">
        <v>0</v>
      </c>
      <c r="P27" s="64">
        <v>0.76</v>
      </c>
      <c r="Q27" s="64">
        <v>10.1</v>
      </c>
      <c r="R27" s="198"/>
      <c r="S27" s="198"/>
      <c r="T27" s="198"/>
      <c r="U27" s="198"/>
    </row>
    <row r="28" spans="1:21" s="12" customFormat="1" x14ac:dyDescent="0.25">
      <c r="A28" s="214" t="s">
        <v>363</v>
      </c>
      <c r="B28" s="64">
        <v>25.67</v>
      </c>
      <c r="C28" s="64">
        <v>59.43</v>
      </c>
      <c r="D28" s="64">
        <v>51.56</v>
      </c>
      <c r="E28" s="64">
        <v>2.14</v>
      </c>
      <c r="F28" s="64">
        <v>3.66</v>
      </c>
      <c r="G28" s="64">
        <v>59.23</v>
      </c>
      <c r="H28" s="64">
        <v>11.74</v>
      </c>
      <c r="I28" s="64">
        <v>8.64</v>
      </c>
      <c r="J28" s="64">
        <v>0.23</v>
      </c>
      <c r="K28" s="64">
        <v>265.39</v>
      </c>
      <c r="L28" s="64">
        <v>21.94</v>
      </c>
      <c r="M28" s="64">
        <v>67.05</v>
      </c>
      <c r="N28" s="64">
        <v>51.7</v>
      </c>
      <c r="O28" s="64">
        <v>0</v>
      </c>
      <c r="P28" s="64">
        <v>0.77</v>
      </c>
      <c r="Q28" s="64">
        <v>10.07</v>
      </c>
      <c r="R28" s="198"/>
      <c r="S28" s="198"/>
      <c r="T28" s="198"/>
      <c r="U28" s="198"/>
    </row>
    <row r="29" spans="1:21" s="12" customFormat="1" x14ac:dyDescent="0.25">
      <c r="A29" s="214" t="s">
        <v>364</v>
      </c>
      <c r="B29" s="64">
        <v>27.23</v>
      </c>
      <c r="C29" s="64">
        <v>59.69</v>
      </c>
      <c r="D29" s="64">
        <v>52.95</v>
      </c>
      <c r="E29" s="64">
        <v>2.1800000000000002</v>
      </c>
      <c r="F29" s="64">
        <v>3.52</v>
      </c>
      <c r="G29" s="64">
        <v>59.23</v>
      </c>
      <c r="H29" s="64">
        <v>11.74</v>
      </c>
      <c r="I29" s="64">
        <v>8.68</v>
      </c>
      <c r="J29" s="64">
        <v>0.27</v>
      </c>
      <c r="K29" s="64">
        <v>223.49</v>
      </c>
      <c r="L29" s="64">
        <v>22.83</v>
      </c>
      <c r="M29" s="64">
        <v>58.63</v>
      </c>
      <c r="N29" s="64">
        <v>55.5</v>
      </c>
      <c r="O29" s="64">
        <v>0</v>
      </c>
      <c r="P29" s="64">
        <v>0.79</v>
      </c>
      <c r="Q29" s="64">
        <v>10.1</v>
      </c>
      <c r="R29" s="198"/>
      <c r="S29" s="198"/>
      <c r="T29" s="198"/>
      <c r="U29" s="198"/>
    </row>
    <row r="30" spans="1:21" s="12" customFormat="1" x14ac:dyDescent="0.25">
      <c r="A30" s="214" t="s">
        <v>365</v>
      </c>
      <c r="B30" s="64">
        <v>26.78</v>
      </c>
      <c r="C30" s="64">
        <v>59.12</v>
      </c>
      <c r="D30" s="64">
        <v>52.29</v>
      </c>
      <c r="E30" s="64">
        <v>2.37</v>
      </c>
      <c r="F30" s="64">
        <v>3.24</v>
      </c>
      <c r="G30" s="64">
        <v>59.23</v>
      </c>
      <c r="H30" s="64">
        <v>11.74</v>
      </c>
      <c r="I30" s="64">
        <v>8.7100000000000009</v>
      </c>
      <c r="J30" s="64">
        <v>0.04</v>
      </c>
      <c r="K30" s="64">
        <v>254.17</v>
      </c>
      <c r="L30" s="64">
        <v>22.47</v>
      </c>
      <c r="M30" s="64">
        <v>60.86</v>
      </c>
      <c r="N30" s="64">
        <v>58.5</v>
      </c>
      <c r="O30" s="64">
        <v>0</v>
      </c>
      <c r="P30" s="64">
        <v>0.78</v>
      </c>
      <c r="Q30" s="64">
        <v>10.039999999999999</v>
      </c>
      <c r="R30" s="198"/>
      <c r="S30" s="198"/>
      <c r="T30" s="198"/>
      <c r="U30" s="198"/>
    </row>
    <row r="31" spans="1:21" s="12" customFormat="1" x14ac:dyDescent="0.25">
      <c r="A31" s="214" t="s">
        <v>366</v>
      </c>
      <c r="B31" s="64">
        <v>26.24</v>
      </c>
      <c r="C31" s="64">
        <v>58.15</v>
      </c>
      <c r="D31" s="64">
        <v>51.34</v>
      </c>
      <c r="E31" s="64">
        <v>1.95</v>
      </c>
      <c r="F31" s="64">
        <v>3.47</v>
      </c>
      <c r="G31" s="64">
        <v>64.86</v>
      </c>
      <c r="H31" s="64">
        <v>13.92</v>
      </c>
      <c r="I31" s="64">
        <v>8.77</v>
      </c>
      <c r="J31" s="64">
        <v>0.13</v>
      </c>
      <c r="K31" s="64">
        <v>313.07</v>
      </c>
      <c r="L31" s="64">
        <v>21.76</v>
      </c>
      <c r="M31" s="64">
        <v>64.94</v>
      </c>
      <c r="N31" s="64">
        <v>60</v>
      </c>
      <c r="O31" s="64">
        <v>0</v>
      </c>
      <c r="P31" s="64">
        <v>0.77</v>
      </c>
      <c r="Q31" s="64">
        <v>9.98</v>
      </c>
      <c r="R31" s="198"/>
      <c r="S31" s="198"/>
      <c r="T31" s="198"/>
      <c r="U31" s="198"/>
    </row>
    <row r="32" spans="1:21" s="12" customFormat="1" x14ac:dyDescent="0.25">
      <c r="A32" s="214" t="s">
        <v>367</v>
      </c>
      <c r="B32" s="64">
        <v>26.94</v>
      </c>
      <c r="C32" s="64">
        <v>59.55</v>
      </c>
      <c r="D32" s="64">
        <v>52.63</v>
      </c>
      <c r="E32" s="64">
        <v>2.11</v>
      </c>
      <c r="F32" s="64">
        <v>3.51</v>
      </c>
      <c r="G32" s="64">
        <v>66.27</v>
      </c>
      <c r="H32" s="64">
        <v>14.47</v>
      </c>
      <c r="I32" s="64">
        <v>8.75</v>
      </c>
      <c r="J32" s="64">
        <v>7.0000000000000007E-2</v>
      </c>
      <c r="K32" s="64">
        <v>288.91000000000003</v>
      </c>
      <c r="L32" s="64">
        <v>21.6</v>
      </c>
      <c r="M32" s="64">
        <v>64.430000000000007</v>
      </c>
      <c r="N32" s="64">
        <v>68.599999999999994</v>
      </c>
      <c r="O32" s="64">
        <v>0</v>
      </c>
      <c r="P32" s="64">
        <v>0.79</v>
      </c>
      <c r="Q32" s="64">
        <v>9.84</v>
      </c>
      <c r="R32" s="198"/>
      <c r="S32" s="198"/>
      <c r="T32" s="198"/>
      <c r="U32" s="198"/>
    </row>
    <row r="33" spans="1:21" s="12" customFormat="1" x14ac:dyDescent="0.25">
      <c r="A33" s="214" t="s">
        <v>368</v>
      </c>
      <c r="B33" s="64">
        <v>27.54</v>
      </c>
      <c r="C33" s="64">
        <v>55.72</v>
      </c>
      <c r="D33" s="64">
        <v>51.12</v>
      </c>
      <c r="E33" s="64">
        <v>2.4700000000000002</v>
      </c>
      <c r="F33" s="64">
        <v>3.53</v>
      </c>
      <c r="G33" s="64">
        <v>66.27</v>
      </c>
      <c r="H33" s="64">
        <v>14.47</v>
      </c>
      <c r="I33" s="64">
        <v>8.74</v>
      </c>
      <c r="J33" s="64">
        <v>0.14000000000000001</v>
      </c>
      <c r="K33" s="64">
        <v>289.83999999999997</v>
      </c>
      <c r="L33" s="64">
        <v>22</v>
      </c>
      <c r="M33" s="64">
        <v>62.76</v>
      </c>
      <c r="N33" s="64">
        <v>84.5</v>
      </c>
      <c r="O33" s="64">
        <v>0</v>
      </c>
      <c r="P33" s="64">
        <v>0.79</v>
      </c>
      <c r="Q33" s="64">
        <v>10.16</v>
      </c>
      <c r="R33" s="198"/>
      <c r="S33" s="198"/>
      <c r="T33" s="198"/>
      <c r="U33" s="198"/>
    </row>
    <row r="34" spans="1:21" s="12" customFormat="1" x14ac:dyDescent="0.25">
      <c r="A34" s="214" t="s">
        <v>369</v>
      </c>
      <c r="B34" s="64">
        <v>28.58</v>
      </c>
      <c r="C34" s="64">
        <v>54.65</v>
      </c>
      <c r="D34" s="64">
        <v>51.39</v>
      </c>
      <c r="E34" s="64">
        <v>1.92</v>
      </c>
      <c r="F34" s="64">
        <v>3.39</v>
      </c>
      <c r="G34" s="64">
        <v>66.27</v>
      </c>
      <c r="H34" s="64">
        <v>14.47</v>
      </c>
      <c r="I34" s="64">
        <v>8.33</v>
      </c>
      <c r="J34" s="64">
        <v>0.12</v>
      </c>
      <c r="K34" s="64">
        <v>86.29</v>
      </c>
      <c r="L34" s="64">
        <v>22.85</v>
      </c>
      <c r="M34" s="64">
        <v>59.6</v>
      </c>
      <c r="N34" s="64">
        <v>120.1</v>
      </c>
      <c r="O34" s="64">
        <v>0</v>
      </c>
      <c r="P34" s="64">
        <v>0.82</v>
      </c>
      <c r="Q34" s="64">
        <v>10.15</v>
      </c>
      <c r="R34" s="198"/>
      <c r="S34" s="198"/>
      <c r="T34" s="198"/>
      <c r="U34" s="198"/>
    </row>
    <row r="35" spans="1:21" s="12" customFormat="1" x14ac:dyDescent="0.25">
      <c r="A35" s="214" t="s">
        <v>370</v>
      </c>
      <c r="B35" s="64">
        <v>29.6</v>
      </c>
      <c r="C35" s="64">
        <v>55</v>
      </c>
      <c r="D35" s="64">
        <v>52.39</v>
      </c>
      <c r="E35" s="64">
        <v>2.4500000000000002</v>
      </c>
      <c r="F35" s="64">
        <v>3.26</v>
      </c>
      <c r="G35" s="64">
        <v>70.02</v>
      </c>
      <c r="H35" s="64">
        <v>13.09</v>
      </c>
      <c r="I35" s="64">
        <v>7.26</v>
      </c>
      <c r="J35" s="64">
        <v>0.2</v>
      </c>
      <c r="K35" s="64">
        <v>178.69</v>
      </c>
      <c r="L35" s="64">
        <v>24.43</v>
      </c>
      <c r="M35" s="64">
        <v>54.26</v>
      </c>
      <c r="N35" s="64">
        <v>160.19999999999999</v>
      </c>
      <c r="O35" s="64">
        <v>0</v>
      </c>
      <c r="P35" s="64">
        <v>0.81</v>
      </c>
      <c r="Q35" s="64">
        <v>9.84</v>
      </c>
      <c r="R35" s="198"/>
      <c r="S35" s="198"/>
      <c r="T35" s="198"/>
      <c r="U35" s="198"/>
    </row>
    <row r="36" spans="1:21" s="12" customFormat="1" x14ac:dyDescent="0.25">
      <c r="A36" s="214" t="s">
        <v>371</v>
      </c>
      <c r="B36" s="64">
        <v>30.45</v>
      </c>
      <c r="C36" s="64">
        <v>54.35</v>
      </c>
      <c r="D36" s="64">
        <v>52.73</v>
      </c>
      <c r="E36" s="64">
        <v>2.21</v>
      </c>
      <c r="F36" s="64">
        <v>3.37</v>
      </c>
      <c r="G36" s="64">
        <v>70.959999999999994</v>
      </c>
      <c r="H36" s="64">
        <v>12.74</v>
      </c>
      <c r="I36" s="64">
        <v>7.76</v>
      </c>
      <c r="J36" s="64">
        <v>0.35</v>
      </c>
      <c r="K36" s="64">
        <v>203.18</v>
      </c>
      <c r="L36" s="64">
        <v>24.86</v>
      </c>
      <c r="M36" s="64">
        <v>52.63</v>
      </c>
      <c r="N36" s="64">
        <v>207.9</v>
      </c>
      <c r="O36" s="64">
        <v>0</v>
      </c>
      <c r="P36" s="64">
        <v>0.81</v>
      </c>
      <c r="Q36" s="64">
        <v>9.93</v>
      </c>
      <c r="R36" s="198"/>
      <c r="S36" s="198"/>
      <c r="T36" s="198"/>
      <c r="U36" s="198"/>
    </row>
    <row r="37" spans="1:21" s="12" customFormat="1" x14ac:dyDescent="0.25">
      <c r="A37" s="214" t="s">
        <v>372</v>
      </c>
      <c r="B37" s="64">
        <v>30.32</v>
      </c>
      <c r="C37" s="64">
        <v>54.13</v>
      </c>
      <c r="D37" s="64">
        <v>52.51</v>
      </c>
      <c r="E37" s="64">
        <v>2.08</v>
      </c>
      <c r="F37" s="64">
        <v>3.5</v>
      </c>
      <c r="G37" s="64">
        <v>70.959999999999994</v>
      </c>
      <c r="H37" s="64">
        <v>12.74</v>
      </c>
      <c r="I37" s="64">
        <v>8.27</v>
      </c>
      <c r="J37" s="64">
        <v>0.23</v>
      </c>
      <c r="K37" s="64">
        <v>191.76</v>
      </c>
      <c r="L37" s="64">
        <v>25.48</v>
      </c>
      <c r="M37" s="64">
        <v>50.34</v>
      </c>
      <c r="N37" s="64">
        <v>238.5</v>
      </c>
      <c r="O37" s="64">
        <v>0</v>
      </c>
      <c r="P37" s="64">
        <v>0.8</v>
      </c>
      <c r="Q37" s="64">
        <v>10.199999999999999</v>
      </c>
      <c r="R37" s="198"/>
      <c r="S37" s="198"/>
      <c r="T37" s="198"/>
      <c r="U37" s="198"/>
    </row>
    <row r="38" spans="1:21" s="12" customFormat="1" x14ac:dyDescent="0.25">
      <c r="A38" s="214" t="s">
        <v>373</v>
      </c>
      <c r="B38" s="64">
        <v>29.84</v>
      </c>
      <c r="C38" s="64">
        <v>54.04</v>
      </c>
      <c r="D38" s="64">
        <v>52.08</v>
      </c>
      <c r="E38" s="64">
        <v>2.36</v>
      </c>
      <c r="F38" s="64">
        <v>3.56</v>
      </c>
      <c r="G38" s="64">
        <v>70.959999999999994</v>
      </c>
      <c r="H38" s="64">
        <v>12.74</v>
      </c>
      <c r="I38" s="64">
        <v>9.17</v>
      </c>
      <c r="J38" s="64">
        <v>0.08</v>
      </c>
      <c r="K38" s="64">
        <v>171.47</v>
      </c>
      <c r="L38" s="64">
        <v>27.21</v>
      </c>
      <c r="M38" s="64">
        <v>46.79</v>
      </c>
      <c r="N38" s="64">
        <v>290.3</v>
      </c>
      <c r="O38" s="64">
        <v>0</v>
      </c>
      <c r="P38" s="64">
        <v>0.87</v>
      </c>
      <c r="Q38" s="64">
        <v>10.119999999999999</v>
      </c>
      <c r="R38" s="198"/>
      <c r="S38" s="198"/>
      <c r="T38" s="198"/>
      <c r="U38" s="198"/>
    </row>
    <row r="39" spans="1:21" s="12" customFormat="1" x14ac:dyDescent="0.25">
      <c r="A39" s="214" t="s">
        <v>374</v>
      </c>
      <c r="B39" s="64">
        <v>29.47</v>
      </c>
      <c r="C39" s="64">
        <v>53.94</v>
      </c>
      <c r="D39" s="64">
        <v>51.73</v>
      </c>
      <c r="E39" s="64">
        <v>2.12</v>
      </c>
      <c r="F39" s="64">
        <v>3.71</v>
      </c>
      <c r="G39" s="64">
        <v>76.86</v>
      </c>
      <c r="H39" s="64">
        <v>12.74</v>
      </c>
      <c r="I39" s="64">
        <v>9.0399999999999991</v>
      </c>
      <c r="J39" s="64">
        <v>0.22</v>
      </c>
      <c r="K39" s="64">
        <v>333.33</v>
      </c>
      <c r="L39" s="64">
        <v>28.52</v>
      </c>
      <c r="M39" s="64">
        <v>42.18</v>
      </c>
      <c r="N39" s="64">
        <v>348.8</v>
      </c>
      <c r="O39" s="64">
        <v>0</v>
      </c>
      <c r="P39" s="64">
        <v>0.87</v>
      </c>
      <c r="Q39" s="64">
        <v>9.9499999999999993</v>
      </c>
      <c r="R39" s="198"/>
      <c r="S39" s="198"/>
      <c r="T39" s="198"/>
      <c r="U39" s="198"/>
    </row>
    <row r="40" spans="1:21" s="12" customFormat="1" x14ac:dyDescent="0.25">
      <c r="A40" s="214" t="s">
        <v>375</v>
      </c>
      <c r="B40" s="64">
        <v>29.09</v>
      </c>
      <c r="C40" s="64">
        <v>54.33</v>
      </c>
      <c r="D40" s="64">
        <v>51.63</v>
      </c>
      <c r="E40" s="64">
        <v>1.88</v>
      </c>
      <c r="F40" s="64">
        <v>3.36</v>
      </c>
      <c r="G40" s="64">
        <v>78.33</v>
      </c>
      <c r="H40" s="64">
        <v>627.04</v>
      </c>
      <c r="I40" s="64">
        <v>8.7899999999999991</v>
      </c>
      <c r="J40" s="64">
        <v>0.35</v>
      </c>
      <c r="K40" s="64">
        <v>306.98</v>
      </c>
      <c r="L40" s="64">
        <v>31.73</v>
      </c>
      <c r="M40" s="64">
        <v>35.67</v>
      </c>
      <c r="N40" s="64">
        <v>410.4</v>
      </c>
      <c r="O40" s="64">
        <v>0</v>
      </c>
      <c r="P40" s="64">
        <v>0.87</v>
      </c>
      <c r="Q40" s="64">
        <v>10.19</v>
      </c>
      <c r="R40" s="198"/>
      <c r="S40" s="198"/>
      <c r="T40" s="198"/>
      <c r="U40" s="198"/>
    </row>
    <row r="41" spans="1:21" s="12" customFormat="1" x14ac:dyDescent="0.25">
      <c r="A41" s="214" t="s">
        <v>376</v>
      </c>
      <c r="B41" s="64">
        <v>28.07</v>
      </c>
      <c r="C41" s="64">
        <v>55.72</v>
      </c>
      <c r="D41" s="64">
        <v>51.54</v>
      </c>
      <c r="E41" s="64">
        <v>2.04</v>
      </c>
      <c r="F41" s="64">
        <v>3.66</v>
      </c>
      <c r="G41" s="64">
        <v>78.33</v>
      </c>
      <c r="H41" s="64">
        <v>627.04</v>
      </c>
      <c r="I41" s="64">
        <v>9.41</v>
      </c>
      <c r="J41" s="64">
        <v>0.26</v>
      </c>
      <c r="K41" s="64">
        <v>313.60000000000002</v>
      </c>
      <c r="L41" s="64">
        <v>32.89</v>
      </c>
      <c r="M41" s="64">
        <v>33.26</v>
      </c>
      <c r="N41" s="64">
        <v>452.3</v>
      </c>
      <c r="O41" s="64">
        <v>0</v>
      </c>
      <c r="P41" s="64">
        <v>0.88</v>
      </c>
      <c r="Q41" s="64">
        <v>10.130000000000001</v>
      </c>
      <c r="R41" s="198"/>
      <c r="S41" s="198"/>
      <c r="T41" s="198"/>
      <c r="U41" s="198"/>
    </row>
    <row r="42" spans="1:21" s="12" customFormat="1" x14ac:dyDescent="0.25">
      <c r="A42" s="214" t="s">
        <v>377</v>
      </c>
      <c r="B42" s="64">
        <v>26.49</v>
      </c>
      <c r="C42" s="64">
        <v>58.56</v>
      </c>
      <c r="D42" s="64">
        <v>51.76</v>
      </c>
      <c r="E42" s="64">
        <v>2.0699999999999998</v>
      </c>
      <c r="F42" s="64">
        <v>3.71</v>
      </c>
      <c r="G42" s="64">
        <v>78.33</v>
      </c>
      <c r="H42" s="64">
        <v>627.04</v>
      </c>
      <c r="I42" s="64">
        <v>10</v>
      </c>
      <c r="J42" s="64">
        <v>0.27</v>
      </c>
      <c r="K42" s="64">
        <v>317.77999999999997</v>
      </c>
      <c r="L42" s="64">
        <v>33.869999999999997</v>
      </c>
      <c r="M42" s="64">
        <v>32.43</v>
      </c>
      <c r="N42" s="64">
        <v>476.9</v>
      </c>
      <c r="O42" s="64">
        <v>0</v>
      </c>
      <c r="P42" s="64">
        <v>0.87</v>
      </c>
      <c r="Q42" s="64">
        <v>9.9600000000000009</v>
      </c>
      <c r="R42" s="198"/>
      <c r="S42" s="198"/>
      <c r="T42" s="198"/>
      <c r="U42" s="198"/>
    </row>
    <row r="43" spans="1:21" s="12" customFormat="1" x14ac:dyDescent="0.25">
      <c r="A43" s="214" t="s">
        <v>378</v>
      </c>
      <c r="B43" s="64">
        <v>24.83</v>
      </c>
      <c r="C43" s="64">
        <v>60.91</v>
      </c>
      <c r="D43" s="64">
        <v>51.65</v>
      </c>
      <c r="E43" s="64">
        <v>1.65</v>
      </c>
      <c r="F43" s="64">
        <v>3.59</v>
      </c>
      <c r="G43" s="64">
        <v>79.84</v>
      </c>
      <c r="H43" s="64">
        <v>527.92999999999995</v>
      </c>
      <c r="I43" s="64">
        <v>9.83</v>
      </c>
      <c r="J43" s="64">
        <v>0.51</v>
      </c>
      <c r="K43" s="64">
        <v>316.23</v>
      </c>
      <c r="L43" s="64">
        <v>32.25</v>
      </c>
      <c r="M43" s="64">
        <v>40.21</v>
      </c>
      <c r="N43" s="64">
        <v>516.1</v>
      </c>
      <c r="O43" s="64">
        <v>0</v>
      </c>
      <c r="P43" s="64">
        <v>0.91</v>
      </c>
      <c r="Q43" s="64">
        <v>9.9700000000000006</v>
      </c>
      <c r="R43" s="198"/>
      <c r="S43" s="198"/>
      <c r="T43" s="198"/>
      <c r="U43" s="198"/>
    </row>
    <row r="44" spans="1:21" s="12" customFormat="1" x14ac:dyDescent="0.25">
      <c r="A44" s="214" t="s">
        <v>379</v>
      </c>
      <c r="B44" s="64">
        <v>22.85</v>
      </c>
      <c r="C44" s="64">
        <v>63.44</v>
      </c>
      <c r="D44" s="64">
        <v>51.39</v>
      </c>
      <c r="E44" s="64">
        <v>1.91</v>
      </c>
      <c r="F44" s="64">
        <v>3.64</v>
      </c>
      <c r="G44" s="64">
        <v>80.22</v>
      </c>
      <c r="H44" s="64">
        <v>503.16</v>
      </c>
      <c r="I44" s="64">
        <v>9.81</v>
      </c>
      <c r="J44" s="64">
        <v>0.48</v>
      </c>
      <c r="K44" s="64">
        <v>323.88</v>
      </c>
      <c r="L44" s="64">
        <v>32.770000000000003</v>
      </c>
      <c r="M44" s="64">
        <v>38.21</v>
      </c>
      <c r="N44" s="64">
        <v>603.9</v>
      </c>
      <c r="O44" s="64">
        <v>0</v>
      </c>
      <c r="P44" s="64">
        <v>0.98</v>
      </c>
      <c r="Q44" s="64">
        <v>10.16</v>
      </c>
      <c r="R44" s="198"/>
      <c r="S44" s="198"/>
      <c r="T44" s="198"/>
      <c r="U44" s="198"/>
    </row>
    <row r="45" spans="1:21" s="12" customFormat="1" x14ac:dyDescent="0.25">
      <c r="A45" s="214" t="s">
        <v>380</v>
      </c>
      <c r="B45" s="64">
        <v>20.5</v>
      </c>
      <c r="C45" s="64">
        <v>65.41</v>
      </c>
      <c r="D45" s="64">
        <v>50.53</v>
      </c>
      <c r="E45" s="64">
        <v>1.98</v>
      </c>
      <c r="F45" s="64">
        <v>3.79</v>
      </c>
      <c r="G45" s="64">
        <v>80.22</v>
      </c>
      <c r="H45" s="64">
        <v>503.16</v>
      </c>
      <c r="I45" s="64">
        <v>10.16</v>
      </c>
      <c r="J45" s="64">
        <v>0.48</v>
      </c>
      <c r="K45" s="64">
        <v>326.92</v>
      </c>
      <c r="L45" s="64">
        <v>34</v>
      </c>
      <c r="M45" s="64">
        <v>34.29</v>
      </c>
      <c r="N45" s="64">
        <v>658.2</v>
      </c>
      <c r="O45" s="64">
        <v>0</v>
      </c>
      <c r="P45" s="64">
        <v>1.03</v>
      </c>
      <c r="Q45" s="64">
        <v>9.93</v>
      </c>
      <c r="R45" s="198"/>
      <c r="S45" s="198"/>
      <c r="T45" s="198"/>
      <c r="U45" s="198"/>
    </row>
    <row r="46" spans="1:21" s="12" customFormat="1" x14ac:dyDescent="0.25">
      <c r="A46" s="214" t="s">
        <v>381</v>
      </c>
      <c r="B46" s="64">
        <v>17.46</v>
      </c>
      <c r="C46" s="64">
        <v>66.989999999999995</v>
      </c>
      <c r="D46" s="64">
        <v>48.92</v>
      </c>
      <c r="E46" s="64">
        <v>1.76</v>
      </c>
      <c r="F46" s="64">
        <v>3.83</v>
      </c>
      <c r="G46" s="64">
        <v>80.22</v>
      </c>
      <c r="H46" s="64">
        <v>503.16</v>
      </c>
      <c r="I46" s="64">
        <v>10.82</v>
      </c>
      <c r="J46" s="64">
        <v>0.24</v>
      </c>
      <c r="K46" s="64">
        <v>280.87</v>
      </c>
      <c r="L46" s="64">
        <v>34.58</v>
      </c>
      <c r="M46" s="64">
        <v>28.52</v>
      </c>
      <c r="N46" s="64">
        <v>707.5</v>
      </c>
      <c r="O46" s="64">
        <v>0</v>
      </c>
      <c r="P46" s="64">
        <v>1.03</v>
      </c>
      <c r="Q46" s="64">
        <v>9.8800000000000008</v>
      </c>
      <c r="R46" s="198"/>
      <c r="S46" s="198"/>
      <c r="T46" s="198"/>
      <c r="U46" s="198"/>
    </row>
    <row r="47" spans="1:21" s="12" customFormat="1" x14ac:dyDescent="0.25">
      <c r="A47" s="214" t="s">
        <v>382</v>
      </c>
      <c r="B47" s="64">
        <v>14.38</v>
      </c>
      <c r="C47" s="64">
        <v>68.86</v>
      </c>
      <c r="D47" s="64">
        <v>47.43</v>
      </c>
      <c r="E47" s="64">
        <v>2.11</v>
      </c>
      <c r="F47" s="64">
        <v>4.37</v>
      </c>
      <c r="G47" s="64">
        <v>92.31</v>
      </c>
      <c r="H47" s="64">
        <v>474.05</v>
      </c>
      <c r="I47" s="64">
        <v>10.66</v>
      </c>
      <c r="J47" s="64">
        <v>0.33</v>
      </c>
      <c r="K47" s="64">
        <v>291.95999999999998</v>
      </c>
      <c r="L47" s="64">
        <v>35.46</v>
      </c>
      <c r="M47" s="64">
        <v>26.72</v>
      </c>
      <c r="N47" s="64">
        <v>744.4</v>
      </c>
      <c r="O47" s="64">
        <v>0</v>
      </c>
      <c r="P47" s="64">
        <v>1.02</v>
      </c>
      <c r="Q47" s="64">
        <v>9.94</v>
      </c>
      <c r="R47" s="198"/>
      <c r="S47" s="198"/>
      <c r="T47" s="198"/>
      <c r="U47" s="198"/>
    </row>
    <row r="48" spans="1:21" s="12" customFormat="1" x14ac:dyDescent="0.25">
      <c r="A48" s="214" t="s">
        <v>383</v>
      </c>
      <c r="B48" s="64">
        <v>11.72</v>
      </c>
      <c r="C48" s="64">
        <v>70.040000000000006</v>
      </c>
      <c r="D48" s="64">
        <v>45.92</v>
      </c>
      <c r="E48" s="64">
        <v>2.15</v>
      </c>
      <c r="F48" s="64">
        <v>4.4400000000000004</v>
      </c>
      <c r="G48" s="64">
        <v>95.34</v>
      </c>
      <c r="H48" s="64">
        <v>466.77</v>
      </c>
      <c r="I48" s="64">
        <v>10.53</v>
      </c>
      <c r="J48" s="64">
        <v>0.41</v>
      </c>
      <c r="K48" s="64">
        <v>339.79</v>
      </c>
      <c r="L48" s="64">
        <v>37.01</v>
      </c>
      <c r="M48" s="64">
        <v>23</v>
      </c>
      <c r="N48" s="64">
        <v>797.7</v>
      </c>
      <c r="O48" s="64">
        <v>0</v>
      </c>
      <c r="P48" s="64">
        <v>1.02</v>
      </c>
      <c r="Q48" s="64">
        <v>9.7100000000000009</v>
      </c>
      <c r="R48" s="198"/>
      <c r="S48" s="198"/>
      <c r="T48" s="198"/>
      <c r="U48" s="198"/>
    </row>
    <row r="49" spans="1:21" s="12" customFormat="1" x14ac:dyDescent="0.25">
      <c r="A49" s="214" t="s">
        <v>384</v>
      </c>
      <c r="B49" s="64">
        <v>9.49</v>
      </c>
      <c r="C49" s="64">
        <v>70.88</v>
      </c>
      <c r="D49" s="64">
        <v>44.56</v>
      </c>
      <c r="E49" s="64">
        <v>1.62</v>
      </c>
      <c r="F49" s="64">
        <v>4.72</v>
      </c>
      <c r="G49" s="64">
        <v>95.34</v>
      </c>
      <c r="H49" s="64">
        <v>466.77</v>
      </c>
      <c r="I49" s="64">
        <v>10.33</v>
      </c>
      <c r="J49" s="64">
        <v>0.53</v>
      </c>
      <c r="K49" s="64">
        <v>322.5</v>
      </c>
      <c r="L49" s="64">
        <v>38.28</v>
      </c>
      <c r="M49" s="64">
        <v>20.62</v>
      </c>
      <c r="N49" s="64">
        <v>803</v>
      </c>
      <c r="O49" s="64">
        <v>0</v>
      </c>
      <c r="P49" s="64">
        <v>1.01</v>
      </c>
      <c r="Q49" s="64">
        <v>9.67</v>
      </c>
      <c r="R49" s="198"/>
      <c r="S49" s="198"/>
      <c r="T49" s="198"/>
      <c r="U49" s="198"/>
    </row>
    <row r="50" spans="1:21" s="12" customFormat="1" x14ac:dyDescent="0.25">
      <c r="A50" s="214" t="s">
        <v>385</v>
      </c>
      <c r="B50" s="64">
        <v>7.85</v>
      </c>
      <c r="C50" s="64">
        <v>72.69</v>
      </c>
      <c r="D50" s="64">
        <v>44.19</v>
      </c>
      <c r="E50" s="64">
        <v>1.8</v>
      </c>
      <c r="F50" s="64">
        <v>5.08</v>
      </c>
      <c r="G50" s="64">
        <v>95.34</v>
      </c>
      <c r="H50" s="64">
        <v>466.77</v>
      </c>
      <c r="I50" s="64">
        <v>10.17</v>
      </c>
      <c r="J50" s="64">
        <v>0.4</v>
      </c>
      <c r="K50" s="64">
        <v>316.57</v>
      </c>
      <c r="L50" s="64">
        <v>38.82</v>
      </c>
      <c r="M50" s="64">
        <v>18.059999999999999</v>
      </c>
      <c r="N50" s="64">
        <v>831.3</v>
      </c>
      <c r="O50" s="64">
        <v>0</v>
      </c>
      <c r="P50" s="64">
        <v>1.01</v>
      </c>
      <c r="Q50" s="64">
        <v>9.83</v>
      </c>
      <c r="R50" s="198"/>
      <c r="S50" s="198"/>
      <c r="T50" s="198"/>
      <c r="U50" s="198"/>
    </row>
    <row r="51" spans="1:21" s="12" customFormat="1" x14ac:dyDescent="0.25">
      <c r="A51" s="214" t="s">
        <v>386</v>
      </c>
      <c r="B51" s="64">
        <v>6.72</v>
      </c>
      <c r="C51" s="64">
        <v>70.03</v>
      </c>
      <c r="D51" s="64">
        <v>41.9</v>
      </c>
      <c r="E51" s="64">
        <v>1.95</v>
      </c>
      <c r="F51" s="64">
        <v>5.0599999999999996</v>
      </c>
      <c r="G51" s="64">
        <v>83.76</v>
      </c>
      <c r="H51" s="64">
        <v>488.73</v>
      </c>
      <c r="I51" s="64">
        <v>9.9700000000000006</v>
      </c>
      <c r="J51" s="64">
        <v>0.42</v>
      </c>
      <c r="K51" s="64">
        <v>338.28</v>
      </c>
      <c r="L51" s="64">
        <v>38.700000000000003</v>
      </c>
      <c r="M51" s="64">
        <v>18.53</v>
      </c>
      <c r="N51" s="64">
        <v>847.1</v>
      </c>
      <c r="O51" s="64">
        <v>0</v>
      </c>
      <c r="P51" s="64">
        <v>0.99</v>
      </c>
      <c r="Q51" s="64">
        <v>9.69</v>
      </c>
      <c r="R51" s="198"/>
      <c r="S51" s="198"/>
      <c r="T51" s="198"/>
      <c r="U51" s="198"/>
    </row>
    <row r="52" spans="1:21" s="12" customFormat="1" x14ac:dyDescent="0.25">
      <c r="A52" s="214" t="s">
        <v>387</v>
      </c>
      <c r="B52" s="64">
        <v>6.33</v>
      </c>
      <c r="C52" s="64">
        <v>66.599999999999994</v>
      </c>
      <c r="D52" s="64">
        <v>39.79</v>
      </c>
      <c r="E52" s="64">
        <v>1.55</v>
      </c>
      <c r="F52" s="64">
        <v>5.26</v>
      </c>
      <c r="G52" s="64">
        <v>80.87</v>
      </c>
      <c r="H52" s="64">
        <v>494.6</v>
      </c>
      <c r="I52" s="64">
        <v>9.61</v>
      </c>
      <c r="J52" s="64">
        <v>0.35</v>
      </c>
      <c r="K52" s="64">
        <v>314.49</v>
      </c>
      <c r="L52" s="64">
        <v>39.6</v>
      </c>
      <c r="M52" s="64">
        <v>16.79</v>
      </c>
      <c r="N52" s="64">
        <v>876.2</v>
      </c>
      <c r="O52" s="64">
        <v>0</v>
      </c>
      <c r="P52" s="64">
        <v>0.99</v>
      </c>
      <c r="Q52" s="64">
        <v>9.56</v>
      </c>
      <c r="R52" s="198"/>
      <c r="S52" s="198"/>
      <c r="T52" s="198"/>
      <c r="U52" s="198"/>
    </row>
    <row r="53" spans="1:21" s="12" customFormat="1" x14ac:dyDescent="0.25">
      <c r="A53" s="214" t="s">
        <v>388</v>
      </c>
      <c r="B53" s="64">
        <v>6.12</v>
      </c>
      <c r="C53" s="64">
        <v>66.75</v>
      </c>
      <c r="D53" s="64">
        <v>39.700000000000003</v>
      </c>
      <c r="E53" s="64">
        <v>1.84</v>
      </c>
      <c r="F53" s="64">
        <v>5.45</v>
      </c>
      <c r="G53" s="64">
        <v>80.87</v>
      </c>
      <c r="H53" s="64">
        <v>494.6</v>
      </c>
      <c r="I53" s="64">
        <v>8.99</v>
      </c>
      <c r="J53" s="64">
        <v>0.64</v>
      </c>
      <c r="K53" s="64">
        <v>340.53</v>
      </c>
      <c r="L53" s="64">
        <v>38.93</v>
      </c>
      <c r="M53" s="64">
        <v>16.88</v>
      </c>
      <c r="N53" s="64">
        <v>894.3</v>
      </c>
      <c r="O53" s="64">
        <v>0</v>
      </c>
      <c r="P53" s="64">
        <v>0.97</v>
      </c>
      <c r="Q53" s="64">
        <v>9.56</v>
      </c>
      <c r="R53" s="198"/>
      <c r="S53" s="198"/>
      <c r="T53" s="198"/>
      <c r="U53" s="198"/>
    </row>
    <row r="54" spans="1:21" s="12" customFormat="1" x14ac:dyDescent="0.25">
      <c r="A54" s="214" t="s">
        <v>389</v>
      </c>
      <c r="B54" s="64">
        <v>5.86</v>
      </c>
      <c r="C54" s="64">
        <v>66.040000000000006</v>
      </c>
      <c r="D54" s="64">
        <v>39.130000000000003</v>
      </c>
      <c r="E54" s="64">
        <v>1.74</v>
      </c>
      <c r="F54" s="64">
        <v>5.45</v>
      </c>
      <c r="G54" s="64">
        <v>80.87</v>
      </c>
      <c r="H54" s="64">
        <v>494.6</v>
      </c>
      <c r="I54" s="64">
        <v>9.7899999999999991</v>
      </c>
      <c r="J54" s="64">
        <v>0.4</v>
      </c>
      <c r="K54" s="64">
        <v>354.9</v>
      </c>
      <c r="L54" s="64">
        <v>39.020000000000003</v>
      </c>
      <c r="M54" s="64">
        <v>16.25</v>
      </c>
      <c r="N54" s="64">
        <v>893.8</v>
      </c>
      <c r="O54" s="64">
        <v>0</v>
      </c>
      <c r="P54" s="64">
        <v>0.96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4" t="s">
        <v>390</v>
      </c>
      <c r="B55" s="64">
        <v>5.66</v>
      </c>
      <c r="C55" s="64">
        <v>65.790000000000006</v>
      </c>
      <c r="D55" s="64">
        <v>38.83</v>
      </c>
      <c r="E55" s="64">
        <v>1.6</v>
      </c>
      <c r="F55" s="64">
        <v>6.1</v>
      </c>
      <c r="G55" s="64">
        <v>77.91</v>
      </c>
      <c r="H55" s="64">
        <v>512.16</v>
      </c>
      <c r="I55" s="64">
        <v>10.32</v>
      </c>
      <c r="J55" s="64">
        <v>0.53</v>
      </c>
      <c r="K55" s="64">
        <v>311.58999999999997</v>
      </c>
      <c r="L55" s="64">
        <v>39.18</v>
      </c>
      <c r="M55" s="64">
        <v>15.36</v>
      </c>
      <c r="N55" s="64">
        <v>935.7</v>
      </c>
      <c r="O55" s="64">
        <v>0</v>
      </c>
      <c r="P55" s="64">
        <v>0.95</v>
      </c>
      <c r="Q55" s="64">
        <v>9.7100000000000009</v>
      </c>
      <c r="R55" s="198"/>
      <c r="S55" s="198"/>
      <c r="T55" s="198"/>
      <c r="U55" s="198"/>
    </row>
    <row r="56" spans="1:21" s="12" customFormat="1" x14ac:dyDescent="0.25">
      <c r="A56" s="214" t="s">
        <v>391</v>
      </c>
      <c r="B56" s="64">
        <v>5.4</v>
      </c>
      <c r="C56" s="64">
        <v>65.599999999999994</v>
      </c>
      <c r="D56" s="64">
        <v>38.520000000000003</v>
      </c>
      <c r="E56" s="64">
        <v>2.14</v>
      </c>
      <c r="F56" s="64">
        <v>6.39</v>
      </c>
      <c r="G56" s="64">
        <v>77.17</v>
      </c>
      <c r="H56" s="64">
        <v>516.74</v>
      </c>
      <c r="I56" s="64">
        <v>10.43</v>
      </c>
      <c r="J56" s="64">
        <v>0.27</v>
      </c>
      <c r="K56" s="64">
        <v>249.94</v>
      </c>
      <c r="L56" s="64">
        <v>38.75</v>
      </c>
      <c r="M56" s="64">
        <v>14.37</v>
      </c>
      <c r="N56" s="64">
        <v>916.7</v>
      </c>
      <c r="O56" s="64">
        <v>0</v>
      </c>
      <c r="P56" s="64">
        <v>0.94</v>
      </c>
      <c r="Q56" s="64">
        <v>9.61</v>
      </c>
      <c r="R56" s="198"/>
      <c r="S56" s="198"/>
      <c r="T56" s="198"/>
      <c r="U56" s="198"/>
    </row>
    <row r="57" spans="1:21" s="12" customFormat="1" x14ac:dyDescent="0.25">
      <c r="A57" s="214" t="s">
        <v>392</v>
      </c>
      <c r="B57" s="64">
        <v>5.19</v>
      </c>
      <c r="C57" s="64">
        <v>64.38</v>
      </c>
      <c r="D57" s="64">
        <v>37.72</v>
      </c>
      <c r="E57" s="64">
        <v>2.08</v>
      </c>
      <c r="F57" s="64">
        <v>6.87</v>
      </c>
      <c r="G57" s="64">
        <v>77.17</v>
      </c>
      <c r="H57" s="64">
        <v>516.74</v>
      </c>
      <c r="I57" s="64">
        <v>10.29</v>
      </c>
      <c r="J57" s="64">
        <v>0.28999999999999998</v>
      </c>
      <c r="K57" s="64">
        <v>282.23</v>
      </c>
      <c r="L57" s="64">
        <v>37.96</v>
      </c>
      <c r="M57" s="64">
        <v>16.079999999999998</v>
      </c>
      <c r="N57" s="64">
        <v>900.9</v>
      </c>
      <c r="O57" s="64">
        <v>0</v>
      </c>
      <c r="P57" s="64">
        <v>0.94</v>
      </c>
      <c r="Q57" s="64">
        <v>9.9700000000000006</v>
      </c>
      <c r="R57" s="198"/>
      <c r="S57" s="198"/>
      <c r="T57" s="198"/>
      <c r="U57" s="198"/>
    </row>
    <row r="58" spans="1:21" s="12" customFormat="1" x14ac:dyDescent="0.25">
      <c r="A58" s="214" t="s">
        <v>393</v>
      </c>
      <c r="B58" s="64">
        <v>5.0199999999999996</v>
      </c>
      <c r="C58" s="64">
        <v>62.95</v>
      </c>
      <c r="D58" s="64">
        <v>36.83</v>
      </c>
      <c r="E58" s="64">
        <v>2.2200000000000002</v>
      </c>
      <c r="F58" s="64">
        <v>7.77</v>
      </c>
      <c r="G58" s="64">
        <v>77.17</v>
      </c>
      <c r="H58" s="64">
        <v>516.74</v>
      </c>
      <c r="I58" s="64">
        <v>10.039999999999999</v>
      </c>
      <c r="J58" s="64">
        <v>0.27</v>
      </c>
      <c r="K58" s="64">
        <v>317.67</v>
      </c>
      <c r="L58" s="64">
        <v>37.619999999999997</v>
      </c>
      <c r="M58" s="64">
        <v>15.73</v>
      </c>
      <c r="N58" s="64">
        <v>875</v>
      </c>
      <c r="O58" s="64">
        <v>0</v>
      </c>
      <c r="P58" s="64">
        <v>0.95</v>
      </c>
      <c r="Q58" s="64">
        <v>9.77</v>
      </c>
      <c r="R58" s="198"/>
      <c r="S58" s="198"/>
      <c r="T58" s="198"/>
      <c r="U58" s="198"/>
    </row>
    <row r="59" spans="1:21" s="12" customFormat="1" x14ac:dyDescent="0.25">
      <c r="A59" s="214" t="s">
        <v>394</v>
      </c>
      <c r="B59" s="64">
        <v>4.8899999999999997</v>
      </c>
      <c r="C59" s="64">
        <v>61.61</v>
      </c>
      <c r="D59" s="64">
        <v>36.03</v>
      </c>
      <c r="E59" s="64">
        <v>1.95</v>
      </c>
      <c r="F59" s="64">
        <v>8.66</v>
      </c>
      <c r="G59" s="64">
        <v>72.67</v>
      </c>
      <c r="H59" s="64">
        <v>436.28</v>
      </c>
      <c r="I59" s="64">
        <v>9.91</v>
      </c>
      <c r="J59" s="64">
        <v>0.37</v>
      </c>
      <c r="K59" s="64">
        <v>303.22000000000003</v>
      </c>
      <c r="L59" s="64">
        <v>38.18</v>
      </c>
      <c r="M59" s="64">
        <v>13.58</v>
      </c>
      <c r="N59" s="64">
        <v>917.8</v>
      </c>
      <c r="O59" s="64">
        <v>0</v>
      </c>
      <c r="P59" s="64">
        <v>0.97</v>
      </c>
      <c r="Q59" s="64">
        <v>9.6300000000000008</v>
      </c>
      <c r="R59" s="198"/>
      <c r="S59" s="198"/>
      <c r="T59" s="198"/>
      <c r="U59" s="198"/>
    </row>
    <row r="60" spans="1:21" s="12" customFormat="1" x14ac:dyDescent="0.25">
      <c r="A60" s="214" t="s">
        <v>395</v>
      </c>
      <c r="B60" s="64">
        <v>4.8499999999999996</v>
      </c>
      <c r="C60" s="64">
        <v>65.459999999999994</v>
      </c>
      <c r="D60" s="64">
        <v>38.01</v>
      </c>
      <c r="E60" s="64">
        <v>2.4300000000000002</v>
      </c>
      <c r="F60" s="64">
        <v>9.02</v>
      </c>
      <c r="G60" s="64">
        <v>71.540000000000006</v>
      </c>
      <c r="H60" s="64">
        <v>416.16</v>
      </c>
      <c r="I60" s="64">
        <v>9.83</v>
      </c>
      <c r="J60" s="64">
        <v>0.49</v>
      </c>
      <c r="K60" s="64">
        <v>321.44</v>
      </c>
      <c r="L60" s="64">
        <v>37.799999999999997</v>
      </c>
      <c r="M60" s="64">
        <v>12.84</v>
      </c>
      <c r="N60" s="64">
        <v>943.2</v>
      </c>
      <c r="O60" s="64">
        <v>0</v>
      </c>
      <c r="P60" s="64">
        <v>0.94</v>
      </c>
      <c r="Q60" s="64">
        <v>9.6300000000000008</v>
      </c>
      <c r="R60" s="198"/>
      <c r="S60" s="198"/>
      <c r="T60" s="198"/>
      <c r="U60" s="198"/>
    </row>
    <row r="61" spans="1:21" s="12" customFormat="1" x14ac:dyDescent="0.25">
      <c r="A61" s="214" t="s">
        <v>396</v>
      </c>
      <c r="B61" s="64">
        <v>4.8499999999999996</v>
      </c>
      <c r="C61" s="64">
        <v>62.59</v>
      </c>
      <c r="D61" s="64">
        <v>36.51</v>
      </c>
      <c r="E61" s="64">
        <v>2.04</v>
      </c>
      <c r="F61" s="64">
        <v>9.3000000000000007</v>
      </c>
      <c r="G61" s="64">
        <v>71.540000000000006</v>
      </c>
      <c r="H61" s="64">
        <v>416.16</v>
      </c>
      <c r="I61" s="64">
        <v>9.51</v>
      </c>
      <c r="J61" s="64">
        <v>0.45</v>
      </c>
      <c r="K61" s="64">
        <v>324.13</v>
      </c>
      <c r="L61" s="64">
        <v>38.43</v>
      </c>
      <c r="M61" s="64">
        <v>12.42</v>
      </c>
      <c r="N61" s="64">
        <v>925</v>
      </c>
      <c r="O61" s="64">
        <v>0</v>
      </c>
      <c r="P61" s="64">
        <v>0.84</v>
      </c>
      <c r="Q61" s="64">
        <v>9.69</v>
      </c>
      <c r="R61" s="198"/>
      <c r="S61" s="198"/>
      <c r="T61" s="198"/>
      <c r="U61" s="198"/>
    </row>
    <row r="62" spans="1:21" s="12" customFormat="1" x14ac:dyDescent="0.25">
      <c r="A62" s="214" t="s">
        <v>397</v>
      </c>
      <c r="B62" s="64">
        <v>4.87</v>
      </c>
      <c r="C62" s="64">
        <v>60.77</v>
      </c>
      <c r="D62" s="64">
        <v>35.58</v>
      </c>
      <c r="E62" s="64">
        <v>1.87</v>
      </c>
      <c r="F62" s="64">
        <v>8.9700000000000006</v>
      </c>
      <c r="G62" s="64">
        <v>71.540000000000006</v>
      </c>
      <c r="H62" s="64">
        <v>416.16</v>
      </c>
      <c r="I62" s="64">
        <v>8.75</v>
      </c>
      <c r="J62" s="64">
        <v>0.5</v>
      </c>
      <c r="K62" s="64">
        <v>317.95999999999998</v>
      </c>
      <c r="L62" s="64">
        <v>38.89</v>
      </c>
      <c r="M62" s="64">
        <v>11.73</v>
      </c>
      <c r="N62" s="64">
        <v>879.5</v>
      </c>
      <c r="O62" s="64">
        <v>0</v>
      </c>
      <c r="P62" s="64">
        <v>0.81</v>
      </c>
      <c r="Q62" s="64">
        <v>9.49</v>
      </c>
      <c r="R62" s="198"/>
      <c r="S62" s="198"/>
      <c r="T62" s="198"/>
      <c r="U62" s="198"/>
    </row>
    <row r="63" spans="1:21" s="12" customFormat="1" x14ac:dyDescent="0.25">
      <c r="A63" s="214" t="s">
        <v>398</v>
      </c>
      <c r="B63" s="64">
        <v>3.93</v>
      </c>
      <c r="C63" s="64">
        <v>38.76</v>
      </c>
      <c r="D63" s="64">
        <v>23.32</v>
      </c>
      <c r="E63" s="64">
        <v>2.81</v>
      </c>
      <c r="F63" s="64">
        <v>9.24</v>
      </c>
      <c r="G63" s="64">
        <v>65.84</v>
      </c>
      <c r="H63" s="64">
        <v>82.84</v>
      </c>
      <c r="I63" s="64">
        <v>7.96</v>
      </c>
      <c r="J63" s="64">
        <v>0.12</v>
      </c>
      <c r="K63" s="64">
        <v>309.5</v>
      </c>
      <c r="L63" s="64">
        <v>37.28</v>
      </c>
      <c r="M63" s="64">
        <v>12.34</v>
      </c>
      <c r="N63" s="64">
        <v>810.2</v>
      </c>
      <c r="O63" s="64">
        <v>0</v>
      </c>
      <c r="P63" s="64">
        <v>0.75</v>
      </c>
      <c r="Q63" s="64">
        <v>9.44</v>
      </c>
      <c r="R63" s="198"/>
      <c r="S63" s="198"/>
      <c r="T63" s="198"/>
      <c r="U63" s="198"/>
    </row>
    <row r="64" spans="1:21" s="12" customFormat="1" x14ac:dyDescent="0.25">
      <c r="A64" s="214" t="s">
        <v>399</v>
      </c>
      <c r="B64" s="64">
        <v>4.82</v>
      </c>
      <c r="C64" s="64">
        <v>54.87</v>
      </c>
      <c r="D64" s="64">
        <v>32.450000000000003</v>
      </c>
      <c r="E64" s="64">
        <v>2.08</v>
      </c>
      <c r="F64" s="64">
        <v>10.42</v>
      </c>
      <c r="G64" s="64">
        <v>64.42</v>
      </c>
      <c r="H64" s="64">
        <v>82.84</v>
      </c>
      <c r="I64" s="64">
        <v>7.24</v>
      </c>
      <c r="J64" s="64">
        <v>0.27</v>
      </c>
      <c r="K64" s="64">
        <v>333.75</v>
      </c>
      <c r="L64" s="64">
        <v>37.909999999999997</v>
      </c>
      <c r="M64" s="64">
        <v>13.21</v>
      </c>
      <c r="N64" s="64">
        <v>768.8</v>
      </c>
      <c r="O64" s="64">
        <v>0</v>
      </c>
      <c r="P64" s="64">
        <v>0.7</v>
      </c>
      <c r="Q64" s="64">
        <v>9.59</v>
      </c>
      <c r="R64" s="198"/>
      <c r="S64" s="198"/>
      <c r="T64" s="198"/>
      <c r="U64" s="198"/>
    </row>
    <row r="65" spans="1:21" s="12" customFormat="1" x14ac:dyDescent="0.25">
      <c r="A65" s="214" t="s">
        <v>400</v>
      </c>
      <c r="B65" s="64">
        <v>4.72</v>
      </c>
      <c r="C65" s="64">
        <v>55.95</v>
      </c>
      <c r="D65" s="64">
        <v>32.94</v>
      </c>
      <c r="E65" s="64">
        <v>2.08</v>
      </c>
      <c r="F65" s="64">
        <v>10.119999999999999</v>
      </c>
      <c r="G65" s="64">
        <v>64.42</v>
      </c>
      <c r="H65" s="64">
        <v>82.84</v>
      </c>
      <c r="I65" s="64">
        <v>6.47</v>
      </c>
      <c r="J65" s="64">
        <v>0.47</v>
      </c>
      <c r="K65" s="64">
        <v>333.99</v>
      </c>
      <c r="L65" s="64">
        <v>38.229999999999997</v>
      </c>
      <c r="M65" s="64">
        <v>13.44</v>
      </c>
      <c r="N65" s="64">
        <v>710.6</v>
      </c>
      <c r="O65" s="64">
        <v>0</v>
      </c>
      <c r="P65" s="64">
        <v>0.67</v>
      </c>
      <c r="Q65" s="64">
        <v>9.4600000000000009</v>
      </c>
      <c r="R65" s="198"/>
      <c r="S65" s="198"/>
      <c r="T65" s="198"/>
      <c r="U65" s="198"/>
    </row>
    <row r="66" spans="1:21" s="12" customFormat="1" x14ac:dyDescent="0.25">
      <c r="A66" s="214" t="s">
        <v>401</v>
      </c>
      <c r="B66" s="64">
        <v>4.67</v>
      </c>
      <c r="C66" s="64">
        <v>55.9</v>
      </c>
      <c r="D66" s="64">
        <v>32.869999999999997</v>
      </c>
      <c r="E66" s="64">
        <v>2.11</v>
      </c>
      <c r="F66" s="64">
        <v>10.61</v>
      </c>
      <c r="G66" s="64">
        <v>64.42</v>
      </c>
      <c r="H66" s="64">
        <v>82.84</v>
      </c>
      <c r="I66" s="64">
        <v>6.28</v>
      </c>
      <c r="J66" s="64">
        <v>0.2</v>
      </c>
      <c r="K66" s="64">
        <v>333.48</v>
      </c>
      <c r="L66" s="64">
        <v>37.32</v>
      </c>
      <c r="M66" s="64">
        <v>14.55</v>
      </c>
      <c r="N66" s="64">
        <v>670.4</v>
      </c>
      <c r="O66" s="64">
        <v>0</v>
      </c>
      <c r="P66" s="64">
        <v>0.63</v>
      </c>
      <c r="Q66" s="64">
        <v>9.4499999999999993</v>
      </c>
      <c r="R66" s="198"/>
      <c r="S66" s="198"/>
      <c r="T66" s="198"/>
      <c r="U66" s="198"/>
    </row>
    <row r="67" spans="1:21" s="12" customFormat="1" x14ac:dyDescent="0.25">
      <c r="A67" s="214" t="s">
        <v>402</v>
      </c>
      <c r="B67" s="64">
        <v>4.6500000000000004</v>
      </c>
      <c r="C67" s="64">
        <v>55.1</v>
      </c>
      <c r="D67" s="64">
        <v>32.44</v>
      </c>
      <c r="E67" s="64">
        <v>2.11</v>
      </c>
      <c r="F67" s="64">
        <v>10.95</v>
      </c>
      <c r="G67" s="64">
        <v>54.02</v>
      </c>
      <c r="H67" s="64">
        <v>98.35</v>
      </c>
      <c r="I67" s="64">
        <v>6.02</v>
      </c>
      <c r="J67" s="64">
        <v>0.47</v>
      </c>
      <c r="K67" s="64">
        <v>353.89</v>
      </c>
      <c r="L67" s="64">
        <v>36.92</v>
      </c>
      <c r="M67" s="64">
        <v>15.52</v>
      </c>
      <c r="N67" s="64">
        <v>627.1</v>
      </c>
      <c r="O67" s="64">
        <v>0</v>
      </c>
      <c r="P67" s="64">
        <v>0.6</v>
      </c>
      <c r="Q67" s="64">
        <v>9.51</v>
      </c>
      <c r="R67" s="198"/>
      <c r="S67" s="198"/>
      <c r="T67" s="198"/>
      <c r="U67" s="198"/>
    </row>
    <row r="68" spans="1:21" s="12" customFormat="1" x14ac:dyDescent="0.25">
      <c r="A68" s="214" t="s">
        <v>403</v>
      </c>
      <c r="B68" s="64">
        <v>3.71</v>
      </c>
      <c r="C68" s="64">
        <v>38.159999999999997</v>
      </c>
      <c r="D68" s="64">
        <v>22.83</v>
      </c>
      <c r="E68" s="64">
        <v>1.8</v>
      </c>
      <c r="F68" s="64">
        <v>11.09</v>
      </c>
      <c r="G68" s="64">
        <v>51.42</v>
      </c>
      <c r="H68" s="64">
        <v>102.23</v>
      </c>
      <c r="I68" s="64">
        <v>5.68</v>
      </c>
      <c r="J68" s="64">
        <v>0.12</v>
      </c>
      <c r="K68" s="64">
        <v>270.17</v>
      </c>
      <c r="L68" s="64">
        <v>36.83</v>
      </c>
      <c r="M68" s="64">
        <v>14.65</v>
      </c>
      <c r="N68" s="64">
        <v>575.79999999999995</v>
      </c>
      <c r="O68" s="64">
        <v>0</v>
      </c>
      <c r="P68" s="64">
        <v>0.56999999999999995</v>
      </c>
      <c r="Q68" s="64">
        <v>9.36</v>
      </c>
      <c r="R68" s="198"/>
      <c r="S68" s="198"/>
      <c r="T68" s="198"/>
      <c r="U68" s="198"/>
    </row>
    <row r="69" spans="1:21" s="12" customFormat="1" x14ac:dyDescent="0.25">
      <c r="A69" s="214" t="s">
        <v>404</v>
      </c>
      <c r="B69" s="64">
        <v>4.75</v>
      </c>
      <c r="C69" s="64">
        <v>54.77</v>
      </c>
      <c r="D69" s="64">
        <v>32.340000000000003</v>
      </c>
      <c r="E69" s="64">
        <v>2.02</v>
      </c>
      <c r="F69" s="64">
        <v>10.83</v>
      </c>
      <c r="G69" s="64">
        <v>51.42</v>
      </c>
      <c r="H69" s="64">
        <v>102.23</v>
      </c>
      <c r="I69" s="64">
        <v>5.29</v>
      </c>
      <c r="J69" s="64">
        <v>0</v>
      </c>
      <c r="K69" s="64">
        <v>342.97</v>
      </c>
      <c r="L69" s="64">
        <v>36.64</v>
      </c>
      <c r="M69" s="64">
        <v>14.57</v>
      </c>
      <c r="N69" s="64">
        <v>415.9</v>
      </c>
      <c r="O69" s="64">
        <v>0</v>
      </c>
      <c r="P69" s="64">
        <v>0.56000000000000005</v>
      </c>
      <c r="Q69" s="64">
        <v>9.4600000000000009</v>
      </c>
      <c r="R69" s="198"/>
      <c r="S69" s="198"/>
      <c r="T69" s="198"/>
      <c r="U69" s="198"/>
    </row>
    <row r="70" spans="1:21" s="12" customFormat="1" x14ac:dyDescent="0.25">
      <c r="A70" s="214" t="s">
        <v>405</v>
      </c>
      <c r="B70" s="64">
        <v>4.5999999999999996</v>
      </c>
      <c r="C70" s="64">
        <v>53.01</v>
      </c>
      <c r="D70" s="64">
        <v>31.3</v>
      </c>
      <c r="E70" s="64">
        <v>1.95</v>
      </c>
      <c r="F70" s="64">
        <v>11.07</v>
      </c>
      <c r="G70" s="64">
        <v>51.42</v>
      </c>
      <c r="H70" s="64">
        <v>102.23</v>
      </c>
      <c r="I70" s="64">
        <v>5</v>
      </c>
      <c r="J70" s="64">
        <v>0.15</v>
      </c>
      <c r="K70" s="64">
        <v>350.53</v>
      </c>
      <c r="L70" s="64">
        <v>36.71</v>
      </c>
      <c r="M70" s="64">
        <v>15.04</v>
      </c>
      <c r="N70" s="64">
        <v>192.1</v>
      </c>
      <c r="O70" s="64">
        <v>0</v>
      </c>
      <c r="P70" s="64">
        <v>0.54</v>
      </c>
      <c r="Q70" s="64">
        <v>9.35</v>
      </c>
      <c r="R70" s="198"/>
      <c r="S70" s="198"/>
      <c r="T70" s="198"/>
      <c r="U70" s="198"/>
    </row>
    <row r="71" spans="1:21" s="12" customFormat="1" x14ac:dyDescent="0.25">
      <c r="A71" s="214" t="s">
        <v>406</v>
      </c>
      <c r="B71" s="64">
        <v>4.5999999999999996</v>
      </c>
      <c r="C71" s="64">
        <v>53.01</v>
      </c>
      <c r="D71" s="64">
        <v>31.3</v>
      </c>
      <c r="E71" s="64">
        <v>1.95</v>
      </c>
      <c r="F71" s="64">
        <v>11.07</v>
      </c>
      <c r="G71" s="64">
        <v>51.42</v>
      </c>
      <c r="H71" s="64">
        <v>102.23</v>
      </c>
      <c r="I71" s="64">
        <v>5</v>
      </c>
      <c r="J71" s="64">
        <v>0.15</v>
      </c>
      <c r="K71" s="64">
        <v>350.53</v>
      </c>
      <c r="L71" s="64">
        <v>36.71</v>
      </c>
      <c r="M71" s="64">
        <v>15.04</v>
      </c>
      <c r="N71" s="64">
        <v>192.1</v>
      </c>
      <c r="O71" s="64">
        <v>0</v>
      </c>
      <c r="P71" s="64">
        <v>0.54</v>
      </c>
      <c r="Q71" s="64">
        <v>9.35</v>
      </c>
      <c r="R71" s="198"/>
      <c r="S71" s="198"/>
      <c r="T71" s="198"/>
      <c r="U71" s="198"/>
    </row>
    <row r="72" spans="1:21" s="12" customFormat="1" x14ac:dyDescent="0.25">
      <c r="A72" s="214" t="s">
        <v>407</v>
      </c>
      <c r="B72" s="64">
        <v>4.6399999999999997</v>
      </c>
      <c r="C72" s="64">
        <v>54.08</v>
      </c>
      <c r="D72" s="64">
        <v>31.89</v>
      </c>
      <c r="E72" s="64">
        <v>1.5</v>
      </c>
      <c r="F72" s="64">
        <v>10.53</v>
      </c>
      <c r="G72" s="64">
        <v>55.65</v>
      </c>
      <c r="H72" s="64">
        <v>75.17</v>
      </c>
      <c r="I72" s="64">
        <v>4.7</v>
      </c>
      <c r="J72" s="64">
        <v>0.46</v>
      </c>
      <c r="K72" s="64">
        <v>333.32</v>
      </c>
      <c r="L72" s="64">
        <v>36.65</v>
      </c>
      <c r="M72" s="64">
        <v>14.74</v>
      </c>
      <c r="N72" s="64">
        <v>185.2</v>
      </c>
      <c r="O72" s="64">
        <v>0</v>
      </c>
      <c r="P72" s="64">
        <v>0.52</v>
      </c>
      <c r="Q72" s="64">
        <v>9.4</v>
      </c>
      <c r="R72" s="198"/>
      <c r="S72" s="198"/>
      <c r="T72" s="198"/>
      <c r="U72" s="198"/>
    </row>
    <row r="73" spans="1:21" s="12" customFormat="1" x14ac:dyDescent="0.25">
      <c r="A73" s="214" t="s">
        <v>408</v>
      </c>
      <c r="B73" s="64">
        <v>4.67</v>
      </c>
      <c r="C73" s="64">
        <v>53.78</v>
      </c>
      <c r="D73" s="64">
        <v>31.77</v>
      </c>
      <c r="E73" s="64">
        <v>0.91</v>
      </c>
      <c r="F73" s="64">
        <v>9.91</v>
      </c>
      <c r="G73" s="64">
        <v>56.14</v>
      </c>
      <c r="H73" s="64">
        <v>72.040000000000006</v>
      </c>
      <c r="I73" s="64">
        <v>4.3499999999999996</v>
      </c>
      <c r="J73" s="64">
        <v>0.15</v>
      </c>
      <c r="K73" s="64">
        <v>345.1</v>
      </c>
      <c r="L73" s="64">
        <v>36.119999999999997</v>
      </c>
      <c r="M73" s="64">
        <v>15.38</v>
      </c>
      <c r="N73" s="64">
        <v>193.7</v>
      </c>
      <c r="O73" s="64">
        <v>0</v>
      </c>
      <c r="P73" s="64">
        <v>0.52</v>
      </c>
      <c r="Q73" s="64">
        <v>9.2200000000000006</v>
      </c>
      <c r="R73" s="198"/>
      <c r="S73" s="198"/>
      <c r="T73" s="198"/>
      <c r="U73" s="198"/>
    </row>
    <row r="74" spans="1:21" s="12" customFormat="1" x14ac:dyDescent="0.25">
      <c r="A74" s="214" t="s">
        <v>409</v>
      </c>
      <c r="B74" s="64">
        <v>4.68</v>
      </c>
      <c r="C74" s="64">
        <v>54.05</v>
      </c>
      <c r="D74" s="64">
        <v>31.91</v>
      </c>
      <c r="E74" s="64">
        <v>1.1599999999999999</v>
      </c>
      <c r="F74" s="64">
        <v>8.91</v>
      </c>
      <c r="G74" s="64">
        <v>56.14</v>
      </c>
      <c r="H74" s="64">
        <v>72.040000000000006</v>
      </c>
      <c r="I74" s="64">
        <v>4.1500000000000004</v>
      </c>
      <c r="J74" s="64">
        <v>0.13</v>
      </c>
      <c r="K74" s="64">
        <v>319.75</v>
      </c>
      <c r="L74" s="64">
        <v>35.729999999999997</v>
      </c>
      <c r="M74" s="64">
        <v>15.58</v>
      </c>
      <c r="N74" s="64">
        <v>135.80000000000001</v>
      </c>
      <c r="O74" s="64">
        <v>0</v>
      </c>
      <c r="P74" s="64">
        <v>0.52</v>
      </c>
      <c r="Q74" s="64">
        <v>9.56</v>
      </c>
      <c r="R74" s="198"/>
      <c r="S74" s="198"/>
      <c r="T74" s="198"/>
      <c r="U74" s="198"/>
    </row>
    <row r="75" spans="1:21" s="12" customFormat="1" x14ac:dyDescent="0.25">
      <c r="A75" s="214" t="s">
        <v>410</v>
      </c>
      <c r="B75" s="64">
        <v>4.9000000000000004</v>
      </c>
      <c r="C75" s="64">
        <v>54.38</v>
      </c>
      <c r="D75" s="64">
        <v>32.26</v>
      </c>
      <c r="E75" s="64">
        <v>1.07</v>
      </c>
      <c r="F75" s="64">
        <v>7.8</v>
      </c>
      <c r="G75" s="64">
        <v>56</v>
      </c>
      <c r="H75" s="64">
        <v>72.040000000000006</v>
      </c>
      <c r="I75" s="64">
        <v>4.01</v>
      </c>
      <c r="J75" s="64">
        <v>0.18</v>
      </c>
      <c r="K75" s="64">
        <v>347.96</v>
      </c>
      <c r="L75" s="64">
        <v>35.6</v>
      </c>
      <c r="M75" s="64">
        <v>15.7</v>
      </c>
      <c r="N75" s="64">
        <v>107.1</v>
      </c>
      <c r="O75" s="64">
        <v>0</v>
      </c>
      <c r="P75" s="64">
        <v>0.52</v>
      </c>
      <c r="Q75" s="64">
        <v>9.59</v>
      </c>
      <c r="R75" s="198"/>
      <c r="S75" s="198"/>
      <c r="T75" s="198"/>
      <c r="U75" s="198"/>
    </row>
    <row r="76" spans="1:21" s="12" customFormat="1" x14ac:dyDescent="0.25">
      <c r="A76" s="214" t="s">
        <v>411</v>
      </c>
      <c r="B76" s="64">
        <v>4.9800000000000004</v>
      </c>
      <c r="C76" s="64">
        <v>54.67</v>
      </c>
      <c r="D76" s="64">
        <v>32.479999999999997</v>
      </c>
      <c r="E76" s="64">
        <v>0.99</v>
      </c>
      <c r="F76" s="64">
        <v>6.99</v>
      </c>
      <c r="G76" s="64">
        <v>55.96</v>
      </c>
      <c r="H76" s="64">
        <v>191.91</v>
      </c>
      <c r="I76" s="64">
        <v>3.87</v>
      </c>
      <c r="J76" s="64">
        <v>0.27</v>
      </c>
      <c r="K76" s="64">
        <v>341.79</v>
      </c>
      <c r="L76" s="64">
        <v>35.21</v>
      </c>
      <c r="M76" s="64">
        <v>16.38</v>
      </c>
      <c r="N76" s="64">
        <v>91.1</v>
      </c>
      <c r="O76" s="64">
        <v>0</v>
      </c>
      <c r="P76" s="64">
        <v>0.53</v>
      </c>
      <c r="Q76" s="64">
        <v>9.5500000000000007</v>
      </c>
      <c r="R76" s="198"/>
      <c r="S76" s="198"/>
      <c r="T76" s="198"/>
      <c r="U76" s="198"/>
    </row>
    <row r="77" spans="1:21" s="12" customFormat="1" x14ac:dyDescent="0.25">
      <c r="A77" s="214" t="s">
        <v>412</v>
      </c>
      <c r="B77" s="64">
        <v>5.19</v>
      </c>
      <c r="C77" s="64">
        <v>53.01</v>
      </c>
      <c r="D77" s="64">
        <v>31.78</v>
      </c>
      <c r="E77" s="64">
        <v>1.05</v>
      </c>
      <c r="F77" s="64">
        <v>6.54</v>
      </c>
      <c r="G77" s="64">
        <v>55.96</v>
      </c>
      <c r="H77" s="64">
        <v>191.91</v>
      </c>
      <c r="I77" s="64">
        <v>4.18</v>
      </c>
      <c r="J77" s="64">
        <v>0.47</v>
      </c>
      <c r="K77" s="64">
        <v>309.10000000000002</v>
      </c>
      <c r="L77" s="64">
        <v>34.67</v>
      </c>
      <c r="M77" s="64">
        <v>18.420000000000002</v>
      </c>
      <c r="N77" s="64">
        <v>77.2</v>
      </c>
      <c r="O77" s="64">
        <v>0</v>
      </c>
      <c r="P77" s="64">
        <v>0.54</v>
      </c>
      <c r="Q77" s="64">
        <v>9.5399999999999991</v>
      </c>
      <c r="R77" s="198"/>
      <c r="S77" s="198"/>
      <c r="T77" s="198"/>
      <c r="U77" s="198"/>
    </row>
    <row r="78" spans="1:21" s="12" customFormat="1" x14ac:dyDescent="0.25">
      <c r="A78" s="214" t="s">
        <v>413</v>
      </c>
      <c r="B78" s="64">
        <v>5.42</v>
      </c>
      <c r="C78" s="64">
        <v>55.56</v>
      </c>
      <c r="D78" s="64">
        <v>33.29</v>
      </c>
      <c r="E78" s="64">
        <v>1.01</v>
      </c>
      <c r="F78" s="64">
        <v>6</v>
      </c>
      <c r="G78" s="64">
        <v>55.96</v>
      </c>
      <c r="H78" s="64">
        <v>191.91</v>
      </c>
      <c r="I78" s="64">
        <v>4.29</v>
      </c>
      <c r="J78" s="64">
        <v>0.6</v>
      </c>
      <c r="K78" s="64">
        <v>315.54000000000002</v>
      </c>
      <c r="L78" s="64">
        <v>32.72</v>
      </c>
      <c r="M78" s="64">
        <v>25.94</v>
      </c>
      <c r="N78" s="64">
        <v>62.4</v>
      </c>
      <c r="O78" s="64">
        <v>0</v>
      </c>
      <c r="P78" s="64">
        <v>0.56000000000000005</v>
      </c>
      <c r="Q78" s="64">
        <v>9.5299999999999994</v>
      </c>
      <c r="R78" s="198"/>
      <c r="S78" s="198"/>
      <c r="T78" s="198"/>
      <c r="U78" s="198"/>
    </row>
    <row r="79" spans="1:21" s="12" customFormat="1" x14ac:dyDescent="0.25">
      <c r="A79" s="214" t="s">
        <v>414</v>
      </c>
      <c r="B79" s="64">
        <v>5.6</v>
      </c>
      <c r="C79" s="64">
        <v>56.57</v>
      </c>
      <c r="D79" s="64">
        <v>33.96</v>
      </c>
      <c r="E79" s="64">
        <v>0.89</v>
      </c>
      <c r="F79" s="64">
        <v>5.61</v>
      </c>
      <c r="G79" s="64">
        <v>52.99</v>
      </c>
      <c r="H79" s="64">
        <v>201.98</v>
      </c>
      <c r="I79" s="64">
        <v>4.47</v>
      </c>
      <c r="J79" s="64">
        <v>0.57999999999999996</v>
      </c>
      <c r="K79" s="64">
        <v>315.61</v>
      </c>
      <c r="L79" s="64">
        <v>31.7</v>
      </c>
      <c r="M79" s="64">
        <v>27.59</v>
      </c>
      <c r="N79" s="64">
        <v>47.9</v>
      </c>
      <c r="O79" s="64">
        <v>0</v>
      </c>
      <c r="P79" s="64">
        <v>0.56999999999999995</v>
      </c>
      <c r="Q79" s="64">
        <v>9.67</v>
      </c>
      <c r="R79" s="198"/>
      <c r="S79" s="198"/>
      <c r="T79" s="198"/>
      <c r="U79" s="198"/>
    </row>
    <row r="80" spans="1:21" s="12" customFormat="1" x14ac:dyDescent="0.25">
      <c r="A80" s="214" t="s">
        <v>415</v>
      </c>
      <c r="B80" s="64">
        <v>5.86</v>
      </c>
      <c r="C80" s="64">
        <v>57.37</v>
      </c>
      <c r="D80" s="64">
        <v>34.590000000000003</v>
      </c>
      <c r="E80" s="64">
        <v>1.33</v>
      </c>
      <c r="F80" s="64">
        <v>5.36</v>
      </c>
      <c r="G80" s="64">
        <v>52.25</v>
      </c>
      <c r="H80" s="64">
        <v>204.49</v>
      </c>
      <c r="I80" s="64">
        <v>4.5199999999999996</v>
      </c>
      <c r="J80" s="64">
        <v>0.45</v>
      </c>
      <c r="K80" s="64">
        <v>322.52</v>
      </c>
      <c r="L80" s="64">
        <v>31.29</v>
      </c>
      <c r="M80" s="64">
        <v>27.97</v>
      </c>
      <c r="N80" s="64">
        <v>34.200000000000003</v>
      </c>
      <c r="O80" s="64">
        <v>0</v>
      </c>
      <c r="P80" s="64">
        <v>0.6</v>
      </c>
      <c r="Q80" s="64">
        <v>9.68</v>
      </c>
      <c r="R80" s="198"/>
      <c r="S80" s="198"/>
      <c r="T80" s="198"/>
      <c r="U80" s="198"/>
    </row>
    <row r="81" spans="1:26" s="12" customFormat="1" x14ac:dyDescent="0.25">
      <c r="A81" s="214" t="s">
        <v>416</v>
      </c>
      <c r="B81" s="64">
        <v>6.56</v>
      </c>
      <c r="C81" s="64">
        <v>59.69</v>
      </c>
      <c r="D81" s="64">
        <v>36.369999999999997</v>
      </c>
      <c r="E81" s="64">
        <v>1.17</v>
      </c>
      <c r="F81" s="64">
        <v>4.95</v>
      </c>
      <c r="G81" s="64">
        <v>52.25</v>
      </c>
      <c r="H81" s="64">
        <v>204.49</v>
      </c>
      <c r="I81" s="64">
        <v>4.58</v>
      </c>
      <c r="J81" s="64">
        <v>0.37</v>
      </c>
      <c r="K81" s="64">
        <v>323.7</v>
      </c>
      <c r="L81" s="64">
        <v>30.51</v>
      </c>
      <c r="M81" s="64">
        <v>30.7</v>
      </c>
      <c r="N81" s="64">
        <v>25.2</v>
      </c>
      <c r="O81" s="64">
        <v>0</v>
      </c>
      <c r="P81" s="64">
        <v>0.66</v>
      </c>
      <c r="Q81" s="64">
        <v>9.65</v>
      </c>
      <c r="R81" s="198"/>
      <c r="S81" s="198"/>
      <c r="T81" s="198"/>
      <c r="U81" s="198"/>
    </row>
    <row r="82" spans="1:26" s="12" customFormat="1" x14ac:dyDescent="0.25">
      <c r="A82" s="214" t="s">
        <v>417</v>
      </c>
      <c r="B82" s="64">
        <v>7.58</v>
      </c>
      <c r="C82" s="64">
        <v>62.34</v>
      </c>
      <c r="D82" s="64">
        <v>38.57</v>
      </c>
      <c r="E82" s="64">
        <v>1.1499999999999999</v>
      </c>
      <c r="F82" s="64">
        <v>4.32</v>
      </c>
      <c r="G82" s="64">
        <v>52.25</v>
      </c>
      <c r="H82" s="64">
        <v>204.49</v>
      </c>
      <c r="I82" s="64">
        <v>4.63</v>
      </c>
      <c r="J82" s="64">
        <v>0.44</v>
      </c>
      <c r="K82" s="64">
        <v>326.63</v>
      </c>
      <c r="L82" s="64">
        <v>29.98</v>
      </c>
      <c r="M82" s="64">
        <v>32.47</v>
      </c>
      <c r="N82" s="64">
        <v>21.8</v>
      </c>
      <c r="O82" s="64">
        <v>0</v>
      </c>
      <c r="P82" s="64">
        <v>0.7</v>
      </c>
      <c r="Q82" s="64">
        <v>9.6999999999999993</v>
      </c>
      <c r="R82" s="198"/>
      <c r="S82" s="198"/>
      <c r="T82" s="198"/>
      <c r="U82" s="198"/>
    </row>
    <row r="83" spans="1:26" s="12" customFormat="1" x14ac:dyDescent="0.25">
      <c r="A83" s="214" t="s">
        <v>418</v>
      </c>
      <c r="B83" s="64">
        <v>8.6199999999999992</v>
      </c>
      <c r="C83" s="64">
        <v>64.48</v>
      </c>
      <c r="D83" s="64">
        <v>40.520000000000003</v>
      </c>
      <c r="E83" s="64">
        <v>1.25</v>
      </c>
      <c r="F83" s="64">
        <v>3.8</v>
      </c>
      <c r="G83" s="64">
        <v>54.26</v>
      </c>
      <c r="H83" s="64">
        <v>124.01</v>
      </c>
      <c r="I83" s="64">
        <v>4.71</v>
      </c>
      <c r="J83" s="64">
        <v>0.31</v>
      </c>
      <c r="K83" s="64">
        <v>325.54000000000002</v>
      </c>
      <c r="L83" s="64">
        <v>29.72</v>
      </c>
      <c r="M83" s="64">
        <v>30.85</v>
      </c>
      <c r="N83" s="64">
        <v>21.6</v>
      </c>
      <c r="O83" s="64">
        <v>0</v>
      </c>
      <c r="P83" s="64">
        <v>0.78</v>
      </c>
      <c r="Q83" s="64">
        <v>9.8000000000000007</v>
      </c>
      <c r="R83" s="198"/>
      <c r="S83" s="198"/>
      <c r="T83" s="198"/>
      <c r="U83" s="198"/>
    </row>
    <row r="84" spans="1:26" s="12" customFormat="1" x14ac:dyDescent="0.25">
      <c r="A84" s="214" t="s">
        <v>419</v>
      </c>
      <c r="B84" s="64">
        <v>9.73</v>
      </c>
      <c r="C84" s="64">
        <v>65.989999999999995</v>
      </c>
      <c r="D84" s="64">
        <v>42.2</v>
      </c>
      <c r="E84" s="64">
        <v>1.19</v>
      </c>
      <c r="F84" s="64">
        <v>3.73</v>
      </c>
      <c r="G84" s="64">
        <v>54.76</v>
      </c>
      <c r="H84" s="64">
        <v>124.01</v>
      </c>
      <c r="I84" s="64">
        <v>4.97</v>
      </c>
      <c r="J84" s="64">
        <v>0.22</v>
      </c>
      <c r="K84" s="64">
        <v>332.45</v>
      </c>
      <c r="L84" s="64">
        <v>29.89</v>
      </c>
      <c r="M84" s="64">
        <v>25.36</v>
      </c>
      <c r="N84" s="64">
        <v>21.7</v>
      </c>
      <c r="O84" s="64">
        <v>0</v>
      </c>
      <c r="P84" s="64">
        <v>0.86</v>
      </c>
      <c r="Q84" s="64">
        <v>9.86</v>
      </c>
      <c r="R84" s="198"/>
      <c r="S84" s="198"/>
      <c r="T84" s="198"/>
      <c r="U84" s="198"/>
    </row>
    <row r="85" spans="1:26" s="12" customFormat="1" x14ac:dyDescent="0.25">
      <c r="A85" s="214" t="s">
        <v>420</v>
      </c>
      <c r="B85" s="64">
        <v>11.75</v>
      </c>
      <c r="C85" s="64">
        <v>67.61</v>
      </c>
      <c r="D85" s="64">
        <v>44.67</v>
      </c>
      <c r="E85" s="64">
        <v>1.1599999999999999</v>
      </c>
      <c r="F85" s="64">
        <v>3.88</v>
      </c>
      <c r="G85" s="64">
        <v>54.76</v>
      </c>
      <c r="H85" s="64">
        <v>124.01</v>
      </c>
      <c r="I85" s="64">
        <v>5.17</v>
      </c>
      <c r="J85" s="64">
        <v>0.06</v>
      </c>
      <c r="K85" s="64">
        <v>175.6</v>
      </c>
      <c r="L85" s="64">
        <v>29.64</v>
      </c>
      <c r="M85" s="64">
        <v>25.9</v>
      </c>
      <c r="N85" s="64">
        <v>22</v>
      </c>
      <c r="O85" s="64">
        <v>0</v>
      </c>
      <c r="P85" s="64">
        <v>0.91</v>
      </c>
      <c r="Q85" s="64">
        <v>9.8699999999999992</v>
      </c>
      <c r="R85" s="198"/>
      <c r="S85" s="198"/>
      <c r="T85" s="198"/>
      <c r="U85" s="198"/>
    </row>
    <row r="86" spans="1:26" s="12" customFormat="1" x14ac:dyDescent="0.25">
      <c r="A86" s="214" t="s">
        <v>421</v>
      </c>
      <c r="B86" s="64">
        <v>13.4</v>
      </c>
      <c r="C86" s="64">
        <v>69.150000000000006</v>
      </c>
      <c r="D86" s="64">
        <v>46.8</v>
      </c>
      <c r="E86" s="64">
        <v>0.91</v>
      </c>
      <c r="F86" s="64">
        <v>3.42</v>
      </c>
      <c r="G86" s="64">
        <v>54.76</v>
      </c>
      <c r="H86" s="64">
        <v>124.01</v>
      </c>
      <c r="I86" s="64">
        <v>5.41</v>
      </c>
      <c r="J86" s="64">
        <v>0.13</v>
      </c>
      <c r="K86" s="64">
        <v>228.78</v>
      </c>
      <c r="L86" s="64">
        <v>29.59</v>
      </c>
      <c r="M86" s="64">
        <v>25.43</v>
      </c>
      <c r="N86" s="64">
        <v>21.6</v>
      </c>
      <c r="O86" s="64">
        <v>0</v>
      </c>
      <c r="P86" s="64">
        <v>1</v>
      </c>
      <c r="Q86" s="64">
        <v>9.7899999999999991</v>
      </c>
      <c r="R86" s="198"/>
      <c r="S86" s="198"/>
      <c r="T86" s="198"/>
      <c r="U86" s="198"/>
    </row>
    <row r="87" spans="1:26" s="12" customFormat="1" x14ac:dyDescent="0.25">
      <c r="A87" s="214" t="s">
        <v>422</v>
      </c>
      <c r="B87" s="64">
        <v>14.49</v>
      </c>
      <c r="C87" s="64">
        <v>70.5</v>
      </c>
      <c r="D87" s="64">
        <v>48.38</v>
      </c>
      <c r="E87" s="64">
        <v>1.1599999999999999</v>
      </c>
      <c r="F87" s="64">
        <v>3.23</v>
      </c>
      <c r="G87" s="64">
        <v>62.49</v>
      </c>
      <c r="H87" s="64">
        <v>124.01</v>
      </c>
      <c r="I87" s="64">
        <v>5.95</v>
      </c>
      <c r="J87" s="64">
        <v>0.13</v>
      </c>
      <c r="K87" s="64">
        <v>226.33</v>
      </c>
      <c r="L87" s="64">
        <v>29.41</v>
      </c>
      <c r="M87" s="64">
        <v>25.99</v>
      </c>
      <c r="N87" s="64">
        <v>21.7</v>
      </c>
      <c r="O87" s="64">
        <v>0</v>
      </c>
      <c r="P87" s="64">
        <v>1.06</v>
      </c>
      <c r="Q87" s="64">
        <v>9.9700000000000006</v>
      </c>
      <c r="R87" s="198"/>
      <c r="S87" s="198"/>
      <c r="T87" s="198"/>
      <c r="U87" s="198"/>
    </row>
    <row r="88" spans="1:26" s="12" customFormat="1" x14ac:dyDescent="0.25">
      <c r="A88" s="214" t="s">
        <v>423</v>
      </c>
      <c r="B88" s="64">
        <v>15.32</v>
      </c>
      <c r="C88" s="64">
        <v>68.16</v>
      </c>
      <c r="D88" s="64">
        <v>47.82</v>
      </c>
      <c r="E88" s="64">
        <v>2.1</v>
      </c>
      <c r="F88" s="64">
        <v>3.63</v>
      </c>
      <c r="G88" s="64">
        <v>64.430000000000007</v>
      </c>
      <c r="H88" s="64">
        <v>236.73</v>
      </c>
      <c r="I88" s="64">
        <v>6.3</v>
      </c>
      <c r="J88" s="64">
        <v>0.17</v>
      </c>
      <c r="K88" s="64">
        <v>253.79</v>
      </c>
      <c r="L88" s="64">
        <v>29.53</v>
      </c>
      <c r="M88" s="64">
        <v>25.31</v>
      </c>
      <c r="N88" s="64">
        <v>21</v>
      </c>
      <c r="O88" s="64">
        <v>0</v>
      </c>
      <c r="P88" s="64">
        <v>1.07</v>
      </c>
      <c r="Q88" s="64">
        <v>9.8699999999999992</v>
      </c>
      <c r="R88" s="198"/>
      <c r="S88" s="198"/>
      <c r="T88" s="198"/>
      <c r="U88" s="198"/>
    </row>
    <row r="89" spans="1:26" s="12" customFormat="1" x14ac:dyDescent="0.25">
      <c r="A89" s="214" t="s">
        <v>424</v>
      </c>
      <c r="B89" s="64">
        <v>16.45</v>
      </c>
      <c r="C89" s="64">
        <v>68.13</v>
      </c>
      <c r="D89" s="64">
        <v>48.71</v>
      </c>
      <c r="E89" s="64">
        <v>1.8</v>
      </c>
      <c r="F89" s="64">
        <v>3.34</v>
      </c>
      <c r="G89" s="64">
        <v>64.430000000000007</v>
      </c>
      <c r="H89" s="64">
        <v>236.73</v>
      </c>
      <c r="I89" s="64">
        <v>6.46</v>
      </c>
      <c r="J89" s="64">
        <v>0.14000000000000001</v>
      </c>
      <c r="K89" s="64">
        <v>316.37</v>
      </c>
      <c r="L89" s="64">
        <v>29.19</v>
      </c>
      <c r="M89" s="64">
        <v>28.01</v>
      </c>
      <c r="N89" s="64">
        <v>21.7</v>
      </c>
      <c r="O89" s="64">
        <v>0</v>
      </c>
      <c r="P89" s="64">
        <v>1.41</v>
      </c>
      <c r="Q89" s="64">
        <v>10.050000000000001</v>
      </c>
      <c r="R89" s="198"/>
      <c r="S89" s="198"/>
      <c r="T89" s="198"/>
      <c r="U89" s="198"/>
    </row>
    <row r="90" spans="1:26" s="12" customFormat="1" x14ac:dyDescent="0.25">
      <c r="A90" s="214" t="s">
        <v>425</v>
      </c>
      <c r="B90" s="64">
        <v>19.940000000000001</v>
      </c>
      <c r="C90" s="64">
        <v>68.73</v>
      </c>
      <c r="D90" s="64">
        <v>51.82</v>
      </c>
      <c r="E90" s="64">
        <v>1.72</v>
      </c>
      <c r="F90" s="64">
        <v>3.43</v>
      </c>
      <c r="G90" s="64">
        <v>64.430000000000007</v>
      </c>
      <c r="H90" s="64">
        <v>236.73</v>
      </c>
      <c r="I90" s="64">
        <v>6.62</v>
      </c>
      <c r="J90" s="64">
        <v>0.24</v>
      </c>
      <c r="K90" s="64">
        <v>86.03</v>
      </c>
      <c r="L90" s="64">
        <v>28.29</v>
      </c>
      <c r="M90" s="64">
        <v>33.950000000000003</v>
      </c>
      <c r="N90" s="64">
        <v>22.1</v>
      </c>
      <c r="O90" s="64">
        <v>0</v>
      </c>
      <c r="P90" s="64">
        <v>1.52</v>
      </c>
      <c r="Q90" s="64">
        <v>10.01</v>
      </c>
      <c r="R90" s="198"/>
      <c r="S90" s="198"/>
      <c r="T90" s="198"/>
      <c r="U90" s="198"/>
    </row>
    <row r="91" spans="1:26" s="12" customFormat="1" x14ac:dyDescent="0.25">
      <c r="A91" s="214" t="s">
        <v>426</v>
      </c>
      <c r="B91" s="64">
        <v>23.77</v>
      </c>
      <c r="C91" s="64">
        <v>69.06</v>
      </c>
      <c r="D91" s="64">
        <v>55.06</v>
      </c>
      <c r="E91" s="64">
        <v>1.99</v>
      </c>
      <c r="F91" s="64">
        <v>3.34</v>
      </c>
      <c r="G91" s="64">
        <v>76.739999999999995</v>
      </c>
      <c r="H91" s="64">
        <v>297.64999999999998</v>
      </c>
      <c r="I91" s="64">
        <v>8.4600000000000009</v>
      </c>
      <c r="J91" s="64">
        <v>0.2</v>
      </c>
      <c r="K91" s="64">
        <v>234.25</v>
      </c>
      <c r="L91" s="64">
        <v>27.78</v>
      </c>
      <c r="M91" s="64">
        <v>36.119999999999997</v>
      </c>
      <c r="N91" s="64">
        <v>21.6</v>
      </c>
      <c r="O91" s="64">
        <v>0</v>
      </c>
      <c r="P91" s="64">
        <v>1.56</v>
      </c>
      <c r="Q91" s="64">
        <v>10.1</v>
      </c>
      <c r="R91" s="198"/>
      <c r="S91" s="198"/>
      <c r="T91" s="198"/>
      <c r="U91" s="198"/>
    </row>
    <row r="92" spans="1:26" s="12" customFormat="1" x14ac:dyDescent="0.25">
      <c r="A92" s="214" t="s">
        <v>427</v>
      </c>
      <c r="B92" s="64">
        <v>29.27</v>
      </c>
      <c r="C92" s="64">
        <v>69.22</v>
      </c>
      <c r="D92" s="64">
        <v>59.56</v>
      </c>
      <c r="E92" s="64">
        <v>1.84</v>
      </c>
      <c r="F92" s="64">
        <v>3.51</v>
      </c>
      <c r="G92" s="64">
        <v>79.819999999999993</v>
      </c>
      <c r="H92" s="64">
        <v>312.88</v>
      </c>
      <c r="I92" s="64">
        <v>9.82</v>
      </c>
      <c r="J92" s="64">
        <v>0.14000000000000001</v>
      </c>
      <c r="K92" s="64">
        <v>87.57</v>
      </c>
      <c r="L92" s="64">
        <v>27.24</v>
      </c>
      <c r="M92" s="64">
        <v>39.93</v>
      </c>
      <c r="N92" s="64">
        <v>22</v>
      </c>
      <c r="O92" s="64">
        <v>0</v>
      </c>
      <c r="P92" s="64">
        <v>1.46</v>
      </c>
      <c r="Q92" s="64">
        <v>10.199999999999999</v>
      </c>
      <c r="R92" s="198"/>
      <c r="S92" s="198"/>
      <c r="T92" s="198"/>
      <c r="U92" s="198"/>
    </row>
    <row r="93" spans="1:26" s="12" customFormat="1" x14ac:dyDescent="0.25">
      <c r="A93" s="214" t="s">
        <v>428</v>
      </c>
      <c r="B93" s="64">
        <v>35.78</v>
      </c>
      <c r="C93" s="64">
        <v>69.400000000000006</v>
      </c>
      <c r="D93" s="64">
        <v>64.87</v>
      </c>
      <c r="E93" s="64">
        <v>2.04</v>
      </c>
      <c r="F93" s="64">
        <v>3.44</v>
      </c>
      <c r="G93" s="64">
        <v>79.819999999999993</v>
      </c>
      <c r="H93" s="64">
        <v>312.88</v>
      </c>
      <c r="I93" s="64">
        <v>9.9700000000000006</v>
      </c>
      <c r="J93" s="64">
        <v>0.02</v>
      </c>
      <c r="K93" s="64">
        <v>277.76</v>
      </c>
      <c r="L93" s="64">
        <v>26.73</v>
      </c>
      <c r="M93" s="64">
        <v>40.090000000000003</v>
      </c>
      <c r="N93" s="64">
        <v>22</v>
      </c>
      <c r="O93" s="64">
        <v>0</v>
      </c>
      <c r="P93" s="64">
        <v>1.42</v>
      </c>
      <c r="Q93" s="64">
        <v>10.35</v>
      </c>
      <c r="R93" s="198"/>
      <c r="S93" s="198"/>
      <c r="T93" s="198"/>
      <c r="U93" s="198"/>
    </row>
    <row r="94" spans="1:26" s="12" customFormat="1" x14ac:dyDescent="0.25">
      <c r="A94" s="214" t="s">
        <v>429</v>
      </c>
      <c r="B94" s="64">
        <v>43.05</v>
      </c>
      <c r="C94" s="64">
        <v>69.42</v>
      </c>
      <c r="D94" s="64">
        <v>70.709999999999994</v>
      </c>
      <c r="E94" s="64">
        <v>2.39</v>
      </c>
      <c r="F94" s="64">
        <v>3.5</v>
      </c>
      <c r="G94" s="64">
        <v>79.819999999999993</v>
      </c>
      <c r="H94" s="64">
        <v>312.88</v>
      </c>
      <c r="I94" s="64">
        <v>9.26</v>
      </c>
      <c r="J94" s="64">
        <v>0.02</v>
      </c>
      <c r="K94" s="64">
        <v>78.489999999999995</v>
      </c>
      <c r="L94" s="64">
        <v>26.53</v>
      </c>
      <c r="M94" s="64">
        <v>41.18</v>
      </c>
      <c r="N94" s="64">
        <v>21.9</v>
      </c>
      <c r="O94" s="64">
        <v>0</v>
      </c>
      <c r="P94" s="64">
        <v>1.52</v>
      </c>
      <c r="Q94" s="64">
        <v>10.41</v>
      </c>
      <c r="R94" s="198"/>
      <c r="S94" s="198"/>
      <c r="T94" s="198"/>
      <c r="U94" s="198"/>
    </row>
    <row r="95" spans="1:26" s="12" customFormat="1" x14ac:dyDescent="0.25">
      <c r="A95" s="214" t="s">
        <v>430</v>
      </c>
      <c r="B95" s="64">
        <v>51.04</v>
      </c>
      <c r="C95" s="64">
        <v>69.78</v>
      </c>
      <c r="D95" s="64">
        <v>77.31</v>
      </c>
      <c r="E95" s="64">
        <v>2.4300000000000002</v>
      </c>
      <c r="F95" s="64">
        <v>3.33</v>
      </c>
      <c r="G95" s="64">
        <v>97.55</v>
      </c>
      <c r="H95" s="64">
        <v>261.58</v>
      </c>
      <c r="I95" s="64">
        <v>8.4700000000000006</v>
      </c>
      <c r="J95" s="64">
        <v>0.1</v>
      </c>
      <c r="K95" s="64">
        <v>32.340000000000003</v>
      </c>
      <c r="L95" s="64">
        <v>26.03</v>
      </c>
      <c r="M95" s="64">
        <v>45.94</v>
      </c>
      <c r="N95" s="64">
        <v>21.8</v>
      </c>
      <c r="O95" s="64">
        <v>0</v>
      </c>
      <c r="P95" s="64">
        <v>1.46</v>
      </c>
      <c r="Q95" s="64">
        <v>10.55</v>
      </c>
      <c r="R95" s="198"/>
      <c r="S95" s="198"/>
      <c r="T95" s="198"/>
      <c r="U95" s="198"/>
    </row>
    <row r="96" spans="1:26" s="12" customFormat="1" x14ac:dyDescent="0.25">
      <c r="A96" s="214" t="s">
        <v>431</v>
      </c>
      <c r="B96" s="64">
        <v>60.26</v>
      </c>
      <c r="C96" s="64">
        <v>70.64</v>
      </c>
      <c r="D96" s="64">
        <v>85.15</v>
      </c>
      <c r="E96" s="64">
        <v>2.37</v>
      </c>
      <c r="F96" s="64">
        <v>3.34</v>
      </c>
      <c r="G96" s="64">
        <v>101.98</v>
      </c>
      <c r="H96" s="64">
        <v>248.75</v>
      </c>
      <c r="I96" s="64">
        <v>8.94</v>
      </c>
      <c r="J96" s="64">
        <v>0.02</v>
      </c>
      <c r="K96" s="64">
        <v>346.95</v>
      </c>
      <c r="L96" s="64">
        <v>25.82</v>
      </c>
      <c r="M96" s="64">
        <v>46.31</v>
      </c>
      <c r="N96" s="64">
        <v>21.6</v>
      </c>
      <c r="O96" s="64">
        <v>0</v>
      </c>
      <c r="P96" s="64">
        <v>1.58</v>
      </c>
      <c r="Q96" s="64">
        <v>10.66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432</v>
      </c>
      <c r="B97" s="64">
        <v>71.7</v>
      </c>
      <c r="C97" s="64">
        <v>73.39</v>
      </c>
      <c r="D97" s="64">
        <v>95.77</v>
      </c>
      <c r="E97" s="64">
        <v>2.89</v>
      </c>
      <c r="F97" s="64">
        <v>3.6</v>
      </c>
      <c r="G97" s="64">
        <v>101.98</v>
      </c>
      <c r="H97" s="64">
        <v>248.75</v>
      </c>
      <c r="I97" s="64">
        <v>9.65</v>
      </c>
      <c r="J97" s="64">
        <v>0.16</v>
      </c>
      <c r="K97" s="64">
        <v>277.58</v>
      </c>
      <c r="L97" s="64">
        <v>25.84</v>
      </c>
      <c r="M97" s="64">
        <v>45.16</v>
      </c>
      <c r="N97" s="64">
        <v>21.4</v>
      </c>
      <c r="O97" s="64">
        <v>0</v>
      </c>
      <c r="P97" s="64">
        <v>1.63</v>
      </c>
      <c r="Q97" s="64">
        <v>10.85</v>
      </c>
      <c r="R97" s="198"/>
      <c r="S97" s="198"/>
      <c r="T97" s="198"/>
      <c r="U97" s="198"/>
    </row>
    <row r="98" spans="1:33" s="12" customFormat="1" x14ac:dyDescent="0.25">
      <c r="A98" s="214" t="s">
        <v>433</v>
      </c>
      <c r="B98" s="64">
        <v>82.7</v>
      </c>
      <c r="C98" s="64">
        <v>75.06</v>
      </c>
      <c r="D98" s="64">
        <v>105.46</v>
      </c>
      <c r="E98" s="64">
        <v>3.16</v>
      </c>
      <c r="F98" s="64">
        <v>3.76</v>
      </c>
      <c r="G98" s="64">
        <v>101.98</v>
      </c>
      <c r="H98" s="64">
        <v>248.75</v>
      </c>
      <c r="I98" s="64">
        <v>10.130000000000001</v>
      </c>
      <c r="J98" s="64">
        <v>0.08</v>
      </c>
      <c r="K98" s="64">
        <v>28.14</v>
      </c>
      <c r="L98" s="64">
        <v>25.46</v>
      </c>
      <c r="M98" s="64">
        <v>48.88</v>
      </c>
      <c r="N98" s="64">
        <v>22.1</v>
      </c>
      <c r="O98" s="64">
        <v>0</v>
      </c>
      <c r="P98" s="64">
        <v>1.72</v>
      </c>
      <c r="Q98" s="64">
        <v>11.1</v>
      </c>
      <c r="R98" s="198"/>
      <c r="S98" s="198"/>
      <c r="T98" s="198"/>
      <c r="U98" s="198"/>
    </row>
    <row r="99" spans="1:33" s="12" customFormat="1" x14ac:dyDescent="0.25">
      <c r="A99" s="214" t="s">
        <v>434</v>
      </c>
      <c r="B99" s="64">
        <v>93.64</v>
      </c>
      <c r="C99" s="64">
        <v>75.92</v>
      </c>
      <c r="D99" s="64">
        <v>114.68</v>
      </c>
      <c r="E99" s="64">
        <v>3.06</v>
      </c>
      <c r="F99" s="64">
        <v>3.36</v>
      </c>
      <c r="G99" s="64">
        <v>115.51</v>
      </c>
      <c r="H99" s="64">
        <v>191.95</v>
      </c>
      <c r="I99" s="64">
        <v>10.3</v>
      </c>
      <c r="J99" s="64">
        <v>0.1</v>
      </c>
      <c r="K99" s="64">
        <v>52.03</v>
      </c>
      <c r="L99" s="64">
        <v>25.09</v>
      </c>
      <c r="M99" s="64">
        <v>48.75</v>
      </c>
      <c r="N99" s="64">
        <v>22.1</v>
      </c>
      <c r="O99" s="64">
        <v>0</v>
      </c>
      <c r="P99" s="64">
        <v>1.79</v>
      </c>
      <c r="Q99" s="64">
        <v>11.32</v>
      </c>
      <c r="R99" s="198"/>
      <c r="S99" s="198"/>
      <c r="T99" s="198"/>
      <c r="U99" s="198"/>
    </row>
    <row r="100" spans="1:33" s="12" customFormat="1" x14ac:dyDescent="0.25">
      <c r="A100" s="214" t="s">
        <v>435</v>
      </c>
      <c r="B100" s="64">
        <v>103.33</v>
      </c>
      <c r="C100" s="64">
        <v>77.23</v>
      </c>
      <c r="D100" s="64">
        <v>123.13</v>
      </c>
      <c r="E100" s="64">
        <v>3.08</v>
      </c>
      <c r="F100" s="64">
        <v>3.29</v>
      </c>
      <c r="G100" s="64">
        <v>118.89</v>
      </c>
      <c r="H100" s="64">
        <v>177.75</v>
      </c>
      <c r="I100" s="64">
        <v>10.61</v>
      </c>
      <c r="J100" s="64">
        <v>0.04</v>
      </c>
      <c r="K100" s="64">
        <v>45.56</v>
      </c>
      <c r="L100" s="64">
        <v>24.79</v>
      </c>
      <c r="M100" s="64">
        <v>51.71</v>
      </c>
      <c r="N100" s="64">
        <v>22</v>
      </c>
      <c r="O100" s="64">
        <v>0</v>
      </c>
      <c r="P100" s="64">
        <v>1.79</v>
      </c>
      <c r="Q100" s="64">
        <v>11.52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436</v>
      </c>
      <c r="B101" s="64">
        <v>111.47</v>
      </c>
      <c r="C101" s="64">
        <v>77.59</v>
      </c>
      <c r="D101" s="64">
        <v>129.85</v>
      </c>
      <c r="E101" s="64">
        <v>3.28</v>
      </c>
      <c r="F101" s="64">
        <v>3.4</v>
      </c>
      <c r="G101" s="64">
        <v>118.89</v>
      </c>
      <c r="H101" s="64">
        <v>177.75</v>
      </c>
      <c r="I101" s="64">
        <v>10.72</v>
      </c>
      <c r="J101" s="64">
        <v>0.19</v>
      </c>
      <c r="K101" s="64">
        <v>347.98</v>
      </c>
      <c r="L101" s="64">
        <v>24.51</v>
      </c>
      <c r="M101" s="64">
        <v>54.58</v>
      </c>
      <c r="N101" s="64">
        <v>22.1</v>
      </c>
      <c r="O101" s="64">
        <v>0</v>
      </c>
      <c r="P101" s="64">
        <v>1.84</v>
      </c>
      <c r="Q101" s="64">
        <v>11.66</v>
      </c>
      <c r="R101" s="198"/>
      <c r="S101" s="198"/>
      <c r="T101" s="198"/>
      <c r="U101" s="198"/>
    </row>
    <row r="102" spans="1:33" s="12" customFormat="1" x14ac:dyDescent="0.25">
      <c r="A102" s="214" t="s">
        <v>437</v>
      </c>
      <c r="B102" s="64">
        <v>119.7</v>
      </c>
      <c r="C102" s="64">
        <v>77.81</v>
      </c>
      <c r="D102" s="64">
        <v>136.56</v>
      </c>
      <c r="E102" s="64">
        <v>3.17</v>
      </c>
      <c r="F102" s="64">
        <v>3.37</v>
      </c>
      <c r="G102" s="64">
        <v>118.89</v>
      </c>
      <c r="H102" s="64">
        <v>177.75</v>
      </c>
      <c r="I102" s="64">
        <v>10.6</v>
      </c>
      <c r="J102" s="64">
        <v>0.06</v>
      </c>
      <c r="K102" s="64">
        <v>38.200000000000003</v>
      </c>
      <c r="L102" s="64">
        <v>24.33</v>
      </c>
      <c r="M102" s="64">
        <v>57.15</v>
      </c>
      <c r="N102" s="64">
        <v>22.1</v>
      </c>
      <c r="O102" s="64">
        <v>0</v>
      </c>
      <c r="P102" s="64">
        <v>1.91</v>
      </c>
      <c r="Q102" s="64">
        <v>11.74</v>
      </c>
      <c r="R102" s="198"/>
      <c r="S102" s="198"/>
      <c r="T102" s="198"/>
      <c r="U102" s="198"/>
    </row>
    <row r="103" spans="1:33" s="12" customFormat="1" x14ac:dyDescent="0.25">
      <c r="A103" s="214" t="s">
        <v>438</v>
      </c>
      <c r="B103" s="64">
        <v>128.65</v>
      </c>
      <c r="C103" s="64">
        <v>78.64</v>
      </c>
      <c r="D103" s="64">
        <v>144.18</v>
      </c>
      <c r="E103" s="64">
        <v>3.52</v>
      </c>
      <c r="F103" s="64">
        <v>3.5</v>
      </c>
      <c r="G103" s="64">
        <v>128.75</v>
      </c>
      <c r="H103" s="64">
        <v>63.44</v>
      </c>
      <c r="I103" s="64">
        <v>10.97</v>
      </c>
      <c r="J103" s="64">
        <v>0.13</v>
      </c>
      <c r="K103" s="64">
        <v>23.92</v>
      </c>
      <c r="L103" s="64">
        <v>24.29</v>
      </c>
      <c r="M103" s="64">
        <v>57.02</v>
      </c>
      <c r="N103" s="64">
        <v>21.9</v>
      </c>
      <c r="O103" s="64">
        <v>0</v>
      </c>
      <c r="P103" s="64">
        <v>1.96</v>
      </c>
      <c r="Q103" s="64">
        <v>11.92</v>
      </c>
      <c r="R103" s="198"/>
      <c r="S103" s="198"/>
      <c r="T103" s="198"/>
      <c r="U103" s="198"/>
    </row>
    <row r="104" spans="1:33" s="12" customFormat="1" x14ac:dyDescent="0.25">
      <c r="A104" s="214" t="s">
        <v>439</v>
      </c>
      <c r="B104" s="64">
        <v>134.24</v>
      </c>
      <c r="C104" s="64">
        <v>77.47</v>
      </c>
      <c r="D104" s="64">
        <v>148.04</v>
      </c>
      <c r="E104" s="64">
        <v>1.63</v>
      </c>
      <c r="F104" s="64">
        <v>3.51</v>
      </c>
      <c r="G104" s="64">
        <v>131.21</v>
      </c>
      <c r="H104" s="64">
        <v>63.44</v>
      </c>
      <c r="I104" s="64">
        <v>11.31</v>
      </c>
      <c r="J104" s="64">
        <v>0.35</v>
      </c>
      <c r="K104" s="64">
        <v>358.29</v>
      </c>
      <c r="L104" s="64">
        <v>24.67</v>
      </c>
      <c r="M104" s="64">
        <v>51.34</v>
      </c>
      <c r="N104" s="64">
        <v>20.7</v>
      </c>
      <c r="O104" s="64">
        <v>0</v>
      </c>
      <c r="P104" s="64">
        <v>1.96</v>
      </c>
      <c r="Q104" s="64">
        <v>12.04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3.71</v>
      </c>
      <c r="C106" s="67">
        <f>MIN(C9:C104)</f>
        <v>38.159999999999997</v>
      </c>
      <c r="D106" s="67">
        <f t="shared" ref="D106:Q106" si="0">MIN(D9:D104)</f>
        <v>22.83</v>
      </c>
      <c r="E106" s="67">
        <f t="shared" si="0"/>
        <v>0.89</v>
      </c>
      <c r="F106" s="67">
        <f t="shared" si="0"/>
        <v>3.06</v>
      </c>
      <c r="G106" s="67">
        <f t="shared" si="0"/>
        <v>51.42</v>
      </c>
      <c r="H106" s="67">
        <f t="shared" si="0"/>
        <v>11.74</v>
      </c>
      <c r="I106" s="67">
        <f t="shared" si="0"/>
        <v>3.87</v>
      </c>
      <c r="J106" s="67">
        <f t="shared" si="0"/>
        <v>0</v>
      </c>
      <c r="K106" s="67">
        <f t="shared" si="0"/>
        <v>2.87</v>
      </c>
      <c r="L106" s="67">
        <f t="shared" si="0"/>
        <v>21.6</v>
      </c>
      <c r="M106" s="67">
        <f t="shared" si="0"/>
        <v>11.73</v>
      </c>
      <c r="N106" s="67">
        <f t="shared" si="0"/>
        <v>20.7</v>
      </c>
      <c r="O106" s="67">
        <f t="shared" si="0"/>
        <v>0</v>
      </c>
      <c r="P106" s="67">
        <f t="shared" si="0"/>
        <v>0.52</v>
      </c>
      <c r="Q106" s="67">
        <f t="shared" si="0"/>
        <v>9.2200000000000006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134.24</v>
      </c>
      <c r="C107" s="66">
        <f t="shared" ref="C107:Q107" si="1">MAX(C9:C104)</f>
        <v>78.64</v>
      </c>
      <c r="D107" s="66">
        <f t="shared" si="1"/>
        <v>148.04</v>
      </c>
      <c r="E107" s="66">
        <f t="shared" si="1"/>
        <v>3.52</v>
      </c>
      <c r="F107" s="66">
        <f t="shared" si="1"/>
        <v>11.09</v>
      </c>
      <c r="G107" s="66">
        <f t="shared" si="1"/>
        <v>131.21</v>
      </c>
      <c r="H107" s="66">
        <f t="shared" si="1"/>
        <v>627.04</v>
      </c>
      <c r="I107" s="66">
        <f t="shared" si="1"/>
        <v>11.31</v>
      </c>
      <c r="J107" s="66">
        <f t="shared" si="1"/>
        <v>0.68</v>
      </c>
      <c r="K107" s="66">
        <f t="shared" si="1"/>
        <v>358.29</v>
      </c>
      <c r="L107" s="66">
        <f t="shared" si="1"/>
        <v>39.6</v>
      </c>
      <c r="M107" s="66">
        <f t="shared" si="1"/>
        <v>67.05</v>
      </c>
      <c r="N107" s="66">
        <f t="shared" si="1"/>
        <v>943.2</v>
      </c>
      <c r="O107" s="66">
        <f t="shared" si="1"/>
        <v>0</v>
      </c>
      <c r="P107" s="66">
        <f t="shared" si="1"/>
        <v>1.96</v>
      </c>
      <c r="Q107" s="66">
        <f t="shared" si="1"/>
        <v>12.04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25.413229166666667</v>
      </c>
      <c r="C108" s="67">
        <f t="shared" ref="C108:Q108" si="2">AVERAGE(C9:C104)</f>
        <v>61.615833333333342</v>
      </c>
      <c r="D108" s="67">
        <f t="shared" si="2"/>
        <v>52.491354166666703</v>
      </c>
      <c r="E108" s="67">
        <f t="shared" si="2"/>
        <v>2.02</v>
      </c>
      <c r="F108" s="67">
        <f t="shared" si="2"/>
        <v>5.0710416666666669</v>
      </c>
      <c r="G108" s="67">
        <f t="shared" si="2"/>
        <v>71.760208333333352</v>
      </c>
      <c r="H108" s="67">
        <f t="shared" si="2"/>
        <v>196.5982291666667</v>
      </c>
      <c r="I108" s="67">
        <f t="shared" si="2"/>
        <v>7.9093750000000034</v>
      </c>
      <c r="J108" s="67">
        <f t="shared" si="2"/>
        <v>0.2502083333333332</v>
      </c>
      <c r="K108" s="67">
        <f t="shared" si="2"/>
        <v>266.11010416666664</v>
      </c>
      <c r="L108" s="67">
        <f t="shared" si="2"/>
        <v>30.158333333333346</v>
      </c>
      <c r="M108" s="67">
        <f t="shared" si="2"/>
        <v>35.744479166666665</v>
      </c>
      <c r="N108" s="67">
        <f t="shared" si="2"/>
        <v>279.69687499999992</v>
      </c>
      <c r="O108" s="67">
        <f t="shared" si="2"/>
        <v>0</v>
      </c>
      <c r="P108" s="67">
        <f t="shared" si="2"/>
        <v>0.96916666666666673</v>
      </c>
      <c r="Q108" s="67">
        <f t="shared" si="2"/>
        <v>9.9989583333333325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27.793623482821104</v>
      </c>
      <c r="C109" s="67">
        <f t="shared" ref="C109:Q109" si="3">STDEV(C9:C104)</f>
        <v>8.0021970228794821</v>
      </c>
      <c r="D109" s="67">
        <f t="shared" si="3"/>
        <v>24.900405349471285</v>
      </c>
      <c r="E109" s="67">
        <f t="shared" si="3"/>
        <v>0.5578586880111075</v>
      </c>
      <c r="F109" s="67">
        <f t="shared" si="3"/>
        <v>2.4769873378622322</v>
      </c>
      <c r="G109" s="67">
        <f t="shared" si="3"/>
        <v>18.194190743153211</v>
      </c>
      <c r="H109" s="67">
        <f t="shared" si="3"/>
        <v>192.90296450203465</v>
      </c>
      <c r="I109" s="67">
        <f t="shared" si="3"/>
        <v>2.0858131381713796</v>
      </c>
      <c r="J109" s="67">
        <f t="shared" si="3"/>
        <v>0.1697054982619921</v>
      </c>
      <c r="K109" s="67">
        <f t="shared" si="3"/>
        <v>95.568730709697945</v>
      </c>
      <c r="L109" s="67">
        <f t="shared" si="3"/>
        <v>5.8550337617196115</v>
      </c>
      <c r="M109" s="67">
        <f t="shared" si="3"/>
        <v>16.975930568697727</v>
      </c>
      <c r="N109" s="67">
        <f t="shared" si="3"/>
        <v>334.65402950482422</v>
      </c>
      <c r="O109" s="67">
        <f t="shared" si="3"/>
        <v>0</v>
      </c>
      <c r="P109" s="67">
        <f t="shared" si="3"/>
        <v>0.35710433877500003</v>
      </c>
      <c r="Q109" s="67">
        <f t="shared" si="3"/>
        <v>0.54751011366129432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440</v>
      </c>
      <c r="B9" s="64">
        <v>131.24</v>
      </c>
      <c r="C9" s="64">
        <v>76.819999999999993</v>
      </c>
      <c r="D9" s="64">
        <v>145.30000000000001</v>
      </c>
      <c r="E9" s="64">
        <v>3.2</v>
      </c>
      <c r="F9" s="64">
        <v>3.29</v>
      </c>
      <c r="G9" s="64">
        <v>131.21</v>
      </c>
      <c r="H9" s="64">
        <v>63.44</v>
      </c>
      <c r="I9" s="64">
        <v>11.58</v>
      </c>
      <c r="J9" s="64">
        <v>0.06</v>
      </c>
      <c r="K9" s="64">
        <v>97.77</v>
      </c>
      <c r="L9" s="64">
        <v>25.46</v>
      </c>
      <c r="M9" s="64">
        <v>43.29</v>
      </c>
      <c r="N9" s="64">
        <v>21.4</v>
      </c>
      <c r="O9" s="64">
        <v>0</v>
      </c>
      <c r="P9" s="64">
        <v>1.96</v>
      </c>
      <c r="Q9" s="64">
        <v>12.15</v>
      </c>
      <c r="R9" s="198"/>
      <c r="S9" s="198"/>
      <c r="T9" s="198"/>
      <c r="U9" s="198"/>
    </row>
    <row r="10" spans="1:21" s="12" customFormat="1" x14ac:dyDescent="0.25">
      <c r="A10" s="214" t="s">
        <v>441</v>
      </c>
      <c r="B10" s="64">
        <v>126.76</v>
      </c>
      <c r="C10" s="64">
        <v>72.739999999999995</v>
      </c>
      <c r="D10" s="64">
        <v>139.57</v>
      </c>
      <c r="E10" s="64">
        <v>3.22</v>
      </c>
      <c r="F10" s="64">
        <v>3.63</v>
      </c>
      <c r="G10" s="64">
        <v>131.21</v>
      </c>
      <c r="H10" s="64">
        <v>63.44</v>
      </c>
      <c r="I10" s="64">
        <v>11.51</v>
      </c>
      <c r="J10" s="64">
        <v>0.1</v>
      </c>
      <c r="K10" s="64">
        <v>206.68</v>
      </c>
      <c r="L10" s="64">
        <v>25.35</v>
      </c>
      <c r="M10" s="64">
        <v>44.81</v>
      </c>
      <c r="N10" s="64">
        <v>21.8</v>
      </c>
      <c r="O10" s="64">
        <v>0</v>
      </c>
      <c r="P10" s="64">
        <v>1.95</v>
      </c>
      <c r="Q10" s="64">
        <v>11.97</v>
      </c>
      <c r="R10" s="198"/>
      <c r="S10" s="198"/>
      <c r="T10" s="198"/>
      <c r="U10" s="198"/>
    </row>
    <row r="11" spans="1:21" s="12" customFormat="1" x14ac:dyDescent="0.25">
      <c r="A11" s="214" t="s">
        <v>442</v>
      </c>
      <c r="B11" s="64">
        <v>123.79</v>
      </c>
      <c r="C11" s="64">
        <v>68.69</v>
      </c>
      <c r="D11" s="64">
        <v>135.07</v>
      </c>
      <c r="E11" s="64">
        <v>2.58</v>
      </c>
      <c r="F11" s="64">
        <v>3.67</v>
      </c>
      <c r="G11" s="64">
        <v>130.13</v>
      </c>
      <c r="H11" s="64">
        <v>39.51</v>
      </c>
      <c r="I11" s="64">
        <v>11.31</v>
      </c>
      <c r="J11" s="64">
        <v>0.1</v>
      </c>
      <c r="K11" s="64">
        <v>287.33999999999997</v>
      </c>
      <c r="L11" s="64">
        <v>24.9</v>
      </c>
      <c r="M11" s="64">
        <v>47.88</v>
      </c>
      <c r="N11" s="64">
        <v>22</v>
      </c>
      <c r="O11" s="64">
        <v>0</v>
      </c>
      <c r="P11" s="64">
        <v>1.94</v>
      </c>
      <c r="Q11" s="64">
        <v>11.82</v>
      </c>
      <c r="R11" s="198"/>
      <c r="S11" s="198"/>
      <c r="T11" s="198"/>
      <c r="U11" s="198"/>
    </row>
    <row r="12" spans="1:21" s="12" customFormat="1" x14ac:dyDescent="0.25">
      <c r="A12" s="214" t="s">
        <v>443</v>
      </c>
      <c r="B12" s="64">
        <v>121.25</v>
      </c>
      <c r="C12" s="64">
        <v>68.64</v>
      </c>
      <c r="D12" s="64">
        <v>133.01</v>
      </c>
      <c r="E12" s="64">
        <v>2.4300000000000002</v>
      </c>
      <c r="F12" s="64">
        <v>3.54</v>
      </c>
      <c r="G12" s="64">
        <v>129.86000000000001</v>
      </c>
      <c r="H12" s="64">
        <v>33.53</v>
      </c>
      <c r="I12" s="64">
        <v>10.88</v>
      </c>
      <c r="J12" s="64">
        <v>0.21</v>
      </c>
      <c r="K12" s="64">
        <v>254.02</v>
      </c>
      <c r="L12" s="64">
        <v>24.2</v>
      </c>
      <c r="M12" s="64">
        <v>51.2</v>
      </c>
      <c r="N12" s="64">
        <v>22.1</v>
      </c>
      <c r="O12" s="64">
        <v>0</v>
      </c>
      <c r="P12" s="64">
        <v>1.95</v>
      </c>
      <c r="Q12" s="64">
        <v>11.88</v>
      </c>
      <c r="R12" s="198"/>
      <c r="S12" s="198"/>
      <c r="T12" s="198"/>
      <c r="U12" s="198"/>
    </row>
    <row r="13" spans="1:21" s="12" customFormat="1" x14ac:dyDescent="0.25">
      <c r="A13" s="214" t="s">
        <v>444</v>
      </c>
      <c r="B13" s="64">
        <v>117.93</v>
      </c>
      <c r="C13" s="64">
        <v>68.09</v>
      </c>
      <c r="D13" s="64">
        <v>130.06</v>
      </c>
      <c r="E13" s="64">
        <v>2.48</v>
      </c>
      <c r="F13" s="64">
        <v>3.69</v>
      </c>
      <c r="G13" s="64">
        <v>129.86000000000001</v>
      </c>
      <c r="H13" s="64">
        <v>33.53</v>
      </c>
      <c r="I13" s="64">
        <v>10.94</v>
      </c>
      <c r="J13" s="64">
        <v>0.92</v>
      </c>
      <c r="K13" s="64">
        <v>199.99</v>
      </c>
      <c r="L13" s="64">
        <v>25.11</v>
      </c>
      <c r="M13" s="64">
        <v>43.71</v>
      </c>
      <c r="N13" s="64">
        <v>19.8</v>
      </c>
      <c r="O13" s="64">
        <v>0</v>
      </c>
      <c r="P13" s="64">
        <v>1.71</v>
      </c>
      <c r="Q13" s="64">
        <v>11.8</v>
      </c>
      <c r="R13" s="198"/>
      <c r="S13" s="198"/>
      <c r="T13" s="198"/>
      <c r="U13" s="198"/>
    </row>
    <row r="14" spans="1:21" s="12" customFormat="1" x14ac:dyDescent="0.25">
      <c r="A14" s="214" t="s">
        <v>445</v>
      </c>
      <c r="B14" s="64">
        <v>110.59</v>
      </c>
      <c r="C14" s="64">
        <v>67.14</v>
      </c>
      <c r="D14" s="64">
        <v>123.68</v>
      </c>
      <c r="E14" s="64">
        <v>2.4900000000000002</v>
      </c>
      <c r="F14" s="64">
        <v>3.72</v>
      </c>
      <c r="G14" s="64">
        <v>129.86000000000001</v>
      </c>
      <c r="H14" s="64">
        <v>33.53</v>
      </c>
      <c r="I14" s="64">
        <v>11.37</v>
      </c>
      <c r="J14" s="64">
        <v>0.72</v>
      </c>
      <c r="K14" s="64">
        <v>207.95</v>
      </c>
      <c r="L14" s="64">
        <v>24.44</v>
      </c>
      <c r="M14" s="64">
        <v>47.94</v>
      </c>
      <c r="N14" s="64">
        <v>22.3</v>
      </c>
      <c r="O14" s="64">
        <v>0</v>
      </c>
      <c r="P14" s="64">
        <v>1.71</v>
      </c>
      <c r="Q14" s="64">
        <v>11.66</v>
      </c>
      <c r="R14" s="198"/>
      <c r="S14" s="198"/>
      <c r="T14" s="198"/>
      <c r="U14" s="198"/>
    </row>
    <row r="15" spans="1:21" s="12" customFormat="1" x14ac:dyDescent="0.25">
      <c r="A15" s="214" t="s">
        <v>446</v>
      </c>
      <c r="B15" s="64">
        <v>103.91</v>
      </c>
      <c r="C15" s="64">
        <v>65.61</v>
      </c>
      <c r="D15" s="64">
        <v>117.53</v>
      </c>
      <c r="E15" s="64">
        <v>2.72</v>
      </c>
      <c r="F15" s="64">
        <v>3.25</v>
      </c>
      <c r="G15" s="64">
        <v>124.73</v>
      </c>
      <c r="H15" s="64">
        <v>42.44</v>
      </c>
      <c r="I15" s="64">
        <v>11.82</v>
      </c>
      <c r="J15" s="64">
        <v>0.4</v>
      </c>
      <c r="K15" s="64">
        <v>162.56</v>
      </c>
      <c r="L15" s="64">
        <v>23.67</v>
      </c>
      <c r="M15" s="64">
        <v>51.58</v>
      </c>
      <c r="N15" s="64">
        <v>22.4</v>
      </c>
      <c r="O15" s="64">
        <v>0</v>
      </c>
      <c r="P15" s="64">
        <v>1.58</v>
      </c>
      <c r="Q15" s="64">
        <v>11.77</v>
      </c>
      <c r="R15" s="198"/>
      <c r="S15" s="198"/>
      <c r="T15" s="198"/>
      <c r="U15" s="198"/>
    </row>
    <row r="16" spans="1:21" s="12" customFormat="1" x14ac:dyDescent="0.25">
      <c r="A16" s="214" t="s">
        <v>447</v>
      </c>
      <c r="B16" s="64">
        <v>99.91</v>
      </c>
      <c r="C16" s="64">
        <v>64.36</v>
      </c>
      <c r="D16" s="64">
        <v>113.66</v>
      </c>
      <c r="E16" s="64">
        <v>2.46</v>
      </c>
      <c r="F16" s="64">
        <v>3.28</v>
      </c>
      <c r="G16" s="64">
        <v>123.45</v>
      </c>
      <c r="H16" s="64">
        <v>44.67</v>
      </c>
      <c r="I16" s="64">
        <v>11.45</v>
      </c>
      <c r="J16" s="64">
        <v>0.2</v>
      </c>
      <c r="K16" s="64">
        <v>218.18</v>
      </c>
      <c r="L16" s="64">
        <v>23.69</v>
      </c>
      <c r="M16" s="64">
        <v>49.04</v>
      </c>
      <c r="N16" s="64">
        <v>21.7</v>
      </c>
      <c r="O16" s="64">
        <v>0</v>
      </c>
      <c r="P16" s="64">
        <v>1.5</v>
      </c>
      <c r="Q16" s="64">
        <v>11.64</v>
      </c>
      <c r="R16" s="198"/>
      <c r="S16" s="198"/>
      <c r="T16" s="198"/>
      <c r="U16" s="198"/>
    </row>
    <row r="17" spans="1:21" s="12" customFormat="1" x14ac:dyDescent="0.25">
      <c r="A17" s="214" t="s">
        <v>448</v>
      </c>
      <c r="B17" s="64">
        <v>96.44</v>
      </c>
      <c r="C17" s="64">
        <v>62.99</v>
      </c>
      <c r="D17" s="64">
        <v>110.16</v>
      </c>
      <c r="E17" s="64">
        <v>2.2799999999999998</v>
      </c>
      <c r="F17" s="64">
        <v>3.19</v>
      </c>
      <c r="G17" s="64">
        <v>123.45</v>
      </c>
      <c r="H17" s="64">
        <v>44.67</v>
      </c>
      <c r="I17" s="64">
        <v>9.8699999999999992</v>
      </c>
      <c r="J17" s="64">
        <v>0.2</v>
      </c>
      <c r="K17" s="64">
        <v>338.48</v>
      </c>
      <c r="L17" s="64">
        <v>23.05</v>
      </c>
      <c r="M17" s="64">
        <v>54.63</v>
      </c>
      <c r="N17" s="64">
        <v>22.6</v>
      </c>
      <c r="O17" s="64">
        <v>0</v>
      </c>
      <c r="P17" s="64">
        <v>1.49</v>
      </c>
      <c r="Q17" s="64">
        <v>11.49</v>
      </c>
      <c r="R17" s="198"/>
      <c r="S17" s="198"/>
      <c r="T17" s="198"/>
      <c r="U17" s="198"/>
    </row>
    <row r="18" spans="1:21" s="12" customFormat="1" x14ac:dyDescent="0.25">
      <c r="A18" s="214" t="s">
        <v>449</v>
      </c>
      <c r="B18" s="64">
        <v>92.85</v>
      </c>
      <c r="C18" s="64">
        <v>61.43</v>
      </c>
      <c r="D18" s="64">
        <v>106.47</v>
      </c>
      <c r="E18" s="64">
        <v>2.3199999999999998</v>
      </c>
      <c r="F18" s="64">
        <v>3.32</v>
      </c>
      <c r="G18" s="64">
        <v>123.45</v>
      </c>
      <c r="H18" s="64">
        <v>44.67</v>
      </c>
      <c r="I18" s="64">
        <v>9.0500000000000007</v>
      </c>
      <c r="J18" s="64">
        <v>0.17</v>
      </c>
      <c r="K18" s="64">
        <v>321.76</v>
      </c>
      <c r="L18" s="64">
        <v>22.44</v>
      </c>
      <c r="M18" s="64">
        <v>57.33</v>
      </c>
      <c r="N18" s="64">
        <v>22.4</v>
      </c>
      <c r="O18" s="64">
        <v>0</v>
      </c>
      <c r="P18" s="64">
        <v>1.49</v>
      </c>
      <c r="Q18" s="64">
        <v>11.46</v>
      </c>
      <c r="R18" s="198"/>
      <c r="S18" s="198"/>
      <c r="T18" s="198"/>
      <c r="U18" s="198"/>
    </row>
    <row r="19" spans="1:21" s="12" customFormat="1" x14ac:dyDescent="0.25">
      <c r="A19" s="214" t="s">
        <v>450</v>
      </c>
      <c r="B19" s="64">
        <v>88.35</v>
      </c>
      <c r="C19" s="64">
        <v>60.67</v>
      </c>
      <c r="D19" s="64">
        <v>102.47</v>
      </c>
      <c r="E19" s="64">
        <v>2.39</v>
      </c>
      <c r="F19" s="64">
        <v>3.16</v>
      </c>
      <c r="G19" s="64">
        <v>102.82</v>
      </c>
      <c r="H19" s="64">
        <v>48.99</v>
      </c>
      <c r="I19" s="64">
        <v>9.82</v>
      </c>
      <c r="J19" s="64">
        <v>0.17</v>
      </c>
      <c r="K19" s="64">
        <v>306.64</v>
      </c>
      <c r="L19" s="64">
        <v>22.04</v>
      </c>
      <c r="M19" s="64">
        <v>58.89</v>
      </c>
      <c r="N19" s="64">
        <v>22.2</v>
      </c>
      <c r="O19" s="64">
        <v>0</v>
      </c>
      <c r="P19" s="64">
        <v>1.43</v>
      </c>
      <c r="Q19" s="64">
        <v>11.45</v>
      </c>
      <c r="R19" s="198"/>
      <c r="S19" s="198"/>
      <c r="T19" s="198"/>
      <c r="U19" s="198"/>
    </row>
    <row r="20" spans="1:21" s="12" customFormat="1" x14ac:dyDescent="0.25">
      <c r="A20" s="214" t="s">
        <v>451</v>
      </c>
      <c r="B20" s="64">
        <v>83.84</v>
      </c>
      <c r="C20" s="64">
        <v>59.91</v>
      </c>
      <c r="D20" s="64">
        <v>98.46</v>
      </c>
      <c r="E20" s="64">
        <v>2.44</v>
      </c>
      <c r="F20" s="64">
        <v>3.3</v>
      </c>
      <c r="G20" s="64">
        <v>97.66</v>
      </c>
      <c r="H20" s="64">
        <v>50.07</v>
      </c>
      <c r="I20" s="64">
        <v>11.21</v>
      </c>
      <c r="J20" s="64">
        <v>0.09</v>
      </c>
      <c r="K20" s="64">
        <v>60.44</v>
      </c>
      <c r="L20" s="64">
        <v>22.23</v>
      </c>
      <c r="M20" s="64">
        <v>59.5</v>
      </c>
      <c r="N20" s="64">
        <v>22.1</v>
      </c>
      <c r="O20" s="64">
        <v>0</v>
      </c>
      <c r="P20" s="64">
        <v>1.36</v>
      </c>
      <c r="Q20" s="64">
        <v>11.28</v>
      </c>
      <c r="R20" s="198"/>
      <c r="S20" s="198"/>
      <c r="T20" s="198"/>
      <c r="U20" s="198"/>
    </row>
    <row r="21" spans="1:21" s="12" customFormat="1" x14ac:dyDescent="0.25">
      <c r="A21" s="214" t="s">
        <v>452</v>
      </c>
      <c r="B21" s="64">
        <v>79.900000000000006</v>
      </c>
      <c r="C21" s="64">
        <v>59.32</v>
      </c>
      <c r="D21" s="64">
        <v>94.99</v>
      </c>
      <c r="E21" s="64">
        <v>2.1800000000000002</v>
      </c>
      <c r="F21" s="64">
        <v>3.21</v>
      </c>
      <c r="G21" s="64">
        <v>97.66</v>
      </c>
      <c r="H21" s="64">
        <v>50.07</v>
      </c>
      <c r="I21" s="64">
        <v>11.07</v>
      </c>
      <c r="J21" s="64">
        <v>0.08</v>
      </c>
      <c r="K21" s="64">
        <v>339.77</v>
      </c>
      <c r="L21" s="64">
        <v>22.31</v>
      </c>
      <c r="M21" s="64">
        <v>59.45</v>
      </c>
      <c r="N21" s="64">
        <v>22</v>
      </c>
      <c r="O21" s="64">
        <v>0</v>
      </c>
      <c r="P21" s="64">
        <v>1.3</v>
      </c>
      <c r="Q21" s="64">
        <v>11.24</v>
      </c>
      <c r="R21" s="198"/>
      <c r="S21" s="198"/>
      <c r="T21" s="198"/>
      <c r="U21" s="198"/>
    </row>
    <row r="22" spans="1:21" s="12" customFormat="1" x14ac:dyDescent="0.25">
      <c r="A22" s="214" t="s">
        <v>453</v>
      </c>
      <c r="B22" s="64">
        <v>76.23</v>
      </c>
      <c r="C22" s="64">
        <v>59.09</v>
      </c>
      <c r="D22" s="64">
        <v>91.92</v>
      </c>
      <c r="E22" s="64">
        <v>2.12</v>
      </c>
      <c r="F22" s="64">
        <v>3.22</v>
      </c>
      <c r="G22" s="64">
        <v>97.66</v>
      </c>
      <c r="H22" s="64">
        <v>50.07</v>
      </c>
      <c r="I22" s="64">
        <v>10.62</v>
      </c>
      <c r="J22" s="64">
        <v>0.56000000000000005</v>
      </c>
      <c r="K22" s="64">
        <v>3.73</v>
      </c>
      <c r="L22" s="64">
        <v>22.37</v>
      </c>
      <c r="M22" s="64">
        <v>57.38</v>
      </c>
      <c r="N22" s="64">
        <v>20.9</v>
      </c>
      <c r="O22" s="64">
        <v>0</v>
      </c>
      <c r="P22" s="64">
        <v>1.24</v>
      </c>
      <c r="Q22" s="64">
        <v>11.06</v>
      </c>
      <c r="R22" s="198"/>
      <c r="S22" s="198"/>
      <c r="T22" s="198"/>
      <c r="U22" s="198"/>
    </row>
    <row r="23" spans="1:21" s="12" customFormat="1" x14ac:dyDescent="0.25">
      <c r="A23" s="214" t="s">
        <v>454</v>
      </c>
      <c r="B23" s="64">
        <v>72.27</v>
      </c>
      <c r="C23" s="64">
        <v>58.56</v>
      </c>
      <c r="D23" s="64">
        <v>88.47</v>
      </c>
      <c r="E23" s="64">
        <v>2.16</v>
      </c>
      <c r="F23" s="64">
        <v>3.25</v>
      </c>
      <c r="G23" s="64">
        <v>94.7</v>
      </c>
      <c r="H23" s="64">
        <v>89.24</v>
      </c>
      <c r="I23" s="64">
        <v>10.25</v>
      </c>
      <c r="J23" s="64">
        <v>1.06</v>
      </c>
      <c r="K23" s="64">
        <v>354.97</v>
      </c>
      <c r="L23" s="64">
        <v>23.66</v>
      </c>
      <c r="M23" s="64">
        <v>44.52</v>
      </c>
      <c r="N23" s="64">
        <v>19.600000000000001</v>
      </c>
      <c r="O23" s="64">
        <v>0</v>
      </c>
      <c r="P23" s="64">
        <v>1.2</v>
      </c>
      <c r="Q23" s="64">
        <v>11.08</v>
      </c>
      <c r="R23" s="198"/>
      <c r="S23" s="198"/>
      <c r="T23" s="198"/>
      <c r="U23" s="198"/>
    </row>
    <row r="24" spans="1:21" s="12" customFormat="1" x14ac:dyDescent="0.25">
      <c r="A24" s="214" t="s">
        <v>455</v>
      </c>
      <c r="B24" s="64">
        <v>68.41</v>
      </c>
      <c r="C24" s="64">
        <v>59.06</v>
      </c>
      <c r="D24" s="64">
        <v>85.64</v>
      </c>
      <c r="E24" s="64">
        <v>0.99</v>
      </c>
      <c r="F24" s="64">
        <v>3.22</v>
      </c>
      <c r="G24" s="64">
        <v>93.96</v>
      </c>
      <c r="H24" s="64">
        <v>99.04</v>
      </c>
      <c r="I24" s="64">
        <v>9.89</v>
      </c>
      <c r="J24" s="64">
        <v>0.17</v>
      </c>
      <c r="K24" s="64">
        <v>359.91</v>
      </c>
      <c r="L24" s="64">
        <v>23.64</v>
      </c>
      <c r="M24" s="64">
        <v>44.76</v>
      </c>
      <c r="N24" s="64">
        <v>22.3</v>
      </c>
      <c r="O24" s="64">
        <v>0</v>
      </c>
      <c r="P24" s="64">
        <v>1.17</v>
      </c>
      <c r="Q24" s="64">
        <v>10.98</v>
      </c>
      <c r="R24" s="198"/>
      <c r="S24" s="198"/>
      <c r="T24" s="198"/>
      <c r="U24" s="198"/>
    </row>
    <row r="25" spans="1:21" s="12" customFormat="1" x14ac:dyDescent="0.25">
      <c r="A25" s="214" t="s">
        <v>456</v>
      </c>
      <c r="B25" s="64">
        <v>65.12</v>
      </c>
      <c r="C25" s="64">
        <v>59.44</v>
      </c>
      <c r="D25" s="64">
        <v>83.19</v>
      </c>
      <c r="E25" s="64">
        <v>1.59</v>
      </c>
      <c r="F25" s="64">
        <v>3.18</v>
      </c>
      <c r="G25" s="64">
        <v>93.96</v>
      </c>
      <c r="H25" s="64">
        <v>99.04</v>
      </c>
      <c r="I25" s="64">
        <v>10.09</v>
      </c>
      <c r="J25" s="64">
        <v>0.16</v>
      </c>
      <c r="K25" s="64">
        <v>214.32</v>
      </c>
      <c r="L25" s="64">
        <v>23.34</v>
      </c>
      <c r="M25" s="64">
        <v>44.47</v>
      </c>
      <c r="N25" s="64">
        <v>22.4</v>
      </c>
      <c r="O25" s="64">
        <v>0</v>
      </c>
      <c r="P25" s="64">
        <v>1.1499999999999999</v>
      </c>
      <c r="Q25" s="64">
        <v>10.98</v>
      </c>
      <c r="R25" s="198"/>
      <c r="S25" s="198"/>
      <c r="T25" s="198"/>
      <c r="U25" s="198"/>
    </row>
    <row r="26" spans="1:21" s="12" customFormat="1" x14ac:dyDescent="0.25">
      <c r="A26" s="214" t="s">
        <v>457</v>
      </c>
      <c r="B26" s="64">
        <v>62.45</v>
      </c>
      <c r="C26" s="64">
        <v>59.4</v>
      </c>
      <c r="D26" s="64">
        <v>81.03</v>
      </c>
      <c r="E26" s="64">
        <v>1.69</v>
      </c>
      <c r="F26" s="64">
        <v>3.09</v>
      </c>
      <c r="G26" s="64">
        <v>93.96</v>
      </c>
      <c r="H26" s="64">
        <v>99.04</v>
      </c>
      <c r="I26" s="64">
        <v>9.81</v>
      </c>
      <c r="J26" s="64">
        <v>0.19</v>
      </c>
      <c r="K26" s="64">
        <v>264.58999999999997</v>
      </c>
      <c r="L26" s="64">
        <v>23.04</v>
      </c>
      <c r="M26" s="64">
        <v>49.58</v>
      </c>
      <c r="N26" s="64">
        <v>22.4</v>
      </c>
      <c r="O26" s="64">
        <v>0</v>
      </c>
      <c r="P26" s="64">
        <v>1.1499999999999999</v>
      </c>
      <c r="Q26" s="64">
        <v>10.86</v>
      </c>
      <c r="R26" s="198"/>
      <c r="S26" s="198"/>
      <c r="T26" s="198"/>
      <c r="U26" s="198"/>
    </row>
    <row r="27" spans="1:21" s="12" customFormat="1" x14ac:dyDescent="0.25">
      <c r="A27" s="214" t="s">
        <v>458</v>
      </c>
      <c r="B27" s="64">
        <v>60.74</v>
      </c>
      <c r="C27" s="64">
        <v>59.68</v>
      </c>
      <c r="D27" s="64">
        <v>79.8</v>
      </c>
      <c r="E27" s="64">
        <v>1.78</v>
      </c>
      <c r="F27" s="64">
        <v>3.11</v>
      </c>
      <c r="G27" s="64">
        <v>125.11</v>
      </c>
      <c r="H27" s="64">
        <v>35.4</v>
      </c>
      <c r="I27" s="64">
        <v>9.5500000000000007</v>
      </c>
      <c r="J27" s="64">
        <v>0.14000000000000001</v>
      </c>
      <c r="K27" s="64">
        <v>351.73</v>
      </c>
      <c r="L27" s="64">
        <v>22.51</v>
      </c>
      <c r="M27" s="64">
        <v>51.74</v>
      </c>
      <c r="N27" s="64">
        <v>22.6</v>
      </c>
      <c r="O27" s="64">
        <v>0</v>
      </c>
      <c r="P27" s="64">
        <v>1.1399999999999999</v>
      </c>
      <c r="Q27" s="64">
        <v>10.71</v>
      </c>
      <c r="R27" s="198"/>
      <c r="S27" s="198"/>
      <c r="T27" s="198"/>
      <c r="U27" s="198"/>
    </row>
    <row r="28" spans="1:21" s="12" customFormat="1" x14ac:dyDescent="0.25">
      <c r="A28" s="214" t="s">
        <v>459</v>
      </c>
      <c r="B28" s="64">
        <v>60.25</v>
      </c>
      <c r="C28" s="64">
        <v>59.32</v>
      </c>
      <c r="D28" s="64">
        <v>79.23</v>
      </c>
      <c r="E28" s="64">
        <v>1.63</v>
      </c>
      <c r="F28" s="64">
        <v>3.28</v>
      </c>
      <c r="G28" s="64">
        <v>132.88999999999999</v>
      </c>
      <c r="H28" s="64">
        <v>19.489999999999998</v>
      </c>
      <c r="I28" s="64">
        <v>9.6300000000000008</v>
      </c>
      <c r="J28" s="64">
        <v>0.14000000000000001</v>
      </c>
      <c r="K28" s="64">
        <v>247.61</v>
      </c>
      <c r="L28" s="64">
        <v>22.2</v>
      </c>
      <c r="M28" s="64">
        <v>54.37</v>
      </c>
      <c r="N28" s="64">
        <v>22</v>
      </c>
      <c r="O28" s="64">
        <v>0</v>
      </c>
      <c r="P28" s="64">
        <v>1.1399999999999999</v>
      </c>
      <c r="Q28" s="64">
        <v>10.78</v>
      </c>
      <c r="R28" s="198"/>
      <c r="S28" s="198"/>
      <c r="T28" s="198"/>
      <c r="U28" s="198"/>
    </row>
    <row r="29" spans="1:21" s="12" customFormat="1" x14ac:dyDescent="0.25">
      <c r="A29" s="214" t="s">
        <v>460</v>
      </c>
      <c r="B29" s="64">
        <v>61</v>
      </c>
      <c r="C29" s="64">
        <v>57.29</v>
      </c>
      <c r="D29" s="64">
        <v>78.77</v>
      </c>
      <c r="E29" s="64">
        <v>1.59</v>
      </c>
      <c r="F29" s="64">
        <v>3.22</v>
      </c>
      <c r="G29" s="64">
        <v>132.88999999999999</v>
      </c>
      <c r="H29" s="64">
        <v>19.489999999999998</v>
      </c>
      <c r="I29" s="64">
        <v>9.57</v>
      </c>
      <c r="J29" s="64">
        <v>0.24</v>
      </c>
      <c r="K29" s="64">
        <v>283.87</v>
      </c>
      <c r="L29" s="64">
        <v>22.6</v>
      </c>
      <c r="M29" s="64">
        <v>55.15</v>
      </c>
      <c r="N29" s="64">
        <v>21.8</v>
      </c>
      <c r="O29" s="64">
        <v>0</v>
      </c>
      <c r="P29" s="64">
        <v>1.1499999999999999</v>
      </c>
      <c r="Q29" s="64">
        <v>10.68</v>
      </c>
      <c r="R29" s="198"/>
      <c r="S29" s="198"/>
      <c r="T29" s="198"/>
      <c r="U29" s="198"/>
    </row>
    <row r="30" spans="1:21" s="12" customFormat="1" x14ac:dyDescent="0.25">
      <c r="A30" s="214" t="s">
        <v>461</v>
      </c>
      <c r="B30" s="64">
        <v>62.52</v>
      </c>
      <c r="C30" s="64">
        <v>57.19</v>
      </c>
      <c r="D30" s="64">
        <v>79.94</v>
      </c>
      <c r="E30" s="64">
        <v>1.41</v>
      </c>
      <c r="F30" s="64">
        <v>3.01</v>
      </c>
      <c r="G30" s="64">
        <v>132.88999999999999</v>
      </c>
      <c r="H30" s="64">
        <v>19.489999999999998</v>
      </c>
      <c r="I30" s="64">
        <v>9.2899999999999991</v>
      </c>
      <c r="J30" s="64">
        <v>0.21</v>
      </c>
      <c r="K30" s="64">
        <v>296.73</v>
      </c>
      <c r="L30" s="64">
        <v>21.96</v>
      </c>
      <c r="M30" s="64">
        <v>60.59</v>
      </c>
      <c r="N30" s="64">
        <v>22.4</v>
      </c>
      <c r="O30" s="64">
        <v>0</v>
      </c>
      <c r="P30" s="64">
        <v>1.17</v>
      </c>
      <c r="Q30" s="64">
        <v>10.6</v>
      </c>
      <c r="R30" s="198"/>
      <c r="S30" s="198"/>
      <c r="T30" s="198"/>
      <c r="U30" s="198"/>
    </row>
    <row r="31" spans="1:21" s="12" customFormat="1" x14ac:dyDescent="0.25">
      <c r="A31" s="214" t="s">
        <v>462</v>
      </c>
      <c r="B31" s="64">
        <v>64.33</v>
      </c>
      <c r="C31" s="64">
        <v>57.93</v>
      </c>
      <c r="D31" s="64">
        <v>81.77</v>
      </c>
      <c r="E31" s="64">
        <v>1.8</v>
      </c>
      <c r="F31" s="64">
        <v>3.08</v>
      </c>
      <c r="G31" s="64">
        <v>199.26</v>
      </c>
      <c r="H31" s="64">
        <v>26.49</v>
      </c>
      <c r="I31" s="64">
        <v>9.0500000000000007</v>
      </c>
      <c r="J31" s="64">
        <v>0.2</v>
      </c>
      <c r="K31" s="64">
        <v>266.31</v>
      </c>
      <c r="L31" s="64">
        <v>22.31</v>
      </c>
      <c r="M31" s="64">
        <v>53.49</v>
      </c>
      <c r="N31" s="64">
        <v>23.4</v>
      </c>
      <c r="O31" s="64">
        <v>0</v>
      </c>
      <c r="P31" s="64">
        <v>1.17</v>
      </c>
      <c r="Q31" s="64">
        <v>10.76</v>
      </c>
      <c r="R31" s="198"/>
      <c r="S31" s="198"/>
      <c r="T31" s="198"/>
      <c r="U31" s="198"/>
    </row>
    <row r="32" spans="1:21" s="12" customFormat="1" x14ac:dyDescent="0.25">
      <c r="A32" s="214" t="s">
        <v>463</v>
      </c>
      <c r="B32" s="64">
        <v>66.75</v>
      </c>
      <c r="C32" s="64">
        <v>58.26</v>
      </c>
      <c r="D32" s="64">
        <v>83.89</v>
      </c>
      <c r="E32" s="64">
        <v>1.96</v>
      </c>
      <c r="F32" s="64">
        <v>3.02</v>
      </c>
      <c r="G32" s="64">
        <v>215.85</v>
      </c>
      <c r="H32" s="64">
        <v>28.24</v>
      </c>
      <c r="I32" s="64">
        <v>9.17</v>
      </c>
      <c r="J32" s="64">
        <v>0.11</v>
      </c>
      <c r="K32" s="64">
        <v>359.72</v>
      </c>
      <c r="L32" s="64">
        <v>22.53</v>
      </c>
      <c r="M32" s="64">
        <v>54.01</v>
      </c>
      <c r="N32" s="64">
        <v>30.6</v>
      </c>
      <c r="O32" s="64">
        <v>0</v>
      </c>
      <c r="P32" s="64">
        <v>1.17</v>
      </c>
      <c r="Q32" s="64">
        <v>10.86</v>
      </c>
      <c r="R32" s="198"/>
      <c r="S32" s="198"/>
      <c r="T32" s="198"/>
      <c r="U32" s="198"/>
    </row>
    <row r="33" spans="1:21" s="12" customFormat="1" x14ac:dyDescent="0.25">
      <c r="A33" s="214" t="s">
        <v>464</v>
      </c>
      <c r="B33" s="64">
        <v>68.42</v>
      </c>
      <c r="C33" s="64">
        <v>57.79</v>
      </c>
      <c r="D33" s="64">
        <v>84.98</v>
      </c>
      <c r="E33" s="64">
        <v>1.85</v>
      </c>
      <c r="F33" s="64">
        <v>3.07</v>
      </c>
      <c r="G33" s="64">
        <v>215.85</v>
      </c>
      <c r="H33" s="64">
        <v>28.24</v>
      </c>
      <c r="I33" s="64">
        <v>8.7799999999999994</v>
      </c>
      <c r="J33" s="64">
        <v>0.45</v>
      </c>
      <c r="K33" s="64">
        <v>204.45</v>
      </c>
      <c r="L33" s="64">
        <v>22.82</v>
      </c>
      <c r="M33" s="64">
        <v>52.12</v>
      </c>
      <c r="N33" s="64">
        <v>44.9</v>
      </c>
      <c r="O33" s="64">
        <v>0</v>
      </c>
      <c r="P33" s="64">
        <v>1.1599999999999999</v>
      </c>
      <c r="Q33" s="64">
        <v>10.92</v>
      </c>
      <c r="R33" s="198"/>
      <c r="S33" s="198"/>
      <c r="T33" s="198"/>
      <c r="U33" s="198"/>
    </row>
    <row r="34" spans="1:21" s="12" customFormat="1" x14ac:dyDescent="0.25">
      <c r="A34" s="214" t="s">
        <v>465</v>
      </c>
      <c r="B34" s="64">
        <v>69.540000000000006</v>
      </c>
      <c r="C34" s="64">
        <v>57.51</v>
      </c>
      <c r="D34" s="64">
        <v>85.73</v>
      </c>
      <c r="E34" s="64">
        <v>1.8</v>
      </c>
      <c r="F34" s="64">
        <v>3.42</v>
      </c>
      <c r="G34" s="64">
        <v>215.85</v>
      </c>
      <c r="H34" s="64">
        <v>28.24</v>
      </c>
      <c r="I34" s="64">
        <v>9.25</v>
      </c>
      <c r="J34" s="64">
        <v>0.1</v>
      </c>
      <c r="K34" s="64">
        <v>309.7</v>
      </c>
      <c r="L34" s="64">
        <v>23.18</v>
      </c>
      <c r="M34" s="64">
        <v>54.8</v>
      </c>
      <c r="N34" s="64">
        <v>72.5</v>
      </c>
      <c r="O34" s="64">
        <v>0</v>
      </c>
      <c r="P34" s="64">
        <v>1.1599999999999999</v>
      </c>
      <c r="Q34" s="64">
        <v>10.87</v>
      </c>
      <c r="R34" s="198"/>
      <c r="S34" s="198"/>
      <c r="T34" s="198"/>
      <c r="U34" s="198"/>
    </row>
    <row r="35" spans="1:21" s="12" customFormat="1" x14ac:dyDescent="0.25">
      <c r="A35" s="214" t="s">
        <v>466</v>
      </c>
      <c r="B35" s="64">
        <v>71.38</v>
      </c>
      <c r="C35" s="64">
        <v>57.7</v>
      </c>
      <c r="D35" s="64">
        <v>87.31</v>
      </c>
      <c r="E35" s="64">
        <v>1.93</v>
      </c>
      <c r="F35" s="64">
        <v>3.34</v>
      </c>
      <c r="G35" s="64">
        <v>204.16</v>
      </c>
      <c r="H35" s="64">
        <v>29.94</v>
      </c>
      <c r="I35" s="64">
        <v>9.75</v>
      </c>
      <c r="J35" s="64">
        <v>0.11</v>
      </c>
      <c r="K35" s="64">
        <v>322.13</v>
      </c>
      <c r="L35" s="64">
        <v>23.77</v>
      </c>
      <c r="M35" s="64">
        <v>53.26</v>
      </c>
      <c r="N35" s="64">
        <v>106.6</v>
      </c>
      <c r="O35" s="64">
        <v>0</v>
      </c>
      <c r="P35" s="64">
        <v>1.18</v>
      </c>
      <c r="Q35" s="64">
        <v>10.93</v>
      </c>
      <c r="R35" s="198"/>
      <c r="S35" s="198"/>
      <c r="T35" s="198"/>
      <c r="U35" s="198"/>
    </row>
    <row r="36" spans="1:21" s="12" customFormat="1" x14ac:dyDescent="0.25">
      <c r="A36" s="214" t="s">
        <v>467</v>
      </c>
      <c r="B36" s="64">
        <v>73.739999999999995</v>
      </c>
      <c r="C36" s="64">
        <v>57.47</v>
      </c>
      <c r="D36" s="64">
        <v>89.08</v>
      </c>
      <c r="E36" s="64">
        <v>1.9</v>
      </c>
      <c r="F36" s="64">
        <v>3.21</v>
      </c>
      <c r="G36" s="64">
        <v>201.24</v>
      </c>
      <c r="H36" s="64">
        <v>30.37</v>
      </c>
      <c r="I36" s="64">
        <v>9.7899999999999991</v>
      </c>
      <c r="J36" s="64">
        <v>0.15</v>
      </c>
      <c r="K36" s="64">
        <v>225.85</v>
      </c>
      <c r="L36" s="64">
        <v>24.91</v>
      </c>
      <c r="M36" s="64">
        <v>49.03</v>
      </c>
      <c r="N36" s="64">
        <v>144.5</v>
      </c>
      <c r="O36" s="64">
        <v>0</v>
      </c>
      <c r="P36" s="64">
        <v>1.18</v>
      </c>
      <c r="Q36" s="64">
        <v>10.81</v>
      </c>
      <c r="R36" s="198"/>
      <c r="S36" s="198"/>
      <c r="T36" s="198"/>
      <c r="U36" s="198"/>
    </row>
    <row r="37" spans="1:21" s="12" customFormat="1" x14ac:dyDescent="0.25">
      <c r="A37" s="214" t="s">
        <v>468</v>
      </c>
      <c r="B37" s="64">
        <v>73.77</v>
      </c>
      <c r="C37" s="64">
        <v>57.87</v>
      </c>
      <c r="D37" s="64">
        <v>89.31</v>
      </c>
      <c r="E37" s="64">
        <v>2.1800000000000002</v>
      </c>
      <c r="F37" s="64">
        <v>2.9</v>
      </c>
      <c r="G37" s="64">
        <v>201.24</v>
      </c>
      <c r="H37" s="64">
        <v>30.37</v>
      </c>
      <c r="I37" s="64">
        <v>9.99</v>
      </c>
      <c r="J37" s="64">
        <v>0.28999999999999998</v>
      </c>
      <c r="K37" s="64">
        <v>156.41</v>
      </c>
      <c r="L37" s="64">
        <v>25.21</v>
      </c>
      <c r="M37" s="64">
        <v>45.47</v>
      </c>
      <c r="N37" s="64">
        <v>187.4</v>
      </c>
      <c r="O37" s="64">
        <v>0</v>
      </c>
      <c r="P37" s="64">
        <v>1.19</v>
      </c>
      <c r="Q37" s="64">
        <v>11.04</v>
      </c>
      <c r="R37" s="198"/>
      <c r="S37" s="198"/>
      <c r="T37" s="198"/>
      <c r="U37" s="198"/>
    </row>
    <row r="38" spans="1:21" s="12" customFormat="1" x14ac:dyDescent="0.25">
      <c r="A38" s="214" t="s">
        <v>469</v>
      </c>
      <c r="B38" s="64">
        <v>70.89</v>
      </c>
      <c r="C38" s="64">
        <v>58.2</v>
      </c>
      <c r="D38" s="64">
        <v>87.18</v>
      </c>
      <c r="E38" s="64">
        <v>2.08</v>
      </c>
      <c r="F38" s="64">
        <v>3.07</v>
      </c>
      <c r="G38" s="64">
        <v>201.24</v>
      </c>
      <c r="H38" s="64">
        <v>30.37</v>
      </c>
      <c r="I38" s="64">
        <v>11.86</v>
      </c>
      <c r="J38" s="64">
        <v>0.1</v>
      </c>
      <c r="K38" s="64">
        <v>289.33</v>
      </c>
      <c r="L38" s="64">
        <v>26.4</v>
      </c>
      <c r="M38" s="64">
        <v>42.51</v>
      </c>
      <c r="N38" s="64">
        <v>236.3</v>
      </c>
      <c r="O38" s="64">
        <v>0</v>
      </c>
      <c r="P38" s="64">
        <v>1.23</v>
      </c>
      <c r="Q38" s="64">
        <v>10.98</v>
      </c>
      <c r="R38" s="198"/>
      <c r="S38" s="198"/>
      <c r="T38" s="198"/>
      <c r="U38" s="198"/>
    </row>
    <row r="39" spans="1:21" s="12" customFormat="1" x14ac:dyDescent="0.25">
      <c r="A39" s="214" t="s">
        <v>470</v>
      </c>
      <c r="B39" s="64">
        <v>68.08</v>
      </c>
      <c r="C39" s="64">
        <v>59.32</v>
      </c>
      <c r="D39" s="64">
        <v>85.5</v>
      </c>
      <c r="E39" s="64">
        <v>1.92</v>
      </c>
      <c r="F39" s="64">
        <v>2.94</v>
      </c>
      <c r="G39" s="64">
        <v>171.79</v>
      </c>
      <c r="H39" s="64">
        <v>25.87</v>
      </c>
      <c r="I39" s="64">
        <v>11.66</v>
      </c>
      <c r="J39" s="64">
        <v>0.21</v>
      </c>
      <c r="K39" s="64">
        <v>311.82</v>
      </c>
      <c r="L39" s="64">
        <v>28.96</v>
      </c>
      <c r="M39" s="64">
        <v>36.659999999999997</v>
      </c>
      <c r="N39" s="64">
        <v>291.3</v>
      </c>
      <c r="O39" s="64">
        <v>0</v>
      </c>
      <c r="P39" s="64">
        <v>1.22</v>
      </c>
      <c r="Q39" s="64">
        <v>10.85</v>
      </c>
      <c r="R39" s="198"/>
      <c r="S39" s="198"/>
      <c r="T39" s="198"/>
      <c r="U39" s="198"/>
    </row>
    <row r="40" spans="1:21" s="12" customFormat="1" x14ac:dyDescent="0.25">
      <c r="A40" s="214" t="s">
        <v>471</v>
      </c>
      <c r="B40" s="64">
        <v>65.84</v>
      </c>
      <c r="C40" s="64">
        <v>60.45</v>
      </c>
      <c r="D40" s="64">
        <v>84.3</v>
      </c>
      <c r="E40" s="64">
        <v>1.42</v>
      </c>
      <c r="F40" s="64">
        <v>2.96</v>
      </c>
      <c r="G40" s="64">
        <v>164.43</v>
      </c>
      <c r="H40" s="64">
        <v>24.74</v>
      </c>
      <c r="I40" s="64">
        <v>11.55</v>
      </c>
      <c r="J40" s="64">
        <v>0.27</v>
      </c>
      <c r="K40" s="64">
        <v>304.24</v>
      </c>
      <c r="L40" s="64">
        <v>30.55</v>
      </c>
      <c r="M40" s="64">
        <v>34.159999999999997</v>
      </c>
      <c r="N40" s="64">
        <v>341.7</v>
      </c>
      <c r="O40" s="64">
        <v>0</v>
      </c>
      <c r="P40" s="64">
        <v>1.22</v>
      </c>
      <c r="Q40" s="64">
        <v>10.82</v>
      </c>
      <c r="R40" s="198"/>
      <c r="S40" s="198"/>
      <c r="T40" s="198"/>
      <c r="U40" s="198"/>
    </row>
    <row r="41" spans="1:21" s="12" customFormat="1" x14ac:dyDescent="0.25">
      <c r="A41" s="214" t="s">
        <v>472</v>
      </c>
      <c r="B41" s="64">
        <v>63.34</v>
      </c>
      <c r="C41" s="64">
        <v>62.26</v>
      </c>
      <c r="D41" s="64">
        <v>83.24</v>
      </c>
      <c r="E41" s="64">
        <v>2.4500000000000002</v>
      </c>
      <c r="F41" s="64">
        <v>3.27</v>
      </c>
      <c r="G41" s="64">
        <v>164.43</v>
      </c>
      <c r="H41" s="64">
        <v>24.74</v>
      </c>
      <c r="I41" s="64">
        <v>11.46</v>
      </c>
      <c r="J41" s="64">
        <v>0.53</v>
      </c>
      <c r="K41" s="64">
        <v>334.88</v>
      </c>
      <c r="L41" s="64">
        <v>31.92</v>
      </c>
      <c r="M41" s="64">
        <v>31.13</v>
      </c>
      <c r="N41" s="64">
        <v>391.1</v>
      </c>
      <c r="O41" s="64">
        <v>0</v>
      </c>
      <c r="P41" s="64">
        <v>1.22</v>
      </c>
      <c r="Q41" s="64">
        <v>10.74</v>
      </c>
      <c r="R41" s="198"/>
      <c r="S41" s="198"/>
      <c r="T41" s="198"/>
      <c r="U41" s="198"/>
    </row>
    <row r="42" spans="1:21" s="12" customFormat="1" x14ac:dyDescent="0.25">
      <c r="A42" s="214" t="s">
        <v>473</v>
      </c>
      <c r="B42" s="64">
        <v>60.38</v>
      </c>
      <c r="C42" s="64">
        <v>64.59</v>
      </c>
      <c r="D42" s="64">
        <v>82.09</v>
      </c>
      <c r="E42" s="64">
        <v>2.15</v>
      </c>
      <c r="F42" s="64">
        <v>3.21</v>
      </c>
      <c r="G42" s="64">
        <v>164.43</v>
      </c>
      <c r="H42" s="64">
        <v>24.74</v>
      </c>
      <c r="I42" s="64">
        <v>11.41</v>
      </c>
      <c r="J42" s="64">
        <v>0.36</v>
      </c>
      <c r="K42" s="64">
        <v>327.11</v>
      </c>
      <c r="L42" s="64">
        <v>31.46</v>
      </c>
      <c r="M42" s="64">
        <v>35.15</v>
      </c>
      <c r="N42" s="64">
        <v>437.5</v>
      </c>
      <c r="O42" s="64">
        <v>0</v>
      </c>
      <c r="P42" s="64">
        <v>1.23</v>
      </c>
      <c r="Q42" s="64">
        <v>10.76</v>
      </c>
      <c r="R42" s="198"/>
      <c r="S42" s="198"/>
      <c r="T42" s="198"/>
      <c r="U42" s="198"/>
    </row>
    <row r="43" spans="1:21" s="12" customFormat="1" x14ac:dyDescent="0.25">
      <c r="A43" s="214" t="s">
        <v>474</v>
      </c>
      <c r="B43" s="64">
        <v>57.49</v>
      </c>
      <c r="C43" s="64">
        <v>67.64</v>
      </c>
      <c r="D43" s="64">
        <v>81.36</v>
      </c>
      <c r="E43" s="64">
        <v>1.95</v>
      </c>
      <c r="F43" s="64">
        <v>3.45</v>
      </c>
      <c r="G43" s="64">
        <v>159.84</v>
      </c>
      <c r="H43" s="64">
        <v>19.89</v>
      </c>
      <c r="I43" s="64">
        <v>11.46</v>
      </c>
      <c r="J43" s="64">
        <v>0.25</v>
      </c>
      <c r="K43" s="64">
        <v>319.24</v>
      </c>
      <c r="L43" s="64">
        <v>32.93</v>
      </c>
      <c r="M43" s="64">
        <v>29.09</v>
      </c>
      <c r="N43" s="64">
        <v>491.5</v>
      </c>
      <c r="O43" s="64">
        <v>0</v>
      </c>
      <c r="P43" s="64">
        <v>1.24</v>
      </c>
      <c r="Q43" s="64">
        <v>10.65</v>
      </c>
      <c r="R43" s="198"/>
      <c r="S43" s="198"/>
      <c r="T43" s="198"/>
      <c r="U43" s="198"/>
    </row>
    <row r="44" spans="1:21" s="12" customFormat="1" x14ac:dyDescent="0.25">
      <c r="A44" s="214" t="s">
        <v>475</v>
      </c>
      <c r="B44" s="64">
        <v>53.95</v>
      </c>
      <c r="C44" s="64">
        <v>71.14</v>
      </c>
      <c r="D44" s="64">
        <v>80.349999999999994</v>
      </c>
      <c r="E44" s="64">
        <v>2.35</v>
      </c>
      <c r="F44" s="64">
        <v>3.51</v>
      </c>
      <c r="G44" s="64">
        <v>158.69</v>
      </c>
      <c r="H44" s="64">
        <v>18.68</v>
      </c>
      <c r="I44" s="64">
        <v>11.41</v>
      </c>
      <c r="J44" s="64">
        <v>0.69</v>
      </c>
      <c r="K44" s="64">
        <v>350.78</v>
      </c>
      <c r="L44" s="64">
        <v>34.840000000000003</v>
      </c>
      <c r="M44" s="64">
        <v>25.63</v>
      </c>
      <c r="N44" s="64">
        <v>539.4</v>
      </c>
      <c r="O44" s="64">
        <v>0</v>
      </c>
      <c r="P44" s="64">
        <v>1.25</v>
      </c>
      <c r="Q44" s="64">
        <v>10.68</v>
      </c>
      <c r="R44" s="198"/>
      <c r="S44" s="198"/>
      <c r="T44" s="198"/>
      <c r="U44" s="198"/>
    </row>
    <row r="45" spans="1:21" s="12" customFormat="1" x14ac:dyDescent="0.25">
      <c r="A45" s="214" t="s">
        <v>476</v>
      </c>
      <c r="B45" s="64">
        <v>49.71</v>
      </c>
      <c r="C45" s="64">
        <v>74.459999999999994</v>
      </c>
      <c r="D45" s="64">
        <v>78.680000000000007</v>
      </c>
      <c r="E45" s="64">
        <v>2.02</v>
      </c>
      <c r="F45" s="64">
        <v>3.57</v>
      </c>
      <c r="G45" s="64">
        <v>158.69</v>
      </c>
      <c r="H45" s="64">
        <v>18.68</v>
      </c>
      <c r="I45" s="64">
        <v>11.45</v>
      </c>
      <c r="J45" s="64">
        <v>0.67</v>
      </c>
      <c r="K45" s="64">
        <v>351.66</v>
      </c>
      <c r="L45" s="64">
        <v>35.85</v>
      </c>
      <c r="M45" s="64">
        <v>24.04</v>
      </c>
      <c r="N45" s="64">
        <v>557.79999999999995</v>
      </c>
      <c r="O45" s="64">
        <v>0</v>
      </c>
      <c r="P45" s="64">
        <v>1.27</v>
      </c>
      <c r="Q45" s="64">
        <v>10.68</v>
      </c>
      <c r="R45" s="198"/>
      <c r="S45" s="198"/>
      <c r="T45" s="198"/>
      <c r="U45" s="198"/>
    </row>
    <row r="46" spans="1:21" s="12" customFormat="1" x14ac:dyDescent="0.25">
      <c r="A46" s="214" t="s">
        <v>477</v>
      </c>
      <c r="B46" s="64">
        <v>45.59</v>
      </c>
      <c r="C46" s="64">
        <v>78.5</v>
      </c>
      <c r="D46" s="64">
        <v>77.489999999999995</v>
      </c>
      <c r="E46" s="64">
        <v>1.96</v>
      </c>
      <c r="F46" s="64">
        <v>3.61</v>
      </c>
      <c r="G46" s="64">
        <v>158.69</v>
      </c>
      <c r="H46" s="64">
        <v>18.68</v>
      </c>
      <c r="I46" s="64">
        <v>11.51</v>
      </c>
      <c r="J46" s="64">
        <v>0.53</v>
      </c>
      <c r="K46" s="64">
        <v>331.15</v>
      </c>
      <c r="L46" s="64">
        <v>35.950000000000003</v>
      </c>
      <c r="M46" s="64">
        <v>23.85</v>
      </c>
      <c r="N46" s="64">
        <v>559.20000000000005</v>
      </c>
      <c r="O46" s="64">
        <v>0</v>
      </c>
      <c r="P46" s="64">
        <v>1.3</v>
      </c>
      <c r="Q46" s="64">
        <v>10.59</v>
      </c>
      <c r="R46" s="198"/>
      <c r="S46" s="198"/>
      <c r="T46" s="198"/>
      <c r="U46" s="198"/>
    </row>
    <row r="47" spans="1:21" s="12" customFormat="1" x14ac:dyDescent="0.25">
      <c r="A47" s="214" t="s">
        <v>478</v>
      </c>
      <c r="B47" s="64">
        <v>42.08</v>
      </c>
      <c r="C47" s="64">
        <v>79.569999999999993</v>
      </c>
      <c r="D47" s="64">
        <v>75.239999999999995</v>
      </c>
      <c r="E47" s="64">
        <v>2.25</v>
      </c>
      <c r="F47" s="64">
        <v>3.36</v>
      </c>
      <c r="G47" s="64">
        <v>201.09</v>
      </c>
      <c r="H47" s="64">
        <v>30.12</v>
      </c>
      <c r="I47" s="64">
        <v>11.37</v>
      </c>
      <c r="J47" s="64">
        <v>0.9</v>
      </c>
      <c r="K47" s="64">
        <v>345.21</v>
      </c>
      <c r="L47" s="64">
        <v>36.49</v>
      </c>
      <c r="M47" s="64">
        <v>24.18</v>
      </c>
      <c r="N47" s="64">
        <v>588.1</v>
      </c>
      <c r="O47" s="64">
        <v>0</v>
      </c>
      <c r="P47" s="64">
        <v>1.32</v>
      </c>
      <c r="Q47" s="64">
        <v>10.55</v>
      </c>
      <c r="R47" s="198"/>
      <c r="S47" s="198"/>
      <c r="T47" s="198"/>
      <c r="U47" s="198"/>
    </row>
    <row r="48" spans="1:21" s="12" customFormat="1" x14ac:dyDescent="0.25">
      <c r="A48" s="214" t="s">
        <v>479</v>
      </c>
      <c r="B48" s="64">
        <v>39.799999999999997</v>
      </c>
      <c r="C48" s="64">
        <v>79.84</v>
      </c>
      <c r="D48" s="64">
        <v>73.56</v>
      </c>
      <c r="E48" s="64">
        <v>2.0299999999999998</v>
      </c>
      <c r="F48" s="64">
        <v>3.49</v>
      </c>
      <c r="G48" s="64">
        <v>211.69</v>
      </c>
      <c r="H48" s="64">
        <v>32.979999999999997</v>
      </c>
      <c r="I48" s="64">
        <v>10.97</v>
      </c>
      <c r="J48" s="64">
        <v>0.93</v>
      </c>
      <c r="K48" s="64">
        <v>346.43</v>
      </c>
      <c r="L48" s="64">
        <v>37.04</v>
      </c>
      <c r="M48" s="64">
        <v>21.87</v>
      </c>
      <c r="N48" s="64">
        <v>673.7</v>
      </c>
      <c r="O48" s="64">
        <v>0</v>
      </c>
      <c r="P48" s="64">
        <v>1.33</v>
      </c>
      <c r="Q48" s="64">
        <v>10.47</v>
      </c>
      <c r="R48" s="198"/>
      <c r="S48" s="198"/>
      <c r="T48" s="198"/>
      <c r="U48" s="198"/>
    </row>
    <row r="49" spans="1:21" s="12" customFormat="1" x14ac:dyDescent="0.25">
      <c r="A49" s="214" t="s">
        <v>480</v>
      </c>
      <c r="B49" s="64">
        <v>37.21</v>
      </c>
      <c r="C49" s="64">
        <v>80.790000000000006</v>
      </c>
      <c r="D49" s="64">
        <v>71.97</v>
      </c>
      <c r="E49" s="64">
        <v>2.2000000000000002</v>
      </c>
      <c r="F49" s="64">
        <v>3.74</v>
      </c>
      <c r="G49" s="64">
        <v>211.69</v>
      </c>
      <c r="H49" s="64">
        <v>32.979999999999997</v>
      </c>
      <c r="I49" s="64">
        <v>11.8</v>
      </c>
      <c r="J49" s="64">
        <v>0.55000000000000004</v>
      </c>
      <c r="K49" s="64">
        <v>344.62</v>
      </c>
      <c r="L49" s="64">
        <v>37.01</v>
      </c>
      <c r="M49" s="64">
        <v>22.02</v>
      </c>
      <c r="N49" s="64">
        <v>704.7</v>
      </c>
      <c r="O49" s="64">
        <v>0</v>
      </c>
      <c r="P49" s="64">
        <v>1.33</v>
      </c>
      <c r="Q49" s="64">
        <v>10.5</v>
      </c>
      <c r="R49" s="198"/>
      <c r="S49" s="198"/>
      <c r="T49" s="198"/>
      <c r="U49" s="198"/>
    </row>
    <row r="50" spans="1:21" s="12" customFormat="1" x14ac:dyDescent="0.25">
      <c r="A50" s="214" t="s">
        <v>481</v>
      </c>
      <c r="B50" s="64">
        <v>34.61</v>
      </c>
      <c r="C50" s="64">
        <v>81.17</v>
      </c>
      <c r="D50" s="64">
        <v>70.09</v>
      </c>
      <c r="E50" s="64">
        <v>1.96</v>
      </c>
      <c r="F50" s="64">
        <v>3.84</v>
      </c>
      <c r="G50" s="64">
        <v>211.69</v>
      </c>
      <c r="H50" s="64">
        <v>32.979999999999997</v>
      </c>
      <c r="I50" s="64">
        <v>11.84</v>
      </c>
      <c r="J50" s="64">
        <v>0.64</v>
      </c>
      <c r="K50" s="64">
        <v>341.78</v>
      </c>
      <c r="L50" s="64">
        <v>37.72</v>
      </c>
      <c r="M50" s="64">
        <v>21.06</v>
      </c>
      <c r="N50" s="64">
        <v>715.2</v>
      </c>
      <c r="O50" s="64">
        <v>0</v>
      </c>
      <c r="P50" s="64">
        <v>1.33</v>
      </c>
      <c r="Q50" s="64">
        <v>10.57</v>
      </c>
      <c r="R50" s="198"/>
      <c r="S50" s="198"/>
      <c r="T50" s="198"/>
      <c r="U50" s="198"/>
    </row>
    <row r="51" spans="1:21" s="12" customFormat="1" x14ac:dyDescent="0.25">
      <c r="A51" s="214" t="s">
        <v>482</v>
      </c>
      <c r="B51" s="64">
        <v>32.06</v>
      </c>
      <c r="C51" s="64">
        <v>81.790000000000006</v>
      </c>
      <c r="D51" s="64">
        <v>68.36</v>
      </c>
      <c r="E51" s="64">
        <v>2.35</v>
      </c>
      <c r="F51" s="64">
        <v>3.66</v>
      </c>
      <c r="G51" s="64">
        <v>206.07</v>
      </c>
      <c r="H51" s="64">
        <v>28.63</v>
      </c>
      <c r="I51" s="64">
        <v>11.47</v>
      </c>
      <c r="J51" s="64">
        <v>0.81</v>
      </c>
      <c r="K51" s="64">
        <v>350.41</v>
      </c>
      <c r="L51" s="64">
        <v>38.15</v>
      </c>
      <c r="M51" s="64">
        <v>19.97</v>
      </c>
      <c r="N51" s="64">
        <v>739.1</v>
      </c>
      <c r="O51" s="64">
        <v>0</v>
      </c>
      <c r="P51" s="64">
        <v>1.34</v>
      </c>
      <c r="Q51" s="64">
        <v>10.14</v>
      </c>
      <c r="R51" s="198"/>
      <c r="S51" s="198"/>
      <c r="T51" s="198"/>
      <c r="U51" s="198"/>
    </row>
    <row r="52" spans="1:21" s="12" customFormat="1" x14ac:dyDescent="0.25">
      <c r="A52" s="214" t="s">
        <v>483</v>
      </c>
      <c r="B52" s="64">
        <v>21.75</v>
      </c>
      <c r="C52" s="64">
        <v>95.21</v>
      </c>
      <c r="D52" s="64">
        <v>67.099999999999994</v>
      </c>
      <c r="E52" s="64">
        <v>4.2</v>
      </c>
      <c r="F52" s="64">
        <v>5.49</v>
      </c>
      <c r="G52" s="64">
        <v>204.67</v>
      </c>
      <c r="H52" s="64">
        <v>27.54</v>
      </c>
      <c r="I52" s="64">
        <v>12.28</v>
      </c>
      <c r="J52" s="64">
        <v>0.99</v>
      </c>
      <c r="K52" s="64">
        <v>351.92</v>
      </c>
      <c r="L52" s="64">
        <v>38.409999999999997</v>
      </c>
      <c r="M52" s="64">
        <v>20.079999999999998</v>
      </c>
      <c r="N52" s="64">
        <v>765.4</v>
      </c>
      <c r="O52" s="64">
        <v>0</v>
      </c>
      <c r="P52" s="64">
        <v>1.36</v>
      </c>
      <c r="Q52" s="64">
        <v>9.91</v>
      </c>
      <c r="R52" s="198"/>
      <c r="S52" s="198"/>
      <c r="T52" s="198"/>
      <c r="U52" s="198"/>
    </row>
    <row r="53" spans="1:21" s="12" customFormat="1" x14ac:dyDescent="0.25">
      <c r="A53" s="214" t="s">
        <v>484</v>
      </c>
      <c r="B53" s="64">
        <v>15.86</v>
      </c>
      <c r="C53" s="64">
        <v>98.54</v>
      </c>
      <c r="D53" s="64">
        <v>64.13</v>
      </c>
      <c r="E53" s="64">
        <v>2.4500000000000002</v>
      </c>
      <c r="F53" s="64">
        <v>4.28</v>
      </c>
      <c r="G53" s="64">
        <v>204.67</v>
      </c>
      <c r="H53" s="64">
        <v>27.54</v>
      </c>
      <c r="I53" s="64">
        <v>12.48</v>
      </c>
      <c r="J53" s="64">
        <v>0.45</v>
      </c>
      <c r="K53" s="64">
        <v>320.41000000000003</v>
      </c>
      <c r="L53" s="64">
        <v>38.44</v>
      </c>
      <c r="M53" s="64">
        <v>20.56</v>
      </c>
      <c r="N53" s="64">
        <v>774.4</v>
      </c>
      <c r="O53" s="64">
        <v>0</v>
      </c>
      <c r="P53" s="64">
        <v>1.36</v>
      </c>
      <c r="Q53" s="64">
        <v>9.9600000000000009</v>
      </c>
      <c r="R53" s="198"/>
      <c r="S53" s="198"/>
      <c r="T53" s="198"/>
      <c r="U53" s="198"/>
    </row>
    <row r="54" spans="1:21" s="12" customFormat="1" x14ac:dyDescent="0.25">
      <c r="A54" s="214" t="s">
        <v>485</v>
      </c>
      <c r="B54" s="64">
        <v>14.01</v>
      </c>
      <c r="C54" s="64">
        <v>94.25</v>
      </c>
      <c r="D54" s="64">
        <v>60.4</v>
      </c>
      <c r="E54" s="64">
        <v>2.21</v>
      </c>
      <c r="F54" s="64">
        <v>4.08</v>
      </c>
      <c r="G54" s="64">
        <v>204.67</v>
      </c>
      <c r="H54" s="64">
        <v>27.54</v>
      </c>
      <c r="I54" s="64">
        <v>11.91</v>
      </c>
      <c r="J54" s="64">
        <v>0.57999999999999996</v>
      </c>
      <c r="K54" s="64">
        <v>327.64</v>
      </c>
      <c r="L54" s="64">
        <v>38.869999999999997</v>
      </c>
      <c r="M54" s="64">
        <v>19.93</v>
      </c>
      <c r="N54" s="64">
        <v>826.6</v>
      </c>
      <c r="O54" s="64">
        <v>0</v>
      </c>
      <c r="P54" s="64">
        <v>1.35</v>
      </c>
      <c r="Q54" s="64">
        <v>10.35</v>
      </c>
      <c r="R54" s="198"/>
      <c r="S54" s="198"/>
      <c r="T54" s="198"/>
      <c r="U54" s="198"/>
    </row>
    <row r="55" spans="1:21" s="12" customFormat="1" x14ac:dyDescent="0.25">
      <c r="A55" s="214" t="s">
        <v>486</v>
      </c>
      <c r="B55" s="64">
        <v>11.88</v>
      </c>
      <c r="C55" s="64">
        <v>91.01</v>
      </c>
      <c r="D55" s="64">
        <v>57</v>
      </c>
      <c r="E55" s="64">
        <v>2.1800000000000002</v>
      </c>
      <c r="F55" s="64">
        <v>5.03</v>
      </c>
      <c r="G55" s="64">
        <v>176.58</v>
      </c>
      <c r="H55" s="64">
        <v>34.270000000000003</v>
      </c>
      <c r="I55" s="64">
        <v>11.75</v>
      </c>
      <c r="J55" s="64">
        <v>0.59</v>
      </c>
      <c r="K55" s="64">
        <v>322.25</v>
      </c>
      <c r="L55" s="64">
        <v>39.299999999999997</v>
      </c>
      <c r="M55" s="64">
        <v>19.96</v>
      </c>
      <c r="N55" s="64">
        <v>851.2</v>
      </c>
      <c r="O55" s="64">
        <v>0</v>
      </c>
      <c r="P55" s="64">
        <v>1.33</v>
      </c>
      <c r="Q55" s="64">
        <v>9.51</v>
      </c>
      <c r="R55" s="198"/>
      <c r="S55" s="198"/>
      <c r="T55" s="198"/>
      <c r="U55" s="198"/>
    </row>
    <row r="56" spans="1:21" s="12" customFormat="1" x14ac:dyDescent="0.25">
      <c r="A56" s="214" t="s">
        <v>487</v>
      </c>
      <c r="B56" s="64">
        <v>7.88</v>
      </c>
      <c r="C56" s="64">
        <v>95.36</v>
      </c>
      <c r="D56" s="64">
        <v>56.06</v>
      </c>
      <c r="E56" s="64">
        <v>1.92</v>
      </c>
      <c r="F56" s="64">
        <v>9.3000000000000007</v>
      </c>
      <c r="G56" s="64">
        <v>169.56</v>
      </c>
      <c r="H56" s="64">
        <v>35.950000000000003</v>
      </c>
      <c r="I56" s="64">
        <v>12.04</v>
      </c>
      <c r="J56" s="64">
        <v>0.53</v>
      </c>
      <c r="K56" s="64">
        <v>324.2</v>
      </c>
      <c r="L56" s="64">
        <v>39.549999999999997</v>
      </c>
      <c r="M56" s="64">
        <v>20.04</v>
      </c>
      <c r="N56" s="64">
        <v>874.6</v>
      </c>
      <c r="O56" s="64">
        <v>0</v>
      </c>
      <c r="P56" s="64">
        <v>1.25</v>
      </c>
      <c r="Q56" s="64">
        <v>10.32</v>
      </c>
      <c r="R56" s="198"/>
      <c r="S56" s="198"/>
      <c r="T56" s="198"/>
      <c r="U56" s="198"/>
    </row>
    <row r="57" spans="1:21" s="12" customFormat="1" x14ac:dyDescent="0.25">
      <c r="A57" s="214" t="s">
        <v>488</v>
      </c>
      <c r="B57" s="64">
        <v>6.03</v>
      </c>
      <c r="C57" s="64">
        <v>96.33</v>
      </c>
      <c r="D57" s="64">
        <v>55.08</v>
      </c>
      <c r="E57" s="64">
        <v>2.38</v>
      </c>
      <c r="F57" s="64">
        <v>9.0399999999999991</v>
      </c>
      <c r="G57" s="64">
        <v>169.56</v>
      </c>
      <c r="H57" s="64">
        <v>35.950000000000003</v>
      </c>
      <c r="I57" s="64">
        <v>11.63</v>
      </c>
      <c r="J57" s="64">
        <v>0.73</v>
      </c>
      <c r="K57" s="64">
        <v>332.56</v>
      </c>
      <c r="L57" s="64">
        <v>38.520000000000003</v>
      </c>
      <c r="M57" s="64">
        <v>22.02</v>
      </c>
      <c r="N57" s="64">
        <v>858.1</v>
      </c>
      <c r="O57" s="64">
        <v>0</v>
      </c>
      <c r="P57" s="64">
        <v>1.19</v>
      </c>
      <c r="Q57" s="64">
        <v>10.01</v>
      </c>
      <c r="R57" s="198"/>
      <c r="S57" s="198"/>
      <c r="T57" s="198"/>
      <c r="U57" s="198"/>
    </row>
    <row r="58" spans="1:21" s="12" customFormat="1" x14ac:dyDescent="0.25">
      <c r="A58" s="214" t="s">
        <v>489</v>
      </c>
      <c r="B58" s="64">
        <v>5.89</v>
      </c>
      <c r="C58" s="64">
        <v>92.66</v>
      </c>
      <c r="D58" s="64">
        <v>53.06</v>
      </c>
      <c r="E58" s="64">
        <v>2.12</v>
      </c>
      <c r="F58" s="64">
        <v>7.62</v>
      </c>
      <c r="G58" s="64">
        <v>169.56</v>
      </c>
      <c r="H58" s="64">
        <v>35.950000000000003</v>
      </c>
      <c r="I58" s="64">
        <v>10.6</v>
      </c>
      <c r="J58" s="64">
        <v>0.66</v>
      </c>
      <c r="K58" s="64">
        <v>330.95</v>
      </c>
      <c r="L58" s="64">
        <v>39.25</v>
      </c>
      <c r="M58" s="64">
        <v>19.82</v>
      </c>
      <c r="N58" s="64">
        <v>833.6</v>
      </c>
      <c r="O58" s="64">
        <v>0</v>
      </c>
      <c r="P58" s="64">
        <v>1.17</v>
      </c>
      <c r="Q58" s="64">
        <v>10.01</v>
      </c>
      <c r="R58" s="198"/>
      <c r="S58" s="198"/>
      <c r="T58" s="198"/>
      <c r="U58" s="198"/>
    </row>
    <row r="59" spans="1:21" s="12" customFormat="1" x14ac:dyDescent="0.25">
      <c r="A59" s="214" t="s">
        <v>490</v>
      </c>
      <c r="B59" s="64">
        <v>5.63</v>
      </c>
      <c r="C59" s="64">
        <v>82.99</v>
      </c>
      <c r="D59" s="64">
        <v>47.79</v>
      </c>
      <c r="E59" s="64">
        <v>2.9</v>
      </c>
      <c r="F59" s="64">
        <v>14.44</v>
      </c>
      <c r="G59" s="64">
        <v>142.93</v>
      </c>
      <c r="H59" s="64">
        <v>15.87</v>
      </c>
      <c r="I59" s="64">
        <v>10.06</v>
      </c>
      <c r="J59" s="64">
        <v>0.76</v>
      </c>
      <c r="K59" s="64">
        <v>342.72</v>
      </c>
      <c r="L59" s="64">
        <v>39.619999999999997</v>
      </c>
      <c r="M59" s="64">
        <v>19.47</v>
      </c>
      <c r="N59" s="64">
        <v>823.7</v>
      </c>
      <c r="O59" s="64">
        <v>0</v>
      </c>
      <c r="P59" s="64">
        <v>1.08</v>
      </c>
      <c r="Q59" s="64">
        <v>9.7100000000000009</v>
      </c>
      <c r="R59" s="198"/>
      <c r="S59" s="198"/>
      <c r="T59" s="198"/>
      <c r="U59" s="198"/>
    </row>
    <row r="60" spans="1:21" s="12" customFormat="1" x14ac:dyDescent="0.25">
      <c r="A60" s="214" t="s">
        <v>491</v>
      </c>
      <c r="B60" s="64">
        <v>5.4</v>
      </c>
      <c r="C60" s="64">
        <v>79.489999999999995</v>
      </c>
      <c r="D60" s="64">
        <v>45.78</v>
      </c>
      <c r="E60" s="64">
        <v>2.29</v>
      </c>
      <c r="F60" s="64">
        <v>10.130000000000001</v>
      </c>
      <c r="G60" s="64">
        <v>136.27000000000001</v>
      </c>
      <c r="H60" s="64">
        <v>10.85</v>
      </c>
      <c r="I60" s="64">
        <v>9.6199999999999992</v>
      </c>
      <c r="J60" s="64">
        <v>0.77</v>
      </c>
      <c r="K60" s="64">
        <v>337.18</v>
      </c>
      <c r="L60" s="64">
        <v>39.79</v>
      </c>
      <c r="M60" s="64">
        <v>19.350000000000001</v>
      </c>
      <c r="N60" s="64">
        <v>777.6</v>
      </c>
      <c r="O60" s="64">
        <v>0</v>
      </c>
      <c r="P60" s="64">
        <v>1.03</v>
      </c>
      <c r="Q60" s="64">
        <v>9.99</v>
      </c>
      <c r="R60" s="198"/>
      <c r="S60" s="198"/>
      <c r="T60" s="198"/>
      <c r="U60" s="198"/>
    </row>
    <row r="61" spans="1:21" s="12" customFormat="1" x14ac:dyDescent="0.25">
      <c r="A61" s="214" t="s">
        <v>492</v>
      </c>
      <c r="B61" s="64">
        <v>5.53</v>
      </c>
      <c r="C61" s="64">
        <v>79.75</v>
      </c>
      <c r="D61" s="64">
        <v>46.02</v>
      </c>
      <c r="E61" s="64">
        <v>2.2200000000000002</v>
      </c>
      <c r="F61" s="64">
        <v>8.41</v>
      </c>
      <c r="G61" s="64">
        <v>136.27000000000001</v>
      </c>
      <c r="H61" s="64">
        <v>10.85</v>
      </c>
      <c r="I61" s="64">
        <v>8.9600000000000009</v>
      </c>
      <c r="J61" s="64">
        <v>0.69</v>
      </c>
      <c r="K61" s="64">
        <v>332.03</v>
      </c>
      <c r="L61" s="64">
        <v>40.03</v>
      </c>
      <c r="M61" s="64">
        <v>18.57</v>
      </c>
      <c r="N61" s="64">
        <v>769.1</v>
      </c>
      <c r="O61" s="64">
        <v>0</v>
      </c>
      <c r="P61" s="64">
        <v>0.98</v>
      </c>
      <c r="Q61" s="64">
        <v>9.81</v>
      </c>
      <c r="R61" s="198"/>
      <c r="S61" s="198"/>
      <c r="T61" s="198"/>
      <c r="U61" s="198"/>
    </row>
    <row r="62" spans="1:21" s="12" customFormat="1" x14ac:dyDescent="0.25">
      <c r="A62" s="214" t="s">
        <v>493</v>
      </c>
      <c r="B62" s="64">
        <v>5.38</v>
      </c>
      <c r="C62" s="64">
        <v>79.5</v>
      </c>
      <c r="D62" s="64">
        <v>45.78</v>
      </c>
      <c r="E62" s="64">
        <v>2.36</v>
      </c>
      <c r="F62" s="64">
        <v>14.31</v>
      </c>
      <c r="G62" s="64">
        <v>136.27000000000001</v>
      </c>
      <c r="H62" s="64">
        <v>10.85</v>
      </c>
      <c r="I62" s="64">
        <v>8.5299999999999994</v>
      </c>
      <c r="J62" s="64">
        <v>0.7</v>
      </c>
      <c r="K62" s="64">
        <v>337.47</v>
      </c>
      <c r="L62" s="64">
        <v>40.700000000000003</v>
      </c>
      <c r="M62" s="64">
        <v>17.3</v>
      </c>
      <c r="N62" s="64">
        <v>702.5</v>
      </c>
      <c r="O62" s="64">
        <v>0</v>
      </c>
      <c r="P62" s="64">
        <v>1</v>
      </c>
      <c r="Q62" s="64">
        <v>10.06</v>
      </c>
      <c r="R62" s="198"/>
      <c r="S62" s="198"/>
      <c r="T62" s="198"/>
      <c r="U62" s="198"/>
    </row>
    <row r="63" spans="1:21" s="12" customFormat="1" x14ac:dyDescent="0.25">
      <c r="A63" s="214" t="s">
        <v>494</v>
      </c>
      <c r="B63" s="64">
        <v>5.09</v>
      </c>
      <c r="C63" s="64">
        <v>79.8</v>
      </c>
      <c r="D63" s="64">
        <v>45.7</v>
      </c>
      <c r="E63" s="64">
        <v>4.0999999999999996</v>
      </c>
      <c r="F63" s="64">
        <v>17.010000000000002</v>
      </c>
      <c r="G63" s="64">
        <v>96.19</v>
      </c>
      <c r="H63" s="64">
        <v>23.55</v>
      </c>
      <c r="I63" s="64">
        <v>8.0399999999999991</v>
      </c>
      <c r="J63" s="64">
        <v>0.5</v>
      </c>
      <c r="K63" s="64">
        <v>22.89</v>
      </c>
      <c r="L63" s="64">
        <v>39.770000000000003</v>
      </c>
      <c r="M63" s="64">
        <v>17.850000000000001</v>
      </c>
      <c r="N63" s="64">
        <v>681.9</v>
      </c>
      <c r="O63" s="64">
        <v>0</v>
      </c>
      <c r="P63" s="64">
        <v>0.95</v>
      </c>
      <c r="Q63" s="64">
        <v>9.94</v>
      </c>
      <c r="R63" s="198"/>
      <c r="S63" s="198"/>
      <c r="T63" s="198"/>
      <c r="U63" s="198"/>
    </row>
    <row r="64" spans="1:21" s="12" customFormat="1" x14ac:dyDescent="0.25">
      <c r="A64" s="214" t="s">
        <v>495</v>
      </c>
      <c r="B64" s="64">
        <v>5.03</v>
      </c>
      <c r="C64" s="64">
        <v>81.290000000000006</v>
      </c>
      <c r="D64" s="64">
        <v>46.43</v>
      </c>
      <c r="E64" s="64">
        <v>4.0199999999999996</v>
      </c>
      <c r="F64" s="64">
        <v>19.170000000000002</v>
      </c>
      <c r="G64" s="64">
        <v>86.17</v>
      </c>
      <c r="H64" s="64">
        <v>26.73</v>
      </c>
      <c r="I64" s="64">
        <v>7.65</v>
      </c>
      <c r="J64" s="64">
        <v>0.59</v>
      </c>
      <c r="K64" s="64">
        <v>356.26</v>
      </c>
      <c r="L64" s="64">
        <v>38.700000000000003</v>
      </c>
      <c r="M64" s="64">
        <v>18.57</v>
      </c>
      <c r="N64" s="64">
        <v>641.20000000000005</v>
      </c>
      <c r="O64" s="64">
        <v>0</v>
      </c>
      <c r="P64" s="64">
        <v>0.94</v>
      </c>
      <c r="Q64" s="64">
        <v>9.56</v>
      </c>
      <c r="R64" s="198"/>
      <c r="S64" s="198"/>
      <c r="T64" s="198"/>
      <c r="U64" s="198"/>
    </row>
    <row r="65" spans="1:21" s="12" customFormat="1" x14ac:dyDescent="0.25">
      <c r="A65" s="214" t="s">
        <v>496</v>
      </c>
      <c r="B65" s="64">
        <v>4.9000000000000004</v>
      </c>
      <c r="C65" s="64">
        <v>79</v>
      </c>
      <c r="D65" s="64">
        <v>45.13</v>
      </c>
      <c r="E65" s="64">
        <v>2.97</v>
      </c>
      <c r="F65" s="64">
        <v>12.78</v>
      </c>
      <c r="G65" s="64">
        <v>86.17</v>
      </c>
      <c r="H65" s="64">
        <v>26.73</v>
      </c>
      <c r="I65" s="64">
        <v>7.05</v>
      </c>
      <c r="J65" s="64">
        <v>1.07</v>
      </c>
      <c r="K65" s="64">
        <v>348.44</v>
      </c>
      <c r="L65" s="64">
        <v>39.54</v>
      </c>
      <c r="M65" s="64">
        <v>17.52</v>
      </c>
      <c r="N65" s="64">
        <v>616.6</v>
      </c>
      <c r="O65" s="64">
        <v>0</v>
      </c>
      <c r="P65" s="64">
        <v>0.93</v>
      </c>
      <c r="Q65" s="64">
        <v>9.75</v>
      </c>
      <c r="R65" s="198"/>
      <c r="S65" s="198"/>
      <c r="T65" s="198"/>
      <c r="U65" s="198"/>
    </row>
    <row r="66" spans="1:21" s="12" customFormat="1" x14ac:dyDescent="0.25">
      <c r="A66" s="214" t="s">
        <v>497</v>
      </c>
      <c r="B66" s="64">
        <v>5.04</v>
      </c>
      <c r="C66" s="64">
        <v>76.62</v>
      </c>
      <c r="D66" s="64">
        <v>43.99</v>
      </c>
      <c r="E66" s="64">
        <v>2.77</v>
      </c>
      <c r="F66" s="64">
        <v>11.39</v>
      </c>
      <c r="G66" s="64">
        <v>86.17</v>
      </c>
      <c r="H66" s="64">
        <v>26.73</v>
      </c>
      <c r="I66" s="64">
        <v>7.03</v>
      </c>
      <c r="J66" s="64">
        <v>0.28000000000000003</v>
      </c>
      <c r="K66" s="64">
        <v>355.93</v>
      </c>
      <c r="L66" s="64">
        <v>39.43</v>
      </c>
      <c r="M66" s="64">
        <v>16.77</v>
      </c>
      <c r="N66" s="64">
        <v>528.9</v>
      </c>
      <c r="O66" s="64">
        <v>0</v>
      </c>
      <c r="P66" s="64">
        <v>0.9</v>
      </c>
      <c r="Q66" s="64">
        <v>9.6300000000000008</v>
      </c>
      <c r="R66" s="198"/>
      <c r="S66" s="198"/>
      <c r="T66" s="198"/>
      <c r="U66" s="198"/>
    </row>
    <row r="67" spans="1:21" s="12" customFormat="1" x14ac:dyDescent="0.25">
      <c r="A67" s="214" t="s">
        <v>498</v>
      </c>
      <c r="B67" s="64">
        <v>4.8499999999999996</v>
      </c>
      <c r="C67" s="64">
        <v>73.05</v>
      </c>
      <c r="D67" s="64">
        <v>41.98</v>
      </c>
      <c r="E67" s="64">
        <v>3.45</v>
      </c>
      <c r="F67" s="64">
        <v>27.38</v>
      </c>
      <c r="G67" s="64">
        <v>59.17</v>
      </c>
      <c r="H67" s="64">
        <v>13.05</v>
      </c>
      <c r="I67" s="64">
        <v>7.03</v>
      </c>
      <c r="J67" s="64">
        <v>0.3</v>
      </c>
      <c r="K67" s="64">
        <v>309.20999999999998</v>
      </c>
      <c r="L67" s="64">
        <v>38.659999999999997</v>
      </c>
      <c r="M67" s="64">
        <v>17.13</v>
      </c>
      <c r="N67" s="64">
        <v>514.4</v>
      </c>
      <c r="O67" s="64">
        <v>0</v>
      </c>
      <c r="P67" s="64">
        <v>0.79</v>
      </c>
      <c r="Q67" s="64">
        <v>9.83</v>
      </c>
      <c r="R67" s="198"/>
      <c r="S67" s="198"/>
      <c r="T67" s="198"/>
      <c r="U67" s="198"/>
    </row>
    <row r="68" spans="1:21" s="12" customFormat="1" x14ac:dyDescent="0.25">
      <c r="A68" s="214" t="s">
        <v>499</v>
      </c>
      <c r="B68" s="64">
        <v>4.5</v>
      </c>
      <c r="C68" s="64">
        <v>70.61</v>
      </c>
      <c r="D68" s="64">
        <v>40.42</v>
      </c>
      <c r="E68" s="64">
        <v>3.29</v>
      </c>
      <c r="F68" s="64">
        <v>23.05</v>
      </c>
      <c r="G68" s="64">
        <v>52.42</v>
      </c>
      <c r="H68" s="64">
        <v>9.6300000000000008</v>
      </c>
      <c r="I68" s="64">
        <v>7.12</v>
      </c>
      <c r="J68" s="64">
        <v>0.61</v>
      </c>
      <c r="K68" s="64">
        <v>19.43</v>
      </c>
      <c r="L68" s="64">
        <v>37.97</v>
      </c>
      <c r="M68" s="64">
        <v>17.36</v>
      </c>
      <c r="N68" s="64">
        <v>465.8</v>
      </c>
      <c r="O68" s="64">
        <v>0</v>
      </c>
      <c r="P68" s="64">
        <v>0.71</v>
      </c>
      <c r="Q68" s="64">
        <v>9.5500000000000007</v>
      </c>
      <c r="R68" s="198"/>
      <c r="S68" s="198"/>
      <c r="T68" s="198"/>
      <c r="U68" s="198"/>
    </row>
    <row r="69" spans="1:21" s="12" customFormat="1" x14ac:dyDescent="0.25">
      <c r="A69" s="214" t="s">
        <v>500</v>
      </c>
      <c r="B69" s="64">
        <v>4.67</v>
      </c>
      <c r="C69" s="64">
        <v>72.39</v>
      </c>
      <c r="D69" s="64">
        <v>41.48</v>
      </c>
      <c r="E69" s="64">
        <v>2.39</v>
      </c>
      <c r="F69" s="64">
        <v>12.65</v>
      </c>
      <c r="G69" s="64">
        <v>52.42</v>
      </c>
      <c r="H69" s="64">
        <v>9.6300000000000008</v>
      </c>
      <c r="I69" s="64">
        <v>6.49</v>
      </c>
      <c r="J69" s="64">
        <v>0.61</v>
      </c>
      <c r="K69" s="64">
        <v>341.01</v>
      </c>
      <c r="L69" s="64">
        <v>37.83</v>
      </c>
      <c r="M69" s="64">
        <v>18.149999999999999</v>
      </c>
      <c r="N69" s="64">
        <v>353.1</v>
      </c>
      <c r="O69" s="64">
        <v>0</v>
      </c>
      <c r="P69" s="64">
        <v>0.7</v>
      </c>
      <c r="Q69" s="64">
        <v>9.91</v>
      </c>
      <c r="R69" s="198"/>
      <c r="S69" s="198"/>
      <c r="T69" s="198"/>
      <c r="U69" s="198"/>
    </row>
    <row r="70" spans="1:21" s="12" customFormat="1" x14ac:dyDescent="0.25">
      <c r="A70" s="214" t="s">
        <v>501</v>
      </c>
      <c r="B70" s="64">
        <v>4.84</v>
      </c>
      <c r="C70" s="64">
        <v>71.44</v>
      </c>
      <c r="D70" s="64">
        <v>41.12</v>
      </c>
      <c r="E70" s="64">
        <v>2.0499999999999998</v>
      </c>
      <c r="F70" s="64">
        <v>8.85</v>
      </c>
      <c r="G70" s="64">
        <v>52.42</v>
      </c>
      <c r="H70" s="64">
        <v>9.6300000000000008</v>
      </c>
      <c r="I70" s="64">
        <v>5.93</v>
      </c>
      <c r="J70" s="64">
        <v>0.39</v>
      </c>
      <c r="K70" s="64">
        <v>23.99</v>
      </c>
      <c r="L70" s="64">
        <v>37.75</v>
      </c>
      <c r="M70" s="64">
        <v>17.61</v>
      </c>
      <c r="N70" s="64">
        <v>202.5</v>
      </c>
      <c r="O70" s="64">
        <v>0</v>
      </c>
      <c r="P70" s="64">
        <v>0.69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4" t="s">
        <v>502</v>
      </c>
      <c r="B71" s="64">
        <v>4.92</v>
      </c>
      <c r="C71" s="64">
        <v>60.03</v>
      </c>
      <c r="D71" s="64">
        <v>35.229999999999997</v>
      </c>
      <c r="E71" s="64">
        <v>2.39</v>
      </c>
      <c r="F71" s="64">
        <v>9.4600000000000009</v>
      </c>
      <c r="G71" s="64">
        <v>83.23</v>
      </c>
      <c r="H71" s="64">
        <v>3.62</v>
      </c>
      <c r="I71" s="64">
        <v>6.73</v>
      </c>
      <c r="J71" s="64">
        <v>0.26</v>
      </c>
      <c r="K71" s="64">
        <v>341</v>
      </c>
      <c r="L71" s="64">
        <v>36.81</v>
      </c>
      <c r="M71" s="64">
        <v>18.54</v>
      </c>
      <c r="N71" s="64">
        <v>189.1</v>
      </c>
      <c r="O71" s="64">
        <v>0</v>
      </c>
      <c r="P71" s="64">
        <v>0.67</v>
      </c>
      <c r="Q71" s="64">
        <v>9.81</v>
      </c>
      <c r="R71" s="198"/>
      <c r="S71" s="198"/>
      <c r="T71" s="198"/>
      <c r="U71" s="198"/>
    </row>
    <row r="72" spans="1:21" s="12" customFormat="1" x14ac:dyDescent="0.25">
      <c r="A72" s="214" t="s">
        <v>503</v>
      </c>
      <c r="B72" s="64">
        <v>4.93</v>
      </c>
      <c r="C72" s="64">
        <v>65.03</v>
      </c>
      <c r="D72" s="64">
        <v>37.840000000000003</v>
      </c>
      <c r="E72" s="64">
        <v>1.1499999999999999</v>
      </c>
      <c r="F72" s="64">
        <v>8.39</v>
      </c>
      <c r="G72" s="64">
        <v>90.93</v>
      </c>
      <c r="H72" s="64">
        <v>2.12</v>
      </c>
      <c r="I72" s="64">
        <v>7</v>
      </c>
      <c r="J72" s="64">
        <v>0.4</v>
      </c>
      <c r="K72" s="64">
        <v>49.48</v>
      </c>
      <c r="L72" s="64">
        <v>36.229999999999997</v>
      </c>
      <c r="M72" s="64">
        <v>18.510000000000002</v>
      </c>
      <c r="N72" s="64">
        <v>172.2</v>
      </c>
      <c r="O72" s="64">
        <v>0</v>
      </c>
      <c r="P72" s="64">
        <v>0.66</v>
      </c>
      <c r="Q72" s="64">
        <v>9.9700000000000006</v>
      </c>
      <c r="R72" s="198"/>
      <c r="S72" s="198"/>
      <c r="T72" s="198"/>
      <c r="U72" s="198"/>
    </row>
    <row r="73" spans="1:21" s="12" customFormat="1" x14ac:dyDescent="0.25">
      <c r="A73" s="214" t="s">
        <v>504</v>
      </c>
      <c r="B73" s="64">
        <v>5.2</v>
      </c>
      <c r="C73" s="64">
        <v>59.43</v>
      </c>
      <c r="D73" s="64">
        <v>35.14</v>
      </c>
      <c r="E73" s="64">
        <v>1.6</v>
      </c>
      <c r="F73" s="64">
        <v>6.87</v>
      </c>
      <c r="G73" s="64">
        <v>90.93</v>
      </c>
      <c r="H73" s="64">
        <v>2.12</v>
      </c>
      <c r="I73" s="64">
        <v>7.43</v>
      </c>
      <c r="J73" s="64">
        <v>0.71</v>
      </c>
      <c r="K73" s="64">
        <v>1.7</v>
      </c>
      <c r="L73" s="64">
        <v>36.28</v>
      </c>
      <c r="M73" s="64">
        <v>18.57</v>
      </c>
      <c r="N73" s="64">
        <v>166.5</v>
      </c>
      <c r="O73" s="64">
        <v>0</v>
      </c>
      <c r="P73" s="64">
        <v>0.66</v>
      </c>
      <c r="Q73" s="64">
        <v>9.51</v>
      </c>
      <c r="R73" s="198"/>
      <c r="S73" s="198"/>
      <c r="T73" s="198"/>
      <c r="U73" s="198"/>
    </row>
    <row r="74" spans="1:21" s="12" customFormat="1" x14ac:dyDescent="0.25">
      <c r="A74" s="214" t="s">
        <v>505</v>
      </c>
      <c r="B74" s="64">
        <v>5.4</v>
      </c>
      <c r="C74" s="64">
        <v>60.23</v>
      </c>
      <c r="D74" s="64">
        <v>35.72</v>
      </c>
      <c r="E74" s="64">
        <v>1.64</v>
      </c>
      <c r="F74" s="64">
        <v>6.05</v>
      </c>
      <c r="G74" s="64">
        <v>90.93</v>
      </c>
      <c r="H74" s="64">
        <v>2.12</v>
      </c>
      <c r="I74" s="64">
        <v>7.5</v>
      </c>
      <c r="J74" s="64">
        <v>0.46</v>
      </c>
      <c r="K74" s="64">
        <v>9.16</v>
      </c>
      <c r="L74" s="64">
        <v>36.18</v>
      </c>
      <c r="M74" s="64">
        <v>18.989999999999998</v>
      </c>
      <c r="N74" s="64">
        <v>134.9</v>
      </c>
      <c r="O74" s="64">
        <v>0</v>
      </c>
      <c r="P74" s="64">
        <v>0.68</v>
      </c>
      <c r="Q74" s="64">
        <v>9.67</v>
      </c>
      <c r="R74" s="198"/>
      <c r="S74" s="198"/>
      <c r="T74" s="198"/>
      <c r="U74" s="198"/>
    </row>
    <row r="75" spans="1:21" s="12" customFormat="1" x14ac:dyDescent="0.25">
      <c r="A75" s="214" t="s">
        <v>506</v>
      </c>
      <c r="B75" s="64">
        <v>5.53</v>
      </c>
      <c r="C75" s="64">
        <v>59.59</v>
      </c>
      <c r="D75" s="64">
        <v>35.49</v>
      </c>
      <c r="E75" s="64">
        <v>1.46</v>
      </c>
      <c r="F75" s="64">
        <v>6.01</v>
      </c>
      <c r="G75" s="64">
        <v>68.819999999999993</v>
      </c>
      <c r="H75" s="64">
        <v>0.85</v>
      </c>
      <c r="I75" s="64">
        <v>7.87</v>
      </c>
      <c r="J75" s="64">
        <v>0.81</v>
      </c>
      <c r="K75" s="64">
        <v>84.52</v>
      </c>
      <c r="L75" s="64">
        <v>34.840000000000003</v>
      </c>
      <c r="M75" s="64">
        <v>20.89</v>
      </c>
      <c r="N75" s="64">
        <v>110.6</v>
      </c>
      <c r="O75" s="64">
        <v>0</v>
      </c>
      <c r="P75" s="64">
        <v>0.68</v>
      </c>
      <c r="Q75" s="64">
        <v>9.86</v>
      </c>
      <c r="R75" s="198"/>
      <c r="S75" s="198"/>
      <c r="T75" s="198"/>
      <c r="U75" s="198"/>
    </row>
    <row r="76" spans="1:21" s="12" customFormat="1" x14ac:dyDescent="0.25">
      <c r="A76" s="214" t="s">
        <v>507</v>
      </c>
      <c r="B76" s="64">
        <v>5.16</v>
      </c>
      <c r="C76" s="64">
        <v>61.43</v>
      </c>
      <c r="D76" s="64">
        <v>36.15</v>
      </c>
      <c r="E76" s="64">
        <v>1.33</v>
      </c>
      <c r="F76" s="64">
        <v>7.71</v>
      </c>
      <c r="G76" s="64">
        <v>62.79</v>
      </c>
      <c r="H76" s="64">
        <v>0.51</v>
      </c>
      <c r="I76" s="64">
        <v>7.88</v>
      </c>
      <c r="J76" s="64">
        <v>0.55000000000000004</v>
      </c>
      <c r="K76" s="64">
        <v>79.7</v>
      </c>
      <c r="L76" s="64">
        <v>34.119999999999997</v>
      </c>
      <c r="M76" s="64">
        <v>21.91</v>
      </c>
      <c r="N76" s="64">
        <v>91.1</v>
      </c>
      <c r="O76" s="64">
        <v>0</v>
      </c>
      <c r="P76" s="64">
        <v>0.66</v>
      </c>
      <c r="Q76" s="64">
        <v>9.91</v>
      </c>
      <c r="R76" s="198"/>
      <c r="S76" s="198"/>
      <c r="T76" s="198"/>
      <c r="U76" s="198"/>
    </row>
    <row r="77" spans="1:21" s="12" customFormat="1" x14ac:dyDescent="0.25">
      <c r="A77" s="214" t="s">
        <v>508</v>
      </c>
      <c r="B77" s="64">
        <v>4.88</v>
      </c>
      <c r="C77" s="64">
        <v>61.6</v>
      </c>
      <c r="D77" s="64">
        <v>36.020000000000003</v>
      </c>
      <c r="E77" s="64">
        <v>1.89</v>
      </c>
      <c r="F77" s="64">
        <v>19.98</v>
      </c>
      <c r="G77" s="212" t="s">
        <v>42</v>
      </c>
      <c r="H77" s="212" t="s">
        <v>42</v>
      </c>
      <c r="I77" s="64">
        <v>7.86</v>
      </c>
      <c r="J77" s="64">
        <v>0.54</v>
      </c>
      <c r="K77" s="64">
        <v>87.53</v>
      </c>
      <c r="L77" s="64">
        <v>33.840000000000003</v>
      </c>
      <c r="M77" s="64">
        <v>21.06</v>
      </c>
      <c r="N77" s="64">
        <v>69.900000000000006</v>
      </c>
      <c r="O77" s="64">
        <v>0</v>
      </c>
      <c r="P77" s="64">
        <v>0.57999999999999996</v>
      </c>
      <c r="Q77" s="64">
        <v>9.77</v>
      </c>
      <c r="R77" s="198"/>
      <c r="S77" s="198"/>
      <c r="T77" s="198"/>
      <c r="U77" s="198"/>
    </row>
    <row r="78" spans="1:21" s="12" customFormat="1" x14ac:dyDescent="0.25">
      <c r="A78" s="214" t="s">
        <v>509</v>
      </c>
      <c r="B78" s="64">
        <v>4.55</v>
      </c>
      <c r="C78" s="64">
        <v>61.59</v>
      </c>
      <c r="D78" s="64">
        <v>35.75</v>
      </c>
      <c r="E78" s="64">
        <v>1.77</v>
      </c>
      <c r="F78" s="64">
        <v>16.399999999999999</v>
      </c>
      <c r="G78" s="212" t="s">
        <v>42</v>
      </c>
      <c r="H78" s="212" t="s">
        <v>42</v>
      </c>
      <c r="I78" s="64">
        <v>7.61</v>
      </c>
      <c r="J78" s="64">
        <v>0.56999999999999995</v>
      </c>
      <c r="K78" s="64">
        <v>81.11</v>
      </c>
      <c r="L78" s="64">
        <v>33.840000000000003</v>
      </c>
      <c r="M78" s="64">
        <v>20.81</v>
      </c>
      <c r="N78" s="64">
        <v>53.5</v>
      </c>
      <c r="O78" s="64">
        <v>0</v>
      </c>
      <c r="P78" s="64">
        <v>0.53</v>
      </c>
      <c r="Q78" s="64">
        <v>9.6300000000000008</v>
      </c>
      <c r="R78" s="198"/>
      <c r="S78" s="198"/>
      <c r="T78" s="198"/>
      <c r="U78" s="198"/>
    </row>
    <row r="79" spans="1:21" s="12" customFormat="1" x14ac:dyDescent="0.25">
      <c r="A79" s="214" t="s">
        <v>510</v>
      </c>
      <c r="B79" s="64">
        <v>4.7</v>
      </c>
      <c r="C79" s="64">
        <v>61.29</v>
      </c>
      <c r="D79" s="64">
        <v>35.72</v>
      </c>
      <c r="E79" s="64">
        <v>1.7</v>
      </c>
      <c r="F79" s="64">
        <v>9.43</v>
      </c>
      <c r="G79" s="212" t="s">
        <v>42</v>
      </c>
      <c r="H79" s="212" t="s">
        <v>42</v>
      </c>
      <c r="I79" s="64">
        <v>6.73</v>
      </c>
      <c r="J79" s="64">
        <v>0.3</v>
      </c>
      <c r="K79" s="64">
        <v>64.180000000000007</v>
      </c>
      <c r="L79" s="64">
        <v>33.35</v>
      </c>
      <c r="M79" s="64">
        <v>22.66</v>
      </c>
      <c r="N79" s="64">
        <v>41.8</v>
      </c>
      <c r="O79" s="64">
        <v>0</v>
      </c>
      <c r="P79" s="64">
        <v>0.55000000000000004</v>
      </c>
      <c r="Q79" s="64">
        <v>9.69</v>
      </c>
      <c r="R79" s="198"/>
      <c r="S79" s="198"/>
      <c r="T79" s="198"/>
      <c r="U79" s="198"/>
    </row>
    <row r="80" spans="1:21" s="12" customFormat="1" x14ac:dyDescent="0.25">
      <c r="A80" s="214" t="s">
        <v>511</v>
      </c>
      <c r="B80" s="64">
        <v>4.9800000000000004</v>
      </c>
      <c r="C80" s="64">
        <v>67.84</v>
      </c>
      <c r="D80" s="64">
        <v>39.36</v>
      </c>
      <c r="E80" s="64">
        <v>1.69</v>
      </c>
      <c r="F80" s="64">
        <v>10.16</v>
      </c>
      <c r="G80" s="212" t="s">
        <v>42</v>
      </c>
      <c r="H80" s="212" t="s">
        <v>42</v>
      </c>
      <c r="I80" s="64">
        <v>5.78</v>
      </c>
      <c r="J80" s="64">
        <v>0.34</v>
      </c>
      <c r="K80" s="64">
        <v>62.28</v>
      </c>
      <c r="L80" s="64">
        <v>32.99</v>
      </c>
      <c r="M80" s="64">
        <v>22.54</v>
      </c>
      <c r="N80" s="64">
        <v>29.6</v>
      </c>
      <c r="O80" s="64">
        <v>0</v>
      </c>
      <c r="P80" s="64">
        <v>0.67</v>
      </c>
      <c r="Q80" s="64">
        <v>9.2899999999999991</v>
      </c>
      <c r="R80" s="198"/>
      <c r="S80" s="198"/>
      <c r="T80" s="198"/>
      <c r="U80" s="198"/>
    </row>
    <row r="81" spans="1:26" s="12" customFormat="1" x14ac:dyDescent="0.25">
      <c r="A81" s="214" t="s">
        <v>512</v>
      </c>
      <c r="B81" s="64">
        <v>4.68</v>
      </c>
      <c r="C81" s="64">
        <v>79.19</v>
      </c>
      <c r="D81" s="64">
        <v>45.05</v>
      </c>
      <c r="E81" s="64">
        <v>1.6</v>
      </c>
      <c r="F81" s="64">
        <v>11.72</v>
      </c>
      <c r="G81" s="212" t="s">
        <v>42</v>
      </c>
      <c r="H81" s="212" t="s">
        <v>42</v>
      </c>
      <c r="I81" s="64">
        <v>5.7</v>
      </c>
      <c r="J81" s="64">
        <v>0.33</v>
      </c>
      <c r="K81" s="64">
        <v>69.180000000000007</v>
      </c>
      <c r="L81" s="64">
        <v>32.520000000000003</v>
      </c>
      <c r="M81" s="64">
        <v>25</v>
      </c>
      <c r="N81" s="64">
        <v>21</v>
      </c>
      <c r="O81" s="64">
        <v>0</v>
      </c>
      <c r="P81" s="64">
        <v>0.81</v>
      </c>
      <c r="Q81" s="64">
        <v>9.4600000000000009</v>
      </c>
      <c r="R81" s="198"/>
      <c r="S81" s="198"/>
      <c r="T81" s="198"/>
      <c r="U81" s="198"/>
    </row>
    <row r="82" spans="1:26" s="12" customFormat="1" x14ac:dyDescent="0.25">
      <c r="A82" s="214" t="s">
        <v>513</v>
      </c>
      <c r="B82" s="64">
        <v>6.01</v>
      </c>
      <c r="C82" s="64">
        <v>80.44</v>
      </c>
      <c r="D82" s="64">
        <v>46.77</v>
      </c>
      <c r="E82" s="64">
        <v>1.61</v>
      </c>
      <c r="F82" s="64">
        <v>6.18</v>
      </c>
      <c r="G82" s="212" t="s">
        <v>42</v>
      </c>
      <c r="H82" s="212" t="s">
        <v>42</v>
      </c>
      <c r="I82" s="64">
        <v>5.8</v>
      </c>
      <c r="J82" s="64">
        <v>0.2</v>
      </c>
      <c r="K82" s="64">
        <v>14.63</v>
      </c>
      <c r="L82" s="64">
        <v>31.69</v>
      </c>
      <c r="M82" s="64">
        <v>32.39</v>
      </c>
      <c r="N82" s="64">
        <v>19.3</v>
      </c>
      <c r="O82" s="64">
        <v>0</v>
      </c>
      <c r="P82" s="64">
        <v>0.9</v>
      </c>
      <c r="Q82" s="64">
        <v>9.85</v>
      </c>
      <c r="R82" s="198"/>
      <c r="S82" s="198"/>
      <c r="T82" s="198"/>
      <c r="U82" s="198"/>
    </row>
    <row r="83" spans="1:26" s="12" customFormat="1" x14ac:dyDescent="0.25">
      <c r="A83" s="214" t="s">
        <v>514</v>
      </c>
      <c r="B83" s="64">
        <v>10.47</v>
      </c>
      <c r="C83" s="64">
        <v>84.49</v>
      </c>
      <c r="D83" s="64">
        <v>52.46</v>
      </c>
      <c r="E83" s="64">
        <v>1.65</v>
      </c>
      <c r="F83" s="64">
        <v>3.89</v>
      </c>
      <c r="G83" s="212" t="s">
        <v>42</v>
      </c>
      <c r="H83" s="212" t="s">
        <v>42</v>
      </c>
      <c r="I83" s="64">
        <v>5.75</v>
      </c>
      <c r="J83" s="64">
        <v>0.17</v>
      </c>
      <c r="K83" s="64">
        <v>183.84</v>
      </c>
      <c r="L83" s="64">
        <v>31.15</v>
      </c>
      <c r="M83" s="64">
        <v>28.85</v>
      </c>
      <c r="N83" s="64">
        <v>18.2</v>
      </c>
      <c r="O83" s="64">
        <v>0</v>
      </c>
      <c r="P83" s="64">
        <v>1.04</v>
      </c>
      <c r="Q83" s="64">
        <v>9.66</v>
      </c>
      <c r="R83" s="198"/>
      <c r="S83" s="198"/>
      <c r="T83" s="198"/>
      <c r="U83" s="198"/>
    </row>
    <row r="84" spans="1:26" s="12" customFormat="1" x14ac:dyDescent="0.25">
      <c r="A84" s="214" t="s">
        <v>515</v>
      </c>
      <c r="B84" s="64">
        <v>13.4</v>
      </c>
      <c r="C84" s="64">
        <v>83.71</v>
      </c>
      <c r="D84" s="64">
        <v>54.4</v>
      </c>
      <c r="E84" s="64">
        <v>1.54</v>
      </c>
      <c r="F84" s="64">
        <v>3.67</v>
      </c>
      <c r="G84" s="212" t="s">
        <v>42</v>
      </c>
      <c r="H84" s="212" t="s">
        <v>42</v>
      </c>
      <c r="I84" s="64">
        <v>6.1</v>
      </c>
      <c r="J84" s="64">
        <v>0.28000000000000003</v>
      </c>
      <c r="K84" s="64">
        <v>1.42</v>
      </c>
      <c r="L84" s="64">
        <v>30.79</v>
      </c>
      <c r="M84" s="64">
        <v>36.799999999999997</v>
      </c>
      <c r="N84" s="64">
        <v>19</v>
      </c>
      <c r="O84" s="64">
        <v>0</v>
      </c>
      <c r="P84" s="64">
        <v>1.17</v>
      </c>
      <c r="Q84" s="64">
        <v>10.050000000000001</v>
      </c>
      <c r="R84" s="198"/>
      <c r="S84" s="198"/>
      <c r="T84" s="198"/>
      <c r="U84" s="198"/>
    </row>
    <row r="85" spans="1:26" s="12" customFormat="1" x14ac:dyDescent="0.25">
      <c r="A85" s="214" t="s">
        <v>516</v>
      </c>
      <c r="B85" s="64">
        <v>18.14</v>
      </c>
      <c r="C85" s="64">
        <v>85.01</v>
      </c>
      <c r="D85" s="64">
        <v>58.88</v>
      </c>
      <c r="E85" s="64">
        <v>1.51</v>
      </c>
      <c r="F85" s="64">
        <v>3.55</v>
      </c>
      <c r="G85" s="64">
        <v>146.53</v>
      </c>
      <c r="H85" s="64">
        <v>93.49</v>
      </c>
      <c r="I85" s="64">
        <v>6.75</v>
      </c>
      <c r="J85" s="64">
        <v>0.06</v>
      </c>
      <c r="K85" s="64">
        <v>27.54</v>
      </c>
      <c r="L85" s="64">
        <v>29.96</v>
      </c>
      <c r="M85" s="64">
        <v>38.549999999999997</v>
      </c>
      <c r="N85" s="64">
        <v>18.7</v>
      </c>
      <c r="O85" s="64">
        <v>0</v>
      </c>
      <c r="P85" s="64">
        <v>1.31</v>
      </c>
      <c r="Q85" s="64">
        <v>9.84</v>
      </c>
      <c r="R85" s="198"/>
      <c r="S85" s="198"/>
      <c r="T85" s="198"/>
      <c r="U85" s="198"/>
    </row>
    <row r="86" spans="1:26" s="12" customFormat="1" x14ac:dyDescent="0.25">
      <c r="A86" s="214" t="s">
        <v>517</v>
      </c>
      <c r="B86" s="64">
        <v>23.52</v>
      </c>
      <c r="C86" s="64">
        <v>84.98</v>
      </c>
      <c r="D86" s="64">
        <v>63.18</v>
      </c>
      <c r="E86" s="64">
        <v>1.69</v>
      </c>
      <c r="F86" s="64">
        <v>3.56</v>
      </c>
      <c r="G86" s="64">
        <v>168.97</v>
      </c>
      <c r="H86" s="64">
        <v>93.49</v>
      </c>
      <c r="I86" s="64">
        <v>7.77</v>
      </c>
      <c r="J86" s="64">
        <v>0.16</v>
      </c>
      <c r="K86" s="64">
        <v>237.89</v>
      </c>
      <c r="L86" s="64">
        <v>29.58</v>
      </c>
      <c r="M86" s="64">
        <v>36.200000000000003</v>
      </c>
      <c r="N86" s="64">
        <v>18.5</v>
      </c>
      <c r="O86" s="64">
        <v>0</v>
      </c>
      <c r="P86" s="64">
        <v>1.52</v>
      </c>
      <c r="Q86" s="64">
        <v>10.01</v>
      </c>
      <c r="R86" s="198"/>
      <c r="S86" s="198"/>
      <c r="T86" s="198"/>
      <c r="U86" s="198"/>
    </row>
    <row r="87" spans="1:26" s="12" customFormat="1" x14ac:dyDescent="0.25">
      <c r="A87" s="214" t="s">
        <v>518</v>
      </c>
      <c r="B87" s="64">
        <v>28.02</v>
      </c>
      <c r="C87" s="64">
        <v>84.33</v>
      </c>
      <c r="D87" s="64">
        <v>66.45</v>
      </c>
      <c r="E87" s="64">
        <v>1.76</v>
      </c>
      <c r="F87" s="64">
        <v>3.59</v>
      </c>
      <c r="G87" s="64">
        <v>168.97</v>
      </c>
      <c r="H87" s="64">
        <v>93.49</v>
      </c>
      <c r="I87" s="64">
        <v>8.91</v>
      </c>
      <c r="J87" s="64">
        <v>0.24</v>
      </c>
      <c r="K87" s="64">
        <v>245.6</v>
      </c>
      <c r="L87" s="64">
        <v>29.72</v>
      </c>
      <c r="M87" s="64">
        <v>35.67</v>
      </c>
      <c r="N87" s="64">
        <v>18.100000000000001</v>
      </c>
      <c r="O87" s="64">
        <v>0</v>
      </c>
      <c r="P87" s="64">
        <v>1.55</v>
      </c>
      <c r="Q87" s="64">
        <v>10.23</v>
      </c>
      <c r="R87" s="198"/>
      <c r="S87" s="198"/>
      <c r="T87" s="198"/>
      <c r="U87" s="198"/>
    </row>
    <row r="88" spans="1:26" s="12" customFormat="1" x14ac:dyDescent="0.25">
      <c r="A88" s="214" t="s">
        <v>519</v>
      </c>
      <c r="B88" s="64">
        <v>32.17</v>
      </c>
      <c r="C88" s="64">
        <v>83.93</v>
      </c>
      <c r="D88" s="64">
        <v>69.569999999999993</v>
      </c>
      <c r="E88" s="64">
        <v>1.06</v>
      </c>
      <c r="F88" s="64">
        <v>3.03</v>
      </c>
      <c r="G88" s="64">
        <v>168.97</v>
      </c>
      <c r="H88" s="64">
        <v>93.49</v>
      </c>
      <c r="I88" s="64">
        <v>9.61</v>
      </c>
      <c r="J88" s="64">
        <v>0.35</v>
      </c>
      <c r="K88" s="64">
        <v>180.43</v>
      </c>
      <c r="L88" s="64">
        <v>30.06</v>
      </c>
      <c r="M88" s="64">
        <v>31.54</v>
      </c>
      <c r="N88" s="64">
        <v>17.2</v>
      </c>
      <c r="O88" s="64">
        <v>0</v>
      </c>
      <c r="P88" s="64">
        <v>1.6</v>
      </c>
      <c r="Q88" s="64">
        <v>10.42</v>
      </c>
      <c r="R88" s="198"/>
      <c r="S88" s="198"/>
      <c r="T88" s="198"/>
      <c r="U88" s="198"/>
    </row>
    <row r="89" spans="1:26" s="12" customFormat="1" x14ac:dyDescent="0.25">
      <c r="A89" s="214" t="s">
        <v>520</v>
      </c>
      <c r="B89" s="64">
        <v>33.200000000000003</v>
      </c>
      <c r="C89" s="64">
        <v>82.94</v>
      </c>
      <c r="D89" s="64">
        <v>69.88</v>
      </c>
      <c r="E89" s="64">
        <v>1.6</v>
      </c>
      <c r="F89" s="64">
        <v>3.07</v>
      </c>
      <c r="G89" s="64">
        <v>163.51</v>
      </c>
      <c r="H89" s="64">
        <v>59.58</v>
      </c>
      <c r="I89" s="64">
        <v>9.8699999999999992</v>
      </c>
      <c r="J89" s="64">
        <v>1.02</v>
      </c>
      <c r="K89" s="64">
        <v>155.62</v>
      </c>
      <c r="L89" s="64">
        <v>30.3</v>
      </c>
      <c r="M89" s="64">
        <v>29.97</v>
      </c>
      <c r="N89" s="64">
        <v>16.899999999999999</v>
      </c>
      <c r="O89" s="64">
        <v>0</v>
      </c>
      <c r="P89" s="64">
        <v>1.59</v>
      </c>
      <c r="Q89" s="64">
        <v>10.55</v>
      </c>
      <c r="R89" s="198"/>
      <c r="S89" s="198"/>
      <c r="T89" s="198"/>
      <c r="U89" s="198"/>
    </row>
    <row r="90" spans="1:26" s="12" customFormat="1" x14ac:dyDescent="0.25">
      <c r="A90" s="214" t="s">
        <v>521</v>
      </c>
      <c r="B90" s="64">
        <v>32.21</v>
      </c>
      <c r="C90" s="64">
        <v>80.87</v>
      </c>
      <c r="D90" s="64">
        <v>68</v>
      </c>
      <c r="E90" s="64">
        <v>1.61</v>
      </c>
      <c r="F90" s="64">
        <v>3.27</v>
      </c>
      <c r="G90" s="64">
        <v>161.94999999999999</v>
      </c>
      <c r="H90" s="64">
        <v>49.89</v>
      </c>
      <c r="I90" s="64">
        <v>10.33</v>
      </c>
      <c r="J90" s="64">
        <v>0.46</v>
      </c>
      <c r="K90" s="64">
        <v>163.53</v>
      </c>
      <c r="L90" s="64">
        <v>30.31</v>
      </c>
      <c r="M90" s="64">
        <v>31.02</v>
      </c>
      <c r="N90" s="64">
        <v>18</v>
      </c>
      <c r="O90" s="64">
        <v>0</v>
      </c>
      <c r="P90" s="64">
        <v>1.54</v>
      </c>
      <c r="Q90" s="64">
        <v>10.58</v>
      </c>
      <c r="R90" s="198"/>
      <c r="S90" s="198"/>
      <c r="T90" s="198"/>
      <c r="U90" s="198"/>
    </row>
    <row r="91" spans="1:26" s="12" customFormat="1" x14ac:dyDescent="0.25">
      <c r="A91" s="214" t="s">
        <v>522</v>
      </c>
      <c r="B91" s="64">
        <v>30.81</v>
      </c>
      <c r="C91" s="64">
        <v>77.959999999999994</v>
      </c>
      <c r="D91" s="64">
        <v>65.36</v>
      </c>
      <c r="E91" s="64">
        <v>1.21</v>
      </c>
      <c r="F91" s="64">
        <v>3.36</v>
      </c>
      <c r="G91" s="64">
        <v>161.94999999999999</v>
      </c>
      <c r="H91" s="64">
        <v>49.89</v>
      </c>
      <c r="I91" s="64">
        <v>9.56</v>
      </c>
      <c r="J91" s="64">
        <v>0.14000000000000001</v>
      </c>
      <c r="K91" s="64">
        <v>293.07</v>
      </c>
      <c r="L91" s="64">
        <v>29.81</v>
      </c>
      <c r="M91" s="64">
        <v>33.96</v>
      </c>
      <c r="N91" s="64">
        <v>18.8</v>
      </c>
      <c r="O91" s="64">
        <v>0</v>
      </c>
      <c r="P91" s="64">
        <v>1.53</v>
      </c>
      <c r="Q91" s="64">
        <v>10.18</v>
      </c>
      <c r="R91" s="198"/>
      <c r="S91" s="198"/>
      <c r="T91" s="198"/>
      <c r="U91" s="198"/>
    </row>
    <row r="92" spans="1:26" s="12" customFormat="1" x14ac:dyDescent="0.25">
      <c r="A92" s="214" t="s">
        <v>523</v>
      </c>
      <c r="B92" s="64">
        <v>30.64</v>
      </c>
      <c r="C92" s="64">
        <v>77.150000000000006</v>
      </c>
      <c r="D92" s="64">
        <v>64.8</v>
      </c>
      <c r="E92" s="64">
        <v>1.69</v>
      </c>
      <c r="F92" s="64">
        <v>3.63</v>
      </c>
      <c r="G92" s="64">
        <v>161.94999999999999</v>
      </c>
      <c r="H92" s="64">
        <v>49.89</v>
      </c>
      <c r="I92" s="64">
        <v>9</v>
      </c>
      <c r="J92" s="64">
        <v>0.01</v>
      </c>
      <c r="K92" s="64">
        <v>320.05</v>
      </c>
      <c r="L92" s="64">
        <v>28.94</v>
      </c>
      <c r="M92" s="64">
        <v>39.06</v>
      </c>
      <c r="N92" s="64">
        <v>19.100000000000001</v>
      </c>
      <c r="O92" s="64">
        <v>0</v>
      </c>
      <c r="P92" s="64">
        <v>1.55</v>
      </c>
      <c r="Q92" s="64">
        <v>10.28</v>
      </c>
      <c r="R92" s="198"/>
      <c r="S92" s="198"/>
      <c r="T92" s="198"/>
      <c r="U92" s="198"/>
    </row>
    <row r="93" spans="1:26" s="12" customFormat="1" x14ac:dyDescent="0.25">
      <c r="A93" s="214" t="s">
        <v>524</v>
      </c>
      <c r="B93" s="64">
        <v>32.32</v>
      </c>
      <c r="C93" s="64">
        <v>78.28</v>
      </c>
      <c r="D93" s="64">
        <v>66.73</v>
      </c>
      <c r="E93" s="64">
        <v>1.3</v>
      </c>
      <c r="F93" s="64">
        <v>3.5</v>
      </c>
      <c r="G93" s="64">
        <v>127.49</v>
      </c>
      <c r="H93" s="64">
        <v>42.06</v>
      </c>
      <c r="I93" s="64">
        <v>9.73</v>
      </c>
      <c r="J93" s="64">
        <v>0.17</v>
      </c>
      <c r="K93" s="64">
        <v>305.02999999999997</v>
      </c>
      <c r="L93" s="64">
        <v>28.28</v>
      </c>
      <c r="M93" s="64">
        <v>42.21</v>
      </c>
      <c r="N93" s="64">
        <v>18.8</v>
      </c>
      <c r="O93" s="64">
        <v>0</v>
      </c>
      <c r="P93" s="64">
        <v>1.58</v>
      </c>
      <c r="Q93" s="64">
        <v>10.34</v>
      </c>
      <c r="R93" s="198"/>
      <c r="S93" s="198"/>
      <c r="T93" s="198"/>
      <c r="U93" s="198"/>
    </row>
    <row r="94" spans="1:26" s="12" customFormat="1" x14ac:dyDescent="0.25">
      <c r="A94" s="214" t="s">
        <v>525</v>
      </c>
      <c r="B94" s="64">
        <v>33.96</v>
      </c>
      <c r="C94" s="64">
        <v>78.56</v>
      </c>
      <c r="D94" s="64">
        <v>68.2</v>
      </c>
      <c r="E94" s="64">
        <v>1.89</v>
      </c>
      <c r="F94" s="64">
        <v>3.36</v>
      </c>
      <c r="G94" s="64">
        <v>117.65</v>
      </c>
      <c r="H94" s="64">
        <v>39.82</v>
      </c>
      <c r="I94" s="64">
        <v>9.98</v>
      </c>
      <c r="J94" s="64">
        <v>0.09</v>
      </c>
      <c r="K94" s="64">
        <v>285.18</v>
      </c>
      <c r="L94" s="64">
        <v>28.35</v>
      </c>
      <c r="M94" s="64">
        <v>40.25</v>
      </c>
      <c r="N94" s="64">
        <v>18.2</v>
      </c>
      <c r="O94" s="64">
        <v>0</v>
      </c>
      <c r="P94" s="64">
        <v>1.61</v>
      </c>
      <c r="Q94" s="64">
        <v>10.41</v>
      </c>
      <c r="R94" s="198"/>
      <c r="S94" s="198"/>
      <c r="T94" s="198"/>
      <c r="U94" s="198"/>
    </row>
    <row r="95" spans="1:26" s="12" customFormat="1" x14ac:dyDescent="0.25">
      <c r="A95" s="214" t="s">
        <v>526</v>
      </c>
      <c r="B95" s="64">
        <v>32.369999999999997</v>
      </c>
      <c r="C95" s="64">
        <v>76.48</v>
      </c>
      <c r="D95" s="64">
        <v>65.84</v>
      </c>
      <c r="E95" s="64">
        <v>1.32</v>
      </c>
      <c r="F95" s="64">
        <v>3.53</v>
      </c>
      <c r="G95" s="64">
        <v>117.65</v>
      </c>
      <c r="H95" s="64">
        <v>39.82</v>
      </c>
      <c r="I95" s="64">
        <v>9.9499999999999993</v>
      </c>
      <c r="J95" s="64">
        <v>0.83</v>
      </c>
      <c r="K95" s="64">
        <v>156.76</v>
      </c>
      <c r="L95" s="64">
        <v>28.74</v>
      </c>
      <c r="M95" s="64">
        <v>40.98</v>
      </c>
      <c r="N95" s="64">
        <v>16.899999999999999</v>
      </c>
      <c r="O95" s="64">
        <v>0</v>
      </c>
      <c r="P95" s="64">
        <v>1.56</v>
      </c>
      <c r="Q95" s="64">
        <v>10.07</v>
      </c>
      <c r="R95" s="198"/>
      <c r="S95" s="198"/>
      <c r="T95" s="198"/>
      <c r="U95" s="198"/>
    </row>
    <row r="96" spans="1:26" s="12" customFormat="1" x14ac:dyDescent="0.25">
      <c r="A96" s="214" t="s">
        <v>527</v>
      </c>
      <c r="B96" s="64">
        <v>29.31</v>
      </c>
      <c r="C96" s="64">
        <v>75.09</v>
      </c>
      <c r="D96" s="64">
        <v>62.65</v>
      </c>
      <c r="E96" s="64">
        <v>1.47</v>
      </c>
      <c r="F96" s="64">
        <v>3.45</v>
      </c>
      <c r="G96" s="64">
        <v>117.65</v>
      </c>
      <c r="H96" s="64">
        <v>39.82</v>
      </c>
      <c r="I96" s="64">
        <v>9.9</v>
      </c>
      <c r="J96" s="64">
        <v>0.64</v>
      </c>
      <c r="K96" s="64">
        <v>174.87</v>
      </c>
      <c r="L96" s="64">
        <v>28.78</v>
      </c>
      <c r="M96" s="64">
        <v>41.09</v>
      </c>
      <c r="N96" s="64">
        <v>17.7</v>
      </c>
      <c r="O96" s="64">
        <v>0</v>
      </c>
      <c r="P96" s="64">
        <v>1.5</v>
      </c>
      <c r="Q96" s="64">
        <v>10.5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528</v>
      </c>
      <c r="B97" s="64">
        <v>22.07</v>
      </c>
      <c r="C97" s="64">
        <v>60.25</v>
      </c>
      <c r="D97" s="64">
        <v>49.09</v>
      </c>
      <c r="E97" s="64">
        <v>1.25</v>
      </c>
      <c r="F97" s="64">
        <v>3.54</v>
      </c>
      <c r="G97" s="64">
        <v>96.91</v>
      </c>
      <c r="H97" s="64">
        <v>30.53</v>
      </c>
      <c r="I97" s="64">
        <v>9.67</v>
      </c>
      <c r="J97" s="64">
        <v>0.87</v>
      </c>
      <c r="K97" s="64">
        <v>159.27000000000001</v>
      </c>
      <c r="L97" s="64">
        <v>28.63</v>
      </c>
      <c r="M97" s="64">
        <v>40.89</v>
      </c>
      <c r="N97" s="64">
        <v>17.7</v>
      </c>
      <c r="O97" s="64">
        <v>0</v>
      </c>
      <c r="P97" s="64">
        <v>1.43</v>
      </c>
      <c r="Q97" s="64">
        <v>10.3</v>
      </c>
      <c r="R97" s="198"/>
      <c r="S97" s="198"/>
      <c r="T97" s="198"/>
      <c r="U97" s="198"/>
    </row>
    <row r="98" spans="1:33" s="12" customFormat="1" x14ac:dyDescent="0.25">
      <c r="A98" s="214" t="s">
        <v>529</v>
      </c>
      <c r="B98" s="64">
        <v>23.65</v>
      </c>
      <c r="C98" s="64">
        <v>70.88</v>
      </c>
      <c r="D98" s="64">
        <v>55.92</v>
      </c>
      <c r="E98" s="64">
        <v>1.29</v>
      </c>
      <c r="F98" s="64">
        <v>3.57</v>
      </c>
      <c r="G98" s="64">
        <v>90.99</v>
      </c>
      <c r="H98" s="64">
        <v>27.87</v>
      </c>
      <c r="I98" s="64">
        <v>9.4</v>
      </c>
      <c r="J98" s="64">
        <v>0.9</v>
      </c>
      <c r="K98" s="64">
        <v>165.86</v>
      </c>
      <c r="L98" s="64">
        <v>28.55</v>
      </c>
      <c r="M98" s="64">
        <v>41.55</v>
      </c>
      <c r="N98" s="64">
        <v>17.899999999999999</v>
      </c>
      <c r="O98" s="64">
        <v>0</v>
      </c>
      <c r="P98" s="64">
        <v>1.37</v>
      </c>
      <c r="Q98" s="64">
        <v>10.14</v>
      </c>
      <c r="R98" s="198"/>
      <c r="S98" s="198"/>
      <c r="T98" s="198"/>
      <c r="U98" s="198"/>
    </row>
    <row r="99" spans="1:33" s="12" customFormat="1" x14ac:dyDescent="0.25">
      <c r="A99" s="214" t="s">
        <v>530</v>
      </c>
      <c r="B99" s="64">
        <v>21.16</v>
      </c>
      <c r="C99" s="64">
        <v>71.25</v>
      </c>
      <c r="D99" s="64">
        <v>54.12</v>
      </c>
      <c r="E99" s="64">
        <v>1.26</v>
      </c>
      <c r="F99" s="64">
        <v>3.77</v>
      </c>
      <c r="G99" s="64">
        <v>90.99</v>
      </c>
      <c r="H99" s="64">
        <v>27.87</v>
      </c>
      <c r="I99" s="64">
        <v>9.09</v>
      </c>
      <c r="J99" s="64">
        <v>0.88</v>
      </c>
      <c r="K99" s="64">
        <v>161.99</v>
      </c>
      <c r="L99" s="64">
        <v>28.24</v>
      </c>
      <c r="M99" s="64">
        <v>43.08</v>
      </c>
      <c r="N99" s="64">
        <v>18.2</v>
      </c>
      <c r="O99" s="64">
        <v>0</v>
      </c>
      <c r="P99" s="64">
        <v>1.3</v>
      </c>
      <c r="Q99" s="64">
        <v>10.08</v>
      </c>
      <c r="R99" s="198"/>
      <c r="S99" s="198"/>
      <c r="T99" s="198"/>
      <c r="U99" s="198"/>
    </row>
    <row r="100" spans="1:33" s="12" customFormat="1" x14ac:dyDescent="0.25">
      <c r="A100" s="214" t="s">
        <v>531</v>
      </c>
      <c r="B100" s="64">
        <v>18.670000000000002</v>
      </c>
      <c r="C100" s="64">
        <v>69.28</v>
      </c>
      <c r="D100" s="64">
        <v>51.08</v>
      </c>
      <c r="E100" s="64">
        <v>0.98</v>
      </c>
      <c r="F100" s="64">
        <v>3.78</v>
      </c>
      <c r="G100" s="64">
        <v>90.99</v>
      </c>
      <c r="H100" s="64">
        <v>27.87</v>
      </c>
      <c r="I100" s="64">
        <v>8.77</v>
      </c>
      <c r="J100" s="64">
        <v>0.99</v>
      </c>
      <c r="K100" s="64">
        <v>157.66999999999999</v>
      </c>
      <c r="L100" s="64">
        <v>27.86</v>
      </c>
      <c r="M100" s="64">
        <v>44.78</v>
      </c>
      <c r="N100" s="64">
        <v>18.2</v>
      </c>
      <c r="O100" s="64">
        <v>0</v>
      </c>
      <c r="P100" s="64">
        <v>1.23</v>
      </c>
      <c r="Q100" s="64">
        <v>9.9700000000000006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532</v>
      </c>
      <c r="B101" s="64">
        <v>16.420000000000002</v>
      </c>
      <c r="C101" s="64">
        <v>67.88</v>
      </c>
      <c r="D101" s="64">
        <v>48.56</v>
      </c>
      <c r="E101" s="64">
        <v>0.91</v>
      </c>
      <c r="F101" s="64">
        <v>3.41</v>
      </c>
      <c r="G101" s="64">
        <v>69.06</v>
      </c>
      <c r="H101" s="64">
        <v>25.92</v>
      </c>
      <c r="I101" s="64">
        <v>8.39</v>
      </c>
      <c r="J101" s="64">
        <v>0.99</v>
      </c>
      <c r="K101" s="64">
        <v>165.78</v>
      </c>
      <c r="L101" s="64">
        <v>27.78</v>
      </c>
      <c r="M101" s="64">
        <v>45.06</v>
      </c>
      <c r="N101" s="64">
        <v>17.899999999999999</v>
      </c>
      <c r="O101" s="64">
        <v>0</v>
      </c>
      <c r="P101" s="64">
        <v>1.17</v>
      </c>
      <c r="Q101" s="64">
        <v>9.84</v>
      </c>
      <c r="R101" s="198"/>
      <c r="S101" s="198"/>
      <c r="T101" s="198"/>
      <c r="U101" s="198"/>
    </row>
    <row r="102" spans="1:33" s="12" customFormat="1" x14ac:dyDescent="0.25">
      <c r="A102" s="214" t="s">
        <v>533</v>
      </c>
      <c r="B102" s="64">
        <v>14.61</v>
      </c>
      <c r="C102" s="64">
        <v>62.03</v>
      </c>
      <c r="D102" s="64">
        <v>44.04</v>
      </c>
      <c r="E102" s="64">
        <v>0.84</v>
      </c>
      <c r="F102" s="64">
        <v>3.62</v>
      </c>
      <c r="G102" s="64">
        <v>62.79</v>
      </c>
      <c r="H102" s="64">
        <v>25.36</v>
      </c>
      <c r="I102" s="64">
        <v>7.97</v>
      </c>
      <c r="J102" s="64">
        <v>0.76</v>
      </c>
      <c r="K102" s="64">
        <v>167.89</v>
      </c>
      <c r="L102" s="64">
        <v>27.58</v>
      </c>
      <c r="M102" s="64">
        <v>46.37</v>
      </c>
      <c r="N102" s="64">
        <v>18.2</v>
      </c>
      <c r="O102" s="64">
        <v>0</v>
      </c>
      <c r="P102" s="64">
        <v>1.1200000000000001</v>
      </c>
      <c r="Q102" s="64">
        <v>9.93</v>
      </c>
      <c r="R102" s="198"/>
      <c r="S102" s="198"/>
      <c r="T102" s="198"/>
      <c r="U102" s="198"/>
    </row>
    <row r="103" spans="1:33" s="12" customFormat="1" x14ac:dyDescent="0.25">
      <c r="A103" s="214" t="s">
        <v>534</v>
      </c>
      <c r="B103" s="64">
        <v>13.49</v>
      </c>
      <c r="C103" s="64">
        <v>61.71</v>
      </c>
      <c r="D103" s="64">
        <v>42.98</v>
      </c>
      <c r="E103" s="64">
        <v>1.1100000000000001</v>
      </c>
      <c r="F103" s="64">
        <v>3.7</v>
      </c>
      <c r="G103" s="64">
        <v>62.79</v>
      </c>
      <c r="H103" s="64">
        <v>25.36</v>
      </c>
      <c r="I103" s="64">
        <v>7.82</v>
      </c>
      <c r="J103" s="64">
        <v>0.93</v>
      </c>
      <c r="K103" s="64">
        <v>157.91</v>
      </c>
      <c r="L103" s="64">
        <v>27.3</v>
      </c>
      <c r="M103" s="64">
        <v>47.17</v>
      </c>
      <c r="N103" s="64">
        <v>18.100000000000001</v>
      </c>
      <c r="O103" s="64">
        <v>0</v>
      </c>
      <c r="P103" s="64">
        <v>1.0900000000000001</v>
      </c>
      <c r="Q103" s="64">
        <v>9.56</v>
      </c>
      <c r="R103" s="198"/>
      <c r="S103" s="198"/>
      <c r="T103" s="198"/>
      <c r="U103" s="198"/>
    </row>
    <row r="104" spans="1:33" s="12" customFormat="1" x14ac:dyDescent="0.25">
      <c r="A104" s="214" t="s">
        <v>535</v>
      </c>
      <c r="B104" s="64">
        <v>12.71</v>
      </c>
      <c r="C104" s="64">
        <v>61.45</v>
      </c>
      <c r="D104" s="64">
        <v>42.22</v>
      </c>
      <c r="E104" s="64">
        <v>0.47</v>
      </c>
      <c r="F104" s="64">
        <v>3.56</v>
      </c>
      <c r="G104" s="64">
        <v>62.79</v>
      </c>
      <c r="H104" s="64">
        <v>25.36</v>
      </c>
      <c r="I104" s="64">
        <v>7.64</v>
      </c>
      <c r="J104" s="64">
        <v>0.19</v>
      </c>
      <c r="K104" s="64">
        <v>183.44</v>
      </c>
      <c r="L104" s="64">
        <v>27.01</v>
      </c>
      <c r="M104" s="64">
        <v>47.94</v>
      </c>
      <c r="N104" s="64">
        <v>18.5</v>
      </c>
      <c r="O104" s="64">
        <v>0</v>
      </c>
      <c r="P104" s="64">
        <v>1.04</v>
      </c>
      <c r="Q104" s="64">
        <v>9.9600000000000009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4.5</v>
      </c>
      <c r="C106" s="67">
        <f>MIN(C9:C104)</f>
        <v>57.19</v>
      </c>
      <c r="D106" s="67">
        <f t="shared" ref="D106:Q106" si="0">MIN(D9:D104)</f>
        <v>35.14</v>
      </c>
      <c r="E106" s="67">
        <f t="shared" si="0"/>
        <v>0.47</v>
      </c>
      <c r="F106" s="67">
        <f t="shared" si="0"/>
        <v>2.9</v>
      </c>
      <c r="G106" s="67">
        <f t="shared" si="0"/>
        <v>52.42</v>
      </c>
      <c r="H106" s="67">
        <f t="shared" si="0"/>
        <v>0.51</v>
      </c>
      <c r="I106" s="67">
        <f t="shared" si="0"/>
        <v>5.7</v>
      </c>
      <c r="J106" s="67">
        <f t="shared" si="0"/>
        <v>0.01</v>
      </c>
      <c r="K106" s="67">
        <f t="shared" si="0"/>
        <v>1.42</v>
      </c>
      <c r="L106" s="67">
        <f t="shared" si="0"/>
        <v>21.96</v>
      </c>
      <c r="M106" s="67">
        <f t="shared" si="0"/>
        <v>16.77</v>
      </c>
      <c r="N106" s="67">
        <f t="shared" si="0"/>
        <v>16.899999999999999</v>
      </c>
      <c r="O106" s="67">
        <f t="shared" si="0"/>
        <v>0</v>
      </c>
      <c r="P106" s="67">
        <f t="shared" si="0"/>
        <v>0.53</v>
      </c>
      <c r="Q106" s="67">
        <f t="shared" si="0"/>
        <v>9.2899999999999991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131.24</v>
      </c>
      <c r="C107" s="66">
        <f t="shared" ref="C107:Q107" si="1">MAX(C9:C104)</f>
        <v>98.54</v>
      </c>
      <c r="D107" s="66">
        <f t="shared" si="1"/>
        <v>145.30000000000001</v>
      </c>
      <c r="E107" s="66">
        <f t="shared" si="1"/>
        <v>4.2</v>
      </c>
      <c r="F107" s="66">
        <f t="shared" si="1"/>
        <v>27.38</v>
      </c>
      <c r="G107" s="66">
        <f t="shared" si="1"/>
        <v>215.85</v>
      </c>
      <c r="H107" s="66">
        <f t="shared" si="1"/>
        <v>99.04</v>
      </c>
      <c r="I107" s="66">
        <f t="shared" si="1"/>
        <v>12.48</v>
      </c>
      <c r="J107" s="66">
        <f t="shared" si="1"/>
        <v>1.07</v>
      </c>
      <c r="K107" s="66">
        <f t="shared" si="1"/>
        <v>359.91</v>
      </c>
      <c r="L107" s="66">
        <f t="shared" si="1"/>
        <v>40.700000000000003</v>
      </c>
      <c r="M107" s="66">
        <f t="shared" si="1"/>
        <v>60.59</v>
      </c>
      <c r="N107" s="66">
        <f t="shared" si="1"/>
        <v>874.6</v>
      </c>
      <c r="O107" s="66">
        <f t="shared" si="1"/>
        <v>0</v>
      </c>
      <c r="P107" s="66">
        <f t="shared" si="1"/>
        <v>1.96</v>
      </c>
      <c r="Q107" s="66">
        <f t="shared" si="1"/>
        <v>12.15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40.65760416666668</v>
      </c>
      <c r="C108" s="67">
        <f t="shared" ref="C108:Q108" si="2">AVERAGE(C9:C104)</f>
        <v>70.991458333333313</v>
      </c>
      <c r="D108" s="67">
        <f t="shared" si="2"/>
        <v>69.614583333333314</v>
      </c>
      <c r="E108" s="67">
        <f t="shared" si="2"/>
        <v>2.0017708333333326</v>
      </c>
      <c r="F108" s="67">
        <f t="shared" si="2"/>
        <v>5.861770833333332</v>
      </c>
      <c r="G108" s="67">
        <f t="shared" si="2"/>
        <v>135.13181818181823</v>
      </c>
      <c r="H108" s="67">
        <f t="shared" si="2"/>
        <v>34.998636363636358</v>
      </c>
      <c r="I108" s="67">
        <f t="shared" si="2"/>
        <v>9.4753124999999994</v>
      </c>
      <c r="J108" s="67">
        <f t="shared" si="2"/>
        <v>0.45354166666666679</v>
      </c>
      <c r="K108" s="67">
        <f t="shared" si="2"/>
        <v>232.33197916666654</v>
      </c>
      <c r="L108" s="67">
        <f t="shared" si="2"/>
        <v>30.695312500000004</v>
      </c>
      <c r="M108" s="67">
        <f t="shared" si="2"/>
        <v>35.085729166666674</v>
      </c>
      <c r="N108" s="67">
        <f t="shared" si="2"/>
        <v>236.63750000000005</v>
      </c>
      <c r="O108" s="67">
        <f t="shared" si="2"/>
        <v>0</v>
      </c>
      <c r="P108" s="67">
        <f t="shared" si="2"/>
        <v>1.2091666666666672</v>
      </c>
      <c r="Q108" s="67">
        <f t="shared" si="2"/>
        <v>10.429791666666665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35.327885861776629</v>
      </c>
      <c r="C109" s="67">
        <f t="shared" ref="C109:Q109" si="3">STDEV(C9:C104)</f>
        <v>11.224459755295518</v>
      </c>
      <c r="D109" s="67">
        <f t="shared" si="3"/>
        <v>26.386845722688861</v>
      </c>
      <c r="E109" s="67">
        <f t="shared" si="3"/>
        <v>0.67508127353467295</v>
      </c>
      <c r="F109" s="67">
        <f t="shared" si="3"/>
        <v>4.8093514159049224</v>
      </c>
      <c r="G109" s="67">
        <f t="shared" si="3"/>
        <v>47.385940578111381</v>
      </c>
      <c r="H109" s="67">
        <f t="shared" si="3"/>
        <v>23.452723596549141</v>
      </c>
      <c r="I109" s="67">
        <f t="shared" si="3"/>
        <v>1.8356578933221241</v>
      </c>
      <c r="J109" s="67">
        <f t="shared" si="3"/>
        <v>0.2962253024718875</v>
      </c>
      <c r="K109" s="67">
        <f t="shared" si="3"/>
        <v>113.97493823893051</v>
      </c>
      <c r="L109" s="67">
        <f t="shared" si="3"/>
        <v>6.0869222977799353</v>
      </c>
      <c r="M109" s="67">
        <f t="shared" si="3"/>
        <v>13.887705410469414</v>
      </c>
      <c r="N109" s="67">
        <f t="shared" si="3"/>
        <v>295.83920107845211</v>
      </c>
      <c r="O109" s="67">
        <f t="shared" si="3"/>
        <v>0</v>
      </c>
      <c r="P109" s="67">
        <f t="shared" si="3"/>
        <v>0.32263607220476381</v>
      </c>
      <c r="Q109" s="67">
        <f t="shared" si="3"/>
        <v>0.67018140382667135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COUNT(G9:G104)+8</f>
        <v>96</v>
      </c>
      <c r="H110" s="66">
        <f>COUNT(H9:H104)+8</f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536</v>
      </c>
      <c r="B9" s="64">
        <v>12.05</v>
      </c>
      <c r="C9" s="64">
        <v>60.82</v>
      </c>
      <c r="D9" s="64">
        <v>41.36</v>
      </c>
      <c r="E9" s="64">
        <v>0.81</v>
      </c>
      <c r="F9" s="64">
        <v>3.33</v>
      </c>
      <c r="G9" s="64">
        <v>53.07</v>
      </c>
      <c r="H9" s="64">
        <v>23.38</v>
      </c>
      <c r="I9" s="64">
        <v>7.5</v>
      </c>
      <c r="J9" s="64">
        <v>0.43</v>
      </c>
      <c r="K9" s="64">
        <v>208.53</v>
      </c>
      <c r="L9" s="64">
        <v>26.68</v>
      </c>
      <c r="M9" s="64">
        <v>49.54</v>
      </c>
      <c r="N9" s="64">
        <v>18.2</v>
      </c>
      <c r="O9" s="64">
        <v>0</v>
      </c>
      <c r="P9" s="64">
        <v>1</v>
      </c>
      <c r="Q9" s="64">
        <v>9.58</v>
      </c>
      <c r="R9" s="198"/>
      <c r="S9" s="198"/>
      <c r="T9" s="198"/>
      <c r="U9" s="198"/>
    </row>
    <row r="10" spans="1:21" s="12" customFormat="1" x14ac:dyDescent="0.25">
      <c r="A10" s="214" t="s">
        <v>537</v>
      </c>
      <c r="B10" s="64">
        <v>11.3</v>
      </c>
      <c r="C10" s="64">
        <v>59.95</v>
      </c>
      <c r="D10" s="64">
        <v>40.299999999999997</v>
      </c>
      <c r="E10" s="64">
        <v>0.89</v>
      </c>
      <c r="F10" s="64">
        <v>3.54</v>
      </c>
      <c r="G10" s="64">
        <v>50.29</v>
      </c>
      <c r="H10" s="64">
        <v>22.82</v>
      </c>
      <c r="I10" s="64">
        <v>7.25</v>
      </c>
      <c r="J10" s="64">
        <v>0.42</v>
      </c>
      <c r="K10" s="64">
        <v>202.91</v>
      </c>
      <c r="L10" s="64">
        <v>26.44</v>
      </c>
      <c r="M10" s="64">
        <v>51.14</v>
      </c>
      <c r="N10" s="64">
        <v>18.100000000000001</v>
      </c>
      <c r="O10" s="64">
        <v>0</v>
      </c>
      <c r="P10" s="64">
        <v>0.97</v>
      </c>
      <c r="Q10" s="64">
        <v>10.06</v>
      </c>
      <c r="R10" s="198"/>
      <c r="S10" s="198"/>
      <c r="T10" s="198"/>
      <c r="U10" s="198"/>
    </row>
    <row r="11" spans="1:21" s="12" customFormat="1" x14ac:dyDescent="0.25">
      <c r="A11" s="214" t="s">
        <v>538</v>
      </c>
      <c r="B11" s="64">
        <v>10.56</v>
      </c>
      <c r="C11" s="64">
        <v>58.27</v>
      </c>
      <c r="D11" s="64">
        <v>38.840000000000003</v>
      </c>
      <c r="E11" s="64">
        <v>0.99</v>
      </c>
      <c r="F11" s="64">
        <v>4.07</v>
      </c>
      <c r="G11" s="64">
        <v>50.29</v>
      </c>
      <c r="H11" s="64">
        <v>22.82</v>
      </c>
      <c r="I11" s="64">
        <v>7.15</v>
      </c>
      <c r="J11" s="64">
        <v>0.45</v>
      </c>
      <c r="K11" s="64">
        <v>190.38</v>
      </c>
      <c r="L11" s="64">
        <v>26.17</v>
      </c>
      <c r="M11" s="64">
        <v>52.64</v>
      </c>
      <c r="N11" s="64">
        <v>18.100000000000001</v>
      </c>
      <c r="O11" s="64">
        <v>0</v>
      </c>
      <c r="P11" s="64">
        <v>0.93</v>
      </c>
      <c r="Q11" s="64">
        <v>9.89</v>
      </c>
      <c r="R11" s="198"/>
      <c r="S11" s="198"/>
      <c r="T11" s="198"/>
      <c r="U11" s="198"/>
    </row>
    <row r="12" spans="1:21" s="12" customFormat="1" x14ac:dyDescent="0.25">
      <c r="A12" s="214" t="s">
        <v>539</v>
      </c>
      <c r="B12" s="64">
        <v>9.9700000000000006</v>
      </c>
      <c r="C12" s="64">
        <v>57.14</v>
      </c>
      <c r="D12" s="64">
        <v>37.770000000000003</v>
      </c>
      <c r="E12" s="64">
        <v>0.81</v>
      </c>
      <c r="F12" s="64">
        <v>4.26</v>
      </c>
      <c r="G12" s="64">
        <v>50.29</v>
      </c>
      <c r="H12" s="64">
        <v>22.82</v>
      </c>
      <c r="I12" s="64">
        <v>7.34</v>
      </c>
      <c r="J12" s="64">
        <v>0.34</v>
      </c>
      <c r="K12" s="64">
        <v>226.11</v>
      </c>
      <c r="L12" s="64">
        <v>25.85</v>
      </c>
      <c r="M12" s="64">
        <v>53.8</v>
      </c>
      <c r="N12" s="64">
        <v>18.2</v>
      </c>
      <c r="O12" s="64">
        <v>0</v>
      </c>
      <c r="P12" s="64">
        <v>0.9</v>
      </c>
      <c r="Q12" s="64">
        <v>9.92</v>
      </c>
      <c r="R12" s="198"/>
      <c r="S12" s="198"/>
      <c r="T12" s="198"/>
      <c r="U12" s="198"/>
    </row>
    <row r="13" spans="1:21" s="12" customFormat="1" x14ac:dyDescent="0.25">
      <c r="A13" s="214" t="s">
        <v>540</v>
      </c>
      <c r="B13" s="64">
        <v>9.43</v>
      </c>
      <c r="C13" s="64">
        <v>53.91</v>
      </c>
      <c r="D13" s="64">
        <v>35.64</v>
      </c>
      <c r="E13" s="64">
        <v>0.82</v>
      </c>
      <c r="F13" s="64">
        <v>3.88</v>
      </c>
      <c r="G13" s="64">
        <v>45.51</v>
      </c>
      <c r="H13" s="64">
        <v>25.11</v>
      </c>
      <c r="I13" s="64">
        <v>7.17</v>
      </c>
      <c r="J13" s="64">
        <v>0.27</v>
      </c>
      <c r="K13" s="64">
        <v>184.11</v>
      </c>
      <c r="L13" s="64">
        <v>25.47</v>
      </c>
      <c r="M13" s="64">
        <v>56.32</v>
      </c>
      <c r="N13" s="64">
        <v>18.2</v>
      </c>
      <c r="O13" s="64">
        <v>0</v>
      </c>
      <c r="P13" s="64">
        <v>0.88</v>
      </c>
      <c r="Q13" s="64">
        <v>9.73</v>
      </c>
      <c r="R13" s="198"/>
      <c r="S13" s="198"/>
      <c r="T13" s="198"/>
      <c r="U13" s="198"/>
    </row>
    <row r="14" spans="1:21" s="12" customFormat="1" x14ac:dyDescent="0.25">
      <c r="A14" s="214" t="s">
        <v>541</v>
      </c>
      <c r="B14" s="64">
        <v>8.85</v>
      </c>
      <c r="C14" s="64">
        <v>52.17</v>
      </c>
      <c r="D14" s="64">
        <v>34.270000000000003</v>
      </c>
      <c r="E14" s="64">
        <v>0.64</v>
      </c>
      <c r="F14" s="64">
        <v>3.84</v>
      </c>
      <c r="G14" s="64">
        <v>44.15</v>
      </c>
      <c r="H14" s="64">
        <v>25.76</v>
      </c>
      <c r="I14" s="64">
        <v>7.03</v>
      </c>
      <c r="J14" s="64">
        <v>0.06</v>
      </c>
      <c r="K14" s="64">
        <v>245.83</v>
      </c>
      <c r="L14" s="64">
        <v>25.33</v>
      </c>
      <c r="M14" s="64">
        <v>56.72</v>
      </c>
      <c r="N14" s="64">
        <v>18.2</v>
      </c>
      <c r="O14" s="64">
        <v>0</v>
      </c>
      <c r="P14" s="64">
        <v>0.89</v>
      </c>
      <c r="Q14" s="64">
        <v>9.8800000000000008</v>
      </c>
      <c r="R14" s="198"/>
      <c r="S14" s="198"/>
      <c r="T14" s="198"/>
      <c r="U14" s="198"/>
    </row>
    <row r="15" spans="1:21" s="12" customFormat="1" x14ac:dyDescent="0.25">
      <c r="A15" s="214" t="s">
        <v>542</v>
      </c>
      <c r="B15" s="64">
        <v>8.24</v>
      </c>
      <c r="C15" s="64">
        <v>53.4</v>
      </c>
      <c r="D15" s="64">
        <v>34.43</v>
      </c>
      <c r="E15" s="64">
        <v>0.79</v>
      </c>
      <c r="F15" s="64">
        <v>3.9</v>
      </c>
      <c r="G15" s="64">
        <v>44.15</v>
      </c>
      <c r="H15" s="64">
        <v>25.76</v>
      </c>
      <c r="I15" s="64">
        <v>7.37</v>
      </c>
      <c r="J15" s="64">
        <v>0.11</v>
      </c>
      <c r="K15" s="64">
        <v>291.04000000000002</v>
      </c>
      <c r="L15" s="64">
        <v>25.11</v>
      </c>
      <c r="M15" s="64">
        <v>57.46</v>
      </c>
      <c r="N15" s="64">
        <v>18.3</v>
      </c>
      <c r="O15" s="64">
        <v>0</v>
      </c>
      <c r="P15" s="64">
        <v>0.86</v>
      </c>
      <c r="Q15" s="64">
        <v>9.89</v>
      </c>
      <c r="R15" s="198"/>
      <c r="S15" s="198"/>
      <c r="T15" s="198"/>
      <c r="U15" s="198"/>
    </row>
    <row r="16" spans="1:21" s="12" customFormat="1" x14ac:dyDescent="0.25">
      <c r="A16" s="214" t="s">
        <v>543</v>
      </c>
      <c r="B16" s="64">
        <v>7.73</v>
      </c>
      <c r="C16" s="64">
        <v>53.85</v>
      </c>
      <c r="D16" s="64">
        <v>34.25</v>
      </c>
      <c r="E16" s="64">
        <v>1.04</v>
      </c>
      <c r="F16" s="64">
        <v>4.05</v>
      </c>
      <c r="G16" s="64">
        <v>44.15</v>
      </c>
      <c r="H16" s="64">
        <v>25.76</v>
      </c>
      <c r="I16" s="64">
        <v>7.34</v>
      </c>
      <c r="J16" s="64">
        <v>0.13</v>
      </c>
      <c r="K16" s="64">
        <v>265.22000000000003</v>
      </c>
      <c r="L16" s="64">
        <v>25.21</v>
      </c>
      <c r="M16" s="64">
        <v>57.65</v>
      </c>
      <c r="N16" s="64">
        <v>17.899999999999999</v>
      </c>
      <c r="O16" s="64">
        <v>0</v>
      </c>
      <c r="P16" s="64">
        <v>0.83</v>
      </c>
      <c r="Q16" s="64">
        <v>9.7799999999999994</v>
      </c>
      <c r="R16" s="198"/>
      <c r="S16" s="198"/>
      <c r="T16" s="198"/>
      <c r="U16" s="198"/>
    </row>
    <row r="17" spans="1:21" s="12" customFormat="1" x14ac:dyDescent="0.25">
      <c r="A17" s="214" t="s">
        <v>544</v>
      </c>
      <c r="B17" s="64">
        <v>7.53</v>
      </c>
      <c r="C17" s="64">
        <v>53.73</v>
      </c>
      <c r="D17" s="64">
        <v>34.03</v>
      </c>
      <c r="E17" s="64">
        <v>0.79</v>
      </c>
      <c r="F17" s="64">
        <v>3.97</v>
      </c>
      <c r="G17" s="64">
        <v>44.42</v>
      </c>
      <c r="H17" s="64">
        <v>20.059999999999999</v>
      </c>
      <c r="I17" s="64">
        <v>7.05</v>
      </c>
      <c r="J17" s="64">
        <v>0.11</v>
      </c>
      <c r="K17" s="64">
        <v>296.26</v>
      </c>
      <c r="L17" s="64">
        <v>25.14</v>
      </c>
      <c r="M17" s="64">
        <v>58.6</v>
      </c>
      <c r="N17" s="64">
        <v>18.100000000000001</v>
      </c>
      <c r="O17" s="64">
        <v>0</v>
      </c>
      <c r="P17" s="64">
        <v>0.79</v>
      </c>
      <c r="Q17" s="64">
        <v>9.7799999999999994</v>
      </c>
      <c r="R17" s="198"/>
      <c r="S17" s="198"/>
      <c r="T17" s="198"/>
      <c r="U17" s="198"/>
    </row>
    <row r="18" spans="1:21" s="12" customFormat="1" x14ac:dyDescent="0.25">
      <c r="A18" s="214" t="s">
        <v>545</v>
      </c>
      <c r="B18" s="64">
        <v>7.49</v>
      </c>
      <c r="C18" s="64">
        <v>53.52</v>
      </c>
      <c r="D18" s="64">
        <v>33.89</v>
      </c>
      <c r="E18" s="64">
        <v>0.96</v>
      </c>
      <c r="F18" s="64">
        <v>4.12</v>
      </c>
      <c r="G18" s="64">
        <v>44.5</v>
      </c>
      <c r="H18" s="64">
        <v>18.43</v>
      </c>
      <c r="I18" s="64">
        <v>6.84</v>
      </c>
      <c r="J18" s="64">
        <v>0.12</v>
      </c>
      <c r="K18" s="64">
        <v>314.29000000000002</v>
      </c>
      <c r="L18" s="64">
        <v>24.52</v>
      </c>
      <c r="M18" s="64">
        <v>63.36</v>
      </c>
      <c r="N18" s="64">
        <v>18.5</v>
      </c>
      <c r="O18" s="64">
        <v>0</v>
      </c>
      <c r="P18" s="64">
        <v>0.77</v>
      </c>
      <c r="Q18" s="64">
        <v>9.33</v>
      </c>
      <c r="R18" s="198"/>
      <c r="S18" s="198"/>
      <c r="T18" s="198"/>
      <c r="U18" s="198"/>
    </row>
    <row r="19" spans="1:21" s="12" customFormat="1" x14ac:dyDescent="0.25">
      <c r="A19" s="214" t="s">
        <v>546</v>
      </c>
      <c r="B19" s="64">
        <v>7.48</v>
      </c>
      <c r="C19" s="64">
        <v>53.72</v>
      </c>
      <c r="D19" s="64">
        <v>33.99</v>
      </c>
      <c r="E19" s="64">
        <v>0.93</v>
      </c>
      <c r="F19" s="64">
        <v>4.13</v>
      </c>
      <c r="G19" s="64">
        <v>44.5</v>
      </c>
      <c r="H19" s="64">
        <v>18.43</v>
      </c>
      <c r="I19" s="64">
        <v>6.39</v>
      </c>
      <c r="J19" s="64">
        <v>0.14000000000000001</v>
      </c>
      <c r="K19" s="64">
        <v>352.41</v>
      </c>
      <c r="L19" s="64">
        <v>24.13</v>
      </c>
      <c r="M19" s="64">
        <v>64.760000000000005</v>
      </c>
      <c r="N19" s="64">
        <v>18.100000000000001</v>
      </c>
      <c r="O19" s="64">
        <v>0</v>
      </c>
      <c r="P19" s="64">
        <v>0.74</v>
      </c>
      <c r="Q19" s="64">
        <v>9.99</v>
      </c>
      <c r="R19" s="198"/>
      <c r="S19" s="198"/>
      <c r="T19" s="198"/>
      <c r="U19" s="198"/>
    </row>
    <row r="20" spans="1:21" s="12" customFormat="1" x14ac:dyDescent="0.25">
      <c r="A20" s="214" t="s">
        <v>547</v>
      </c>
      <c r="B20" s="64">
        <v>7.39</v>
      </c>
      <c r="C20" s="64">
        <v>52.67</v>
      </c>
      <c r="D20" s="64">
        <v>33.369999999999997</v>
      </c>
      <c r="E20" s="64">
        <v>0.99</v>
      </c>
      <c r="F20" s="64">
        <v>4.12</v>
      </c>
      <c r="G20" s="64">
        <v>44.5</v>
      </c>
      <c r="H20" s="64">
        <v>18.43</v>
      </c>
      <c r="I20" s="64">
        <v>6.61</v>
      </c>
      <c r="J20" s="64">
        <v>0.05</v>
      </c>
      <c r="K20" s="64">
        <v>34.659999999999997</v>
      </c>
      <c r="L20" s="64">
        <v>24.2</v>
      </c>
      <c r="M20" s="64">
        <v>63.41</v>
      </c>
      <c r="N20" s="64">
        <v>18.100000000000001</v>
      </c>
      <c r="O20" s="64">
        <v>0</v>
      </c>
      <c r="P20" s="64">
        <v>0.72</v>
      </c>
      <c r="Q20" s="64">
        <v>9.7100000000000009</v>
      </c>
      <c r="R20" s="198"/>
      <c r="S20" s="198"/>
      <c r="T20" s="198"/>
      <c r="U20" s="198"/>
    </row>
    <row r="21" spans="1:21" s="12" customFormat="1" x14ac:dyDescent="0.25">
      <c r="A21" s="214" t="s">
        <v>548</v>
      </c>
      <c r="B21" s="64">
        <v>7.29</v>
      </c>
      <c r="C21" s="64">
        <v>51.88</v>
      </c>
      <c r="D21" s="64">
        <v>32.869999999999997</v>
      </c>
      <c r="E21" s="64">
        <v>0.68</v>
      </c>
      <c r="F21" s="64">
        <v>4.09</v>
      </c>
      <c r="G21" s="64">
        <v>40.53</v>
      </c>
      <c r="H21" s="64">
        <v>15.65</v>
      </c>
      <c r="I21" s="64">
        <v>6.45</v>
      </c>
      <c r="J21" s="64">
        <v>0.1</v>
      </c>
      <c r="K21" s="64">
        <v>166.26</v>
      </c>
      <c r="L21" s="64">
        <v>24.29</v>
      </c>
      <c r="M21" s="64">
        <v>62.15</v>
      </c>
      <c r="N21" s="64">
        <v>18.100000000000001</v>
      </c>
      <c r="O21" s="64">
        <v>0</v>
      </c>
      <c r="P21" s="64">
        <v>0.69</v>
      </c>
      <c r="Q21" s="64">
        <v>9.9499999999999993</v>
      </c>
      <c r="R21" s="198"/>
      <c r="S21" s="198"/>
      <c r="T21" s="198"/>
      <c r="U21" s="198"/>
    </row>
    <row r="22" spans="1:21" s="12" customFormat="1" x14ac:dyDescent="0.25">
      <c r="A22" s="214" t="s">
        <v>549</v>
      </c>
      <c r="B22" s="64">
        <v>7.29</v>
      </c>
      <c r="C22" s="64">
        <v>51.73</v>
      </c>
      <c r="D22" s="64">
        <v>32.799999999999997</v>
      </c>
      <c r="E22" s="64">
        <v>0.82</v>
      </c>
      <c r="F22" s="64">
        <v>3.85</v>
      </c>
      <c r="G22" s="64">
        <v>39.39</v>
      </c>
      <c r="H22" s="64">
        <v>14.86</v>
      </c>
      <c r="I22" s="64">
        <v>6.24</v>
      </c>
      <c r="J22" s="64">
        <v>0.16</v>
      </c>
      <c r="K22" s="64">
        <v>216.6</v>
      </c>
      <c r="L22" s="64">
        <v>24.29</v>
      </c>
      <c r="M22" s="64">
        <v>63.92</v>
      </c>
      <c r="N22" s="64">
        <v>17.8</v>
      </c>
      <c r="O22" s="64">
        <v>0</v>
      </c>
      <c r="P22" s="64">
        <v>0.68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14" t="s">
        <v>550</v>
      </c>
      <c r="B23" s="64">
        <v>8.0299999999999994</v>
      </c>
      <c r="C23" s="64">
        <v>51.9</v>
      </c>
      <c r="D23" s="64">
        <v>33.47</v>
      </c>
      <c r="E23" s="64">
        <v>0.66</v>
      </c>
      <c r="F23" s="64">
        <v>3.71</v>
      </c>
      <c r="G23" s="64">
        <v>39.39</v>
      </c>
      <c r="H23" s="64">
        <v>14.86</v>
      </c>
      <c r="I23" s="64">
        <v>5.93</v>
      </c>
      <c r="J23" s="64">
        <v>0.14000000000000001</v>
      </c>
      <c r="K23" s="64">
        <v>255.62</v>
      </c>
      <c r="L23" s="64">
        <v>23.99</v>
      </c>
      <c r="M23" s="64">
        <v>67.430000000000007</v>
      </c>
      <c r="N23" s="64">
        <v>18.399999999999999</v>
      </c>
      <c r="O23" s="64">
        <v>0</v>
      </c>
      <c r="P23" s="64">
        <v>0.66</v>
      </c>
      <c r="Q23" s="64">
        <v>9.69</v>
      </c>
      <c r="R23" s="198"/>
      <c r="S23" s="198"/>
      <c r="T23" s="198"/>
      <c r="U23" s="198"/>
    </row>
    <row r="24" spans="1:21" s="12" customFormat="1" x14ac:dyDescent="0.25">
      <c r="A24" s="214" t="s">
        <v>551</v>
      </c>
      <c r="B24" s="64">
        <v>9.2899999999999991</v>
      </c>
      <c r="C24" s="64">
        <v>49.49</v>
      </c>
      <c r="D24" s="64">
        <v>33.22</v>
      </c>
      <c r="E24" s="64">
        <v>2.82</v>
      </c>
      <c r="F24" s="64">
        <v>3.59</v>
      </c>
      <c r="G24" s="64">
        <v>39.39</v>
      </c>
      <c r="H24" s="64">
        <v>14.86</v>
      </c>
      <c r="I24" s="64">
        <v>6.21</v>
      </c>
      <c r="J24" s="64">
        <v>0.22</v>
      </c>
      <c r="K24" s="64">
        <v>219.74</v>
      </c>
      <c r="L24" s="64">
        <v>24.2</v>
      </c>
      <c r="M24" s="64">
        <v>67.489999999999995</v>
      </c>
      <c r="N24" s="64">
        <v>17.5</v>
      </c>
      <c r="O24" s="64">
        <v>0</v>
      </c>
      <c r="P24" s="64">
        <v>0.64</v>
      </c>
      <c r="Q24" s="64">
        <v>9.57</v>
      </c>
      <c r="R24" s="198"/>
      <c r="S24" s="198"/>
      <c r="T24" s="198"/>
      <c r="U24" s="198"/>
    </row>
    <row r="25" spans="1:21" s="12" customFormat="1" x14ac:dyDescent="0.25">
      <c r="A25" s="214" t="s">
        <v>552</v>
      </c>
      <c r="B25" s="64">
        <v>10.49</v>
      </c>
      <c r="C25" s="64">
        <v>48.47</v>
      </c>
      <c r="D25" s="64">
        <v>33.65</v>
      </c>
      <c r="E25" s="64">
        <v>2.0499999999999998</v>
      </c>
      <c r="F25" s="64">
        <v>3.67</v>
      </c>
      <c r="G25" s="64">
        <v>50.02</v>
      </c>
      <c r="H25" s="64">
        <v>25.19</v>
      </c>
      <c r="I25" s="64">
        <v>6.08</v>
      </c>
      <c r="J25" s="64">
        <v>0.17</v>
      </c>
      <c r="K25" s="64">
        <v>209.49</v>
      </c>
      <c r="L25" s="64">
        <v>24.24</v>
      </c>
      <c r="M25" s="64">
        <v>67.040000000000006</v>
      </c>
      <c r="N25" s="64">
        <v>18</v>
      </c>
      <c r="O25" s="64">
        <v>0</v>
      </c>
      <c r="P25" s="64">
        <v>0.63</v>
      </c>
      <c r="Q25" s="64">
        <v>9.58</v>
      </c>
      <c r="R25" s="198"/>
      <c r="S25" s="198"/>
      <c r="T25" s="198"/>
      <c r="U25" s="198"/>
    </row>
    <row r="26" spans="1:21" s="12" customFormat="1" x14ac:dyDescent="0.25">
      <c r="A26" s="214" t="s">
        <v>553</v>
      </c>
      <c r="B26" s="64">
        <v>11.32</v>
      </c>
      <c r="C26" s="64">
        <v>49.43</v>
      </c>
      <c r="D26" s="64">
        <v>34.82</v>
      </c>
      <c r="E26" s="64">
        <v>2.15</v>
      </c>
      <c r="F26" s="64">
        <v>3.52</v>
      </c>
      <c r="G26" s="64">
        <v>53.06</v>
      </c>
      <c r="H26" s="64">
        <v>28.15</v>
      </c>
      <c r="I26" s="64">
        <v>5.87</v>
      </c>
      <c r="J26" s="64">
        <v>0.8</v>
      </c>
      <c r="K26" s="64">
        <v>165.82</v>
      </c>
      <c r="L26" s="64">
        <v>24.73</v>
      </c>
      <c r="M26" s="64">
        <v>61.22</v>
      </c>
      <c r="N26" s="64">
        <v>16.600000000000001</v>
      </c>
      <c r="O26" s="64">
        <v>0</v>
      </c>
      <c r="P26" s="64">
        <v>0.62</v>
      </c>
      <c r="Q26" s="64">
        <v>9.73</v>
      </c>
      <c r="R26" s="198"/>
      <c r="S26" s="198"/>
      <c r="T26" s="198"/>
      <c r="U26" s="198"/>
    </row>
    <row r="27" spans="1:21" s="12" customFormat="1" x14ac:dyDescent="0.25">
      <c r="A27" s="214" t="s">
        <v>554</v>
      </c>
      <c r="B27" s="64">
        <v>11.53</v>
      </c>
      <c r="C27" s="64">
        <v>49.84</v>
      </c>
      <c r="D27" s="64">
        <v>35.21</v>
      </c>
      <c r="E27" s="64">
        <v>1.66</v>
      </c>
      <c r="F27" s="64">
        <v>3.46</v>
      </c>
      <c r="G27" s="64">
        <v>53.06</v>
      </c>
      <c r="H27" s="64">
        <v>28.15</v>
      </c>
      <c r="I27" s="64">
        <v>6.01</v>
      </c>
      <c r="J27" s="64">
        <v>0.08</v>
      </c>
      <c r="K27" s="64">
        <v>238.06</v>
      </c>
      <c r="L27" s="64">
        <v>24.71</v>
      </c>
      <c r="M27" s="64">
        <v>62.06</v>
      </c>
      <c r="N27" s="64">
        <v>18.399999999999999</v>
      </c>
      <c r="O27" s="64">
        <v>0</v>
      </c>
      <c r="P27" s="64">
        <v>0.61</v>
      </c>
      <c r="Q27" s="64">
        <v>9.48</v>
      </c>
      <c r="R27" s="198"/>
      <c r="S27" s="198"/>
      <c r="T27" s="198"/>
      <c r="U27" s="198"/>
    </row>
    <row r="28" spans="1:21" s="12" customFormat="1" x14ac:dyDescent="0.25">
      <c r="A28" s="214" t="s">
        <v>555</v>
      </c>
      <c r="B28" s="64">
        <v>12.1</v>
      </c>
      <c r="C28" s="64">
        <v>49.78</v>
      </c>
      <c r="D28" s="64">
        <v>35.630000000000003</v>
      </c>
      <c r="E28" s="64">
        <v>2</v>
      </c>
      <c r="F28" s="64">
        <v>3.26</v>
      </c>
      <c r="G28" s="64">
        <v>53.06</v>
      </c>
      <c r="H28" s="64">
        <v>28.15</v>
      </c>
      <c r="I28" s="64">
        <v>6.33</v>
      </c>
      <c r="J28" s="64">
        <v>0.24</v>
      </c>
      <c r="K28" s="64">
        <v>297.51</v>
      </c>
      <c r="L28" s="64">
        <v>23.73</v>
      </c>
      <c r="M28" s="64">
        <v>69.319999999999993</v>
      </c>
      <c r="N28" s="64">
        <v>18.899999999999999</v>
      </c>
      <c r="O28" s="64">
        <v>0</v>
      </c>
      <c r="P28" s="64">
        <v>0.62</v>
      </c>
      <c r="Q28" s="64">
        <v>9.7200000000000006</v>
      </c>
      <c r="R28" s="198"/>
      <c r="S28" s="198"/>
      <c r="T28" s="198"/>
      <c r="U28" s="198"/>
    </row>
    <row r="29" spans="1:21" s="12" customFormat="1" x14ac:dyDescent="0.25">
      <c r="A29" s="214" t="s">
        <v>556</v>
      </c>
      <c r="B29" s="64">
        <v>12.92</v>
      </c>
      <c r="C29" s="64">
        <v>50.15</v>
      </c>
      <c r="D29" s="64">
        <v>36.479999999999997</v>
      </c>
      <c r="E29" s="64">
        <v>2.16</v>
      </c>
      <c r="F29" s="64">
        <v>3.2</v>
      </c>
      <c r="G29" s="64">
        <v>81.709999999999994</v>
      </c>
      <c r="H29" s="64">
        <v>28.2</v>
      </c>
      <c r="I29" s="64">
        <v>6.29</v>
      </c>
      <c r="J29" s="64">
        <v>0.12</v>
      </c>
      <c r="K29" s="64">
        <v>300.64999999999998</v>
      </c>
      <c r="L29" s="64">
        <v>23.33</v>
      </c>
      <c r="M29" s="64">
        <v>71.209999999999994</v>
      </c>
      <c r="N29" s="64">
        <v>18.5</v>
      </c>
      <c r="O29" s="64">
        <v>0</v>
      </c>
      <c r="P29" s="64">
        <v>0.61</v>
      </c>
      <c r="Q29" s="64">
        <v>9.85</v>
      </c>
      <c r="R29" s="198"/>
      <c r="S29" s="198"/>
      <c r="T29" s="198"/>
      <c r="U29" s="198"/>
    </row>
    <row r="30" spans="1:21" s="12" customFormat="1" x14ac:dyDescent="0.25">
      <c r="A30" s="214" t="s">
        <v>557</v>
      </c>
      <c r="B30" s="64">
        <v>14.34</v>
      </c>
      <c r="C30" s="64">
        <v>50.29</v>
      </c>
      <c r="D30" s="64">
        <v>37.700000000000003</v>
      </c>
      <c r="E30" s="64">
        <v>2.1800000000000002</v>
      </c>
      <c r="F30" s="64">
        <v>3.28</v>
      </c>
      <c r="G30" s="64">
        <v>89.9</v>
      </c>
      <c r="H30" s="64">
        <v>28.22</v>
      </c>
      <c r="I30" s="64">
        <v>6.57</v>
      </c>
      <c r="J30" s="64">
        <v>0.21</v>
      </c>
      <c r="K30" s="64">
        <v>296.82</v>
      </c>
      <c r="L30" s="64">
        <v>23.31</v>
      </c>
      <c r="M30" s="64">
        <v>72.5</v>
      </c>
      <c r="N30" s="64">
        <v>18.3</v>
      </c>
      <c r="O30" s="64">
        <v>0</v>
      </c>
      <c r="P30" s="64">
        <v>0.63</v>
      </c>
      <c r="Q30" s="64">
        <v>9.7799999999999994</v>
      </c>
      <c r="R30" s="198"/>
      <c r="S30" s="198"/>
      <c r="T30" s="198"/>
      <c r="U30" s="198"/>
    </row>
    <row r="31" spans="1:21" s="12" customFormat="1" x14ac:dyDescent="0.25">
      <c r="A31" s="214" t="s">
        <v>558</v>
      </c>
      <c r="B31" s="64">
        <v>16.190000000000001</v>
      </c>
      <c r="C31" s="64">
        <v>50.2</v>
      </c>
      <c r="D31" s="64">
        <v>39.130000000000003</v>
      </c>
      <c r="E31" s="64">
        <v>2.2000000000000002</v>
      </c>
      <c r="F31" s="64">
        <v>3.38</v>
      </c>
      <c r="G31" s="64">
        <v>89.9</v>
      </c>
      <c r="H31" s="64">
        <v>28.22</v>
      </c>
      <c r="I31" s="64">
        <v>6.53</v>
      </c>
      <c r="J31" s="64">
        <v>0.21</v>
      </c>
      <c r="K31" s="64">
        <v>225.38</v>
      </c>
      <c r="L31" s="64">
        <v>23.34</v>
      </c>
      <c r="M31" s="64">
        <v>71.430000000000007</v>
      </c>
      <c r="N31" s="64">
        <v>19.3</v>
      </c>
      <c r="O31" s="64">
        <v>0</v>
      </c>
      <c r="P31" s="64">
        <v>0.62</v>
      </c>
      <c r="Q31" s="64">
        <v>9.83</v>
      </c>
      <c r="R31" s="198"/>
      <c r="S31" s="198"/>
      <c r="T31" s="198"/>
      <c r="U31" s="198"/>
    </row>
    <row r="32" spans="1:21" s="12" customFormat="1" x14ac:dyDescent="0.25">
      <c r="A32" s="214" t="s">
        <v>559</v>
      </c>
      <c r="B32" s="64">
        <v>18</v>
      </c>
      <c r="C32" s="64">
        <v>50.96</v>
      </c>
      <c r="D32" s="64">
        <v>40.97</v>
      </c>
      <c r="E32" s="64">
        <v>2.27</v>
      </c>
      <c r="F32" s="64">
        <v>3.43</v>
      </c>
      <c r="G32" s="64">
        <v>89.9</v>
      </c>
      <c r="H32" s="64">
        <v>28.22</v>
      </c>
      <c r="I32" s="64">
        <v>7</v>
      </c>
      <c r="J32" s="64">
        <v>0.13</v>
      </c>
      <c r="K32" s="64">
        <v>282.49</v>
      </c>
      <c r="L32" s="64">
        <v>23.67</v>
      </c>
      <c r="M32" s="64">
        <v>71.12</v>
      </c>
      <c r="N32" s="64">
        <v>25.3</v>
      </c>
      <c r="O32" s="64">
        <v>0</v>
      </c>
      <c r="P32" s="64">
        <v>0.63</v>
      </c>
      <c r="Q32" s="64">
        <v>9.8699999999999992</v>
      </c>
      <c r="R32" s="198"/>
      <c r="S32" s="198"/>
      <c r="T32" s="198"/>
      <c r="U32" s="198"/>
    </row>
    <row r="33" spans="1:21" s="12" customFormat="1" x14ac:dyDescent="0.25">
      <c r="A33" s="214" t="s">
        <v>560</v>
      </c>
      <c r="B33" s="64">
        <v>20.92</v>
      </c>
      <c r="C33" s="64">
        <v>52.63</v>
      </c>
      <c r="D33" s="64">
        <v>44.19</v>
      </c>
      <c r="E33" s="64">
        <v>2.09</v>
      </c>
      <c r="F33" s="64">
        <v>3.26</v>
      </c>
      <c r="G33" s="64">
        <v>96.51</v>
      </c>
      <c r="H33" s="64">
        <v>28.8</v>
      </c>
      <c r="I33" s="64">
        <v>7.29</v>
      </c>
      <c r="J33" s="64">
        <v>0.32</v>
      </c>
      <c r="K33" s="64">
        <v>342.6</v>
      </c>
      <c r="L33" s="64">
        <v>23.6</v>
      </c>
      <c r="M33" s="64">
        <v>74.180000000000007</v>
      </c>
      <c r="N33" s="64">
        <v>40.1</v>
      </c>
      <c r="O33" s="64">
        <v>0</v>
      </c>
      <c r="P33" s="64">
        <v>0.66</v>
      </c>
      <c r="Q33" s="64">
        <v>9.9499999999999993</v>
      </c>
      <c r="R33" s="198"/>
      <c r="S33" s="198"/>
      <c r="T33" s="198"/>
      <c r="U33" s="198"/>
    </row>
    <row r="34" spans="1:21" s="12" customFormat="1" x14ac:dyDescent="0.25">
      <c r="A34" s="214" t="s">
        <v>561</v>
      </c>
      <c r="B34" s="64">
        <v>24.95</v>
      </c>
      <c r="C34" s="64">
        <v>53.62</v>
      </c>
      <c r="D34" s="64">
        <v>47.94</v>
      </c>
      <c r="E34" s="64">
        <v>2.3199999999999998</v>
      </c>
      <c r="F34" s="64">
        <v>3.59</v>
      </c>
      <c r="G34" s="64">
        <v>98.4</v>
      </c>
      <c r="H34" s="64">
        <v>28.97</v>
      </c>
      <c r="I34" s="64">
        <v>7.43</v>
      </c>
      <c r="J34" s="64">
        <v>0.2</v>
      </c>
      <c r="K34" s="64">
        <v>324.29000000000002</v>
      </c>
      <c r="L34" s="64">
        <v>24.01</v>
      </c>
      <c r="M34" s="64">
        <v>69.67</v>
      </c>
      <c r="N34" s="64">
        <v>61.6</v>
      </c>
      <c r="O34" s="64">
        <v>0</v>
      </c>
      <c r="P34" s="64">
        <v>0.7</v>
      </c>
      <c r="Q34" s="64">
        <v>9.9700000000000006</v>
      </c>
      <c r="R34" s="198"/>
      <c r="S34" s="198"/>
      <c r="T34" s="198"/>
      <c r="U34" s="198"/>
    </row>
    <row r="35" spans="1:21" s="12" customFormat="1" x14ac:dyDescent="0.25">
      <c r="A35" s="214" t="s">
        <v>562</v>
      </c>
      <c r="B35" s="64">
        <v>27.54</v>
      </c>
      <c r="C35" s="64">
        <v>54.5</v>
      </c>
      <c r="D35" s="64">
        <v>50.48</v>
      </c>
      <c r="E35" s="64">
        <v>2.67</v>
      </c>
      <c r="F35" s="64">
        <v>3.64</v>
      </c>
      <c r="G35" s="64">
        <v>98.4</v>
      </c>
      <c r="H35" s="64">
        <v>28.97</v>
      </c>
      <c r="I35" s="64">
        <v>7.46</v>
      </c>
      <c r="J35" s="64">
        <v>0.85</v>
      </c>
      <c r="K35" s="64">
        <v>159.46</v>
      </c>
      <c r="L35" s="64">
        <v>25.22</v>
      </c>
      <c r="M35" s="64">
        <v>57.45</v>
      </c>
      <c r="N35" s="64">
        <v>88.7</v>
      </c>
      <c r="O35" s="64">
        <v>0</v>
      </c>
      <c r="P35" s="64">
        <v>0.73</v>
      </c>
      <c r="Q35" s="64">
        <v>10.119999999999999</v>
      </c>
      <c r="R35" s="198"/>
      <c r="S35" s="198"/>
      <c r="T35" s="198"/>
      <c r="U35" s="198"/>
    </row>
    <row r="36" spans="1:21" s="12" customFormat="1" x14ac:dyDescent="0.25">
      <c r="A36" s="214" t="s">
        <v>563</v>
      </c>
      <c r="B36" s="64">
        <v>26.99</v>
      </c>
      <c r="C36" s="64">
        <v>55.47</v>
      </c>
      <c r="D36" s="64">
        <v>50.55</v>
      </c>
      <c r="E36" s="64">
        <v>2.63</v>
      </c>
      <c r="F36" s="64">
        <v>3.59</v>
      </c>
      <c r="G36" s="64">
        <v>98.4</v>
      </c>
      <c r="H36" s="64">
        <v>28.97</v>
      </c>
      <c r="I36" s="64">
        <v>7.62</v>
      </c>
      <c r="J36" s="64">
        <v>0.66</v>
      </c>
      <c r="K36" s="64">
        <v>169.65</v>
      </c>
      <c r="L36" s="64">
        <v>26.14</v>
      </c>
      <c r="M36" s="64">
        <v>53.02</v>
      </c>
      <c r="N36" s="64">
        <v>127.1</v>
      </c>
      <c r="O36" s="64">
        <v>0</v>
      </c>
      <c r="P36" s="64">
        <v>0.72</v>
      </c>
      <c r="Q36" s="64">
        <v>10.06</v>
      </c>
      <c r="R36" s="198"/>
      <c r="S36" s="198"/>
      <c r="T36" s="198"/>
      <c r="U36" s="198"/>
    </row>
    <row r="37" spans="1:21" s="12" customFormat="1" x14ac:dyDescent="0.25">
      <c r="A37" s="214" t="s">
        <v>564</v>
      </c>
      <c r="B37" s="64">
        <v>25.49</v>
      </c>
      <c r="C37" s="64">
        <v>55.97</v>
      </c>
      <c r="D37" s="64">
        <v>49.6</v>
      </c>
      <c r="E37" s="64">
        <v>2.75</v>
      </c>
      <c r="F37" s="64">
        <v>3.34</v>
      </c>
      <c r="G37" s="64">
        <v>92.94</v>
      </c>
      <c r="H37" s="64">
        <v>28.41</v>
      </c>
      <c r="I37" s="64">
        <v>7.51</v>
      </c>
      <c r="J37" s="64">
        <v>0.27</v>
      </c>
      <c r="K37" s="64">
        <v>167.9</v>
      </c>
      <c r="L37" s="64">
        <v>26.89</v>
      </c>
      <c r="M37" s="64">
        <v>50.66</v>
      </c>
      <c r="N37" s="64">
        <v>168.2</v>
      </c>
      <c r="O37" s="64">
        <v>0</v>
      </c>
      <c r="P37" s="64">
        <v>0.69</v>
      </c>
      <c r="Q37" s="64">
        <v>9.93</v>
      </c>
      <c r="R37" s="198"/>
      <c r="S37" s="198"/>
      <c r="T37" s="198"/>
      <c r="U37" s="198"/>
    </row>
    <row r="38" spans="1:21" s="12" customFormat="1" x14ac:dyDescent="0.25">
      <c r="A38" s="214" t="s">
        <v>565</v>
      </c>
      <c r="B38" s="64">
        <v>23.94</v>
      </c>
      <c r="C38" s="64">
        <v>57.03</v>
      </c>
      <c r="D38" s="64">
        <v>48.91</v>
      </c>
      <c r="E38" s="64">
        <v>2.36</v>
      </c>
      <c r="F38" s="64">
        <v>3.43</v>
      </c>
      <c r="G38" s="64">
        <v>91.38</v>
      </c>
      <c r="H38" s="64">
        <v>28.25</v>
      </c>
      <c r="I38" s="64">
        <v>7.43</v>
      </c>
      <c r="J38" s="64">
        <v>0.31</v>
      </c>
      <c r="K38" s="64">
        <v>168.16</v>
      </c>
      <c r="L38" s="64">
        <v>27.35</v>
      </c>
      <c r="M38" s="64">
        <v>49.76</v>
      </c>
      <c r="N38" s="64">
        <v>209.8</v>
      </c>
      <c r="O38" s="64">
        <v>0</v>
      </c>
      <c r="P38" s="64">
        <v>0.71</v>
      </c>
      <c r="Q38" s="64">
        <v>9.91</v>
      </c>
      <c r="R38" s="198"/>
      <c r="S38" s="198"/>
      <c r="T38" s="198"/>
      <c r="U38" s="198"/>
    </row>
    <row r="39" spans="1:21" s="12" customFormat="1" x14ac:dyDescent="0.25">
      <c r="A39" s="214" t="s">
        <v>566</v>
      </c>
      <c r="B39" s="64">
        <v>22.26</v>
      </c>
      <c r="C39" s="64">
        <v>57.78</v>
      </c>
      <c r="D39" s="64">
        <v>47.96</v>
      </c>
      <c r="E39" s="64">
        <v>2.42</v>
      </c>
      <c r="F39" s="64">
        <v>3.69</v>
      </c>
      <c r="G39" s="64">
        <v>91.38</v>
      </c>
      <c r="H39" s="64">
        <v>28.25</v>
      </c>
      <c r="I39" s="64">
        <v>7.37</v>
      </c>
      <c r="J39" s="64">
        <v>0.96</v>
      </c>
      <c r="K39" s="64">
        <v>155.63</v>
      </c>
      <c r="L39" s="64">
        <v>27.6</v>
      </c>
      <c r="M39" s="64">
        <v>50.08</v>
      </c>
      <c r="N39" s="64">
        <v>256.10000000000002</v>
      </c>
      <c r="O39" s="64">
        <v>0</v>
      </c>
      <c r="P39" s="64">
        <v>0.7</v>
      </c>
      <c r="Q39" s="64">
        <v>9.9700000000000006</v>
      </c>
      <c r="R39" s="198"/>
      <c r="S39" s="198"/>
      <c r="T39" s="198"/>
      <c r="U39" s="198"/>
    </row>
    <row r="40" spans="1:21" s="12" customFormat="1" x14ac:dyDescent="0.25">
      <c r="A40" s="214" t="s">
        <v>567</v>
      </c>
      <c r="B40" s="64">
        <v>20.75</v>
      </c>
      <c r="C40" s="64">
        <v>57.47</v>
      </c>
      <c r="D40" s="64">
        <v>46.59</v>
      </c>
      <c r="E40" s="64">
        <v>1.1200000000000001</v>
      </c>
      <c r="F40" s="64">
        <v>3.98</v>
      </c>
      <c r="G40" s="64">
        <v>91.38</v>
      </c>
      <c r="H40" s="64">
        <v>28.25</v>
      </c>
      <c r="I40" s="64">
        <v>7.32</v>
      </c>
      <c r="J40" s="64">
        <v>1.01</v>
      </c>
      <c r="K40" s="64">
        <v>169.88</v>
      </c>
      <c r="L40" s="64">
        <v>27.75</v>
      </c>
      <c r="M40" s="64">
        <v>49.6</v>
      </c>
      <c r="N40" s="64">
        <v>298.60000000000002</v>
      </c>
      <c r="O40" s="64">
        <v>0</v>
      </c>
      <c r="P40" s="64">
        <v>0.7</v>
      </c>
      <c r="Q40" s="64">
        <v>10.08</v>
      </c>
      <c r="R40" s="198"/>
      <c r="S40" s="198"/>
      <c r="T40" s="198"/>
      <c r="U40" s="198"/>
    </row>
    <row r="41" spans="1:21" s="12" customFormat="1" x14ac:dyDescent="0.25">
      <c r="A41" s="214" t="s">
        <v>568</v>
      </c>
      <c r="B41" s="64">
        <v>18.649999999999999</v>
      </c>
      <c r="C41" s="64">
        <v>58.04</v>
      </c>
      <c r="D41" s="64">
        <v>45.2</v>
      </c>
      <c r="E41" s="64">
        <v>1.17</v>
      </c>
      <c r="F41" s="64">
        <v>3.97</v>
      </c>
      <c r="G41" s="64">
        <v>73.099999999999994</v>
      </c>
      <c r="H41" s="64">
        <v>29.85</v>
      </c>
      <c r="I41" s="64">
        <v>7.19</v>
      </c>
      <c r="J41" s="64">
        <v>0.81</v>
      </c>
      <c r="K41" s="64">
        <v>171.01</v>
      </c>
      <c r="L41" s="64">
        <v>28.21</v>
      </c>
      <c r="M41" s="64">
        <v>48.31</v>
      </c>
      <c r="N41" s="64">
        <v>353.4</v>
      </c>
      <c r="O41" s="64">
        <v>0</v>
      </c>
      <c r="P41" s="64">
        <v>0.69</v>
      </c>
      <c r="Q41" s="64">
        <v>10.050000000000001</v>
      </c>
      <c r="R41" s="198"/>
      <c r="S41" s="198"/>
      <c r="T41" s="198"/>
      <c r="U41" s="198"/>
    </row>
    <row r="42" spans="1:21" s="12" customFormat="1" x14ac:dyDescent="0.25">
      <c r="A42" s="214" t="s">
        <v>569</v>
      </c>
      <c r="B42" s="64">
        <v>16.940000000000001</v>
      </c>
      <c r="C42" s="64">
        <v>56.78</v>
      </c>
      <c r="D42" s="64">
        <v>43.17</v>
      </c>
      <c r="E42" s="64">
        <v>1.04</v>
      </c>
      <c r="F42" s="64">
        <v>3.67</v>
      </c>
      <c r="G42" s="64">
        <v>67.87</v>
      </c>
      <c r="H42" s="64">
        <v>30.31</v>
      </c>
      <c r="I42" s="64">
        <v>7.05</v>
      </c>
      <c r="J42" s="64">
        <v>0.97</v>
      </c>
      <c r="K42" s="64">
        <v>164.86</v>
      </c>
      <c r="L42" s="64">
        <v>28.93</v>
      </c>
      <c r="M42" s="64">
        <v>46.19</v>
      </c>
      <c r="N42" s="64">
        <v>408</v>
      </c>
      <c r="O42" s="64">
        <v>0</v>
      </c>
      <c r="P42" s="64">
        <v>0.68</v>
      </c>
      <c r="Q42" s="64">
        <v>10.039999999999999</v>
      </c>
      <c r="R42" s="198"/>
      <c r="S42" s="198"/>
      <c r="T42" s="198"/>
      <c r="U42" s="198"/>
    </row>
    <row r="43" spans="1:21" s="12" customFormat="1" x14ac:dyDescent="0.25">
      <c r="A43" s="214" t="s">
        <v>570</v>
      </c>
      <c r="B43" s="64">
        <v>15.68</v>
      </c>
      <c r="C43" s="64">
        <v>52.46</v>
      </c>
      <c r="D43" s="64">
        <v>39.9</v>
      </c>
      <c r="E43" s="64">
        <v>1.33</v>
      </c>
      <c r="F43" s="64">
        <v>3.78</v>
      </c>
      <c r="G43" s="64">
        <v>67.87</v>
      </c>
      <c r="H43" s="64">
        <v>30.31</v>
      </c>
      <c r="I43" s="64">
        <v>6.88</v>
      </c>
      <c r="J43" s="64">
        <v>0.94</v>
      </c>
      <c r="K43" s="64">
        <v>168.63</v>
      </c>
      <c r="L43" s="64">
        <v>29.67</v>
      </c>
      <c r="M43" s="64">
        <v>42.9</v>
      </c>
      <c r="N43" s="64">
        <v>454.4</v>
      </c>
      <c r="O43" s="64">
        <v>0</v>
      </c>
      <c r="P43" s="64">
        <v>0.67</v>
      </c>
      <c r="Q43" s="64">
        <v>9.7899999999999991</v>
      </c>
      <c r="R43" s="198"/>
      <c r="S43" s="198"/>
      <c r="T43" s="198"/>
      <c r="U43" s="198"/>
    </row>
    <row r="44" spans="1:21" s="12" customFormat="1" x14ac:dyDescent="0.25">
      <c r="A44" s="214" t="s">
        <v>571</v>
      </c>
      <c r="B44" s="64">
        <v>14.69</v>
      </c>
      <c r="C44" s="64">
        <v>52.95</v>
      </c>
      <c r="D44" s="64">
        <v>39.369999999999997</v>
      </c>
      <c r="E44" s="64">
        <v>1.29</v>
      </c>
      <c r="F44" s="64">
        <v>3.89</v>
      </c>
      <c r="G44" s="64">
        <v>67.87</v>
      </c>
      <c r="H44" s="64">
        <v>30.31</v>
      </c>
      <c r="I44" s="64">
        <v>6.7</v>
      </c>
      <c r="J44" s="64">
        <v>0.98</v>
      </c>
      <c r="K44" s="64">
        <v>161.44999999999999</v>
      </c>
      <c r="L44" s="64">
        <v>30.55</v>
      </c>
      <c r="M44" s="64">
        <v>41.77</v>
      </c>
      <c r="N44" s="64">
        <v>517.5</v>
      </c>
      <c r="O44" s="64">
        <v>0</v>
      </c>
      <c r="P44" s="64">
        <v>0.66</v>
      </c>
      <c r="Q44" s="64">
        <v>9.85</v>
      </c>
      <c r="R44" s="198"/>
      <c r="S44" s="198"/>
      <c r="T44" s="198"/>
      <c r="U44" s="198"/>
    </row>
    <row r="45" spans="1:21" s="12" customFormat="1" x14ac:dyDescent="0.25">
      <c r="A45" s="214" t="s">
        <v>572</v>
      </c>
      <c r="B45" s="64">
        <v>13.85</v>
      </c>
      <c r="C45" s="64">
        <v>54.33</v>
      </c>
      <c r="D45" s="64">
        <v>39.409999999999997</v>
      </c>
      <c r="E45" s="64">
        <v>1.1000000000000001</v>
      </c>
      <c r="F45" s="64">
        <v>3.73</v>
      </c>
      <c r="G45" s="64">
        <v>65.06</v>
      </c>
      <c r="H45" s="64">
        <v>30.59</v>
      </c>
      <c r="I45" s="64">
        <v>6.82</v>
      </c>
      <c r="J45" s="64">
        <v>0.87</v>
      </c>
      <c r="K45" s="64">
        <v>159.16999999999999</v>
      </c>
      <c r="L45" s="64">
        <v>31.5</v>
      </c>
      <c r="M45" s="64">
        <v>38.799999999999997</v>
      </c>
      <c r="N45" s="64">
        <v>554.70000000000005</v>
      </c>
      <c r="O45" s="64">
        <v>0</v>
      </c>
      <c r="P45" s="64">
        <v>0.66</v>
      </c>
      <c r="Q45" s="64">
        <v>9.82</v>
      </c>
      <c r="R45" s="198"/>
      <c r="S45" s="198"/>
      <c r="T45" s="198"/>
      <c r="U45" s="198"/>
    </row>
    <row r="46" spans="1:21" s="12" customFormat="1" x14ac:dyDescent="0.25">
      <c r="A46" s="214" t="s">
        <v>573</v>
      </c>
      <c r="B46" s="64">
        <v>12.65</v>
      </c>
      <c r="C46" s="64">
        <v>55.17</v>
      </c>
      <c r="D46" s="64">
        <v>38.89</v>
      </c>
      <c r="E46" s="64">
        <v>0.84</v>
      </c>
      <c r="F46" s="64">
        <v>4.17</v>
      </c>
      <c r="G46" s="64">
        <v>64.25</v>
      </c>
      <c r="H46" s="64">
        <v>30.67</v>
      </c>
      <c r="I46" s="64">
        <v>6.68</v>
      </c>
      <c r="J46" s="64">
        <v>0.31</v>
      </c>
      <c r="K46" s="64">
        <v>215.86</v>
      </c>
      <c r="L46" s="64">
        <v>31.97</v>
      </c>
      <c r="M46" s="64">
        <v>34.74</v>
      </c>
      <c r="N46" s="64">
        <v>605.1</v>
      </c>
      <c r="O46" s="64">
        <v>0</v>
      </c>
      <c r="P46" s="64">
        <v>0.65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4" t="s">
        <v>574</v>
      </c>
      <c r="B47" s="64">
        <v>10.66</v>
      </c>
      <c r="C47" s="64">
        <v>54.87</v>
      </c>
      <c r="D47" s="64">
        <v>37.130000000000003</v>
      </c>
      <c r="E47" s="64">
        <v>1</v>
      </c>
      <c r="F47" s="64">
        <v>4.3899999999999997</v>
      </c>
      <c r="G47" s="64">
        <v>64.25</v>
      </c>
      <c r="H47" s="64">
        <v>30.67</v>
      </c>
      <c r="I47" s="64">
        <v>6.52</v>
      </c>
      <c r="J47" s="64">
        <v>1.5</v>
      </c>
      <c r="K47" s="64">
        <v>158.4</v>
      </c>
      <c r="L47" s="64">
        <v>31.99</v>
      </c>
      <c r="M47" s="64">
        <v>33.159999999999997</v>
      </c>
      <c r="N47" s="64">
        <v>650.1</v>
      </c>
      <c r="O47" s="64">
        <v>0</v>
      </c>
      <c r="P47" s="64">
        <v>0.64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4" t="s">
        <v>575</v>
      </c>
      <c r="B48" s="64">
        <v>9.01</v>
      </c>
      <c r="C48" s="64">
        <v>54.25</v>
      </c>
      <c r="D48" s="64">
        <v>35.49</v>
      </c>
      <c r="E48" s="64">
        <v>0.86</v>
      </c>
      <c r="F48" s="64">
        <v>4.5</v>
      </c>
      <c r="G48" s="64">
        <v>64.25</v>
      </c>
      <c r="H48" s="64">
        <v>30.67</v>
      </c>
      <c r="I48" s="64">
        <v>6.78</v>
      </c>
      <c r="J48" s="64">
        <v>1.76</v>
      </c>
      <c r="K48" s="64">
        <v>156.54</v>
      </c>
      <c r="L48" s="64">
        <v>32.020000000000003</v>
      </c>
      <c r="M48" s="64">
        <v>33.979999999999997</v>
      </c>
      <c r="N48" s="64">
        <v>678.4</v>
      </c>
      <c r="O48" s="64">
        <v>0</v>
      </c>
      <c r="P48" s="64">
        <v>0.63</v>
      </c>
      <c r="Q48" s="64">
        <v>9.69</v>
      </c>
      <c r="R48" s="198"/>
      <c r="S48" s="198"/>
      <c r="T48" s="198"/>
      <c r="U48" s="198"/>
    </row>
    <row r="49" spans="1:21" s="12" customFormat="1" x14ac:dyDescent="0.25">
      <c r="A49" s="214" t="s">
        <v>576</v>
      </c>
      <c r="B49" s="64">
        <v>7.83</v>
      </c>
      <c r="C49" s="64">
        <v>54.81</v>
      </c>
      <c r="D49" s="64">
        <v>34.83</v>
      </c>
      <c r="E49" s="64">
        <v>1.48</v>
      </c>
      <c r="F49" s="64">
        <v>4.91</v>
      </c>
      <c r="G49" s="64">
        <v>57.03</v>
      </c>
      <c r="H49" s="64">
        <v>24.93</v>
      </c>
      <c r="I49" s="64">
        <v>6.65</v>
      </c>
      <c r="J49" s="64">
        <v>1.08</v>
      </c>
      <c r="K49" s="64">
        <v>176.54</v>
      </c>
      <c r="L49" s="64">
        <v>32.299999999999997</v>
      </c>
      <c r="M49" s="64">
        <v>36.29</v>
      </c>
      <c r="N49" s="64">
        <v>694.5</v>
      </c>
      <c r="O49" s="64">
        <v>0</v>
      </c>
      <c r="P49" s="64">
        <v>0.62</v>
      </c>
      <c r="Q49" s="64">
        <v>9.58</v>
      </c>
      <c r="R49" s="198"/>
      <c r="S49" s="198"/>
      <c r="T49" s="198"/>
      <c r="U49" s="198"/>
    </row>
    <row r="50" spans="1:21" s="12" customFormat="1" x14ac:dyDescent="0.25">
      <c r="A50" s="214" t="s">
        <v>577</v>
      </c>
      <c r="B50" s="64">
        <v>6.87</v>
      </c>
      <c r="C50" s="64">
        <v>58.71</v>
      </c>
      <c r="D50" s="64">
        <v>36.1</v>
      </c>
      <c r="E50" s="64">
        <v>1.25</v>
      </c>
      <c r="F50" s="64">
        <v>5.26</v>
      </c>
      <c r="G50" s="64">
        <v>54.97</v>
      </c>
      <c r="H50" s="64">
        <v>23.29</v>
      </c>
      <c r="I50" s="64">
        <v>6.59</v>
      </c>
      <c r="J50" s="64">
        <v>0.74</v>
      </c>
      <c r="K50" s="64">
        <v>195.35</v>
      </c>
      <c r="L50" s="64">
        <v>33.25</v>
      </c>
      <c r="M50" s="64">
        <v>35.93</v>
      </c>
      <c r="N50" s="64">
        <v>727.1</v>
      </c>
      <c r="O50" s="64">
        <v>0</v>
      </c>
      <c r="P50" s="64">
        <v>0.63</v>
      </c>
      <c r="Q50" s="64">
        <v>9.8699999999999992</v>
      </c>
      <c r="R50" s="198"/>
      <c r="S50" s="198"/>
      <c r="T50" s="198"/>
      <c r="U50" s="198"/>
    </row>
    <row r="51" spans="1:21" s="12" customFormat="1" x14ac:dyDescent="0.25">
      <c r="A51" s="214" t="s">
        <v>578</v>
      </c>
      <c r="B51" s="64">
        <v>5.86</v>
      </c>
      <c r="C51" s="64">
        <v>60.98</v>
      </c>
      <c r="D51" s="64">
        <v>36.479999999999997</v>
      </c>
      <c r="E51" s="64">
        <v>1.56</v>
      </c>
      <c r="F51" s="64">
        <v>9.67</v>
      </c>
      <c r="G51" s="64">
        <v>54.97</v>
      </c>
      <c r="H51" s="64">
        <v>23.29</v>
      </c>
      <c r="I51" s="64">
        <v>6.48</v>
      </c>
      <c r="J51" s="64">
        <v>0.36</v>
      </c>
      <c r="K51" s="64">
        <v>220.11</v>
      </c>
      <c r="L51" s="64">
        <v>33.590000000000003</v>
      </c>
      <c r="M51" s="64">
        <v>33.799999999999997</v>
      </c>
      <c r="N51" s="64">
        <v>766</v>
      </c>
      <c r="O51" s="64">
        <v>0</v>
      </c>
      <c r="P51" s="64">
        <v>0.61</v>
      </c>
      <c r="Q51" s="64">
        <v>9.58</v>
      </c>
      <c r="R51" s="198"/>
      <c r="S51" s="198"/>
      <c r="T51" s="198"/>
      <c r="U51" s="198"/>
    </row>
    <row r="52" spans="1:21" s="12" customFormat="1" x14ac:dyDescent="0.25">
      <c r="A52" s="214" t="s">
        <v>579</v>
      </c>
      <c r="B52" s="64">
        <v>5.09</v>
      </c>
      <c r="C52" s="64">
        <v>58.19</v>
      </c>
      <c r="D52" s="64">
        <v>34.4</v>
      </c>
      <c r="E52" s="64">
        <v>2.19</v>
      </c>
      <c r="F52" s="64">
        <v>16.84</v>
      </c>
      <c r="G52" s="64">
        <v>54.97</v>
      </c>
      <c r="H52" s="64">
        <v>23.29</v>
      </c>
      <c r="I52" s="64">
        <v>6.24</v>
      </c>
      <c r="J52" s="64">
        <v>0.26</v>
      </c>
      <c r="K52" s="64">
        <v>224.23</v>
      </c>
      <c r="L52" s="64">
        <v>34.26</v>
      </c>
      <c r="M52" s="64">
        <v>32.93</v>
      </c>
      <c r="N52" s="64">
        <v>781.4</v>
      </c>
      <c r="O52" s="64">
        <v>0</v>
      </c>
      <c r="P52" s="64">
        <v>0.56000000000000005</v>
      </c>
      <c r="Q52" s="64">
        <v>9.5399999999999991</v>
      </c>
      <c r="R52" s="198"/>
      <c r="S52" s="198"/>
      <c r="T52" s="198"/>
      <c r="U52" s="198"/>
    </row>
    <row r="53" spans="1:21" s="12" customFormat="1" x14ac:dyDescent="0.25">
      <c r="A53" s="214" t="s">
        <v>580</v>
      </c>
      <c r="B53" s="64">
        <v>5.0999999999999996</v>
      </c>
      <c r="C53" s="64">
        <v>52.01</v>
      </c>
      <c r="D53" s="64">
        <v>31.18</v>
      </c>
      <c r="E53" s="64">
        <v>2.16</v>
      </c>
      <c r="F53" s="64">
        <v>14.68</v>
      </c>
      <c r="G53" s="64">
        <v>40.880000000000003</v>
      </c>
      <c r="H53" s="64">
        <v>11.51</v>
      </c>
      <c r="I53" s="64">
        <v>5.75</v>
      </c>
      <c r="J53" s="64">
        <v>0.33</v>
      </c>
      <c r="K53" s="64">
        <v>212.57</v>
      </c>
      <c r="L53" s="64">
        <v>34.14</v>
      </c>
      <c r="M53" s="64">
        <v>32.520000000000003</v>
      </c>
      <c r="N53" s="64">
        <v>799.9</v>
      </c>
      <c r="O53" s="64">
        <v>0</v>
      </c>
      <c r="P53" s="64">
        <v>0.55000000000000004</v>
      </c>
      <c r="Q53" s="64">
        <v>9.64</v>
      </c>
      <c r="R53" s="198"/>
      <c r="S53" s="198"/>
      <c r="T53" s="198"/>
      <c r="U53" s="198"/>
    </row>
    <row r="54" spans="1:21" s="12" customFormat="1" x14ac:dyDescent="0.25">
      <c r="A54" s="214" t="s">
        <v>581</v>
      </c>
      <c r="B54" s="64">
        <v>5.15</v>
      </c>
      <c r="C54" s="64">
        <v>47.27</v>
      </c>
      <c r="D54" s="64">
        <v>28.74</v>
      </c>
      <c r="E54" s="64">
        <v>2.02</v>
      </c>
      <c r="F54" s="64">
        <v>10.27</v>
      </c>
      <c r="G54" s="64">
        <v>36.86</v>
      </c>
      <c r="H54" s="64">
        <v>8.14</v>
      </c>
      <c r="I54" s="64">
        <v>4.43</v>
      </c>
      <c r="J54" s="64">
        <v>0.23</v>
      </c>
      <c r="K54" s="64">
        <v>10.38</v>
      </c>
      <c r="L54" s="64">
        <v>35.51</v>
      </c>
      <c r="M54" s="64">
        <v>30.19</v>
      </c>
      <c r="N54" s="64">
        <v>817.7</v>
      </c>
      <c r="O54" s="64">
        <v>0</v>
      </c>
      <c r="P54" s="64">
        <v>0.56000000000000005</v>
      </c>
      <c r="Q54" s="64">
        <v>9.52</v>
      </c>
      <c r="R54" s="198"/>
      <c r="S54" s="198"/>
      <c r="T54" s="198"/>
      <c r="U54" s="198"/>
    </row>
    <row r="55" spans="1:21" s="12" customFormat="1" x14ac:dyDescent="0.25">
      <c r="A55" s="214" t="s">
        <v>582</v>
      </c>
      <c r="B55" s="64">
        <v>5.2</v>
      </c>
      <c r="C55" s="64">
        <v>46.69</v>
      </c>
      <c r="D55" s="64">
        <v>28.49</v>
      </c>
      <c r="E55" s="64">
        <v>1.89</v>
      </c>
      <c r="F55" s="64">
        <v>8.77</v>
      </c>
      <c r="G55" s="64">
        <v>36.86</v>
      </c>
      <c r="H55" s="64">
        <v>8.14</v>
      </c>
      <c r="I55" s="64">
        <v>4</v>
      </c>
      <c r="J55" s="64">
        <v>0.6</v>
      </c>
      <c r="K55" s="64">
        <v>207.92</v>
      </c>
      <c r="L55" s="64">
        <v>35.049999999999997</v>
      </c>
      <c r="M55" s="64">
        <v>30.88</v>
      </c>
      <c r="N55" s="64">
        <v>823.1</v>
      </c>
      <c r="O55" s="64">
        <v>0</v>
      </c>
      <c r="P55" s="64">
        <v>0.56000000000000005</v>
      </c>
      <c r="Q55" s="64">
        <v>9.6</v>
      </c>
      <c r="R55" s="198"/>
      <c r="S55" s="198"/>
      <c r="T55" s="198"/>
      <c r="U55" s="198"/>
    </row>
    <row r="56" spans="1:21" s="12" customFormat="1" x14ac:dyDescent="0.25">
      <c r="A56" s="214" t="s">
        <v>583</v>
      </c>
      <c r="B56" s="64">
        <v>5.18</v>
      </c>
      <c r="C56" s="64">
        <v>45</v>
      </c>
      <c r="D56" s="64">
        <v>27.58</v>
      </c>
      <c r="E56" s="64">
        <v>1.34</v>
      </c>
      <c r="F56" s="64">
        <v>8.2100000000000009</v>
      </c>
      <c r="G56" s="64">
        <v>36.86</v>
      </c>
      <c r="H56" s="64">
        <v>8.14</v>
      </c>
      <c r="I56" s="64">
        <v>3.84</v>
      </c>
      <c r="J56" s="64">
        <v>0.34</v>
      </c>
      <c r="K56" s="64">
        <v>191.74</v>
      </c>
      <c r="L56" s="64">
        <v>35.21</v>
      </c>
      <c r="M56" s="64">
        <v>30.83</v>
      </c>
      <c r="N56" s="64">
        <v>823.8</v>
      </c>
      <c r="O56" s="64">
        <v>0</v>
      </c>
      <c r="P56" s="64">
        <v>0.56000000000000005</v>
      </c>
      <c r="Q56" s="64">
        <v>9.6</v>
      </c>
      <c r="R56" s="198"/>
      <c r="S56" s="198"/>
      <c r="T56" s="198"/>
      <c r="U56" s="198"/>
    </row>
    <row r="57" spans="1:21" s="12" customFormat="1" x14ac:dyDescent="0.25">
      <c r="A57" s="214" t="s">
        <v>584</v>
      </c>
      <c r="B57" s="64">
        <v>5.19</v>
      </c>
      <c r="C57" s="64">
        <v>44.01</v>
      </c>
      <c r="D57" s="64">
        <v>27.08</v>
      </c>
      <c r="E57" s="64">
        <v>0.91</v>
      </c>
      <c r="F57" s="64">
        <v>8.86</v>
      </c>
      <c r="G57" s="64">
        <v>69.260000000000005</v>
      </c>
      <c r="H57" s="64">
        <v>27.9</v>
      </c>
      <c r="I57" s="64">
        <v>3.73</v>
      </c>
      <c r="J57" s="64">
        <v>0.19</v>
      </c>
      <c r="K57" s="64">
        <v>207.26</v>
      </c>
      <c r="L57" s="64">
        <v>35.56</v>
      </c>
      <c r="M57" s="64">
        <v>30.66</v>
      </c>
      <c r="N57" s="64">
        <v>803.9</v>
      </c>
      <c r="O57" s="64">
        <v>0</v>
      </c>
      <c r="P57" s="64">
        <v>0.55000000000000004</v>
      </c>
      <c r="Q57" s="64">
        <v>9.4700000000000006</v>
      </c>
      <c r="R57" s="198"/>
      <c r="S57" s="198"/>
      <c r="T57" s="198"/>
      <c r="U57" s="198"/>
    </row>
    <row r="58" spans="1:21" s="12" customFormat="1" x14ac:dyDescent="0.25">
      <c r="A58" s="214" t="s">
        <v>585</v>
      </c>
      <c r="B58" s="64">
        <v>5.01</v>
      </c>
      <c r="C58" s="64">
        <v>42.28</v>
      </c>
      <c r="D58" s="64">
        <v>26.03</v>
      </c>
      <c r="E58" s="64">
        <v>1.38</v>
      </c>
      <c r="F58" s="64">
        <v>12.72</v>
      </c>
      <c r="G58" s="64">
        <v>78.52</v>
      </c>
      <c r="H58" s="64">
        <v>33.549999999999997</v>
      </c>
      <c r="I58" s="64">
        <v>3.58</v>
      </c>
      <c r="J58" s="64">
        <v>0.26</v>
      </c>
      <c r="K58" s="64">
        <v>223.44</v>
      </c>
      <c r="L58" s="64">
        <v>36.32</v>
      </c>
      <c r="M58" s="64">
        <v>29.67</v>
      </c>
      <c r="N58" s="64">
        <v>786</v>
      </c>
      <c r="O58" s="64">
        <v>0</v>
      </c>
      <c r="P58" s="64">
        <v>0.52</v>
      </c>
      <c r="Q58" s="64">
        <v>9.4499999999999993</v>
      </c>
      <c r="R58" s="198"/>
      <c r="S58" s="198"/>
      <c r="T58" s="198"/>
      <c r="U58" s="198"/>
    </row>
    <row r="59" spans="1:21" s="12" customFormat="1" x14ac:dyDescent="0.25">
      <c r="A59" s="214" t="s">
        <v>586</v>
      </c>
      <c r="B59" s="64">
        <v>4.9000000000000004</v>
      </c>
      <c r="C59" s="64">
        <v>40.89</v>
      </c>
      <c r="D59" s="64">
        <v>25.21</v>
      </c>
      <c r="E59" s="64">
        <v>1.52</v>
      </c>
      <c r="F59" s="64">
        <v>12.39</v>
      </c>
      <c r="G59" s="64">
        <v>78.52</v>
      </c>
      <c r="H59" s="64">
        <v>33.549999999999997</v>
      </c>
      <c r="I59" s="64">
        <v>3.44</v>
      </c>
      <c r="J59" s="64">
        <v>0.15</v>
      </c>
      <c r="K59" s="64">
        <v>231</v>
      </c>
      <c r="L59" s="64">
        <v>36.74</v>
      </c>
      <c r="M59" s="64">
        <v>27.02</v>
      </c>
      <c r="N59" s="64">
        <v>785.7</v>
      </c>
      <c r="O59" s="64">
        <v>0</v>
      </c>
      <c r="P59" s="64">
        <v>0.51</v>
      </c>
      <c r="Q59" s="64">
        <v>9.52</v>
      </c>
      <c r="R59" s="198"/>
      <c r="S59" s="198"/>
      <c r="T59" s="198"/>
      <c r="U59" s="198"/>
    </row>
    <row r="60" spans="1:21" s="12" customFormat="1" x14ac:dyDescent="0.25">
      <c r="A60" s="214" t="s">
        <v>587</v>
      </c>
      <c r="B60" s="64">
        <v>4.84</v>
      </c>
      <c r="C60" s="64">
        <v>39.659999999999997</v>
      </c>
      <c r="D60" s="64">
        <v>24.52</v>
      </c>
      <c r="E60" s="64">
        <v>1.45</v>
      </c>
      <c r="F60" s="64">
        <v>11.69</v>
      </c>
      <c r="G60" s="64">
        <v>78.52</v>
      </c>
      <c r="H60" s="64">
        <v>33.549999999999997</v>
      </c>
      <c r="I60" s="64">
        <v>3.28</v>
      </c>
      <c r="J60" s="64">
        <v>0.22</v>
      </c>
      <c r="K60" s="64">
        <v>307.79000000000002</v>
      </c>
      <c r="L60" s="64">
        <v>37.21</v>
      </c>
      <c r="M60" s="64">
        <v>24.55</v>
      </c>
      <c r="N60" s="64">
        <v>767.4</v>
      </c>
      <c r="O60" s="64">
        <v>0</v>
      </c>
      <c r="P60" s="64">
        <v>0.5</v>
      </c>
      <c r="Q60" s="64">
        <v>9.44</v>
      </c>
      <c r="R60" s="198"/>
      <c r="S60" s="198"/>
      <c r="T60" s="198"/>
      <c r="U60" s="198"/>
    </row>
    <row r="61" spans="1:21" s="12" customFormat="1" x14ac:dyDescent="0.25">
      <c r="A61" s="214" t="s">
        <v>588</v>
      </c>
      <c r="B61" s="64">
        <v>4.8099999999999996</v>
      </c>
      <c r="C61" s="64">
        <v>38.5</v>
      </c>
      <c r="D61" s="64">
        <v>23.89</v>
      </c>
      <c r="E61" s="64">
        <v>1.2</v>
      </c>
      <c r="F61" s="64">
        <v>11.28</v>
      </c>
      <c r="G61" s="64">
        <v>65.52</v>
      </c>
      <c r="H61" s="64">
        <v>38.44</v>
      </c>
      <c r="I61" s="64">
        <v>3.1</v>
      </c>
      <c r="J61" s="64">
        <v>0.43</v>
      </c>
      <c r="K61" s="64">
        <v>337.39</v>
      </c>
      <c r="L61" s="64">
        <v>37.74</v>
      </c>
      <c r="M61" s="64">
        <v>24.43</v>
      </c>
      <c r="N61" s="64">
        <v>746</v>
      </c>
      <c r="O61" s="64">
        <v>0</v>
      </c>
      <c r="P61" s="64">
        <v>0.46</v>
      </c>
      <c r="Q61" s="64">
        <v>9.34</v>
      </c>
      <c r="R61" s="198"/>
      <c r="S61" s="198"/>
      <c r="T61" s="198"/>
      <c r="U61" s="198"/>
    </row>
    <row r="62" spans="1:21" s="12" customFormat="1" x14ac:dyDescent="0.25">
      <c r="A62" s="214" t="s">
        <v>589</v>
      </c>
      <c r="B62" s="64">
        <v>4.8099999999999996</v>
      </c>
      <c r="C62" s="64">
        <v>39.82</v>
      </c>
      <c r="D62" s="64">
        <v>24.58</v>
      </c>
      <c r="E62" s="64">
        <v>0.71</v>
      </c>
      <c r="F62" s="64">
        <v>13.29</v>
      </c>
      <c r="G62" s="64">
        <v>61.8</v>
      </c>
      <c r="H62" s="64">
        <v>39.93</v>
      </c>
      <c r="I62" s="64">
        <v>2.92</v>
      </c>
      <c r="J62" s="64">
        <v>0.31</v>
      </c>
      <c r="K62" s="64">
        <v>327.17</v>
      </c>
      <c r="L62" s="64">
        <v>38.47</v>
      </c>
      <c r="M62" s="64">
        <v>23.99</v>
      </c>
      <c r="N62" s="64">
        <v>717.2</v>
      </c>
      <c r="O62" s="64">
        <v>0</v>
      </c>
      <c r="P62" s="64">
        <v>0.47</v>
      </c>
      <c r="Q62" s="64">
        <v>9.48</v>
      </c>
      <c r="R62" s="198"/>
      <c r="S62" s="198"/>
      <c r="T62" s="198"/>
      <c r="U62" s="198"/>
    </row>
    <row r="63" spans="1:21" s="12" customFormat="1" x14ac:dyDescent="0.25">
      <c r="A63" s="214" t="s">
        <v>590</v>
      </c>
      <c r="B63" s="64">
        <v>4.7699999999999996</v>
      </c>
      <c r="C63" s="64">
        <v>43.35</v>
      </c>
      <c r="D63" s="64">
        <v>26.4</v>
      </c>
      <c r="E63" s="64">
        <v>2.36</v>
      </c>
      <c r="F63" s="64">
        <v>15.58</v>
      </c>
      <c r="G63" s="64">
        <v>61.8</v>
      </c>
      <c r="H63" s="64">
        <v>39.93</v>
      </c>
      <c r="I63" s="64">
        <v>2.73</v>
      </c>
      <c r="J63" s="64">
        <v>0.28000000000000003</v>
      </c>
      <c r="K63" s="64">
        <v>309.24</v>
      </c>
      <c r="L63" s="64">
        <v>37.630000000000003</v>
      </c>
      <c r="M63" s="64">
        <v>24.14</v>
      </c>
      <c r="N63" s="64">
        <v>704.3</v>
      </c>
      <c r="O63" s="64">
        <v>0</v>
      </c>
      <c r="P63" s="64">
        <v>0.47</v>
      </c>
      <c r="Q63" s="64">
        <v>9.27</v>
      </c>
      <c r="R63" s="198"/>
      <c r="S63" s="198"/>
      <c r="T63" s="198"/>
      <c r="U63" s="198"/>
    </row>
    <row r="64" spans="1:21" s="12" customFormat="1" x14ac:dyDescent="0.25">
      <c r="A64" s="214" t="s">
        <v>591</v>
      </c>
      <c r="B64" s="64">
        <v>4.6900000000000004</v>
      </c>
      <c r="C64" s="64">
        <v>43.2</v>
      </c>
      <c r="D64" s="64">
        <v>26.25</v>
      </c>
      <c r="E64" s="64">
        <v>1.37</v>
      </c>
      <c r="F64" s="64">
        <v>12.15</v>
      </c>
      <c r="G64" s="64">
        <v>61.8</v>
      </c>
      <c r="H64" s="64">
        <v>39.93</v>
      </c>
      <c r="I64" s="64">
        <v>2.56</v>
      </c>
      <c r="J64" s="64">
        <v>0.52</v>
      </c>
      <c r="K64" s="64">
        <v>322.37</v>
      </c>
      <c r="L64" s="64">
        <v>38.07</v>
      </c>
      <c r="M64" s="64">
        <v>23.54</v>
      </c>
      <c r="N64" s="64">
        <v>665.8</v>
      </c>
      <c r="O64" s="64">
        <v>0</v>
      </c>
      <c r="P64" s="64">
        <v>0.45</v>
      </c>
      <c r="Q64" s="64">
        <v>9.73</v>
      </c>
      <c r="R64" s="198"/>
      <c r="S64" s="198"/>
      <c r="T64" s="198"/>
      <c r="U64" s="198"/>
    </row>
    <row r="65" spans="1:21" s="12" customFormat="1" x14ac:dyDescent="0.25">
      <c r="A65" s="214" t="s">
        <v>592</v>
      </c>
      <c r="B65" s="64">
        <v>4.75</v>
      </c>
      <c r="C65" s="64">
        <v>43.77</v>
      </c>
      <c r="D65" s="64">
        <v>26.6</v>
      </c>
      <c r="E65" s="64">
        <v>1.32</v>
      </c>
      <c r="F65" s="64">
        <v>8.34</v>
      </c>
      <c r="G65" s="64">
        <v>52.5</v>
      </c>
      <c r="H65" s="64">
        <v>33.119999999999997</v>
      </c>
      <c r="I65" s="64">
        <v>2.36</v>
      </c>
      <c r="J65" s="64">
        <v>0.05</v>
      </c>
      <c r="K65" s="64">
        <v>318.08</v>
      </c>
      <c r="L65" s="64">
        <v>37.57</v>
      </c>
      <c r="M65" s="64">
        <v>23.27</v>
      </c>
      <c r="N65" s="64">
        <v>614.4</v>
      </c>
      <c r="O65" s="64">
        <v>0</v>
      </c>
      <c r="P65" s="64">
        <v>0.45</v>
      </c>
      <c r="Q65" s="64">
        <v>9.35</v>
      </c>
      <c r="R65" s="198"/>
      <c r="S65" s="198"/>
      <c r="T65" s="198"/>
      <c r="U65" s="198"/>
    </row>
    <row r="66" spans="1:21" s="12" customFormat="1" x14ac:dyDescent="0.25">
      <c r="A66" s="214" t="s">
        <v>593</v>
      </c>
      <c r="B66" s="64">
        <v>4.79</v>
      </c>
      <c r="C66" s="64">
        <v>43.05</v>
      </c>
      <c r="D66" s="64">
        <v>26.25</v>
      </c>
      <c r="E66" s="64">
        <v>1.19</v>
      </c>
      <c r="F66" s="64">
        <v>8.57</v>
      </c>
      <c r="G66" s="64">
        <v>49.85</v>
      </c>
      <c r="H66" s="64">
        <v>31.18</v>
      </c>
      <c r="I66" s="64">
        <v>2.23</v>
      </c>
      <c r="J66" s="64">
        <v>0.4</v>
      </c>
      <c r="K66" s="64">
        <v>212.99</v>
      </c>
      <c r="L66" s="64">
        <v>36.869999999999997</v>
      </c>
      <c r="M66" s="64">
        <v>24.21</v>
      </c>
      <c r="N66" s="64">
        <v>559.20000000000005</v>
      </c>
      <c r="O66" s="64">
        <v>0</v>
      </c>
      <c r="P66" s="64">
        <v>0.43</v>
      </c>
      <c r="Q66" s="64">
        <v>9.51</v>
      </c>
      <c r="R66" s="198"/>
      <c r="S66" s="198"/>
      <c r="T66" s="198"/>
      <c r="U66" s="198"/>
    </row>
    <row r="67" spans="1:21" s="12" customFormat="1" x14ac:dyDescent="0.25">
      <c r="A67" s="214" t="s">
        <v>594</v>
      </c>
      <c r="B67" s="64">
        <v>4.83</v>
      </c>
      <c r="C67" s="64">
        <v>42.48</v>
      </c>
      <c r="D67" s="64">
        <v>25.99</v>
      </c>
      <c r="E67" s="64">
        <v>0.83</v>
      </c>
      <c r="F67" s="64">
        <v>9.17</v>
      </c>
      <c r="G67" s="64">
        <v>49.85</v>
      </c>
      <c r="H67" s="64">
        <v>31.18</v>
      </c>
      <c r="I67" s="64">
        <v>2.21</v>
      </c>
      <c r="J67" s="64">
        <v>0.38</v>
      </c>
      <c r="K67" s="64">
        <v>317.62</v>
      </c>
      <c r="L67" s="64">
        <v>37.299999999999997</v>
      </c>
      <c r="M67" s="64">
        <v>25.44</v>
      </c>
      <c r="N67" s="64">
        <v>538.79999999999995</v>
      </c>
      <c r="O67" s="64">
        <v>0</v>
      </c>
      <c r="P67" s="64">
        <v>0.41</v>
      </c>
      <c r="Q67" s="64">
        <v>9.5</v>
      </c>
      <c r="R67" s="198"/>
      <c r="S67" s="198"/>
      <c r="T67" s="198"/>
      <c r="U67" s="198"/>
    </row>
    <row r="68" spans="1:21" s="12" customFormat="1" x14ac:dyDescent="0.25">
      <c r="A68" s="214" t="s">
        <v>595</v>
      </c>
      <c r="B68" s="64">
        <v>4.84</v>
      </c>
      <c r="C68" s="64">
        <v>49.29</v>
      </c>
      <c r="D68" s="64">
        <v>29.55</v>
      </c>
      <c r="E68" s="64">
        <v>1.3</v>
      </c>
      <c r="F68" s="64">
        <v>12.32</v>
      </c>
      <c r="G68" s="64">
        <v>49.85</v>
      </c>
      <c r="H68" s="64">
        <v>31.18</v>
      </c>
      <c r="I68" s="64">
        <v>2.16</v>
      </c>
      <c r="J68" s="64">
        <v>0.52</v>
      </c>
      <c r="K68" s="64">
        <v>329.98</v>
      </c>
      <c r="L68" s="64">
        <v>37.15</v>
      </c>
      <c r="M68" s="64">
        <v>23.87</v>
      </c>
      <c r="N68" s="64">
        <v>473.7</v>
      </c>
      <c r="O68" s="64">
        <v>0</v>
      </c>
      <c r="P68" s="64">
        <v>0.41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4" t="s">
        <v>596</v>
      </c>
      <c r="B69" s="64">
        <v>4.8099999999999996</v>
      </c>
      <c r="C69" s="64">
        <v>52.97</v>
      </c>
      <c r="D69" s="64">
        <v>31.45</v>
      </c>
      <c r="E69" s="64">
        <v>1.23</v>
      </c>
      <c r="F69" s="64">
        <v>10.26</v>
      </c>
      <c r="G69" s="64">
        <v>51.7</v>
      </c>
      <c r="H69" s="64">
        <v>16.98</v>
      </c>
      <c r="I69" s="64">
        <v>2.11</v>
      </c>
      <c r="J69" s="64">
        <v>0.41</v>
      </c>
      <c r="K69" s="64">
        <v>344.83</v>
      </c>
      <c r="L69" s="64">
        <v>36.93</v>
      </c>
      <c r="M69" s="64">
        <v>22.9</v>
      </c>
      <c r="N69" s="64">
        <v>341</v>
      </c>
      <c r="O69" s="64">
        <v>0</v>
      </c>
      <c r="P69" s="64">
        <v>0.41</v>
      </c>
      <c r="Q69" s="64">
        <v>9.34</v>
      </c>
      <c r="R69" s="198"/>
      <c r="S69" s="198"/>
      <c r="T69" s="198"/>
      <c r="U69" s="198"/>
    </row>
    <row r="70" spans="1:21" s="12" customFormat="1" x14ac:dyDescent="0.25">
      <c r="A70" s="214" t="s">
        <v>597</v>
      </c>
      <c r="B70" s="64">
        <v>4.72</v>
      </c>
      <c r="C70" s="64">
        <v>53.19</v>
      </c>
      <c r="D70" s="64">
        <v>31.49</v>
      </c>
      <c r="E70" s="64">
        <v>1</v>
      </c>
      <c r="F70" s="64">
        <v>11.47</v>
      </c>
      <c r="G70" s="64">
        <v>52.23</v>
      </c>
      <c r="H70" s="64">
        <v>12.92</v>
      </c>
      <c r="I70" s="64">
        <v>2.08</v>
      </c>
      <c r="J70" s="64">
        <v>0.33</v>
      </c>
      <c r="K70" s="64">
        <v>340.75</v>
      </c>
      <c r="L70" s="64">
        <v>36.67</v>
      </c>
      <c r="M70" s="64">
        <v>23.74</v>
      </c>
      <c r="N70" s="64">
        <v>237.9</v>
      </c>
      <c r="O70" s="64">
        <v>0</v>
      </c>
      <c r="P70" s="64">
        <v>0.4</v>
      </c>
      <c r="Q70" s="64">
        <v>9.49</v>
      </c>
      <c r="R70" s="198"/>
      <c r="S70" s="198"/>
      <c r="T70" s="198"/>
      <c r="U70" s="198"/>
    </row>
    <row r="71" spans="1:21" s="12" customFormat="1" x14ac:dyDescent="0.25">
      <c r="A71" s="214" t="s">
        <v>598</v>
      </c>
      <c r="B71" s="64">
        <v>4.6100000000000003</v>
      </c>
      <c r="C71" s="64">
        <v>50.3</v>
      </c>
      <c r="D71" s="64">
        <v>29.9</v>
      </c>
      <c r="E71" s="64">
        <v>1.36</v>
      </c>
      <c r="F71" s="64">
        <v>12.38</v>
      </c>
      <c r="G71" s="64">
        <v>52.23</v>
      </c>
      <c r="H71" s="64">
        <v>12.92</v>
      </c>
      <c r="I71" s="64">
        <v>2.02</v>
      </c>
      <c r="J71" s="64">
        <v>0.38</v>
      </c>
      <c r="K71" s="64">
        <v>338.71</v>
      </c>
      <c r="L71" s="64">
        <v>36.53</v>
      </c>
      <c r="M71" s="64">
        <v>24.24</v>
      </c>
      <c r="N71" s="64">
        <v>235.3</v>
      </c>
      <c r="O71" s="64">
        <v>0</v>
      </c>
      <c r="P71" s="64">
        <v>0.38</v>
      </c>
      <c r="Q71" s="64">
        <v>9.42</v>
      </c>
      <c r="R71" s="198"/>
      <c r="S71" s="198"/>
      <c r="T71" s="198"/>
      <c r="U71" s="198"/>
    </row>
    <row r="72" spans="1:21" s="12" customFormat="1" x14ac:dyDescent="0.25">
      <c r="A72" s="214" t="s">
        <v>599</v>
      </c>
      <c r="B72" s="64">
        <v>4.6100000000000003</v>
      </c>
      <c r="C72" s="64">
        <v>47.09</v>
      </c>
      <c r="D72" s="64">
        <v>28.22</v>
      </c>
      <c r="E72" s="64">
        <v>2.5499999999999998</v>
      </c>
      <c r="F72" s="64">
        <v>11.36</v>
      </c>
      <c r="G72" s="64">
        <v>52.23</v>
      </c>
      <c r="H72" s="64">
        <v>12.92</v>
      </c>
      <c r="I72" s="64">
        <v>1.96</v>
      </c>
      <c r="J72" s="64">
        <v>0.26</v>
      </c>
      <c r="K72" s="64">
        <v>12.44</v>
      </c>
      <c r="L72" s="64">
        <v>36.200000000000003</v>
      </c>
      <c r="M72" s="64">
        <v>23.95</v>
      </c>
      <c r="N72" s="64">
        <v>218.2</v>
      </c>
      <c r="O72" s="64">
        <v>0</v>
      </c>
      <c r="P72" s="64">
        <v>0.38</v>
      </c>
      <c r="Q72" s="64">
        <v>9.36</v>
      </c>
      <c r="R72" s="198"/>
      <c r="S72" s="198"/>
      <c r="T72" s="198"/>
      <c r="U72" s="198"/>
    </row>
    <row r="73" spans="1:21" s="12" customFormat="1" x14ac:dyDescent="0.25">
      <c r="A73" s="214" t="s">
        <v>600</v>
      </c>
      <c r="B73" s="64">
        <v>4.62</v>
      </c>
      <c r="C73" s="64">
        <v>45.33</v>
      </c>
      <c r="D73" s="64">
        <v>27.31</v>
      </c>
      <c r="E73" s="64">
        <v>1.73</v>
      </c>
      <c r="F73" s="64">
        <v>11.06</v>
      </c>
      <c r="G73" s="64">
        <v>37.28</v>
      </c>
      <c r="H73" s="64">
        <v>7.09</v>
      </c>
      <c r="I73" s="64">
        <v>2.0099999999999998</v>
      </c>
      <c r="J73" s="64">
        <v>0.11</v>
      </c>
      <c r="K73" s="64">
        <v>341.65</v>
      </c>
      <c r="L73" s="64">
        <v>35.83</v>
      </c>
      <c r="M73" s="64">
        <v>24.86</v>
      </c>
      <c r="N73" s="64">
        <v>187.3</v>
      </c>
      <c r="O73" s="64">
        <v>0</v>
      </c>
      <c r="P73" s="64">
        <v>0.38</v>
      </c>
      <c r="Q73" s="64">
        <v>9.3000000000000007</v>
      </c>
      <c r="R73" s="198"/>
      <c r="S73" s="198"/>
      <c r="T73" s="198"/>
      <c r="U73" s="198"/>
    </row>
    <row r="74" spans="1:21" s="12" customFormat="1" x14ac:dyDescent="0.25">
      <c r="A74" s="214" t="s">
        <v>601</v>
      </c>
      <c r="B74" s="64">
        <v>4.1399999999999997</v>
      </c>
      <c r="C74" s="64">
        <v>39.06</v>
      </c>
      <c r="D74" s="64">
        <v>23.65</v>
      </c>
      <c r="E74" s="64">
        <v>1.9</v>
      </c>
      <c r="F74" s="64">
        <v>11.34</v>
      </c>
      <c r="G74" s="64">
        <v>33.01</v>
      </c>
      <c r="H74" s="64">
        <v>5.43</v>
      </c>
      <c r="I74" s="64">
        <v>2.0499999999999998</v>
      </c>
      <c r="J74" s="64">
        <v>0.3</v>
      </c>
      <c r="K74" s="64">
        <v>358.35</v>
      </c>
      <c r="L74" s="64">
        <v>35.840000000000003</v>
      </c>
      <c r="M74" s="64">
        <v>25.4</v>
      </c>
      <c r="N74" s="64">
        <v>146.30000000000001</v>
      </c>
      <c r="O74" s="64">
        <v>0</v>
      </c>
      <c r="P74" s="64">
        <v>0.38</v>
      </c>
      <c r="Q74" s="64">
        <v>9.64</v>
      </c>
      <c r="R74" s="198"/>
      <c r="S74" s="198"/>
      <c r="T74" s="198"/>
      <c r="U74" s="198"/>
    </row>
    <row r="75" spans="1:21" s="12" customFormat="1" x14ac:dyDescent="0.25">
      <c r="A75" s="214" t="s">
        <v>602</v>
      </c>
      <c r="B75" s="64">
        <v>1.78</v>
      </c>
      <c r="C75" s="64">
        <v>29.18</v>
      </c>
      <c r="D75" s="64">
        <v>16.59</v>
      </c>
      <c r="E75" s="64">
        <v>2.23</v>
      </c>
      <c r="F75" s="64">
        <v>9.1300000000000008</v>
      </c>
      <c r="G75" s="64">
        <v>33.01</v>
      </c>
      <c r="H75" s="64">
        <v>5.43</v>
      </c>
      <c r="I75" s="64">
        <v>2.08</v>
      </c>
      <c r="J75" s="64">
        <v>0.25</v>
      </c>
      <c r="K75" s="64">
        <v>355.6</v>
      </c>
      <c r="L75" s="64">
        <v>35.56</v>
      </c>
      <c r="M75" s="64">
        <v>25.89</v>
      </c>
      <c r="N75" s="64">
        <v>117.9</v>
      </c>
      <c r="O75" s="64">
        <v>0</v>
      </c>
      <c r="P75" s="64">
        <v>0.39</v>
      </c>
      <c r="Q75" s="64">
        <v>9.33</v>
      </c>
      <c r="R75" s="198"/>
      <c r="S75" s="198"/>
      <c r="T75" s="198"/>
      <c r="U75" s="198"/>
    </row>
    <row r="76" spans="1:21" s="12" customFormat="1" x14ac:dyDescent="0.25">
      <c r="A76" s="214" t="s">
        <v>603</v>
      </c>
      <c r="B76" s="64">
        <v>1.03</v>
      </c>
      <c r="C76" s="64">
        <v>42.7</v>
      </c>
      <c r="D76" s="64">
        <v>23.05</v>
      </c>
      <c r="E76" s="64">
        <v>1.8</v>
      </c>
      <c r="F76" s="64">
        <v>9.1300000000000008</v>
      </c>
      <c r="G76" s="64">
        <v>33.01</v>
      </c>
      <c r="H76" s="64">
        <v>5.43</v>
      </c>
      <c r="I76" s="64">
        <v>2.15</v>
      </c>
      <c r="J76" s="64">
        <v>0.1</v>
      </c>
      <c r="K76" s="64">
        <v>357.43</v>
      </c>
      <c r="L76" s="64">
        <v>35.270000000000003</v>
      </c>
      <c r="M76" s="64">
        <v>26.4</v>
      </c>
      <c r="N76" s="64">
        <v>101</v>
      </c>
      <c r="O76" s="64">
        <v>0</v>
      </c>
      <c r="P76" s="64">
        <v>0.41</v>
      </c>
      <c r="Q76" s="64">
        <v>9.52</v>
      </c>
      <c r="R76" s="198"/>
      <c r="S76" s="198"/>
      <c r="T76" s="198"/>
      <c r="U76" s="198"/>
    </row>
    <row r="77" spans="1:21" s="12" customFormat="1" x14ac:dyDescent="0.25">
      <c r="A77" s="214" t="s">
        <v>604</v>
      </c>
      <c r="B77" s="64">
        <v>1.1599999999999999</v>
      </c>
      <c r="C77" s="64">
        <v>44.51</v>
      </c>
      <c r="D77" s="64">
        <v>24.1</v>
      </c>
      <c r="E77" s="64">
        <v>2.02</v>
      </c>
      <c r="F77" s="64">
        <v>7.46</v>
      </c>
      <c r="G77" s="64">
        <v>41.12</v>
      </c>
      <c r="H77" s="64">
        <v>30.72</v>
      </c>
      <c r="I77" s="64">
        <v>2.23</v>
      </c>
      <c r="J77" s="64">
        <v>0.13</v>
      </c>
      <c r="K77" s="64">
        <v>258.83</v>
      </c>
      <c r="L77" s="64">
        <v>34.93</v>
      </c>
      <c r="M77" s="64">
        <v>26.75</v>
      </c>
      <c r="N77" s="64">
        <v>78.5</v>
      </c>
      <c r="O77" s="64">
        <v>0</v>
      </c>
      <c r="P77" s="64">
        <v>0.43</v>
      </c>
      <c r="Q77" s="64">
        <v>9.32</v>
      </c>
      <c r="R77" s="198"/>
      <c r="S77" s="198"/>
      <c r="T77" s="198"/>
      <c r="U77" s="198"/>
    </row>
    <row r="78" spans="1:21" s="12" customFormat="1" x14ac:dyDescent="0.25">
      <c r="A78" s="214" t="s">
        <v>605</v>
      </c>
      <c r="B78" s="64">
        <v>1.06</v>
      </c>
      <c r="C78" s="64">
        <v>43.68</v>
      </c>
      <c r="D78" s="64">
        <v>23.59</v>
      </c>
      <c r="E78" s="64">
        <v>1.91</v>
      </c>
      <c r="F78" s="64">
        <v>10.43</v>
      </c>
      <c r="G78" s="64">
        <v>43.44</v>
      </c>
      <c r="H78" s="64">
        <v>38.42</v>
      </c>
      <c r="I78" s="64">
        <v>2.33</v>
      </c>
      <c r="J78" s="64">
        <v>0.09</v>
      </c>
      <c r="K78" s="64">
        <v>13.11</v>
      </c>
      <c r="L78" s="64">
        <v>34.56</v>
      </c>
      <c r="M78" s="64">
        <v>27.7</v>
      </c>
      <c r="N78" s="64">
        <v>60.1</v>
      </c>
      <c r="O78" s="64">
        <v>0</v>
      </c>
      <c r="P78" s="64">
        <v>0.44</v>
      </c>
      <c r="Q78" s="64">
        <v>9.32</v>
      </c>
      <c r="R78" s="198"/>
      <c r="S78" s="198"/>
      <c r="T78" s="198"/>
      <c r="U78" s="198"/>
    </row>
    <row r="79" spans="1:21" s="12" customFormat="1" x14ac:dyDescent="0.25">
      <c r="A79" s="214" t="s">
        <v>606</v>
      </c>
      <c r="B79" s="64">
        <v>0.85</v>
      </c>
      <c r="C79" s="64">
        <v>55.68</v>
      </c>
      <c r="D79" s="64">
        <v>29.7</v>
      </c>
      <c r="E79" s="64">
        <v>1.91</v>
      </c>
      <c r="F79" s="64">
        <v>9.3000000000000007</v>
      </c>
      <c r="G79" s="64">
        <v>43.44</v>
      </c>
      <c r="H79" s="64">
        <v>38.42</v>
      </c>
      <c r="I79" s="64">
        <v>2.42</v>
      </c>
      <c r="J79" s="64">
        <v>0.05</v>
      </c>
      <c r="K79" s="64">
        <v>340.48</v>
      </c>
      <c r="L79" s="64">
        <v>34.369999999999997</v>
      </c>
      <c r="M79" s="64">
        <v>27.99</v>
      </c>
      <c r="N79" s="64">
        <v>40.5</v>
      </c>
      <c r="O79" s="64">
        <v>0</v>
      </c>
      <c r="P79" s="64">
        <v>0.46</v>
      </c>
      <c r="Q79" s="64">
        <v>9.32</v>
      </c>
      <c r="R79" s="198"/>
      <c r="S79" s="198"/>
      <c r="T79" s="198"/>
      <c r="U79" s="198"/>
    </row>
    <row r="80" spans="1:21" s="12" customFormat="1" x14ac:dyDescent="0.25">
      <c r="A80" s="214" t="s">
        <v>607</v>
      </c>
      <c r="B80" s="64">
        <v>1.05</v>
      </c>
      <c r="C80" s="64">
        <v>61</v>
      </c>
      <c r="D80" s="64">
        <v>32.64</v>
      </c>
      <c r="E80" s="64">
        <v>1.72</v>
      </c>
      <c r="F80" s="64">
        <v>7.09</v>
      </c>
      <c r="G80" s="64">
        <v>43.44</v>
      </c>
      <c r="H80" s="64">
        <v>38.42</v>
      </c>
      <c r="I80" s="64">
        <v>2.4700000000000002</v>
      </c>
      <c r="J80" s="64">
        <v>7.0000000000000007E-2</v>
      </c>
      <c r="K80" s="64">
        <v>342.83</v>
      </c>
      <c r="L80" s="64">
        <v>33.96</v>
      </c>
      <c r="M80" s="64">
        <v>28.82</v>
      </c>
      <c r="N80" s="64">
        <v>28</v>
      </c>
      <c r="O80" s="64">
        <v>0</v>
      </c>
      <c r="P80" s="64">
        <v>0.47</v>
      </c>
      <c r="Q80" s="64">
        <v>9.48</v>
      </c>
      <c r="R80" s="198"/>
      <c r="S80" s="198"/>
      <c r="T80" s="198"/>
      <c r="U80" s="198"/>
    </row>
    <row r="81" spans="1:26" s="12" customFormat="1" x14ac:dyDescent="0.25">
      <c r="A81" s="214" t="s">
        <v>608</v>
      </c>
      <c r="B81" s="64">
        <v>1.22</v>
      </c>
      <c r="C81" s="64">
        <v>49.96</v>
      </c>
      <c r="D81" s="64">
        <v>27</v>
      </c>
      <c r="E81" s="64">
        <v>1.3</v>
      </c>
      <c r="F81" s="64">
        <v>5.73</v>
      </c>
      <c r="G81" s="64">
        <v>47.83</v>
      </c>
      <c r="H81" s="64">
        <v>33.299999999999997</v>
      </c>
      <c r="I81" s="64">
        <v>2.6</v>
      </c>
      <c r="J81" s="64">
        <v>0.02</v>
      </c>
      <c r="K81" s="64">
        <v>278.14</v>
      </c>
      <c r="L81" s="64">
        <v>33.67</v>
      </c>
      <c r="M81" s="64">
        <v>28.95</v>
      </c>
      <c r="N81" s="64">
        <v>20</v>
      </c>
      <c r="O81" s="64">
        <v>0</v>
      </c>
      <c r="P81" s="64">
        <v>0.49</v>
      </c>
      <c r="Q81" s="64">
        <v>9.1999999999999993</v>
      </c>
      <c r="R81" s="198"/>
      <c r="S81" s="198"/>
      <c r="T81" s="198"/>
      <c r="U81" s="198"/>
    </row>
    <row r="82" spans="1:26" s="12" customFormat="1" x14ac:dyDescent="0.25">
      <c r="A82" s="214" t="s">
        <v>609</v>
      </c>
      <c r="B82" s="64">
        <v>1.43</v>
      </c>
      <c r="C82" s="64">
        <v>50.85</v>
      </c>
      <c r="D82" s="64">
        <v>27.64</v>
      </c>
      <c r="E82" s="64">
        <v>1.66</v>
      </c>
      <c r="F82" s="64">
        <v>4.5999999999999996</v>
      </c>
      <c r="G82" s="64">
        <v>49.09</v>
      </c>
      <c r="H82" s="64">
        <v>31.84</v>
      </c>
      <c r="I82" s="64">
        <v>2.84</v>
      </c>
      <c r="J82" s="64">
        <v>0.1</v>
      </c>
      <c r="K82" s="64">
        <v>357.11</v>
      </c>
      <c r="L82" s="64">
        <v>33.35</v>
      </c>
      <c r="M82" s="64">
        <v>29.38</v>
      </c>
      <c r="N82" s="64">
        <v>18.3</v>
      </c>
      <c r="O82" s="64">
        <v>0</v>
      </c>
      <c r="P82" s="64">
        <v>0.5</v>
      </c>
      <c r="Q82" s="64">
        <v>9.36</v>
      </c>
      <c r="R82" s="198"/>
      <c r="S82" s="198"/>
      <c r="T82" s="198"/>
      <c r="U82" s="198"/>
    </row>
    <row r="83" spans="1:26" s="12" customFormat="1" x14ac:dyDescent="0.25">
      <c r="A83" s="214" t="s">
        <v>610</v>
      </c>
      <c r="B83" s="64">
        <v>2.08</v>
      </c>
      <c r="C83" s="64">
        <v>49.52</v>
      </c>
      <c r="D83" s="64">
        <v>27.46</v>
      </c>
      <c r="E83" s="64">
        <v>1.69</v>
      </c>
      <c r="F83" s="64">
        <v>4.05</v>
      </c>
      <c r="G83" s="64">
        <v>49.09</v>
      </c>
      <c r="H83" s="64">
        <v>31.84</v>
      </c>
      <c r="I83" s="64">
        <v>3.17</v>
      </c>
      <c r="J83" s="64">
        <v>0.31</v>
      </c>
      <c r="K83" s="64">
        <v>324.35000000000002</v>
      </c>
      <c r="L83" s="64">
        <v>32.799999999999997</v>
      </c>
      <c r="M83" s="64">
        <v>31.13</v>
      </c>
      <c r="N83" s="64">
        <v>18.2</v>
      </c>
      <c r="O83" s="64">
        <v>0</v>
      </c>
      <c r="P83" s="64">
        <v>0.54</v>
      </c>
      <c r="Q83" s="64">
        <v>9.5</v>
      </c>
      <c r="R83" s="198"/>
      <c r="S83" s="198"/>
      <c r="T83" s="198"/>
      <c r="U83" s="198"/>
    </row>
    <row r="84" spans="1:26" s="12" customFormat="1" x14ac:dyDescent="0.25">
      <c r="A84" s="214" t="s">
        <v>611</v>
      </c>
      <c r="B84" s="64">
        <v>2.86</v>
      </c>
      <c r="C84" s="64">
        <v>50.24</v>
      </c>
      <c r="D84" s="64">
        <v>28.46</v>
      </c>
      <c r="E84" s="64">
        <v>1.5</v>
      </c>
      <c r="F84" s="64">
        <v>4.3499999999999996</v>
      </c>
      <c r="G84" s="64">
        <v>49.09</v>
      </c>
      <c r="H84" s="64">
        <v>31.84</v>
      </c>
      <c r="I84" s="64">
        <v>3.72</v>
      </c>
      <c r="J84" s="64">
        <v>0.32</v>
      </c>
      <c r="K84" s="64">
        <v>313.39</v>
      </c>
      <c r="L84" s="64">
        <v>31.98</v>
      </c>
      <c r="M84" s="64">
        <v>33.33</v>
      </c>
      <c r="N84" s="64">
        <v>17.7</v>
      </c>
      <c r="O84" s="64">
        <v>0</v>
      </c>
      <c r="P84" s="64">
        <v>0.57999999999999996</v>
      </c>
      <c r="Q84" s="64">
        <v>9.67</v>
      </c>
      <c r="R84" s="198"/>
      <c r="S84" s="198"/>
      <c r="T84" s="198"/>
      <c r="U84" s="198"/>
    </row>
    <row r="85" spans="1:26" s="12" customFormat="1" x14ac:dyDescent="0.25">
      <c r="A85" s="214" t="s">
        <v>612</v>
      </c>
      <c r="B85" s="64">
        <v>3.3</v>
      </c>
      <c r="C85" s="64">
        <v>50.49</v>
      </c>
      <c r="D85" s="64">
        <v>28.94</v>
      </c>
      <c r="E85" s="64">
        <v>1.78</v>
      </c>
      <c r="F85" s="64">
        <v>3.92</v>
      </c>
      <c r="G85" s="64">
        <v>54.71</v>
      </c>
      <c r="H85" s="64">
        <v>26.07</v>
      </c>
      <c r="I85" s="64">
        <v>4.41</v>
      </c>
      <c r="J85" s="64">
        <v>0.23</v>
      </c>
      <c r="K85" s="64">
        <v>315.62</v>
      </c>
      <c r="L85" s="64">
        <v>32.07</v>
      </c>
      <c r="M85" s="64">
        <v>32.36</v>
      </c>
      <c r="N85" s="64">
        <v>17.8</v>
      </c>
      <c r="O85" s="64">
        <v>0</v>
      </c>
      <c r="P85" s="64">
        <v>0.59</v>
      </c>
      <c r="Q85" s="64">
        <v>9.61</v>
      </c>
      <c r="R85" s="198"/>
      <c r="S85" s="198"/>
      <c r="T85" s="198"/>
      <c r="U85" s="198"/>
    </row>
    <row r="86" spans="1:26" s="12" customFormat="1" x14ac:dyDescent="0.25">
      <c r="A86" s="214" t="s">
        <v>613</v>
      </c>
      <c r="B86" s="64">
        <v>3.73</v>
      </c>
      <c r="C86" s="64">
        <v>49.77</v>
      </c>
      <c r="D86" s="64">
        <v>28.92</v>
      </c>
      <c r="E86" s="64">
        <v>1.55</v>
      </c>
      <c r="F86" s="64">
        <v>3.86</v>
      </c>
      <c r="G86" s="64">
        <v>56.32</v>
      </c>
      <c r="H86" s="64">
        <v>24.42</v>
      </c>
      <c r="I86" s="64">
        <v>4.57</v>
      </c>
      <c r="J86" s="64">
        <v>0.1</v>
      </c>
      <c r="K86" s="64">
        <v>306.29000000000002</v>
      </c>
      <c r="L86" s="64">
        <v>31.82</v>
      </c>
      <c r="M86" s="64">
        <v>32.78</v>
      </c>
      <c r="N86" s="64">
        <v>17.8</v>
      </c>
      <c r="O86" s="64">
        <v>0</v>
      </c>
      <c r="P86" s="64">
        <v>0.69</v>
      </c>
      <c r="Q86" s="64">
        <v>9.24</v>
      </c>
      <c r="R86" s="198"/>
      <c r="S86" s="198"/>
      <c r="T86" s="198"/>
      <c r="U86" s="198"/>
    </row>
    <row r="87" spans="1:26" s="12" customFormat="1" x14ac:dyDescent="0.25">
      <c r="A87" s="214" t="s">
        <v>614</v>
      </c>
      <c r="B87" s="64">
        <v>4.3</v>
      </c>
      <c r="C87" s="64">
        <v>48.1</v>
      </c>
      <c r="D87" s="64">
        <v>28.49</v>
      </c>
      <c r="E87" s="64">
        <v>1.42</v>
      </c>
      <c r="F87" s="64">
        <v>4.1500000000000004</v>
      </c>
      <c r="G87" s="64">
        <v>56.32</v>
      </c>
      <c r="H87" s="64">
        <v>24.42</v>
      </c>
      <c r="I87" s="64">
        <v>4.84</v>
      </c>
      <c r="J87" s="64">
        <v>7.0000000000000007E-2</v>
      </c>
      <c r="K87" s="64">
        <v>317.5</v>
      </c>
      <c r="L87" s="64">
        <v>31.65</v>
      </c>
      <c r="M87" s="64">
        <v>33.299999999999997</v>
      </c>
      <c r="N87" s="64">
        <v>17.899999999999999</v>
      </c>
      <c r="O87" s="64">
        <v>0</v>
      </c>
      <c r="P87" s="64">
        <v>0.72</v>
      </c>
      <c r="Q87" s="64">
        <v>9.68</v>
      </c>
      <c r="R87" s="198"/>
      <c r="S87" s="198"/>
      <c r="T87" s="198"/>
      <c r="U87" s="198"/>
    </row>
    <row r="88" spans="1:26" s="12" customFormat="1" x14ac:dyDescent="0.25">
      <c r="A88" s="214" t="s">
        <v>615</v>
      </c>
      <c r="B88" s="64">
        <v>4.54</v>
      </c>
      <c r="C88" s="64">
        <v>47.42</v>
      </c>
      <c r="D88" s="64">
        <v>28.34</v>
      </c>
      <c r="E88" s="64">
        <v>0.67</v>
      </c>
      <c r="F88" s="64">
        <v>3.9</v>
      </c>
      <c r="G88" s="64">
        <v>56.32</v>
      </c>
      <c r="H88" s="64">
        <v>24.42</v>
      </c>
      <c r="I88" s="64">
        <v>5.28</v>
      </c>
      <c r="J88" s="64">
        <v>0.17</v>
      </c>
      <c r="K88" s="64">
        <v>356.33</v>
      </c>
      <c r="L88" s="64">
        <v>31.26</v>
      </c>
      <c r="M88" s="64">
        <v>33.65</v>
      </c>
      <c r="N88" s="64">
        <v>17.600000000000001</v>
      </c>
      <c r="O88" s="64">
        <v>0</v>
      </c>
      <c r="P88" s="64">
        <v>0.76</v>
      </c>
      <c r="Q88" s="64">
        <v>9.31</v>
      </c>
      <c r="R88" s="198"/>
      <c r="S88" s="198"/>
      <c r="T88" s="198"/>
      <c r="U88" s="198"/>
    </row>
    <row r="89" spans="1:26" s="12" customFormat="1" x14ac:dyDescent="0.25">
      <c r="A89" s="214" t="s">
        <v>616</v>
      </c>
      <c r="B89" s="64">
        <v>4.7699999999999996</v>
      </c>
      <c r="C89" s="64">
        <v>47.88</v>
      </c>
      <c r="D89" s="64">
        <v>28.76</v>
      </c>
      <c r="E89" s="64">
        <v>0.98</v>
      </c>
      <c r="F89" s="64">
        <v>3.72</v>
      </c>
      <c r="G89" s="64">
        <v>61.89</v>
      </c>
      <c r="H89" s="64">
        <v>26.8</v>
      </c>
      <c r="I89" s="64">
        <v>5.32</v>
      </c>
      <c r="J89" s="64">
        <v>7.0000000000000007E-2</v>
      </c>
      <c r="K89" s="64">
        <v>337.52</v>
      </c>
      <c r="L89" s="64">
        <v>31.23</v>
      </c>
      <c r="M89" s="64">
        <v>32.5</v>
      </c>
      <c r="N89" s="64">
        <v>17.399999999999999</v>
      </c>
      <c r="O89" s="64">
        <v>0</v>
      </c>
      <c r="P89" s="64">
        <v>0.82</v>
      </c>
      <c r="Q89" s="64">
        <v>9.4700000000000006</v>
      </c>
      <c r="R89" s="198"/>
      <c r="S89" s="198"/>
      <c r="T89" s="198"/>
      <c r="U89" s="198"/>
    </row>
    <row r="90" spans="1:26" s="12" customFormat="1" x14ac:dyDescent="0.25">
      <c r="A90" s="214" t="s">
        <v>617</v>
      </c>
      <c r="B90" s="64">
        <v>5.1100000000000003</v>
      </c>
      <c r="C90" s="64">
        <v>48.76</v>
      </c>
      <c r="D90" s="64">
        <v>29.49</v>
      </c>
      <c r="E90" s="64">
        <v>1.39</v>
      </c>
      <c r="F90" s="64">
        <v>3.75</v>
      </c>
      <c r="G90" s="64">
        <v>63.49</v>
      </c>
      <c r="H90" s="64">
        <v>27.48</v>
      </c>
      <c r="I90" s="64">
        <v>5.43</v>
      </c>
      <c r="J90" s="64">
        <v>0.13</v>
      </c>
      <c r="K90" s="64">
        <v>332.62</v>
      </c>
      <c r="L90" s="64">
        <v>30.89</v>
      </c>
      <c r="M90" s="64">
        <v>33.56</v>
      </c>
      <c r="N90" s="64">
        <v>17.7</v>
      </c>
      <c r="O90" s="64">
        <v>0</v>
      </c>
      <c r="P90" s="64">
        <v>0.87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4" t="s">
        <v>618</v>
      </c>
      <c r="B91" s="64">
        <v>6.02</v>
      </c>
      <c r="C91" s="64">
        <v>49.83</v>
      </c>
      <c r="D91" s="64">
        <v>30.78</v>
      </c>
      <c r="E91" s="64">
        <v>1.23</v>
      </c>
      <c r="F91" s="64">
        <v>3.72</v>
      </c>
      <c r="G91" s="64">
        <v>63.49</v>
      </c>
      <c r="H91" s="64">
        <v>27.48</v>
      </c>
      <c r="I91" s="64">
        <v>5.61</v>
      </c>
      <c r="J91" s="64">
        <v>0.06</v>
      </c>
      <c r="K91" s="64">
        <v>286.11</v>
      </c>
      <c r="L91" s="64">
        <v>30.62</v>
      </c>
      <c r="M91" s="64">
        <v>34.35</v>
      </c>
      <c r="N91" s="64">
        <v>17.5</v>
      </c>
      <c r="O91" s="64">
        <v>0</v>
      </c>
      <c r="P91" s="64">
        <v>0.93</v>
      </c>
      <c r="Q91" s="64">
        <v>9.27</v>
      </c>
      <c r="R91" s="198"/>
      <c r="S91" s="198"/>
      <c r="T91" s="198"/>
      <c r="U91" s="198"/>
    </row>
    <row r="92" spans="1:26" s="12" customFormat="1" x14ac:dyDescent="0.25">
      <c r="A92" s="214" t="s">
        <v>619</v>
      </c>
      <c r="B92" s="64">
        <v>6.63</v>
      </c>
      <c r="C92" s="64">
        <v>50.55</v>
      </c>
      <c r="D92" s="64">
        <v>31.64</v>
      </c>
      <c r="E92" s="64">
        <v>1.37</v>
      </c>
      <c r="F92" s="64">
        <v>3.54</v>
      </c>
      <c r="G92" s="64">
        <v>63.49</v>
      </c>
      <c r="H92" s="64">
        <v>27.48</v>
      </c>
      <c r="I92" s="64">
        <v>5.76</v>
      </c>
      <c r="J92" s="64">
        <v>0.05</v>
      </c>
      <c r="K92" s="64">
        <v>257.7</v>
      </c>
      <c r="L92" s="64">
        <v>30.98</v>
      </c>
      <c r="M92" s="64">
        <v>32.6</v>
      </c>
      <c r="N92" s="64">
        <v>17.2</v>
      </c>
      <c r="O92" s="64">
        <v>0</v>
      </c>
      <c r="P92" s="64">
        <v>0.97</v>
      </c>
      <c r="Q92" s="64">
        <v>9.48</v>
      </c>
      <c r="R92" s="198"/>
      <c r="S92" s="198"/>
      <c r="T92" s="198"/>
      <c r="U92" s="198"/>
    </row>
    <row r="93" spans="1:26" s="12" customFormat="1" x14ac:dyDescent="0.25">
      <c r="A93" s="214" t="s">
        <v>620</v>
      </c>
      <c r="B93" s="64">
        <v>6.74</v>
      </c>
      <c r="C93" s="64">
        <v>50.53</v>
      </c>
      <c r="D93" s="64">
        <v>31.73</v>
      </c>
      <c r="E93" s="64">
        <v>1.44</v>
      </c>
      <c r="F93" s="64">
        <v>3.49</v>
      </c>
      <c r="G93" s="64">
        <v>71.98</v>
      </c>
      <c r="H93" s="64">
        <v>28.62</v>
      </c>
      <c r="I93" s="64">
        <v>6.14</v>
      </c>
      <c r="J93" s="64">
        <v>0.09</v>
      </c>
      <c r="K93" s="64">
        <v>3.95</v>
      </c>
      <c r="L93" s="64">
        <v>30.95</v>
      </c>
      <c r="M93" s="64">
        <v>32.26</v>
      </c>
      <c r="N93" s="64">
        <v>17.3</v>
      </c>
      <c r="O93" s="64">
        <v>0</v>
      </c>
      <c r="P93" s="64">
        <v>1.01</v>
      </c>
      <c r="Q93" s="64">
        <v>9.6</v>
      </c>
      <c r="R93" s="198"/>
      <c r="S93" s="198"/>
      <c r="T93" s="198"/>
      <c r="U93" s="198"/>
    </row>
    <row r="94" spans="1:26" s="12" customFormat="1" x14ac:dyDescent="0.25">
      <c r="A94" s="214" t="s">
        <v>621</v>
      </c>
      <c r="B94" s="64">
        <v>6.96</v>
      </c>
      <c r="C94" s="64">
        <v>50.92</v>
      </c>
      <c r="D94" s="64">
        <v>32.11</v>
      </c>
      <c r="E94" s="64">
        <v>1.64</v>
      </c>
      <c r="F94" s="64">
        <v>3.74</v>
      </c>
      <c r="G94" s="64">
        <v>74.41</v>
      </c>
      <c r="H94" s="64">
        <v>28.95</v>
      </c>
      <c r="I94" s="64">
        <v>6.76</v>
      </c>
      <c r="J94" s="64">
        <v>0.14000000000000001</v>
      </c>
      <c r="K94" s="64">
        <v>345.34</v>
      </c>
      <c r="L94" s="64">
        <v>30.49</v>
      </c>
      <c r="M94" s="64">
        <v>33.270000000000003</v>
      </c>
      <c r="N94" s="64">
        <v>17.899999999999999</v>
      </c>
      <c r="O94" s="64">
        <v>0</v>
      </c>
      <c r="P94" s="64">
        <v>1.05</v>
      </c>
      <c r="Q94" s="64">
        <v>9.5</v>
      </c>
      <c r="R94" s="198"/>
      <c r="S94" s="198"/>
      <c r="T94" s="198"/>
      <c r="U94" s="198"/>
    </row>
    <row r="95" spans="1:26" s="12" customFormat="1" x14ac:dyDescent="0.25">
      <c r="A95" s="214" t="s">
        <v>622</v>
      </c>
      <c r="B95" s="64">
        <v>8.59</v>
      </c>
      <c r="C95" s="64">
        <v>51.79</v>
      </c>
      <c r="D95" s="64">
        <v>33.869999999999997</v>
      </c>
      <c r="E95" s="64">
        <v>1.55</v>
      </c>
      <c r="F95" s="64">
        <v>3.73</v>
      </c>
      <c r="G95" s="64">
        <v>74.41</v>
      </c>
      <c r="H95" s="64">
        <v>28.95</v>
      </c>
      <c r="I95" s="64">
        <v>7.38</v>
      </c>
      <c r="J95" s="64">
        <v>0.31</v>
      </c>
      <c r="K95" s="64">
        <v>355.04</v>
      </c>
      <c r="L95" s="64">
        <v>29.7</v>
      </c>
      <c r="M95" s="64">
        <v>36.020000000000003</v>
      </c>
      <c r="N95" s="64">
        <v>18.2</v>
      </c>
      <c r="O95" s="64">
        <v>0</v>
      </c>
      <c r="P95" s="64">
        <v>1.0900000000000001</v>
      </c>
      <c r="Q95" s="64">
        <v>9.5500000000000007</v>
      </c>
      <c r="R95" s="198"/>
      <c r="S95" s="198"/>
      <c r="T95" s="198"/>
      <c r="U95" s="198"/>
    </row>
    <row r="96" spans="1:26" s="12" customFormat="1" x14ac:dyDescent="0.25">
      <c r="A96" s="214" t="s">
        <v>623</v>
      </c>
      <c r="B96" s="64">
        <v>11.08</v>
      </c>
      <c r="C96" s="64">
        <v>52.15</v>
      </c>
      <c r="D96" s="64">
        <v>36.049999999999997</v>
      </c>
      <c r="E96" s="64">
        <v>1.28</v>
      </c>
      <c r="F96" s="64">
        <v>3.66</v>
      </c>
      <c r="G96" s="64">
        <v>74.41</v>
      </c>
      <c r="H96" s="64">
        <v>28.95</v>
      </c>
      <c r="I96" s="64">
        <v>7.63</v>
      </c>
      <c r="J96" s="64">
        <v>0.15</v>
      </c>
      <c r="K96" s="64">
        <v>14.13</v>
      </c>
      <c r="L96" s="64">
        <v>28.85</v>
      </c>
      <c r="M96" s="64">
        <v>38.9</v>
      </c>
      <c r="N96" s="64">
        <v>18.100000000000001</v>
      </c>
      <c r="O96" s="64">
        <v>0</v>
      </c>
      <c r="P96" s="64">
        <v>1.1299999999999999</v>
      </c>
      <c r="Q96" s="64">
        <v>9.67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624</v>
      </c>
      <c r="B97" s="64">
        <v>11.22</v>
      </c>
      <c r="C97" s="64">
        <v>47.29</v>
      </c>
      <c r="D97" s="64">
        <v>33.619999999999997</v>
      </c>
      <c r="E97" s="64">
        <v>1.5</v>
      </c>
      <c r="F97" s="64">
        <v>3.34</v>
      </c>
      <c r="G97" s="64">
        <v>75.44</v>
      </c>
      <c r="H97" s="64">
        <v>26.95</v>
      </c>
      <c r="I97" s="64">
        <v>7.8</v>
      </c>
      <c r="J97" s="64">
        <v>0.05</v>
      </c>
      <c r="K97" s="64">
        <v>19.68</v>
      </c>
      <c r="L97" s="64">
        <v>28.38</v>
      </c>
      <c r="M97" s="64">
        <v>40.18</v>
      </c>
      <c r="N97" s="64">
        <v>18</v>
      </c>
      <c r="O97" s="64">
        <v>0</v>
      </c>
      <c r="P97" s="64">
        <v>1.21</v>
      </c>
      <c r="Q97" s="64">
        <v>9.48</v>
      </c>
      <c r="R97" s="198"/>
      <c r="S97" s="198"/>
      <c r="T97" s="198"/>
      <c r="U97" s="198"/>
    </row>
    <row r="98" spans="1:33" s="12" customFormat="1" x14ac:dyDescent="0.25">
      <c r="A98" s="214" t="s">
        <v>625</v>
      </c>
      <c r="B98" s="64">
        <v>15.34</v>
      </c>
      <c r="C98" s="64">
        <v>55.89</v>
      </c>
      <c r="D98" s="64">
        <v>41.43</v>
      </c>
      <c r="E98" s="64">
        <v>1.29</v>
      </c>
      <c r="F98" s="64">
        <v>3.46</v>
      </c>
      <c r="G98" s="64">
        <v>75.73</v>
      </c>
      <c r="H98" s="64">
        <v>26.38</v>
      </c>
      <c r="I98" s="64">
        <v>8.2100000000000009</v>
      </c>
      <c r="J98" s="64">
        <v>0.04</v>
      </c>
      <c r="K98" s="64">
        <v>302.88</v>
      </c>
      <c r="L98" s="64">
        <v>28.17</v>
      </c>
      <c r="M98" s="64">
        <v>41.13</v>
      </c>
      <c r="N98" s="64">
        <v>17.899999999999999</v>
      </c>
      <c r="O98" s="64">
        <v>0</v>
      </c>
      <c r="P98" s="64">
        <v>1.26</v>
      </c>
      <c r="Q98" s="64">
        <v>9.68</v>
      </c>
      <c r="R98" s="198"/>
      <c r="S98" s="198"/>
      <c r="T98" s="198"/>
      <c r="U98" s="198"/>
    </row>
    <row r="99" spans="1:33" s="12" customFormat="1" x14ac:dyDescent="0.25">
      <c r="A99" s="214" t="s">
        <v>626</v>
      </c>
      <c r="B99" s="64">
        <v>16.559999999999999</v>
      </c>
      <c r="C99" s="64">
        <v>55.27</v>
      </c>
      <c r="D99" s="64">
        <v>42.08</v>
      </c>
      <c r="E99" s="64">
        <v>1.43</v>
      </c>
      <c r="F99" s="64">
        <v>3.54</v>
      </c>
      <c r="G99" s="64">
        <v>75.73</v>
      </c>
      <c r="H99" s="64">
        <v>26.38</v>
      </c>
      <c r="I99" s="64">
        <v>9.23</v>
      </c>
      <c r="J99" s="64">
        <v>0.36</v>
      </c>
      <c r="K99" s="64">
        <v>348.09</v>
      </c>
      <c r="L99" s="64">
        <v>27.75</v>
      </c>
      <c r="M99" s="64">
        <v>43.68</v>
      </c>
      <c r="N99" s="64">
        <v>17.600000000000001</v>
      </c>
      <c r="O99" s="64">
        <v>0</v>
      </c>
      <c r="P99" s="64">
        <v>1.27</v>
      </c>
      <c r="Q99" s="64">
        <v>9.4700000000000006</v>
      </c>
      <c r="R99" s="198"/>
      <c r="S99" s="198"/>
      <c r="T99" s="198"/>
      <c r="U99" s="198"/>
    </row>
    <row r="100" spans="1:33" s="12" customFormat="1" x14ac:dyDescent="0.25">
      <c r="A100" s="214" t="s">
        <v>627</v>
      </c>
      <c r="B100" s="64">
        <v>17.329999999999998</v>
      </c>
      <c r="C100" s="64">
        <v>54.65</v>
      </c>
      <c r="D100" s="64">
        <v>42.37</v>
      </c>
      <c r="E100" s="64">
        <v>1.19</v>
      </c>
      <c r="F100" s="64">
        <v>3.49</v>
      </c>
      <c r="G100" s="64">
        <v>75.73</v>
      </c>
      <c r="H100" s="64">
        <v>26.38</v>
      </c>
      <c r="I100" s="64">
        <v>10.19</v>
      </c>
      <c r="J100" s="64">
        <v>0.08</v>
      </c>
      <c r="K100" s="64">
        <v>34.17</v>
      </c>
      <c r="L100" s="64">
        <v>27.94</v>
      </c>
      <c r="M100" s="64">
        <v>40.119999999999997</v>
      </c>
      <c r="N100" s="64">
        <v>17.7</v>
      </c>
      <c r="O100" s="64">
        <v>0</v>
      </c>
      <c r="P100" s="64">
        <v>1.29</v>
      </c>
      <c r="Q100" s="64">
        <v>9.84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628</v>
      </c>
      <c r="B101" s="64">
        <v>17.46</v>
      </c>
      <c r="C101" s="64">
        <v>55.01</v>
      </c>
      <c r="D101" s="64">
        <v>42.66</v>
      </c>
      <c r="E101" s="64">
        <v>1.18</v>
      </c>
      <c r="F101" s="64">
        <v>3.44</v>
      </c>
      <c r="G101" s="64">
        <v>84.62</v>
      </c>
      <c r="H101" s="64">
        <v>29.71</v>
      </c>
      <c r="I101" s="64">
        <v>9.6199999999999992</v>
      </c>
      <c r="J101" s="64">
        <v>0.14000000000000001</v>
      </c>
      <c r="K101" s="64">
        <v>14.35</v>
      </c>
      <c r="L101" s="64">
        <v>28.09</v>
      </c>
      <c r="M101" s="64">
        <v>37.880000000000003</v>
      </c>
      <c r="N101" s="64">
        <v>17.600000000000001</v>
      </c>
      <c r="O101" s="64">
        <v>0</v>
      </c>
      <c r="P101" s="64">
        <v>1.27</v>
      </c>
      <c r="Q101" s="64">
        <v>9.6199999999999992</v>
      </c>
      <c r="R101" s="198"/>
      <c r="S101" s="198"/>
      <c r="T101" s="198"/>
      <c r="U101" s="198"/>
    </row>
    <row r="102" spans="1:33" s="12" customFormat="1" x14ac:dyDescent="0.25">
      <c r="A102" s="214" t="s">
        <v>629</v>
      </c>
      <c r="B102" s="64">
        <v>17.5</v>
      </c>
      <c r="C102" s="64">
        <v>55.08</v>
      </c>
      <c r="D102" s="64">
        <v>42.73</v>
      </c>
      <c r="E102" s="64">
        <v>1.33</v>
      </c>
      <c r="F102" s="64">
        <v>3.43</v>
      </c>
      <c r="G102" s="64">
        <v>87.16</v>
      </c>
      <c r="H102" s="64">
        <v>30.66</v>
      </c>
      <c r="I102" s="64">
        <v>9.19</v>
      </c>
      <c r="J102" s="64">
        <v>0.27</v>
      </c>
      <c r="K102" s="64">
        <v>326.35000000000002</v>
      </c>
      <c r="L102" s="64">
        <v>27.94</v>
      </c>
      <c r="M102" s="64">
        <v>37.43</v>
      </c>
      <c r="N102" s="64">
        <v>17.5</v>
      </c>
      <c r="O102" s="64">
        <v>0</v>
      </c>
      <c r="P102" s="64">
        <v>1.27</v>
      </c>
      <c r="Q102" s="64">
        <v>9.57</v>
      </c>
      <c r="R102" s="198"/>
      <c r="S102" s="198"/>
      <c r="T102" s="198"/>
      <c r="U102" s="198"/>
    </row>
    <row r="103" spans="1:33" s="12" customFormat="1" x14ac:dyDescent="0.25">
      <c r="A103" s="214" t="s">
        <v>630</v>
      </c>
      <c r="B103" s="64">
        <v>17.45</v>
      </c>
      <c r="C103" s="64">
        <v>55.11</v>
      </c>
      <c r="D103" s="64">
        <v>42.71</v>
      </c>
      <c r="E103" s="64">
        <v>1.1599999999999999</v>
      </c>
      <c r="F103" s="64">
        <v>3.64</v>
      </c>
      <c r="G103" s="64">
        <v>87.16</v>
      </c>
      <c r="H103" s="64">
        <v>30.66</v>
      </c>
      <c r="I103" s="64">
        <v>8.6</v>
      </c>
      <c r="J103" s="64">
        <v>0.36</v>
      </c>
      <c r="K103" s="64">
        <v>349.14</v>
      </c>
      <c r="L103" s="64">
        <v>27.79</v>
      </c>
      <c r="M103" s="64">
        <v>36.43</v>
      </c>
      <c r="N103" s="64">
        <v>17.399999999999999</v>
      </c>
      <c r="O103" s="64">
        <v>0</v>
      </c>
      <c r="P103" s="64">
        <v>1.24</v>
      </c>
      <c r="Q103" s="64">
        <v>9.25</v>
      </c>
      <c r="R103" s="198"/>
      <c r="S103" s="198"/>
      <c r="T103" s="198"/>
      <c r="U103" s="198"/>
    </row>
    <row r="104" spans="1:33" s="12" customFormat="1" x14ac:dyDescent="0.25">
      <c r="A104" s="214" t="s">
        <v>631</v>
      </c>
      <c r="B104" s="64">
        <v>16.7</v>
      </c>
      <c r="C104" s="64">
        <v>54.38</v>
      </c>
      <c r="D104" s="64">
        <v>41.72</v>
      </c>
      <c r="E104" s="64">
        <v>1.98</v>
      </c>
      <c r="F104" s="64">
        <v>3.97</v>
      </c>
      <c r="G104" s="64">
        <v>87.16</v>
      </c>
      <c r="H104" s="64">
        <v>30.66</v>
      </c>
      <c r="I104" s="64">
        <v>8.52</v>
      </c>
      <c r="J104" s="64">
        <v>0.03</v>
      </c>
      <c r="K104" s="64">
        <v>315.83</v>
      </c>
      <c r="L104" s="64">
        <v>27.65</v>
      </c>
      <c r="M104" s="64">
        <v>35.54</v>
      </c>
      <c r="N104" s="64">
        <v>18.100000000000001</v>
      </c>
      <c r="O104" s="64">
        <v>0</v>
      </c>
      <c r="P104" s="64">
        <v>1.22</v>
      </c>
      <c r="Q104" s="64">
        <v>9.94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0.85</v>
      </c>
      <c r="C106" s="67">
        <f>MIN(C9:C104)</f>
        <v>29.18</v>
      </c>
      <c r="D106" s="67">
        <f t="shared" ref="D106:Q106" si="0">MIN(D9:D104)</f>
        <v>16.59</v>
      </c>
      <c r="E106" s="67">
        <f t="shared" si="0"/>
        <v>0.64</v>
      </c>
      <c r="F106" s="67">
        <f t="shared" si="0"/>
        <v>3.2</v>
      </c>
      <c r="G106" s="67">
        <f t="shared" si="0"/>
        <v>33.01</v>
      </c>
      <c r="H106" s="67">
        <f t="shared" si="0"/>
        <v>5.43</v>
      </c>
      <c r="I106" s="67">
        <f t="shared" si="0"/>
        <v>1.96</v>
      </c>
      <c r="J106" s="67">
        <f t="shared" si="0"/>
        <v>0.02</v>
      </c>
      <c r="K106" s="67">
        <f t="shared" si="0"/>
        <v>3.95</v>
      </c>
      <c r="L106" s="67">
        <f t="shared" si="0"/>
        <v>23.31</v>
      </c>
      <c r="M106" s="67">
        <f t="shared" si="0"/>
        <v>22.9</v>
      </c>
      <c r="N106" s="67">
        <f t="shared" si="0"/>
        <v>16.600000000000001</v>
      </c>
      <c r="O106" s="67">
        <f t="shared" si="0"/>
        <v>0</v>
      </c>
      <c r="P106" s="67">
        <f t="shared" si="0"/>
        <v>0.38</v>
      </c>
      <c r="Q106" s="67">
        <f t="shared" si="0"/>
        <v>9.1999999999999993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27.54</v>
      </c>
      <c r="C107" s="66">
        <f t="shared" ref="C107:Q107" si="1">MAX(C9:C104)</f>
        <v>61</v>
      </c>
      <c r="D107" s="66">
        <f t="shared" si="1"/>
        <v>50.55</v>
      </c>
      <c r="E107" s="66">
        <f t="shared" si="1"/>
        <v>2.82</v>
      </c>
      <c r="F107" s="66">
        <f t="shared" si="1"/>
        <v>16.84</v>
      </c>
      <c r="G107" s="66">
        <f t="shared" si="1"/>
        <v>98.4</v>
      </c>
      <c r="H107" s="66">
        <f t="shared" si="1"/>
        <v>39.93</v>
      </c>
      <c r="I107" s="66">
        <f t="shared" si="1"/>
        <v>10.19</v>
      </c>
      <c r="J107" s="66">
        <f t="shared" si="1"/>
        <v>1.76</v>
      </c>
      <c r="K107" s="66">
        <f t="shared" si="1"/>
        <v>358.35</v>
      </c>
      <c r="L107" s="66">
        <f t="shared" si="1"/>
        <v>38.47</v>
      </c>
      <c r="M107" s="66">
        <f t="shared" si="1"/>
        <v>74.180000000000007</v>
      </c>
      <c r="N107" s="66">
        <f t="shared" si="1"/>
        <v>823.8</v>
      </c>
      <c r="O107" s="66">
        <f t="shared" si="1"/>
        <v>0</v>
      </c>
      <c r="P107" s="66">
        <f t="shared" si="1"/>
        <v>1.29</v>
      </c>
      <c r="Q107" s="66">
        <f t="shared" si="1"/>
        <v>10.119999999999999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9.3713541666666682</v>
      </c>
      <c r="C108" s="67">
        <f t="shared" ref="C108:Q108" si="2">AVERAGE(C9:C104)</f>
        <v>50.840416666666663</v>
      </c>
      <c r="D108" s="67">
        <f t="shared" si="2"/>
        <v>33.996979166666662</v>
      </c>
      <c r="E108" s="67">
        <f t="shared" si="2"/>
        <v>1.4937500000000001</v>
      </c>
      <c r="F108" s="67">
        <f t="shared" si="2"/>
        <v>6.0194791666666667</v>
      </c>
      <c r="G108" s="67">
        <f t="shared" si="2"/>
        <v>60.779583333333299</v>
      </c>
      <c r="H108" s="67">
        <f t="shared" si="2"/>
        <v>25.775729166666665</v>
      </c>
      <c r="I108" s="67">
        <f t="shared" si="2"/>
        <v>5.5376041666666653</v>
      </c>
      <c r="J108" s="67">
        <f t="shared" si="2"/>
        <v>0.33031250000000001</v>
      </c>
      <c r="K108" s="67">
        <f t="shared" si="2"/>
        <v>241.66135416666671</v>
      </c>
      <c r="L108" s="67">
        <f t="shared" si="2"/>
        <v>30.396770833333335</v>
      </c>
      <c r="M108" s="67">
        <f t="shared" si="2"/>
        <v>41.500937499999985</v>
      </c>
      <c r="N108" s="67">
        <f t="shared" si="2"/>
        <v>234.70000000000005</v>
      </c>
      <c r="O108" s="67">
        <f t="shared" si="2"/>
        <v>0</v>
      </c>
      <c r="P108" s="67">
        <f t="shared" si="2"/>
        <v>0.69572916666666662</v>
      </c>
      <c r="Q108" s="67">
        <f t="shared" si="2"/>
        <v>9.6323958333333373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6.4612554784233804</v>
      </c>
      <c r="C109" s="67">
        <f t="shared" ref="C109:Q109" si="3">STDEV(C9:C104)</f>
        <v>5.6599867800974843</v>
      </c>
      <c r="D109" s="67">
        <f t="shared" si="3"/>
        <v>7.137266632894927</v>
      </c>
      <c r="E109" s="67">
        <f t="shared" si="3"/>
        <v>0.55072631468290167</v>
      </c>
      <c r="F109" s="67">
        <f t="shared" si="3"/>
        <v>3.5337361679707433</v>
      </c>
      <c r="G109" s="67">
        <f t="shared" si="3"/>
        <v>17.88012115328484</v>
      </c>
      <c r="H109" s="67">
        <f t="shared" si="3"/>
        <v>8.071642596123894</v>
      </c>
      <c r="I109" s="67">
        <f t="shared" si="3"/>
        <v>2.1777949953259355</v>
      </c>
      <c r="J109" s="67">
        <f t="shared" si="3"/>
        <v>0.32179252264709157</v>
      </c>
      <c r="K109" s="67">
        <f t="shared" si="3"/>
        <v>97.932122052602679</v>
      </c>
      <c r="L109" s="67">
        <f t="shared" si="3"/>
        <v>4.6981865470775412</v>
      </c>
      <c r="M109" s="67">
        <f t="shared" si="3"/>
        <v>15.311463890832391</v>
      </c>
      <c r="N109" s="67">
        <f t="shared" si="3"/>
        <v>294.39715673684208</v>
      </c>
      <c r="O109" s="67">
        <f t="shared" si="3"/>
        <v>0</v>
      </c>
      <c r="P109" s="67">
        <f t="shared" si="3"/>
        <v>0.24222105950281617</v>
      </c>
      <c r="Q109" s="67">
        <f t="shared" si="3"/>
        <v>0.23001484982572512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8" sqref="G12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632</v>
      </c>
      <c r="B9" s="64">
        <v>15.61</v>
      </c>
      <c r="C9" s="64">
        <v>56.81</v>
      </c>
      <c r="D9" s="64">
        <v>42.12</v>
      </c>
      <c r="E9" s="64">
        <v>1.28</v>
      </c>
      <c r="F9" s="64">
        <v>4.01</v>
      </c>
      <c r="G9" s="64">
        <v>82.71</v>
      </c>
      <c r="H9" s="64">
        <v>31.46</v>
      </c>
      <c r="I9" s="64">
        <v>8.52</v>
      </c>
      <c r="J9" s="64">
        <v>0.03</v>
      </c>
      <c r="K9" s="64">
        <v>117.54</v>
      </c>
      <c r="L9" s="64">
        <v>27.56</v>
      </c>
      <c r="M9" s="64">
        <v>35.81</v>
      </c>
      <c r="N9" s="64">
        <v>17.899999999999999</v>
      </c>
      <c r="O9" s="64">
        <v>0</v>
      </c>
      <c r="P9" s="64">
        <v>1.21</v>
      </c>
      <c r="Q9" s="64">
        <v>9.81</v>
      </c>
      <c r="R9" s="198"/>
      <c r="S9" s="198"/>
      <c r="T9" s="198"/>
      <c r="U9" s="198"/>
    </row>
    <row r="10" spans="1:21" s="12" customFormat="1" x14ac:dyDescent="0.25">
      <c r="A10" s="214" t="s">
        <v>633</v>
      </c>
      <c r="B10" s="64">
        <v>14.12</v>
      </c>
      <c r="C10" s="64">
        <v>58.12</v>
      </c>
      <c r="D10" s="64">
        <v>41.61</v>
      </c>
      <c r="E10" s="64">
        <v>1.24</v>
      </c>
      <c r="F10" s="64">
        <v>3.84</v>
      </c>
      <c r="G10" s="64">
        <v>81.44</v>
      </c>
      <c r="H10" s="64">
        <v>31.69</v>
      </c>
      <c r="I10" s="64">
        <v>8.85</v>
      </c>
      <c r="J10" s="64">
        <v>7.0000000000000007E-2</v>
      </c>
      <c r="K10" s="64">
        <v>72.87</v>
      </c>
      <c r="L10" s="64">
        <v>27.17</v>
      </c>
      <c r="M10" s="64">
        <v>37.71</v>
      </c>
      <c r="N10" s="64">
        <v>18.2</v>
      </c>
      <c r="O10" s="64">
        <v>0</v>
      </c>
      <c r="P10" s="64">
        <v>1.19</v>
      </c>
      <c r="Q10" s="64">
        <v>9.82</v>
      </c>
      <c r="R10" s="198"/>
      <c r="S10" s="198"/>
      <c r="T10" s="198"/>
      <c r="U10" s="198"/>
    </row>
    <row r="11" spans="1:21" s="12" customFormat="1" x14ac:dyDescent="0.25">
      <c r="A11" s="214" t="s">
        <v>634</v>
      </c>
      <c r="B11" s="64">
        <v>12.99</v>
      </c>
      <c r="C11" s="64">
        <v>58.66</v>
      </c>
      <c r="D11" s="64">
        <v>40.99</v>
      </c>
      <c r="E11" s="64">
        <v>1.27</v>
      </c>
      <c r="F11" s="64">
        <v>3.69</v>
      </c>
      <c r="G11" s="64">
        <v>81.44</v>
      </c>
      <c r="H11" s="64">
        <v>31.69</v>
      </c>
      <c r="I11" s="64">
        <v>9.23</v>
      </c>
      <c r="J11" s="64">
        <v>0.34</v>
      </c>
      <c r="K11" s="64">
        <v>184.71</v>
      </c>
      <c r="L11" s="64">
        <v>26.86</v>
      </c>
      <c r="M11" s="64">
        <v>37.799999999999997</v>
      </c>
      <c r="N11" s="64">
        <v>17.100000000000001</v>
      </c>
      <c r="O11" s="64">
        <v>0</v>
      </c>
      <c r="P11" s="64">
        <v>1.1599999999999999</v>
      </c>
      <c r="Q11" s="64">
        <v>9.66</v>
      </c>
      <c r="R11" s="198"/>
      <c r="S11" s="198"/>
      <c r="T11" s="198"/>
      <c r="U11" s="198"/>
    </row>
    <row r="12" spans="1:21" s="12" customFormat="1" x14ac:dyDescent="0.25">
      <c r="A12" s="214" t="s">
        <v>635</v>
      </c>
      <c r="B12" s="64">
        <v>12.01</v>
      </c>
      <c r="C12" s="64">
        <v>60.72</v>
      </c>
      <c r="D12" s="64">
        <v>41.28</v>
      </c>
      <c r="E12" s="64">
        <v>1.55</v>
      </c>
      <c r="F12" s="64">
        <v>3.43</v>
      </c>
      <c r="G12" s="64">
        <v>81.44</v>
      </c>
      <c r="H12" s="64">
        <v>31.69</v>
      </c>
      <c r="I12" s="64">
        <v>9.56</v>
      </c>
      <c r="J12" s="64">
        <v>0.5</v>
      </c>
      <c r="K12" s="64">
        <v>207.06</v>
      </c>
      <c r="L12" s="64">
        <v>26.87</v>
      </c>
      <c r="M12" s="64">
        <v>43.25</v>
      </c>
      <c r="N12" s="64">
        <v>17.3</v>
      </c>
      <c r="O12" s="64">
        <v>0</v>
      </c>
      <c r="P12" s="64">
        <v>1.1200000000000001</v>
      </c>
      <c r="Q12" s="64">
        <v>9.77</v>
      </c>
      <c r="R12" s="198"/>
      <c r="S12" s="198"/>
      <c r="T12" s="198"/>
      <c r="U12" s="198"/>
    </row>
    <row r="13" spans="1:21" s="12" customFormat="1" x14ac:dyDescent="0.25">
      <c r="A13" s="214" t="s">
        <v>636</v>
      </c>
      <c r="B13" s="64">
        <v>11.07</v>
      </c>
      <c r="C13" s="64">
        <v>60.54</v>
      </c>
      <c r="D13" s="64">
        <v>40.43</v>
      </c>
      <c r="E13" s="64">
        <v>1.46</v>
      </c>
      <c r="F13" s="64">
        <v>3.51</v>
      </c>
      <c r="G13" s="64">
        <v>77.55</v>
      </c>
      <c r="H13" s="64">
        <v>30.06</v>
      </c>
      <c r="I13" s="64">
        <v>9.35</v>
      </c>
      <c r="J13" s="64">
        <v>0.41</v>
      </c>
      <c r="K13" s="64">
        <v>179.26</v>
      </c>
      <c r="L13" s="64">
        <v>26.5</v>
      </c>
      <c r="M13" s="64">
        <v>45.52</v>
      </c>
      <c r="N13" s="64">
        <v>17.399999999999999</v>
      </c>
      <c r="O13" s="64">
        <v>0</v>
      </c>
      <c r="P13" s="64">
        <v>0.97</v>
      </c>
      <c r="Q13" s="64">
        <v>9.94</v>
      </c>
      <c r="R13" s="198"/>
      <c r="S13" s="198"/>
      <c r="T13" s="198"/>
      <c r="U13" s="198"/>
    </row>
    <row r="14" spans="1:21" s="12" customFormat="1" x14ac:dyDescent="0.25">
      <c r="A14" s="214" t="s">
        <v>637</v>
      </c>
      <c r="B14" s="64">
        <v>10.31</v>
      </c>
      <c r="C14" s="64">
        <v>57.21</v>
      </c>
      <c r="D14" s="64">
        <v>38.08</v>
      </c>
      <c r="E14" s="64">
        <v>1.07</v>
      </c>
      <c r="F14" s="64">
        <v>3.65</v>
      </c>
      <c r="G14" s="64">
        <v>76.44</v>
      </c>
      <c r="H14" s="64">
        <v>29.59</v>
      </c>
      <c r="I14" s="64">
        <v>9.1</v>
      </c>
      <c r="J14" s="64">
        <v>0.22</v>
      </c>
      <c r="K14" s="64">
        <v>223.08</v>
      </c>
      <c r="L14" s="64">
        <v>26.2</v>
      </c>
      <c r="M14" s="64">
        <v>45.65</v>
      </c>
      <c r="N14" s="64">
        <v>17.8</v>
      </c>
      <c r="O14" s="64">
        <v>0</v>
      </c>
      <c r="P14" s="64">
        <v>0.99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4" t="s">
        <v>638</v>
      </c>
      <c r="B15" s="64">
        <v>9.4700000000000006</v>
      </c>
      <c r="C15" s="64">
        <v>53.59</v>
      </c>
      <c r="D15" s="64">
        <v>35.51</v>
      </c>
      <c r="E15" s="64">
        <v>1</v>
      </c>
      <c r="F15" s="64">
        <v>4.2699999999999996</v>
      </c>
      <c r="G15" s="64">
        <v>76.44</v>
      </c>
      <c r="H15" s="64">
        <v>29.59</v>
      </c>
      <c r="I15" s="64">
        <v>8.93</v>
      </c>
      <c r="J15" s="64">
        <v>0.13</v>
      </c>
      <c r="K15" s="64">
        <v>231.21</v>
      </c>
      <c r="L15" s="64">
        <v>26.05</v>
      </c>
      <c r="M15" s="64">
        <v>45.9</v>
      </c>
      <c r="N15" s="64">
        <v>17.399999999999999</v>
      </c>
      <c r="O15" s="64">
        <v>0</v>
      </c>
      <c r="P15" s="64">
        <v>0.96</v>
      </c>
      <c r="Q15" s="64">
        <v>9.6999999999999993</v>
      </c>
      <c r="R15" s="198"/>
      <c r="S15" s="198"/>
      <c r="T15" s="198"/>
      <c r="U15" s="198"/>
    </row>
    <row r="16" spans="1:21" s="12" customFormat="1" x14ac:dyDescent="0.25">
      <c r="A16" s="214" t="s">
        <v>639</v>
      </c>
      <c r="B16" s="64">
        <v>8.7200000000000006</v>
      </c>
      <c r="C16" s="64">
        <v>50.74</v>
      </c>
      <c r="D16" s="64">
        <v>33.43</v>
      </c>
      <c r="E16" s="64">
        <v>1.45</v>
      </c>
      <c r="F16" s="64">
        <v>3.91</v>
      </c>
      <c r="G16" s="64">
        <v>76.44</v>
      </c>
      <c r="H16" s="64">
        <v>29.59</v>
      </c>
      <c r="I16" s="64">
        <v>8.73</v>
      </c>
      <c r="J16" s="64">
        <v>0.15</v>
      </c>
      <c r="K16" s="64">
        <v>306.18</v>
      </c>
      <c r="L16" s="64">
        <v>25.81</v>
      </c>
      <c r="M16" s="64">
        <v>46.26</v>
      </c>
      <c r="N16" s="64">
        <v>17.8</v>
      </c>
      <c r="O16" s="64">
        <v>0</v>
      </c>
      <c r="P16" s="64">
        <v>0.93</v>
      </c>
      <c r="Q16" s="64">
        <v>9.6199999999999992</v>
      </c>
      <c r="R16" s="198"/>
      <c r="S16" s="198"/>
      <c r="T16" s="198"/>
      <c r="U16" s="198"/>
    </row>
    <row r="17" spans="1:21" s="12" customFormat="1" x14ac:dyDescent="0.25">
      <c r="A17" s="214" t="s">
        <v>640</v>
      </c>
      <c r="B17" s="64">
        <v>8.27</v>
      </c>
      <c r="C17" s="64">
        <v>49.72</v>
      </c>
      <c r="D17" s="64">
        <v>32.53</v>
      </c>
      <c r="E17" s="64">
        <v>1.05</v>
      </c>
      <c r="F17" s="64">
        <v>3.96</v>
      </c>
      <c r="G17" s="64">
        <v>72.36</v>
      </c>
      <c r="H17" s="64">
        <v>26</v>
      </c>
      <c r="I17" s="64">
        <v>8.51</v>
      </c>
      <c r="J17" s="64">
        <v>0.14000000000000001</v>
      </c>
      <c r="K17" s="64">
        <v>26.31</v>
      </c>
      <c r="L17" s="64">
        <v>25.16</v>
      </c>
      <c r="M17" s="64">
        <v>48.56</v>
      </c>
      <c r="N17" s="64">
        <v>18.100000000000001</v>
      </c>
      <c r="O17" s="64">
        <v>0</v>
      </c>
      <c r="P17" s="64">
        <v>0.9</v>
      </c>
      <c r="Q17" s="64">
        <v>9.57</v>
      </c>
      <c r="R17" s="198"/>
      <c r="S17" s="198"/>
      <c r="T17" s="198"/>
      <c r="U17" s="198"/>
    </row>
    <row r="18" spans="1:21" s="12" customFormat="1" x14ac:dyDescent="0.25">
      <c r="A18" s="214" t="s">
        <v>641</v>
      </c>
      <c r="B18" s="64">
        <v>7.96</v>
      </c>
      <c r="C18" s="64">
        <v>49.45</v>
      </c>
      <c r="D18" s="64">
        <v>32.14</v>
      </c>
      <c r="E18" s="64">
        <v>1.1100000000000001</v>
      </c>
      <c r="F18" s="64">
        <v>3.82</v>
      </c>
      <c r="G18" s="64">
        <v>71.19</v>
      </c>
      <c r="H18" s="64">
        <v>24.97</v>
      </c>
      <c r="I18" s="64">
        <v>8.2899999999999991</v>
      </c>
      <c r="J18" s="64">
        <v>0.06</v>
      </c>
      <c r="K18" s="64">
        <v>232.94</v>
      </c>
      <c r="L18" s="64">
        <v>24.94</v>
      </c>
      <c r="M18" s="64">
        <v>46.3</v>
      </c>
      <c r="N18" s="64">
        <v>17.8</v>
      </c>
      <c r="O18" s="64">
        <v>0</v>
      </c>
      <c r="P18" s="64">
        <v>0.87</v>
      </c>
      <c r="Q18" s="64">
        <v>9.85</v>
      </c>
      <c r="R18" s="198"/>
      <c r="S18" s="198"/>
      <c r="T18" s="198"/>
      <c r="U18" s="198"/>
    </row>
    <row r="19" spans="1:21" s="12" customFormat="1" x14ac:dyDescent="0.25">
      <c r="A19" s="214" t="s">
        <v>642</v>
      </c>
      <c r="B19" s="64">
        <v>7.66</v>
      </c>
      <c r="C19" s="64">
        <v>49.49</v>
      </c>
      <c r="D19" s="64">
        <v>31.92</v>
      </c>
      <c r="E19" s="64">
        <v>1.31</v>
      </c>
      <c r="F19" s="64">
        <v>3.65</v>
      </c>
      <c r="G19" s="64">
        <v>71.19</v>
      </c>
      <c r="H19" s="64">
        <v>24.97</v>
      </c>
      <c r="I19" s="64">
        <v>8.16</v>
      </c>
      <c r="J19" s="64">
        <v>7.0000000000000007E-2</v>
      </c>
      <c r="K19" s="64">
        <v>45.52</v>
      </c>
      <c r="L19" s="64">
        <v>24.8</v>
      </c>
      <c r="M19" s="64">
        <v>47.59</v>
      </c>
      <c r="N19" s="64">
        <v>17.7</v>
      </c>
      <c r="O19" s="64">
        <v>0</v>
      </c>
      <c r="P19" s="64">
        <v>0.85</v>
      </c>
      <c r="Q19" s="64">
        <v>9.6999999999999993</v>
      </c>
      <c r="R19" s="198"/>
      <c r="S19" s="198"/>
      <c r="T19" s="198"/>
      <c r="U19" s="198"/>
    </row>
    <row r="20" spans="1:21" s="12" customFormat="1" x14ac:dyDescent="0.25">
      <c r="A20" s="214" t="s">
        <v>643</v>
      </c>
      <c r="B20" s="64">
        <v>7.47</v>
      </c>
      <c r="C20" s="64">
        <v>45.44</v>
      </c>
      <c r="D20" s="64">
        <v>29.65</v>
      </c>
      <c r="E20" s="64">
        <v>1.27</v>
      </c>
      <c r="F20" s="64">
        <v>3.21</v>
      </c>
      <c r="G20" s="64">
        <v>71.19</v>
      </c>
      <c r="H20" s="64">
        <v>24.97</v>
      </c>
      <c r="I20" s="64">
        <v>8.02</v>
      </c>
      <c r="J20" s="64">
        <v>0.1</v>
      </c>
      <c r="K20" s="64">
        <v>301.68</v>
      </c>
      <c r="L20" s="64">
        <v>24.36</v>
      </c>
      <c r="M20" s="64">
        <v>52.52</v>
      </c>
      <c r="N20" s="64">
        <v>18.100000000000001</v>
      </c>
      <c r="O20" s="64">
        <v>0</v>
      </c>
      <c r="P20" s="64">
        <v>0.83</v>
      </c>
      <c r="Q20" s="64">
        <v>9.6199999999999992</v>
      </c>
      <c r="R20" s="198"/>
      <c r="S20" s="198"/>
      <c r="T20" s="198"/>
      <c r="U20" s="198"/>
    </row>
    <row r="21" spans="1:21" s="12" customFormat="1" x14ac:dyDescent="0.25">
      <c r="A21" s="214" t="s">
        <v>644</v>
      </c>
      <c r="B21" s="64">
        <v>7.59</v>
      </c>
      <c r="C21" s="64">
        <v>45.29</v>
      </c>
      <c r="D21" s="64">
        <v>29.67</v>
      </c>
      <c r="E21" s="64">
        <v>0.96</v>
      </c>
      <c r="F21" s="64">
        <v>3.21</v>
      </c>
      <c r="G21" s="64">
        <v>69.13</v>
      </c>
      <c r="H21" s="64">
        <v>25.14</v>
      </c>
      <c r="I21" s="64">
        <v>7.72</v>
      </c>
      <c r="J21" s="64">
        <v>0.13</v>
      </c>
      <c r="K21" s="64">
        <v>258</v>
      </c>
      <c r="L21" s="64">
        <v>24.26</v>
      </c>
      <c r="M21" s="64">
        <v>51.21</v>
      </c>
      <c r="N21" s="64">
        <v>17.600000000000001</v>
      </c>
      <c r="O21" s="64">
        <v>0</v>
      </c>
      <c r="P21" s="64">
        <v>0.81</v>
      </c>
      <c r="Q21" s="64">
        <v>9.36</v>
      </c>
      <c r="R21" s="198"/>
      <c r="S21" s="198"/>
      <c r="T21" s="198"/>
      <c r="U21" s="198"/>
    </row>
    <row r="22" spans="1:21" s="12" customFormat="1" x14ac:dyDescent="0.25">
      <c r="A22" s="214" t="s">
        <v>645</v>
      </c>
      <c r="B22" s="64">
        <v>7.78</v>
      </c>
      <c r="C22" s="64">
        <v>46.32</v>
      </c>
      <c r="D22" s="64">
        <v>30.36</v>
      </c>
      <c r="E22" s="64">
        <v>1.03</v>
      </c>
      <c r="F22" s="64">
        <v>3.58</v>
      </c>
      <c r="G22" s="64">
        <v>68.540000000000006</v>
      </c>
      <c r="H22" s="64">
        <v>25.19</v>
      </c>
      <c r="I22" s="64">
        <v>7.15</v>
      </c>
      <c r="J22" s="64">
        <v>0.14000000000000001</v>
      </c>
      <c r="K22" s="64">
        <v>306.54000000000002</v>
      </c>
      <c r="L22" s="64">
        <v>24</v>
      </c>
      <c r="M22" s="64">
        <v>53.67</v>
      </c>
      <c r="N22" s="64">
        <v>17.899999999999999</v>
      </c>
      <c r="O22" s="64">
        <v>0</v>
      </c>
      <c r="P22" s="64">
        <v>0.8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14" t="s">
        <v>646</v>
      </c>
      <c r="B23" s="64">
        <v>8.08</v>
      </c>
      <c r="C23" s="64">
        <v>45.9</v>
      </c>
      <c r="D23" s="64">
        <v>30.38</v>
      </c>
      <c r="E23" s="64">
        <v>1.07</v>
      </c>
      <c r="F23" s="64">
        <v>3.5</v>
      </c>
      <c r="G23" s="64">
        <v>68.540000000000006</v>
      </c>
      <c r="H23" s="64">
        <v>25.19</v>
      </c>
      <c r="I23" s="64">
        <v>7.18</v>
      </c>
      <c r="J23" s="64">
        <v>0.08</v>
      </c>
      <c r="K23" s="64">
        <v>265.44</v>
      </c>
      <c r="L23" s="64">
        <v>23.81</v>
      </c>
      <c r="M23" s="64">
        <v>52.6</v>
      </c>
      <c r="N23" s="64">
        <v>17.8</v>
      </c>
      <c r="O23" s="64">
        <v>0</v>
      </c>
      <c r="P23" s="64">
        <v>0.79</v>
      </c>
      <c r="Q23" s="64">
        <v>9.75</v>
      </c>
      <c r="R23" s="198"/>
      <c r="S23" s="198"/>
      <c r="T23" s="198"/>
      <c r="U23" s="198"/>
    </row>
    <row r="24" spans="1:21" s="12" customFormat="1" x14ac:dyDescent="0.25">
      <c r="A24" s="214" t="s">
        <v>647</v>
      </c>
      <c r="B24" s="64">
        <v>8.51</v>
      </c>
      <c r="C24" s="64">
        <v>45.74</v>
      </c>
      <c r="D24" s="64">
        <v>30.64</v>
      </c>
      <c r="E24" s="64">
        <v>1.52</v>
      </c>
      <c r="F24" s="64">
        <v>3.74</v>
      </c>
      <c r="G24" s="64">
        <v>68.540000000000006</v>
      </c>
      <c r="H24" s="64">
        <v>25.19</v>
      </c>
      <c r="I24" s="64">
        <v>7.19</v>
      </c>
      <c r="J24" s="64">
        <v>0.17</v>
      </c>
      <c r="K24" s="64">
        <v>311.88</v>
      </c>
      <c r="L24" s="64">
        <v>23.55</v>
      </c>
      <c r="M24" s="64">
        <v>55.6</v>
      </c>
      <c r="N24" s="64">
        <v>17.7</v>
      </c>
      <c r="O24" s="64">
        <v>0</v>
      </c>
      <c r="P24" s="64">
        <v>0.78</v>
      </c>
      <c r="Q24" s="64">
        <v>9.51</v>
      </c>
      <c r="R24" s="198"/>
      <c r="S24" s="198"/>
      <c r="T24" s="198"/>
      <c r="U24" s="198"/>
    </row>
    <row r="25" spans="1:21" s="12" customFormat="1" x14ac:dyDescent="0.25">
      <c r="A25" s="214" t="s">
        <v>648</v>
      </c>
      <c r="B25" s="64">
        <v>9.24</v>
      </c>
      <c r="C25" s="64">
        <v>46.55</v>
      </c>
      <c r="D25" s="64">
        <v>31.65</v>
      </c>
      <c r="E25" s="64">
        <v>1.96</v>
      </c>
      <c r="F25" s="64">
        <v>3.65</v>
      </c>
      <c r="G25" s="64">
        <v>69.77</v>
      </c>
      <c r="H25" s="64">
        <v>24.4</v>
      </c>
      <c r="I25" s="64">
        <v>7.55</v>
      </c>
      <c r="J25" s="64">
        <v>0.16</v>
      </c>
      <c r="K25" s="64">
        <v>239.97</v>
      </c>
      <c r="L25" s="64">
        <v>23.6</v>
      </c>
      <c r="M25" s="64">
        <v>54.52</v>
      </c>
      <c r="N25" s="64">
        <v>17.3</v>
      </c>
      <c r="O25" s="64">
        <v>0</v>
      </c>
      <c r="P25" s="64">
        <v>0.77</v>
      </c>
      <c r="Q25" s="64">
        <v>9.7100000000000009</v>
      </c>
      <c r="R25" s="198"/>
      <c r="S25" s="198"/>
      <c r="T25" s="198"/>
      <c r="U25" s="198"/>
    </row>
    <row r="26" spans="1:21" s="12" customFormat="1" x14ac:dyDescent="0.25">
      <c r="A26" s="214" t="s">
        <v>649</v>
      </c>
      <c r="B26" s="64">
        <v>10.25</v>
      </c>
      <c r="C26" s="64">
        <v>46.19</v>
      </c>
      <c r="D26" s="64">
        <v>32.270000000000003</v>
      </c>
      <c r="E26" s="64">
        <v>2.35</v>
      </c>
      <c r="F26" s="64">
        <v>3.61</v>
      </c>
      <c r="G26" s="64">
        <v>70.13</v>
      </c>
      <c r="H26" s="64">
        <v>24.18</v>
      </c>
      <c r="I26" s="64">
        <v>8.2899999999999991</v>
      </c>
      <c r="J26" s="64">
        <v>0.15</v>
      </c>
      <c r="K26" s="64">
        <v>339.56</v>
      </c>
      <c r="L26" s="64">
        <v>23.5</v>
      </c>
      <c r="M26" s="64">
        <v>57.4</v>
      </c>
      <c r="N26" s="64">
        <v>17.899999999999999</v>
      </c>
      <c r="O26" s="64">
        <v>0</v>
      </c>
      <c r="P26" s="64">
        <v>0.78</v>
      </c>
      <c r="Q26" s="64">
        <v>9.64</v>
      </c>
      <c r="R26" s="198"/>
      <c r="S26" s="198"/>
      <c r="T26" s="198"/>
      <c r="U26" s="198"/>
    </row>
    <row r="27" spans="1:21" s="12" customFormat="1" x14ac:dyDescent="0.25">
      <c r="A27" s="214" t="s">
        <v>650</v>
      </c>
      <c r="B27" s="64">
        <v>11.88</v>
      </c>
      <c r="C27" s="64">
        <v>46.71</v>
      </c>
      <c r="D27" s="64">
        <v>33.85</v>
      </c>
      <c r="E27" s="64">
        <v>2.08</v>
      </c>
      <c r="F27" s="64">
        <v>3.26</v>
      </c>
      <c r="G27" s="64">
        <v>70.13</v>
      </c>
      <c r="H27" s="64">
        <v>24.18</v>
      </c>
      <c r="I27" s="64">
        <v>7.99</v>
      </c>
      <c r="J27" s="64">
        <v>0.21</v>
      </c>
      <c r="K27" s="64">
        <v>337.14</v>
      </c>
      <c r="L27" s="64">
        <v>23.89</v>
      </c>
      <c r="M27" s="64">
        <v>52.19</v>
      </c>
      <c r="N27" s="64">
        <v>17.399999999999999</v>
      </c>
      <c r="O27" s="64">
        <v>0</v>
      </c>
      <c r="P27" s="64">
        <v>0.77</v>
      </c>
      <c r="Q27" s="64">
        <v>9.75</v>
      </c>
      <c r="R27" s="198"/>
      <c r="S27" s="198"/>
      <c r="T27" s="198"/>
      <c r="U27" s="198"/>
    </row>
    <row r="28" spans="1:21" s="12" customFormat="1" x14ac:dyDescent="0.25">
      <c r="A28" s="214" t="s">
        <v>651</v>
      </c>
      <c r="B28" s="64">
        <v>13.67</v>
      </c>
      <c r="C28" s="64">
        <v>50.77</v>
      </c>
      <c r="D28" s="64">
        <v>37.409999999999997</v>
      </c>
      <c r="E28" s="64">
        <v>2.11</v>
      </c>
      <c r="F28" s="64">
        <v>3.2</v>
      </c>
      <c r="G28" s="64">
        <v>70.13</v>
      </c>
      <c r="H28" s="64">
        <v>24.18</v>
      </c>
      <c r="I28" s="64">
        <v>8.32</v>
      </c>
      <c r="J28" s="64">
        <v>0.19</v>
      </c>
      <c r="K28" s="64">
        <v>309.18</v>
      </c>
      <c r="L28" s="64">
        <v>23.53</v>
      </c>
      <c r="M28" s="64">
        <v>49.99</v>
      </c>
      <c r="N28" s="64">
        <v>17.5</v>
      </c>
      <c r="O28" s="64">
        <v>0</v>
      </c>
      <c r="P28" s="64">
        <v>0.77</v>
      </c>
      <c r="Q28" s="64">
        <v>9.2899999999999991</v>
      </c>
      <c r="R28" s="198"/>
      <c r="S28" s="198"/>
      <c r="T28" s="198"/>
      <c r="U28" s="198"/>
    </row>
    <row r="29" spans="1:21" s="12" customFormat="1" x14ac:dyDescent="0.25">
      <c r="A29" s="214" t="s">
        <v>652</v>
      </c>
      <c r="B29" s="64">
        <v>14.52</v>
      </c>
      <c r="C29" s="64">
        <v>54.08</v>
      </c>
      <c r="D29" s="64">
        <v>39.82</v>
      </c>
      <c r="E29" s="64">
        <v>2.38</v>
      </c>
      <c r="F29" s="64">
        <v>3.28</v>
      </c>
      <c r="G29" s="64">
        <v>73.42</v>
      </c>
      <c r="H29" s="64">
        <v>23.19</v>
      </c>
      <c r="I29" s="64">
        <v>8.9</v>
      </c>
      <c r="J29" s="64">
        <v>0.17</v>
      </c>
      <c r="K29" s="64">
        <v>261.73</v>
      </c>
      <c r="L29" s="64">
        <v>23.43</v>
      </c>
      <c r="M29" s="64">
        <v>51.2</v>
      </c>
      <c r="N29" s="64">
        <v>17.600000000000001</v>
      </c>
      <c r="O29" s="64">
        <v>0</v>
      </c>
      <c r="P29" s="64">
        <v>0.77</v>
      </c>
      <c r="Q29" s="64">
        <v>9.56</v>
      </c>
      <c r="R29" s="198"/>
      <c r="S29" s="198"/>
      <c r="T29" s="198"/>
      <c r="U29" s="198"/>
    </row>
    <row r="30" spans="1:21" s="12" customFormat="1" x14ac:dyDescent="0.25">
      <c r="A30" s="214" t="s">
        <v>653</v>
      </c>
      <c r="B30" s="64">
        <v>14.96</v>
      </c>
      <c r="C30" s="64">
        <v>55.25</v>
      </c>
      <c r="D30" s="64">
        <v>40.78</v>
      </c>
      <c r="E30" s="64">
        <v>2.2400000000000002</v>
      </c>
      <c r="F30" s="64">
        <v>3.29</v>
      </c>
      <c r="G30" s="64">
        <v>74.36</v>
      </c>
      <c r="H30" s="64">
        <v>22.91</v>
      </c>
      <c r="I30" s="64">
        <v>9.09</v>
      </c>
      <c r="J30" s="64">
        <v>0.2</v>
      </c>
      <c r="K30" s="64">
        <v>281.25</v>
      </c>
      <c r="L30" s="64">
        <v>23.46</v>
      </c>
      <c r="M30" s="64">
        <v>49.07</v>
      </c>
      <c r="N30" s="64">
        <v>17.5</v>
      </c>
      <c r="O30" s="64">
        <v>0</v>
      </c>
      <c r="P30" s="64">
        <v>0.76</v>
      </c>
      <c r="Q30" s="64">
        <v>9.27</v>
      </c>
      <c r="R30" s="198"/>
      <c r="S30" s="198"/>
      <c r="T30" s="198"/>
      <c r="U30" s="198"/>
    </row>
    <row r="31" spans="1:21" s="12" customFormat="1" x14ac:dyDescent="0.25">
      <c r="A31" s="214" t="s">
        <v>654</v>
      </c>
      <c r="B31" s="64">
        <v>15.14</v>
      </c>
      <c r="C31" s="64">
        <v>55.73</v>
      </c>
      <c r="D31" s="64">
        <v>41.18</v>
      </c>
      <c r="E31" s="64">
        <v>2.31</v>
      </c>
      <c r="F31" s="64">
        <v>3.43</v>
      </c>
      <c r="G31" s="64">
        <v>74.36</v>
      </c>
      <c r="H31" s="64">
        <v>22.91</v>
      </c>
      <c r="I31" s="64">
        <v>8.9</v>
      </c>
      <c r="J31" s="64">
        <v>0.19</v>
      </c>
      <c r="K31" s="64">
        <v>221.04</v>
      </c>
      <c r="L31" s="64">
        <v>23.5</v>
      </c>
      <c r="M31" s="64">
        <v>49.21</v>
      </c>
      <c r="N31" s="64">
        <v>18.899999999999999</v>
      </c>
      <c r="O31" s="64">
        <v>0</v>
      </c>
      <c r="P31" s="64">
        <v>0.75</v>
      </c>
      <c r="Q31" s="64">
        <v>9.9600000000000009</v>
      </c>
      <c r="R31" s="198"/>
      <c r="S31" s="198"/>
      <c r="T31" s="198"/>
      <c r="U31" s="198"/>
    </row>
    <row r="32" spans="1:21" s="12" customFormat="1" x14ac:dyDescent="0.25">
      <c r="A32" s="214" t="s">
        <v>655</v>
      </c>
      <c r="B32" s="64">
        <v>15.27</v>
      </c>
      <c r="C32" s="64">
        <v>55.91</v>
      </c>
      <c r="D32" s="64">
        <v>41.38</v>
      </c>
      <c r="E32" s="64">
        <v>2.35</v>
      </c>
      <c r="F32" s="64">
        <v>3.78</v>
      </c>
      <c r="G32" s="64">
        <v>74.36</v>
      </c>
      <c r="H32" s="64">
        <v>22.91</v>
      </c>
      <c r="I32" s="64">
        <v>8.65</v>
      </c>
      <c r="J32" s="64">
        <v>0.15</v>
      </c>
      <c r="K32" s="64">
        <v>346.42</v>
      </c>
      <c r="L32" s="64">
        <v>24.26</v>
      </c>
      <c r="M32" s="64">
        <v>47.23</v>
      </c>
      <c r="N32" s="64">
        <v>26.3</v>
      </c>
      <c r="O32" s="64">
        <v>0</v>
      </c>
      <c r="P32" s="64">
        <v>0.75</v>
      </c>
      <c r="Q32" s="64">
        <v>9.83</v>
      </c>
      <c r="R32" s="198"/>
      <c r="S32" s="198"/>
      <c r="T32" s="198"/>
      <c r="U32" s="198"/>
    </row>
    <row r="33" spans="1:21" s="12" customFormat="1" x14ac:dyDescent="0.25">
      <c r="A33" s="214" t="s">
        <v>656</v>
      </c>
      <c r="B33" s="64">
        <v>12.4</v>
      </c>
      <c r="C33" s="64">
        <v>49.81</v>
      </c>
      <c r="D33" s="64">
        <v>35.89</v>
      </c>
      <c r="E33" s="64">
        <v>2.15</v>
      </c>
      <c r="F33" s="64">
        <v>3.58</v>
      </c>
      <c r="G33" s="64">
        <v>75.73</v>
      </c>
      <c r="H33" s="64">
        <v>23.44</v>
      </c>
      <c r="I33" s="64">
        <v>8.56</v>
      </c>
      <c r="J33" s="64">
        <v>7.0000000000000007E-2</v>
      </c>
      <c r="K33" s="64">
        <v>273.52999999999997</v>
      </c>
      <c r="L33" s="64">
        <v>23.86</v>
      </c>
      <c r="M33" s="64">
        <v>48.79</v>
      </c>
      <c r="N33" s="64">
        <v>43.7</v>
      </c>
      <c r="O33" s="64">
        <v>0</v>
      </c>
      <c r="P33" s="64">
        <v>0.74</v>
      </c>
      <c r="Q33" s="64">
        <v>9.8000000000000007</v>
      </c>
      <c r="R33" s="198"/>
      <c r="S33" s="198"/>
      <c r="T33" s="198"/>
      <c r="U33" s="198"/>
    </row>
    <row r="34" spans="1:21" s="12" customFormat="1" x14ac:dyDescent="0.25">
      <c r="A34" s="214" t="s">
        <v>657</v>
      </c>
      <c r="B34" s="64">
        <v>16.71</v>
      </c>
      <c r="C34" s="64">
        <v>61.11</v>
      </c>
      <c r="D34" s="64">
        <v>45.25</v>
      </c>
      <c r="E34" s="64">
        <v>2.27</v>
      </c>
      <c r="F34" s="64">
        <v>3.51</v>
      </c>
      <c r="G34" s="64">
        <v>76.12</v>
      </c>
      <c r="H34" s="64">
        <v>23.6</v>
      </c>
      <c r="I34" s="64">
        <v>8.4700000000000006</v>
      </c>
      <c r="J34" s="64">
        <v>0.1</v>
      </c>
      <c r="K34" s="64">
        <v>305.95999999999998</v>
      </c>
      <c r="L34" s="64">
        <v>24.25</v>
      </c>
      <c r="M34" s="64">
        <v>51.2</v>
      </c>
      <c r="N34" s="64">
        <v>72.099999999999994</v>
      </c>
      <c r="O34" s="64">
        <v>0</v>
      </c>
      <c r="P34" s="64">
        <v>0.75</v>
      </c>
      <c r="Q34" s="64">
        <v>9.7799999999999994</v>
      </c>
      <c r="R34" s="198"/>
      <c r="S34" s="198"/>
      <c r="T34" s="198"/>
      <c r="U34" s="198"/>
    </row>
    <row r="35" spans="1:21" s="12" customFormat="1" x14ac:dyDescent="0.25">
      <c r="A35" s="214" t="s">
        <v>658</v>
      </c>
      <c r="B35" s="64">
        <v>18.829999999999998</v>
      </c>
      <c r="C35" s="64">
        <v>60.33</v>
      </c>
      <c r="D35" s="64">
        <v>46.54</v>
      </c>
      <c r="E35" s="64">
        <v>2.4300000000000002</v>
      </c>
      <c r="F35" s="64">
        <v>3.47</v>
      </c>
      <c r="G35" s="64">
        <v>76.12</v>
      </c>
      <c r="H35" s="64">
        <v>23.6</v>
      </c>
      <c r="I35" s="64">
        <v>8.3000000000000007</v>
      </c>
      <c r="J35" s="64">
        <v>7.0000000000000007E-2</v>
      </c>
      <c r="K35" s="64">
        <v>275.43</v>
      </c>
      <c r="L35" s="64">
        <v>25.58</v>
      </c>
      <c r="M35" s="64">
        <v>47.52</v>
      </c>
      <c r="N35" s="64">
        <v>111.2</v>
      </c>
      <c r="O35" s="64">
        <v>0</v>
      </c>
      <c r="P35" s="64">
        <v>0.76</v>
      </c>
      <c r="Q35" s="64">
        <v>9.9499999999999993</v>
      </c>
      <c r="R35" s="198"/>
      <c r="S35" s="198"/>
      <c r="T35" s="198"/>
      <c r="U35" s="198"/>
    </row>
    <row r="36" spans="1:21" s="12" customFormat="1" x14ac:dyDescent="0.25">
      <c r="A36" s="214" t="s">
        <v>659</v>
      </c>
      <c r="B36" s="64">
        <v>19.39</v>
      </c>
      <c r="C36" s="64">
        <v>61.42</v>
      </c>
      <c r="D36" s="64">
        <v>47.56</v>
      </c>
      <c r="E36" s="64">
        <v>2.5499999999999998</v>
      </c>
      <c r="F36" s="64">
        <v>3.66</v>
      </c>
      <c r="G36" s="64">
        <v>76.12</v>
      </c>
      <c r="H36" s="64">
        <v>23.6</v>
      </c>
      <c r="I36" s="64">
        <v>8.27</v>
      </c>
      <c r="J36" s="64">
        <v>0.35</v>
      </c>
      <c r="K36" s="64">
        <v>150.84</v>
      </c>
      <c r="L36" s="64">
        <v>26.84</v>
      </c>
      <c r="M36" s="64">
        <v>43.66</v>
      </c>
      <c r="N36" s="64">
        <v>161.9</v>
      </c>
      <c r="O36" s="64">
        <v>0</v>
      </c>
      <c r="P36" s="64">
        <v>0.77</v>
      </c>
      <c r="Q36" s="64">
        <v>9.86</v>
      </c>
      <c r="R36" s="198"/>
      <c r="S36" s="198"/>
      <c r="T36" s="198"/>
      <c r="U36" s="198"/>
    </row>
    <row r="37" spans="1:21" s="12" customFormat="1" x14ac:dyDescent="0.25">
      <c r="A37" s="214" t="s">
        <v>660</v>
      </c>
      <c r="B37" s="64">
        <v>19.03</v>
      </c>
      <c r="C37" s="64">
        <v>61.93</v>
      </c>
      <c r="D37" s="64">
        <v>47.54</v>
      </c>
      <c r="E37" s="64">
        <v>2.1800000000000002</v>
      </c>
      <c r="F37" s="64">
        <v>3.83</v>
      </c>
      <c r="G37" s="64">
        <v>78.900000000000006</v>
      </c>
      <c r="H37" s="64">
        <v>28.71</v>
      </c>
      <c r="I37" s="64">
        <v>8.24</v>
      </c>
      <c r="J37" s="64">
        <v>0.21</v>
      </c>
      <c r="K37" s="64">
        <v>303.91000000000003</v>
      </c>
      <c r="L37" s="64">
        <v>28.3</v>
      </c>
      <c r="M37" s="64">
        <v>41.42</v>
      </c>
      <c r="N37" s="64">
        <v>212.3</v>
      </c>
      <c r="O37" s="64">
        <v>0</v>
      </c>
      <c r="P37" s="64">
        <v>0.74</v>
      </c>
      <c r="Q37" s="64">
        <v>9.91</v>
      </c>
      <c r="R37" s="198"/>
      <c r="S37" s="198"/>
      <c r="T37" s="198"/>
      <c r="U37" s="198"/>
    </row>
    <row r="38" spans="1:21" s="12" customFormat="1" x14ac:dyDescent="0.25">
      <c r="A38" s="214" t="s">
        <v>661</v>
      </c>
      <c r="B38" s="64">
        <v>18.690000000000001</v>
      </c>
      <c r="C38" s="64">
        <v>60.82</v>
      </c>
      <c r="D38" s="64">
        <v>46.69</v>
      </c>
      <c r="E38" s="64">
        <v>2.27</v>
      </c>
      <c r="F38" s="64">
        <v>3.69</v>
      </c>
      <c r="G38" s="64">
        <v>79.7</v>
      </c>
      <c r="H38" s="64">
        <v>30.17</v>
      </c>
      <c r="I38" s="64">
        <v>8.24</v>
      </c>
      <c r="J38" s="64">
        <v>0.37</v>
      </c>
      <c r="K38" s="64">
        <v>309.23</v>
      </c>
      <c r="L38" s="64">
        <v>30.48</v>
      </c>
      <c r="M38" s="64">
        <v>38.1</v>
      </c>
      <c r="N38" s="64">
        <v>263.2</v>
      </c>
      <c r="O38" s="64">
        <v>0</v>
      </c>
      <c r="P38" s="64">
        <v>0.78</v>
      </c>
      <c r="Q38" s="64">
        <v>9.58</v>
      </c>
      <c r="R38" s="198"/>
      <c r="S38" s="198"/>
      <c r="T38" s="198"/>
      <c r="U38" s="198"/>
    </row>
    <row r="39" spans="1:21" s="12" customFormat="1" x14ac:dyDescent="0.25">
      <c r="A39" s="214" t="s">
        <v>662</v>
      </c>
      <c r="B39" s="64">
        <v>18.170000000000002</v>
      </c>
      <c r="C39" s="64">
        <v>56.98</v>
      </c>
      <c r="D39" s="64">
        <v>44.26</v>
      </c>
      <c r="E39" s="64">
        <v>2.04</v>
      </c>
      <c r="F39" s="64">
        <v>3.66</v>
      </c>
      <c r="G39" s="64">
        <v>79.7</v>
      </c>
      <c r="H39" s="64">
        <v>30.17</v>
      </c>
      <c r="I39" s="64">
        <v>8.18</v>
      </c>
      <c r="J39" s="64">
        <v>0.4</v>
      </c>
      <c r="K39" s="64">
        <v>312.45999999999998</v>
      </c>
      <c r="L39" s="64">
        <v>31.92</v>
      </c>
      <c r="M39" s="64">
        <v>35.53</v>
      </c>
      <c r="N39" s="64">
        <v>309.89999999999998</v>
      </c>
      <c r="O39" s="64">
        <v>0</v>
      </c>
      <c r="P39" s="64">
        <v>0.78</v>
      </c>
      <c r="Q39" s="64">
        <v>9.9600000000000009</v>
      </c>
      <c r="R39" s="198"/>
      <c r="S39" s="198"/>
      <c r="T39" s="198"/>
      <c r="U39" s="198"/>
    </row>
    <row r="40" spans="1:21" s="12" customFormat="1" x14ac:dyDescent="0.25">
      <c r="A40" s="214" t="s">
        <v>663</v>
      </c>
      <c r="B40" s="64">
        <v>17.45</v>
      </c>
      <c r="C40" s="64">
        <v>56.72</v>
      </c>
      <c r="D40" s="64">
        <v>43.55</v>
      </c>
      <c r="E40" s="64">
        <v>0.9</v>
      </c>
      <c r="F40" s="64">
        <v>3.69</v>
      </c>
      <c r="G40" s="64">
        <v>79.7</v>
      </c>
      <c r="H40" s="64">
        <v>30.17</v>
      </c>
      <c r="I40" s="64">
        <v>8.17</v>
      </c>
      <c r="J40" s="64">
        <v>0.33</v>
      </c>
      <c r="K40" s="64">
        <v>325.99</v>
      </c>
      <c r="L40" s="64">
        <v>31.99</v>
      </c>
      <c r="M40" s="64">
        <v>35.42</v>
      </c>
      <c r="N40" s="64">
        <v>363.6</v>
      </c>
      <c r="O40" s="64">
        <v>0</v>
      </c>
      <c r="P40" s="64">
        <v>0.78</v>
      </c>
      <c r="Q40" s="64">
        <v>9.85</v>
      </c>
      <c r="R40" s="198"/>
      <c r="S40" s="198"/>
      <c r="T40" s="198"/>
      <c r="U40" s="198"/>
    </row>
    <row r="41" spans="1:21" s="12" customFormat="1" x14ac:dyDescent="0.25">
      <c r="A41" s="214" t="s">
        <v>664</v>
      </c>
      <c r="B41" s="64">
        <v>16.12</v>
      </c>
      <c r="C41" s="64">
        <v>57.45</v>
      </c>
      <c r="D41" s="64">
        <v>42.86</v>
      </c>
      <c r="E41" s="64">
        <v>1.24</v>
      </c>
      <c r="F41" s="64">
        <v>3.29</v>
      </c>
      <c r="G41" s="64">
        <v>81.459999999999994</v>
      </c>
      <c r="H41" s="64">
        <v>30.79</v>
      </c>
      <c r="I41" s="64">
        <v>8.2100000000000009</v>
      </c>
      <c r="J41" s="64">
        <v>0.25</v>
      </c>
      <c r="K41" s="64">
        <v>335.09</v>
      </c>
      <c r="L41" s="64">
        <v>32.68</v>
      </c>
      <c r="M41" s="64">
        <v>35.200000000000003</v>
      </c>
      <c r="N41" s="64">
        <v>419.5</v>
      </c>
      <c r="O41" s="64">
        <v>0</v>
      </c>
      <c r="P41" s="64">
        <v>0.79</v>
      </c>
      <c r="Q41" s="64">
        <v>9.51</v>
      </c>
      <c r="R41" s="198"/>
      <c r="S41" s="198"/>
      <c r="T41" s="198"/>
      <c r="U41" s="198"/>
    </row>
    <row r="42" spans="1:21" s="12" customFormat="1" x14ac:dyDescent="0.25">
      <c r="A42" s="214" t="s">
        <v>665</v>
      </c>
      <c r="B42" s="64">
        <v>14.78</v>
      </c>
      <c r="C42" s="64">
        <v>59.24</v>
      </c>
      <c r="D42" s="64">
        <v>42.73</v>
      </c>
      <c r="E42" s="64">
        <v>1.27</v>
      </c>
      <c r="F42" s="64">
        <v>3.61</v>
      </c>
      <c r="G42" s="64">
        <v>81.96</v>
      </c>
      <c r="H42" s="64">
        <v>30.97</v>
      </c>
      <c r="I42" s="64">
        <v>8.39</v>
      </c>
      <c r="J42" s="64">
        <v>0.27</v>
      </c>
      <c r="K42" s="64">
        <v>346.22</v>
      </c>
      <c r="L42" s="64">
        <v>33.590000000000003</v>
      </c>
      <c r="M42" s="64">
        <v>34.46</v>
      </c>
      <c r="N42" s="64">
        <v>472.6</v>
      </c>
      <c r="O42" s="64">
        <v>0</v>
      </c>
      <c r="P42" s="64">
        <v>0.81</v>
      </c>
      <c r="Q42" s="64">
        <v>9.66</v>
      </c>
      <c r="R42" s="198"/>
      <c r="S42" s="198"/>
      <c r="T42" s="198"/>
      <c r="U42" s="198"/>
    </row>
    <row r="43" spans="1:21" s="12" customFormat="1" x14ac:dyDescent="0.25">
      <c r="A43" s="214" t="s">
        <v>666</v>
      </c>
      <c r="B43" s="64">
        <v>12.99</v>
      </c>
      <c r="C43" s="64">
        <v>60.83</v>
      </c>
      <c r="D43" s="64">
        <v>42.12</v>
      </c>
      <c r="E43" s="64">
        <v>1.1000000000000001</v>
      </c>
      <c r="F43" s="64">
        <v>3.68</v>
      </c>
      <c r="G43" s="64">
        <v>81.96</v>
      </c>
      <c r="H43" s="64">
        <v>30.97</v>
      </c>
      <c r="I43" s="64">
        <v>8.58</v>
      </c>
      <c r="J43" s="64">
        <v>0.39</v>
      </c>
      <c r="K43" s="64">
        <v>312.3</v>
      </c>
      <c r="L43" s="64">
        <v>34.049999999999997</v>
      </c>
      <c r="M43" s="64">
        <v>36.6</v>
      </c>
      <c r="N43" s="64">
        <v>517.6</v>
      </c>
      <c r="O43" s="64">
        <v>0</v>
      </c>
      <c r="P43" s="64">
        <v>0.84</v>
      </c>
      <c r="Q43" s="64">
        <v>9.89</v>
      </c>
      <c r="R43" s="198"/>
      <c r="S43" s="198"/>
      <c r="T43" s="198"/>
      <c r="U43" s="198"/>
    </row>
    <row r="44" spans="1:21" s="12" customFormat="1" x14ac:dyDescent="0.25">
      <c r="A44" s="214" t="s">
        <v>667</v>
      </c>
      <c r="B44" s="64">
        <v>11.49</v>
      </c>
      <c r="C44" s="64">
        <v>61.54</v>
      </c>
      <c r="D44" s="64">
        <v>41.29</v>
      </c>
      <c r="E44" s="64">
        <v>1.47</v>
      </c>
      <c r="F44" s="64">
        <v>4.01</v>
      </c>
      <c r="G44" s="64">
        <v>81.96</v>
      </c>
      <c r="H44" s="64">
        <v>30.97</v>
      </c>
      <c r="I44" s="64">
        <v>8.69</v>
      </c>
      <c r="J44" s="64">
        <v>0.45</v>
      </c>
      <c r="K44" s="64">
        <v>316.63</v>
      </c>
      <c r="L44" s="64">
        <v>34.880000000000003</v>
      </c>
      <c r="M44" s="64">
        <v>35.6</v>
      </c>
      <c r="N44" s="64">
        <v>557.20000000000005</v>
      </c>
      <c r="O44" s="64">
        <v>0</v>
      </c>
      <c r="P44" s="64">
        <v>0.92</v>
      </c>
      <c r="Q44" s="64">
        <v>9.43</v>
      </c>
      <c r="R44" s="198"/>
      <c r="S44" s="198"/>
      <c r="T44" s="198"/>
      <c r="U44" s="198"/>
    </row>
    <row r="45" spans="1:21" s="12" customFormat="1" x14ac:dyDescent="0.25">
      <c r="A45" s="214" t="s">
        <v>668</v>
      </c>
      <c r="B45" s="64">
        <v>10.35</v>
      </c>
      <c r="C45" s="64">
        <v>63.62</v>
      </c>
      <c r="D45" s="64">
        <v>41.46</v>
      </c>
      <c r="E45" s="64">
        <v>1.61</v>
      </c>
      <c r="F45" s="64">
        <v>3.61</v>
      </c>
      <c r="G45" s="64">
        <v>91.41</v>
      </c>
      <c r="H45" s="64">
        <v>32.1</v>
      </c>
      <c r="I45" s="64">
        <v>8.8000000000000007</v>
      </c>
      <c r="J45" s="64">
        <v>0.71</v>
      </c>
      <c r="K45" s="64">
        <v>309.98</v>
      </c>
      <c r="L45" s="64">
        <v>35.68</v>
      </c>
      <c r="M45" s="64">
        <v>30.7</v>
      </c>
      <c r="N45" s="64">
        <v>626.9</v>
      </c>
      <c r="O45" s="64">
        <v>0</v>
      </c>
      <c r="P45" s="64">
        <v>0.97</v>
      </c>
      <c r="Q45" s="64">
        <v>10.01</v>
      </c>
      <c r="R45" s="198"/>
      <c r="S45" s="198"/>
      <c r="T45" s="198"/>
      <c r="U45" s="198"/>
    </row>
    <row r="46" spans="1:21" s="12" customFormat="1" x14ac:dyDescent="0.25">
      <c r="A46" s="214" t="s">
        <v>669</v>
      </c>
      <c r="B46" s="64">
        <v>8.5399999999999991</v>
      </c>
      <c r="C46" s="64">
        <v>65.819999999999993</v>
      </c>
      <c r="D46" s="64">
        <v>41.16</v>
      </c>
      <c r="E46" s="64">
        <v>1.1299999999999999</v>
      </c>
      <c r="F46" s="64">
        <v>4.22</v>
      </c>
      <c r="G46" s="64">
        <v>94.11</v>
      </c>
      <c r="H46" s="64">
        <v>32.42</v>
      </c>
      <c r="I46" s="64">
        <v>9.14</v>
      </c>
      <c r="J46" s="64">
        <v>1.18</v>
      </c>
      <c r="K46" s="64">
        <v>311.32</v>
      </c>
      <c r="L46" s="64">
        <v>36.380000000000003</v>
      </c>
      <c r="M46" s="64">
        <v>26.77</v>
      </c>
      <c r="N46" s="64">
        <v>670.4</v>
      </c>
      <c r="O46" s="64">
        <v>0</v>
      </c>
      <c r="P46" s="64">
        <v>0.96</v>
      </c>
      <c r="Q46" s="64">
        <v>9.61</v>
      </c>
      <c r="R46" s="198"/>
      <c r="S46" s="198"/>
      <c r="T46" s="198"/>
      <c r="U46" s="198"/>
    </row>
    <row r="47" spans="1:21" s="12" customFormat="1" x14ac:dyDescent="0.25">
      <c r="A47" s="214" t="s">
        <v>670</v>
      </c>
      <c r="B47" s="64">
        <v>6.19</v>
      </c>
      <c r="C47" s="64">
        <v>72.61</v>
      </c>
      <c r="D47" s="64">
        <v>42.82</v>
      </c>
      <c r="E47" s="64">
        <v>1.42</v>
      </c>
      <c r="F47" s="64">
        <v>5.01</v>
      </c>
      <c r="G47" s="64">
        <v>94.11</v>
      </c>
      <c r="H47" s="64">
        <v>32.42</v>
      </c>
      <c r="I47" s="64">
        <v>9.5500000000000007</v>
      </c>
      <c r="J47" s="64">
        <v>0.9</v>
      </c>
      <c r="K47" s="64">
        <v>312.52999999999997</v>
      </c>
      <c r="L47" s="64">
        <v>37.65</v>
      </c>
      <c r="M47" s="64">
        <v>23.88</v>
      </c>
      <c r="N47" s="64">
        <v>728.2</v>
      </c>
      <c r="O47" s="64">
        <v>0</v>
      </c>
      <c r="P47" s="64">
        <v>0.93</v>
      </c>
      <c r="Q47" s="64">
        <v>9.9600000000000009</v>
      </c>
      <c r="R47" s="198"/>
      <c r="S47" s="198"/>
      <c r="T47" s="198"/>
      <c r="U47" s="198"/>
    </row>
    <row r="48" spans="1:21" s="12" customFormat="1" x14ac:dyDescent="0.25">
      <c r="A48" s="214" t="s">
        <v>671</v>
      </c>
      <c r="B48" s="64">
        <v>4.5199999999999996</v>
      </c>
      <c r="C48" s="64">
        <v>76.2</v>
      </c>
      <c r="D48" s="64">
        <v>43.36</v>
      </c>
      <c r="E48" s="64">
        <v>1.71</v>
      </c>
      <c r="F48" s="64">
        <v>5.2</v>
      </c>
      <c r="G48" s="64">
        <v>94.11</v>
      </c>
      <c r="H48" s="64">
        <v>32.42</v>
      </c>
      <c r="I48" s="64">
        <v>9.1199999999999992</v>
      </c>
      <c r="J48" s="64">
        <v>0.89</v>
      </c>
      <c r="K48" s="64">
        <v>316.43</v>
      </c>
      <c r="L48" s="64">
        <v>38.46</v>
      </c>
      <c r="M48" s="64">
        <v>21.45</v>
      </c>
      <c r="N48" s="64">
        <v>772.6</v>
      </c>
      <c r="O48" s="64">
        <v>0</v>
      </c>
      <c r="P48" s="64">
        <v>0.91</v>
      </c>
      <c r="Q48" s="64">
        <v>9.8800000000000008</v>
      </c>
      <c r="R48" s="198"/>
      <c r="S48" s="198"/>
      <c r="T48" s="198"/>
      <c r="U48" s="198"/>
    </row>
    <row r="49" spans="1:21" s="12" customFormat="1" x14ac:dyDescent="0.25">
      <c r="A49" s="214" t="s">
        <v>672</v>
      </c>
      <c r="B49" s="64">
        <v>3.36</v>
      </c>
      <c r="C49" s="64">
        <v>74.72</v>
      </c>
      <c r="D49" s="64">
        <v>41.65</v>
      </c>
      <c r="E49" s="64">
        <v>1.58</v>
      </c>
      <c r="F49" s="64">
        <v>5.33</v>
      </c>
      <c r="G49" s="64">
        <v>87.54</v>
      </c>
      <c r="H49" s="64">
        <v>23.35</v>
      </c>
      <c r="I49" s="64">
        <v>8.66</v>
      </c>
      <c r="J49" s="64">
        <v>1.1100000000000001</v>
      </c>
      <c r="K49" s="64">
        <v>321.95999999999998</v>
      </c>
      <c r="L49" s="64">
        <v>39.39</v>
      </c>
      <c r="M49" s="64">
        <v>18.690000000000001</v>
      </c>
      <c r="N49" s="64">
        <v>808.4</v>
      </c>
      <c r="O49" s="64">
        <v>0</v>
      </c>
      <c r="P49" s="64">
        <v>0.89</v>
      </c>
      <c r="Q49" s="64">
        <v>9.76</v>
      </c>
      <c r="R49" s="198"/>
      <c r="S49" s="198"/>
      <c r="T49" s="198"/>
      <c r="U49" s="198"/>
    </row>
    <row r="50" spans="1:21" s="12" customFormat="1" x14ac:dyDescent="0.25">
      <c r="A50" s="214" t="s">
        <v>673</v>
      </c>
      <c r="B50" s="64">
        <v>2.29</v>
      </c>
      <c r="C50" s="64">
        <v>56.45</v>
      </c>
      <c r="D50" s="64">
        <v>31.25</v>
      </c>
      <c r="E50" s="64">
        <v>1.56</v>
      </c>
      <c r="F50" s="64">
        <v>5.38</v>
      </c>
      <c r="G50" s="64">
        <v>85.67</v>
      </c>
      <c r="H50" s="64">
        <v>20.75</v>
      </c>
      <c r="I50" s="64">
        <v>8.25</v>
      </c>
      <c r="J50" s="64">
        <v>1.04</v>
      </c>
      <c r="K50" s="64">
        <v>325.57</v>
      </c>
      <c r="L50" s="64">
        <v>40.090000000000003</v>
      </c>
      <c r="M50" s="64">
        <v>16.899999999999999</v>
      </c>
      <c r="N50" s="64">
        <v>835.8</v>
      </c>
      <c r="O50" s="64">
        <v>0</v>
      </c>
      <c r="P50" s="64">
        <v>0.88</v>
      </c>
      <c r="Q50" s="64">
        <v>9.8699999999999992</v>
      </c>
      <c r="R50" s="198"/>
      <c r="S50" s="198"/>
      <c r="T50" s="198"/>
      <c r="U50" s="198"/>
    </row>
    <row r="51" spans="1:21" s="12" customFormat="1" x14ac:dyDescent="0.25">
      <c r="A51" s="214" t="s">
        <v>674</v>
      </c>
      <c r="B51" s="64">
        <v>2.69</v>
      </c>
      <c r="C51" s="64">
        <v>63.9</v>
      </c>
      <c r="D51" s="64">
        <v>35.46</v>
      </c>
      <c r="E51" s="64">
        <v>1.44</v>
      </c>
      <c r="F51" s="64">
        <v>5.9</v>
      </c>
      <c r="G51" s="64">
        <v>85.67</v>
      </c>
      <c r="H51" s="64">
        <v>20.75</v>
      </c>
      <c r="I51" s="64">
        <v>7.85</v>
      </c>
      <c r="J51" s="64">
        <v>1.31</v>
      </c>
      <c r="K51" s="64">
        <v>325.66000000000003</v>
      </c>
      <c r="L51" s="64">
        <v>40.25</v>
      </c>
      <c r="M51" s="64">
        <v>15.27</v>
      </c>
      <c r="N51" s="64">
        <v>883.7</v>
      </c>
      <c r="O51" s="64">
        <v>0</v>
      </c>
      <c r="P51" s="64">
        <v>0.86</v>
      </c>
      <c r="Q51" s="64">
        <v>9.51</v>
      </c>
      <c r="R51" s="198"/>
      <c r="S51" s="198"/>
      <c r="T51" s="198"/>
      <c r="U51" s="198"/>
    </row>
    <row r="52" spans="1:21" s="12" customFormat="1" x14ac:dyDescent="0.25">
      <c r="A52" s="214" t="s">
        <v>675</v>
      </c>
      <c r="B52" s="64">
        <v>2.4300000000000002</v>
      </c>
      <c r="C52" s="64">
        <v>64.75</v>
      </c>
      <c r="D52" s="64">
        <v>35.700000000000003</v>
      </c>
      <c r="E52" s="64">
        <v>1.36</v>
      </c>
      <c r="F52" s="64">
        <v>5.99</v>
      </c>
      <c r="G52" s="64">
        <v>85.67</v>
      </c>
      <c r="H52" s="64">
        <v>20.75</v>
      </c>
      <c r="I52" s="64">
        <v>7.58</v>
      </c>
      <c r="J52" s="64">
        <v>0.95</v>
      </c>
      <c r="K52" s="64">
        <v>326.27999999999997</v>
      </c>
      <c r="L52" s="64">
        <v>40.72</v>
      </c>
      <c r="M52" s="64">
        <v>13.8</v>
      </c>
      <c r="N52" s="64">
        <v>912.3</v>
      </c>
      <c r="O52" s="64">
        <v>0</v>
      </c>
      <c r="P52" s="64">
        <v>0.83</v>
      </c>
      <c r="Q52" s="64">
        <v>9.77</v>
      </c>
      <c r="R52" s="198"/>
      <c r="S52" s="198"/>
      <c r="T52" s="198"/>
      <c r="U52" s="198"/>
    </row>
    <row r="53" spans="1:21" s="12" customFormat="1" x14ac:dyDescent="0.25">
      <c r="A53" s="214" t="s">
        <v>676</v>
      </c>
      <c r="B53" s="64">
        <v>2.2999999999999998</v>
      </c>
      <c r="C53" s="64">
        <v>65.849999999999994</v>
      </c>
      <c r="D53" s="64">
        <v>36.17</v>
      </c>
      <c r="E53" s="64">
        <v>1.38</v>
      </c>
      <c r="F53" s="64">
        <v>5.37</v>
      </c>
      <c r="G53" s="64">
        <v>71.61</v>
      </c>
      <c r="H53" s="64">
        <v>18.989999999999998</v>
      </c>
      <c r="I53" s="64">
        <v>7.31</v>
      </c>
      <c r="J53" s="64">
        <v>1.04</v>
      </c>
      <c r="K53" s="64">
        <v>333.3</v>
      </c>
      <c r="L53" s="64">
        <v>40.85</v>
      </c>
      <c r="M53" s="64">
        <v>14.15</v>
      </c>
      <c r="N53" s="64">
        <v>933.6</v>
      </c>
      <c r="O53" s="64">
        <v>0</v>
      </c>
      <c r="P53" s="64">
        <v>0.8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4" t="s">
        <v>677</v>
      </c>
      <c r="B54" s="64">
        <v>2.2999999999999998</v>
      </c>
      <c r="C54" s="64">
        <v>66.040000000000006</v>
      </c>
      <c r="D54" s="64">
        <v>36.270000000000003</v>
      </c>
      <c r="E54" s="64">
        <v>1.24</v>
      </c>
      <c r="F54" s="64">
        <v>5.61</v>
      </c>
      <c r="G54" s="64">
        <v>67.599999999999994</v>
      </c>
      <c r="H54" s="64">
        <v>18.48</v>
      </c>
      <c r="I54" s="64">
        <v>6.98</v>
      </c>
      <c r="J54" s="64">
        <v>1.24</v>
      </c>
      <c r="K54" s="64">
        <v>326.86</v>
      </c>
      <c r="L54" s="64">
        <v>40.71</v>
      </c>
      <c r="M54" s="64">
        <v>14.35</v>
      </c>
      <c r="N54" s="64">
        <v>933.4</v>
      </c>
      <c r="O54" s="64">
        <v>0</v>
      </c>
      <c r="P54" s="64">
        <v>0.78</v>
      </c>
      <c r="Q54" s="64">
        <v>9.2799999999999994</v>
      </c>
      <c r="R54" s="198"/>
      <c r="S54" s="198"/>
      <c r="T54" s="198"/>
      <c r="U54" s="198"/>
    </row>
    <row r="55" spans="1:21" s="12" customFormat="1" x14ac:dyDescent="0.25">
      <c r="A55" s="214" t="s">
        <v>678</v>
      </c>
      <c r="B55" s="64">
        <v>2.14</v>
      </c>
      <c r="C55" s="64">
        <v>65.239999999999995</v>
      </c>
      <c r="D55" s="64">
        <v>35.72</v>
      </c>
      <c r="E55" s="64">
        <v>1.5</v>
      </c>
      <c r="F55" s="64">
        <v>5.81</v>
      </c>
      <c r="G55" s="64">
        <v>67.599999999999994</v>
      </c>
      <c r="H55" s="64">
        <v>18.48</v>
      </c>
      <c r="I55" s="64">
        <v>6.7</v>
      </c>
      <c r="J55" s="64">
        <v>1.08</v>
      </c>
      <c r="K55" s="64">
        <v>340.96</v>
      </c>
      <c r="L55" s="64">
        <v>40.72</v>
      </c>
      <c r="M55" s="64">
        <v>13.25</v>
      </c>
      <c r="N55" s="64">
        <v>935.6</v>
      </c>
      <c r="O55" s="64">
        <v>0</v>
      </c>
      <c r="P55" s="64">
        <v>0.75</v>
      </c>
      <c r="Q55" s="64">
        <v>9.36</v>
      </c>
      <c r="R55" s="198"/>
      <c r="S55" s="198"/>
      <c r="T55" s="198"/>
      <c r="U55" s="198"/>
    </row>
    <row r="56" spans="1:21" s="12" customFormat="1" x14ac:dyDescent="0.25">
      <c r="A56" s="214" t="s">
        <v>679</v>
      </c>
      <c r="B56" s="64">
        <v>2.08</v>
      </c>
      <c r="C56" s="64">
        <v>63.71</v>
      </c>
      <c r="D56" s="64">
        <v>34.869999999999997</v>
      </c>
      <c r="E56" s="64">
        <v>2.1800000000000002</v>
      </c>
      <c r="F56" s="64">
        <v>5.73</v>
      </c>
      <c r="G56" s="64">
        <v>67.599999999999994</v>
      </c>
      <c r="H56" s="64">
        <v>18.48</v>
      </c>
      <c r="I56" s="64">
        <v>6.5</v>
      </c>
      <c r="J56" s="64">
        <v>0.86</v>
      </c>
      <c r="K56" s="64">
        <v>329.39</v>
      </c>
      <c r="L56" s="64">
        <v>41.07</v>
      </c>
      <c r="M56" s="64">
        <v>13.44</v>
      </c>
      <c r="N56" s="64">
        <v>943.2</v>
      </c>
      <c r="O56" s="64">
        <v>0</v>
      </c>
      <c r="P56" s="64">
        <v>0.73</v>
      </c>
      <c r="Q56" s="64">
        <v>9.73</v>
      </c>
      <c r="R56" s="198"/>
      <c r="S56" s="198"/>
      <c r="T56" s="198"/>
      <c r="U56" s="198"/>
    </row>
    <row r="57" spans="1:21" s="12" customFormat="1" x14ac:dyDescent="0.25">
      <c r="A57" s="214" t="s">
        <v>680</v>
      </c>
      <c r="B57" s="64">
        <v>2.1</v>
      </c>
      <c r="C57" s="64">
        <v>56.09</v>
      </c>
      <c r="D57" s="64">
        <v>30.91</v>
      </c>
      <c r="E57" s="64">
        <v>1.97</v>
      </c>
      <c r="F57" s="64">
        <v>5.16</v>
      </c>
      <c r="G57" s="64">
        <v>64.099999999999994</v>
      </c>
      <c r="H57" s="64">
        <v>15.52</v>
      </c>
      <c r="I57" s="64">
        <v>6.3</v>
      </c>
      <c r="J57" s="64">
        <v>1.1200000000000001</v>
      </c>
      <c r="K57" s="64">
        <v>351.33</v>
      </c>
      <c r="L57" s="64">
        <v>41.35</v>
      </c>
      <c r="M57" s="64">
        <v>12.39</v>
      </c>
      <c r="N57" s="64">
        <v>924.6</v>
      </c>
      <c r="O57" s="64">
        <v>0</v>
      </c>
      <c r="P57" s="64">
        <v>0.72</v>
      </c>
      <c r="Q57" s="64">
        <v>9.4</v>
      </c>
      <c r="R57" s="198"/>
      <c r="S57" s="198"/>
      <c r="T57" s="198"/>
      <c r="U57" s="198"/>
    </row>
    <row r="58" spans="1:21" s="12" customFormat="1" x14ac:dyDescent="0.25">
      <c r="A58" s="214" t="s">
        <v>681</v>
      </c>
      <c r="B58" s="64">
        <v>1.74</v>
      </c>
      <c r="C58" s="64">
        <v>43.56</v>
      </c>
      <c r="D58" s="64">
        <v>24.08</v>
      </c>
      <c r="E58" s="64">
        <v>1.78</v>
      </c>
      <c r="F58" s="64">
        <v>4.87</v>
      </c>
      <c r="G58" s="64">
        <v>63.11</v>
      </c>
      <c r="H58" s="64">
        <v>14.67</v>
      </c>
      <c r="I58" s="64">
        <v>6.26</v>
      </c>
      <c r="J58" s="64">
        <v>0.88</v>
      </c>
      <c r="K58" s="64">
        <v>343.4</v>
      </c>
      <c r="L58" s="64">
        <v>41.44</v>
      </c>
      <c r="M58" s="64">
        <v>12.8</v>
      </c>
      <c r="N58" s="64">
        <v>922.3</v>
      </c>
      <c r="O58" s="64">
        <v>0</v>
      </c>
      <c r="P58" s="64">
        <v>0.7</v>
      </c>
      <c r="Q58" s="64">
        <v>9.4600000000000009</v>
      </c>
      <c r="R58" s="198"/>
      <c r="S58" s="198"/>
      <c r="T58" s="198"/>
      <c r="U58" s="198"/>
    </row>
    <row r="59" spans="1:21" s="12" customFormat="1" x14ac:dyDescent="0.25">
      <c r="A59" s="214" t="s">
        <v>682</v>
      </c>
      <c r="B59" s="64">
        <v>2.66</v>
      </c>
      <c r="C59" s="64">
        <v>54.85</v>
      </c>
      <c r="D59" s="64">
        <v>30.71</v>
      </c>
      <c r="E59" s="64">
        <v>1.72</v>
      </c>
      <c r="F59" s="64">
        <v>4.96</v>
      </c>
      <c r="G59" s="64">
        <v>63.11</v>
      </c>
      <c r="H59" s="64">
        <v>14.67</v>
      </c>
      <c r="I59" s="64">
        <v>6.77</v>
      </c>
      <c r="J59" s="64">
        <v>0.41</v>
      </c>
      <c r="K59" s="64">
        <v>335.08</v>
      </c>
      <c r="L59" s="64">
        <v>39.340000000000003</v>
      </c>
      <c r="M59" s="64">
        <v>14.75</v>
      </c>
      <c r="N59" s="64">
        <v>903.7</v>
      </c>
      <c r="O59" s="64">
        <v>0</v>
      </c>
      <c r="P59" s="64">
        <v>0.68</v>
      </c>
      <c r="Q59" s="64">
        <v>9.89</v>
      </c>
      <c r="R59" s="198"/>
      <c r="S59" s="198"/>
      <c r="T59" s="198"/>
      <c r="U59" s="198"/>
    </row>
    <row r="60" spans="1:21" s="12" customFormat="1" x14ac:dyDescent="0.25">
      <c r="A60" s="214" t="s">
        <v>683</v>
      </c>
      <c r="B60" s="64">
        <v>2.4500000000000002</v>
      </c>
      <c r="C60" s="64">
        <v>57.95</v>
      </c>
      <c r="D60" s="64">
        <v>32.159999999999997</v>
      </c>
      <c r="E60" s="64">
        <v>1.77</v>
      </c>
      <c r="F60" s="64">
        <v>5.18</v>
      </c>
      <c r="G60" s="64">
        <v>63.11</v>
      </c>
      <c r="H60" s="64">
        <v>14.67</v>
      </c>
      <c r="I60" s="64">
        <v>7.25</v>
      </c>
      <c r="J60" s="64">
        <v>0.48</v>
      </c>
      <c r="K60" s="64">
        <v>321.72000000000003</v>
      </c>
      <c r="L60" s="64">
        <v>40.15</v>
      </c>
      <c r="M60" s="64">
        <v>12.84</v>
      </c>
      <c r="N60" s="64">
        <v>889.3</v>
      </c>
      <c r="O60" s="64">
        <v>0</v>
      </c>
      <c r="P60" s="64">
        <v>0.65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4" t="s">
        <v>684</v>
      </c>
      <c r="B61" s="64">
        <v>2.23</v>
      </c>
      <c r="C61" s="64">
        <v>57.56</v>
      </c>
      <c r="D61" s="64">
        <v>31.78</v>
      </c>
      <c r="E61" s="64">
        <v>1.77</v>
      </c>
      <c r="F61" s="64">
        <v>5.51</v>
      </c>
      <c r="G61" s="64">
        <v>55.8</v>
      </c>
      <c r="H61" s="64">
        <v>17.87</v>
      </c>
      <c r="I61" s="64">
        <v>7.38</v>
      </c>
      <c r="J61" s="64">
        <v>0.75</v>
      </c>
      <c r="K61" s="64">
        <v>330.04</v>
      </c>
      <c r="L61" s="64">
        <v>39.130000000000003</v>
      </c>
      <c r="M61" s="64">
        <v>14.04</v>
      </c>
      <c r="N61" s="64">
        <v>866.9</v>
      </c>
      <c r="O61" s="64">
        <v>0</v>
      </c>
      <c r="P61" s="64">
        <v>0.65</v>
      </c>
      <c r="Q61" s="64">
        <v>9.64</v>
      </c>
      <c r="R61" s="198"/>
      <c r="S61" s="198"/>
      <c r="T61" s="198"/>
      <c r="U61" s="198"/>
    </row>
    <row r="62" spans="1:21" s="12" customFormat="1" x14ac:dyDescent="0.25">
      <c r="A62" s="214" t="s">
        <v>685</v>
      </c>
      <c r="B62" s="64">
        <v>2.0499999999999998</v>
      </c>
      <c r="C62" s="64">
        <v>57.46</v>
      </c>
      <c r="D62" s="64">
        <v>31.58</v>
      </c>
      <c r="E62" s="64">
        <v>1.54</v>
      </c>
      <c r="F62" s="64">
        <v>5.73</v>
      </c>
      <c r="G62" s="64">
        <v>53.71</v>
      </c>
      <c r="H62" s="64">
        <v>18.78</v>
      </c>
      <c r="I62" s="64">
        <v>7.17</v>
      </c>
      <c r="J62" s="64">
        <v>0.87</v>
      </c>
      <c r="K62" s="64">
        <v>317.11</v>
      </c>
      <c r="L62" s="64">
        <v>40.700000000000003</v>
      </c>
      <c r="M62" s="64">
        <v>12.96</v>
      </c>
      <c r="N62" s="64">
        <v>843.1</v>
      </c>
      <c r="O62" s="64">
        <v>0</v>
      </c>
      <c r="P62" s="64">
        <v>0.66</v>
      </c>
      <c r="Q62" s="64">
        <v>9.6300000000000008</v>
      </c>
      <c r="R62" s="198"/>
      <c r="S62" s="198"/>
      <c r="T62" s="198"/>
      <c r="U62" s="198"/>
    </row>
    <row r="63" spans="1:21" s="12" customFormat="1" x14ac:dyDescent="0.25">
      <c r="A63" s="214" t="s">
        <v>686</v>
      </c>
      <c r="B63" s="64">
        <v>1.92</v>
      </c>
      <c r="C63" s="64">
        <v>57.27</v>
      </c>
      <c r="D63" s="64">
        <v>31.38</v>
      </c>
      <c r="E63" s="64">
        <v>2.04</v>
      </c>
      <c r="F63" s="64">
        <v>5.5</v>
      </c>
      <c r="G63" s="64">
        <v>53.71</v>
      </c>
      <c r="H63" s="64">
        <v>18.78</v>
      </c>
      <c r="I63" s="64">
        <v>7.17</v>
      </c>
      <c r="J63" s="64">
        <v>0.7</v>
      </c>
      <c r="K63" s="64">
        <v>322.48</v>
      </c>
      <c r="L63" s="64">
        <v>41.05</v>
      </c>
      <c r="M63" s="64">
        <v>12.71</v>
      </c>
      <c r="N63" s="64">
        <v>810.5</v>
      </c>
      <c r="O63" s="64">
        <v>0</v>
      </c>
      <c r="P63" s="64">
        <v>0.63</v>
      </c>
      <c r="Q63" s="64">
        <v>9.5299999999999994</v>
      </c>
      <c r="R63" s="198"/>
      <c r="S63" s="198"/>
      <c r="T63" s="198"/>
      <c r="U63" s="198"/>
    </row>
    <row r="64" spans="1:21" s="12" customFormat="1" x14ac:dyDescent="0.25">
      <c r="A64" s="214" t="s">
        <v>687</v>
      </c>
      <c r="B64" s="64">
        <v>1.8</v>
      </c>
      <c r="C64" s="64">
        <v>53.05</v>
      </c>
      <c r="D64" s="64">
        <v>29.08</v>
      </c>
      <c r="E64" s="64">
        <v>1.87</v>
      </c>
      <c r="F64" s="64">
        <v>6.1</v>
      </c>
      <c r="G64" s="64">
        <v>53.71</v>
      </c>
      <c r="H64" s="64">
        <v>18.78</v>
      </c>
      <c r="I64" s="64">
        <v>7.25</v>
      </c>
      <c r="J64" s="64">
        <v>0.47</v>
      </c>
      <c r="K64" s="64">
        <v>319.08999999999997</v>
      </c>
      <c r="L64" s="64">
        <v>39.44</v>
      </c>
      <c r="M64" s="64">
        <v>13.48</v>
      </c>
      <c r="N64" s="64">
        <v>751.2</v>
      </c>
      <c r="O64" s="64">
        <v>0</v>
      </c>
      <c r="P64" s="64">
        <v>0.61</v>
      </c>
      <c r="Q64" s="64">
        <v>9.7100000000000009</v>
      </c>
      <c r="R64" s="198"/>
      <c r="S64" s="198"/>
      <c r="T64" s="198"/>
      <c r="U64" s="198"/>
    </row>
    <row r="65" spans="1:21" s="12" customFormat="1" x14ac:dyDescent="0.25">
      <c r="A65" s="214" t="s">
        <v>688</v>
      </c>
      <c r="B65" s="64">
        <v>1.5</v>
      </c>
      <c r="C65" s="64">
        <v>51.71</v>
      </c>
      <c r="D65" s="64">
        <v>28.14</v>
      </c>
      <c r="E65" s="64">
        <v>1.79</v>
      </c>
      <c r="F65" s="64">
        <v>6.76</v>
      </c>
      <c r="G65" s="64">
        <v>48.65</v>
      </c>
      <c r="H65" s="64">
        <v>13.67</v>
      </c>
      <c r="I65" s="64">
        <v>7.02</v>
      </c>
      <c r="J65" s="64">
        <v>0.56000000000000005</v>
      </c>
      <c r="K65" s="64">
        <v>317.52999999999997</v>
      </c>
      <c r="L65" s="64">
        <v>39.770000000000003</v>
      </c>
      <c r="M65" s="64">
        <v>13.56</v>
      </c>
      <c r="N65" s="64">
        <v>686.9</v>
      </c>
      <c r="O65" s="64">
        <v>0</v>
      </c>
      <c r="P65" s="64">
        <v>0.59</v>
      </c>
      <c r="Q65" s="64">
        <v>9.32</v>
      </c>
      <c r="R65" s="198"/>
      <c r="S65" s="198"/>
      <c r="T65" s="198"/>
      <c r="U65" s="198"/>
    </row>
    <row r="66" spans="1:21" s="12" customFormat="1" x14ac:dyDescent="0.25">
      <c r="A66" s="214" t="s">
        <v>689</v>
      </c>
      <c r="B66" s="64">
        <v>1.37</v>
      </c>
      <c r="C66" s="64">
        <v>52.61</v>
      </c>
      <c r="D66" s="64">
        <v>28.5</v>
      </c>
      <c r="E66" s="64">
        <v>1.65</v>
      </c>
      <c r="F66" s="64">
        <v>6.83</v>
      </c>
      <c r="G66" s="64">
        <v>47.21</v>
      </c>
      <c r="H66" s="64">
        <v>12.21</v>
      </c>
      <c r="I66" s="64">
        <v>6.75</v>
      </c>
      <c r="J66" s="64">
        <v>0.54</v>
      </c>
      <c r="K66" s="64">
        <v>320.35000000000002</v>
      </c>
      <c r="L66" s="64">
        <v>39.61</v>
      </c>
      <c r="M66" s="64">
        <v>16.41</v>
      </c>
      <c r="N66" s="64">
        <v>628.9</v>
      </c>
      <c r="O66" s="64">
        <v>0</v>
      </c>
      <c r="P66" s="64">
        <v>0.56999999999999995</v>
      </c>
      <c r="Q66" s="64">
        <v>9.7899999999999991</v>
      </c>
      <c r="R66" s="198"/>
      <c r="S66" s="198"/>
      <c r="T66" s="198"/>
      <c r="U66" s="198"/>
    </row>
    <row r="67" spans="1:21" s="12" customFormat="1" x14ac:dyDescent="0.25">
      <c r="A67" s="214" t="s">
        <v>690</v>
      </c>
      <c r="B67" s="64">
        <v>1.39</v>
      </c>
      <c r="C67" s="64">
        <v>53.37</v>
      </c>
      <c r="D67" s="64">
        <v>28.92</v>
      </c>
      <c r="E67" s="64">
        <v>1.65</v>
      </c>
      <c r="F67" s="64">
        <v>6.85</v>
      </c>
      <c r="G67" s="64">
        <v>47.21</v>
      </c>
      <c r="H67" s="64">
        <v>12.21</v>
      </c>
      <c r="I67" s="64">
        <v>6.29</v>
      </c>
      <c r="J67" s="64">
        <v>0.26</v>
      </c>
      <c r="K67" s="64">
        <v>324.69</v>
      </c>
      <c r="L67" s="64">
        <v>38.32</v>
      </c>
      <c r="M67" s="64">
        <v>15.45</v>
      </c>
      <c r="N67" s="64">
        <v>585.20000000000005</v>
      </c>
      <c r="O67" s="64">
        <v>0</v>
      </c>
      <c r="P67" s="64">
        <v>0.56000000000000005</v>
      </c>
      <c r="Q67" s="64">
        <v>9.5</v>
      </c>
      <c r="R67" s="198"/>
      <c r="S67" s="198"/>
      <c r="T67" s="198"/>
      <c r="U67" s="198"/>
    </row>
    <row r="68" spans="1:21" s="12" customFormat="1" x14ac:dyDescent="0.25">
      <c r="A68" s="214" t="s">
        <v>691</v>
      </c>
      <c r="B68" s="64">
        <v>1.27</v>
      </c>
      <c r="C68" s="64">
        <v>53.38</v>
      </c>
      <c r="D68" s="64">
        <v>28.83</v>
      </c>
      <c r="E68" s="64">
        <v>1.58</v>
      </c>
      <c r="F68" s="64">
        <v>7.24</v>
      </c>
      <c r="G68" s="64">
        <v>47.21</v>
      </c>
      <c r="H68" s="64">
        <v>12.21</v>
      </c>
      <c r="I68" s="64">
        <v>5.96</v>
      </c>
      <c r="J68" s="64">
        <v>0.31</v>
      </c>
      <c r="K68" s="64">
        <v>334.25</v>
      </c>
      <c r="L68" s="64">
        <v>38.090000000000003</v>
      </c>
      <c r="M68" s="64">
        <v>15.89</v>
      </c>
      <c r="N68" s="64">
        <v>541.20000000000005</v>
      </c>
      <c r="O68" s="64">
        <v>0</v>
      </c>
      <c r="P68" s="64">
        <v>0.54</v>
      </c>
      <c r="Q68" s="64">
        <v>9.52</v>
      </c>
      <c r="R68" s="198"/>
      <c r="S68" s="198"/>
      <c r="T68" s="198"/>
      <c r="U68" s="198"/>
    </row>
    <row r="69" spans="1:21" s="12" customFormat="1" x14ac:dyDescent="0.25">
      <c r="A69" s="214" t="s">
        <v>692</v>
      </c>
      <c r="B69" s="64">
        <v>1.1599999999999999</v>
      </c>
      <c r="C69" s="64">
        <v>54.58</v>
      </c>
      <c r="D69" s="64">
        <v>29.37</v>
      </c>
      <c r="E69" s="64">
        <v>1.85</v>
      </c>
      <c r="F69" s="64">
        <v>7.38</v>
      </c>
      <c r="G69" s="64">
        <v>45.39</v>
      </c>
      <c r="H69" s="64">
        <v>9.07</v>
      </c>
      <c r="I69" s="64">
        <v>5.78</v>
      </c>
      <c r="J69" s="64">
        <v>0.48</v>
      </c>
      <c r="K69" s="64">
        <v>195.56</v>
      </c>
      <c r="L69" s="64">
        <v>37.299999999999997</v>
      </c>
      <c r="M69" s="64">
        <v>15.2</v>
      </c>
      <c r="N69" s="64">
        <v>376.7</v>
      </c>
      <c r="O69" s="64">
        <v>0</v>
      </c>
      <c r="P69" s="64">
        <v>0.52</v>
      </c>
      <c r="Q69" s="64">
        <v>9.5</v>
      </c>
      <c r="R69" s="198"/>
      <c r="S69" s="198"/>
      <c r="T69" s="198"/>
      <c r="U69" s="198"/>
    </row>
    <row r="70" spans="1:21" s="12" customFormat="1" x14ac:dyDescent="0.25">
      <c r="A70" s="214" t="s">
        <v>693</v>
      </c>
      <c r="B70" s="64">
        <v>1.1100000000000001</v>
      </c>
      <c r="C70" s="64">
        <v>53.23</v>
      </c>
      <c r="D70" s="64">
        <v>28.63</v>
      </c>
      <c r="E70" s="64">
        <v>1.96</v>
      </c>
      <c r="F70" s="64">
        <v>7.49</v>
      </c>
      <c r="G70" s="64">
        <v>44.87</v>
      </c>
      <c r="H70" s="64">
        <v>8.18</v>
      </c>
      <c r="I70" s="64">
        <v>5.54</v>
      </c>
      <c r="J70" s="64">
        <v>0.8</v>
      </c>
      <c r="K70" s="64">
        <v>175.94</v>
      </c>
      <c r="L70" s="64">
        <v>36.69</v>
      </c>
      <c r="M70" s="64">
        <v>15.15</v>
      </c>
      <c r="N70" s="64">
        <v>181.9</v>
      </c>
      <c r="O70" s="64">
        <v>0</v>
      </c>
      <c r="P70" s="64">
        <v>0.52</v>
      </c>
      <c r="Q70" s="64">
        <v>9.56</v>
      </c>
      <c r="R70" s="198"/>
      <c r="S70" s="198"/>
      <c r="T70" s="198"/>
      <c r="U70" s="198"/>
    </row>
    <row r="71" spans="1:21" s="12" customFormat="1" x14ac:dyDescent="0.25">
      <c r="A71" s="214" t="s">
        <v>694</v>
      </c>
      <c r="B71" s="64">
        <v>0.79</v>
      </c>
      <c r="C71" s="64">
        <v>40.72</v>
      </c>
      <c r="D71" s="64">
        <v>21.82</v>
      </c>
      <c r="E71" s="64">
        <v>1.7</v>
      </c>
      <c r="F71" s="64">
        <v>7.76</v>
      </c>
      <c r="G71" s="64">
        <v>44.87</v>
      </c>
      <c r="H71" s="64">
        <v>8.18</v>
      </c>
      <c r="I71" s="64">
        <v>5.38</v>
      </c>
      <c r="J71" s="64">
        <v>0.19</v>
      </c>
      <c r="K71" s="64">
        <v>181.59</v>
      </c>
      <c r="L71" s="64">
        <v>36.81</v>
      </c>
      <c r="M71" s="64">
        <v>15.38</v>
      </c>
      <c r="N71" s="64">
        <v>171</v>
      </c>
      <c r="O71" s="64">
        <v>0</v>
      </c>
      <c r="P71" s="64">
        <v>0.51</v>
      </c>
      <c r="Q71" s="64">
        <v>9.51</v>
      </c>
      <c r="R71" s="198"/>
      <c r="S71" s="198"/>
      <c r="T71" s="198"/>
      <c r="U71" s="198"/>
    </row>
    <row r="72" spans="1:21" s="12" customFormat="1" x14ac:dyDescent="0.25">
      <c r="A72" s="214" t="s">
        <v>695</v>
      </c>
      <c r="B72" s="64">
        <v>1.02</v>
      </c>
      <c r="C72" s="64">
        <v>52.88</v>
      </c>
      <c r="D72" s="64">
        <v>28.37</v>
      </c>
      <c r="E72" s="64">
        <v>1.48</v>
      </c>
      <c r="F72" s="64">
        <v>8.5500000000000007</v>
      </c>
      <c r="G72" s="64">
        <v>44.87</v>
      </c>
      <c r="H72" s="64">
        <v>8.18</v>
      </c>
      <c r="I72" s="64">
        <v>5.34</v>
      </c>
      <c r="J72" s="64">
        <v>0.1</v>
      </c>
      <c r="K72" s="64">
        <v>266.32</v>
      </c>
      <c r="L72" s="64">
        <v>36.770000000000003</v>
      </c>
      <c r="M72" s="64">
        <v>15.27</v>
      </c>
      <c r="N72" s="64">
        <v>233.3</v>
      </c>
      <c r="O72" s="64">
        <v>0</v>
      </c>
      <c r="P72" s="64">
        <v>0.5</v>
      </c>
      <c r="Q72" s="64">
        <v>9.4600000000000009</v>
      </c>
      <c r="R72" s="198"/>
      <c r="S72" s="198"/>
      <c r="T72" s="198"/>
      <c r="U72" s="198"/>
    </row>
    <row r="73" spans="1:21" s="12" customFormat="1" x14ac:dyDescent="0.25">
      <c r="A73" s="214" t="s">
        <v>696</v>
      </c>
      <c r="B73" s="64">
        <v>0.91</v>
      </c>
      <c r="C73" s="64">
        <v>51.57</v>
      </c>
      <c r="D73" s="64">
        <v>27.59</v>
      </c>
      <c r="E73" s="64">
        <v>1.1100000000000001</v>
      </c>
      <c r="F73" s="64">
        <v>8.9700000000000006</v>
      </c>
      <c r="G73" s="64">
        <v>46.07</v>
      </c>
      <c r="H73" s="64">
        <v>6.25</v>
      </c>
      <c r="I73" s="64">
        <v>5.26</v>
      </c>
      <c r="J73" s="64">
        <v>0.19</v>
      </c>
      <c r="K73" s="64">
        <v>234.36</v>
      </c>
      <c r="L73" s="64">
        <v>36.5</v>
      </c>
      <c r="M73" s="64">
        <v>14.69</v>
      </c>
      <c r="N73" s="64">
        <v>150.5</v>
      </c>
      <c r="O73" s="64">
        <v>0</v>
      </c>
      <c r="P73" s="64">
        <v>0.5</v>
      </c>
      <c r="Q73" s="64">
        <v>9.44</v>
      </c>
      <c r="R73" s="198"/>
      <c r="S73" s="198"/>
      <c r="T73" s="198"/>
      <c r="U73" s="198"/>
    </row>
    <row r="74" spans="1:21" s="12" customFormat="1" x14ac:dyDescent="0.25">
      <c r="A74" s="214" t="s">
        <v>697</v>
      </c>
      <c r="B74" s="64">
        <v>1.05</v>
      </c>
      <c r="C74" s="64">
        <v>53.22</v>
      </c>
      <c r="D74" s="64">
        <v>28.56</v>
      </c>
      <c r="E74" s="64">
        <v>0.93</v>
      </c>
      <c r="F74" s="64">
        <v>8.58</v>
      </c>
      <c r="G74" s="64">
        <v>46.41</v>
      </c>
      <c r="H74" s="64">
        <v>5.7</v>
      </c>
      <c r="I74" s="64">
        <v>5.05</v>
      </c>
      <c r="J74" s="64">
        <v>0.45</v>
      </c>
      <c r="K74" s="64">
        <v>327.22000000000003</v>
      </c>
      <c r="L74" s="64">
        <v>36.57</v>
      </c>
      <c r="M74" s="64">
        <v>14.35</v>
      </c>
      <c r="N74" s="64">
        <v>112.9</v>
      </c>
      <c r="O74" s="64">
        <v>0</v>
      </c>
      <c r="P74" s="64">
        <v>0.49</v>
      </c>
      <c r="Q74" s="64">
        <v>9.52</v>
      </c>
      <c r="R74" s="198"/>
      <c r="S74" s="198"/>
      <c r="T74" s="198"/>
      <c r="U74" s="198"/>
    </row>
    <row r="75" spans="1:21" s="12" customFormat="1" x14ac:dyDescent="0.25">
      <c r="A75" s="214" t="s">
        <v>698</v>
      </c>
      <c r="B75" s="64">
        <v>0.97</v>
      </c>
      <c r="C75" s="64">
        <v>33.9</v>
      </c>
      <c r="D75" s="64">
        <v>18.399999999999999</v>
      </c>
      <c r="E75" s="64">
        <v>1.08</v>
      </c>
      <c r="F75" s="64">
        <v>7.3</v>
      </c>
      <c r="G75" s="64">
        <v>46.41</v>
      </c>
      <c r="H75" s="64">
        <v>5.7</v>
      </c>
      <c r="I75" s="64">
        <v>4.88</v>
      </c>
      <c r="J75" s="64">
        <v>0.47</v>
      </c>
      <c r="K75" s="64">
        <v>318.73</v>
      </c>
      <c r="L75" s="64">
        <v>36.119999999999997</v>
      </c>
      <c r="M75" s="64">
        <v>14.8</v>
      </c>
      <c r="N75" s="64">
        <v>104.5</v>
      </c>
      <c r="O75" s="64">
        <v>0</v>
      </c>
      <c r="P75" s="64">
        <v>0.48</v>
      </c>
      <c r="Q75" s="64">
        <v>9.51</v>
      </c>
      <c r="R75" s="198"/>
      <c r="S75" s="198"/>
      <c r="T75" s="198"/>
      <c r="U75" s="198"/>
    </row>
    <row r="76" spans="1:21" s="12" customFormat="1" x14ac:dyDescent="0.25">
      <c r="A76" s="214" t="s">
        <v>699</v>
      </c>
      <c r="B76" s="64">
        <v>1.28</v>
      </c>
      <c r="C76" s="64">
        <v>51.5</v>
      </c>
      <c r="D76" s="64">
        <v>27.86</v>
      </c>
      <c r="E76" s="64">
        <v>0.94</v>
      </c>
      <c r="F76" s="64">
        <v>6.94</v>
      </c>
      <c r="G76" s="64">
        <v>46.41</v>
      </c>
      <c r="H76" s="64">
        <v>5.7</v>
      </c>
      <c r="I76" s="64">
        <v>4.6900000000000004</v>
      </c>
      <c r="J76" s="64">
        <v>0.67</v>
      </c>
      <c r="K76" s="64">
        <v>310.12</v>
      </c>
      <c r="L76" s="64">
        <v>35.799999999999997</v>
      </c>
      <c r="M76" s="64">
        <v>14.96</v>
      </c>
      <c r="N76" s="64">
        <v>86.4</v>
      </c>
      <c r="O76" s="64">
        <v>0</v>
      </c>
      <c r="P76" s="64">
        <v>0.47</v>
      </c>
      <c r="Q76" s="64">
        <v>9.4600000000000009</v>
      </c>
      <c r="R76" s="198"/>
      <c r="S76" s="198"/>
      <c r="T76" s="198"/>
      <c r="U76" s="198"/>
    </row>
    <row r="77" spans="1:21" s="12" customFormat="1" x14ac:dyDescent="0.25">
      <c r="A77" s="214" t="s">
        <v>700</v>
      </c>
      <c r="B77" s="64">
        <v>1.28</v>
      </c>
      <c r="C77" s="64">
        <v>53.34</v>
      </c>
      <c r="D77" s="64">
        <v>28.81</v>
      </c>
      <c r="E77" s="64">
        <v>0.93</v>
      </c>
      <c r="F77" s="64">
        <v>6.59</v>
      </c>
      <c r="G77" s="64">
        <v>45.31</v>
      </c>
      <c r="H77" s="64">
        <v>4.37</v>
      </c>
      <c r="I77" s="64">
        <v>4.4400000000000004</v>
      </c>
      <c r="J77" s="64">
        <v>0.6</v>
      </c>
      <c r="K77" s="64">
        <v>312.83</v>
      </c>
      <c r="L77" s="64">
        <v>35.32</v>
      </c>
      <c r="M77" s="64">
        <v>15.72</v>
      </c>
      <c r="N77" s="64">
        <v>72.8</v>
      </c>
      <c r="O77" s="64">
        <v>0</v>
      </c>
      <c r="P77" s="64">
        <v>0.47</v>
      </c>
      <c r="Q77" s="64">
        <v>9.23</v>
      </c>
      <c r="R77" s="198"/>
      <c r="S77" s="198"/>
      <c r="T77" s="198"/>
      <c r="U77" s="198"/>
    </row>
    <row r="78" spans="1:21" s="12" customFormat="1" x14ac:dyDescent="0.25">
      <c r="A78" s="214" t="s">
        <v>701</v>
      </c>
      <c r="B78" s="64">
        <v>1.28</v>
      </c>
      <c r="C78" s="64">
        <v>53.34</v>
      </c>
      <c r="D78" s="64">
        <v>28.81</v>
      </c>
      <c r="E78" s="64">
        <v>0.93</v>
      </c>
      <c r="F78" s="64">
        <v>6.59</v>
      </c>
      <c r="G78" s="64">
        <v>45.31</v>
      </c>
      <c r="H78" s="64">
        <v>4.37</v>
      </c>
      <c r="I78" s="64">
        <v>4.4400000000000004</v>
      </c>
      <c r="J78" s="64">
        <v>0.6</v>
      </c>
      <c r="K78" s="64">
        <v>312.83</v>
      </c>
      <c r="L78" s="64">
        <v>35.32</v>
      </c>
      <c r="M78" s="64">
        <v>15.72</v>
      </c>
      <c r="N78" s="64">
        <v>72.8</v>
      </c>
      <c r="O78" s="64">
        <v>0</v>
      </c>
      <c r="P78" s="64">
        <v>0.47</v>
      </c>
      <c r="Q78" s="64">
        <v>9.23</v>
      </c>
      <c r="R78" s="198"/>
      <c r="S78" s="198"/>
      <c r="T78" s="198"/>
      <c r="U78" s="198"/>
    </row>
    <row r="79" spans="1:21" s="12" customFormat="1" x14ac:dyDescent="0.25">
      <c r="A79" s="214" t="s">
        <v>702</v>
      </c>
      <c r="B79" s="64">
        <v>1.53</v>
      </c>
      <c r="C79" s="64">
        <v>53.43</v>
      </c>
      <c r="D79" s="64">
        <v>29.06</v>
      </c>
      <c r="E79" s="64">
        <v>0.95</v>
      </c>
      <c r="F79" s="64">
        <v>5.92</v>
      </c>
      <c r="G79" s="64">
        <v>44.99</v>
      </c>
      <c r="H79" s="64">
        <v>3.99</v>
      </c>
      <c r="I79" s="64">
        <v>4.21</v>
      </c>
      <c r="J79" s="64">
        <v>0.63</v>
      </c>
      <c r="K79" s="64">
        <v>308.82</v>
      </c>
      <c r="L79" s="64">
        <v>34.47</v>
      </c>
      <c r="M79" s="64">
        <v>16.899999999999999</v>
      </c>
      <c r="N79" s="64">
        <v>49.1</v>
      </c>
      <c r="O79" s="64">
        <v>0</v>
      </c>
      <c r="P79" s="64">
        <v>0.48</v>
      </c>
      <c r="Q79" s="64">
        <v>9.4499999999999993</v>
      </c>
      <c r="R79" s="198"/>
      <c r="S79" s="198"/>
      <c r="T79" s="198"/>
      <c r="U79" s="198"/>
    </row>
    <row r="80" spans="1:21" s="12" customFormat="1" x14ac:dyDescent="0.25">
      <c r="A80" s="214" t="s">
        <v>703</v>
      </c>
      <c r="B80" s="64">
        <v>1.94</v>
      </c>
      <c r="C80" s="64">
        <v>53.89</v>
      </c>
      <c r="D80" s="64">
        <v>29.63</v>
      </c>
      <c r="E80" s="64">
        <v>0.88</v>
      </c>
      <c r="F80" s="64">
        <v>4.96</v>
      </c>
      <c r="G80" s="64">
        <v>44.99</v>
      </c>
      <c r="H80" s="64">
        <v>3.99</v>
      </c>
      <c r="I80" s="64">
        <v>4.32</v>
      </c>
      <c r="J80" s="64">
        <v>0.55000000000000004</v>
      </c>
      <c r="K80" s="64">
        <v>310.68</v>
      </c>
      <c r="L80" s="64">
        <v>33.380000000000003</v>
      </c>
      <c r="M80" s="64">
        <v>18.55</v>
      </c>
      <c r="N80" s="64">
        <v>30.5</v>
      </c>
      <c r="O80" s="64">
        <v>0</v>
      </c>
      <c r="P80" s="64">
        <v>0.51</v>
      </c>
      <c r="Q80" s="64">
        <v>9.5</v>
      </c>
      <c r="R80" s="198"/>
      <c r="S80" s="198"/>
      <c r="T80" s="198"/>
      <c r="U80" s="198"/>
    </row>
    <row r="81" spans="1:26" s="12" customFormat="1" x14ac:dyDescent="0.25">
      <c r="A81" s="214" t="s">
        <v>704</v>
      </c>
      <c r="B81" s="64">
        <v>2.46</v>
      </c>
      <c r="C81" s="64">
        <v>54.34</v>
      </c>
      <c r="D81" s="64">
        <v>30.28</v>
      </c>
      <c r="E81" s="64">
        <v>0.94</v>
      </c>
      <c r="F81" s="64">
        <v>4.42</v>
      </c>
      <c r="G81" s="64">
        <v>48.09</v>
      </c>
      <c r="H81" s="64">
        <v>3.06</v>
      </c>
      <c r="I81" s="64">
        <v>4.3600000000000003</v>
      </c>
      <c r="J81" s="64">
        <v>0.65</v>
      </c>
      <c r="K81" s="64">
        <v>307.72000000000003</v>
      </c>
      <c r="L81" s="64">
        <v>32.630000000000003</v>
      </c>
      <c r="M81" s="64">
        <v>19.27</v>
      </c>
      <c r="N81" s="64">
        <v>20.9</v>
      </c>
      <c r="O81" s="64">
        <v>0</v>
      </c>
      <c r="P81" s="64">
        <v>0.52</v>
      </c>
      <c r="Q81" s="64">
        <v>9.48</v>
      </c>
      <c r="R81" s="198"/>
      <c r="S81" s="198"/>
      <c r="T81" s="198"/>
      <c r="U81" s="198"/>
    </row>
    <row r="82" spans="1:26" s="12" customFormat="1" x14ac:dyDescent="0.25">
      <c r="A82" s="214" t="s">
        <v>705</v>
      </c>
      <c r="B82" s="64">
        <v>2.9</v>
      </c>
      <c r="C82" s="64">
        <v>52.23</v>
      </c>
      <c r="D82" s="64">
        <v>29.53</v>
      </c>
      <c r="E82" s="64">
        <v>0.77</v>
      </c>
      <c r="F82" s="64">
        <v>4.47</v>
      </c>
      <c r="G82" s="64">
        <v>48.98</v>
      </c>
      <c r="H82" s="64">
        <v>2.79</v>
      </c>
      <c r="I82" s="64">
        <v>4.34</v>
      </c>
      <c r="J82" s="64">
        <v>0.67</v>
      </c>
      <c r="K82" s="64">
        <v>310.12</v>
      </c>
      <c r="L82" s="64">
        <v>32.07</v>
      </c>
      <c r="M82" s="64">
        <v>20.12</v>
      </c>
      <c r="N82" s="64">
        <v>17.3</v>
      </c>
      <c r="O82" s="64">
        <v>0</v>
      </c>
      <c r="P82" s="64">
        <v>0.54</v>
      </c>
      <c r="Q82" s="64">
        <v>9.3699999999999992</v>
      </c>
      <c r="R82" s="198"/>
      <c r="S82" s="198"/>
      <c r="T82" s="198"/>
      <c r="U82" s="198"/>
    </row>
    <row r="83" spans="1:26" s="12" customFormat="1" x14ac:dyDescent="0.25">
      <c r="A83" s="214" t="s">
        <v>706</v>
      </c>
      <c r="B83" s="64">
        <v>3.13</v>
      </c>
      <c r="C83" s="64">
        <v>52.4</v>
      </c>
      <c r="D83" s="64">
        <v>29.81</v>
      </c>
      <c r="E83" s="64">
        <v>0.68</v>
      </c>
      <c r="F83" s="64">
        <v>4.8600000000000003</v>
      </c>
      <c r="G83" s="64">
        <v>48.98</v>
      </c>
      <c r="H83" s="64">
        <v>2.79</v>
      </c>
      <c r="I83" s="64">
        <v>4.87</v>
      </c>
      <c r="J83" s="64">
        <v>0.63</v>
      </c>
      <c r="K83" s="64">
        <v>317.88</v>
      </c>
      <c r="L83" s="64">
        <v>31.57</v>
      </c>
      <c r="M83" s="64">
        <v>21.15</v>
      </c>
      <c r="N83" s="64">
        <v>16.899999999999999</v>
      </c>
      <c r="O83" s="64">
        <v>0</v>
      </c>
      <c r="P83" s="64">
        <v>0.56999999999999995</v>
      </c>
      <c r="Q83" s="64">
        <v>9.6</v>
      </c>
      <c r="R83" s="198"/>
      <c r="S83" s="198"/>
      <c r="T83" s="198"/>
      <c r="U83" s="198"/>
    </row>
    <row r="84" spans="1:26" s="12" customFormat="1" x14ac:dyDescent="0.25">
      <c r="A84" s="214" t="s">
        <v>707</v>
      </c>
      <c r="B84" s="64">
        <v>3.38</v>
      </c>
      <c r="C84" s="64">
        <v>55.38</v>
      </c>
      <c r="D84" s="64">
        <v>31.57</v>
      </c>
      <c r="E84" s="64">
        <v>0.93</v>
      </c>
      <c r="F84" s="64">
        <v>4.4400000000000004</v>
      </c>
      <c r="G84" s="64">
        <v>48.98</v>
      </c>
      <c r="H84" s="64">
        <v>2.79</v>
      </c>
      <c r="I84" s="64">
        <v>5.22</v>
      </c>
      <c r="J84" s="64">
        <v>0.59</v>
      </c>
      <c r="K84" s="64">
        <v>324.87</v>
      </c>
      <c r="L84" s="64">
        <v>31.1</v>
      </c>
      <c r="M84" s="64">
        <v>22.24</v>
      </c>
      <c r="N84" s="64">
        <v>16.899999999999999</v>
      </c>
      <c r="O84" s="64">
        <v>0</v>
      </c>
      <c r="P84" s="64">
        <v>0.62</v>
      </c>
      <c r="Q84" s="64">
        <v>9.6300000000000008</v>
      </c>
      <c r="R84" s="198"/>
      <c r="S84" s="198"/>
      <c r="T84" s="198"/>
      <c r="U84" s="198"/>
    </row>
    <row r="85" spans="1:26" s="12" customFormat="1" x14ac:dyDescent="0.25">
      <c r="A85" s="214" t="s">
        <v>708</v>
      </c>
      <c r="B85" s="64">
        <v>4.1900000000000004</v>
      </c>
      <c r="C85" s="64">
        <v>56.95</v>
      </c>
      <c r="D85" s="64">
        <v>33.03</v>
      </c>
      <c r="E85" s="64">
        <v>1.1000000000000001</v>
      </c>
      <c r="F85" s="64">
        <v>3.91</v>
      </c>
      <c r="G85" s="64">
        <v>51.43</v>
      </c>
      <c r="H85" s="64">
        <v>2.14</v>
      </c>
      <c r="I85" s="64">
        <v>5.34</v>
      </c>
      <c r="J85" s="64">
        <v>0.4</v>
      </c>
      <c r="K85" s="64">
        <v>323.64999999999998</v>
      </c>
      <c r="L85" s="64">
        <v>30.77</v>
      </c>
      <c r="M85" s="64">
        <v>23.07</v>
      </c>
      <c r="N85" s="64">
        <v>17.100000000000001</v>
      </c>
      <c r="O85" s="64">
        <v>0</v>
      </c>
      <c r="P85" s="64">
        <v>0.67</v>
      </c>
      <c r="Q85" s="64">
        <v>9.68</v>
      </c>
      <c r="R85" s="198"/>
      <c r="S85" s="198"/>
      <c r="T85" s="198"/>
      <c r="U85" s="198"/>
    </row>
    <row r="86" spans="1:26" s="12" customFormat="1" x14ac:dyDescent="0.25">
      <c r="A86" s="214" t="s">
        <v>709</v>
      </c>
      <c r="B86" s="64">
        <v>5.57</v>
      </c>
      <c r="C86" s="64">
        <v>57.79</v>
      </c>
      <c r="D86" s="64">
        <v>34.58</v>
      </c>
      <c r="E86" s="64">
        <v>1.19</v>
      </c>
      <c r="F86" s="64">
        <v>3.66</v>
      </c>
      <c r="G86" s="64">
        <v>52.14</v>
      </c>
      <c r="H86" s="64">
        <v>1.95</v>
      </c>
      <c r="I86" s="64">
        <v>5.45</v>
      </c>
      <c r="J86" s="64">
        <v>0.52</v>
      </c>
      <c r="K86" s="64">
        <v>313.14999999999998</v>
      </c>
      <c r="L86" s="64">
        <v>30.6</v>
      </c>
      <c r="M86" s="64">
        <v>23.37</v>
      </c>
      <c r="N86" s="64">
        <v>16.399999999999999</v>
      </c>
      <c r="O86" s="64">
        <v>0</v>
      </c>
      <c r="P86" s="64">
        <v>0.74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4" t="s">
        <v>710</v>
      </c>
      <c r="B87" s="64">
        <v>6.64</v>
      </c>
      <c r="C87" s="64">
        <v>59.08</v>
      </c>
      <c r="D87" s="64">
        <v>36.11</v>
      </c>
      <c r="E87" s="64">
        <v>1.04</v>
      </c>
      <c r="F87" s="64">
        <v>3.83</v>
      </c>
      <c r="G87" s="64">
        <v>52.14</v>
      </c>
      <c r="H87" s="64">
        <v>1.95</v>
      </c>
      <c r="I87" s="64">
        <v>5.58</v>
      </c>
      <c r="J87" s="64">
        <v>0.42</v>
      </c>
      <c r="K87" s="64">
        <v>313.13</v>
      </c>
      <c r="L87" s="64">
        <v>30.47</v>
      </c>
      <c r="M87" s="64">
        <v>23.37</v>
      </c>
      <c r="N87" s="64">
        <v>16.8</v>
      </c>
      <c r="O87" s="64">
        <v>0</v>
      </c>
      <c r="P87" s="64">
        <v>0.77</v>
      </c>
      <c r="Q87" s="64">
        <v>9.42</v>
      </c>
      <c r="R87" s="198"/>
      <c r="S87" s="198"/>
      <c r="T87" s="198"/>
      <c r="U87" s="198"/>
    </row>
    <row r="88" spans="1:26" s="12" customFormat="1" x14ac:dyDescent="0.25">
      <c r="A88" s="214" t="s">
        <v>711</v>
      </c>
      <c r="B88" s="64">
        <v>7.17</v>
      </c>
      <c r="C88" s="64">
        <v>60.37</v>
      </c>
      <c r="D88" s="64">
        <v>37.21</v>
      </c>
      <c r="E88" s="64">
        <v>0.67</v>
      </c>
      <c r="F88" s="64">
        <v>3.69</v>
      </c>
      <c r="G88" s="64">
        <v>52.14</v>
      </c>
      <c r="H88" s="64">
        <v>1.95</v>
      </c>
      <c r="I88" s="64">
        <v>5.77</v>
      </c>
      <c r="J88" s="64">
        <v>0.3</v>
      </c>
      <c r="K88" s="64">
        <v>333.53</v>
      </c>
      <c r="L88" s="64">
        <v>30.07</v>
      </c>
      <c r="M88" s="64">
        <v>24.45</v>
      </c>
      <c r="N88" s="64">
        <v>17.2</v>
      </c>
      <c r="O88" s="64">
        <v>0</v>
      </c>
      <c r="P88" s="64">
        <v>0.86</v>
      </c>
      <c r="Q88" s="64">
        <v>9.42</v>
      </c>
      <c r="R88" s="198"/>
      <c r="S88" s="198"/>
      <c r="T88" s="198"/>
      <c r="U88" s="198"/>
    </row>
    <row r="89" spans="1:26" s="12" customFormat="1" x14ac:dyDescent="0.25">
      <c r="A89" s="214" t="s">
        <v>712</v>
      </c>
      <c r="B89" s="64">
        <v>8.6199999999999992</v>
      </c>
      <c r="C89" s="64">
        <v>61.69</v>
      </c>
      <c r="D89" s="64">
        <v>39.06</v>
      </c>
      <c r="E89" s="64">
        <v>0.47</v>
      </c>
      <c r="F89" s="64">
        <v>3.44</v>
      </c>
      <c r="G89" s="64">
        <v>54.62</v>
      </c>
      <c r="H89" s="64">
        <v>1.5</v>
      </c>
      <c r="I89" s="64">
        <v>5.85</v>
      </c>
      <c r="J89" s="64">
        <v>0.37</v>
      </c>
      <c r="K89" s="64">
        <v>333.32</v>
      </c>
      <c r="L89" s="64">
        <v>29.71</v>
      </c>
      <c r="M89" s="64">
        <v>25.81</v>
      </c>
      <c r="N89" s="64">
        <v>17</v>
      </c>
      <c r="O89" s="64">
        <v>0</v>
      </c>
      <c r="P89" s="64">
        <v>0.92</v>
      </c>
      <c r="Q89" s="64">
        <v>9.4600000000000009</v>
      </c>
      <c r="R89" s="198"/>
      <c r="S89" s="198"/>
      <c r="T89" s="198"/>
      <c r="U89" s="198"/>
    </row>
    <row r="90" spans="1:26" s="12" customFormat="1" x14ac:dyDescent="0.25">
      <c r="A90" s="214" t="s">
        <v>713</v>
      </c>
      <c r="B90" s="64">
        <v>9.9499999999999993</v>
      </c>
      <c r="C90" s="64">
        <v>62.49</v>
      </c>
      <c r="D90" s="64">
        <v>40.549999999999997</v>
      </c>
      <c r="E90" s="64">
        <v>0.65</v>
      </c>
      <c r="F90" s="64">
        <v>3.58</v>
      </c>
      <c r="G90" s="64">
        <v>55.33</v>
      </c>
      <c r="H90" s="64">
        <v>1.37</v>
      </c>
      <c r="I90" s="64">
        <v>5.73</v>
      </c>
      <c r="J90" s="64">
        <v>0.06</v>
      </c>
      <c r="K90" s="64">
        <v>253.37</v>
      </c>
      <c r="L90" s="64">
        <v>29.47</v>
      </c>
      <c r="M90" s="64">
        <v>25.15</v>
      </c>
      <c r="N90" s="64">
        <v>17.399999999999999</v>
      </c>
      <c r="O90" s="64">
        <v>0</v>
      </c>
      <c r="P90" s="64">
        <v>0.98</v>
      </c>
      <c r="Q90" s="64">
        <v>9.61</v>
      </c>
      <c r="R90" s="198"/>
      <c r="S90" s="198"/>
      <c r="T90" s="198"/>
      <c r="U90" s="198"/>
    </row>
    <row r="91" spans="1:26" s="12" customFormat="1" x14ac:dyDescent="0.25">
      <c r="A91" s="214" t="s">
        <v>714</v>
      </c>
      <c r="B91" s="64">
        <v>12.89</v>
      </c>
      <c r="C91" s="64">
        <v>64.09</v>
      </c>
      <c r="D91" s="64">
        <v>43.75</v>
      </c>
      <c r="E91" s="64">
        <v>0.5</v>
      </c>
      <c r="F91" s="64">
        <v>3.25</v>
      </c>
      <c r="G91" s="64">
        <v>55.33</v>
      </c>
      <c r="H91" s="64">
        <v>1.37</v>
      </c>
      <c r="I91" s="64">
        <v>5.77</v>
      </c>
      <c r="J91" s="64">
        <v>0.12</v>
      </c>
      <c r="K91" s="64">
        <v>289.31</v>
      </c>
      <c r="L91" s="64">
        <v>29.46</v>
      </c>
      <c r="M91" s="64">
        <v>25.31</v>
      </c>
      <c r="N91" s="64">
        <v>17.100000000000001</v>
      </c>
      <c r="O91" s="64">
        <v>0</v>
      </c>
      <c r="P91" s="64">
        <v>1.1000000000000001</v>
      </c>
      <c r="Q91" s="64">
        <v>9.77</v>
      </c>
      <c r="R91" s="198"/>
      <c r="S91" s="198"/>
      <c r="T91" s="198"/>
      <c r="U91" s="198"/>
    </row>
    <row r="92" spans="1:26" s="12" customFormat="1" x14ac:dyDescent="0.25">
      <c r="A92" s="214" t="s">
        <v>715</v>
      </c>
      <c r="B92" s="64">
        <v>15.16</v>
      </c>
      <c r="C92" s="64">
        <v>58.58</v>
      </c>
      <c r="D92" s="64">
        <v>42.68</v>
      </c>
      <c r="E92" s="64">
        <v>0.43</v>
      </c>
      <c r="F92" s="64">
        <v>3.33</v>
      </c>
      <c r="G92" s="64">
        <v>55.33</v>
      </c>
      <c r="H92" s="64">
        <v>1.37</v>
      </c>
      <c r="I92" s="64">
        <v>5.85</v>
      </c>
      <c r="J92" s="64">
        <v>0.15</v>
      </c>
      <c r="K92" s="64">
        <v>309.08999999999997</v>
      </c>
      <c r="L92" s="64">
        <v>29.17</v>
      </c>
      <c r="M92" s="64">
        <v>26.22</v>
      </c>
      <c r="N92" s="64">
        <v>17.3</v>
      </c>
      <c r="O92" s="64">
        <v>0</v>
      </c>
      <c r="P92" s="64">
        <v>1.1399999999999999</v>
      </c>
      <c r="Q92" s="64">
        <v>9.7200000000000006</v>
      </c>
      <c r="R92" s="198"/>
      <c r="S92" s="198"/>
      <c r="T92" s="198"/>
      <c r="U92" s="198"/>
    </row>
    <row r="93" spans="1:26" s="12" customFormat="1" x14ac:dyDescent="0.25">
      <c r="A93" s="214" t="s">
        <v>716</v>
      </c>
      <c r="B93" s="64">
        <v>19.84</v>
      </c>
      <c r="C93" s="64">
        <v>67.06</v>
      </c>
      <c r="D93" s="64">
        <v>50.86</v>
      </c>
      <c r="E93" s="64">
        <v>0.6</v>
      </c>
      <c r="F93" s="64">
        <v>3.18</v>
      </c>
      <c r="G93" s="64">
        <v>61.87</v>
      </c>
      <c r="H93" s="64">
        <v>50.76</v>
      </c>
      <c r="I93" s="64">
        <v>6.27</v>
      </c>
      <c r="J93" s="64">
        <v>0.08</v>
      </c>
      <c r="K93" s="64">
        <v>263</v>
      </c>
      <c r="L93" s="64">
        <v>28.59</v>
      </c>
      <c r="M93" s="64">
        <v>27.74</v>
      </c>
      <c r="N93" s="64">
        <v>17.3</v>
      </c>
      <c r="O93" s="64">
        <v>0</v>
      </c>
      <c r="P93" s="64">
        <v>1.43</v>
      </c>
      <c r="Q93" s="64">
        <v>9.64</v>
      </c>
      <c r="R93" s="198"/>
      <c r="S93" s="198"/>
      <c r="T93" s="198"/>
      <c r="U93" s="198"/>
    </row>
    <row r="94" spans="1:26" s="12" customFormat="1" x14ac:dyDescent="0.25">
      <c r="A94" s="214" t="s">
        <v>717</v>
      </c>
      <c r="B94" s="64">
        <v>22.6</v>
      </c>
      <c r="C94" s="64">
        <v>65.64</v>
      </c>
      <c r="D94" s="64">
        <v>52.34</v>
      </c>
      <c r="E94" s="64">
        <v>0.57999999999999996</v>
      </c>
      <c r="F94" s="64">
        <v>3.33</v>
      </c>
      <c r="G94" s="64">
        <v>63.75</v>
      </c>
      <c r="H94" s="64">
        <v>64.88</v>
      </c>
      <c r="I94" s="64">
        <v>6.4</v>
      </c>
      <c r="J94" s="64">
        <v>0.11</v>
      </c>
      <c r="K94" s="64">
        <v>264.36</v>
      </c>
      <c r="L94" s="64">
        <v>28.25</v>
      </c>
      <c r="M94" s="64">
        <v>29.15</v>
      </c>
      <c r="N94" s="64">
        <v>17.100000000000001</v>
      </c>
      <c r="O94" s="64">
        <v>0</v>
      </c>
      <c r="P94" s="64">
        <v>1.39</v>
      </c>
      <c r="Q94" s="64">
        <v>9.77</v>
      </c>
      <c r="R94" s="198"/>
      <c r="S94" s="198"/>
      <c r="T94" s="198"/>
      <c r="U94" s="198"/>
    </row>
    <row r="95" spans="1:26" s="12" customFormat="1" x14ac:dyDescent="0.25">
      <c r="A95" s="214" t="s">
        <v>718</v>
      </c>
      <c r="B95" s="64">
        <v>25.26</v>
      </c>
      <c r="C95" s="64">
        <v>65.540000000000006</v>
      </c>
      <c r="D95" s="64">
        <v>54.42</v>
      </c>
      <c r="E95" s="64">
        <v>0.8</v>
      </c>
      <c r="F95" s="64">
        <v>3.28</v>
      </c>
      <c r="G95" s="64">
        <v>63.75</v>
      </c>
      <c r="H95" s="64">
        <v>64.88</v>
      </c>
      <c r="I95" s="64">
        <v>6.93</v>
      </c>
      <c r="J95" s="64">
        <v>0.14000000000000001</v>
      </c>
      <c r="K95" s="64">
        <v>211.43</v>
      </c>
      <c r="L95" s="64">
        <v>28.16</v>
      </c>
      <c r="M95" s="64">
        <v>29</v>
      </c>
      <c r="N95" s="64">
        <v>17.100000000000001</v>
      </c>
      <c r="O95" s="64">
        <v>0</v>
      </c>
      <c r="P95" s="64">
        <v>1.35</v>
      </c>
      <c r="Q95" s="64">
        <v>9.8699999999999992</v>
      </c>
      <c r="R95" s="198"/>
      <c r="S95" s="198"/>
      <c r="T95" s="198"/>
      <c r="U95" s="198"/>
    </row>
    <row r="96" spans="1:26" s="12" customFormat="1" x14ac:dyDescent="0.25">
      <c r="A96" s="214" t="s">
        <v>719</v>
      </c>
      <c r="B96" s="64">
        <v>26.85</v>
      </c>
      <c r="C96" s="64">
        <v>64.98</v>
      </c>
      <c r="D96" s="64">
        <v>55.4</v>
      </c>
      <c r="E96" s="64">
        <v>0.56999999999999995</v>
      </c>
      <c r="F96" s="64">
        <v>3.22</v>
      </c>
      <c r="G96" s="64">
        <v>63.75</v>
      </c>
      <c r="H96" s="64">
        <v>64.88</v>
      </c>
      <c r="I96" s="64">
        <v>7.06</v>
      </c>
      <c r="J96" s="64">
        <v>0.15</v>
      </c>
      <c r="K96" s="64">
        <v>249.26</v>
      </c>
      <c r="L96" s="64">
        <v>27.96</v>
      </c>
      <c r="M96" s="64">
        <v>29.63</v>
      </c>
      <c r="N96" s="64">
        <v>17.2</v>
      </c>
      <c r="O96" s="64">
        <v>0</v>
      </c>
      <c r="P96" s="64">
        <v>1.27</v>
      </c>
      <c r="Q96" s="64">
        <v>9.61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720</v>
      </c>
      <c r="B97" s="64">
        <v>28.62</v>
      </c>
      <c r="C97" s="64">
        <v>64.709999999999994</v>
      </c>
      <c r="D97" s="64">
        <v>56.68</v>
      </c>
      <c r="E97" s="64">
        <v>0.34</v>
      </c>
      <c r="F97" s="64">
        <v>3.29</v>
      </c>
      <c r="G97" s="64">
        <v>72.930000000000007</v>
      </c>
      <c r="H97" s="64">
        <v>27.06</v>
      </c>
      <c r="I97" s="64">
        <v>6.84</v>
      </c>
      <c r="J97" s="64">
        <v>0.14000000000000001</v>
      </c>
      <c r="K97" s="64">
        <v>291.63</v>
      </c>
      <c r="L97" s="64">
        <v>27.17</v>
      </c>
      <c r="M97" s="64">
        <v>32.57</v>
      </c>
      <c r="N97" s="64">
        <v>17.399999999999999</v>
      </c>
      <c r="O97" s="64">
        <v>0</v>
      </c>
      <c r="P97" s="64">
        <v>1.36</v>
      </c>
      <c r="Q97" s="64">
        <v>10.01</v>
      </c>
      <c r="R97" s="198"/>
      <c r="S97" s="198"/>
      <c r="T97" s="198"/>
      <c r="U97" s="198"/>
    </row>
    <row r="98" spans="1:33" s="12" customFormat="1" x14ac:dyDescent="0.25">
      <c r="A98" s="214" t="s">
        <v>721</v>
      </c>
      <c r="B98" s="64">
        <v>31.28</v>
      </c>
      <c r="C98" s="64">
        <v>64.34</v>
      </c>
      <c r="D98" s="64">
        <v>58.62</v>
      </c>
      <c r="E98" s="64">
        <v>0.9</v>
      </c>
      <c r="F98" s="64">
        <v>3.25</v>
      </c>
      <c r="G98" s="64">
        <v>75.55</v>
      </c>
      <c r="H98" s="64">
        <v>16.25</v>
      </c>
      <c r="I98" s="64">
        <v>6.67</v>
      </c>
      <c r="J98" s="64">
        <v>0.19</v>
      </c>
      <c r="K98" s="64">
        <v>283.04000000000002</v>
      </c>
      <c r="L98" s="64">
        <v>26.91</v>
      </c>
      <c r="M98" s="64">
        <v>32.590000000000003</v>
      </c>
      <c r="N98" s="64">
        <v>17.2</v>
      </c>
      <c r="O98" s="64">
        <v>0</v>
      </c>
      <c r="P98" s="64">
        <v>1.33</v>
      </c>
      <c r="Q98" s="64">
        <v>9.82</v>
      </c>
      <c r="R98" s="198"/>
      <c r="S98" s="198"/>
      <c r="T98" s="198"/>
      <c r="U98" s="198"/>
    </row>
    <row r="99" spans="1:33" s="12" customFormat="1" x14ac:dyDescent="0.25">
      <c r="A99" s="214" t="s">
        <v>722</v>
      </c>
      <c r="B99" s="64">
        <v>34.24</v>
      </c>
      <c r="C99" s="64">
        <v>64.13</v>
      </c>
      <c r="D99" s="64">
        <v>60.89</v>
      </c>
      <c r="E99" s="64">
        <v>0.82</v>
      </c>
      <c r="F99" s="64">
        <v>3.25</v>
      </c>
      <c r="G99" s="64">
        <v>75.55</v>
      </c>
      <c r="H99" s="64">
        <v>16.25</v>
      </c>
      <c r="I99" s="64">
        <v>7.25</v>
      </c>
      <c r="J99" s="64">
        <v>0.04</v>
      </c>
      <c r="K99" s="64">
        <v>208.35</v>
      </c>
      <c r="L99" s="64">
        <v>26.48</v>
      </c>
      <c r="M99" s="64">
        <v>33.770000000000003</v>
      </c>
      <c r="N99" s="64">
        <v>17.5</v>
      </c>
      <c r="O99" s="64">
        <v>0</v>
      </c>
      <c r="P99" s="64">
        <v>1.29</v>
      </c>
      <c r="Q99" s="64">
        <v>10.14</v>
      </c>
      <c r="R99" s="198"/>
      <c r="S99" s="198"/>
      <c r="T99" s="198"/>
      <c r="U99" s="198"/>
    </row>
    <row r="100" spans="1:33" s="12" customFormat="1" x14ac:dyDescent="0.25">
      <c r="A100" s="214" t="s">
        <v>723</v>
      </c>
      <c r="B100" s="64">
        <v>38.76</v>
      </c>
      <c r="C100" s="64">
        <v>64.52</v>
      </c>
      <c r="D100" s="64">
        <v>64.709999999999994</v>
      </c>
      <c r="E100" s="64">
        <v>0.85</v>
      </c>
      <c r="F100" s="64">
        <v>3.21</v>
      </c>
      <c r="G100" s="64">
        <v>75.55</v>
      </c>
      <c r="H100" s="64">
        <v>16.25</v>
      </c>
      <c r="I100" s="64">
        <v>7.65</v>
      </c>
      <c r="J100" s="64">
        <v>0.21</v>
      </c>
      <c r="K100" s="64">
        <v>101.77</v>
      </c>
      <c r="L100" s="64">
        <v>26.47</v>
      </c>
      <c r="M100" s="64">
        <v>37.299999999999997</v>
      </c>
      <c r="N100" s="64">
        <v>17</v>
      </c>
      <c r="O100" s="64">
        <v>0</v>
      </c>
      <c r="P100" s="64">
        <v>1.4</v>
      </c>
      <c r="Q100" s="64">
        <v>10.18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724</v>
      </c>
      <c r="B101" s="64">
        <v>47.74</v>
      </c>
      <c r="C101" s="64">
        <v>64.33</v>
      </c>
      <c r="D101" s="64">
        <v>71.81</v>
      </c>
      <c r="E101" s="64">
        <v>0.78</v>
      </c>
      <c r="F101" s="64">
        <v>3.27</v>
      </c>
      <c r="G101" s="64">
        <v>85.13</v>
      </c>
      <c r="H101" s="64">
        <v>66.989999999999995</v>
      </c>
      <c r="I101" s="64">
        <v>7.5</v>
      </c>
      <c r="J101" s="64">
        <v>0.04</v>
      </c>
      <c r="K101" s="64">
        <v>152.97999999999999</v>
      </c>
      <c r="L101" s="64">
        <v>26.09</v>
      </c>
      <c r="M101" s="64">
        <v>38.32</v>
      </c>
      <c r="N101" s="64">
        <v>17.2</v>
      </c>
      <c r="O101" s="64">
        <v>0</v>
      </c>
      <c r="P101" s="64">
        <v>1.37</v>
      </c>
      <c r="Q101" s="64">
        <v>10.26</v>
      </c>
      <c r="R101" s="198"/>
      <c r="S101" s="198"/>
      <c r="T101" s="198"/>
      <c r="U101" s="198"/>
    </row>
    <row r="102" spans="1:33" s="12" customFormat="1" x14ac:dyDescent="0.25">
      <c r="A102" s="214" t="s">
        <v>725</v>
      </c>
      <c r="B102" s="64">
        <v>54.3</v>
      </c>
      <c r="C102" s="64">
        <v>65.86</v>
      </c>
      <c r="D102" s="64">
        <v>77.87</v>
      </c>
      <c r="E102" s="64">
        <v>0.97</v>
      </c>
      <c r="F102" s="64">
        <v>3.38</v>
      </c>
      <c r="G102" s="64">
        <v>87.87</v>
      </c>
      <c r="H102" s="64">
        <v>81.48</v>
      </c>
      <c r="I102" s="64">
        <v>8.66</v>
      </c>
      <c r="J102" s="64">
        <v>0.11</v>
      </c>
      <c r="K102" s="64">
        <v>248.42</v>
      </c>
      <c r="L102" s="64">
        <v>25.69</v>
      </c>
      <c r="M102" s="64">
        <v>41.92</v>
      </c>
      <c r="N102" s="64">
        <v>17.399999999999999</v>
      </c>
      <c r="O102" s="64">
        <v>0</v>
      </c>
      <c r="P102" s="64">
        <v>1.35</v>
      </c>
      <c r="Q102" s="64">
        <v>10.4</v>
      </c>
      <c r="R102" s="198"/>
      <c r="S102" s="198"/>
      <c r="T102" s="198"/>
      <c r="U102" s="198"/>
    </row>
    <row r="103" spans="1:33" s="12" customFormat="1" x14ac:dyDescent="0.25">
      <c r="A103" s="214" t="s">
        <v>726</v>
      </c>
      <c r="B103" s="64">
        <v>57.83</v>
      </c>
      <c r="C103" s="64">
        <v>66.650000000000006</v>
      </c>
      <c r="D103" s="64">
        <v>81.12</v>
      </c>
      <c r="E103" s="64">
        <v>0.78</v>
      </c>
      <c r="F103" s="64">
        <v>3.41</v>
      </c>
      <c r="G103" s="64">
        <v>87.87</v>
      </c>
      <c r="H103" s="64">
        <v>81.48</v>
      </c>
      <c r="I103" s="64">
        <v>8.67</v>
      </c>
      <c r="J103" s="64">
        <v>0.1</v>
      </c>
      <c r="K103" s="64">
        <v>120.09</v>
      </c>
      <c r="L103" s="64">
        <v>25.45</v>
      </c>
      <c r="M103" s="64">
        <v>43.86</v>
      </c>
      <c r="N103" s="64">
        <v>17.100000000000001</v>
      </c>
      <c r="O103" s="64">
        <v>0</v>
      </c>
      <c r="P103" s="64">
        <v>1.34</v>
      </c>
      <c r="Q103" s="64">
        <v>10.52</v>
      </c>
      <c r="R103" s="198"/>
      <c r="S103" s="198"/>
      <c r="T103" s="198"/>
      <c r="U103" s="198"/>
    </row>
    <row r="104" spans="1:33" s="12" customFormat="1" x14ac:dyDescent="0.25">
      <c r="A104" s="214" t="s">
        <v>727</v>
      </c>
      <c r="B104" s="64">
        <v>60.44</v>
      </c>
      <c r="C104" s="64">
        <v>67.25</v>
      </c>
      <c r="D104" s="64">
        <v>83.53</v>
      </c>
      <c r="E104" s="64">
        <v>2.9</v>
      </c>
      <c r="F104" s="64">
        <v>3.58</v>
      </c>
      <c r="G104" s="64">
        <v>87.87</v>
      </c>
      <c r="H104" s="64">
        <v>81.48</v>
      </c>
      <c r="I104" s="64">
        <v>8.57</v>
      </c>
      <c r="J104" s="64">
        <v>0.18</v>
      </c>
      <c r="K104" s="64">
        <v>253.51</v>
      </c>
      <c r="L104" s="64">
        <v>25.43</v>
      </c>
      <c r="M104" s="64">
        <v>42.95</v>
      </c>
      <c r="N104" s="64">
        <v>16.8</v>
      </c>
      <c r="O104" s="64">
        <v>0</v>
      </c>
      <c r="P104" s="64">
        <v>1.33</v>
      </c>
      <c r="Q104" s="64">
        <v>10.48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0.79</v>
      </c>
      <c r="C106" s="67">
        <f>MIN(C9:C104)</f>
        <v>33.9</v>
      </c>
      <c r="D106" s="67">
        <f t="shared" ref="D106:Q106" si="0">MIN(D9:D104)</f>
        <v>18.399999999999999</v>
      </c>
      <c r="E106" s="67">
        <f t="shared" si="0"/>
        <v>0.34</v>
      </c>
      <c r="F106" s="67">
        <f t="shared" si="0"/>
        <v>3.18</v>
      </c>
      <c r="G106" s="67">
        <f t="shared" si="0"/>
        <v>44.87</v>
      </c>
      <c r="H106" s="67">
        <f t="shared" si="0"/>
        <v>1.37</v>
      </c>
      <c r="I106" s="67">
        <f t="shared" si="0"/>
        <v>4.21</v>
      </c>
      <c r="J106" s="67">
        <f t="shared" si="0"/>
        <v>0.03</v>
      </c>
      <c r="K106" s="67">
        <f t="shared" si="0"/>
        <v>26.31</v>
      </c>
      <c r="L106" s="67">
        <f t="shared" si="0"/>
        <v>23.43</v>
      </c>
      <c r="M106" s="67">
        <f t="shared" si="0"/>
        <v>12.39</v>
      </c>
      <c r="N106" s="67">
        <f t="shared" si="0"/>
        <v>16.399999999999999</v>
      </c>
      <c r="O106" s="67">
        <f t="shared" si="0"/>
        <v>0</v>
      </c>
      <c r="P106" s="67">
        <f t="shared" si="0"/>
        <v>0.47</v>
      </c>
      <c r="Q106" s="67">
        <f t="shared" si="0"/>
        <v>9.23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60.44</v>
      </c>
      <c r="C107" s="66">
        <f t="shared" ref="C107:Q107" si="1">MAX(C9:C104)</f>
        <v>76.2</v>
      </c>
      <c r="D107" s="66">
        <f t="shared" si="1"/>
        <v>83.53</v>
      </c>
      <c r="E107" s="66">
        <f t="shared" si="1"/>
        <v>2.9</v>
      </c>
      <c r="F107" s="66">
        <f t="shared" si="1"/>
        <v>8.9700000000000006</v>
      </c>
      <c r="G107" s="66">
        <f t="shared" si="1"/>
        <v>94.11</v>
      </c>
      <c r="H107" s="66">
        <f t="shared" si="1"/>
        <v>81.48</v>
      </c>
      <c r="I107" s="66">
        <f t="shared" si="1"/>
        <v>9.56</v>
      </c>
      <c r="J107" s="66">
        <f t="shared" si="1"/>
        <v>1.31</v>
      </c>
      <c r="K107" s="66">
        <f t="shared" si="1"/>
        <v>351.33</v>
      </c>
      <c r="L107" s="66">
        <f t="shared" si="1"/>
        <v>41.44</v>
      </c>
      <c r="M107" s="66">
        <f t="shared" si="1"/>
        <v>57.4</v>
      </c>
      <c r="N107" s="66">
        <f t="shared" si="1"/>
        <v>943.2</v>
      </c>
      <c r="O107" s="66">
        <f t="shared" si="1"/>
        <v>0</v>
      </c>
      <c r="P107" s="66">
        <f t="shared" si="1"/>
        <v>1.43</v>
      </c>
      <c r="Q107" s="66">
        <f t="shared" si="1"/>
        <v>10.52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11.191770833333331</v>
      </c>
      <c r="C108" s="67">
        <f t="shared" ref="C108:Q108" si="2">AVERAGE(C9:C104)</f>
        <v>57.15499999999998</v>
      </c>
      <c r="D108" s="67">
        <f t="shared" si="2"/>
        <v>38.756666666666675</v>
      </c>
      <c r="E108" s="67">
        <f t="shared" si="2"/>
        <v>1.3909375000000006</v>
      </c>
      <c r="F108" s="67">
        <f t="shared" si="2"/>
        <v>4.5580208333333339</v>
      </c>
      <c r="G108" s="67">
        <f t="shared" si="2"/>
        <v>67.133750000000006</v>
      </c>
      <c r="H108" s="67">
        <f t="shared" si="2"/>
        <v>22.685208333333335</v>
      </c>
      <c r="I108" s="67">
        <f t="shared" si="2"/>
        <v>7.2127083333333362</v>
      </c>
      <c r="J108" s="67">
        <f t="shared" si="2"/>
        <v>0.40812500000000007</v>
      </c>
      <c r="K108" s="67">
        <f t="shared" si="2"/>
        <v>277.32697916666666</v>
      </c>
      <c r="L108" s="67">
        <f t="shared" si="2"/>
        <v>31.527500000000003</v>
      </c>
      <c r="M108" s="67">
        <f t="shared" si="2"/>
        <v>30.366770833333337</v>
      </c>
      <c r="N108" s="67">
        <f t="shared" si="2"/>
        <v>263.89270833333342</v>
      </c>
      <c r="O108" s="67">
        <f t="shared" si="2"/>
        <v>0</v>
      </c>
      <c r="P108" s="67">
        <f t="shared" si="2"/>
        <v>0.83489583333333328</v>
      </c>
      <c r="Q108" s="67">
        <f t="shared" si="2"/>
        <v>9.6808333333333341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12.30842236201158</v>
      </c>
      <c r="C109" s="67">
        <f t="shared" ref="C109:Q109" si="3">STDEV(C9:C104)</f>
        <v>7.3605989458812555</v>
      </c>
      <c r="D109" s="67">
        <f t="shared" si="3"/>
        <v>11.978552558782232</v>
      </c>
      <c r="E109" s="67">
        <f t="shared" si="3"/>
        <v>0.56425839195774108</v>
      </c>
      <c r="F109" s="67">
        <f t="shared" si="3"/>
        <v>1.463966220340563</v>
      </c>
      <c r="G109" s="67">
        <f t="shared" si="3"/>
        <v>14.592154651332827</v>
      </c>
      <c r="H109" s="67">
        <f t="shared" si="3"/>
        <v>17.549242177620417</v>
      </c>
      <c r="I109" s="67">
        <f t="shared" si="3"/>
        <v>1.4704374423721081</v>
      </c>
      <c r="J109" s="67">
        <f t="shared" si="3"/>
        <v>0.32799971919115056</v>
      </c>
      <c r="K109" s="67">
        <f t="shared" si="3"/>
        <v>70.149511100367917</v>
      </c>
      <c r="L109" s="67">
        <f t="shared" si="3"/>
        <v>6.0420745827205753</v>
      </c>
      <c r="M109" s="67">
        <f t="shared" si="3"/>
        <v>14.200903269624979</v>
      </c>
      <c r="N109" s="67">
        <f t="shared" si="3"/>
        <v>339.72313130882304</v>
      </c>
      <c r="O109" s="67">
        <f t="shared" si="3"/>
        <v>0</v>
      </c>
      <c r="P109" s="67">
        <f t="shared" si="3"/>
        <v>0.25953397421518942</v>
      </c>
      <c r="Q109" s="67">
        <f t="shared" si="3"/>
        <v>0.25393603283490479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9" sqref="G12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728</v>
      </c>
      <c r="B9" s="64">
        <v>60.89</v>
      </c>
      <c r="C9" s="64">
        <v>66.66</v>
      </c>
      <c r="D9" s="64">
        <v>83.58</v>
      </c>
      <c r="E9" s="64">
        <v>2.85</v>
      </c>
      <c r="F9" s="64">
        <v>3.43</v>
      </c>
      <c r="G9" s="64">
        <v>91.83</v>
      </c>
      <c r="H9" s="64">
        <v>55.4</v>
      </c>
      <c r="I9" s="64">
        <v>8.58</v>
      </c>
      <c r="J9" s="64">
        <v>0.2</v>
      </c>
      <c r="K9" s="64">
        <v>312.38</v>
      </c>
      <c r="L9" s="64">
        <v>25.34</v>
      </c>
      <c r="M9" s="64">
        <v>45.64</v>
      </c>
      <c r="N9" s="64">
        <v>17</v>
      </c>
      <c r="O9" s="64">
        <v>0</v>
      </c>
      <c r="P9" s="64">
        <v>1.32</v>
      </c>
      <c r="Q9" s="64">
        <v>10.6</v>
      </c>
      <c r="R9" s="198"/>
      <c r="S9" s="198"/>
      <c r="T9" s="198"/>
      <c r="U9" s="198"/>
    </row>
    <row r="10" spans="1:21" s="12" customFormat="1" x14ac:dyDescent="0.25">
      <c r="A10" s="214" t="s">
        <v>729</v>
      </c>
      <c r="B10" s="64">
        <v>62.12</v>
      </c>
      <c r="C10" s="64">
        <v>66.66</v>
      </c>
      <c r="D10" s="64">
        <v>84.56</v>
      </c>
      <c r="E10" s="64">
        <v>2.7</v>
      </c>
      <c r="F10" s="64">
        <v>3.3</v>
      </c>
      <c r="G10" s="64">
        <v>92.96</v>
      </c>
      <c r="H10" s="64">
        <v>47.95</v>
      </c>
      <c r="I10" s="64">
        <v>8.6999999999999993</v>
      </c>
      <c r="J10" s="64">
        <v>0.33</v>
      </c>
      <c r="K10" s="64">
        <v>352.97</v>
      </c>
      <c r="L10" s="64">
        <v>24.82</v>
      </c>
      <c r="M10" s="64">
        <v>52.03</v>
      </c>
      <c r="N10" s="64">
        <v>17.100000000000001</v>
      </c>
      <c r="O10" s="64">
        <v>0</v>
      </c>
      <c r="P10" s="64">
        <v>1.36</v>
      </c>
      <c r="Q10" s="64">
        <v>10.65</v>
      </c>
      <c r="R10" s="198"/>
      <c r="S10" s="198"/>
      <c r="T10" s="198"/>
      <c r="U10" s="198"/>
    </row>
    <row r="11" spans="1:21" s="12" customFormat="1" x14ac:dyDescent="0.25">
      <c r="A11" s="214" t="s">
        <v>730</v>
      </c>
      <c r="B11" s="64">
        <v>62.32</v>
      </c>
      <c r="C11" s="64">
        <v>66.27</v>
      </c>
      <c r="D11" s="64">
        <v>84.52</v>
      </c>
      <c r="E11" s="64">
        <v>2.74</v>
      </c>
      <c r="F11" s="64">
        <v>3.47</v>
      </c>
      <c r="G11" s="64">
        <v>92.96</v>
      </c>
      <c r="H11" s="64">
        <v>47.95</v>
      </c>
      <c r="I11" s="64">
        <v>8.86</v>
      </c>
      <c r="J11" s="64">
        <v>0.43</v>
      </c>
      <c r="K11" s="64">
        <v>341.75</v>
      </c>
      <c r="L11" s="64">
        <v>24.91</v>
      </c>
      <c r="M11" s="64">
        <v>48.82</v>
      </c>
      <c r="N11" s="64">
        <v>16</v>
      </c>
      <c r="O11" s="64">
        <v>0</v>
      </c>
      <c r="P11" s="64">
        <v>1.35</v>
      </c>
      <c r="Q11" s="64">
        <v>10.72</v>
      </c>
      <c r="R11" s="198"/>
      <c r="S11" s="198"/>
      <c r="T11" s="198"/>
      <c r="U11" s="198"/>
    </row>
    <row r="12" spans="1:21" s="12" customFormat="1" x14ac:dyDescent="0.25">
      <c r="A12" s="214" t="s">
        <v>731</v>
      </c>
      <c r="B12" s="64">
        <v>60.16</v>
      </c>
      <c r="C12" s="64">
        <v>64.03</v>
      </c>
      <c r="D12" s="64">
        <v>81.62</v>
      </c>
      <c r="E12" s="64">
        <v>2.86</v>
      </c>
      <c r="F12" s="64">
        <v>3.58</v>
      </c>
      <c r="G12" s="64">
        <v>92.96</v>
      </c>
      <c r="H12" s="64">
        <v>47.95</v>
      </c>
      <c r="I12" s="64">
        <v>9.0500000000000007</v>
      </c>
      <c r="J12" s="64">
        <v>0.71</v>
      </c>
      <c r="K12" s="64">
        <v>353.57</v>
      </c>
      <c r="L12" s="64">
        <v>25.58</v>
      </c>
      <c r="M12" s="64">
        <v>39.14</v>
      </c>
      <c r="N12" s="64">
        <v>15.8</v>
      </c>
      <c r="O12" s="64">
        <v>0</v>
      </c>
      <c r="P12" s="64">
        <v>1.34</v>
      </c>
      <c r="Q12" s="64">
        <v>10.7</v>
      </c>
      <c r="R12" s="198"/>
      <c r="S12" s="198"/>
      <c r="T12" s="198"/>
      <c r="U12" s="198"/>
    </row>
    <row r="13" spans="1:21" s="12" customFormat="1" x14ac:dyDescent="0.25">
      <c r="A13" s="214" t="s">
        <v>732</v>
      </c>
      <c r="B13" s="64">
        <v>56.91</v>
      </c>
      <c r="C13" s="64">
        <v>63.15</v>
      </c>
      <c r="D13" s="64">
        <v>78.55</v>
      </c>
      <c r="E13" s="64">
        <v>2.59</v>
      </c>
      <c r="F13" s="64">
        <v>3.39</v>
      </c>
      <c r="G13" s="64">
        <v>96.71</v>
      </c>
      <c r="H13" s="64">
        <v>33.409999999999997</v>
      </c>
      <c r="I13" s="64">
        <v>9.24</v>
      </c>
      <c r="J13" s="64">
        <v>0.76</v>
      </c>
      <c r="K13" s="64">
        <v>342.34</v>
      </c>
      <c r="L13" s="64">
        <v>26.01</v>
      </c>
      <c r="M13" s="64">
        <v>35.479999999999997</v>
      </c>
      <c r="N13" s="64">
        <v>15.8</v>
      </c>
      <c r="O13" s="64">
        <v>0</v>
      </c>
      <c r="P13" s="64">
        <v>1.18</v>
      </c>
      <c r="Q13" s="64">
        <v>10.23</v>
      </c>
      <c r="R13" s="198"/>
      <c r="S13" s="198"/>
      <c r="T13" s="198"/>
      <c r="U13" s="198"/>
    </row>
    <row r="14" spans="1:21" s="12" customFormat="1" x14ac:dyDescent="0.25">
      <c r="A14" s="214" t="s">
        <v>733</v>
      </c>
      <c r="B14" s="64">
        <v>53.16</v>
      </c>
      <c r="C14" s="64">
        <v>61.93</v>
      </c>
      <c r="D14" s="64">
        <v>74.91</v>
      </c>
      <c r="E14" s="64">
        <v>2.36</v>
      </c>
      <c r="F14" s="64">
        <v>3.52</v>
      </c>
      <c r="G14" s="64">
        <v>97.78</v>
      </c>
      <c r="H14" s="64">
        <v>29.26</v>
      </c>
      <c r="I14" s="64">
        <v>9.57</v>
      </c>
      <c r="J14" s="64">
        <v>0.6</v>
      </c>
      <c r="K14" s="64">
        <v>339.75</v>
      </c>
      <c r="L14" s="64">
        <v>26.14</v>
      </c>
      <c r="M14" s="64">
        <v>33.799999999999997</v>
      </c>
      <c r="N14" s="64">
        <v>16.399999999999999</v>
      </c>
      <c r="O14" s="64">
        <v>0</v>
      </c>
      <c r="P14" s="64">
        <v>1.18</v>
      </c>
      <c r="Q14" s="64">
        <v>10.37</v>
      </c>
      <c r="R14" s="198"/>
      <c r="S14" s="198"/>
      <c r="T14" s="198"/>
      <c r="U14" s="198"/>
    </row>
    <row r="15" spans="1:21" s="12" customFormat="1" x14ac:dyDescent="0.25">
      <c r="A15" s="214" t="s">
        <v>734</v>
      </c>
      <c r="B15" s="64">
        <v>49.11</v>
      </c>
      <c r="C15" s="64">
        <v>59.91</v>
      </c>
      <c r="D15" s="64">
        <v>70.599999999999994</v>
      </c>
      <c r="E15" s="64">
        <v>2.13</v>
      </c>
      <c r="F15" s="64">
        <v>3.51</v>
      </c>
      <c r="G15" s="64">
        <v>97.78</v>
      </c>
      <c r="H15" s="64">
        <v>29.26</v>
      </c>
      <c r="I15" s="64">
        <v>9.44</v>
      </c>
      <c r="J15" s="64">
        <v>0.45</v>
      </c>
      <c r="K15" s="64">
        <v>335.29</v>
      </c>
      <c r="L15" s="64">
        <v>26.21</v>
      </c>
      <c r="M15" s="64">
        <v>33.11</v>
      </c>
      <c r="N15" s="64">
        <v>16.8</v>
      </c>
      <c r="O15" s="64">
        <v>0</v>
      </c>
      <c r="P15" s="64">
        <v>1.07</v>
      </c>
      <c r="Q15" s="64">
        <v>10.15</v>
      </c>
      <c r="R15" s="198"/>
      <c r="S15" s="198"/>
      <c r="T15" s="198"/>
      <c r="U15" s="198"/>
    </row>
    <row r="16" spans="1:21" s="12" customFormat="1" x14ac:dyDescent="0.25">
      <c r="A16" s="214" t="s">
        <v>735</v>
      </c>
      <c r="B16" s="64">
        <v>46</v>
      </c>
      <c r="C16" s="64">
        <v>56.29</v>
      </c>
      <c r="D16" s="64">
        <v>66.22</v>
      </c>
      <c r="E16" s="64">
        <v>2.25</v>
      </c>
      <c r="F16" s="64">
        <v>3.77</v>
      </c>
      <c r="G16" s="64">
        <v>97.78</v>
      </c>
      <c r="H16" s="64">
        <v>29.26</v>
      </c>
      <c r="I16" s="64">
        <v>8.75</v>
      </c>
      <c r="J16" s="64">
        <v>0.18</v>
      </c>
      <c r="K16" s="64">
        <v>285.44</v>
      </c>
      <c r="L16" s="64">
        <v>26.01</v>
      </c>
      <c r="M16" s="64">
        <v>34.159999999999997</v>
      </c>
      <c r="N16" s="64">
        <v>17.399999999999999</v>
      </c>
      <c r="O16" s="64">
        <v>0</v>
      </c>
      <c r="P16" s="64">
        <v>0.97</v>
      </c>
      <c r="Q16" s="64">
        <v>10.199999999999999</v>
      </c>
      <c r="R16" s="198"/>
      <c r="S16" s="198"/>
      <c r="T16" s="198"/>
      <c r="U16" s="198"/>
    </row>
    <row r="17" spans="1:21" s="12" customFormat="1" x14ac:dyDescent="0.25">
      <c r="A17" s="214" t="s">
        <v>736</v>
      </c>
      <c r="B17" s="64">
        <v>43.72</v>
      </c>
      <c r="C17" s="64">
        <v>56.86</v>
      </c>
      <c r="D17" s="64">
        <v>64.69</v>
      </c>
      <c r="E17" s="64">
        <v>2.41</v>
      </c>
      <c r="F17" s="64">
        <v>3.5</v>
      </c>
      <c r="G17" s="64">
        <v>82.6</v>
      </c>
      <c r="H17" s="64">
        <v>26.16</v>
      </c>
      <c r="I17" s="64">
        <v>7.36</v>
      </c>
      <c r="J17" s="64">
        <v>0.18</v>
      </c>
      <c r="K17" s="64">
        <v>233.51</v>
      </c>
      <c r="L17" s="64">
        <v>25.98</v>
      </c>
      <c r="M17" s="64">
        <v>34.47</v>
      </c>
      <c r="N17" s="64">
        <v>17.3</v>
      </c>
      <c r="O17" s="64">
        <v>0</v>
      </c>
      <c r="P17" s="64">
        <v>0.93</v>
      </c>
      <c r="Q17" s="64">
        <v>10.1</v>
      </c>
      <c r="R17" s="198"/>
      <c r="S17" s="198"/>
      <c r="T17" s="198"/>
      <c r="U17" s="198"/>
    </row>
    <row r="18" spans="1:21" s="12" customFormat="1" x14ac:dyDescent="0.25">
      <c r="A18" s="214" t="s">
        <v>737</v>
      </c>
      <c r="B18" s="64">
        <v>41.54</v>
      </c>
      <c r="C18" s="64">
        <v>57.28</v>
      </c>
      <c r="D18" s="64">
        <v>63.16</v>
      </c>
      <c r="E18" s="64">
        <v>2.5099999999999998</v>
      </c>
      <c r="F18" s="64">
        <v>3.36</v>
      </c>
      <c r="G18" s="64">
        <v>78.260000000000005</v>
      </c>
      <c r="H18" s="64">
        <v>25.27</v>
      </c>
      <c r="I18" s="64">
        <v>5.87</v>
      </c>
      <c r="J18" s="64">
        <v>0.06</v>
      </c>
      <c r="K18" s="64">
        <v>245.86</v>
      </c>
      <c r="L18" s="64">
        <v>25.88</v>
      </c>
      <c r="M18" s="64">
        <v>35.83</v>
      </c>
      <c r="N18" s="64">
        <v>17.3</v>
      </c>
      <c r="O18" s="64">
        <v>0</v>
      </c>
      <c r="P18" s="64">
        <v>0.92</v>
      </c>
      <c r="Q18" s="64">
        <v>9.9600000000000009</v>
      </c>
      <c r="R18" s="198"/>
      <c r="S18" s="198"/>
      <c r="T18" s="198"/>
      <c r="U18" s="198"/>
    </row>
    <row r="19" spans="1:21" s="12" customFormat="1" x14ac:dyDescent="0.25">
      <c r="A19" s="214" t="s">
        <v>738</v>
      </c>
      <c r="B19" s="64">
        <v>39.619999999999997</v>
      </c>
      <c r="C19" s="64">
        <v>56.69</v>
      </c>
      <c r="D19" s="64">
        <v>61.31</v>
      </c>
      <c r="E19" s="64">
        <v>2.2400000000000002</v>
      </c>
      <c r="F19" s="64">
        <v>3.46</v>
      </c>
      <c r="G19" s="64">
        <v>78.260000000000005</v>
      </c>
      <c r="H19" s="64">
        <v>25.27</v>
      </c>
      <c r="I19" s="64">
        <v>5.19</v>
      </c>
      <c r="J19" s="64">
        <v>0.55000000000000004</v>
      </c>
      <c r="K19" s="64">
        <v>208.74</v>
      </c>
      <c r="L19" s="64">
        <v>25.49</v>
      </c>
      <c r="M19" s="64">
        <v>40.700000000000003</v>
      </c>
      <c r="N19" s="64">
        <v>16.7</v>
      </c>
      <c r="O19" s="64">
        <v>0</v>
      </c>
      <c r="P19" s="64">
        <v>0.96</v>
      </c>
      <c r="Q19" s="64">
        <v>9.74</v>
      </c>
      <c r="R19" s="198"/>
      <c r="S19" s="198"/>
      <c r="T19" s="198"/>
      <c r="U19" s="198"/>
    </row>
    <row r="20" spans="1:21" s="12" customFormat="1" x14ac:dyDescent="0.25">
      <c r="A20" s="214" t="s">
        <v>739</v>
      </c>
      <c r="B20" s="64">
        <v>38.21</v>
      </c>
      <c r="C20" s="64">
        <v>55.78</v>
      </c>
      <c r="D20" s="64">
        <v>59.71</v>
      </c>
      <c r="E20" s="64">
        <v>2.2200000000000002</v>
      </c>
      <c r="F20" s="64">
        <v>3.58</v>
      </c>
      <c r="G20" s="64">
        <v>78.260000000000005</v>
      </c>
      <c r="H20" s="64">
        <v>25.27</v>
      </c>
      <c r="I20" s="64">
        <v>6.06</v>
      </c>
      <c r="J20" s="64">
        <v>0.12</v>
      </c>
      <c r="K20" s="64">
        <v>232.94</v>
      </c>
      <c r="L20" s="64">
        <v>24.74</v>
      </c>
      <c r="M20" s="64">
        <v>44.55</v>
      </c>
      <c r="N20" s="64">
        <v>17.7</v>
      </c>
      <c r="O20" s="64">
        <v>0</v>
      </c>
      <c r="P20" s="64">
        <v>0.94</v>
      </c>
      <c r="Q20" s="64">
        <v>9.92</v>
      </c>
      <c r="R20" s="198"/>
      <c r="S20" s="198"/>
      <c r="T20" s="198"/>
      <c r="U20" s="198"/>
    </row>
    <row r="21" spans="1:21" s="12" customFormat="1" x14ac:dyDescent="0.25">
      <c r="A21" s="214" t="s">
        <v>740</v>
      </c>
      <c r="B21" s="64">
        <v>37.15</v>
      </c>
      <c r="C21" s="64">
        <v>55.19</v>
      </c>
      <c r="D21" s="64">
        <v>58.55</v>
      </c>
      <c r="E21" s="64">
        <v>2.27</v>
      </c>
      <c r="F21" s="64">
        <v>3.23</v>
      </c>
      <c r="G21" s="64">
        <v>76.08</v>
      </c>
      <c r="H21" s="64">
        <v>31.63</v>
      </c>
      <c r="I21" s="64">
        <v>8.15</v>
      </c>
      <c r="J21" s="64">
        <v>0.13</v>
      </c>
      <c r="K21" s="64">
        <v>297.93</v>
      </c>
      <c r="L21" s="64">
        <v>23.9</v>
      </c>
      <c r="M21" s="64">
        <v>49.31</v>
      </c>
      <c r="N21" s="64">
        <v>17.7</v>
      </c>
      <c r="O21" s="64">
        <v>0</v>
      </c>
      <c r="P21" s="64">
        <v>0.92</v>
      </c>
      <c r="Q21" s="64">
        <v>10.1</v>
      </c>
      <c r="R21" s="198"/>
      <c r="S21" s="198"/>
      <c r="T21" s="198"/>
      <c r="U21" s="198"/>
    </row>
    <row r="22" spans="1:21" s="12" customFormat="1" x14ac:dyDescent="0.25">
      <c r="A22" s="214" t="s">
        <v>741</v>
      </c>
      <c r="B22" s="64">
        <v>36.33</v>
      </c>
      <c r="C22" s="64">
        <v>54.4</v>
      </c>
      <c r="D22" s="64">
        <v>57.48</v>
      </c>
      <c r="E22" s="64">
        <v>2.44</v>
      </c>
      <c r="F22" s="64">
        <v>3.46</v>
      </c>
      <c r="G22" s="64">
        <v>75.45</v>
      </c>
      <c r="H22" s="64">
        <v>33.450000000000003</v>
      </c>
      <c r="I22" s="64">
        <v>7.91</v>
      </c>
      <c r="J22" s="64">
        <v>0.11</v>
      </c>
      <c r="K22" s="64">
        <v>350.45</v>
      </c>
      <c r="L22" s="64">
        <v>23.38</v>
      </c>
      <c r="M22" s="64">
        <v>50.77</v>
      </c>
      <c r="N22" s="64">
        <v>17.5</v>
      </c>
      <c r="O22" s="64">
        <v>0</v>
      </c>
      <c r="P22" s="64">
        <v>0.91</v>
      </c>
      <c r="Q22" s="64">
        <v>10.17</v>
      </c>
      <c r="R22" s="198"/>
      <c r="S22" s="198"/>
      <c r="T22" s="198"/>
      <c r="U22" s="198"/>
    </row>
    <row r="23" spans="1:21" s="12" customFormat="1" x14ac:dyDescent="0.25">
      <c r="A23" s="214" t="s">
        <v>742</v>
      </c>
      <c r="B23" s="64">
        <v>35.65</v>
      </c>
      <c r="C23" s="64">
        <v>53.19</v>
      </c>
      <c r="D23" s="64">
        <v>56.3</v>
      </c>
      <c r="E23" s="64">
        <v>2.2999999999999998</v>
      </c>
      <c r="F23" s="64">
        <v>3.44</v>
      </c>
      <c r="G23" s="64">
        <v>75.45</v>
      </c>
      <c r="H23" s="64">
        <v>33.450000000000003</v>
      </c>
      <c r="I23" s="64">
        <v>7.62</v>
      </c>
      <c r="J23" s="64">
        <v>0.14000000000000001</v>
      </c>
      <c r="K23" s="64">
        <v>207.65</v>
      </c>
      <c r="L23" s="64">
        <v>23.56</v>
      </c>
      <c r="M23" s="64">
        <v>47.3</v>
      </c>
      <c r="N23" s="64">
        <v>16.899999999999999</v>
      </c>
      <c r="O23" s="64">
        <v>0</v>
      </c>
      <c r="P23" s="64">
        <v>0.91</v>
      </c>
      <c r="Q23" s="64">
        <v>10.199999999999999</v>
      </c>
      <c r="R23" s="198"/>
      <c r="S23" s="198"/>
      <c r="T23" s="198"/>
      <c r="U23" s="198"/>
    </row>
    <row r="24" spans="1:21" s="12" customFormat="1" x14ac:dyDescent="0.25">
      <c r="A24" s="214" t="s">
        <v>743</v>
      </c>
      <c r="B24" s="64">
        <v>34.36</v>
      </c>
      <c r="C24" s="64">
        <v>53.32</v>
      </c>
      <c r="D24" s="64">
        <v>55.33</v>
      </c>
      <c r="E24" s="64">
        <v>1.55</v>
      </c>
      <c r="F24" s="64">
        <v>3.26</v>
      </c>
      <c r="G24" s="64">
        <v>75.45</v>
      </c>
      <c r="H24" s="64">
        <v>33.450000000000003</v>
      </c>
      <c r="I24" s="64">
        <v>8.23</v>
      </c>
      <c r="J24" s="64">
        <v>0.1</v>
      </c>
      <c r="K24" s="64">
        <v>106.08</v>
      </c>
      <c r="L24" s="64">
        <v>23.35</v>
      </c>
      <c r="M24" s="64">
        <v>49.12</v>
      </c>
      <c r="N24" s="64">
        <v>17.2</v>
      </c>
      <c r="O24" s="64">
        <v>0</v>
      </c>
      <c r="P24" s="64">
        <v>0.9</v>
      </c>
      <c r="Q24" s="64">
        <v>10.119999999999999</v>
      </c>
      <c r="R24" s="198"/>
      <c r="S24" s="198"/>
      <c r="T24" s="198"/>
      <c r="U24" s="198"/>
    </row>
    <row r="25" spans="1:21" s="12" customFormat="1" x14ac:dyDescent="0.25">
      <c r="A25" s="214" t="s">
        <v>744</v>
      </c>
      <c r="B25" s="64">
        <v>33.49</v>
      </c>
      <c r="C25" s="64">
        <v>53.7</v>
      </c>
      <c r="D25" s="64">
        <v>54.83</v>
      </c>
      <c r="E25" s="64">
        <v>1.66</v>
      </c>
      <c r="F25" s="64">
        <v>3.23</v>
      </c>
      <c r="G25" s="64">
        <v>72.989999999999995</v>
      </c>
      <c r="H25" s="64">
        <v>30.87</v>
      </c>
      <c r="I25" s="64">
        <v>9.94</v>
      </c>
      <c r="J25" s="64">
        <v>0.12</v>
      </c>
      <c r="K25" s="64">
        <v>280.83999999999997</v>
      </c>
      <c r="L25" s="64">
        <v>23.11</v>
      </c>
      <c r="M25" s="64">
        <v>51.6</v>
      </c>
      <c r="N25" s="64">
        <v>17.2</v>
      </c>
      <c r="O25" s="64">
        <v>0</v>
      </c>
      <c r="P25" s="64">
        <v>0.88</v>
      </c>
      <c r="Q25" s="64">
        <v>10</v>
      </c>
      <c r="R25" s="198"/>
      <c r="S25" s="198"/>
      <c r="T25" s="198"/>
      <c r="U25" s="198"/>
    </row>
    <row r="26" spans="1:21" s="12" customFormat="1" x14ac:dyDescent="0.25">
      <c r="A26" s="214" t="s">
        <v>745</v>
      </c>
      <c r="B26" s="64">
        <v>33.06</v>
      </c>
      <c r="C26" s="64">
        <v>53.83</v>
      </c>
      <c r="D26" s="64">
        <v>54.55</v>
      </c>
      <c r="E26" s="64">
        <v>1.22</v>
      </c>
      <c r="F26" s="64">
        <v>3.34</v>
      </c>
      <c r="G26" s="64">
        <v>72.290000000000006</v>
      </c>
      <c r="H26" s="64">
        <v>30.13</v>
      </c>
      <c r="I26" s="64">
        <v>10.09</v>
      </c>
      <c r="J26" s="64">
        <v>0.08</v>
      </c>
      <c r="K26" s="64">
        <v>78.84</v>
      </c>
      <c r="L26" s="64">
        <v>22.85</v>
      </c>
      <c r="M26" s="64">
        <v>51.8</v>
      </c>
      <c r="N26" s="64">
        <v>17</v>
      </c>
      <c r="O26" s="64">
        <v>0</v>
      </c>
      <c r="P26" s="64">
        <v>0.88</v>
      </c>
      <c r="Q26" s="64">
        <v>10.130000000000001</v>
      </c>
      <c r="R26" s="198"/>
      <c r="S26" s="198"/>
      <c r="T26" s="198"/>
      <c r="U26" s="198"/>
    </row>
    <row r="27" spans="1:21" s="12" customFormat="1" x14ac:dyDescent="0.25">
      <c r="A27" s="214" t="s">
        <v>746</v>
      </c>
      <c r="B27" s="64">
        <v>33.07</v>
      </c>
      <c r="C27" s="64">
        <v>53.79</v>
      </c>
      <c r="D27" s="64">
        <v>54.54</v>
      </c>
      <c r="E27" s="64">
        <v>1.53</v>
      </c>
      <c r="F27" s="64">
        <v>3.21</v>
      </c>
      <c r="G27" s="64">
        <v>72.290000000000006</v>
      </c>
      <c r="H27" s="64">
        <v>30.13</v>
      </c>
      <c r="I27" s="64">
        <v>9.85</v>
      </c>
      <c r="J27" s="64">
        <v>0.12</v>
      </c>
      <c r="K27" s="64">
        <v>248.69</v>
      </c>
      <c r="L27" s="64">
        <v>23.09</v>
      </c>
      <c r="M27" s="64">
        <v>52.59</v>
      </c>
      <c r="N27" s="64">
        <v>16.8</v>
      </c>
      <c r="O27" s="64">
        <v>0</v>
      </c>
      <c r="P27" s="64">
        <v>0.86</v>
      </c>
      <c r="Q27" s="64">
        <v>9.9700000000000006</v>
      </c>
      <c r="R27" s="198"/>
      <c r="S27" s="198"/>
      <c r="T27" s="198"/>
      <c r="U27" s="198"/>
    </row>
    <row r="28" spans="1:21" s="12" customFormat="1" x14ac:dyDescent="0.25">
      <c r="A28" s="214" t="s">
        <v>747</v>
      </c>
      <c r="B28" s="64">
        <v>34.86</v>
      </c>
      <c r="C28" s="64">
        <v>54.19</v>
      </c>
      <c r="D28" s="64">
        <v>56.18</v>
      </c>
      <c r="E28" s="64">
        <v>1.76</v>
      </c>
      <c r="F28" s="64">
        <v>3.17</v>
      </c>
      <c r="G28" s="64">
        <v>72.290000000000006</v>
      </c>
      <c r="H28" s="64">
        <v>30.13</v>
      </c>
      <c r="I28" s="64">
        <v>9.99</v>
      </c>
      <c r="J28" s="64">
        <v>0.11</v>
      </c>
      <c r="K28" s="64">
        <v>182.36</v>
      </c>
      <c r="L28" s="64">
        <v>23.05</v>
      </c>
      <c r="M28" s="64">
        <v>53.37</v>
      </c>
      <c r="N28" s="64">
        <v>16.7</v>
      </c>
      <c r="O28" s="64">
        <v>0</v>
      </c>
      <c r="P28" s="64">
        <v>0.86</v>
      </c>
      <c r="Q28" s="64">
        <v>10.11</v>
      </c>
      <c r="R28" s="198"/>
      <c r="S28" s="198"/>
      <c r="T28" s="198"/>
      <c r="U28" s="198"/>
    </row>
    <row r="29" spans="1:21" s="12" customFormat="1" x14ac:dyDescent="0.25">
      <c r="A29" s="214" t="s">
        <v>748</v>
      </c>
      <c r="B29" s="64">
        <v>38.770000000000003</v>
      </c>
      <c r="C29" s="64">
        <v>54.93</v>
      </c>
      <c r="D29" s="64">
        <v>59.71</v>
      </c>
      <c r="E29" s="64">
        <v>1.71</v>
      </c>
      <c r="F29" s="64">
        <v>3.05</v>
      </c>
      <c r="G29" s="64">
        <v>79.290000000000006</v>
      </c>
      <c r="H29" s="64">
        <v>30.38</v>
      </c>
      <c r="I29" s="64">
        <v>9.91</v>
      </c>
      <c r="J29" s="64">
        <v>0.2</v>
      </c>
      <c r="K29" s="64">
        <v>291.39</v>
      </c>
      <c r="L29" s="64">
        <v>23.13</v>
      </c>
      <c r="M29" s="64">
        <v>53.03</v>
      </c>
      <c r="N29" s="64">
        <v>16.8</v>
      </c>
      <c r="O29" s="64">
        <v>0</v>
      </c>
      <c r="P29" s="64">
        <v>0.85</v>
      </c>
      <c r="Q29" s="64">
        <v>10.23</v>
      </c>
      <c r="R29" s="198"/>
      <c r="S29" s="198"/>
      <c r="T29" s="198"/>
      <c r="U29" s="198"/>
    </row>
    <row r="30" spans="1:21" s="12" customFormat="1" x14ac:dyDescent="0.25">
      <c r="A30" s="214" t="s">
        <v>749</v>
      </c>
      <c r="B30" s="64">
        <v>40.729999999999997</v>
      </c>
      <c r="C30" s="64">
        <v>55.06</v>
      </c>
      <c r="D30" s="64">
        <v>61.35</v>
      </c>
      <c r="E30" s="64">
        <v>1.51</v>
      </c>
      <c r="F30" s="64">
        <v>3.22</v>
      </c>
      <c r="G30" s="64">
        <v>81.290000000000006</v>
      </c>
      <c r="H30" s="64">
        <v>30.45</v>
      </c>
      <c r="I30" s="64">
        <v>9.94</v>
      </c>
      <c r="J30" s="64">
        <v>0.21</v>
      </c>
      <c r="K30" s="64">
        <v>284.16000000000003</v>
      </c>
      <c r="L30" s="64">
        <v>22.84</v>
      </c>
      <c r="M30" s="64">
        <v>50.78</v>
      </c>
      <c r="N30" s="64">
        <v>17.100000000000001</v>
      </c>
      <c r="O30" s="64">
        <v>0</v>
      </c>
      <c r="P30" s="64">
        <v>0.85</v>
      </c>
      <c r="Q30" s="64">
        <v>10.41</v>
      </c>
      <c r="R30" s="198"/>
      <c r="S30" s="198"/>
      <c r="T30" s="198"/>
      <c r="U30" s="198"/>
    </row>
    <row r="31" spans="1:21" s="12" customFormat="1" x14ac:dyDescent="0.25">
      <c r="A31" s="214" t="s">
        <v>750</v>
      </c>
      <c r="B31" s="64">
        <v>40.479999999999997</v>
      </c>
      <c r="C31" s="64">
        <v>54.97</v>
      </c>
      <c r="D31" s="64">
        <v>61.1</v>
      </c>
      <c r="E31" s="64">
        <v>1.37</v>
      </c>
      <c r="F31" s="64">
        <v>3.19</v>
      </c>
      <c r="G31" s="64">
        <v>81.290000000000006</v>
      </c>
      <c r="H31" s="64">
        <v>30.45</v>
      </c>
      <c r="I31" s="64">
        <v>9.93</v>
      </c>
      <c r="J31" s="64">
        <v>0.1</v>
      </c>
      <c r="K31" s="64">
        <v>277.68</v>
      </c>
      <c r="L31" s="64">
        <v>23.39</v>
      </c>
      <c r="M31" s="64">
        <v>48.13</v>
      </c>
      <c r="N31" s="64">
        <v>18.600000000000001</v>
      </c>
      <c r="O31" s="64">
        <v>0</v>
      </c>
      <c r="P31" s="64">
        <v>0.85</v>
      </c>
      <c r="Q31" s="64">
        <v>10.220000000000001</v>
      </c>
      <c r="R31" s="198"/>
      <c r="S31" s="198"/>
      <c r="T31" s="198"/>
      <c r="U31" s="198"/>
    </row>
    <row r="32" spans="1:21" s="12" customFormat="1" x14ac:dyDescent="0.25">
      <c r="A32" s="214" t="s">
        <v>751</v>
      </c>
      <c r="B32" s="64">
        <v>40.49</v>
      </c>
      <c r="C32" s="64">
        <v>54.76</v>
      </c>
      <c r="D32" s="64">
        <v>61</v>
      </c>
      <c r="E32" s="64">
        <v>1.65</v>
      </c>
      <c r="F32" s="64">
        <v>3.18</v>
      </c>
      <c r="G32" s="64">
        <v>81.290000000000006</v>
      </c>
      <c r="H32" s="64">
        <v>30.45</v>
      </c>
      <c r="I32" s="64">
        <v>10.050000000000001</v>
      </c>
      <c r="J32" s="64">
        <v>0.13</v>
      </c>
      <c r="K32" s="64">
        <v>278.76</v>
      </c>
      <c r="L32" s="64">
        <v>22.93</v>
      </c>
      <c r="M32" s="64">
        <v>52.9</v>
      </c>
      <c r="N32" s="64">
        <v>27.1</v>
      </c>
      <c r="O32" s="64">
        <v>0</v>
      </c>
      <c r="P32" s="64">
        <v>0.87</v>
      </c>
      <c r="Q32" s="64">
        <v>10.220000000000001</v>
      </c>
      <c r="R32" s="198"/>
      <c r="S32" s="198"/>
      <c r="T32" s="198"/>
      <c r="U32" s="198"/>
    </row>
    <row r="33" spans="1:21" s="12" customFormat="1" x14ac:dyDescent="0.25">
      <c r="A33" s="214" t="s">
        <v>752</v>
      </c>
      <c r="B33" s="64">
        <v>14.74</v>
      </c>
      <c r="C33" s="64">
        <v>42.4</v>
      </c>
      <c r="D33" s="64">
        <v>33.9</v>
      </c>
      <c r="E33" s="64">
        <v>1.59</v>
      </c>
      <c r="F33" s="64">
        <v>3.17</v>
      </c>
      <c r="G33" s="64">
        <v>92.08</v>
      </c>
      <c r="H33" s="64">
        <v>26.89</v>
      </c>
      <c r="I33" s="64">
        <v>10.130000000000001</v>
      </c>
      <c r="J33" s="64">
        <v>0.25</v>
      </c>
      <c r="K33" s="64">
        <v>227.66</v>
      </c>
      <c r="L33" s="64">
        <v>23.21</v>
      </c>
      <c r="M33" s="64">
        <v>53.27</v>
      </c>
      <c r="N33" s="64">
        <v>43.2</v>
      </c>
      <c r="O33" s="64">
        <v>0</v>
      </c>
      <c r="P33" s="64">
        <v>0.87</v>
      </c>
      <c r="Q33" s="64">
        <v>10.41</v>
      </c>
      <c r="R33" s="198"/>
      <c r="S33" s="198"/>
      <c r="T33" s="198"/>
      <c r="U33" s="198"/>
    </row>
    <row r="34" spans="1:21" s="12" customFormat="1" x14ac:dyDescent="0.25">
      <c r="A34" s="214" t="s">
        <v>753</v>
      </c>
      <c r="B34" s="64">
        <v>1.39</v>
      </c>
      <c r="C34" s="64">
        <v>33.270000000000003</v>
      </c>
      <c r="D34" s="64">
        <v>18.420000000000002</v>
      </c>
      <c r="E34" s="64">
        <v>1.53</v>
      </c>
      <c r="F34" s="64">
        <v>3.34</v>
      </c>
      <c r="G34" s="64">
        <v>95.16</v>
      </c>
      <c r="H34" s="64">
        <v>25.87</v>
      </c>
      <c r="I34" s="64">
        <v>9.92</v>
      </c>
      <c r="J34" s="64">
        <v>0.1</v>
      </c>
      <c r="K34" s="64">
        <v>329.69</v>
      </c>
      <c r="L34" s="64">
        <v>23.72</v>
      </c>
      <c r="M34" s="64">
        <v>51.81</v>
      </c>
      <c r="N34" s="64">
        <v>74.2</v>
      </c>
      <c r="O34" s="64">
        <v>0</v>
      </c>
      <c r="P34" s="64">
        <v>0.88</v>
      </c>
      <c r="Q34" s="64">
        <v>10.39</v>
      </c>
      <c r="R34" s="198"/>
      <c r="S34" s="198"/>
      <c r="T34" s="198"/>
      <c r="U34" s="198"/>
    </row>
    <row r="35" spans="1:21" s="12" customFormat="1" x14ac:dyDescent="0.25">
      <c r="A35" s="214" t="s">
        <v>754</v>
      </c>
      <c r="B35" s="64">
        <v>0.91</v>
      </c>
      <c r="C35" s="64">
        <v>32.46</v>
      </c>
      <c r="D35" s="64">
        <v>17.61</v>
      </c>
      <c r="E35" s="64">
        <v>1.83</v>
      </c>
      <c r="F35" s="64">
        <v>3.46</v>
      </c>
      <c r="G35" s="64">
        <v>95.16</v>
      </c>
      <c r="H35" s="64">
        <v>25.87</v>
      </c>
      <c r="I35" s="64">
        <v>9.16</v>
      </c>
      <c r="J35" s="64">
        <v>0.17</v>
      </c>
      <c r="K35" s="64">
        <v>210.1</v>
      </c>
      <c r="L35" s="64">
        <v>24.31</v>
      </c>
      <c r="M35" s="64">
        <v>48.78</v>
      </c>
      <c r="N35" s="64">
        <v>110.9</v>
      </c>
      <c r="O35" s="64">
        <v>0</v>
      </c>
      <c r="P35" s="64">
        <v>0.87</v>
      </c>
      <c r="Q35" s="64">
        <v>10.39</v>
      </c>
      <c r="R35" s="198"/>
      <c r="S35" s="198"/>
      <c r="T35" s="198"/>
      <c r="U35" s="198"/>
    </row>
    <row r="36" spans="1:21" s="12" customFormat="1" x14ac:dyDescent="0.25">
      <c r="A36" s="214" t="s">
        <v>755</v>
      </c>
      <c r="B36" s="64">
        <v>0.23</v>
      </c>
      <c r="C36" s="64">
        <v>32.06</v>
      </c>
      <c r="D36" s="64">
        <v>16.86</v>
      </c>
      <c r="E36" s="64">
        <v>1.47</v>
      </c>
      <c r="F36" s="64">
        <v>3.57</v>
      </c>
      <c r="G36" s="64">
        <v>95.16</v>
      </c>
      <c r="H36" s="64">
        <v>25.87</v>
      </c>
      <c r="I36" s="64">
        <v>8.64</v>
      </c>
      <c r="J36" s="64">
        <v>0.73</v>
      </c>
      <c r="K36" s="64">
        <v>159.57</v>
      </c>
      <c r="L36" s="64">
        <v>24.82</v>
      </c>
      <c r="M36" s="64">
        <v>47.91</v>
      </c>
      <c r="N36" s="64">
        <v>156.1</v>
      </c>
      <c r="O36" s="64">
        <v>0</v>
      </c>
      <c r="P36" s="64">
        <v>0.87</v>
      </c>
      <c r="Q36" s="64">
        <v>10.25</v>
      </c>
      <c r="R36" s="198"/>
      <c r="S36" s="198"/>
      <c r="T36" s="198"/>
      <c r="U36" s="198"/>
    </row>
    <row r="37" spans="1:21" s="12" customFormat="1" x14ac:dyDescent="0.25">
      <c r="A37" s="214" t="s">
        <v>756</v>
      </c>
      <c r="B37" s="64">
        <v>0.1</v>
      </c>
      <c r="C37" s="64">
        <v>31.14</v>
      </c>
      <c r="D37" s="64">
        <v>16.27</v>
      </c>
      <c r="E37" s="64">
        <v>1.42</v>
      </c>
      <c r="F37" s="64">
        <v>3.37</v>
      </c>
      <c r="G37" s="64">
        <v>95.16</v>
      </c>
      <c r="H37" s="64">
        <v>28.6</v>
      </c>
      <c r="I37" s="64">
        <v>8.56</v>
      </c>
      <c r="J37" s="64">
        <v>0.9</v>
      </c>
      <c r="K37" s="64">
        <v>162.97</v>
      </c>
      <c r="L37" s="64">
        <v>25.22</v>
      </c>
      <c r="M37" s="64">
        <v>46.36</v>
      </c>
      <c r="N37" s="64">
        <v>204.3</v>
      </c>
      <c r="O37" s="64">
        <v>0</v>
      </c>
      <c r="P37" s="64">
        <v>0.84</v>
      </c>
      <c r="Q37" s="64">
        <v>10.39</v>
      </c>
      <c r="R37" s="198"/>
      <c r="S37" s="198"/>
      <c r="T37" s="198"/>
      <c r="U37" s="198"/>
    </row>
    <row r="38" spans="1:21" s="12" customFormat="1" x14ac:dyDescent="0.25">
      <c r="A38" s="214" t="s">
        <v>757</v>
      </c>
      <c r="B38" s="64">
        <v>0.1</v>
      </c>
      <c r="C38" s="64">
        <v>28.96</v>
      </c>
      <c r="D38" s="64">
        <v>15.13</v>
      </c>
      <c r="E38" s="64">
        <v>1.63</v>
      </c>
      <c r="F38" s="64">
        <v>3.17</v>
      </c>
      <c r="G38" s="64">
        <v>95.16</v>
      </c>
      <c r="H38" s="64">
        <v>29.38</v>
      </c>
      <c r="I38" s="64">
        <v>9.23</v>
      </c>
      <c r="J38" s="64">
        <v>0.56999999999999995</v>
      </c>
      <c r="K38" s="64">
        <v>182.89</v>
      </c>
      <c r="L38" s="64">
        <v>25.73</v>
      </c>
      <c r="M38" s="64">
        <v>45.49</v>
      </c>
      <c r="N38" s="64">
        <v>251.4</v>
      </c>
      <c r="O38" s="64">
        <v>0</v>
      </c>
      <c r="P38" s="64">
        <v>0.86</v>
      </c>
      <c r="Q38" s="64">
        <v>10.33</v>
      </c>
      <c r="R38" s="198"/>
      <c r="S38" s="198"/>
      <c r="T38" s="198"/>
      <c r="U38" s="198"/>
    </row>
    <row r="39" spans="1:21" s="12" customFormat="1" x14ac:dyDescent="0.25">
      <c r="A39" s="214" t="s">
        <v>758</v>
      </c>
      <c r="B39" s="64">
        <v>0.1</v>
      </c>
      <c r="C39" s="64">
        <v>26.12</v>
      </c>
      <c r="D39" s="64">
        <v>13.65</v>
      </c>
      <c r="E39" s="64">
        <v>1.38</v>
      </c>
      <c r="F39" s="64">
        <v>3.28</v>
      </c>
      <c r="G39" s="64">
        <v>95.16</v>
      </c>
      <c r="H39" s="64">
        <v>29.38</v>
      </c>
      <c r="I39" s="64">
        <v>10.57</v>
      </c>
      <c r="J39" s="64">
        <v>0.31</v>
      </c>
      <c r="K39" s="64">
        <v>158.22</v>
      </c>
      <c r="L39" s="64">
        <v>26.84</v>
      </c>
      <c r="M39" s="64">
        <v>42.87</v>
      </c>
      <c r="N39" s="64">
        <v>303.89999999999998</v>
      </c>
      <c r="O39" s="64">
        <v>0</v>
      </c>
      <c r="P39" s="64">
        <v>0.86</v>
      </c>
      <c r="Q39" s="64">
        <v>10.23</v>
      </c>
      <c r="R39" s="198"/>
      <c r="S39" s="198"/>
      <c r="T39" s="198"/>
      <c r="U39" s="198"/>
    </row>
    <row r="40" spans="1:21" s="12" customFormat="1" x14ac:dyDescent="0.25">
      <c r="A40" s="214" t="s">
        <v>759</v>
      </c>
      <c r="B40" s="64">
        <v>0.1</v>
      </c>
      <c r="C40" s="64">
        <v>23.39</v>
      </c>
      <c r="D40" s="64">
        <v>12.22</v>
      </c>
      <c r="E40" s="64">
        <v>1.56</v>
      </c>
      <c r="F40" s="64">
        <v>3.17</v>
      </c>
      <c r="G40" s="64">
        <v>95.16</v>
      </c>
      <c r="H40" s="64">
        <v>29.38</v>
      </c>
      <c r="I40" s="64">
        <v>10.53</v>
      </c>
      <c r="J40" s="64">
        <v>0.33</v>
      </c>
      <c r="K40" s="64">
        <v>176.04</v>
      </c>
      <c r="L40" s="64">
        <v>27.86</v>
      </c>
      <c r="M40" s="64">
        <v>39.51</v>
      </c>
      <c r="N40" s="64">
        <v>358.5</v>
      </c>
      <c r="O40" s="64">
        <v>0</v>
      </c>
      <c r="P40" s="64">
        <v>0.86</v>
      </c>
      <c r="Q40" s="64">
        <v>10.25</v>
      </c>
      <c r="R40" s="198"/>
      <c r="S40" s="198"/>
      <c r="T40" s="198"/>
      <c r="U40" s="198"/>
    </row>
    <row r="41" spans="1:21" s="12" customFormat="1" x14ac:dyDescent="0.25">
      <c r="A41" s="214" t="s">
        <v>760</v>
      </c>
      <c r="B41" s="64">
        <v>0.1</v>
      </c>
      <c r="C41" s="64">
        <v>21</v>
      </c>
      <c r="D41" s="64">
        <v>10.97</v>
      </c>
      <c r="E41" s="64">
        <v>1.82</v>
      </c>
      <c r="F41" s="64">
        <v>3.18</v>
      </c>
      <c r="G41" s="64">
        <v>93.41</v>
      </c>
      <c r="H41" s="64">
        <v>38.130000000000003</v>
      </c>
      <c r="I41" s="64">
        <v>10.130000000000001</v>
      </c>
      <c r="J41" s="64">
        <v>0.56000000000000005</v>
      </c>
      <c r="K41" s="64">
        <v>156.33000000000001</v>
      </c>
      <c r="L41" s="64">
        <v>29.02</v>
      </c>
      <c r="M41" s="64">
        <v>38.22</v>
      </c>
      <c r="N41" s="64">
        <v>414.1</v>
      </c>
      <c r="O41" s="64">
        <v>0</v>
      </c>
      <c r="P41" s="64">
        <v>0.86</v>
      </c>
      <c r="Q41" s="64">
        <v>10.24</v>
      </c>
      <c r="R41" s="198"/>
      <c r="S41" s="198"/>
      <c r="T41" s="198"/>
      <c r="U41" s="198"/>
    </row>
    <row r="42" spans="1:21" s="12" customFormat="1" x14ac:dyDescent="0.25">
      <c r="A42" s="214" t="s">
        <v>761</v>
      </c>
      <c r="B42" s="64">
        <v>0.1</v>
      </c>
      <c r="C42" s="64">
        <v>17.46</v>
      </c>
      <c r="D42" s="64">
        <v>9.1199999999999992</v>
      </c>
      <c r="E42" s="64">
        <v>1.86</v>
      </c>
      <c r="F42" s="64">
        <v>3.66</v>
      </c>
      <c r="G42" s="64">
        <v>92.91</v>
      </c>
      <c r="H42" s="64">
        <v>40.630000000000003</v>
      </c>
      <c r="I42" s="64">
        <v>10.6</v>
      </c>
      <c r="J42" s="64">
        <v>0.74</v>
      </c>
      <c r="K42" s="64">
        <v>157.4</v>
      </c>
      <c r="L42" s="64">
        <v>29.72</v>
      </c>
      <c r="M42" s="64">
        <v>38.18</v>
      </c>
      <c r="N42" s="64">
        <v>453.7</v>
      </c>
      <c r="O42" s="64">
        <v>0</v>
      </c>
      <c r="P42" s="64">
        <v>0.86</v>
      </c>
      <c r="Q42" s="64">
        <v>10.26</v>
      </c>
      <c r="R42" s="198"/>
      <c r="S42" s="198"/>
      <c r="T42" s="198"/>
      <c r="U42" s="198"/>
    </row>
    <row r="43" spans="1:21" s="12" customFormat="1" x14ac:dyDescent="0.25">
      <c r="A43" s="214" t="s">
        <v>762</v>
      </c>
      <c r="B43" s="64">
        <v>0.1</v>
      </c>
      <c r="C43" s="64">
        <v>13.82</v>
      </c>
      <c r="D43" s="64">
        <v>7.22</v>
      </c>
      <c r="E43" s="64">
        <v>1.58</v>
      </c>
      <c r="F43" s="64">
        <v>3.86</v>
      </c>
      <c r="G43" s="64">
        <v>92.91</v>
      </c>
      <c r="H43" s="64">
        <v>40.630000000000003</v>
      </c>
      <c r="I43" s="64">
        <v>10.8</v>
      </c>
      <c r="J43" s="64">
        <v>0.39</v>
      </c>
      <c r="K43" s="64">
        <v>173.65</v>
      </c>
      <c r="L43" s="64">
        <v>29.97</v>
      </c>
      <c r="M43" s="64">
        <v>36.72</v>
      </c>
      <c r="N43" s="64">
        <v>519.20000000000005</v>
      </c>
      <c r="O43" s="64">
        <v>0</v>
      </c>
      <c r="P43" s="64">
        <v>0.86</v>
      </c>
      <c r="Q43" s="64">
        <v>9.9499999999999993</v>
      </c>
      <c r="R43" s="198"/>
      <c r="S43" s="198"/>
      <c r="T43" s="198"/>
      <c r="U43" s="198"/>
    </row>
    <row r="44" spans="1:21" s="12" customFormat="1" x14ac:dyDescent="0.25">
      <c r="A44" s="214" t="s">
        <v>763</v>
      </c>
      <c r="B44" s="64">
        <v>0.1</v>
      </c>
      <c r="C44" s="64">
        <v>10.1</v>
      </c>
      <c r="D44" s="64">
        <v>5.28</v>
      </c>
      <c r="E44" s="64">
        <v>1.71</v>
      </c>
      <c r="F44" s="64">
        <v>3.6</v>
      </c>
      <c r="G44" s="64">
        <v>92.91</v>
      </c>
      <c r="H44" s="64">
        <v>40.630000000000003</v>
      </c>
      <c r="I44" s="64">
        <v>10.96</v>
      </c>
      <c r="J44" s="64">
        <v>0.21</v>
      </c>
      <c r="K44" s="64">
        <v>138.57</v>
      </c>
      <c r="L44" s="64">
        <v>30.3</v>
      </c>
      <c r="M44" s="64">
        <v>37.79</v>
      </c>
      <c r="N44" s="64">
        <v>464</v>
      </c>
      <c r="O44" s="64">
        <v>0</v>
      </c>
      <c r="P44" s="64">
        <v>0.86</v>
      </c>
      <c r="Q44" s="64">
        <v>10</v>
      </c>
      <c r="R44" s="198"/>
      <c r="S44" s="198"/>
      <c r="T44" s="198"/>
      <c r="U44" s="198"/>
    </row>
    <row r="45" spans="1:21" s="12" customFormat="1" x14ac:dyDescent="0.25">
      <c r="A45" s="214" t="s">
        <v>764</v>
      </c>
      <c r="B45" s="64">
        <v>0.1</v>
      </c>
      <c r="C45" s="64">
        <v>8.0399999999999991</v>
      </c>
      <c r="D45" s="64">
        <v>4.2</v>
      </c>
      <c r="E45" s="64">
        <v>1.89</v>
      </c>
      <c r="F45" s="64">
        <v>4.05</v>
      </c>
      <c r="G45" s="64">
        <v>94.83</v>
      </c>
      <c r="H45" s="64">
        <v>37.369999999999997</v>
      </c>
      <c r="I45" s="64">
        <v>10.89</v>
      </c>
      <c r="J45" s="64">
        <v>0.11</v>
      </c>
      <c r="K45" s="64">
        <v>309.08999999999997</v>
      </c>
      <c r="L45" s="64">
        <v>31.17</v>
      </c>
      <c r="M45" s="64">
        <v>35.79</v>
      </c>
      <c r="N45" s="64">
        <v>598.6</v>
      </c>
      <c r="O45" s="64">
        <v>0</v>
      </c>
      <c r="P45" s="64">
        <v>0.85</v>
      </c>
      <c r="Q45" s="64">
        <v>9.9700000000000006</v>
      </c>
      <c r="R45" s="198"/>
      <c r="S45" s="198"/>
      <c r="T45" s="198"/>
      <c r="U45" s="198"/>
    </row>
    <row r="46" spans="1:21" s="12" customFormat="1" x14ac:dyDescent="0.25">
      <c r="A46" s="214" t="s">
        <v>765</v>
      </c>
      <c r="B46" s="64">
        <v>0.1</v>
      </c>
      <c r="C46" s="64">
        <v>3.93</v>
      </c>
      <c r="D46" s="64">
        <v>2.06</v>
      </c>
      <c r="E46" s="64">
        <v>1.68</v>
      </c>
      <c r="F46" s="64">
        <v>3.85</v>
      </c>
      <c r="G46" s="64">
        <v>95.38</v>
      </c>
      <c r="H46" s="64">
        <v>36.44</v>
      </c>
      <c r="I46" s="64">
        <v>10.65</v>
      </c>
      <c r="J46" s="64">
        <v>0.19</v>
      </c>
      <c r="K46" s="64">
        <v>345.67</v>
      </c>
      <c r="L46" s="64">
        <v>33.51</v>
      </c>
      <c r="M46" s="64">
        <v>30.13</v>
      </c>
      <c r="N46" s="64">
        <v>658.3</v>
      </c>
      <c r="O46" s="64">
        <v>0</v>
      </c>
      <c r="P46" s="64">
        <v>0.85</v>
      </c>
      <c r="Q46" s="64">
        <v>9.91</v>
      </c>
      <c r="R46" s="198"/>
      <c r="S46" s="198"/>
      <c r="T46" s="198"/>
      <c r="U46" s="198"/>
    </row>
    <row r="47" spans="1:21" s="12" customFormat="1" x14ac:dyDescent="0.25">
      <c r="A47" s="214" t="s">
        <v>766</v>
      </c>
      <c r="B47" s="64">
        <v>0.1</v>
      </c>
      <c r="C47" s="64">
        <v>0.97</v>
      </c>
      <c r="D47" s="64">
        <v>0.51</v>
      </c>
      <c r="E47" s="64">
        <v>1.79</v>
      </c>
      <c r="F47" s="64">
        <v>4.29</v>
      </c>
      <c r="G47" s="64">
        <v>95.38</v>
      </c>
      <c r="H47" s="64">
        <v>36.44</v>
      </c>
      <c r="I47" s="64">
        <v>10.49</v>
      </c>
      <c r="J47" s="64">
        <v>0.12</v>
      </c>
      <c r="K47" s="64">
        <v>220.69</v>
      </c>
      <c r="L47" s="64">
        <v>33.479999999999997</v>
      </c>
      <c r="M47" s="64">
        <v>26.07</v>
      </c>
      <c r="N47" s="64">
        <v>695.1</v>
      </c>
      <c r="O47" s="64">
        <v>0</v>
      </c>
      <c r="P47" s="64">
        <v>0.83</v>
      </c>
      <c r="Q47" s="64">
        <v>9.9700000000000006</v>
      </c>
      <c r="R47" s="198"/>
      <c r="S47" s="198"/>
      <c r="T47" s="198"/>
      <c r="U47" s="198"/>
    </row>
    <row r="48" spans="1:21" s="12" customFormat="1" x14ac:dyDescent="0.25">
      <c r="A48" s="214" t="s">
        <v>767</v>
      </c>
      <c r="B48" s="212" t="s">
        <v>42</v>
      </c>
      <c r="C48" s="212" t="s">
        <v>42</v>
      </c>
      <c r="D48" s="212" t="s">
        <v>42</v>
      </c>
      <c r="E48" s="64">
        <v>1.68</v>
      </c>
      <c r="F48" s="64">
        <v>4.29</v>
      </c>
      <c r="G48" s="64">
        <v>95.38</v>
      </c>
      <c r="H48" s="64">
        <v>36.44</v>
      </c>
      <c r="I48" s="64">
        <v>10.039999999999999</v>
      </c>
      <c r="J48" s="64">
        <v>0.16</v>
      </c>
      <c r="K48" s="64">
        <v>293.47000000000003</v>
      </c>
      <c r="L48" s="64">
        <v>35.46</v>
      </c>
      <c r="M48" s="64">
        <v>23.87</v>
      </c>
      <c r="N48" s="64">
        <v>734.8</v>
      </c>
      <c r="O48" s="64">
        <v>0</v>
      </c>
      <c r="P48" s="64">
        <v>0.82</v>
      </c>
      <c r="Q48" s="64">
        <v>9.65</v>
      </c>
      <c r="R48" s="198"/>
      <c r="S48" s="198"/>
      <c r="T48" s="198"/>
      <c r="U48" s="198"/>
    </row>
    <row r="49" spans="1:21" s="12" customFormat="1" x14ac:dyDescent="0.25">
      <c r="A49" s="214" t="s">
        <v>768</v>
      </c>
      <c r="B49" s="212" t="s">
        <v>42</v>
      </c>
      <c r="C49" s="212" t="s">
        <v>42</v>
      </c>
      <c r="D49" s="212" t="s">
        <v>42</v>
      </c>
      <c r="E49" s="64">
        <v>1.66</v>
      </c>
      <c r="F49" s="64">
        <v>4.38</v>
      </c>
      <c r="G49" s="64">
        <v>86.75</v>
      </c>
      <c r="H49" s="64">
        <v>33.44</v>
      </c>
      <c r="I49" s="64">
        <v>9.85</v>
      </c>
      <c r="J49" s="64">
        <v>0.44</v>
      </c>
      <c r="K49" s="64">
        <v>199.6</v>
      </c>
      <c r="L49" s="64">
        <v>36.15</v>
      </c>
      <c r="M49" s="64">
        <v>21.37</v>
      </c>
      <c r="N49" s="64">
        <v>781.7</v>
      </c>
      <c r="O49" s="64">
        <v>0</v>
      </c>
      <c r="P49" s="64">
        <v>0.81</v>
      </c>
      <c r="Q49" s="64">
        <v>9.9700000000000006</v>
      </c>
      <c r="R49" s="198"/>
      <c r="S49" s="198"/>
      <c r="T49" s="198"/>
      <c r="U49" s="198"/>
    </row>
    <row r="50" spans="1:21" s="12" customFormat="1" x14ac:dyDescent="0.25">
      <c r="A50" s="214" t="s">
        <v>769</v>
      </c>
      <c r="B50" s="212" t="s">
        <v>42</v>
      </c>
      <c r="C50" s="212" t="s">
        <v>42</v>
      </c>
      <c r="D50" s="212" t="s">
        <v>42</v>
      </c>
      <c r="E50" s="64">
        <v>1.66</v>
      </c>
      <c r="F50" s="64">
        <v>4.99</v>
      </c>
      <c r="G50" s="64">
        <v>84.28</v>
      </c>
      <c r="H50" s="64">
        <v>32.58</v>
      </c>
      <c r="I50" s="64">
        <v>9.67</v>
      </c>
      <c r="J50" s="64">
        <v>0.18</v>
      </c>
      <c r="K50" s="64">
        <v>311.85000000000002</v>
      </c>
      <c r="L50" s="64">
        <v>35.880000000000003</v>
      </c>
      <c r="M50" s="64">
        <v>20.66</v>
      </c>
      <c r="N50" s="64">
        <v>807.1</v>
      </c>
      <c r="O50" s="64">
        <v>0</v>
      </c>
      <c r="P50" s="64">
        <v>0.79</v>
      </c>
      <c r="Q50" s="64">
        <v>9.7799999999999994</v>
      </c>
      <c r="R50" s="198"/>
      <c r="S50" s="198"/>
      <c r="T50" s="198"/>
      <c r="U50" s="198"/>
    </row>
    <row r="51" spans="1:21" s="12" customFormat="1" x14ac:dyDescent="0.25">
      <c r="A51" s="214" t="s">
        <v>770</v>
      </c>
      <c r="B51" s="212" t="s">
        <v>42</v>
      </c>
      <c r="C51" s="212" t="s">
        <v>42</v>
      </c>
      <c r="D51" s="212" t="s">
        <v>42</v>
      </c>
      <c r="E51" s="64">
        <v>1.49</v>
      </c>
      <c r="F51" s="64">
        <v>5.25</v>
      </c>
      <c r="G51" s="64">
        <v>84.28</v>
      </c>
      <c r="H51" s="64">
        <v>32.58</v>
      </c>
      <c r="I51" s="64">
        <v>9.3699999999999992</v>
      </c>
      <c r="J51" s="64">
        <v>0.17</v>
      </c>
      <c r="K51" s="64">
        <v>89.87</v>
      </c>
      <c r="L51" s="64">
        <v>37.950000000000003</v>
      </c>
      <c r="M51" s="64">
        <v>18.600000000000001</v>
      </c>
      <c r="N51" s="64">
        <v>839.8</v>
      </c>
      <c r="O51" s="64">
        <v>0</v>
      </c>
      <c r="P51" s="64">
        <v>0.78</v>
      </c>
      <c r="Q51" s="64">
        <v>9.6</v>
      </c>
      <c r="R51" s="198"/>
      <c r="S51" s="198"/>
      <c r="T51" s="198"/>
      <c r="U51" s="198"/>
    </row>
    <row r="52" spans="1:21" s="12" customFormat="1" x14ac:dyDescent="0.25">
      <c r="A52" s="214" t="s">
        <v>771</v>
      </c>
      <c r="B52" s="212" t="s">
        <v>42</v>
      </c>
      <c r="C52" s="212" t="s">
        <v>42</v>
      </c>
      <c r="D52" s="212" t="s">
        <v>42</v>
      </c>
      <c r="E52" s="64">
        <v>1.48</v>
      </c>
      <c r="F52" s="64">
        <v>5.47</v>
      </c>
      <c r="G52" s="64">
        <v>84.28</v>
      </c>
      <c r="H52" s="64">
        <v>32.58</v>
      </c>
      <c r="I52" s="64">
        <v>9.26</v>
      </c>
      <c r="J52" s="64">
        <v>0.19</v>
      </c>
      <c r="K52" s="64">
        <v>357.67</v>
      </c>
      <c r="L52" s="64">
        <v>38.6</v>
      </c>
      <c r="M52" s="64">
        <v>17.36</v>
      </c>
      <c r="N52" s="64">
        <v>870</v>
      </c>
      <c r="O52" s="64">
        <v>0</v>
      </c>
      <c r="P52" s="64">
        <v>0.77</v>
      </c>
      <c r="Q52" s="64">
        <v>9.65</v>
      </c>
      <c r="R52" s="198"/>
      <c r="S52" s="198"/>
      <c r="T52" s="198"/>
      <c r="U52" s="198"/>
    </row>
    <row r="53" spans="1:21" s="12" customFormat="1" x14ac:dyDescent="0.25">
      <c r="A53" s="214" t="s">
        <v>772</v>
      </c>
      <c r="B53" s="212" t="s">
        <v>42</v>
      </c>
      <c r="C53" s="212" t="s">
        <v>42</v>
      </c>
      <c r="D53" s="212" t="s">
        <v>42</v>
      </c>
      <c r="E53" s="64">
        <v>1.01</v>
      </c>
      <c r="F53" s="64">
        <v>5.17</v>
      </c>
      <c r="G53" s="64">
        <v>79.400000000000006</v>
      </c>
      <c r="H53" s="64">
        <v>18.510000000000002</v>
      </c>
      <c r="I53" s="64">
        <v>9.24</v>
      </c>
      <c r="J53" s="64">
        <v>0.27</v>
      </c>
      <c r="K53" s="64">
        <v>75.67</v>
      </c>
      <c r="L53" s="64">
        <v>37.19</v>
      </c>
      <c r="M53" s="64">
        <v>18.23</v>
      </c>
      <c r="N53" s="64">
        <v>870</v>
      </c>
      <c r="O53" s="64">
        <v>0</v>
      </c>
      <c r="P53" s="64">
        <v>0.76</v>
      </c>
      <c r="Q53" s="64">
        <v>9.7100000000000009</v>
      </c>
      <c r="R53" s="198"/>
      <c r="S53" s="198"/>
      <c r="T53" s="198"/>
      <c r="U53" s="198"/>
    </row>
    <row r="54" spans="1:21" s="12" customFormat="1" x14ac:dyDescent="0.25">
      <c r="A54" s="214" t="s">
        <v>773</v>
      </c>
      <c r="B54" s="212" t="s">
        <v>42</v>
      </c>
      <c r="C54" s="212" t="s">
        <v>42</v>
      </c>
      <c r="D54" s="212" t="s">
        <v>42</v>
      </c>
      <c r="E54" s="64">
        <v>1.27</v>
      </c>
      <c r="F54" s="64">
        <v>4.9400000000000004</v>
      </c>
      <c r="G54" s="64">
        <v>78.010000000000005</v>
      </c>
      <c r="H54" s="64">
        <v>14.49</v>
      </c>
      <c r="I54" s="64">
        <v>9.08</v>
      </c>
      <c r="J54" s="64">
        <v>0.54</v>
      </c>
      <c r="K54" s="64">
        <v>5.9</v>
      </c>
      <c r="L54" s="64">
        <v>38.07</v>
      </c>
      <c r="M54" s="64">
        <v>18.36</v>
      </c>
      <c r="N54" s="64">
        <v>855.5</v>
      </c>
      <c r="O54" s="64">
        <v>0</v>
      </c>
      <c r="P54" s="64">
        <v>0.75</v>
      </c>
      <c r="Q54" s="64">
        <v>9.69</v>
      </c>
      <c r="R54" s="198"/>
      <c r="S54" s="198"/>
      <c r="T54" s="198"/>
      <c r="U54" s="198"/>
    </row>
    <row r="55" spans="1:21" s="12" customFormat="1" x14ac:dyDescent="0.25">
      <c r="A55" s="214" t="s">
        <v>774</v>
      </c>
      <c r="B55" s="212" t="s">
        <v>42</v>
      </c>
      <c r="C55" s="212" t="s">
        <v>42</v>
      </c>
      <c r="D55" s="212" t="s">
        <v>42</v>
      </c>
      <c r="E55" s="64">
        <v>1.58</v>
      </c>
      <c r="F55" s="64">
        <v>5.04</v>
      </c>
      <c r="G55" s="64">
        <v>78.010000000000005</v>
      </c>
      <c r="H55" s="64">
        <v>14.49</v>
      </c>
      <c r="I55" s="64">
        <v>9.6199999999999992</v>
      </c>
      <c r="J55" s="64">
        <v>0.94</v>
      </c>
      <c r="K55" s="64">
        <v>336.65</v>
      </c>
      <c r="L55" s="64">
        <v>40.5</v>
      </c>
      <c r="M55" s="64">
        <v>16.03</v>
      </c>
      <c r="N55" s="64">
        <v>859</v>
      </c>
      <c r="O55" s="64">
        <v>0</v>
      </c>
      <c r="P55" s="64">
        <v>0.74</v>
      </c>
      <c r="Q55" s="64">
        <v>9.7100000000000009</v>
      </c>
      <c r="R55" s="198"/>
      <c r="S55" s="198"/>
      <c r="T55" s="198"/>
      <c r="U55" s="198"/>
    </row>
    <row r="56" spans="1:21" s="12" customFormat="1" x14ac:dyDescent="0.25">
      <c r="A56" s="214" t="s">
        <v>775</v>
      </c>
      <c r="B56" s="212" t="s">
        <v>42</v>
      </c>
      <c r="C56" s="212" t="s">
        <v>42</v>
      </c>
      <c r="D56" s="212" t="s">
        <v>42</v>
      </c>
      <c r="E56" s="64">
        <v>0.63</v>
      </c>
      <c r="F56" s="64">
        <v>5.52</v>
      </c>
      <c r="G56" s="64">
        <v>78.010000000000005</v>
      </c>
      <c r="H56" s="64">
        <v>14.49</v>
      </c>
      <c r="I56" s="64">
        <v>10.3</v>
      </c>
      <c r="J56" s="64">
        <v>0.53</v>
      </c>
      <c r="K56" s="64">
        <v>346.41</v>
      </c>
      <c r="L56" s="64">
        <v>40.61</v>
      </c>
      <c r="M56" s="64">
        <v>15.08</v>
      </c>
      <c r="N56" s="64">
        <v>854.4</v>
      </c>
      <c r="O56" s="64">
        <v>0</v>
      </c>
      <c r="P56" s="64">
        <v>0.74</v>
      </c>
      <c r="Q56" s="64">
        <v>9.5</v>
      </c>
      <c r="R56" s="198"/>
      <c r="S56" s="198"/>
      <c r="T56" s="198"/>
      <c r="U56" s="198"/>
    </row>
    <row r="57" spans="1:21" s="12" customFormat="1" x14ac:dyDescent="0.25">
      <c r="A57" s="214" t="s">
        <v>776</v>
      </c>
      <c r="B57" s="212" t="s">
        <v>42</v>
      </c>
      <c r="C57" s="212" t="s">
        <v>42</v>
      </c>
      <c r="D57" s="212" t="s">
        <v>42</v>
      </c>
      <c r="E57" s="64">
        <v>1.08</v>
      </c>
      <c r="F57" s="64">
        <v>5.23</v>
      </c>
      <c r="G57" s="64">
        <v>73.760000000000005</v>
      </c>
      <c r="H57" s="64">
        <v>6.6</v>
      </c>
      <c r="I57" s="64">
        <v>10.32</v>
      </c>
      <c r="J57" s="64">
        <v>0.26</v>
      </c>
      <c r="K57" s="64">
        <v>38.44</v>
      </c>
      <c r="L57" s="64">
        <v>38.799999999999997</v>
      </c>
      <c r="M57" s="64">
        <v>16.53</v>
      </c>
      <c r="N57" s="64">
        <v>847.2</v>
      </c>
      <c r="O57" s="64">
        <v>0</v>
      </c>
      <c r="P57" s="64">
        <v>0.73</v>
      </c>
      <c r="Q57" s="64">
        <v>9.84</v>
      </c>
      <c r="R57" s="198"/>
      <c r="S57" s="198"/>
      <c r="T57" s="198"/>
      <c r="U57" s="198"/>
    </row>
    <row r="58" spans="1:21" s="12" customFormat="1" x14ac:dyDescent="0.25">
      <c r="A58" s="214" t="s">
        <v>777</v>
      </c>
      <c r="B58" s="212" t="s">
        <v>42</v>
      </c>
      <c r="C58" s="212" t="s">
        <v>42</v>
      </c>
      <c r="D58" s="212" t="s">
        <v>42</v>
      </c>
      <c r="E58" s="64">
        <v>0.83</v>
      </c>
      <c r="F58" s="64">
        <v>5.54</v>
      </c>
      <c r="G58" s="64">
        <v>72.540000000000006</v>
      </c>
      <c r="H58" s="64">
        <v>4.3499999999999996</v>
      </c>
      <c r="I58" s="64">
        <v>10.42</v>
      </c>
      <c r="J58" s="64">
        <v>0.39</v>
      </c>
      <c r="K58" s="64">
        <v>325.13</v>
      </c>
      <c r="L58" s="64">
        <v>39.78</v>
      </c>
      <c r="M58" s="64">
        <v>16.52</v>
      </c>
      <c r="N58" s="64">
        <v>866.9</v>
      </c>
      <c r="O58" s="64">
        <v>0</v>
      </c>
      <c r="P58" s="64">
        <v>0.71</v>
      </c>
      <c r="Q58" s="64">
        <v>9.65</v>
      </c>
      <c r="R58" s="198"/>
      <c r="S58" s="198"/>
      <c r="T58" s="198"/>
      <c r="U58" s="198"/>
    </row>
    <row r="59" spans="1:21" s="12" customFormat="1" x14ac:dyDescent="0.25">
      <c r="A59" s="214" t="s">
        <v>778</v>
      </c>
      <c r="B59" s="212" t="s">
        <v>42</v>
      </c>
      <c r="C59" s="212" t="s">
        <v>42</v>
      </c>
      <c r="D59" s="212" t="s">
        <v>42</v>
      </c>
      <c r="E59" s="64">
        <v>0.65</v>
      </c>
      <c r="F59" s="64">
        <v>5.36</v>
      </c>
      <c r="G59" s="64">
        <v>72.540000000000006</v>
      </c>
      <c r="H59" s="64">
        <v>4.3499999999999996</v>
      </c>
      <c r="I59" s="64">
        <v>10.72</v>
      </c>
      <c r="J59" s="64">
        <v>1.0900000000000001</v>
      </c>
      <c r="K59" s="64">
        <v>344.15</v>
      </c>
      <c r="L59" s="64">
        <v>38.67</v>
      </c>
      <c r="M59" s="64">
        <v>18.23</v>
      </c>
      <c r="N59" s="64">
        <v>863.5</v>
      </c>
      <c r="O59" s="64">
        <v>0</v>
      </c>
      <c r="P59" s="64">
        <v>0.7</v>
      </c>
      <c r="Q59" s="64">
        <v>9.65</v>
      </c>
      <c r="R59" s="198"/>
      <c r="S59" s="198"/>
      <c r="T59" s="198"/>
      <c r="U59" s="198"/>
    </row>
    <row r="60" spans="1:21" s="12" customFormat="1" x14ac:dyDescent="0.25">
      <c r="A60" s="214" t="s">
        <v>779</v>
      </c>
      <c r="B60" s="212" t="s">
        <v>42</v>
      </c>
      <c r="C60" s="212" t="s">
        <v>42</v>
      </c>
      <c r="D60" s="212" t="s">
        <v>42</v>
      </c>
      <c r="E60" s="64">
        <v>0.68</v>
      </c>
      <c r="F60" s="64">
        <v>5.24</v>
      </c>
      <c r="G60" s="64">
        <v>72.540000000000006</v>
      </c>
      <c r="H60" s="64">
        <v>4.3499999999999996</v>
      </c>
      <c r="I60" s="64">
        <v>10.83</v>
      </c>
      <c r="J60" s="64">
        <v>0.92</v>
      </c>
      <c r="K60" s="64">
        <v>343.44</v>
      </c>
      <c r="L60" s="64">
        <v>40.880000000000003</v>
      </c>
      <c r="M60" s="64">
        <v>13.88</v>
      </c>
      <c r="N60" s="64">
        <v>836.6</v>
      </c>
      <c r="O60" s="64">
        <v>0</v>
      </c>
      <c r="P60" s="64">
        <v>0.69</v>
      </c>
      <c r="Q60" s="64">
        <v>9.7799999999999994</v>
      </c>
      <c r="R60" s="198"/>
      <c r="S60" s="198"/>
      <c r="T60" s="198"/>
      <c r="U60" s="198"/>
    </row>
    <row r="61" spans="1:21" s="12" customFormat="1" x14ac:dyDescent="0.25">
      <c r="A61" s="214" t="s">
        <v>780</v>
      </c>
      <c r="B61" s="212" t="s">
        <v>42</v>
      </c>
      <c r="C61" s="212" t="s">
        <v>42</v>
      </c>
      <c r="D61" s="212" t="s">
        <v>42</v>
      </c>
      <c r="E61" s="64">
        <v>0.86</v>
      </c>
      <c r="F61" s="64">
        <v>5.43</v>
      </c>
      <c r="G61" s="64">
        <v>66.709999999999994</v>
      </c>
      <c r="H61" s="64">
        <v>32.58</v>
      </c>
      <c r="I61" s="64">
        <v>10.87</v>
      </c>
      <c r="J61" s="64">
        <v>0.3</v>
      </c>
      <c r="K61" s="64">
        <v>326.89999999999998</v>
      </c>
      <c r="L61" s="64">
        <v>40.67</v>
      </c>
      <c r="M61" s="64">
        <v>13.25</v>
      </c>
      <c r="N61" s="64">
        <v>831.7</v>
      </c>
      <c r="O61" s="64">
        <v>0</v>
      </c>
      <c r="P61" s="64">
        <v>0.65</v>
      </c>
      <c r="Q61" s="64">
        <v>9.77</v>
      </c>
      <c r="R61" s="198"/>
      <c r="S61" s="198"/>
      <c r="T61" s="198"/>
      <c r="U61" s="198"/>
    </row>
    <row r="62" spans="1:21" s="12" customFormat="1" x14ac:dyDescent="0.25">
      <c r="A62" s="214" t="s">
        <v>781</v>
      </c>
      <c r="B62" s="212" t="s">
        <v>42</v>
      </c>
      <c r="C62" s="212" t="s">
        <v>42</v>
      </c>
      <c r="D62" s="212" t="s">
        <v>42</v>
      </c>
      <c r="E62" s="64">
        <v>0.95</v>
      </c>
      <c r="F62" s="64">
        <v>6.17</v>
      </c>
      <c r="G62" s="64">
        <v>65.05</v>
      </c>
      <c r="H62" s="64">
        <v>40.65</v>
      </c>
      <c r="I62" s="64">
        <v>10.47</v>
      </c>
      <c r="J62" s="64">
        <v>0.56000000000000005</v>
      </c>
      <c r="K62" s="64">
        <v>322.99</v>
      </c>
      <c r="L62" s="64">
        <v>39.81</v>
      </c>
      <c r="M62" s="64">
        <v>13.59</v>
      </c>
      <c r="N62" s="64">
        <v>801.7</v>
      </c>
      <c r="O62" s="64">
        <v>0</v>
      </c>
      <c r="P62" s="64">
        <v>0.65</v>
      </c>
      <c r="Q62" s="64">
        <v>9.68</v>
      </c>
      <c r="R62" s="198"/>
      <c r="S62" s="198"/>
      <c r="T62" s="198"/>
      <c r="U62" s="198"/>
    </row>
    <row r="63" spans="1:21" s="12" customFormat="1" x14ac:dyDescent="0.25">
      <c r="A63" s="214" t="s">
        <v>782</v>
      </c>
      <c r="B63" s="212" t="s">
        <v>42</v>
      </c>
      <c r="C63" s="212" t="s">
        <v>42</v>
      </c>
      <c r="D63" s="212" t="s">
        <v>42</v>
      </c>
      <c r="E63" s="64">
        <v>1.27</v>
      </c>
      <c r="F63" s="64">
        <v>6.48</v>
      </c>
      <c r="G63" s="64">
        <v>65.05</v>
      </c>
      <c r="H63" s="64">
        <v>40.65</v>
      </c>
      <c r="I63" s="64">
        <v>10.06</v>
      </c>
      <c r="J63" s="64">
        <v>0.37</v>
      </c>
      <c r="K63" s="64">
        <v>296.68</v>
      </c>
      <c r="L63" s="64">
        <v>39.979999999999997</v>
      </c>
      <c r="M63" s="64">
        <v>12.12</v>
      </c>
      <c r="N63" s="64">
        <v>756.2</v>
      </c>
      <c r="O63" s="64">
        <v>0</v>
      </c>
      <c r="P63" s="64">
        <v>0.62</v>
      </c>
      <c r="Q63" s="64">
        <v>9.51</v>
      </c>
      <c r="R63" s="198"/>
      <c r="S63" s="198"/>
      <c r="T63" s="198"/>
      <c r="U63" s="198"/>
    </row>
    <row r="64" spans="1:21" s="12" customFormat="1" x14ac:dyDescent="0.25">
      <c r="A64" s="214" t="s">
        <v>783</v>
      </c>
      <c r="B64" s="212" t="s">
        <v>42</v>
      </c>
      <c r="C64" s="212" t="s">
        <v>42</v>
      </c>
      <c r="D64" s="212" t="s">
        <v>42</v>
      </c>
      <c r="E64" s="64">
        <v>0.91</v>
      </c>
      <c r="F64" s="64">
        <v>7.21</v>
      </c>
      <c r="G64" s="64">
        <v>65.05</v>
      </c>
      <c r="H64" s="64">
        <v>40.65</v>
      </c>
      <c r="I64" s="64">
        <v>9.52</v>
      </c>
      <c r="J64" s="64">
        <v>0.4</v>
      </c>
      <c r="K64" s="64">
        <v>307.39</v>
      </c>
      <c r="L64" s="64">
        <v>39.21</v>
      </c>
      <c r="M64" s="64">
        <v>13.42</v>
      </c>
      <c r="N64" s="64">
        <v>638.79999999999995</v>
      </c>
      <c r="O64" s="64">
        <v>0</v>
      </c>
      <c r="P64" s="64">
        <v>0.59</v>
      </c>
      <c r="Q64" s="64">
        <v>9.52</v>
      </c>
      <c r="R64" s="198"/>
      <c r="S64" s="198"/>
      <c r="T64" s="198"/>
      <c r="U64" s="198"/>
    </row>
    <row r="65" spans="1:21" s="12" customFormat="1" x14ac:dyDescent="0.25">
      <c r="A65" s="214" t="s">
        <v>784</v>
      </c>
      <c r="B65" s="212" t="s">
        <v>42</v>
      </c>
      <c r="C65" s="212" t="s">
        <v>42</v>
      </c>
      <c r="D65" s="212" t="s">
        <v>42</v>
      </c>
      <c r="E65" s="64">
        <v>0.7</v>
      </c>
      <c r="F65" s="64">
        <v>6.73</v>
      </c>
      <c r="G65" s="64">
        <v>56.05</v>
      </c>
      <c r="H65" s="64">
        <v>25.13</v>
      </c>
      <c r="I65" s="64">
        <v>8.99</v>
      </c>
      <c r="J65" s="64">
        <v>0.95</v>
      </c>
      <c r="K65" s="64">
        <v>319.83999999999997</v>
      </c>
      <c r="L65" s="64">
        <v>40.32</v>
      </c>
      <c r="M65" s="64">
        <v>12.99</v>
      </c>
      <c r="N65" s="64">
        <v>526</v>
      </c>
      <c r="O65" s="64">
        <v>0</v>
      </c>
      <c r="P65" s="64">
        <v>0.56999999999999995</v>
      </c>
      <c r="Q65" s="64">
        <v>9.5299999999999994</v>
      </c>
      <c r="R65" s="198"/>
      <c r="S65" s="198"/>
      <c r="T65" s="198"/>
      <c r="U65" s="198"/>
    </row>
    <row r="66" spans="1:21" s="12" customFormat="1" x14ac:dyDescent="0.25">
      <c r="A66" s="214" t="s">
        <v>785</v>
      </c>
      <c r="B66" s="212" t="s">
        <v>42</v>
      </c>
      <c r="C66" s="212" t="s">
        <v>42</v>
      </c>
      <c r="D66" s="212" t="s">
        <v>42</v>
      </c>
      <c r="E66" s="64">
        <v>0.76</v>
      </c>
      <c r="F66" s="64">
        <v>6.26</v>
      </c>
      <c r="G66" s="64">
        <v>53.48</v>
      </c>
      <c r="H66" s="64">
        <v>20.69</v>
      </c>
      <c r="I66" s="64">
        <v>8.4499999999999993</v>
      </c>
      <c r="J66" s="64">
        <v>0.55000000000000004</v>
      </c>
      <c r="K66" s="64">
        <v>330.1</v>
      </c>
      <c r="L66" s="64">
        <v>39.92</v>
      </c>
      <c r="M66" s="64">
        <v>12.75</v>
      </c>
      <c r="N66" s="64">
        <v>544.6</v>
      </c>
      <c r="O66" s="64">
        <v>0</v>
      </c>
      <c r="P66" s="64">
        <v>0.55000000000000004</v>
      </c>
      <c r="Q66" s="64">
        <v>9.42</v>
      </c>
      <c r="R66" s="198"/>
      <c r="S66" s="198"/>
      <c r="T66" s="198"/>
      <c r="U66" s="198"/>
    </row>
    <row r="67" spans="1:21" s="12" customFormat="1" x14ac:dyDescent="0.25">
      <c r="A67" s="214" t="s">
        <v>786</v>
      </c>
      <c r="B67" s="212" t="s">
        <v>42</v>
      </c>
      <c r="C67" s="212" t="s">
        <v>42</v>
      </c>
      <c r="D67" s="212" t="s">
        <v>42</v>
      </c>
      <c r="E67" s="64">
        <v>0.65</v>
      </c>
      <c r="F67" s="64">
        <v>6.39</v>
      </c>
      <c r="G67" s="64">
        <v>53.48</v>
      </c>
      <c r="H67" s="64">
        <v>20.69</v>
      </c>
      <c r="I67" s="64">
        <v>8.07</v>
      </c>
      <c r="J67" s="64">
        <v>0.64</v>
      </c>
      <c r="K67" s="64">
        <v>322.72000000000003</v>
      </c>
      <c r="L67" s="64">
        <v>39.770000000000003</v>
      </c>
      <c r="M67" s="64">
        <v>12.62</v>
      </c>
      <c r="N67" s="64">
        <v>588.6</v>
      </c>
      <c r="O67" s="64">
        <v>0</v>
      </c>
      <c r="P67" s="64">
        <v>0.54</v>
      </c>
      <c r="Q67" s="64">
        <v>9.65</v>
      </c>
      <c r="R67" s="198"/>
      <c r="S67" s="198"/>
      <c r="T67" s="198"/>
      <c r="U67" s="198"/>
    </row>
    <row r="68" spans="1:21" s="12" customFormat="1" x14ac:dyDescent="0.25">
      <c r="A68" s="214" t="s">
        <v>787</v>
      </c>
      <c r="B68" s="212" t="s">
        <v>42</v>
      </c>
      <c r="C68" s="212" t="s">
        <v>42</v>
      </c>
      <c r="D68" s="212" t="s">
        <v>42</v>
      </c>
      <c r="E68" s="64">
        <v>0.86</v>
      </c>
      <c r="F68" s="64">
        <v>6.79</v>
      </c>
      <c r="G68" s="64">
        <v>53.48</v>
      </c>
      <c r="H68" s="64">
        <v>20.69</v>
      </c>
      <c r="I68" s="64">
        <v>7.73</v>
      </c>
      <c r="J68" s="64">
        <v>0.56000000000000005</v>
      </c>
      <c r="K68" s="64">
        <v>312.06</v>
      </c>
      <c r="L68" s="64">
        <v>39.01</v>
      </c>
      <c r="M68" s="64">
        <v>14.21</v>
      </c>
      <c r="N68" s="64">
        <v>490</v>
      </c>
      <c r="O68" s="64">
        <v>0</v>
      </c>
      <c r="P68" s="64">
        <v>0.52</v>
      </c>
      <c r="Q68" s="64">
        <v>9.42</v>
      </c>
      <c r="R68" s="198"/>
      <c r="S68" s="198"/>
      <c r="T68" s="198"/>
      <c r="U68" s="198"/>
    </row>
    <row r="69" spans="1:21" s="12" customFormat="1" x14ac:dyDescent="0.25">
      <c r="A69" s="214" t="s">
        <v>788</v>
      </c>
      <c r="B69" s="212" t="s">
        <v>42</v>
      </c>
      <c r="C69" s="212" t="s">
        <v>42</v>
      </c>
      <c r="D69" s="212" t="s">
        <v>42</v>
      </c>
      <c r="E69" s="64">
        <v>0.73</v>
      </c>
      <c r="F69" s="64">
        <v>6.5</v>
      </c>
      <c r="G69" s="64">
        <v>49.58</v>
      </c>
      <c r="H69" s="64">
        <v>22.96</v>
      </c>
      <c r="I69" s="64">
        <v>7.47</v>
      </c>
      <c r="J69" s="64">
        <v>0.45</v>
      </c>
      <c r="K69" s="64">
        <v>317.92</v>
      </c>
      <c r="L69" s="64">
        <v>38.96</v>
      </c>
      <c r="M69" s="64">
        <v>14.36</v>
      </c>
      <c r="N69" s="64">
        <v>378.2</v>
      </c>
      <c r="O69" s="64">
        <v>0</v>
      </c>
      <c r="P69" s="64">
        <v>0.51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4" t="s">
        <v>789</v>
      </c>
      <c r="B70" s="212" t="s">
        <v>42</v>
      </c>
      <c r="C70" s="212" t="s">
        <v>42</v>
      </c>
      <c r="D70" s="212" t="s">
        <v>42</v>
      </c>
      <c r="E70" s="64">
        <v>0.65</v>
      </c>
      <c r="F70" s="64">
        <v>6.13</v>
      </c>
      <c r="G70" s="64">
        <v>48.46</v>
      </c>
      <c r="H70" s="64">
        <v>23.61</v>
      </c>
      <c r="I70" s="64">
        <v>7.25</v>
      </c>
      <c r="J70" s="64">
        <v>0.28000000000000003</v>
      </c>
      <c r="K70" s="64">
        <v>327.7</v>
      </c>
      <c r="L70" s="64">
        <v>38.049999999999997</v>
      </c>
      <c r="M70" s="64">
        <v>14.62</v>
      </c>
      <c r="N70" s="64">
        <v>230.4</v>
      </c>
      <c r="O70" s="64">
        <v>0</v>
      </c>
      <c r="P70" s="64">
        <v>0.49</v>
      </c>
      <c r="Q70" s="64">
        <v>9.5299999999999994</v>
      </c>
      <c r="R70" s="198"/>
      <c r="S70" s="198"/>
      <c r="T70" s="198"/>
      <c r="U70" s="198"/>
    </row>
    <row r="71" spans="1:21" s="12" customFormat="1" x14ac:dyDescent="0.25">
      <c r="A71" s="214" t="s">
        <v>790</v>
      </c>
      <c r="B71" s="212" t="s">
        <v>42</v>
      </c>
      <c r="C71" s="212" t="s">
        <v>42</v>
      </c>
      <c r="D71" s="212" t="s">
        <v>42</v>
      </c>
      <c r="E71" s="64">
        <v>0.76</v>
      </c>
      <c r="F71" s="64">
        <v>6.4</v>
      </c>
      <c r="G71" s="64">
        <v>48.46</v>
      </c>
      <c r="H71" s="64">
        <v>23.61</v>
      </c>
      <c r="I71" s="64">
        <v>6.92</v>
      </c>
      <c r="J71" s="64">
        <v>0.22</v>
      </c>
      <c r="K71" s="64">
        <v>314.98</v>
      </c>
      <c r="L71" s="64">
        <v>37.979999999999997</v>
      </c>
      <c r="M71" s="64">
        <v>14.93</v>
      </c>
      <c r="N71" s="64">
        <v>223.6</v>
      </c>
      <c r="O71" s="64">
        <v>0</v>
      </c>
      <c r="P71" s="64">
        <v>0.47</v>
      </c>
      <c r="Q71" s="64">
        <v>9.48</v>
      </c>
      <c r="R71" s="198"/>
      <c r="S71" s="198"/>
      <c r="T71" s="198"/>
      <c r="U71" s="198"/>
    </row>
    <row r="72" spans="1:21" s="12" customFormat="1" x14ac:dyDescent="0.25">
      <c r="A72" s="214" t="s">
        <v>791</v>
      </c>
      <c r="B72" s="212" t="s">
        <v>42</v>
      </c>
      <c r="C72" s="212" t="s">
        <v>42</v>
      </c>
      <c r="D72" s="212" t="s">
        <v>42</v>
      </c>
      <c r="E72" s="64">
        <v>0.98</v>
      </c>
      <c r="F72" s="64">
        <v>5.71</v>
      </c>
      <c r="G72" s="64">
        <v>48.46</v>
      </c>
      <c r="H72" s="64">
        <v>23.61</v>
      </c>
      <c r="I72" s="64">
        <v>6.58</v>
      </c>
      <c r="J72" s="64">
        <v>0.57999999999999996</v>
      </c>
      <c r="K72" s="64">
        <v>174.13</v>
      </c>
      <c r="L72" s="64">
        <v>36.76</v>
      </c>
      <c r="M72" s="64">
        <v>14.62</v>
      </c>
      <c r="N72" s="64">
        <v>256.89999999999998</v>
      </c>
      <c r="O72" s="64">
        <v>0</v>
      </c>
      <c r="P72" s="64">
        <v>0.46</v>
      </c>
      <c r="Q72" s="64">
        <v>9.57</v>
      </c>
      <c r="R72" s="198"/>
      <c r="S72" s="198"/>
      <c r="T72" s="198"/>
      <c r="U72" s="198"/>
    </row>
    <row r="73" spans="1:21" s="12" customFormat="1" x14ac:dyDescent="0.25">
      <c r="A73" s="214" t="s">
        <v>792</v>
      </c>
      <c r="B73" s="212" t="s">
        <v>42</v>
      </c>
      <c r="C73" s="212" t="s">
        <v>42</v>
      </c>
      <c r="D73" s="212" t="s">
        <v>42</v>
      </c>
      <c r="E73" s="64">
        <v>1.25</v>
      </c>
      <c r="F73" s="64">
        <v>5.76</v>
      </c>
      <c r="G73" s="64">
        <v>45.64</v>
      </c>
      <c r="H73" s="64">
        <v>19.190000000000001</v>
      </c>
      <c r="I73" s="64">
        <v>6.28</v>
      </c>
      <c r="J73" s="64">
        <v>0.51</v>
      </c>
      <c r="K73" s="64">
        <v>340.1</v>
      </c>
      <c r="L73" s="64">
        <v>36.5</v>
      </c>
      <c r="M73" s="64">
        <v>16.63</v>
      </c>
      <c r="N73" s="64">
        <v>161.69999999999999</v>
      </c>
      <c r="O73" s="64">
        <v>0</v>
      </c>
      <c r="P73" s="64">
        <v>0.44</v>
      </c>
      <c r="Q73" s="64">
        <v>9.39</v>
      </c>
      <c r="R73" s="198"/>
      <c r="S73" s="198"/>
      <c r="T73" s="198"/>
      <c r="U73" s="198"/>
    </row>
    <row r="74" spans="1:21" s="12" customFormat="1" x14ac:dyDescent="0.25">
      <c r="A74" s="214" t="s">
        <v>793</v>
      </c>
      <c r="B74" s="212" t="s">
        <v>42</v>
      </c>
      <c r="C74" s="212" t="s">
        <v>42</v>
      </c>
      <c r="D74" s="212" t="s">
        <v>42</v>
      </c>
      <c r="E74" s="64">
        <v>1.24</v>
      </c>
      <c r="F74" s="64">
        <v>5.33</v>
      </c>
      <c r="G74" s="64">
        <v>44.84</v>
      </c>
      <c r="H74" s="64">
        <v>17.93</v>
      </c>
      <c r="I74" s="64">
        <v>6.27</v>
      </c>
      <c r="J74" s="64">
        <v>0.13</v>
      </c>
      <c r="K74" s="64">
        <v>301.43</v>
      </c>
      <c r="L74" s="64">
        <v>36.520000000000003</v>
      </c>
      <c r="M74" s="64">
        <v>16.059999999999999</v>
      </c>
      <c r="N74" s="64">
        <v>131.30000000000001</v>
      </c>
      <c r="O74" s="64">
        <v>0</v>
      </c>
      <c r="P74" s="64">
        <v>0.45</v>
      </c>
      <c r="Q74" s="64">
        <v>9.65</v>
      </c>
      <c r="R74" s="198"/>
      <c r="S74" s="198"/>
      <c r="T74" s="198"/>
      <c r="U74" s="198"/>
    </row>
    <row r="75" spans="1:21" s="12" customFormat="1" x14ac:dyDescent="0.25">
      <c r="A75" s="214" t="s">
        <v>794</v>
      </c>
      <c r="B75" s="212" t="s">
        <v>42</v>
      </c>
      <c r="C75" s="212" t="s">
        <v>42</v>
      </c>
      <c r="D75" s="212" t="s">
        <v>42</v>
      </c>
      <c r="E75" s="64">
        <v>0.99</v>
      </c>
      <c r="F75" s="64">
        <v>4.96</v>
      </c>
      <c r="G75" s="64">
        <v>44.84</v>
      </c>
      <c r="H75" s="64">
        <v>17.93</v>
      </c>
      <c r="I75" s="64">
        <v>6.19</v>
      </c>
      <c r="J75" s="64">
        <v>0.19</v>
      </c>
      <c r="K75" s="64">
        <v>279.88</v>
      </c>
      <c r="L75" s="64">
        <v>36.06</v>
      </c>
      <c r="M75" s="64">
        <v>16.52</v>
      </c>
      <c r="N75" s="64">
        <v>105.5</v>
      </c>
      <c r="O75" s="64">
        <v>0</v>
      </c>
      <c r="P75" s="64">
        <v>0.46</v>
      </c>
      <c r="Q75" s="64">
        <v>9.5500000000000007</v>
      </c>
      <c r="R75" s="198"/>
      <c r="S75" s="198"/>
      <c r="T75" s="198"/>
      <c r="U75" s="198"/>
    </row>
    <row r="76" spans="1:21" s="12" customFormat="1" x14ac:dyDescent="0.25">
      <c r="A76" s="214" t="s">
        <v>795</v>
      </c>
      <c r="B76" s="212" t="s">
        <v>42</v>
      </c>
      <c r="C76" s="212" t="s">
        <v>42</v>
      </c>
      <c r="D76" s="212" t="s">
        <v>42</v>
      </c>
      <c r="E76" s="64">
        <v>1.42</v>
      </c>
      <c r="F76" s="64">
        <v>5.18</v>
      </c>
      <c r="G76" s="64">
        <v>44.84</v>
      </c>
      <c r="H76" s="64">
        <v>17.93</v>
      </c>
      <c r="I76" s="64">
        <v>5.8</v>
      </c>
      <c r="J76" s="64">
        <v>0.17</v>
      </c>
      <c r="K76" s="64">
        <v>298.29000000000002</v>
      </c>
      <c r="L76" s="64">
        <v>34.72</v>
      </c>
      <c r="M76" s="64">
        <v>21.66</v>
      </c>
      <c r="N76" s="64">
        <v>68.8</v>
      </c>
      <c r="O76" s="64">
        <v>0</v>
      </c>
      <c r="P76" s="64">
        <v>0.44</v>
      </c>
      <c r="Q76" s="64">
        <v>9.6300000000000008</v>
      </c>
      <c r="R76" s="198"/>
      <c r="S76" s="198"/>
      <c r="T76" s="198"/>
      <c r="U76" s="198"/>
    </row>
    <row r="77" spans="1:21" s="12" customFormat="1" x14ac:dyDescent="0.25">
      <c r="A77" s="214" t="s">
        <v>796</v>
      </c>
      <c r="B77" s="212" t="s">
        <v>42</v>
      </c>
      <c r="C77" s="212" t="s">
        <v>42</v>
      </c>
      <c r="D77" s="212" t="s">
        <v>42</v>
      </c>
      <c r="E77" s="64">
        <v>0.96</v>
      </c>
      <c r="F77" s="64">
        <v>4.54</v>
      </c>
      <c r="G77" s="64">
        <v>45.66</v>
      </c>
      <c r="H77" s="64">
        <v>19.149999999999999</v>
      </c>
      <c r="I77" s="64">
        <v>5.99</v>
      </c>
      <c r="J77" s="64">
        <v>0.16</v>
      </c>
      <c r="K77" s="64">
        <v>277.60000000000002</v>
      </c>
      <c r="L77" s="64">
        <v>33.82</v>
      </c>
      <c r="M77" s="64">
        <v>21.51</v>
      </c>
      <c r="N77" s="64">
        <v>59.7</v>
      </c>
      <c r="O77" s="64">
        <v>0</v>
      </c>
      <c r="P77" s="64">
        <v>0.54</v>
      </c>
      <c r="Q77" s="64">
        <v>9.56</v>
      </c>
      <c r="R77" s="198"/>
      <c r="S77" s="198"/>
      <c r="T77" s="198"/>
      <c r="U77" s="198"/>
    </row>
    <row r="78" spans="1:21" s="12" customFormat="1" x14ac:dyDescent="0.25">
      <c r="A78" s="214" t="s">
        <v>797</v>
      </c>
      <c r="B78" s="212" t="s">
        <v>42</v>
      </c>
      <c r="C78" s="212" t="s">
        <v>42</v>
      </c>
      <c r="D78" s="212" t="s">
        <v>42</v>
      </c>
      <c r="E78" s="64">
        <v>1.19</v>
      </c>
      <c r="F78" s="64">
        <v>4.55</v>
      </c>
      <c r="G78" s="64">
        <v>45.9</v>
      </c>
      <c r="H78" s="64">
        <v>19.5</v>
      </c>
      <c r="I78" s="64">
        <v>5.53</v>
      </c>
      <c r="J78" s="64">
        <v>0.18</v>
      </c>
      <c r="K78" s="64">
        <v>214.81</v>
      </c>
      <c r="L78" s="64">
        <v>34.35</v>
      </c>
      <c r="M78" s="64">
        <v>19.03</v>
      </c>
      <c r="N78" s="64">
        <v>61.9</v>
      </c>
      <c r="O78" s="64">
        <v>0</v>
      </c>
      <c r="P78" s="64">
        <v>0.5</v>
      </c>
      <c r="Q78" s="64">
        <v>9.61</v>
      </c>
      <c r="R78" s="198"/>
      <c r="S78" s="198"/>
      <c r="T78" s="198"/>
      <c r="U78" s="198"/>
    </row>
    <row r="79" spans="1:21" s="12" customFormat="1" x14ac:dyDescent="0.25">
      <c r="A79" s="214" t="s">
        <v>798</v>
      </c>
      <c r="B79" s="212" t="s">
        <v>42</v>
      </c>
      <c r="C79" s="212" t="s">
        <v>42</v>
      </c>
      <c r="D79" s="212" t="s">
        <v>42</v>
      </c>
      <c r="E79" s="64">
        <v>1.43</v>
      </c>
      <c r="F79" s="64">
        <v>4.67</v>
      </c>
      <c r="G79" s="64">
        <v>45.9</v>
      </c>
      <c r="H79" s="64">
        <v>19.5</v>
      </c>
      <c r="I79" s="64">
        <v>5.89</v>
      </c>
      <c r="J79" s="64">
        <v>0.17</v>
      </c>
      <c r="K79" s="64">
        <v>358.87</v>
      </c>
      <c r="L79" s="64">
        <v>34.049999999999997</v>
      </c>
      <c r="M79" s="64">
        <v>25.22</v>
      </c>
      <c r="N79" s="64">
        <v>45.8</v>
      </c>
      <c r="O79" s="64">
        <v>0</v>
      </c>
      <c r="P79" s="64">
        <v>0.63</v>
      </c>
      <c r="Q79" s="64">
        <v>9.59</v>
      </c>
      <c r="R79" s="198"/>
      <c r="S79" s="198"/>
      <c r="T79" s="198"/>
      <c r="U79" s="198"/>
    </row>
    <row r="80" spans="1:21" s="12" customFormat="1" x14ac:dyDescent="0.25">
      <c r="A80" s="214" t="s">
        <v>799</v>
      </c>
      <c r="B80" s="64">
        <v>2.3199999999999998</v>
      </c>
      <c r="C80" s="64">
        <v>60.22</v>
      </c>
      <c r="D80" s="64">
        <v>33.25</v>
      </c>
      <c r="E80" s="64">
        <v>1.44</v>
      </c>
      <c r="F80" s="64">
        <v>4.0199999999999996</v>
      </c>
      <c r="G80" s="64">
        <v>45.9</v>
      </c>
      <c r="H80" s="64">
        <v>19.5</v>
      </c>
      <c r="I80" s="64">
        <v>6.85</v>
      </c>
      <c r="J80" s="64">
        <v>0.1</v>
      </c>
      <c r="K80" s="64">
        <v>59.55</v>
      </c>
      <c r="L80" s="64">
        <v>32.85</v>
      </c>
      <c r="M80" s="64">
        <v>29.2</v>
      </c>
      <c r="N80" s="64">
        <v>28.7</v>
      </c>
      <c r="O80" s="64">
        <v>0</v>
      </c>
      <c r="P80" s="64">
        <v>0.8</v>
      </c>
      <c r="Q80" s="64">
        <v>9.67</v>
      </c>
      <c r="R80" s="198"/>
      <c r="S80" s="198"/>
      <c r="T80" s="198"/>
      <c r="U80" s="198"/>
    </row>
    <row r="81" spans="1:26" s="12" customFormat="1" x14ac:dyDescent="0.25">
      <c r="A81" s="214" t="s">
        <v>800</v>
      </c>
      <c r="B81" s="64">
        <v>4.45</v>
      </c>
      <c r="C81" s="64">
        <v>62.13</v>
      </c>
      <c r="D81" s="64">
        <v>35.950000000000003</v>
      </c>
      <c r="E81" s="64">
        <v>1.76</v>
      </c>
      <c r="F81" s="64">
        <v>3.56</v>
      </c>
      <c r="G81" s="64">
        <v>55.73</v>
      </c>
      <c r="H81" s="64">
        <v>22.11</v>
      </c>
      <c r="I81" s="64">
        <v>7.43</v>
      </c>
      <c r="J81" s="64">
        <v>0.23</v>
      </c>
      <c r="K81" s="64">
        <v>18.55</v>
      </c>
      <c r="L81" s="64">
        <v>31.92</v>
      </c>
      <c r="M81" s="64">
        <v>32.479999999999997</v>
      </c>
      <c r="N81" s="64">
        <v>23</v>
      </c>
      <c r="O81" s="64">
        <v>0</v>
      </c>
      <c r="P81" s="64">
        <v>0.92</v>
      </c>
      <c r="Q81" s="64">
        <v>9.74</v>
      </c>
      <c r="R81" s="198"/>
      <c r="S81" s="198"/>
      <c r="T81" s="198"/>
      <c r="U81" s="198"/>
    </row>
    <row r="82" spans="1:26" s="12" customFormat="1" x14ac:dyDescent="0.25">
      <c r="A82" s="214" t="s">
        <v>801</v>
      </c>
      <c r="B82" s="64">
        <v>8.25</v>
      </c>
      <c r="C82" s="64">
        <v>65.2</v>
      </c>
      <c r="D82" s="64">
        <v>40.6</v>
      </c>
      <c r="E82" s="64">
        <v>1.62</v>
      </c>
      <c r="F82" s="64">
        <v>3.83</v>
      </c>
      <c r="G82" s="64">
        <v>58.54</v>
      </c>
      <c r="H82" s="64">
        <v>22.86</v>
      </c>
      <c r="I82" s="64">
        <v>8.4</v>
      </c>
      <c r="J82" s="64">
        <v>0.04</v>
      </c>
      <c r="K82" s="64">
        <v>47.81</v>
      </c>
      <c r="L82" s="64">
        <v>31.22</v>
      </c>
      <c r="M82" s="64">
        <v>35.07</v>
      </c>
      <c r="N82" s="64">
        <v>20.9</v>
      </c>
      <c r="O82" s="64">
        <v>0</v>
      </c>
      <c r="P82" s="64">
        <v>1.04</v>
      </c>
      <c r="Q82" s="64">
        <v>9.84</v>
      </c>
      <c r="R82" s="198"/>
      <c r="S82" s="198"/>
      <c r="T82" s="198"/>
      <c r="U82" s="198"/>
    </row>
    <row r="83" spans="1:26" s="12" customFormat="1" x14ac:dyDescent="0.25">
      <c r="A83" s="214" t="s">
        <v>802</v>
      </c>
      <c r="B83" s="64">
        <v>12.16</v>
      </c>
      <c r="C83" s="64">
        <v>67.91</v>
      </c>
      <c r="D83" s="64">
        <v>45.15</v>
      </c>
      <c r="E83" s="64">
        <v>1.68</v>
      </c>
      <c r="F83" s="64">
        <v>3.78</v>
      </c>
      <c r="G83" s="64">
        <v>58.54</v>
      </c>
      <c r="H83" s="64">
        <v>22.86</v>
      </c>
      <c r="I83" s="64">
        <v>8.59</v>
      </c>
      <c r="J83" s="64">
        <v>0.23</v>
      </c>
      <c r="K83" s="64">
        <v>351.43</v>
      </c>
      <c r="L83" s="64">
        <v>30.91</v>
      </c>
      <c r="M83" s="64">
        <v>34.840000000000003</v>
      </c>
      <c r="N83" s="64">
        <v>20.6</v>
      </c>
      <c r="O83" s="64">
        <v>0</v>
      </c>
      <c r="P83" s="64">
        <v>1.33</v>
      </c>
      <c r="Q83" s="64">
        <v>9.83</v>
      </c>
      <c r="R83" s="198"/>
      <c r="S83" s="198"/>
      <c r="T83" s="198"/>
      <c r="U83" s="198"/>
    </row>
    <row r="84" spans="1:26" s="12" customFormat="1" x14ac:dyDescent="0.25">
      <c r="A84" s="214" t="s">
        <v>803</v>
      </c>
      <c r="B84" s="64">
        <v>15.84</v>
      </c>
      <c r="C84" s="64">
        <v>69.98</v>
      </c>
      <c r="D84" s="64">
        <v>49.19</v>
      </c>
      <c r="E84" s="64">
        <v>1.96</v>
      </c>
      <c r="F84" s="64">
        <v>3.67</v>
      </c>
      <c r="G84" s="64">
        <v>58.54</v>
      </c>
      <c r="H84" s="64">
        <v>22.86</v>
      </c>
      <c r="I84" s="64">
        <v>8.9499999999999993</v>
      </c>
      <c r="J84" s="64">
        <v>0.41</v>
      </c>
      <c r="K84" s="64">
        <v>309.48</v>
      </c>
      <c r="L84" s="64">
        <v>30.87</v>
      </c>
      <c r="M84" s="64">
        <v>26.3</v>
      </c>
      <c r="N84" s="64">
        <v>19.2</v>
      </c>
      <c r="O84" s="64">
        <v>0</v>
      </c>
      <c r="P84" s="64">
        <v>1.2</v>
      </c>
      <c r="Q84" s="64">
        <v>10.06</v>
      </c>
      <c r="R84" s="198"/>
      <c r="S84" s="198"/>
      <c r="T84" s="198"/>
      <c r="U84" s="198"/>
    </row>
    <row r="85" spans="1:26" s="12" customFormat="1" x14ac:dyDescent="0.25">
      <c r="A85" s="214" t="s">
        <v>804</v>
      </c>
      <c r="B85" s="64">
        <v>15.85</v>
      </c>
      <c r="C85" s="64">
        <v>70.33</v>
      </c>
      <c r="D85" s="64">
        <v>49.37</v>
      </c>
      <c r="E85" s="64">
        <v>1.93</v>
      </c>
      <c r="F85" s="64">
        <v>3.56</v>
      </c>
      <c r="G85" s="64">
        <v>78.739999999999995</v>
      </c>
      <c r="H85" s="64">
        <v>26.94</v>
      </c>
      <c r="I85" s="64">
        <v>9.3000000000000007</v>
      </c>
      <c r="J85" s="64">
        <v>0.55000000000000004</v>
      </c>
      <c r="K85" s="64">
        <v>307.10000000000002</v>
      </c>
      <c r="L85" s="64">
        <v>31.13</v>
      </c>
      <c r="M85" s="64">
        <v>23.34</v>
      </c>
      <c r="N85" s="64">
        <v>19.2</v>
      </c>
      <c r="O85" s="64">
        <v>0</v>
      </c>
      <c r="P85" s="64">
        <v>1.08</v>
      </c>
      <c r="Q85" s="64">
        <v>10.119999999999999</v>
      </c>
      <c r="R85" s="198"/>
      <c r="S85" s="198"/>
      <c r="T85" s="198"/>
      <c r="U85" s="198"/>
    </row>
    <row r="86" spans="1:26" s="12" customFormat="1" x14ac:dyDescent="0.25">
      <c r="A86" s="214" t="s">
        <v>805</v>
      </c>
      <c r="B86" s="64">
        <v>14.51</v>
      </c>
      <c r="C86" s="64">
        <v>69.77</v>
      </c>
      <c r="D86" s="64">
        <v>48.01</v>
      </c>
      <c r="E86" s="64">
        <v>1.74</v>
      </c>
      <c r="F86" s="64">
        <v>3.74</v>
      </c>
      <c r="G86" s="64">
        <v>84.51</v>
      </c>
      <c r="H86" s="64">
        <v>28.11</v>
      </c>
      <c r="I86" s="64">
        <v>9.0299999999999994</v>
      </c>
      <c r="J86" s="64">
        <v>0.84</v>
      </c>
      <c r="K86" s="64">
        <v>308.08</v>
      </c>
      <c r="L86" s="64">
        <v>31</v>
      </c>
      <c r="M86" s="64">
        <v>23.36</v>
      </c>
      <c r="N86" s="64">
        <v>19.100000000000001</v>
      </c>
      <c r="O86" s="64">
        <v>0</v>
      </c>
      <c r="P86" s="64">
        <v>1.1200000000000001</v>
      </c>
      <c r="Q86" s="64">
        <v>10.029999999999999</v>
      </c>
      <c r="R86" s="198"/>
      <c r="S86" s="198"/>
      <c r="T86" s="198"/>
      <c r="U86" s="198"/>
    </row>
    <row r="87" spans="1:26" s="12" customFormat="1" x14ac:dyDescent="0.25">
      <c r="A87" s="214" t="s">
        <v>806</v>
      </c>
      <c r="B87" s="64">
        <v>13.07</v>
      </c>
      <c r="C87" s="64">
        <v>69.069999999999993</v>
      </c>
      <c r="D87" s="64">
        <v>46.49</v>
      </c>
      <c r="E87" s="64">
        <v>1.63</v>
      </c>
      <c r="F87" s="64">
        <v>3.53</v>
      </c>
      <c r="G87" s="64">
        <v>84.51</v>
      </c>
      <c r="H87" s="64">
        <v>28.11</v>
      </c>
      <c r="I87" s="64">
        <v>9.0399999999999991</v>
      </c>
      <c r="J87" s="64">
        <v>0.98</v>
      </c>
      <c r="K87" s="64">
        <v>316.04000000000002</v>
      </c>
      <c r="L87" s="64">
        <v>30.77</v>
      </c>
      <c r="M87" s="64">
        <v>23.89</v>
      </c>
      <c r="N87" s="64">
        <v>19.8</v>
      </c>
      <c r="O87" s="64">
        <v>0</v>
      </c>
      <c r="P87" s="64">
        <v>1.1000000000000001</v>
      </c>
      <c r="Q87" s="64">
        <v>9.73</v>
      </c>
      <c r="R87" s="198"/>
      <c r="S87" s="198"/>
      <c r="T87" s="198"/>
      <c r="U87" s="198"/>
    </row>
    <row r="88" spans="1:26" s="12" customFormat="1" x14ac:dyDescent="0.25">
      <c r="A88" s="214" t="s">
        <v>807</v>
      </c>
      <c r="B88" s="64">
        <v>11.82</v>
      </c>
      <c r="C88" s="64">
        <v>68.25</v>
      </c>
      <c r="D88" s="64">
        <v>45.06</v>
      </c>
      <c r="E88" s="64">
        <v>1.48</v>
      </c>
      <c r="F88" s="64">
        <v>3.36</v>
      </c>
      <c r="G88" s="64">
        <v>84.51</v>
      </c>
      <c r="H88" s="64">
        <v>28.11</v>
      </c>
      <c r="I88" s="64">
        <v>8.92</v>
      </c>
      <c r="J88" s="64">
        <v>0.71</v>
      </c>
      <c r="K88" s="64">
        <v>329.49</v>
      </c>
      <c r="L88" s="64">
        <v>30.39</v>
      </c>
      <c r="M88" s="64">
        <v>24.99</v>
      </c>
      <c r="N88" s="64">
        <v>20.5</v>
      </c>
      <c r="O88" s="64">
        <v>0</v>
      </c>
      <c r="P88" s="64">
        <v>1.08</v>
      </c>
      <c r="Q88" s="64">
        <v>9.66</v>
      </c>
      <c r="R88" s="198"/>
      <c r="S88" s="198"/>
      <c r="T88" s="198"/>
      <c r="U88" s="198"/>
    </row>
    <row r="89" spans="1:26" s="12" customFormat="1" x14ac:dyDescent="0.25">
      <c r="A89" s="214" t="s">
        <v>808</v>
      </c>
      <c r="B89" s="64">
        <v>11.48</v>
      </c>
      <c r="C89" s="64">
        <v>64.48</v>
      </c>
      <c r="D89" s="64">
        <v>42.82</v>
      </c>
      <c r="E89" s="64">
        <v>1.81</v>
      </c>
      <c r="F89" s="64">
        <v>3.73</v>
      </c>
      <c r="G89" s="64">
        <v>75.77</v>
      </c>
      <c r="H89" s="64">
        <v>23.52</v>
      </c>
      <c r="I89" s="64">
        <v>8.5299999999999994</v>
      </c>
      <c r="J89" s="64">
        <v>1.43</v>
      </c>
      <c r="K89" s="64">
        <v>343.49</v>
      </c>
      <c r="L89" s="64">
        <v>30.22</v>
      </c>
      <c r="M89" s="64">
        <v>25.24</v>
      </c>
      <c r="N89" s="64">
        <v>19.7</v>
      </c>
      <c r="O89" s="64">
        <v>0</v>
      </c>
      <c r="P89" s="64">
        <v>1.08</v>
      </c>
      <c r="Q89" s="64">
        <v>9.9700000000000006</v>
      </c>
      <c r="R89" s="198"/>
      <c r="S89" s="198"/>
      <c r="T89" s="198"/>
      <c r="U89" s="198"/>
    </row>
    <row r="90" spans="1:26" s="12" customFormat="1" x14ac:dyDescent="0.25">
      <c r="A90" s="214" t="s">
        <v>809</v>
      </c>
      <c r="B90" s="64">
        <v>10.97</v>
      </c>
      <c r="C90" s="64">
        <v>63.9</v>
      </c>
      <c r="D90" s="64">
        <v>42.11</v>
      </c>
      <c r="E90" s="64">
        <v>1.47</v>
      </c>
      <c r="F90" s="64">
        <v>3.55</v>
      </c>
      <c r="G90" s="64">
        <v>73.27</v>
      </c>
      <c r="H90" s="64">
        <v>22.21</v>
      </c>
      <c r="I90" s="64">
        <v>8.2899999999999991</v>
      </c>
      <c r="J90" s="64">
        <v>1.7</v>
      </c>
      <c r="K90" s="64">
        <v>336.07</v>
      </c>
      <c r="L90" s="64">
        <v>30.33</v>
      </c>
      <c r="M90" s="64">
        <v>24.99</v>
      </c>
      <c r="N90" s="64">
        <v>19.899999999999999</v>
      </c>
      <c r="O90" s="64">
        <v>0</v>
      </c>
      <c r="P90" s="64">
        <v>1.06</v>
      </c>
      <c r="Q90" s="64">
        <v>9.73</v>
      </c>
      <c r="R90" s="198"/>
      <c r="S90" s="198"/>
      <c r="T90" s="198"/>
      <c r="U90" s="198"/>
    </row>
    <row r="91" spans="1:26" s="12" customFormat="1" x14ac:dyDescent="0.25">
      <c r="A91" s="214" t="s">
        <v>810</v>
      </c>
      <c r="B91" s="64">
        <v>10</v>
      </c>
      <c r="C91" s="64">
        <v>63.51</v>
      </c>
      <c r="D91" s="64">
        <v>41.12</v>
      </c>
      <c r="E91" s="64">
        <v>1.51</v>
      </c>
      <c r="F91" s="64">
        <v>3.58</v>
      </c>
      <c r="G91" s="64">
        <v>73.27</v>
      </c>
      <c r="H91" s="64">
        <v>22.21</v>
      </c>
      <c r="I91" s="64">
        <v>7.95</v>
      </c>
      <c r="J91" s="64">
        <v>1.36</v>
      </c>
      <c r="K91" s="64">
        <v>337.99</v>
      </c>
      <c r="L91" s="64">
        <v>29.93</v>
      </c>
      <c r="M91" s="64">
        <v>26.51</v>
      </c>
      <c r="N91" s="64">
        <v>20.399999999999999</v>
      </c>
      <c r="O91" s="64">
        <v>0</v>
      </c>
      <c r="P91" s="64">
        <v>1.04</v>
      </c>
      <c r="Q91" s="64">
        <v>9.67</v>
      </c>
      <c r="R91" s="198"/>
      <c r="S91" s="198"/>
      <c r="T91" s="198"/>
      <c r="U91" s="198"/>
    </row>
    <row r="92" spans="1:26" s="12" customFormat="1" x14ac:dyDescent="0.25">
      <c r="A92" s="214" t="s">
        <v>811</v>
      </c>
      <c r="B92" s="64">
        <v>9.17</v>
      </c>
      <c r="C92" s="64">
        <v>62.84</v>
      </c>
      <c r="D92" s="64">
        <v>40.11</v>
      </c>
      <c r="E92" s="64">
        <v>1.43</v>
      </c>
      <c r="F92" s="64">
        <v>3.37</v>
      </c>
      <c r="G92" s="64">
        <v>73.27</v>
      </c>
      <c r="H92" s="64">
        <v>22.21</v>
      </c>
      <c r="I92" s="64">
        <v>8.4</v>
      </c>
      <c r="J92" s="64">
        <v>1.25</v>
      </c>
      <c r="K92" s="64">
        <v>340.43</v>
      </c>
      <c r="L92" s="64">
        <v>29.61</v>
      </c>
      <c r="M92" s="64">
        <v>27.02</v>
      </c>
      <c r="N92" s="64">
        <v>20.100000000000001</v>
      </c>
      <c r="O92" s="64">
        <v>0</v>
      </c>
      <c r="P92" s="64">
        <v>1.01</v>
      </c>
      <c r="Q92" s="64">
        <v>9.58</v>
      </c>
      <c r="R92" s="198"/>
      <c r="S92" s="198"/>
      <c r="T92" s="198"/>
      <c r="U92" s="198"/>
    </row>
    <row r="93" spans="1:26" s="12" customFormat="1" x14ac:dyDescent="0.25">
      <c r="A93" s="214" t="s">
        <v>812</v>
      </c>
      <c r="B93" s="64">
        <v>8.74</v>
      </c>
      <c r="C93" s="64">
        <v>62.77</v>
      </c>
      <c r="D93" s="64">
        <v>39.72</v>
      </c>
      <c r="E93" s="64">
        <v>1.47</v>
      </c>
      <c r="F93" s="64">
        <v>3.86</v>
      </c>
      <c r="G93" s="64">
        <v>69.31</v>
      </c>
      <c r="H93" s="64">
        <v>20.96</v>
      </c>
      <c r="I93" s="64">
        <v>8.17</v>
      </c>
      <c r="J93" s="64">
        <v>0.87</v>
      </c>
      <c r="K93" s="64">
        <v>355.73</v>
      </c>
      <c r="L93" s="64">
        <v>29.43</v>
      </c>
      <c r="M93" s="64">
        <v>28.36</v>
      </c>
      <c r="N93" s="64">
        <v>20.5</v>
      </c>
      <c r="O93" s="64">
        <v>0</v>
      </c>
      <c r="P93" s="64">
        <v>1.01</v>
      </c>
      <c r="Q93" s="64">
        <v>9.94</v>
      </c>
      <c r="R93" s="198"/>
      <c r="S93" s="198"/>
      <c r="T93" s="198"/>
      <c r="U93" s="198"/>
    </row>
    <row r="94" spans="1:26" s="12" customFormat="1" x14ac:dyDescent="0.25">
      <c r="A94" s="214" t="s">
        <v>813</v>
      </c>
      <c r="B94" s="64">
        <v>8.75</v>
      </c>
      <c r="C94" s="64">
        <v>62.3</v>
      </c>
      <c r="D94" s="64">
        <v>39.49</v>
      </c>
      <c r="E94" s="64">
        <v>1.67</v>
      </c>
      <c r="F94" s="64">
        <v>3.63</v>
      </c>
      <c r="G94" s="64">
        <v>68.180000000000007</v>
      </c>
      <c r="H94" s="64">
        <v>20.61</v>
      </c>
      <c r="I94" s="64">
        <v>7.67</v>
      </c>
      <c r="J94" s="64">
        <v>0.5</v>
      </c>
      <c r="K94" s="64">
        <v>2.08</v>
      </c>
      <c r="L94" s="64">
        <v>29.42</v>
      </c>
      <c r="M94" s="64">
        <v>28.51</v>
      </c>
      <c r="N94" s="64">
        <v>20.399999999999999</v>
      </c>
      <c r="O94" s="64">
        <v>0</v>
      </c>
      <c r="P94" s="64">
        <v>1.05</v>
      </c>
      <c r="Q94" s="64">
        <v>9.92</v>
      </c>
      <c r="R94" s="198"/>
      <c r="S94" s="198"/>
      <c r="T94" s="198"/>
      <c r="U94" s="198"/>
    </row>
    <row r="95" spans="1:26" s="12" customFormat="1" x14ac:dyDescent="0.25">
      <c r="A95" s="214" t="s">
        <v>814</v>
      </c>
      <c r="B95" s="64">
        <v>9.49</v>
      </c>
      <c r="C95" s="64">
        <v>61.89</v>
      </c>
      <c r="D95" s="64">
        <v>39.869999999999997</v>
      </c>
      <c r="E95" s="64">
        <v>1.6</v>
      </c>
      <c r="F95" s="64">
        <v>3.31</v>
      </c>
      <c r="G95" s="64">
        <v>68.180000000000007</v>
      </c>
      <c r="H95" s="64">
        <v>20.61</v>
      </c>
      <c r="I95" s="64">
        <v>6.55</v>
      </c>
      <c r="J95" s="64">
        <v>0.22</v>
      </c>
      <c r="K95" s="64">
        <v>41.15</v>
      </c>
      <c r="L95" s="64">
        <v>29.47</v>
      </c>
      <c r="M95" s="64">
        <v>28.34</v>
      </c>
      <c r="N95" s="64">
        <v>20.6</v>
      </c>
      <c r="O95" s="64">
        <v>0</v>
      </c>
      <c r="P95" s="64">
        <v>1.0900000000000001</v>
      </c>
      <c r="Q95" s="64">
        <v>9.84</v>
      </c>
      <c r="R95" s="198"/>
      <c r="S95" s="198"/>
      <c r="T95" s="198"/>
      <c r="U95" s="198"/>
    </row>
    <row r="96" spans="1:26" s="12" customFormat="1" x14ac:dyDescent="0.25">
      <c r="A96" s="214" t="s">
        <v>815</v>
      </c>
      <c r="B96" s="64">
        <v>11.13</v>
      </c>
      <c r="C96" s="64">
        <v>59.5</v>
      </c>
      <c r="D96" s="64">
        <v>39.93</v>
      </c>
      <c r="E96" s="64">
        <v>1.38</v>
      </c>
      <c r="F96" s="64">
        <v>3.2</v>
      </c>
      <c r="G96" s="64">
        <v>68.180000000000007</v>
      </c>
      <c r="H96" s="64">
        <v>20.61</v>
      </c>
      <c r="I96" s="64">
        <v>6.58</v>
      </c>
      <c r="J96" s="64">
        <v>0.06</v>
      </c>
      <c r="K96" s="64">
        <v>345.5</v>
      </c>
      <c r="L96" s="64">
        <v>28.85</v>
      </c>
      <c r="M96" s="64">
        <v>30.53</v>
      </c>
      <c r="N96" s="64">
        <v>21</v>
      </c>
      <c r="O96" s="64">
        <v>0</v>
      </c>
      <c r="P96" s="64">
        <v>1.1399999999999999</v>
      </c>
      <c r="Q96" s="64">
        <v>9.82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816</v>
      </c>
      <c r="B97" s="64">
        <v>13.51</v>
      </c>
      <c r="C97" s="64">
        <v>60.16</v>
      </c>
      <c r="D97" s="64">
        <v>42.18</v>
      </c>
      <c r="E97" s="64">
        <v>1.54</v>
      </c>
      <c r="F97" s="64">
        <v>3.22</v>
      </c>
      <c r="G97" s="64">
        <v>80.5</v>
      </c>
      <c r="H97" s="64">
        <v>29.75</v>
      </c>
      <c r="I97" s="64">
        <v>6.99</v>
      </c>
      <c r="J97" s="64">
        <v>0.06</v>
      </c>
      <c r="K97" s="64">
        <v>75.17</v>
      </c>
      <c r="L97" s="64">
        <v>28.19</v>
      </c>
      <c r="M97" s="64">
        <v>33.450000000000003</v>
      </c>
      <c r="N97" s="64">
        <v>20.9</v>
      </c>
      <c r="O97" s="64">
        <v>0</v>
      </c>
      <c r="P97" s="64">
        <v>1.1399999999999999</v>
      </c>
      <c r="Q97" s="64">
        <v>9.92</v>
      </c>
      <c r="R97" s="198"/>
      <c r="S97" s="198"/>
      <c r="T97" s="198"/>
      <c r="U97" s="198"/>
    </row>
    <row r="98" spans="1:33" s="12" customFormat="1" x14ac:dyDescent="0.25">
      <c r="A98" s="214" t="s">
        <v>817</v>
      </c>
      <c r="B98" s="64">
        <v>16.329999999999998</v>
      </c>
      <c r="C98" s="64">
        <v>63.71</v>
      </c>
      <c r="D98" s="64">
        <v>46.3</v>
      </c>
      <c r="E98" s="64">
        <v>1.89</v>
      </c>
      <c r="F98" s="64">
        <v>3.15</v>
      </c>
      <c r="G98" s="64">
        <v>84.02</v>
      </c>
      <c r="H98" s="64">
        <v>32.36</v>
      </c>
      <c r="I98" s="64">
        <v>7.89</v>
      </c>
      <c r="J98" s="64">
        <v>0.14000000000000001</v>
      </c>
      <c r="K98" s="64">
        <v>254.97</v>
      </c>
      <c r="L98" s="64">
        <v>27.92</v>
      </c>
      <c r="M98" s="64">
        <v>35.159999999999997</v>
      </c>
      <c r="N98" s="64">
        <v>20.7</v>
      </c>
      <c r="O98" s="64">
        <v>0</v>
      </c>
      <c r="P98" s="64">
        <v>1.18</v>
      </c>
      <c r="Q98" s="64">
        <v>9.9</v>
      </c>
      <c r="R98" s="198"/>
      <c r="S98" s="198"/>
      <c r="T98" s="198"/>
      <c r="U98" s="198"/>
    </row>
    <row r="99" spans="1:33" s="12" customFormat="1" x14ac:dyDescent="0.25">
      <c r="A99" s="214" t="s">
        <v>818</v>
      </c>
      <c r="B99" s="64">
        <v>21.19</v>
      </c>
      <c r="C99" s="64">
        <v>65.819999999999993</v>
      </c>
      <c r="D99" s="64">
        <v>51.3</v>
      </c>
      <c r="E99" s="64">
        <v>2.16</v>
      </c>
      <c r="F99" s="64">
        <v>3.42</v>
      </c>
      <c r="G99" s="64">
        <v>84.02</v>
      </c>
      <c r="H99" s="64">
        <v>32.36</v>
      </c>
      <c r="I99" s="64">
        <v>7.51</v>
      </c>
      <c r="J99" s="64">
        <v>0.12</v>
      </c>
      <c r="K99" s="64">
        <v>282.44</v>
      </c>
      <c r="L99" s="64">
        <v>27.41</v>
      </c>
      <c r="M99" s="64">
        <v>38.049999999999997</v>
      </c>
      <c r="N99" s="64">
        <v>21</v>
      </c>
      <c r="O99" s="64">
        <v>0</v>
      </c>
      <c r="P99" s="64">
        <v>1.24</v>
      </c>
      <c r="Q99" s="64">
        <v>10.06</v>
      </c>
      <c r="R99" s="198"/>
      <c r="S99" s="198"/>
      <c r="T99" s="198"/>
      <c r="U99" s="198"/>
    </row>
    <row r="100" spans="1:33" s="12" customFormat="1" x14ac:dyDescent="0.25">
      <c r="A100" s="214" t="s">
        <v>819</v>
      </c>
      <c r="B100" s="64">
        <v>27.9</v>
      </c>
      <c r="C100" s="64">
        <v>66.84</v>
      </c>
      <c r="D100" s="64">
        <v>57.22</v>
      </c>
      <c r="E100" s="64">
        <v>2.1800000000000002</v>
      </c>
      <c r="F100" s="64">
        <v>3.78</v>
      </c>
      <c r="G100" s="64">
        <v>84.02</v>
      </c>
      <c r="H100" s="64">
        <v>32.36</v>
      </c>
      <c r="I100" s="64">
        <v>7.84</v>
      </c>
      <c r="J100" s="64">
        <v>0.15</v>
      </c>
      <c r="K100" s="64">
        <v>237.37</v>
      </c>
      <c r="L100" s="64">
        <v>27.16</v>
      </c>
      <c r="M100" s="64">
        <v>38.58</v>
      </c>
      <c r="N100" s="64">
        <v>20.7</v>
      </c>
      <c r="O100" s="64">
        <v>0</v>
      </c>
      <c r="P100" s="64">
        <v>1.26</v>
      </c>
      <c r="Q100" s="64">
        <v>10.039999999999999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820</v>
      </c>
      <c r="B101" s="64">
        <v>31.73</v>
      </c>
      <c r="C101" s="64">
        <v>67.83</v>
      </c>
      <c r="D101" s="64">
        <v>60.81</v>
      </c>
      <c r="E101" s="64">
        <v>2.02</v>
      </c>
      <c r="F101" s="64">
        <v>3.44</v>
      </c>
      <c r="G101" s="64">
        <v>94.5</v>
      </c>
      <c r="H101" s="64">
        <v>32.97</v>
      </c>
      <c r="I101" s="64">
        <v>8.85</v>
      </c>
      <c r="J101" s="64">
        <v>0.15</v>
      </c>
      <c r="K101" s="64">
        <v>350.27</v>
      </c>
      <c r="L101" s="64">
        <v>26.66</v>
      </c>
      <c r="M101" s="64">
        <v>41.12</v>
      </c>
      <c r="N101" s="64">
        <v>20.9</v>
      </c>
      <c r="O101" s="64">
        <v>0</v>
      </c>
      <c r="P101" s="64">
        <v>1.31</v>
      </c>
      <c r="Q101" s="64">
        <v>10.26</v>
      </c>
      <c r="R101" s="198"/>
      <c r="S101" s="198"/>
      <c r="T101" s="198"/>
      <c r="U101" s="198"/>
    </row>
    <row r="102" spans="1:33" s="12" customFormat="1" x14ac:dyDescent="0.25">
      <c r="A102" s="214" t="s">
        <v>821</v>
      </c>
      <c r="B102" s="64">
        <v>37.01</v>
      </c>
      <c r="C102" s="64">
        <v>68.56</v>
      </c>
      <c r="D102" s="64">
        <v>65.42</v>
      </c>
      <c r="E102" s="64">
        <v>2.1</v>
      </c>
      <c r="F102" s="64">
        <v>3.47</v>
      </c>
      <c r="G102" s="64">
        <v>97.5</v>
      </c>
      <c r="H102" s="64">
        <v>33.15</v>
      </c>
      <c r="I102" s="64">
        <v>8.82</v>
      </c>
      <c r="J102" s="64">
        <v>0.14000000000000001</v>
      </c>
      <c r="K102" s="64">
        <v>345.09</v>
      </c>
      <c r="L102" s="64">
        <v>26.37</v>
      </c>
      <c r="M102" s="64">
        <v>42.76</v>
      </c>
      <c r="N102" s="64">
        <v>20.8</v>
      </c>
      <c r="O102" s="64">
        <v>0</v>
      </c>
      <c r="P102" s="64">
        <v>1.35</v>
      </c>
      <c r="Q102" s="64">
        <v>10.25</v>
      </c>
      <c r="R102" s="198"/>
      <c r="S102" s="198"/>
      <c r="T102" s="198"/>
      <c r="U102" s="198"/>
    </row>
    <row r="103" spans="1:33" s="12" customFormat="1" x14ac:dyDescent="0.25">
      <c r="A103" s="214" t="s">
        <v>822</v>
      </c>
      <c r="B103" s="64">
        <v>40.880000000000003</v>
      </c>
      <c r="C103" s="64">
        <v>68.97</v>
      </c>
      <c r="D103" s="64">
        <v>68.739999999999995</v>
      </c>
      <c r="E103" s="64">
        <v>1.84</v>
      </c>
      <c r="F103" s="64">
        <v>3.17</v>
      </c>
      <c r="G103" s="64">
        <v>97.5</v>
      </c>
      <c r="H103" s="64">
        <v>33.15</v>
      </c>
      <c r="I103" s="64">
        <v>8.2799999999999994</v>
      </c>
      <c r="J103" s="64">
        <v>0.12</v>
      </c>
      <c r="K103" s="64">
        <v>357.21</v>
      </c>
      <c r="L103" s="64">
        <v>26.2</v>
      </c>
      <c r="M103" s="64">
        <v>42.83</v>
      </c>
      <c r="N103" s="64">
        <v>20.7</v>
      </c>
      <c r="O103" s="64">
        <v>0</v>
      </c>
      <c r="P103" s="64">
        <v>1.39</v>
      </c>
      <c r="Q103" s="64">
        <v>10.42</v>
      </c>
      <c r="R103" s="198"/>
      <c r="S103" s="198"/>
      <c r="T103" s="198"/>
      <c r="U103" s="198"/>
    </row>
    <row r="104" spans="1:33" s="12" customFormat="1" x14ac:dyDescent="0.25">
      <c r="A104" s="214" t="s">
        <v>823</v>
      </c>
      <c r="B104" s="64">
        <v>41.91</v>
      </c>
      <c r="C104" s="64">
        <v>68.400000000000006</v>
      </c>
      <c r="D104" s="64">
        <v>69.260000000000005</v>
      </c>
      <c r="E104" s="64">
        <v>2.38</v>
      </c>
      <c r="F104" s="64">
        <v>3.08</v>
      </c>
      <c r="G104" s="64">
        <v>97.5</v>
      </c>
      <c r="H104" s="64">
        <v>33.15</v>
      </c>
      <c r="I104" s="64">
        <v>8.2899999999999991</v>
      </c>
      <c r="J104" s="64">
        <v>0.22</v>
      </c>
      <c r="K104" s="64">
        <v>331.7</v>
      </c>
      <c r="L104" s="64">
        <v>26.02</v>
      </c>
      <c r="M104" s="64">
        <v>41.11</v>
      </c>
      <c r="N104" s="64">
        <v>20.3</v>
      </c>
      <c r="O104" s="64">
        <v>0</v>
      </c>
      <c r="P104" s="64">
        <v>1.4</v>
      </c>
      <c r="Q104" s="64">
        <v>10.48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0.97</v>
      </c>
      <c r="D106" s="67">
        <f t="shared" ref="D106:Q106" si="0">MIN(D9:D104)</f>
        <v>0.51</v>
      </c>
      <c r="E106" s="67">
        <f t="shared" si="0"/>
        <v>0.63</v>
      </c>
      <c r="F106" s="67">
        <f t="shared" si="0"/>
        <v>3.05</v>
      </c>
      <c r="G106" s="67">
        <f t="shared" si="0"/>
        <v>44.84</v>
      </c>
      <c r="H106" s="67">
        <f t="shared" si="0"/>
        <v>4.3499999999999996</v>
      </c>
      <c r="I106" s="67">
        <f t="shared" si="0"/>
        <v>5.19</v>
      </c>
      <c r="J106" s="67">
        <f t="shared" si="0"/>
        <v>0.04</v>
      </c>
      <c r="K106" s="67">
        <f t="shared" si="0"/>
        <v>2.08</v>
      </c>
      <c r="L106" s="67">
        <f t="shared" si="0"/>
        <v>22.84</v>
      </c>
      <c r="M106" s="67">
        <f t="shared" si="0"/>
        <v>12.12</v>
      </c>
      <c r="N106" s="67">
        <f t="shared" si="0"/>
        <v>15.8</v>
      </c>
      <c r="O106" s="67">
        <f t="shared" si="0"/>
        <v>0</v>
      </c>
      <c r="P106" s="67">
        <f t="shared" si="0"/>
        <v>0.44</v>
      </c>
      <c r="Q106" s="67">
        <f t="shared" si="0"/>
        <v>9.39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62.32</v>
      </c>
      <c r="C107" s="66">
        <f t="shared" ref="C107:Q107" si="1">MAX(C9:C104)</f>
        <v>70.33</v>
      </c>
      <c r="D107" s="66">
        <f t="shared" si="1"/>
        <v>84.56</v>
      </c>
      <c r="E107" s="66">
        <f t="shared" si="1"/>
        <v>2.86</v>
      </c>
      <c r="F107" s="66">
        <f t="shared" si="1"/>
        <v>7.21</v>
      </c>
      <c r="G107" s="66">
        <f t="shared" si="1"/>
        <v>97.78</v>
      </c>
      <c r="H107" s="66">
        <f t="shared" si="1"/>
        <v>55.4</v>
      </c>
      <c r="I107" s="66">
        <f t="shared" si="1"/>
        <v>10.96</v>
      </c>
      <c r="J107" s="66">
        <f t="shared" si="1"/>
        <v>1.7</v>
      </c>
      <c r="K107" s="66">
        <f t="shared" si="1"/>
        <v>358.87</v>
      </c>
      <c r="L107" s="66">
        <f t="shared" si="1"/>
        <v>40.880000000000003</v>
      </c>
      <c r="M107" s="66">
        <f t="shared" si="1"/>
        <v>53.37</v>
      </c>
      <c r="N107" s="66">
        <f t="shared" si="1"/>
        <v>870</v>
      </c>
      <c r="O107" s="66">
        <f t="shared" si="1"/>
        <v>0</v>
      </c>
      <c r="P107" s="66">
        <f t="shared" si="1"/>
        <v>1.4</v>
      </c>
      <c r="Q107" s="66">
        <f t="shared" si="1"/>
        <v>10.72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23.109843749999992</v>
      </c>
      <c r="C108" s="67">
        <f t="shared" ref="C108:Q108" si="2">AVERAGE(C9:C104)</f>
        <v>52.223437500000017</v>
      </c>
      <c r="D108" s="67">
        <f t="shared" si="2"/>
        <v>45.738124999999989</v>
      </c>
      <c r="E108" s="67">
        <f t="shared" si="2"/>
        <v>1.5991666666666664</v>
      </c>
      <c r="F108" s="67">
        <f t="shared" si="2"/>
        <v>4.1613541666666647</v>
      </c>
      <c r="G108" s="67">
        <f t="shared" si="2"/>
        <v>76.445208333333355</v>
      </c>
      <c r="H108" s="67">
        <f t="shared" si="2"/>
        <v>27.692083333333358</v>
      </c>
      <c r="I108" s="67">
        <f t="shared" si="2"/>
        <v>8.7053124999999998</v>
      </c>
      <c r="J108" s="67">
        <f t="shared" si="2"/>
        <v>0.39406249999999998</v>
      </c>
      <c r="K108" s="67">
        <f t="shared" si="2"/>
        <v>258.07020833333337</v>
      </c>
      <c r="L108" s="67">
        <f t="shared" si="2"/>
        <v>30.76895833333332</v>
      </c>
      <c r="M108" s="67">
        <f t="shared" si="2"/>
        <v>31.543645833333329</v>
      </c>
      <c r="N108" s="67">
        <f t="shared" si="2"/>
        <v>250.32187500000009</v>
      </c>
      <c r="O108" s="67">
        <f t="shared" si="2"/>
        <v>0</v>
      </c>
      <c r="P108" s="67">
        <f t="shared" si="2"/>
        <v>0.88781250000000023</v>
      </c>
      <c r="Q108" s="67">
        <f t="shared" si="2"/>
        <v>9.942604166666662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19.53102606982743</v>
      </c>
      <c r="C109" s="67">
        <f t="shared" ref="C109:Q109" si="3">STDEV(C9:C104)</f>
        <v>18.633429186119358</v>
      </c>
      <c r="D109" s="67">
        <f t="shared" si="3"/>
        <v>22.458430444175605</v>
      </c>
      <c r="E109" s="67">
        <f t="shared" si="3"/>
        <v>0.53731234994508648</v>
      </c>
      <c r="F109" s="67">
        <f t="shared" si="3"/>
        <v>1.0989934340033456</v>
      </c>
      <c r="G109" s="67">
        <f t="shared" si="3"/>
        <v>16.403732244068181</v>
      </c>
      <c r="H109" s="67">
        <f t="shared" si="3"/>
        <v>9.1514266839043152</v>
      </c>
      <c r="I109" s="67">
        <f t="shared" si="3"/>
        <v>1.4684011735826774</v>
      </c>
      <c r="J109" s="67">
        <f t="shared" si="3"/>
        <v>0.33902516014379563</v>
      </c>
      <c r="K109" s="67">
        <f t="shared" si="3"/>
        <v>98.13641072216673</v>
      </c>
      <c r="L109" s="67">
        <f t="shared" si="3"/>
        <v>5.8288100219453707</v>
      </c>
      <c r="M109" s="67">
        <f t="shared" si="3"/>
        <v>13.168953850452635</v>
      </c>
      <c r="N109" s="67">
        <f t="shared" si="3"/>
        <v>316.23993163190602</v>
      </c>
      <c r="O109" s="67">
        <f t="shared" si="3"/>
        <v>0</v>
      </c>
      <c r="P109" s="67">
        <f t="shared" si="3"/>
        <v>0.24945077828997378</v>
      </c>
      <c r="Q109" s="67">
        <f t="shared" si="3"/>
        <v>0.32170677983682983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COUNT(B9:B104)+32</f>
        <v>96</v>
      </c>
      <c r="C110" s="66">
        <f>COUNT(C9:C104)+32</f>
        <v>96</v>
      </c>
      <c r="D110" s="66">
        <f>COUNT(D9:D104)+32</f>
        <v>96</v>
      </c>
      <c r="E110" s="66">
        <f t="shared" ref="E110:Q110" si="4">COUNT(E9:E104)</f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0" sqref="G13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824</v>
      </c>
      <c r="B9" s="64">
        <v>41.47</v>
      </c>
      <c r="C9" s="64">
        <v>67.55</v>
      </c>
      <c r="D9" s="64">
        <v>68.47</v>
      </c>
      <c r="E9" s="64">
        <v>1.27</v>
      </c>
      <c r="F9" s="64">
        <v>3.1</v>
      </c>
      <c r="G9" s="64">
        <v>110.93</v>
      </c>
      <c r="H9" s="64">
        <v>39.29</v>
      </c>
      <c r="I9" s="64">
        <v>8.35</v>
      </c>
      <c r="J9" s="64">
        <v>0.54</v>
      </c>
      <c r="K9" s="64">
        <v>348.85</v>
      </c>
      <c r="L9" s="64">
        <v>26.41</v>
      </c>
      <c r="M9" s="64">
        <v>37.15</v>
      </c>
      <c r="N9" s="64">
        <v>19.2</v>
      </c>
      <c r="O9" s="64">
        <v>0</v>
      </c>
      <c r="P9" s="64">
        <v>1.37</v>
      </c>
      <c r="Q9" s="64">
        <v>10.17</v>
      </c>
      <c r="R9" s="198"/>
      <c r="S9" s="198"/>
      <c r="T9" s="198"/>
      <c r="U9" s="198"/>
    </row>
    <row r="10" spans="1:21" s="12" customFormat="1" x14ac:dyDescent="0.25">
      <c r="A10" s="214" t="s">
        <v>825</v>
      </c>
      <c r="B10" s="64">
        <v>39.630000000000003</v>
      </c>
      <c r="C10" s="64">
        <v>64.489999999999995</v>
      </c>
      <c r="D10" s="64">
        <v>65.400000000000006</v>
      </c>
      <c r="E10" s="64">
        <v>1.53</v>
      </c>
      <c r="F10" s="64">
        <v>3.43</v>
      </c>
      <c r="G10" s="64">
        <v>114.76</v>
      </c>
      <c r="H10" s="64">
        <v>41.05</v>
      </c>
      <c r="I10" s="64">
        <v>8.11</v>
      </c>
      <c r="J10" s="64">
        <v>0.2</v>
      </c>
      <c r="K10" s="64">
        <v>319.29000000000002</v>
      </c>
      <c r="L10" s="64">
        <v>26.92</v>
      </c>
      <c r="M10" s="64">
        <v>34.380000000000003</v>
      </c>
      <c r="N10" s="64">
        <v>20.399999999999999</v>
      </c>
      <c r="O10" s="64">
        <v>0</v>
      </c>
      <c r="P10" s="64">
        <v>1.35</v>
      </c>
      <c r="Q10" s="64">
        <v>10.44</v>
      </c>
      <c r="R10" s="198"/>
      <c r="S10" s="198"/>
      <c r="T10" s="198"/>
      <c r="U10" s="198"/>
    </row>
    <row r="11" spans="1:21" s="12" customFormat="1" x14ac:dyDescent="0.25">
      <c r="A11" s="214" t="s">
        <v>826</v>
      </c>
      <c r="B11" s="64">
        <v>37.4</v>
      </c>
      <c r="C11" s="64">
        <v>63.09</v>
      </c>
      <c r="D11" s="64">
        <v>62.87</v>
      </c>
      <c r="E11" s="64">
        <v>1.65</v>
      </c>
      <c r="F11" s="64">
        <v>3.62</v>
      </c>
      <c r="G11" s="64">
        <v>114.76</v>
      </c>
      <c r="H11" s="64">
        <v>41.05</v>
      </c>
      <c r="I11" s="64">
        <v>7.68</v>
      </c>
      <c r="J11" s="64">
        <v>0.06</v>
      </c>
      <c r="K11" s="64">
        <v>195.15</v>
      </c>
      <c r="L11" s="64">
        <v>26.79</v>
      </c>
      <c r="M11" s="64">
        <v>33.619999999999997</v>
      </c>
      <c r="N11" s="64">
        <v>20.7</v>
      </c>
      <c r="O11" s="64">
        <v>0</v>
      </c>
      <c r="P11" s="64">
        <v>1.17</v>
      </c>
      <c r="Q11" s="64">
        <v>10.27</v>
      </c>
      <c r="R11" s="198"/>
      <c r="S11" s="198"/>
      <c r="T11" s="198"/>
      <c r="U11" s="198"/>
    </row>
    <row r="12" spans="1:21" s="12" customFormat="1" x14ac:dyDescent="0.25">
      <c r="A12" s="214" t="s">
        <v>827</v>
      </c>
      <c r="B12" s="64">
        <v>35.82</v>
      </c>
      <c r="C12" s="64">
        <v>61.07</v>
      </c>
      <c r="D12" s="64">
        <v>60.55</v>
      </c>
      <c r="E12" s="64">
        <v>1.6</v>
      </c>
      <c r="F12" s="64">
        <v>3.54</v>
      </c>
      <c r="G12" s="64">
        <v>114.76</v>
      </c>
      <c r="H12" s="64">
        <v>41.05</v>
      </c>
      <c r="I12" s="64">
        <v>7.39</v>
      </c>
      <c r="J12" s="64">
        <v>0.17</v>
      </c>
      <c r="K12" s="64">
        <v>142.75</v>
      </c>
      <c r="L12" s="64">
        <v>26.47</v>
      </c>
      <c r="M12" s="64">
        <v>35.26</v>
      </c>
      <c r="N12" s="64">
        <v>20.7</v>
      </c>
      <c r="O12" s="64">
        <v>0</v>
      </c>
      <c r="P12" s="64">
        <v>1.18</v>
      </c>
      <c r="Q12" s="64">
        <v>10.28</v>
      </c>
      <c r="R12" s="198"/>
      <c r="S12" s="198"/>
      <c r="T12" s="198"/>
      <c r="U12" s="198"/>
    </row>
    <row r="13" spans="1:21" s="12" customFormat="1" x14ac:dyDescent="0.25">
      <c r="A13" s="214" t="s">
        <v>828</v>
      </c>
      <c r="B13" s="64">
        <v>34.65</v>
      </c>
      <c r="C13" s="64">
        <v>60.93</v>
      </c>
      <c r="D13" s="64">
        <v>59.54</v>
      </c>
      <c r="E13" s="64">
        <v>1.45</v>
      </c>
      <c r="F13" s="64">
        <v>3.23</v>
      </c>
      <c r="G13" s="64">
        <v>124.21</v>
      </c>
      <c r="H13" s="64">
        <v>46.38</v>
      </c>
      <c r="I13" s="64">
        <v>5.96</v>
      </c>
      <c r="J13" s="64">
        <v>0.15</v>
      </c>
      <c r="K13" s="64">
        <v>158.87</v>
      </c>
      <c r="L13" s="64">
        <v>25.95</v>
      </c>
      <c r="M13" s="64">
        <v>37.229999999999997</v>
      </c>
      <c r="N13" s="64">
        <v>20.5</v>
      </c>
      <c r="O13" s="64">
        <v>0</v>
      </c>
      <c r="P13" s="64">
        <v>1.1100000000000001</v>
      </c>
      <c r="Q13" s="64">
        <v>10.14</v>
      </c>
      <c r="R13" s="198"/>
      <c r="S13" s="198"/>
      <c r="T13" s="198"/>
      <c r="U13" s="198"/>
    </row>
    <row r="14" spans="1:21" s="12" customFormat="1" x14ac:dyDescent="0.25">
      <c r="A14" s="214" t="s">
        <v>829</v>
      </c>
      <c r="B14" s="64">
        <v>33.69</v>
      </c>
      <c r="C14" s="64">
        <v>60.27</v>
      </c>
      <c r="D14" s="64">
        <v>58.42</v>
      </c>
      <c r="E14" s="64">
        <v>1.48</v>
      </c>
      <c r="F14" s="64">
        <v>3.14</v>
      </c>
      <c r="G14" s="64">
        <v>126.9</v>
      </c>
      <c r="H14" s="64">
        <v>47.91</v>
      </c>
      <c r="I14" s="64">
        <v>5.88</v>
      </c>
      <c r="J14" s="64">
        <v>0.08</v>
      </c>
      <c r="K14" s="64">
        <v>280.98</v>
      </c>
      <c r="L14" s="64">
        <v>25.39</v>
      </c>
      <c r="M14" s="64">
        <v>41.39</v>
      </c>
      <c r="N14" s="64">
        <v>20.9</v>
      </c>
      <c r="O14" s="64">
        <v>0</v>
      </c>
      <c r="P14" s="64">
        <v>1.1399999999999999</v>
      </c>
      <c r="Q14" s="64">
        <v>10.25</v>
      </c>
      <c r="R14" s="198"/>
      <c r="S14" s="198"/>
      <c r="T14" s="198"/>
      <c r="U14" s="198"/>
    </row>
    <row r="15" spans="1:21" s="12" customFormat="1" x14ac:dyDescent="0.25">
      <c r="A15" s="214" t="s">
        <v>830</v>
      </c>
      <c r="B15" s="64">
        <v>32.82</v>
      </c>
      <c r="C15" s="64">
        <v>58.98</v>
      </c>
      <c r="D15" s="64">
        <v>57.05</v>
      </c>
      <c r="E15" s="64">
        <v>1.49</v>
      </c>
      <c r="F15" s="64">
        <v>3.1</v>
      </c>
      <c r="G15" s="64">
        <v>126.9</v>
      </c>
      <c r="H15" s="64">
        <v>47.91</v>
      </c>
      <c r="I15" s="64">
        <v>6.1</v>
      </c>
      <c r="J15" s="64">
        <v>0.24</v>
      </c>
      <c r="K15" s="64">
        <v>233.84</v>
      </c>
      <c r="L15" s="64">
        <v>25.12</v>
      </c>
      <c r="M15" s="64">
        <v>41.22</v>
      </c>
      <c r="N15" s="64">
        <v>20.399999999999999</v>
      </c>
      <c r="O15" s="64">
        <v>0</v>
      </c>
      <c r="P15" s="64">
        <v>1.1100000000000001</v>
      </c>
      <c r="Q15" s="64">
        <v>10.06</v>
      </c>
      <c r="R15" s="198"/>
      <c r="S15" s="198"/>
      <c r="T15" s="198"/>
      <c r="U15" s="198"/>
    </row>
    <row r="16" spans="1:21" s="12" customFormat="1" x14ac:dyDescent="0.25">
      <c r="A16" s="214" t="s">
        <v>831</v>
      </c>
      <c r="B16" s="64">
        <v>31.78</v>
      </c>
      <c r="C16" s="64">
        <v>57.56</v>
      </c>
      <c r="D16" s="64">
        <v>55.47</v>
      </c>
      <c r="E16" s="64">
        <v>1.44</v>
      </c>
      <c r="F16" s="64">
        <v>3.33</v>
      </c>
      <c r="G16" s="64">
        <v>126.9</v>
      </c>
      <c r="H16" s="64">
        <v>47.91</v>
      </c>
      <c r="I16" s="64">
        <v>6.38</v>
      </c>
      <c r="J16" s="64">
        <v>0.23</v>
      </c>
      <c r="K16" s="64">
        <v>210.34</v>
      </c>
      <c r="L16" s="64">
        <v>25.38</v>
      </c>
      <c r="M16" s="64">
        <v>39.26</v>
      </c>
      <c r="N16" s="64">
        <v>20.100000000000001</v>
      </c>
      <c r="O16" s="64">
        <v>0</v>
      </c>
      <c r="P16" s="64">
        <v>1.04</v>
      </c>
      <c r="Q16" s="64">
        <v>10.25</v>
      </c>
      <c r="R16" s="198"/>
      <c r="S16" s="198"/>
      <c r="T16" s="198"/>
      <c r="U16" s="198"/>
    </row>
    <row r="17" spans="1:21" s="12" customFormat="1" x14ac:dyDescent="0.25">
      <c r="A17" s="214" t="s">
        <v>832</v>
      </c>
      <c r="B17" s="64">
        <v>30.95</v>
      </c>
      <c r="C17" s="64">
        <v>56.7</v>
      </c>
      <c r="D17" s="64">
        <v>54.37</v>
      </c>
      <c r="E17" s="64">
        <v>1.32</v>
      </c>
      <c r="F17" s="64">
        <v>3.2</v>
      </c>
      <c r="G17" s="64">
        <v>109.68</v>
      </c>
      <c r="H17" s="64">
        <v>43.64</v>
      </c>
      <c r="I17" s="64">
        <v>6.51</v>
      </c>
      <c r="J17" s="64">
        <v>0.17</v>
      </c>
      <c r="K17" s="64">
        <v>293.93</v>
      </c>
      <c r="L17" s="64">
        <v>25.17</v>
      </c>
      <c r="M17" s="64">
        <v>45.18</v>
      </c>
      <c r="N17" s="64">
        <v>20.5</v>
      </c>
      <c r="O17" s="64">
        <v>0</v>
      </c>
      <c r="P17" s="64">
        <v>1.05</v>
      </c>
      <c r="Q17" s="64">
        <v>10.220000000000001</v>
      </c>
      <c r="R17" s="198"/>
      <c r="S17" s="198"/>
      <c r="T17" s="198"/>
      <c r="U17" s="198"/>
    </row>
    <row r="18" spans="1:21" s="12" customFormat="1" x14ac:dyDescent="0.25">
      <c r="A18" s="214" t="s">
        <v>833</v>
      </c>
      <c r="B18" s="64">
        <v>30.79</v>
      </c>
      <c r="C18" s="64">
        <v>54.36</v>
      </c>
      <c r="D18" s="64">
        <v>53.02</v>
      </c>
      <c r="E18" s="64">
        <v>1.19</v>
      </c>
      <c r="F18" s="64">
        <v>3.38</v>
      </c>
      <c r="G18" s="64">
        <v>104.76</v>
      </c>
      <c r="H18" s="64">
        <v>42.42</v>
      </c>
      <c r="I18" s="64">
        <v>6.1</v>
      </c>
      <c r="J18" s="64">
        <v>0.23</v>
      </c>
      <c r="K18" s="64">
        <v>313.87</v>
      </c>
      <c r="L18" s="64">
        <v>24.24</v>
      </c>
      <c r="M18" s="64">
        <v>52.11</v>
      </c>
      <c r="N18" s="64">
        <v>20.9</v>
      </c>
      <c r="O18" s="64">
        <v>0</v>
      </c>
      <c r="P18" s="64">
        <v>1.07</v>
      </c>
      <c r="Q18" s="64">
        <v>10.1</v>
      </c>
      <c r="R18" s="198"/>
      <c r="S18" s="198"/>
      <c r="T18" s="198"/>
      <c r="U18" s="198"/>
    </row>
    <row r="19" spans="1:21" s="12" customFormat="1" x14ac:dyDescent="0.25">
      <c r="A19" s="214" t="s">
        <v>834</v>
      </c>
      <c r="B19" s="64">
        <v>30.96</v>
      </c>
      <c r="C19" s="64">
        <v>50.3</v>
      </c>
      <c r="D19" s="64">
        <v>51.03</v>
      </c>
      <c r="E19" s="64">
        <v>1.28</v>
      </c>
      <c r="F19" s="64">
        <v>3.25</v>
      </c>
      <c r="G19" s="64">
        <v>104.76</v>
      </c>
      <c r="H19" s="64">
        <v>42.42</v>
      </c>
      <c r="I19" s="64">
        <v>6.6</v>
      </c>
      <c r="J19" s="64">
        <v>0.22</v>
      </c>
      <c r="K19" s="64">
        <v>330.45</v>
      </c>
      <c r="L19" s="64">
        <v>23.56</v>
      </c>
      <c r="M19" s="64">
        <v>54.61</v>
      </c>
      <c r="N19" s="64">
        <v>21</v>
      </c>
      <c r="O19" s="64">
        <v>0</v>
      </c>
      <c r="P19" s="64">
        <v>1.08</v>
      </c>
      <c r="Q19" s="64">
        <v>10.06</v>
      </c>
      <c r="R19" s="198"/>
      <c r="S19" s="198"/>
      <c r="T19" s="198"/>
      <c r="U19" s="198"/>
    </row>
    <row r="20" spans="1:21" s="12" customFormat="1" x14ac:dyDescent="0.25">
      <c r="A20" s="214" t="s">
        <v>835</v>
      </c>
      <c r="B20" s="64">
        <v>30.12</v>
      </c>
      <c r="C20" s="64">
        <v>50.38</v>
      </c>
      <c r="D20" s="64">
        <v>50.39</v>
      </c>
      <c r="E20" s="64">
        <v>1.32</v>
      </c>
      <c r="F20" s="64">
        <v>3.22</v>
      </c>
      <c r="G20" s="64">
        <v>104.76</v>
      </c>
      <c r="H20" s="64">
        <v>42.42</v>
      </c>
      <c r="I20" s="64">
        <v>8.07</v>
      </c>
      <c r="J20" s="64">
        <v>0.22</v>
      </c>
      <c r="K20" s="64">
        <v>251.09</v>
      </c>
      <c r="L20" s="64">
        <v>23.71</v>
      </c>
      <c r="M20" s="64">
        <v>55.05</v>
      </c>
      <c r="N20" s="64">
        <v>20.3</v>
      </c>
      <c r="O20" s="64">
        <v>0</v>
      </c>
      <c r="P20" s="64">
        <v>1.03</v>
      </c>
      <c r="Q20" s="64">
        <v>10.15</v>
      </c>
      <c r="R20" s="198"/>
      <c r="S20" s="198"/>
      <c r="T20" s="198"/>
      <c r="U20" s="198"/>
    </row>
    <row r="21" spans="1:21" s="12" customFormat="1" x14ac:dyDescent="0.25">
      <c r="A21" s="214" t="s">
        <v>836</v>
      </c>
      <c r="B21" s="64">
        <v>29.04</v>
      </c>
      <c r="C21" s="64">
        <v>50.39</v>
      </c>
      <c r="D21" s="64">
        <v>49.54</v>
      </c>
      <c r="E21" s="64">
        <v>1.08</v>
      </c>
      <c r="F21" s="64">
        <v>3.05</v>
      </c>
      <c r="G21" s="64">
        <v>98.73</v>
      </c>
      <c r="H21" s="64">
        <v>37.200000000000003</v>
      </c>
      <c r="I21" s="64">
        <v>9.3699999999999992</v>
      </c>
      <c r="J21" s="64">
        <v>0.54</v>
      </c>
      <c r="K21" s="64">
        <v>177.25</v>
      </c>
      <c r="L21" s="64">
        <v>24.26</v>
      </c>
      <c r="M21" s="64">
        <v>53.59</v>
      </c>
      <c r="N21" s="64">
        <v>18.899999999999999</v>
      </c>
      <c r="O21" s="64">
        <v>0</v>
      </c>
      <c r="P21" s="64">
        <v>0.99</v>
      </c>
      <c r="Q21" s="64">
        <v>10.1</v>
      </c>
      <c r="R21" s="198"/>
      <c r="S21" s="198"/>
      <c r="T21" s="198"/>
      <c r="U21" s="198"/>
    </row>
    <row r="22" spans="1:21" s="12" customFormat="1" x14ac:dyDescent="0.25">
      <c r="A22" s="214" t="s">
        <v>837</v>
      </c>
      <c r="B22" s="64">
        <v>27.7</v>
      </c>
      <c r="C22" s="64">
        <v>50.73</v>
      </c>
      <c r="D22" s="64">
        <v>48.64</v>
      </c>
      <c r="E22" s="64">
        <v>1.35</v>
      </c>
      <c r="F22" s="64">
        <v>3.21</v>
      </c>
      <c r="G22" s="64">
        <v>97.01</v>
      </c>
      <c r="H22" s="64">
        <v>35.71</v>
      </c>
      <c r="I22" s="64">
        <v>8.92</v>
      </c>
      <c r="J22" s="64">
        <v>0.18</v>
      </c>
      <c r="K22" s="64">
        <v>214.73</v>
      </c>
      <c r="L22" s="64">
        <v>24.71</v>
      </c>
      <c r="M22" s="64">
        <v>49.2</v>
      </c>
      <c r="N22" s="64">
        <v>20.100000000000001</v>
      </c>
      <c r="O22" s="64">
        <v>0</v>
      </c>
      <c r="P22" s="64">
        <v>0.95</v>
      </c>
      <c r="Q22" s="64">
        <v>10.15</v>
      </c>
      <c r="R22" s="198"/>
      <c r="S22" s="198"/>
      <c r="T22" s="198"/>
      <c r="U22" s="198"/>
    </row>
    <row r="23" spans="1:21" s="12" customFormat="1" x14ac:dyDescent="0.25">
      <c r="A23" s="214" t="s">
        <v>838</v>
      </c>
      <c r="B23" s="64">
        <v>26.02</v>
      </c>
      <c r="C23" s="64">
        <v>50.68</v>
      </c>
      <c r="D23" s="64">
        <v>47.27</v>
      </c>
      <c r="E23" s="64">
        <v>1.23</v>
      </c>
      <c r="F23" s="64">
        <v>3.32</v>
      </c>
      <c r="G23" s="64">
        <v>97.01</v>
      </c>
      <c r="H23" s="64">
        <v>35.71</v>
      </c>
      <c r="I23" s="64">
        <v>8.6</v>
      </c>
      <c r="J23" s="64">
        <v>0.62</v>
      </c>
      <c r="K23" s="64">
        <v>167.8</v>
      </c>
      <c r="L23" s="64">
        <v>24.55</v>
      </c>
      <c r="M23" s="64">
        <v>46.04</v>
      </c>
      <c r="N23" s="64">
        <v>19.5</v>
      </c>
      <c r="O23" s="64">
        <v>0</v>
      </c>
      <c r="P23" s="64">
        <v>0.91</v>
      </c>
      <c r="Q23" s="64">
        <v>10.27</v>
      </c>
      <c r="R23" s="198"/>
      <c r="S23" s="198"/>
      <c r="T23" s="198"/>
      <c r="U23" s="198"/>
    </row>
    <row r="24" spans="1:21" s="12" customFormat="1" x14ac:dyDescent="0.25">
      <c r="A24" s="214" t="s">
        <v>839</v>
      </c>
      <c r="B24" s="64">
        <v>24.08</v>
      </c>
      <c r="C24" s="64">
        <v>50.84</v>
      </c>
      <c r="D24" s="64">
        <v>45.79</v>
      </c>
      <c r="E24" s="64">
        <v>1.43</v>
      </c>
      <c r="F24" s="64">
        <v>3.54</v>
      </c>
      <c r="G24" s="64">
        <v>97.01</v>
      </c>
      <c r="H24" s="64">
        <v>35.71</v>
      </c>
      <c r="I24" s="64">
        <v>8.86</v>
      </c>
      <c r="J24" s="64">
        <v>0.06</v>
      </c>
      <c r="K24" s="64">
        <v>223.03</v>
      </c>
      <c r="L24" s="64">
        <v>24.43</v>
      </c>
      <c r="M24" s="64">
        <v>46.97</v>
      </c>
      <c r="N24" s="64">
        <v>20.6</v>
      </c>
      <c r="O24" s="64">
        <v>0</v>
      </c>
      <c r="P24" s="64">
        <v>0.87</v>
      </c>
      <c r="Q24" s="64">
        <v>9.8699999999999992</v>
      </c>
      <c r="R24" s="198"/>
      <c r="S24" s="198"/>
      <c r="T24" s="198"/>
      <c r="U24" s="198"/>
    </row>
    <row r="25" spans="1:21" s="12" customFormat="1" x14ac:dyDescent="0.25">
      <c r="A25" s="214" t="s">
        <v>840</v>
      </c>
      <c r="B25" s="64">
        <v>22.57</v>
      </c>
      <c r="C25" s="64">
        <v>50.99</v>
      </c>
      <c r="D25" s="64">
        <v>44.66</v>
      </c>
      <c r="E25" s="64">
        <v>2.19</v>
      </c>
      <c r="F25" s="64">
        <v>3.38</v>
      </c>
      <c r="G25" s="64">
        <v>77.180000000000007</v>
      </c>
      <c r="H25" s="64">
        <v>32.85</v>
      </c>
      <c r="I25" s="64">
        <v>9</v>
      </c>
      <c r="J25" s="64">
        <v>0.31</v>
      </c>
      <c r="K25" s="64">
        <v>304.63</v>
      </c>
      <c r="L25" s="64">
        <v>23.56</v>
      </c>
      <c r="M25" s="64">
        <v>52.91</v>
      </c>
      <c r="N25" s="64">
        <v>21</v>
      </c>
      <c r="O25" s="64">
        <v>0</v>
      </c>
      <c r="P25" s="64">
        <v>0.84</v>
      </c>
      <c r="Q25" s="64">
        <v>10.25</v>
      </c>
      <c r="R25" s="198"/>
      <c r="S25" s="198"/>
      <c r="T25" s="198"/>
      <c r="U25" s="198"/>
    </row>
    <row r="26" spans="1:21" s="12" customFormat="1" x14ac:dyDescent="0.25">
      <c r="A26" s="214" t="s">
        <v>841</v>
      </c>
      <c r="B26" s="64">
        <v>21.41</v>
      </c>
      <c r="C26" s="64">
        <v>50.95</v>
      </c>
      <c r="D26" s="64">
        <v>43.7</v>
      </c>
      <c r="E26" s="64">
        <v>2.0099999999999998</v>
      </c>
      <c r="F26" s="64">
        <v>3.21</v>
      </c>
      <c r="G26" s="64">
        <v>71.52</v>
      </c>
      <c r="H26" s="64">
        <v>32.03</v>
      </c>
      <c r="I26" s="64">
        <v>8.84</v>
      </c>
      <c r="J26" s="64">
        <v>0.26</v>
      </c>
      <c r="K26" s="64">
        <v>330.8</v>
      </c>
      <c r="L26" s="64">
        <v>22.88</v>
      </c>
      <c r="M26" s="64">
        <v>57.28</v>
      </c>
      <c r="N26" s="64">
        <v>20.9</v>
      </c>
      <c r="O26" s="64">
        <v>0</v>
      </c>
      <c r="P26" s="64">
        <v>0.82</v>
      </c>
      <c r="Q26" s="64">
        <v>10.039999999999999</v>
      </c>
      <c r="R26" s="198"/>
      <c r="S26" s="198"/>
      <c r="T26" s="198"/>
      <c r="U26" s="198"/>
    </row>
    <row r="27" spans="1:21" s="12" customFormat="1" x14ac:dyDescent="0.25">
      <c r="A27" s="214" t="s">
        <v>842</v>
      </c>
      <c r="B27" s="64">
        <v>20.350000000000001</v>
      </c>
      <c r="C27" s="64">
        <v>50.76</v>
      </c>
      <c r="D27" s="64">
        <v>42.76</v>
      </c>
      <c r="E27" s="64">
        <v>1.89</v>
      </c>
      <c r="F27" s="64">
        <v>3.35</v>
      </c>
      <c r="G27" s="64">
        <v>71.52</v>
      </c>
      <c r="H27" s="64">
        <v>32.03</v>
      </c>
      <c r="I27" s="64">
        <v>8.57</v>
      </c>
      <c r="J27" s="64">
        <v>0.22</v>
      </c>
      <c r="K27" s="64">
        <v>214.4</v>
      </c>
      <c r="L27" s="64">
        <v>22.77</v>
      </c>
      <c r="M27" s="64">
        <v>55.45</v>
      </c>
      <c r="N27" s="64">
        <v>20.2</v>
      </c>
      <c r="O27" s="64">
        <v>0</v>
      </c>
      <c r="P27" s="64">
        <v>0.8</v>
      </c>
      <c r="Q27" s="64">
        <v>9.86</v>
      </c>
      <c r="R27" s="198"/>
      <c r="S27" s="198"/>
      <c r="T27" s="198"/>
      <c r="U27" s="198"/>
    </row>
    <row r="28" spans="1:21" s="12" customFormat="1" x14ac:dyDescent="0.25">
      <c r="A28" s="214" t="s">
        <v>843</v>
      </c>
      <c r="B28" s="64">
        <v>19.37</v>
      </c>
      <c r="C28" s="64">
        <v>50.49</v>
      </c>
      <c r="D28" s="64">
        <v>41.83</v>
      </c>
      <c r="E28" s="64">
        <v>1.62</v>
      </c>
      <c r="F28" s="64">
        <v>3.04</v>
      </c>
      <c r="G28" s="64">
        <v>71.52</v>
      </c>
      <c r="H28" s="64">
        <v>32.03</v>
      </c>
      <c r="I28" s="64">
        <v>8.33</v>
      </c>
      <c r="J28" s="64">
        <v>0.17</v>
      </c>
      <c r="K28" s="64">
        <v>268.44</v>
      </c>
      <c r="L28" s="64">
        <v>23.46</v>
      </c>
      <c r="M28" s="64">
        <v>47.24</v>
      </c>
      <c r="N28" s="64">
        <v>20</v>
      </c>
      <c r="O28" s="64">
        <v>0</v>
      </c>
      <c r="P28" s="64">
        <v>0.78</v>
      </c>
      <c r="Q28" s="64">
        <v>9.99</v>
      </c>
      <c r="R28" s="198"/>
      <c r="S28" s="198"/>
      <c r="T28" s="198"/>
      <c r="U28" s="198"/>
    </row>
    <row r="29" spans="1:21" s="12" customFormat="1" x14ac:dyDescent="0.25">
      <c r="A29" s="214" t="s">
        <v>844</v>
      </c>
      <c r="B29" s="64">
        <v>18.41</v>
      </c>
      <c r="C29" s="64">
        <v>49.42</v>
      </c>
      <c r="D29" s="64">
        <v>40.5</v>
      </c>
      <c r="E29" s="64">
        <v>1.84</v>
      </c>
      <c r="F29" s="64">
        <v>3.32</v>
      </c>
      <c r="G29" s="64">
        <v>59.21</v>
      </c>
      <c r="H29" s="64">
        <v>27.81</v>
      </c>
      <c r="I29" s="64">
        <v>8.19</v>
      </c>
      <c r="J29" s="64">
        <v>0.03</v>
      </c>
      <c r="K29" s="64">
        <v>43.35</v>
      </c>
      <c r="L29" s="64">
        <v>23.15</v>
      </c>
      <c r="M29" s="64">
        <v>48.96</v>
      </c>
      <c r="N29" s="64">
        <v>20.3</v>
      </c>
      <c r="O29" s="64">
        <v>0</v>
      </c>
      <c r="P29" s="64">
        <v>0.75</v>
      </c>
      <c r="Q29" s="64">
        <v>10.029999999999999</v>
      </c>
      <c r="R29" s="198"/>
      <c r="S29" s="198"/>
      <c r="T29" s="198"/>
      <c r="U29" s="198"/>
    </row>
    <row r="30" spans="1:21" s="12" customFormat="1" x14ac:dyDescent="0.25">
      <c r="A30" s="214" t="s">
        <v>845</v>
      </c>
      <c r="B30" s="64">
        <v>18.100000000000001</v>
      </c>
      <c r="C30" s="64">
        <v>49.27</v>
      </c>
      <c r="D30" s="64">
        <v>40.17</v>
      </c>
      <c r="E30" s="64">
        <v>2.08</v>
      </c>
      <c r="F30" s="64">
        <v>3.22</v>
      </c>
      <c r="G30" s="64">
        <v>55.69</v>
      </c>
      <c r="H30" s="64">
        <v>26.6</v>
      </c>
      <c r="I30" s="64">
        <v>7.85</v>
      </c>
      <c r="J30" s="64">
        <v>0.25</v>
      </c>
      <c r="K30" s="64">
        <v>318.62</v>
      </c>
      <c r="L30" s="64">
        <v>22.69</v>
      </c>
      <c r="M30" s="64">
        <v>55.34</v>
      </c>
      <c r="N30" s="64">
        <v>21</v>
      </c>
      <c r="O30" s="64">
        <v>0</v>
      </c>
      <c r="P30" s="64">
        <v>0.74</v>
      </c>
      <c r="Q30" s="64">
        <v>10.06</v>
      </c>
      <c r="R30" s="198"/>
      <c r="S30" s="198"/>
      <c r="T30" s="198"/>
      <c r="U30" s="198"/>
    </row>
    <row r="31" spans="1:21" s="12" customFormat="1" x14ac:dyDescent="0.25">
      <c r="A31" s="214" t="s">
        <v>846</v>
      </c>
      <c r="B31" s="64">
        <v>18.190000000000001</v>
      </c>
      <c r="C31" s="64">
        <v>49.96</v>
      </c>
      <c r="D31" s="64">
        <v>40.61</v>
      </c>
      <c r="E31" s="64">
        <v>1.85</v>
      </c>
      <c r="F31" s="64">
        <v>3.02</v>
      </c>
      <c r="G31" s="64">
        <v>55.69</v>
      </c>
      <c r="H31" s="64">
        <v>26.6</v>
      </c>
      <c r="I31" s="64">
        <v>6.79</v>
      </c>
      <c r="J31" s="64">
        <v>0.16</v>
      </c>
      <c r="K31" s="64">
        <v>229.17</v>
      </c>
      <c r="L31" s="64">
        <v>22.09</v>
      </c>
      <c r="M31" s="64">
        <v>55.7</v>
      </c>
      <c r="N31" s="64">
        <v>22.5</v>
      </c>
      <c r="O31" s="64">
        <v>0</v>
      </c>
      <c r="P31" s="64">
        <v>0.75</v>
      </c>
      <c r="Q31" s="64">
        <v>9.9700000000000006</v>
      </c>
      <c r="R31" s="198"/>
      <c r="S31" s="198"/>
      <c r="T31" s="198"/>
      <c r="U31" s="198"/>
    </row>
    <row r="32" spans="1:21" s="12" customFormat="1" x14ac:dyDescent="0.25">
      <c r="A32" s="214" t="s">
        <v>847</v>
      </c>
      <c r="B32" s="64">
        <v>18.850000000000001</v>
      </c>
      <c r="C32" s="64">
        <v>49.92</v>
      </c>
      <c r="D32" s="64">
        <v>41.11</v>
      </c>
      <c r="E32" s="64">
        <v>1.84</v>
      </c>
      <c r="F32" s="64">
        <v>3.14</v>
      </c>
      <c r="G32" s="64">
        <v>55.69</v>
      </c>
      <c r="H32" s="64">
        <v>26.6</v>
      </c>
      <c r="I32" s="64">
        <v>7.1</v>
      </c>
      <c r="J32" s="64">
        <v>0.51</v>
      </c>
      <c r="K32" s="64">
        <v>172.15</v>
      </c>
      <c r="L32" s="64">
        <v>22.91</v>
      </c>
      <c r="M32" s="64">
        <v>49.77</v>
      </c>
      <c r="N32" s="64">
        <v>30.4</v>
      </c>
      <c r="O32" s="64">
        <v>0</v>
      </c>
      <c r="P32" s="64">
        <v>0.74</v>
      </c>
      <c r="Q32" s="64">
        <v>9.9600000000000009</v>
      </c>
      <c r="R32" s="198"/>
      <c r="S32" s="198"/>
      <c r="T32" s="198"/>
      <c r="U32" s="198"/>
    </row>
    <row r="33" spans="1:21" s="12" customFormat="1" x14ac:dyDescent="0.25">
      <c r="A33" s="214" t="s">
        <v>848</v>
      </c>
      <c r="B33" s="64">
        <v>19.760000000000002</v>
      </c>
      <c r="C33" s="64">
        <v>49.77</v>
      </c>
      <c r="D33" s="64">
        <v>41.77</v>
      </c>
      <c r="E33" s="64">
        <v>2.2000000000000002</v>
      </c>
      <c r="F33" s="64">
        <v>3.24</v>
      </c>
      <c r="G33" s="64">
        <v>54.78</v>
      </c>
      <c r="H33" s="64">
        <v>23.28</v>
      </c>
      <c r="I33" s="64">
        <v>7.44</v>
      </c>
      <c r="J33" s="64">
        <v>0.19</v>
      </c>
      <c r="K33" s="64">
        <v>304.18</v>
      </c>
      <c r="L33" s="64">
        <v>23.27</v>
      </c>
      <c r="M33" s="64">
        <v>51.19</v>
      </c>
      <c r="N33" s="64">
        <v>48</v>
      </c>
      <c r="O33" s="64">
        <v>0</v>
      </c>
      <c r="P33" s="64">
        <v>0.75</v>
      </c>
      <c r="Q33" s="64">
        <v>9.8800000000000008</v>
      </c>
      <c r="R33" s="198"/>
      <c r="S33" s="198"/>
      <c r="T33" s="198"/>
      <c r="U33" s="198"/>
    </row>
    <row r="34" spans="1:21" s="12" customFormat="1" x14ac:dyDescent="0.25">
      <c r="A34" s="214" t="s">
        <v>849</v>
      </c>
      <c r="B34" s="64">
        <v>21.02</v>
      </c>
      <c r="C34" s="64">
        <v>49.84</v>
      </c>
      <c r="D34" s="64">
        <v>42.81</v>
      </c>
      <c r="E34" s="64">
        <v>1.75</v>
      </c>
      <c r="F34" s="64">
        <v>3.27</v>
      </c>
      <c r="G34" s="64">
        <v>54.52</v>
      </c>
      <c r="H34" s="64">
        <v>22.33</v>
      </c>
      <c r="I34" s="64">
        <v>7.15</v>
      </c>
      <c r="J34" s="64">
        <v>0.19</v>
      </c>
      <c r="K34" s="64">
        <v>344.27</v>
      </c>
      <c r="L34" s="64">
        <v>23.23</v>
      </c>
      <c r="M34" s="64">
        <v>53.44</v>
      </c>
      <c r="N34" s="64">
        <v>73.3</v>
      </c>
      <c r="O34" s="64">
        <v>0</v>
      </c>
      <c r="P34" s="64">
        <v>0.76</v>
      </c>
      <c r="Q34" s="64">
        <v>10.08</v>
      </c>
      <c r="R34" s="198"/>
      <c r="S34" s="198"/>
      <c r="T34" s="198"/>
      <c r="U34" s="198"/>
    </row>
    <row r="35" spans="1:21" s="12" customFormat="1" x14ac:dyDescent="0.25">
      <c r="A35" s="214" t="s">
        <v>850</v>
      </c>
      <c r="B35" s="64">
        <v>22.33</v>
      </c>
      <c r="C35" s="64">
        <v>49.99</v>
      </c>
      <c r="D35" s="64">
        <v>43.95</v>
      </c>
      <c r="E35" s="64">
        <v>2.1</v>
      </c>
      <c r="F35" s="64">
        <v>3.33</v>
      </c>
      <c r="G35" s="64">
        <v>54.52</v>
      </c>
      <c r="H35" s="64">
        <v>22.33</v>
      </c>
      <c r="I35" s="64">
        <v>6.83</v>
      </c>
      <c r="J35" s="64">
        <v>0.11</v>
      </c>
      <c r="K35" s="64">
        <v>76.790000000000006</v>
      </c>
      <c r="L35" s="64">
        <v>24.26</v>
      </c>
      <c r="M35" s="64">
        <v>48.46</v>
      </c>
      <c r="N35" s="64">
        <v>113</v>
      </c>
      <c r="O35" s="64">
        <v>0</v>
      </c>
      <c r="P35" s="64">
        <v>0.78</v>
      </c>
      <c r="Q35" s="64">
        <v>10.039999999999999</v>
      </c>
      <c r="R35" s="198"/>
      <c r="S35" s="198"/>
      <c r="T35" s="198"/>
      <c r="U35" s="198"/>
    </row>
    <row r="36" spans="1:21" s="12" customFormat="1" x14ac:dyDescent="0.25">
      <c r="A36" s="214" t="s">
        <v>851</v>
      </c>
      <c r="B36" s="64">
        <v>23.56</v>
      </c>
      <c r="C36" s="64">
        <v>50.17</v>
      </c>
      <c r="D36" s="64">
        <v>45.03</v>
      </c>
      <c r="E36" s="64">
        <v>1.94</v>
      </c>
      <c r="F36" s="64">
        <v>3.07</v>
      </c>
      <c r="G36" s="64">
        <v>54.52</v>
      </c>
      <c r="H36" s="64">
        <v>22.33</v>
      </c>
      <c r="I36" s="64">
        <v>7.65</v>
      </c>
      <c r="J36" s="64">
        <v>0.17</v>
      </c>
      <c r="K36" s="64">
        <v>343.33</v>
      </c>
      <c r="L36" s="64">
        <v>25.52</v>
      </c>
      <c r="M36" s="64">
        <v>49.07</v>
      </c>
      <c r="N36" s="64">
        <v>150.69999999999999</v>
      </c>
      <c r="O36" s="64">
        <v>0</v>
      </c>
      <c r="P36" s="64">
        <v>0.79</v>
      </c>
      <c r="Q36" s="64">
        <v>9.75</v>
      </c>
      <c r="R36" s="198"/>
      <c r="S36" s="198"/>
      <c r="T36" s="198"/>
      <c r="U36" s="198"/>
    </row>
    <row r="37" spans="1:21" s="12" customFormat="1" x14ac:dyDescent="0.25">
      <c r="A37" s="214" t="s">
        <v>852</v>
      </c>
      <c r="B37" s="64">
        <v>24.4</v>
      </c>
      <c r="C37" s="64">
        <v>48.15</v>
      </c>
      <c r="D37" s="64">
        <v>44.64</v>
      </c>
      <c r="E37" s="64">
        <v>1.92</v>
      </c>
      <c r="F37" s="64">
        <v>2.81</v>
      </c>
      <c r="G37" s="64">
        <v>77.33</v>
      </c>
      <c r="H37" s="64">
        <v>23.74</v>
      </c>
      <c r="I37" s="64">
        <v>7.9</v>
      </c>
      <c r="J37" s="64">
        <v>0.06</v>
      </c>
      <c r="K37" s="64">
        <v>77.72</v>
      </c>
      <c r="L37" s="64">
        <v>26.71</v>
      </c>
      <c r="M37" s="64">
        <v>45.67</v>
      </c>
      <c r="N37" s="64">
        <v>119.5</v>
      </c>
      <c r="O37" s="64">
        <v>0</v>
      </c>
      <c r="P37" s="64">
        <v>0.79</v>
      </c>
      <c r="Q37" s="64">
        <v>10.11</v>
      </c>
      <c r="R37" s="198"/>
      <c r="S37" s="198"/>
      <c r="T37" s="198"/>
      <c r="U37" s="198"/>
    </row>
    <row r="38" spans="1:21" s="12" customFormat="1" x14ac:dyDescent="0.25">
      <c r="A38" s="214" t="s">
        <v>853</v>
      </c>
      <c r="B38" s="64">
        <v>25.06</v>
      </c>
      <c r="C38" s="64">
        <v>48.47</v>
      </c>
      <c r="D38" s="64">
        <v>45.34</v>
      </c>
      <c r="E38" s="64">
        <v>2.5</v>
      </c>
      <c r="F38" s="64">
        <v>3.25</v>
      </c>
      <c r="G38" s="64">
        <v>83.85</v>
      </c>
      <c r="H38" s="64">
        <v>24.15</v>
      </c>
      <c r="I38" s="64">
        <v>8.43</v>
      </c>
      <c r="J38" s="64">
        <v>0.15</v>
      </c>
      <c r="K38" s="64">
        <v>274.5</v>
      </c>
      <c r="L38" s="64">
        <v>27.17</v>
      </c>
      <c r="M38" s="64">
        <v>44.42</v>
      </c>
      <c r="N38" s="64">
        <v>230.6</v>
      </c>
      <c r="O38" s="64">
        <v>0</v>
      </c>
      <c r="P38" s="64">
        <v>0.86</v>
      </c>
      <c r="Q38" s="64">
        <v>10.039999999999999</v>
      </c>
      <c r="R38" s="198"/>
      <c r="S38" s="198"/>
      <c r="T38" s="198"/>
      <c r="U38" s="198"/>
    </row>
    <row r="39" spans="1:21" s="12" customFormat="1" x14ac:dyDescent="0.25">
      <c r="A39" s="214" t="s">
        <v>854</v>
      </c>
      <c r="B39" s="64">
        <v>24.96</v>
      </c>
      <c r="C39" s="64">
        <v>50.85</v>
      </c>
      <c r="D39" s="64">
        <v>46.5</v>
      </c>
      <c r="E39" s="64">
        <v>2.38</v>
      </c>
      <c r="F39" s="64">
        <v>3.39</v>
      </c>
      <c r="G39" s="64">
        <v>83.85</v>
      </c>
      <c r="H39" s="64">
        <v>24.15</v>
      </c>
      <c r="I39" s="64">
        <v>9.43</v>
      </c>
      <c r="J39" s="64">
        <v>0.47</v>
      </c>
      <c r="K39" s="64">
        <v>302.69</v>
      </c>
      <c r="L39" s="64">
        <v>29.19</v>
      </c>
      <c r="M39" s="64">
        <v>37.840000000000003</v>
      </c>
      <c r="N39" s="64">
        <v>157.69999999999999</v>
      </c>
      <c r="O39" s="64">
        <v>0</v>
      </c>
      <c r="P39" s="64">
        <v>0.87</v>
      </c>
      <c r="Q39" s="64">
        <v>10.01</v>
      </c>
      <c r="R39" s="198"/>
      <c r="S39" s="198"/>
      <c r="T39" s="198"/>
      <c r="U39" s="198"/>
    </row>
    <row r="40" spans="1:21" s="12" customFormat="1" x14ac:dyDescent="0.25">
      <c r="A40" s="214" t="s">
        <v>855</v>
      </c>
      <c r="B40" s="64">
        <v>23.59</v>
      </c>
      <c r="C40" s="64">
        <v>53.01</v>
      </c>
      <c r="D40" s="64">
        <v>46.53</v>
      </c>
      <c r="E40" s="64">
        <v>0.87</v>
      </c>
      <c r="F40" s="64">
        <v>3.4</v>
      </c>
      <c r="G40" s="64">
        <v>83.85</v>
      </c>
      <c r="H40" s="64">
        <v>24.15</v>
      </c>
      <c r="I40" s="64">
        <v>9.33</v>
      </c>
      <c r="J40" s="64">
        <v>0.63</v>
      </c>
      <c r="K40" s="64">
        <v>303.10000000000002</v>
      </c>
      <c r="L40" s="64">
        <v>27.61</v>
      </c>
      <c r="M40" s="64">
        <v>37.74</v>
      </c>
      <c r="N40" s="64">
        <v>61.1</v>
      </c>
      <c r="O40" s="64">
        <v>0</v>
      </c>
      <c r="P40" s="64">
        <v>0.88</v>
      </c>
      <c r="Q40" s="64">
        <v>9.93</v>
      </c>
      <c r="R40" s="198"/>
      <c r="S40" s="198"/>
      <c r="T40" s="198"/>
      <c r="U40" s="198"/>
    </row>
    <row r="41" spans="1:21" s="12" customFormat="1" x14ac:dyDescent="0.25">
      <c r="A41" s="214" t="s">
        <v>856</v>
      </c>
      <c r="B41" s="64">
        <v>21.58</v>
      </c>
      <c r="C41" s="64">
        <v>54.98</v>
      </c>
      <c r="D41" s="64">
        <v>45.95</v>
      </c>
      <c r="E41" s="64">
        <v>1.51</v>
      </c>
      <c r="F41" s="64">
        <v>3.26</v>
      </c>
      <c r="G41" s="64">
        <v>80.17</v>
      </c>
      <c r="H41" s="64">
        <v>24.25</v>
      </c>
      <c r="I41" s="64">
        <v>9.52</v>
      </c>
      <c r="J41" s="64">
        <v>1.55</v>
      </c>
      <c r="K41" s="64">
        <v>309.39999999999998</v>
      </c>
      <c r="L41" s="64">
        <v>26.13</v>
      </c>
      <c r="M41" s="64">
        <v>41.55</v>
      </c>
      <c r="N41" s="64">
        <v>35.200000000000003</v>
      </c>
      <c r="O41" s="64">
        <v>0</v>
      </c>
      <c r="P41" s="64">
        <v>0.87</v>
      </c>
      <c r="Q41" s="64">
        <v>9.89</v>
      </c>
      <c r="R41" s="198"/>
      <c r="S41" s="198"/>
      <c r="T41" s="198"/>
      <c r="U41" s="198"/>
    </row>
    <row r="42" spans="1:21" s="12" customFormat="1" x14ac:dyDescent="0.25">
      <c r="A42" s="214" t="s">
        <v>857</v>
      </c>
      <c r="B42" s="64">
        <v>19.100000000000001</v>
      </c>
      <c r="C42" s="64">
        <v>56.48</v>
      </c>
      <c r="D42" s="64">
        <v>44.74</v>
      </c>
      <c r="E42" s="64">
        <v>1.19</v>
      </c>
      <c r="F42" s="64">
        <v>3.34</v>
      </c>
      <c r="G42" s="64">
        <v>79.12</v>
      </c>
      <c r="H42" s="64">
        <v>24.28</v>
      </c>
      <c r="I42" s="64">
        <v>9.3000000000000007</v>
      </c>
      <c r="J42" s="64">
        <v>0.45</v>
      </c>
      <c r="K42" s="64">
        <v>251.02</v>
      </c>
      <c r="L42" s="64">
        <v>25.75</v>
      </c>
      <c r="M42" s="64">
        <v>40.840000000000003</v>
      </c>
      <c r="N42" s="64">
        <v>92</v>
      </c>
      <c r="O42" s="64">
        <v>0</v>
      </c>
      <c r="P42" s="64">
        <v>0.85</v>
      </c>
      <c r="Q42" s="64">
        <v>10.02</v>
      </c>
      <c r="R42" s="198"/>
      <c r="S42" s="198"/>
      <c r="T42" s="198"/>
      <c r="U42" s="198"/>
    </row>
    <row r="43" spans="1:21" s="12" customFormat="1" x14ac:dyDescent="0.25">
      <c r="A43" s="214" t="s">
        <v>858</v>
      </c>
      <c r="B43" s="64">
        <v>16.260000000000002</v>
      </c>
      <c r="C43" s="64">
        <v>57.89</v>
      </c>
      <c r="D43" s="64">
        <v>43.2</v>
      </c>
      <c r="E43" s="64">
        <v>1.02</v>
      </c>
      <c r="F43" s="64">
        <v>3.54</v>
      </c>
      <c r="G43" s="64">
        <v>79.12</v>
      </c>
      <c r="H43" s="64">
        <v>24.28</v>
      </c>
      <c r="I43" s="64">
        <v>9.06</v>
      </c>
      <c r="J43" s="64">
        <v>0.6</v>
      </c>
      <c r="K43" s="64">
        <v>210.64</v>
      </c>
      <c r="L43" s="64">
        <v>24.69</v>
      </c>
      <c r="M43" s="64">
        <v>49.18</v>
      </c>
      <c r="N43" s="64">
        <v>103</v>
      </c>
      <c r="O43" s="64">
        <v>0</v>
      </c>
      <c r="P43" s="64">
        <v>0.82</v>
      </c>
      <c r="Q43" s="64">
        <v>9.92</v>
      </c>
      <c r="R43" s="198"/>
      <c r="S43" s="198"/>
      <c r="T43" s="198"/>
      <c r="U43" s="198"/>
    </row>
    <row r="44" spans="1:21" s="12" customFormat="1" x14ac:dyDescent="0.25">
      <c r="A44" s="214" t="s">
        <v>859</v>
      </c>
      <c r="B44" s="64">
        <v>13.59</v>
      </c>
      <c r="C44" s="64">
        <v>58.63</v>
      </c>
      <c r="D44" s="64">
        <v>41.45</v>
      </c>
      <c r="E44" s="64">
        <v>1.0900000000000001</v>
      </c>
      <c r="F44" s="64">
        <v>3.4</v>
      </c>
      <c r="G44" s="64">
        <v>79.12</v>
      </c>
      <c r="H44" s="64">
        <v>24.28</v>
      </c>
      <c r="I44" s="64">
        <v>8.7200000000000006</v>
      </c>
      <c r="J44" s="64">
        <v>0.34</v>
      </c>
      <c r="K44" s="64">
        <v>211.81</v>
      </c>
      <c r="L44" s="64">
        <v>25.73</v>
      </c>
      <c r="M44" s="64">
        <v>39.39</v>
      </c>
      <c r="N44" s="64">
        <v>139.80000000000001</v>
      </c>
      <c r="O44" s="64">
        <v>0</v>
      </c>
      <c r="P44" s="64">
        <v>0.82</v>
      </c>
      <c r="Q44" s="64">
        <v>9.8800000000000008</v>
      </c>
      <c r="R44" s="198"/>
      <c r="S44" s="198"/>
      <c r="T44" s="198"/>
      <c r="U44" s="198"/>
    </row>
    <row r="45" spans="1:21" s="12" customFormat="1" x14ac:dyDescent="0.25">
      <c r="A45" s="214" t="s">
        <v>860</v>
      </c>
      <c r="B45" s="64">
        <v>11.58</v>
      </c>
      <c r="C45" s="64">
        <v>58.77</v>
      </c>
      <c r="D45" s="64">
        <v>39.909999999999997</v>
      </c>
      <c r="E45" s="64">
        <v>1.08</v>
      </c>
      <c r="F45" s="64">
        <v>3.46</v>
      </c>
      <c r="G45" s="64">
        <v>88.94</v>
      </c>
      <c r="H45" s="64">
        <v>26.33</v>
      </c>
      <c r="I45" s="64">
        <v>8.5399999999999991</v>
      </c>
      <c r="J45" s="64">
        <v>0.16</v>
      </c>
      <c r="K45" s="64">
        <v>278.48</v>
      </c>
      <c r="L45" s="64">
        <v>26.34</v>
      </c>
      <c r="M45" s="64">
        <v>40.18</v>
      </c>
      <c r="N45" s="64">
        <v>150.4</v>
      </c>
      <c r="O45" s="64">
        <v>0</v>
      </c>
      <c r="P45" s="64">
        <v>0.81</v>
      </c>
      <c r="Q45" s="64">
        <v>9.99</v>
      </c>
      <c r="R45" s="198"/>
      <c r="S45" s="198"/>
      <c r="T45" s="198"/>
      <c r="U45" s="198"/>
    </row>
    <row r="46" spans="1:21" s="12" customFormat="1" x14ac:dyDescent="0.25">
      <c r="A46" s="214" t="s">
        <v>861</v>
      </c>
      <c r="B46" s="64">
        <v>11.2</v>
      </c>
      <c r="C46" s="64">
        <v>58.93</v>
      </c>
      <c r="D46" s="64">
        <v>39.700000000000003</v>
      </c>
      <c r="E46" s="64">
        <v>0.92</v>
      </c>
      <c r="F46" s="64">
        <v>3.6</v>
      </c>
      <c r="G46" s="64">
        <v>91.74</v>
      </c>
      <c r="H46" s="64">
        <v>26.92</v>
      </c>
      <c r="I46" s="64">
        <v>8.6</v>
      </c>
      <c r="J46" s="64">
        <v>0.34</v>
      </c>
      <c r="K46" s="64">
        <v>317.33999999999997</v>
      </c>
      <c r="L46" s="64">
        <v>26.9</v>
      </c>
      <c r="M46" s="64">
        <v>39.81</v>
      </c>
      <c r="N46" s="64">
        <v>184.8</v>
      </c>
      <c r="O46" s="64">
        <v>0</v>
      </c>
      <c r="P46" s="64">
        <v>0.83</v>
      </c>
      <c r="Q46" s="64">
        <v>9.57</v>
      </c>
      <c r="R46" s="198"/>
      <c r="S46" s="198"/>
      <c r="T46" s="198"/>
      <c r="U46" s="198"/>
    </row>
    <row r="47" spans="1:21" s="12" customFormat="1" x14ac:dyDescent="0.25">
      <c r="A47" s="214" t="s">
        <v>862</v>
      </c>
      <c r="B47" s="64">
        <v>11.45</v>
      </c>
      <c r="C47" s="64">
        <v>58.65</v>
      </c>
      <c r="D47" s="64">
        <v>39.75</v>
      </c>
      <c r="E47" s="64">
        <v>0.88</v>
      </c>
      <c r="F47" s="64">
        <v>3.5</v>
      </c>
      <c r="G47" s="64">
        <v>91.74</v>
      </c>
      <c r="H47" s="64">
        <v>26.92</v>
      </c>
      <c r="I47" s="64">
        <v>8.49</v>
      </c>
      <c r="J47" s="64">
        <v>0.51</v>
      </c>
      <c r="K47" s="64">
        <v>335.57</v>
      </c>
      <c r="L47" s="64">
        <v>28.76</v>
      </c>
      <c r="M47" s="64">
        <v>33.99</v>
      </c>
      <c r="N47" s="64">
        <v>314.10000000000002</v>
      </c>
      <c r="O47" s="64">
        <v>0</v>
      </c>
      <c r="P47" s="64">
        <v>0.86</v>
      </c>
      <c r="Q47" s="64">
        <v>9.9600000000000009</v>
      </c>
      <c r="R47" s="198"/>
      <c r="S47" s="198"/>
      <c r="T47" s="198"/>
      <c r="U47" s="198"/>
    </row>
    <row r="48" spans="1:21" s="12" customFormat="1" x14ac:dyDescent="0.25">
      <c r="A48" s="214" t="s">
        <v>863</v>
      </c>
      <c r="B48" s="64">
        <v>11.51</v>
      </c>
      <c r="C48" s="64">
        <v>55.49</v>
      </c>
      <c r="D48" s="64">
        <v>38.14</v>
      </c>
      <c r="E48" s="64">
        <v>0.99</v>
      </c>
      <c r="F48" s="64">
        <v>3.55</v>
      </c>
      <c r="G48" s="64">
        <v>91.74</v>
      </c>
      <c r="H48" s="64">
        <v>26.92</v>
      </c>
      <c r="I48" s="64">
        <v>8.56</v>
      </c>
      <c r="J48" s="64">
        <v>0.93</v>
      </c>
      <c r="K48" s="64">
        <v>2.2000000000000002</v>
      </c>
      <c r="L48" s="64">
        <v>29.8</v>
      </c>
      <c r="M48" s="64">
        <v>30.13</v>
      </c>
      <c r="N48" s="64">
        <v>230.4</v>
      </c>
      <c r="O48" s="64">
        <v>0</v>
      </c>
      <c r="P48" s="64">
        <v>0.88</v>
      </c>
      <c r="Q48" s="64">
        <v>9.75</v>
      </c>
      <c r="R48" s="198"/>
      <c r="S48" s="198"/>
      <c r="T48" s="198"/>
      <c r="U48" s="198"/>
    </row>
    <row r="49" spans="1:21" s="12" customFormat="1" x14ac:dyDescent="0.25">
      <c r="A49" s="214" t="s">
        <v>864</v>
      </c>
      <c r="B49" s="64">
        <v>11.65</v>
      </c>
      <c r="C49" s="64">
        <v>56.81</v>
      </c>
      <c r="D49" s="64">
        <v>38.94</v>
      </c>
      <c r="E49" s="64">
        <v>0.72</v>
      </c>
      <c r="F49" s="64">
        <v>3.35</v>
      </c>
      <c r="G49" s="64">
        <v>87.03</v>
      </c>
      <c r="H49" s="64">
        <v>27.73</v>
      </c>
      <c r="I49" s="64">
        <v>8.15</v>
      </c>
      <c r="J49" s="64">
        <v>0.73</v>
      </c>
      <c r="K49" s="64">
        <v>354.9</v>
      </c>
      <c r="L49" s="64">
        <v>29.43</v>
      </c>
      <c r="M49" s="64">
        <v>31.5</v>
      </c>
      <c r="N49" s="64">
        <v>120.9</v>
      </c>
      <c r="O49" s="64">
        <v>0</v>
      </c>
      <c r="P49" s="64">
        <v>0.9</v>
      </c>
      <c r="Q49" s="64">
        <v>9.6199999999999992</v>
      </c>
      <c r="R49" s="198"/>
      <c r="S49" s="198"/>
      <c r="T49" s="198"/>
      <c r="U49" s="198"/>
    </row>
    <row r="50" spans="1:21" s="12" customFormat="1" x14ac:dyDescent="0.25">
      <c r="A50" s="214" t="s">
        <v>865</v>
      </c>
      <c r="B50" s="64">
        <v>11.75</v>
      </c>
      <c r="C50" s="64">
        <v>58.18</v>
      </c>
      <c r="D50" s="64">
        <v>39.74</v>
      </c>
      <c r="E50" s="64">
        <v>0.74</v>
      </c>
      <c r="F50" s="64">
        <v>3.14</v>
      </c>
      <c r="G50" s="64">
        <v>85.69</v>
      </c>
      <c r="H50" s="64">
        <v>27.96</v>
      </c>
      <c r="I50" s="64">
        <v>8.49</v>
      </c>
      <c r="J50" s="64">
        <v>1.08</v>
      </c>
      <c r="K50" s="64">
        <v>358.7</v>
      </c>
      <c r="L50" s="64">
        <v>28.25</v>
      </c>
      <c r="M50" s="64">
        <v>31.83</v>
      </c>
      <c r="N50" s="64">
        <v>85.2</v>
      </c>
      <c r="O50" s="64">
        <v>0</v>
      </c>
      <c r="P50" s="64">
        <v>0.91</v>
      </c>
      <c r="Q50" s="64">
        <v>9.81</v>
      </c>
      <c r="R50" s="198"/>
      <c r="S50" s="198"/>
      <c r="T50" s="198"/>
      <c r="U50" s="198"/>
    </row>
    <row r="51" spans="1:21" s="12" customFormat="1" x14ac:dyDescent="0.25">
      <c r="A51" s="214" t="s">
        <v>866</v>
      </c>
      <c r="B51" s="64">
        <v>11.65</v>
      </c>
      <c r="C51" s="64">
        <v>59.15</v>
      </c>
      <c r="D51" s="64">
        <v>40.17</v>
      </c>
      <c r="E51" s="64">
        <v>0.85</v>
      </c>
      <c r="F51" s="64">
        <v>3.18</v>
      </c>
      <c r="G51" s="64">
        <v>85.69</v>
      </c>
      <c r="H51" s="64">
        <v>27.96</v>
      </c>
      <c r="I51" s="64">
        <v>9.31</v>
      </c>
      <c r="J51" s="64">
        <v>0.67</v>
      </c>
      <c r="K51" s="64">
        <v>358.99</v>
      </c>
      <c r="L51" s="64">
        <v>27.77</v>
      </c>
      <c r="M51" s="64">
        <v>32.9</v>
      </c>
      <c r="N51" s="64">
        <v>71.099999999999994</v>
      </c>
      <c r="O51" s="64">
        <v>0</v>
      </c>
      <c r="P51" s="64">
        <v>0.93</v>
      </c>
      <c r="Q51" s="64">
        <v>9.7799999999999994</v>
      </c>
      <c r="R51" s="198"/>
      <c r="S51" s="198"/>
      <c r="T51" s="198"/>
      <c r="U51" s="198"/>
    </row>
    <row r="52" spans="1:21" s="12" customFormat="1" x14ac:dyDescent="0.25">
      <c r="A52" s="214" t="s">
        <v>867</v>
      </c>
      <c r="B52" s="64">
        <v>11.9</v>
      </c>
      <c r="C52" s="64">
        <v>59.57</v>
      </c>
      <c r="D52" s="64">
        <v>40.590000000000003</v>
      </c>
      <c r="E52" s="64">
        <v>0.82</v>
      </c>
      <c r="F52" s="64">
        <v>3.3</v>
      </c>
      <c r="G52" s="64">
        <v>85.69</v>
      </c>
      <c r="H52" s="64">
        <v>27.96</v>
      </c>
      <c r="I52" s="64">
        <v>9.66</v>
      </c>
      <c r="J52" s="64">
        <v>1.21</v>
      </c>
      <c r="K52" s="64">
        <v>0.01</v>
      </c>
      <c r="L52" s="64">
        <v>27.41</v>
      </c>
      <c r="M52" s="64">
        <v>36.79</v>
      </c>
      <c r="N52" s="64">
        <v>71.5</v>
      </c>
      <c r="O52" s="64">
        <v>0</v>
      </c>
      <c r="P52" s="64">
        <v>0.95</v>
      </c>
      <c r="Q52" s="64">
        <v>9.77</v>
      </c>
      <c r="R52" s="198"/>
      <c r="S52" s="198"/>
      <c r="T52" s="198"/>
      <c r="U52" s="198"/>
    </row>
    <row r="53" spans="1:21" s="12" customFormat="1" x14ac:dyDescent="0.25">
      <c r="A53" s="214" t="s">
        <v>868</v>
      </c>
      <c r="B53" s="64">
        <v>11.92</v>
      </c>
      <c r="C53" s="64">
        <v>60.3</v>
      </c>
      <c r="D53" s="64">
        <v>40.98</v>
      </c>
      <c r="E53" s="64">
        <v>0.84</v>
      </c>
      <c r="F53" s="64">
        <v>3.42</v>
      </c>
      <c r="G53" s="64">
        <v>88.41</v>
      </c>
      <c r="H53" s="64">
        <v>27.2</v>
      </c>
      <c r="I53" s="64">
        <v>9.98</v>
      </c>
      <c r="J53" s="64">
        <v>0.57999999999999996</v>
      </c>
      <c r="K53" s="64">
        <v>13.15</v>
      </c>
      <c r="L53" s="64">
        <v>27.03</v>
      </c>
      <c r="M53" s="64">
        <v>34.68</v>
      </c>
      <c r="N53" s="64">
        <v>70</v>
      </c>
      <c r="O53" s="64">
        <v>0</v>
      </c>
      <c r="P53" s="64">
        <v>0.96</v>
      </c>
      <c r="Q53" s="64">
        <v>9.8800000000000008</v>
      </c>
      <c r="R53" s="198"/>
      <c r="S53" s="198"/>
      <c r="T53" s="198"/>
      <c r="U53" s="198"/>
    </row>
    <row r="54" spans="1:21" s="12" customFormat="1" x14ac:dyDescent="0.25">
      <c r="A54" s="214" t="s">
        <v>869</v>
      </c>
      <c r="B54" s="64">
        <v>11.64</v>
      </c>
      <c r="C54" s="64">
        <v>60.76</v>
      </c>
      <c r="D54" s="64">
        <v>41</v>
      </c>
      <c r="E54" s="64">
        <v>1.25</v>
      </c>
      <c r="F54" s="64">
        <v>3.33</v>
      </c>
      <c r="G54" s="64">
        <v>89.19</v>
      </c>
      <c r="H54" s="64">
        <v>26.98</v>
      </c>
      <c r="I54" s="64">
        <v>10.28</v>
      </c>
      <c r="J54" s="64">
        <v>0.76</v>
      </c>
      <c r="K54" s="64">
        <v>17.309999999999999</v>
      </c>
      <c r="L54" s="64">
        <v>26.91</v>
      </c>
      <c r="M54" s="64">
        <v>34.520000000000003</v>
      </c>
      <c r="N54" s="64">
        <v>66.599999999999994</v>
      </c>
      <c r="O54" s="64">
        <v>0</v>
      </c>
      <c r="P54" s="64">
        <v>0.97</v>
      </c>
      <c r="Q54" s="64">
        <v>9.86</v>
      </c>
      <c r="R54" s="198"/>
      <c r="S54" s="198"/>
      <c r="T54" s="198"/>
      <c r="U54" s="198"/>
    </row>
    <row r="55" spans="1:21" s="12" customFormat="1" x14ac:dyDescent="0.25">
      <c r="A55" s="214" t="s">
        <v>870</v>
      </c>
      <c r="B55" s="64">
        <v>11.51</v>
      </c>
      <c r="C55" s="64">
        <v>59.67</v>
      </c>
      <c r="D55" s="64">
        <v>40.33</v>
      </c>
      <c r="E55" s="64">
        <v>1.25</v>
      </c>
      <c r="F55" s="64">
        <v>3.2</v>
      </c>
      <c r="G55" s="64">
        <v>89.19</v>
      </c>
      <c r="H55" s="64">
        <v>26.98</v>
      </c>
      <c r="I55" s="64">
        <v>10.34</v>
      </c>
      <c r="J55" s="64">
        <v>1.24</v>
      </c>
      <c r="K55" s="64">
        <v>2.52</v>
      </c>
      <c r="L55" s="64">
        <v>27.22</v>
      </c>
      <c r="M55" s="64">
        <v>34.159999999999997</v>
      </c>
      <c r="N55" s="64">
        <v>109.7</v>
      </c>
      <c r="O55" s="64">
        <v>0</v>
      </c>
      <c r="P55" s="64">
        <v>0.99</v>
      </c>
      <c r="Q55" s="64">
        <v>9.75</v>
      </c>
      <c r="R55" s="198"/>
      <c r="S55" s="198"/>
      <c r="T55" s="198"/>
      <c r="U55" s="198"/>
    </row>
    <row r="56" spans="1:21" s="12" customFormat="1" x14ac:dyDescent="0.25">
      <c r="A56" s="214" t="s">
        <v>871</v>
      </c>
      <c r="B56" s="64">
        <v>11.93</v>
      </c>
      <c r="C56" s="64">
        <v>59.38</v>
      </c>
      <c r="D56" s="64">
        <v>40.51</v>
      </c>
      <c r="E56" s="64">
        <v>2.0099999999999998</v>
      </c>
      <c r="F56" s="64">
        <v>3.48</v>
      </c>
      <c r="G56" s="64">
        <v>89.19</v>
      </c>
      <c r="H56" s="64">
        <v>26.98</v>
      </c>
      <c r="I56" s="64">
        <v>10.48</v>
      </c>
      <c r="J56" s="64">
        <v>1.17</v>
      </c>
      <c r="K56" s="64">
        <v>358.89</v>
      </c>
      <c r="L56" s="64">
        <v>28.03</v>
      </c>
      <c r="M56" s="64">
        <v>33.39</v>
      </c>
      <c r="N56" s="64">
        <v>205</v>
      </c>
      <c r="O56" s="64">
        <v>0</v>
      </c>
      <c r="P56" s="64">
        <v>1.02</v>
      </c>
      <c r="Q56" s="64">
        <v>9.82</v>
      </c>
      <c r="R56" s="198"/>
      <c r="S56" s="198"/>
      <c r="T56" s="198"/>
      <c r="U56" s="198"/>
    </row>
    <row r="57" spans="1:21" s="12" customFormat="1" x14ac:dyDescent="0.25">
      <c r="A57" s="214" t="s">
        <v>872</v>
      </c>
      <c r="B57" s="64">
        <v>12.26</v>
      </c>
      <c r="C57" s="64">
        <v>60.96</v>
      </c>
      <c r="D57" s="64">
        <v>41.6</v>
      </c>
      <c r="E57" s="64">
        <v>2.48</v>
      </c>
      <c r="F57" s="64">
        <v>3.41</v>
      </c>
      <c r="G57" s="64">
        <v>102.55</v>
      </c>
      <c r="H57" s="64">
        <v>29.32</v>
      </c>
      <c r="I57" s="64">
        <v>10.95</v>
      </c>
      <c r="J57" s="64">
        <v>1.18</v>
      </c>
      <c r="K57" s="64">
        <v>0.19</v>
      </c>
      <c r="L57" s="64">
        <v>28.38</v>
      </c>
      <c r="M57" s="64">
        <v>31.78</v>
      </c>
      <c r="N57" s="64">
        <v>154.4</v>
      </c>
      <c r="O57" s="64">
        <v>0</v>
      </c>
      <c r="P57" s="64">
        <v>1.06</v>
      </c>
      <c r="Q57" s="64">
        <v>9.82</v>
      </c>
      <c r="R57" s="198"/>
      <c r="S57" s="198"/>
      <c r="T57" s="198"/>
      <c r="U57" s="198"/>
    </row>
    <row r="58" spans="1:21" s="12" customFormat="1" x14ac:dyDescent="0.25">
      <c r="A58" s="214" t="s">
        <v>873</v>
      </c>
      <c r="B58" s="64">
        <v>12.3</v>
      </c>
      <c r="C58" s="64">
        <v>62.81</v>
      </c>
      <c r="D58" s="64">
        <v>42.6</v>
      </c>
      <c r="E58" s="64">
        <v>2.64</v>
      </c>
      <c r="F58" s="64">
        <v>3.38</v>
      </c>
      <c r="G58" s="64">
        <v>106.37</v>
      </c>
      <c r="H58" s="64">
        <v>29.98</v>
      </c>
      <c r="I58" s="64">
        <v>10.65</v>
      </c>
      <c r="J58" s="64">
        <v>0.55000000000000004</v>
      </c>
      <c r="K58" s="64">
        <v>15.52</v>
      </c>
      <c r="L58" s="64">
        <v>28.49</v>
      </c>
      <c r="M58" s="64">
        <v>31.74</v>
      </c>
      <c r="N58" s="64">
        <v>215.3</v>
      </c>
      <c r="O58" s="64">
        <v>0</v>
      </c>
      <c r="P58" s="64">
        <v>1.08</v>
      </c>
      <c r="Q58" s="64">
        <v>9.76</v>
      </c>
      <c r="R58" s="198"/>
      <c r="S58" s="198"/>
      <c r="T58" s="198"/>
      <c r="U58" s="198"/>
    </row>
    <row r="59" spans="1:21" s="12" customFormat="1" x14ac:dyDescent="0.25">
      <c r="A59" s="214" t="s">
        <v>874</v>
      </c>
      <c r="B59" s="64">
        <v>12.5</v>
      </c>
      <c r="C59" s="64">
        <v>64.37</v>
      </c>
      <c r="D59" s="64">
        <v>43.58</v>
      </c>
      <c r="E59" s="64">
        <v>2.64</v>
      </c>
      <c r="F59" s="64">
        <v>3.41</v>
      </c>
      <c r="G59" s="64">
        <v>106.37</v>
      </c>
      <c r="H59" s="64">
        <v>29.98</v>
      </c>
      <c r="I59" s="64">
        <v>10.45</v>
      </c>
      <c r="J59" s="64">
        <v>0.63</v>
      </c>
      <c r="K59" s="64">
        <v>34.75</v>
      </c>
      <c r="L59" s="64">
        <v>28.13</v>
      </c>
      <c r="M59" s="64">
        <v>32.43</v>
      </c>
      <c r="N59" s="64">
        <v>117</v>
      </c>
      <c r="O59" s="64">
        <v>0</v>
      </c>
      <c r="P59" s="64">
        <v>1.07</v>
      </c>
      <c r="Q59" s="64">
        <v>9.83</v>
      </c>
      <c r="R59" s="198"/>
      <c r="S59" s="198"/>
      <c r="T59" s="198"/>
      <c r="U59" s="198"/>
    </row>
    <row r="60" spans="1:21" s="12" customFormat="1" x14ac:dyDescent="0.25">
      <c r="A60" s="214" t="s">
        <v>875</v>
      </c>
      <c r="B60" s="64">
        <v>11.99</v>
      </c>
      <c r="C60" s="64">
        <v>65.03</v>
      </c>
      <c r="D60" s="64">
        <v>43.51</v>
      </c>
      <c r="E60" s="64">
        <v>2.4900000000000002</v>
      </c>
      <c r="F60" s="64">
        <v>3.6</v>
      </c>
      <c r="G60" s="64">
        <v>106.37</v>
      </c>
      <c r="H60" s="64">
        <v>29.98</v>
      </c>
      <c r="I60" s="64">
        <v>10.38</v>
      </c>
      <c r="J60" s="64">
        <v>0.78</v>
      </c>
      <c r="K60" s="64">
        <v>58.4</v>
      </c>
      <c r="L60" s="64">
        <v>27.58</v>
      </c>
      <c r="M60" s="64">
        <v>36.35</v>
      </c>
      <c r="N60" s="64">
        <v>347.9</v>
      </c>
      <c r="O60" s="64">
        <v>0</v>
      </c>
      <c r="P60" s="64">
        <v>1.06</v>
      </c>
      <c r="Q60" s="64">
        <v>9.81</v>
      </c>
      <c r="R60" s="198"/>
      <c r="S60" s="198"/>
      <c r="T60" s="198"/>
      <c r="U60" s="198"/>
    </row>
    <row r="61" spans="1:21" s="12" customFormat="1" x14ac:dyDescent="0.25">
      <c r="A61" s="214" t="s">
        <v>876</v>
      </c>
      <c r="B61" s="64">
        <v>10.82</v>
      </c>
      <c r="C61" s="64">
        <v>64.47</v>
      </c>
      <c r="D61" s="64">
        <v>42.28</v>
      </c>
      <c r="E61" s="64">
        <v>2.48</v>
      </c>
      <c r="F61" s="64">
        <v>3.3</v>
      </c>
      <c r="G61" s="64">
        <v>100.68</v>
      </c>
      <c r="H61" s="64">
        <v>29.28</v>
      </c>
      <c r="I61" s="64">
        <v>10.34</v>
      </c>
      <c r="J61" s="64">
        <v>0.92</v>
      </c>
      <c r="K61" s="64">
        <v>10.7</v>
      </c>
      <c r="L61" s="64">
        <v>28.42</v>
      </c>
      <c r="M61" s="64">
        <v>33.97</v>
      </c>
      <c r="N61" s="64">
        <v>418.8</v>
      </c>
      <c r="O61" s="64">
        <v>0</v>
      </c>
      <c r="P61" s="64">
        <v>0.98</v>
      </c>
      <c r="Q61" s="64">
        <v>9.74</v>
      </c>
      <c r="R61" s="198"/>
      <c r="S61" s="198"/>
      <c r="T61" s="198"/>
      <c r="U61" s="198"/>
    </row>
    <row r="62" spans="1:21" s="12" customFormat="1" x14ac:dyDescent="0.25">
      <c r="A62" s="214" t="s">
        <v>877</v>
      </c>
      <c r="B62" s="64">
        <v>9.32</v>
      </c>
      <c r="C62" s="64">
        <v>63.75</v>
      </c>
      <c r="D62" s="64">
        <v>40.700000000000003</v>
      </c>
      <c r="E62" s="64">
        <v>2.27</v>
      </c>
      <c r="F62" s="64">
        <v>3.16</v>
      </c>
      <c r="G62" s="64">
        <v>99.06</v>
      </c>
      <c r="H62" s="64">
        <v>29.08</v>
      </c>
      <c r="I62" s="64">
        <v>10.31</v>
      </c>
      <c r="J62" s="64">
        <v>0.8</v>
      </c>
      <c r="K62" s="64">
        <v>57.98</v>
      </c>
      <c r="L62" s="64">
        <v>28.7</v>
      </c>
      <c r="M62" s="64">
        <v>34.24</v>
      </c>
      <c r="N62" s="64">
        <v>530.79999999999995</v>
      </c>
      <c r="O62" s="64">
        <v>0</v>
      </c>
      <c r="P62" s="64">
        <v>0.99</v>
      </c>
      <c r="Q62" s="64">
        <v>9.8699999999999992</v>
      </c>
      <c r="R62" s="198"/>
      <c r="S62" s="198"/>
      <c r="T62" s="198"/>
      <c r="U62" s="198"/>
    </row>
    <row r="63" spans="1:21" s="12" customFormat="1" x14ac:dyDescent="0.25">
      <c r="A63" s="214" t="s">
        <v>878</v>
      </c>
      <c r="B63" s="64">
        <v>7.83</v>
      </c>
      <c r="C63" s="64">
        <v>62.86</v>
      </c>
      <c r="D63" s="64">
        <v>39.04</v>
      </c>
      <c r="E63" s="64">
        <v>2.5499999999999998</v>
      </c>
      <c r="F63" s="64">
        <v>3.67</v>
      </c>
      <c r="G63" s="64">
        <v>99.06</v>
      </c>
      <c r="H63" s="64">
        <v>29.08</v>
      </c>
      <c r="I63" s="64">
        <v>10.16</v>
      </c>
      <c r="J63" s="64">
        <v>1</v>
      </c>
      <c r="K63" s="64">
        <v>20.22</v>
      </c>
      <c r="L63" s="64">
        <v>29.32</v>
      </c>
      <c r="M63" s="64">
        <v>31.18</v>
      </c>
      <c r="N63" s="64">
        <v>526.5</v>
      </c>
      <c r="O63" s="64">
        <v>0</v>
      </c>
      <c r="P63" s="64">
        <v>0.95</v>
      </c>
      <c r="Q63" s="64">
        <v>9.75</v>
      </c>
      <c r="R63" s="198"/>
      <c r="S63" s="198"/>
      <c r="T63" s="198"/>
      <c r="U63" s="198"/>
    </row>
    <row r="64" spans="1:21" s="12" customFormat="1" x14ac:dyDescent="0.25">
      <c r="A64" s="214" t="s">
        <v>879</v>
      </c>
      <c r="B64" s="64">
        <v>6.21</v>
      </c>
      <c r="C64" s="64">
        <v>62.44</v>
      </c>
      <c r="D64" s="64">
        <v>37.520000000000003</v>
      </c>
      <c r="E64" s="64">
        <v>2.09</v>
      </c>
      <c r="F64" s="64">
        <v>4.1100000000000003</v>
      </c>
      <c r="G64" s="64">
        <v>99.06</v>
      </c>
      <c r="H64" s="64">
        <v>29.08</v>
      </c>
      <c r="I64" s="64">
        <v>9.98</v>
      </c>
      <c r="J64" s="64">
        <v>1.1399999999999999</v>
      </c>
      <c r="K64" s="64">
        <v>42.33</v>
      </c>
      <c r="L64" s="64">
        <v>29.84</v>
      </c>
      <c r="M64" s="64">
        <v>29.83</v>
      </c>
      <c r="N64" s="64">
        <v>639</v>
      </c>
      <c r="O64" s="64">
        <v>0</v>
      </c>
      <c r="P64" s="64">
        <v>0.91</v>
      </c>
      <c r="Q64" s="64">
        <v>9.81</v>
      </c>
      <c r="R64" s="198"/>
      <c r="S64" s="198"/>
      <c r="T64" s="198"/>
      <c r="U64" s="198"/>
    </row>
    <row r="65" spans="1:21" s="12" customFormat="1" x14ac:dyDescent="0.25">
      <c r="A65" s="214" t="s">
        <v>880</v>
      </c>
      <c r="B65" s="64">
        <v>4.79</v>
      </c>
      <c r="C65" s="64">
        <v>61.77</v>
      </c>
      <c r="D65" s="64">
        <v>36.03</v>
      </c>
      <c r="E65" s="64">
        <v>2.38</v>
      </c>
      <c r="F65" s="64">
        <v>3.89</v>
      </c>
      <c r="G65" s="64">
        <v>79.52</v>
      </c>
      <c r="H65" s="64">
        <v>25.8</v>
      </c>
      <c r="I65" s="64">
        <v>9.81</v>
      </c>
      <c r="J65" s="64">
        <v>1.0900000000000001</v>
      </c>
      <c r="K65" s="64">
        <v>9.16</v>
      </c>
      <c r="L65" s="64">
        <v>30.77</v>
      </c>
      <c r="M65" s="64">
        <v>28.55</v>
      </c>
      <c r="N65" s="64">
        <v>674.4</v>
      </c>
      <c r="O65" s="64">
        <v>0</v>
      </c>
      <c r="P65" s="64">
        <v>0.86</v>
      </c>
      <c r="Q65" s="64">
        <v>9.75</v>
      </c>
      <c r="R65" s="198"/>
      <c r="S65" s="198"/>
      <c r="T65" s="198"/>
      <c r="U65" s="198"/>
    </row>
    <row r="66" spans="1:21" s="12" customFormat="1" x14ac:dyDescent="0.25">
      <c r="A66" s="214" t="s">
        <v>881</v>
      </c>
      <c r="B66" s="64">
        <v>3.62</v>
      </c>
      <c r="C66" s="64">
        <v>61.03</v>
      </c>
      <c r="D66" s="64">
        <v>34.71</v>
      </c>
      <c r="E66" s="64">
        <v>2.4</v>
      </c>
      <c r="F66" s="64">
        <v>4.03</v>
      </c>
      <c r="G66" s="64">
        <v>73.94</v>
      </c>
      <c r="H66" s="64">
        <v>24.86</v>
      </c>
      <c r="I66" s="64">
        <v>9.6199999999999992</v>
      </c>
      <c r="J66" s="64">
        <v>1.47</v>
      </c>
      <c r="K66" s="64">
        <v>9.49</v>
      </c>
      <c r="L66" s="64">
        <v>31.22</v>
      </c>
      <c r="M66" s="64">
        <v>24.77</v>
      </c>
      <c r="N66" s="64">
        <v>597.20000000000005</v>
      </c>
      <c r="O66" s="64">
        <v>0</v>
      </c>
      <c r="P66" s="64">
        <v>0.81</v>
      </c>
      <c r="Q66" s="64">
        <v>9.69</v>
      </c>
      <c r="R66" s="198"/>
      <c r="S66" s="198"/>
      <c r="T66" s="198"/>
      <c r="U66" s="198"/>
    </row>
    <row r="67" spans="1:21" s="12" customFormat="1" x14ac:dyDescent="0.25">
      <c r="A67" s="214" t="s">
        <v>882</v>
      </c>
      <c r="B67" s="64">
        <v>2.71</v>
      </c>
      <c r="C67" s="64">
        <v>60.26</v>
      </c>
      <c r="D67" s="64">
        <v>33.57</v>
      </c>
      <c r="E67" s="64">
        <v>2.16</v>
      </c>
      <c r="F67" s="64">
        <v>4.21</v>
      </c>
      <c r="G67" s="64">
        <v>73.94</v>
      </c>
      <c r="H67" s="64">
        <v>24.86</v>
      </c>
      <c r="I67" s="64">
        <v>9.4499999999999993</v>
      </c>
      <c r="J67" s="64">
        <v>1.48</v>
      </c>
      <c r="K67" s="64">
        <v>8.2200000000000006</v>
      </c>
      <c r="L67" s="64">
        <v>31.41</v>
      </c>
      <c r="M67" s="64">
        <v>23.88</v>
      </c>
      <c r="N67" s="64">
        <v>554.6</v>
      </c>
      <c r="O67" s="64">
        <v>0</v>
      </c>
      <c r="P67" s="64">
        <v>0.76</v>
      </c>
      <c r="Q67" s="64">
        <v>9.65</v>
      </c>
      <c r="R67" s="198"/>
      <c r="S67" s="198"/>
      <c r="T67" s="198"/>
      <c r="U67" s="198"/>
    </row>
    <row r="68" spans="1:21" s="12" customFormat="1" x14ac:dyDescent="0.25">
      <c r="A68" s="214" t="s">
        <v>883</v>
      </c>
      <c r="B68" s="64">
        <v>1.8</v>
      </c>
      <c r="C68" s="64">
        <v>60.25</v>
      </c>
      <c r="D68" s="64">
        <v>32.85</v>
      </c>
      <c r="E68" s="64">
        <v>2.19</v>
      </c>
      <c r="F68" s="64">
        <v>4.4400000000000004</v>
      </c>
      <c r="G68" s="64">
        <v>73.94</v>
      </c>
      <c r="H68" s="64">
        <v>24.86</v>
      </c>
      <c r="I68" s="64">
        <v>9.2899999999999991</v>
      </c>
      <c r="J68" s="64">
        <v>1.03</v>
      </c>
      <c r="K68" s="64">
        <v>39.979999999999997</v>
      </c>
      <c r="L68" s="64">
        <v>30.7</v>
      </c>
      <c r="M68" s="64">
        <v>25.53</v>
      </c>
      <c r="N68" s="64">
        <v>450.4</v>
      </c>
      <c r="O68" s="64">
        <v>0</v>
      </c>
      <c r="P68" s="64">
        <v>0.71</v>
      </c>
      <c r="Q68" s="64">
        <v>9.58</v>
      </c>
      <c r="R68" s="198"/>
      <c r="S68" s="198"/>
      <c r="T68" s="198"/>
      <c r="U68" s="198"/>
    </row>
    <row r="69" spans="1:21" s="12" customFormat="1" x14ac:dyDescent="0.25">
      <c r="A69" s="214" t="s">
        <v>884</v>
      </c>
      <c r="B69" s="64">
        <v>1.08</v>
      </c>
      <c r="C69" s="64">
        <v>59.91</v>
      </c>
      <c r="D69" s="64">
        <v>32.090000000000003</v>
      </c>
      <c r="E69" s="64">
        <v>1.92</v>
      </c>
      <c r="F69" s="64">
        <v>4.34</v>
      </c>
      <c r="G69" s="64">
        <v>65.06</v>
      </c>
      <c r="H69" s="64">
        <v>22.53</v>
      </c>
      <c r="I69" s="64">
        <v>8.94</v>
      </c>
      <c r="J69" s="64">
        <v>0.73</v>
      </c>
      <c r="K69" s="64">
        <v>13.08</v>
      </c>
      <c r="L69" s="64">
        <v>30.92</v>
      </c>
      <c r="M69" s="64">
        <v>25.95</v>
      </c>
      <c r="N69" s="64">
        <v>349.8</v>
      </c>
      <c r="O69" s="64">
        <v>0</v>
      </c>
      <c r="P69" s="64">
        <v>0.68</v>
      </c>
      <c r="Q69" s="64">
        <v>9.64</v>
      </c>
      <c r="R69" s="198"/>
      <c r="S69" s="198"/>
      <c r="T69" s="198"/>
      <c r="U69" s="198"/>
    </row>
    <row r="70" spans="1:21" s="12" customFormat="1" x14ac:dyDescent="0.25">
      <c r="A70" s="214" t="s">
        <v>885</v>
      </c>
      <c r="B70" s="64">
        <v>0.93</v>
      </c>
      <c r="C70" s="64">
        <v>58.97</v>
      </c>
      <c r="D70" s="64">
        <v>31.47</v>
      </c>
      <c r="E70" s="64">
        <v>2.0699999999999998</v>
      </c>
      <c r="F70" s="64">
        <v>4.0999999999999996</v>
      </c>
      <c r="G70" s="64">
        <v>62.53</v>
      </c>
      <c r="H70" s="64">
        <v>21.86</v>
      </c>
      <c r="I70" s="64">
        <v>8.6999999999999993</v>
      </c>
      <c r="J70" s="64">
        <v>0.93</v>
      </c>
      <c r="K70" s="64">
        <v>43.25</v>
      </c>
      <c r="L70" s="64">
        <v>30.64</v>
      </c>
      <c r="M70" s="64">
        <v>25.75</v>
      </c>
      <c r="N70" s="64">
        <v>315.39999999999998</v>
      </c>
      <c r="O70" s="64">
        <v>0</v>
      </c>
      <c r="P70" s="64">
        <v>0.65</v>
      </c>
      <c r="Q70" s="64">
        <v>9.49</v>
      </c>
      <c r="R70" s="198"/>
      <c r="S70" s="198"/>
      <c r="T70" s="198"/>
      <c r="U70" s="198"/>
    </row>
    <row r="71" spans="1:21" s="12" customFormat="1" x14ac:dyDescent="0.25">
      <c r="A71" s="214" t="s">
        <v>886</v>
      </c>
      <c r="B71" s="64">
        <v>0.88</v>
      </c>
      <c r="C71" s="64">
        <v>57.59</v>
      </c>
      <c r="D71" s="64">
        <v>30.72</v>
      </c>
      <c r="E71" s="64">
        <v>2.08</v>
      </c>
      <c r="F71" s="64">
        <v>4.22</v>
      </c>
      <c r="G71" s="64">
        <v>62.53</v>
      </c>
      <c r="H71" s="64">
        <v>21.86</v>
      </c>
      <c r="I71" s="64">
        <v>8.64</v>
      </c>
      <c r="J71" s="64">
        <v>2.27</v>
      </c>
      <c r="K71" s="64">
        <v>0.8</v>
      </c>
      <c r="L71" s="64">
        <v>30.75</v>
      </c>
      <c r="M71" s="64">
        <v>27.08</v>
      </c>
      <c r="N71" s="64">
        <v>243.2</v>
      </c>
      <c r="O71" s="64">
        <v>0</v>
      </c>
      <c r="P71" s="64">
        <v>0.62</v>
      </c>
      <c r="Q71" s="64">
        <v>9.64</v>
      </c>
      <c r="R71" s="198"/>
      <c r="S71" s="198"/>
      <c r="T71" s="198"/>
      <c r="U71" s="198"/>
    </row>
    <row r="72" spans="1:21" s="12" customFormat="1" x14ac:dyDescent="0.25">
      <c r="A72" s="214" t="s">
        <v>887</v>
      </c>
      <c r="B72" s="64">
        <v>0.52</v>
      </c>
      <c r="C72" s="64">
        <v>56.05</v>
      </c>
      <c r="D72" s="64">
        <v>29.62</v>
      </c>
      <c r="E72" s="64">
        <v>1.0900000000000001</v>
      </c>
      <c r="F72" s="64">
        <v>5.14</v>
      </c>
      <c r="G72" s="64">
        <v>62.53</v>
      </c>
      <c r="H72" s="64">
        <v>21.86</v>
      </c>
      <c r="I72" s="64">
        <v>8.75</v>
      </c>
      <c r="J72" s="64">
        <v>3.05</v>
      </c>
      <c r="K72" s="64">
        <v>1.68</v>
      </c>
      <c r="L72" s="64">
        <v>29.81</v>
      </c>
      <c r="M72" s="64">
        <v>28.87</v>
      </c>
      <c r="N72" s="64">
        <v>169.9</v>
      </c>
      <c r="O72" s="64">
        <v>0</v>
      </c>
      <c r="P72" s="64">
        <v>0.57999999999999996</v>
      </c>
      <c r="Q72" s="64">
        <v>9.59</v>
      </c>
      <c r="R72" s="198"/>
      <c r="S72" s="198"/>
      <c r="T72" s="198"/>
      <c r="U72" s="198"/>
    </row>
    <row r="73" spans="1:21" s="12" customFormat="1" x14ac:dyDescent="0.25">
      <c r="A73" s="214" t="s">
        <v>888</v>
      </c>
      <c r="B73" s="64">
        <v>0.11</v>
      </c>
      <c r="C73" s="64">
        <v>54.47</v>
      </c>
      <c r="D73" s="64">
        <v>28.47</v>
      </c>
      <c r="E73" s="64">
        <v>0.78</v>
      </c>
      <c r="F73" s="64">
        <v>5.9</v>
      </c>
      <c r="G73" s="64">
        <v>58.05</v>
      </c>
      <c r="H73" s="64">
        <v>19.38</v>
      </c>
      <c r="I73" s="64">
        <v>8.69</v>
      </c>
      <c r="J73" s="64">
        <v>2.4700000000000002</v>
      </c>
      <c r="K73" s="64">
        <v>3.17</v>
      </c>
      <c r="L73" s="64">
        <v>29.14</v>
      </c>
      <c r="M73" s="64">
        <v>31.77</v>
      </c>
      <c r="N73" s="64">
        <v>170.9</v>
      </c>
      <c r="O73" s="64">
        <v>0</v>
      </c>
      <c r="P73" s="64">
        <v>0.54</v>
      </c>
      <c r="Q73" s="64">
        <v>9.2799999999999994</v>
      </c>
      <c r="R73" s="198"/>
      <c r="S73" s="198"/>
      <c r="T73" s="198"/>
      <c r="U73" s="198"/>
    </row>
    <row r="74" spans="1:21" s="12" customFormat="1" x14ac:dyDescent="0.25">
      <c r="A74" s="214" t="s">
        <v>889</v>
      </c>
      <c r="B74" s="64">
        <v>0.1</v>
      </c>
      <c r="C74" s="64">
        <v>49.64</v>
      </c>
      <c r="D74" s="64">
        <v>25.93</v>
      </c>
      <c r="E74" s="64">
        <v>1.21</v>
      </c>
      <c r="F74" s="64">
        <v>6.18</v>
      </c>
      <c r="G74" s="64">
        <v>56.77</v>
      </c>
      <c r="H74" s="64">
        <v>18.670000000000002</v>
      </c>
      <c r="I74" s="64">
        <v>8.31</v>
      </c>
      <c r="J74" s="64">
        <v>2.99</v>
      </c>
      <c r="K74" s="64">
        <v>359.47</v>
      </c>
      <c r="L74" s="64">
        <v>28.87</v>
      </c>
      <c r="M74" s="64">
        <v>33.33</v>
      </c>
      <c r="N74" s="64">
        <v>160.5</v>
      </c>
      <c r="O74" s="64">
        <v>0</v>
      </c>
      <c r="P74" s="64">
        <v>0.51</v>
      </c>
      <c r="Q74" s="64">
        <v>9.5</v>
      </c>
      <c r="R74" s="198"/>
      <c r="S74" s="198"/>
      <c r="T74" s="198"/>
      <c r="U74" s="198"/>
    </row>
    <row r="75" spans="1:21" s="12" customFormat="1" x14ac:dyDescent="0.25">
      <c r="A75" s="214" t="s">
        <v>890</v>
      </c>
      <c r="B75" s="64">
        <v>0.1</v>
      </c>
      <c r="C75" s="64">
        <v>48.47</v>
      </c>
      <c r="D75" s="64">
        <v>25.32</v>
      </c>
      <c r="E75" s="64">
        <v>1.2</v>
      </c>
      <c r="F75" s="64">
        <v>6.11</v>
      </c>
      <c r="G75" s="64">
        <v>56.77</v>
      </c>
      <c r="H75" s="64">
        <v>18.670000000000002</v>
      </c>
      <c r="I75" s="64">
        <v>7.87</v>
      </c>
      <c r="J75" s="64">
        <v>1.98</v>
      </c>
      <c r="K75" s="64">
        <v>4.05</v>
      </c>
      <c r="L75" s="64">
        <v>28.45</v>
      </c>
      <c r="M75" s="64">
        <v>32.729999999999997</v>
      </c>
      <c r="N75" s="64">
        <v>120.7</v>
      </c>
      <c r="O75" s="64">
        <v>0</v>
      </c>
      <c r="P75" s="64">
        <v>0.48</v>
      </c>
      <c r="Q75" s="64">
        <v>9.5299999999999994</v>
      </c>
      <c r="R75" s="198"/>
      <c r="S75" s="198"/>
      <c r="T75" s="198"/>
      <c r="U75" s="198"/>
    </row>
    <row r="76" spans="1:21" s="12" customFormat="1" x14ac:dyDescent="0.25">
      <c r="A76" s="214" t="s">
        <v>891</v>
      </c>
      <c r="B76" s="64">
        <v>0.1</v>
      </c>
      <c r="C76" s="64">
        <v>49.07</v>
      </c>
      <c r="D76" s="64">
        <v>25.64</v>
      </c>
      <c r="E76" s="64">
        <v>1.1299999999999999</v>
      </c>
      <c r="F76" s="64">
        <v>5.3</v>
      </c>
      <c r="G76" s="64">
        <v>56.77</v>
      </c>
      <c r="H76" s="64">
        <v>18.670000000000002</v>
      </c>
      <c r="I76" s="64">
        <v>7.47</v>
      </c>
      <c r="J76" s="64">
        <v>1.53</v>
      </c>
      <c r="K76" s="64">
        <v>3.27</v>
      </c>
      <c r="L76" s="64">
        <v>27.98</v>
      </c>
      <c r="M76" s="64">
        <v>32.18</v>
      </c>
      <c r="N76" s="64">
        <v>113</v>
      </c>
      <c r="O76" s="64">
        <v>0</v>
      </c>
      <c r="P76" s="64">
        <v>0.47</v>
      </c>
      <c r="Q76" s="64">
        <v>9.52</v>
      </c>
      <c r="R76" s="198"/>
      <c r="S76" s="198"/>
      <c r="T76" s="198"/>
      <c r="U76" s="198"/>
    </row>
    <row r="77" spans="1:21" s="12" customFormat="1" x14ac:dyDescent="0.25">
      <c r="A77" s="214" t="s">
        <v>892</v>
      </c>
      <c r="B77" s="64">
        <v>0.1</v>
      </c>
      <c r="C77" s="64">
        <v>50.5</v>
      </c>
      <c r="D77" s="64">
        <v>26.38</v>
      </c>
      <c r="E77" s="64">
        <v>0.89</v>
      </c>
      <c r="F77" s="64">
        <v>4.87</v>
      </c>
      <c r="G77" s="64">
        <v>58</v>
      </c>
      <c r="H77" s="64">
        <v>17.350000000000001</v>
      </c>
      <c r="I77" s="64">
        <v>7.06</v>
      </c>
      <c r="J77" s="64">
        <v>1.56</v>
      </c>
      <c r="K77" s="64">
        <v>2.98</v>
      </c>
      <c r="L77" s="64">
        <v>27.57</v>
      </c>
      <c r="M77" s="64">
        <v>33.29</v>
      </c>
      <c r="N77" s="64">
        <v>85.7</v>
      </c>
      <c r="O77" s="64">
        <v>0</v>
      </c>
      <c r="P77" s="64">
        <v>0.47</v>
      </c>
      <c r="Q77" s="64">
        <v>9.4700000000000006</v>
      </c>
      <c r="R77" s="198"/>
      <c r="S77" s="198"/>
      <c r="T77" s="198"/>
      <c r="U77" s="198"/>
    </row>
    <row r="78" spans="1:21" s="12" customFormat="1" x14ac:dyDescent="0.25">
      <c r="A78" s="214" t="s">
        <v>893</v>
      </c>
      <c r="B78" s="64">
        <v>0.11</v>
      </c>
      <c r="C78" s="64">
        <v>51.51</v>
      </c>
      <c r="D78" s="64">
        <v>26.92</v>
      </c>
      <c r="E78" s="64">
        <v>1.34</v>
      </c>
      <c r="F78" s="64">
        <v>5.01</v>
      </c>
      <c r="G78" s="64">
        <v>58.36</v>
      </c>
      <c r="H78" s="64">
        <v>16.98</v>
      </c>
      <c r="I78" s="64">
        <v>6.83</v>
      </c>
      <c r="J78" s="64">
        <v>1.93</v>
      </c>
      <c r="K78" s="64">
        <v>3.28</v>
      </c>
      <c r="L78" s="64">
        <v>27.22</v>
      </c>
      <c r="M78" s="64">
        <v>34.43</v>
      </c>
      <c r="N78" s="64">
        <v>65.2</v>
      </c>
      <c r="O78" s="64">
        <v>0</v>
      </c>
      <c r="P78" s="64">
        <v>0.47</v>
      </c>
      <c r="Q78" s="64">
        <v>9.4600000000000009</v>
      </c>
      <c r="R78" s="198"/>
      <c r="S78" s="198"/>
      <c r="T78" s="198"/>
      <c r="U78" s="198"/>
    </row>
    <row r="79" spans="1:21" s="12" customFormat="1" x14ac:dyDescent="0.25">
      <c r="A79" s="214" t="s">
        <v>894</v>
      </c>
      <c r="B79" s="64">
        <v>0.39</v>
      </c>
      <c r="C79" s="64">
        <v>52.14</v>
      </c>
      <c r="D79" s="64">
        <v>27.47</v>
      </c>
      <c r="E79" s="64">
        <v>1.1299999999999999</v>
      </c>
      <c r="F79" s="64">
        <v>4.78</v>
      </c>
      <c r="G79" s="64">
        <v>58.36</v>
      </c>
      <c r="H79" s="64">
        <v>16.98</v>
      </c>
      <c r="I79" s="64">
        <v>6.67</v>
      </c>
      <c r="J79" s="64">
        <v>1.78</v>
      </c>
      <c r="K79" s="64">
        <v>2.59</v>
      </c>
      <c r="L79" s="64">
        <v>26.68</v>
      </c>
      <c r="M79" s="64">
        <v>35.619999999999997</v>
      </c>
      <c r="N79" s="64">
        <v>47.2</v>
      </c>
      <c r="O79" s="64">
        <v>0</v>
      </c>
      <c r="P79" s="64">
        <v>0.48</v>
      </c>
      <c r="Q79" s="64">
        <v>9.48</v>
      </c>
      <c r="R79" s="198"/>
      <c r="S79" s="198"/>
      <c r="T79" s="198"/>
      <c r="U79" s="198"/>
    </row>
    <row r="80" spans="1:21" s="12" customFormat="1" x14ac:dyDescent="0.25">
      <c r="A80" s="214" t="s">
        <v>895</v>
      </c>
      <c r="B80" s="64">
        <v>0.35</v>
      </c>
      <c r="C80" s="64">
        <v>52.43</v>
      </c>
      <c r="D80" s="64">
        <v>27.6</v>
      </c>
      <c r="E80" s="64">
        <v>1.04</v>
      </c>
      <c r="F80" s="64">
        <v>4.66</v>
      </c>
      <c r="G80" s="64">
        <v>58.36</v>
      </c>
      <c r="H80" s="64">
        <v>16.98</v>
      </c>
      <c r="I80" s="64">
        <v>6.56</v>
      </c>
      <c r="J80" s="64">
        <v>1.69</v>
      </c>
      <c r="K80" s="64">
        <v>2.5099999999999998</v>
      </c>
      <c r="L80" s="64">
        <v>26.08</v>
      </c>
      <c r="M80" s="64">
        <v>38.03</v>
      </c>
      <c r="N80" s="64">
        <v>32</v>
      </c>
      <c r="O80" s="64">
        <v>0</v>
      </c>
      <c r="P80" s="64">
        <v>0.48</v>
      </c>
      <c r="Q80" s="64">
        <v>9.2799999999999994</v>
      </c>
      <c r="R80" s="198"/>
      <c r="S80" s="198"/>
      <c r="T80" s="198"/>
      <c r="U80" s="198"/>
    </row>
    <row r="81" spans="1:26" s="12" customFormat="1" x14ac:dyDescent="0.25">
      <c r="A81" s="214" t="s">
        <v>896</v>
      </c>
      <c r="B81" s="64">
        <v>0.46</v>
      </c>
      <c r="C81" s="64">
        <v>53.21</v>
      </c>
      <c r="D81" s="64">
        <v>28.09</v>
      </c>
      <c r="E81" s="64">
        <v>1.2</v>
      </c>
      <c r="F81" s="64">
        <v>4.2699999999999996</v>
      </c>
      <c r="G81" s="64">
        <v>52.23</v>
      </c>
      <c r="H81" s="64">
        <v>15.36</v>
      </c>
      <c r="I81" s="64">
        <v>6.24</v>
      </c>
      <c r="J81" s="64">
        <v>0.85</v>
      </c>
      <c r="K81" s="64">
        <v>358.64</v>
      </c>
      <c r="L81" s="64">
        <v>25.47</v>
      </c>
      <c r="M81" s="64">
        <v>42.49</v>
      </c>
      <c r="N81" s="64">
        <v>24.8</v>
      </c>
      <c r="O81" s="64">
        <v>0</v>
      </c>
      <c r="P81" s="64">
        <v>0.49</v>
      </c>
      <c r="Q81" s="64">
        <v>9.75</v>
      </c>
      <c r="R81" s="198"/>
      <c r="S81" s="198"/>
      <c r="T81" s="198"/>
      <c r="U81" s="198"/>
    </row>
    <row r="82" spans="1:26" s="12" customFormat="1" x14ac:dyDescent="0.25">
      <c r="A82" s="214" t="s">
        <v>897</v>
      </c>
      <c r="B82" s="64">
        <v>0.68</v>
      </c>
      <c r="C82" s="64">
        <v>53.6</v>
      </c>
      <c r="D82" s="64">
        <v>28.47</v>
      </c>
      <c r="E82" s="64">
        <v>0.85</v>
      </c>
      <c r="F82" s="64">
        <v>4.28</v>
      </c>
      <c r="G82" s="64">
        <v>50.48</v>
      </c>
      <c r="H82" s="64">
        <v>14.9</v>
      </c>
      <c r="I82" s="64">
        <v>6.09</v>
      </c>
      <c r="J82" s="64">
        <v>0.68</v>
      </c>
      <c r="K82" s="64">
        <v>6.9</v>
      </c>
      <c r="L82" s="64">
        <v>25.16</v>
      </c>
      <c r="M82" s="64">
        <v>43.59</v>
      </c>
      <c r="N82" s="64">
        <v>22.1</v>
      </c>
      <c r="O82" s="64">
        <v>0</v>
      </c>
      <c r="P82" s="64">
        <v>0.51</v>
      </c>
      <c r="Q82" s="64">
        <v>9.65</v>
      </c>
      <c r="R82" s="198"/>
      <c r="S82" s="198"/>
      <c r="T82" s="198"/>
      <c r="U82" s="198"/>
    </row>
    <row r="83" spans="1:26" s="12" customFormat="1" x14ac:dyDescent="0.25">
      <c r="A83" s="214" t="s">
        <v>898</v>
      </c>
      <c r="B83" s="64">
        <v>1.05</v>
      </c>
      <c r="C83" s="64">
        <v>53.45</v>
      </c>
      <c r="D83" s="64">
        <v>28.69</v>
      </c>
      <c r="E83" s="64">
        <v>1.29</v>
      </c>
      <c r="F83" s="64">
        <v>3.98</v>
      </c>
      <c r="G83" s="64">
        <v>50.48</v>
      </c>
      <c r="H83" s="64">
        <v>14.9</v>
      </c>
      <c r="I83" s="64">
        <v>6.19</v>
      </c>
      <c r="J83" s="64">
        <v>0.98</v>
      </c>
      <c r="K83" s="64">
        <v>8.06</v>
      </c>
      <c r="L83" s="64">
        <v>25.05</v>
      </c>
      <c r="M83" s="64">
        <v>43.59</v>
      </c>
      <c r="N83" s="64">
        <v>21.6</v>
      </c>
      <c r="O83" s="64">
        <v>0</v>
      </c>
      <c r="P83" s="64">
        <v>0.52</v>
      </c>
      <c r="Q83" s="64">
        <v>9.4600000000000009</v>
      </c>
      <c r="R83" s="198"/>
      <c r="S83" s="198"/>
      <c r="T83" s="198"/>
      <c r="U83" s="198"/>
    </row>
    <row r="84" spans="1:26" s="12" customFormat="1" x14ac:dyDescent="0.25">
      <c r="A84" s="214" t="s">
        <v>899</v>
      </c>
      <c r="B84" s="64">
        <v>1.3</v>
      </c>
      <c r="C84" s="64">
        <v>53.78</v>
      </c>
      <c r="D84" s="64">
        <v>29.06</v>
      </c>
      <c r="E84" s="64">
        <v>0.81</v>
      </c>
      <c r="F84" s="64">
        <v>4.09</v>
      </c>
      <c r="G84" s="64">
        <v>50.48</v>
      </c>
      <c r="H84" s="64">
        <v>14.9</v>
      </c>
      <c r="I84" s="64">
        <v>6.11</v>
      </c>
      <c r="J84" s="64">
        <v>0.64</v>
      </c>
      <c r="K84" s="64">
        <v>28.3</v>
      </c>
      <c r="L84" s="64">
        <v>24.95</v>
      </c>
      <c r="M84" s="64">
        <v>42.22</v>
      </c>
      <c r="N84" s="64">
        <v>21.8</v>
      </c>
      <c r="O84" s="64">
        <v>0</v>
      </c>
      <c r="P84" s="64">
        <v>0.53</v>
      </c>
      <c r="Q84" s="64">
        <v>9.4</v>
      </c>
      <c r="R84" s="198"/>
      <c r="S84" s="198"/>
      <c r="T84" s="198"/>
      <c r="U84" s="198"/>
    </row>
    <row r="85" spans="1:26" s="12" customFormat="1" x14ac:dyDescent="0.25">
      <c r="A85" s="214" t="s">
        <v>900</v>
      </c>
      <c r="B85" s="64">
        <v>1.43</v>
      </c>
      <c r="C85" s="64">
        <v>53.34</v>
      </c>
      <c r="D85" s="64">
        <v>28.93</v>
      </c>
      <c r="E85" s="64">
        <v>1.05</v>
      </c>
      <c r="F85" s="64">
        <v>3.92</v>
      </c>
      <c r="G85" s="64">
        <v>48.35</v>
      </c>
      <c r="H85" s="64">
        <v>13.92</v>
      </c>
      <c r="I85" s="64">
        <v>6.13</v>
      </c>
      <c r="J85" s="64">
        <v>0.61</v>
      </c>
      <c r="K85" s="64">
        <v>69.819999999999993</v>
      </c>
      <c r="L85" s="64">
        <v>24.67</v>
      </c>
      <c r="M85" s="64">
        <v>43.68</v>
      </c>
      <c r="N85" s="64">
        <v>21.6</v>
      </c>
      <c r="O85" s="64">
        <v>0</v>
      </c>
      <c r="P85" s="64">
        <v>0.51</v>
      </c>
      <c r="Q85" s="64">
        <v>9.41</v>
      </c>
      <c r="R85" s="198"/>
      <c r="S85" s="198"/>
      <c r="T85" s="198"/>
      <c r="U85" s="198"/>
    </row>
    <row r="86" spans="1:26" s="12" customFormat="1" x14ac:dyDescent="0.25">
      <c r="A86" s="214" t="s">
        <v>901</v>
      </c>
      <c r="B86" s="64">
        <v>1.63</v>
      </c>
      <c r="C86" s="64">
        <v>53.19</v>
      </c>
      <c r="D86" s="64">
        <v>29.02</v>
      </c>
      <c r="E86" s="64">
        <v>0.6</v>
      </c>
      <c r="F86" s="64">
        <v>3.63</v>
      </c>
      <c r="G86" s="64">
        <v>47.74</v>
      </c>
      <c r="H86" s="64">
        <v>13.64</v>
      </c>
      <c r="I86" s="64">
        <v>6.18</v>
      </c>
      <c r="J86" s="64">
        <v>0.56000000000000005</v>
      </c>
      <c r="K86" s="64">
        <v>64.67</v>
      </c>
      <c r="L86" s="64">
        <v>24.48</v>
      </c>
      <c r="M86" s="64">
        <v>44.78</v>
      </c>
      <c r="N86" s="64">
        <v>21.6</v>
      </c>
      <c r="O86" s="64">
        <v>0</v>
      </c>
      <c r="P86" s="64">
        <v>0.53</v>
      </c>
      <c r="Q86" s="64">
        <v>9.56</v>
      </c>
      <c r="R86" s="198"/>
      <c r="S86" s="198"/>
      <c r="T86" s="198"/>
      <c r="U86" s="198"/>
    </row>
    <row r="87" spans="1:26" s="12" customFormat="1" x14ac:dyDescent="0.25">
      <c r="A87" s="214" t="s">
        <v>902</v>
      </c>
      <c r="B87" s="64">
        <v>1.98</v>
      </c>
      <c r="C87" s="64">
        <v>52.64</v>
      </c>
      <c r="D87" s="64">
        <v>29.01</v>
      </c>
      <c r="E87" s="64">
        <v>0.9</v>
      </c>
      <c r="F87" s="64">
        <v>3.4</v>
      </c>
      <c r="G87" s="64">
        <v>47.74</v>
      </c>
      <c r="H87" s="64">
        <v>13.64</v>
      </c>
      <c r="I87" s="64">
        <v>6.39</v>
      </c>
      <c r="J87" s="64">
        <v>0.76</v>
      </c>
      <c r="K87" s="64">
        <v>82.4</v>
      </c>
      <c r="L87" s="64">
        <v>24.34</v>
      </c>
      <c r="M87" s="64">
        <v>45.27</v>
      </c>
      <c r="N87" s="64">
        <v>21.5</v>
      </c>
      <c r="O87" s="64">
        <v>0</v>
      </c>
      <c r="P87" s="64">
        <v>0.53</v>
      </c>
      <c r="Q87" s="64">
        <v>9.56</v>
      </c>
      <c r="R87" s="198"/>
      <c r="S87" s="198"/>
      <c r="T87" s="198"/>
      <c r="U87" s="198"/>
    </row>
    <row r="88" spans="1:26" s="12" customFormat="1" x14ac:dyDescent="0.25">
      <c r="A88" s="214" t="s">
        <v>903</v>
      </c>
      <c r="B88" s="64">
        <v>2.17</v>
      </c>
      <c r="C88" s="64">
        <v>52.03</v>
      </c>
      <c r="D88" s="64">
        <v>28.85</v>
      </c>
      <c r="E88" s="64">
        <v>1.28</v>
      </c>
      <c r="F88" s="64">
        <v>3.46</v>
      </c>
      <c r="G88" s="64">
        <v>47.74</v>
      </c>
      <c r="H88" s="64">
        <v>13.64</v>
      </c>
      <c r="I88" s="64">
        <v>6.52</v>
      </c>
      <c r="J88" s="64">
        <v>0.48</v>
      </c>
      <c r="K88" s="64">
        <v>27.6</v>
      </c>
      <c r="L88" s="64">
        <v>24.33</v>
      </c>
      <c r="M88" s="64">
        <v>45.37</v>
      </c>
      <c r="N88" s="64">
        <v>21.4</v>
      </c>
      <c r="O88" s="64">
        <v>0</v>
      </c>
      <c r="P88" s="64">
        <v>0.54</v>
      </c>
      <c r="Q88" s="64">
        <v>9.56</v>
      </c>
      <c r="R88" s="198"/>
      <c r="S88" s="198"/>
      <c r="T88" s="198"/>
      <c r="U88" s="198"/>
    </row>
    <row r="89" spans="1:26" s="12" customFormat="1" x14ac:dyDescent="0.25">
      <c r="A89" s="214" t="s">
        <v>904</v>
      </c>
      <c r="B89" s="64">
        <v>2.4500000000000002</v>
      </c>
      <c r="C89" s="64">
        <v>51.87</v>
      </c>
      <c r="D89" s="64">
        <v>28.98</v>
      </c>
      <c r="E89" s="64">
        <v>2</v>
      </c>
      <c r="F89" s="64">
        <v>3.41</v>
      </c>
      <c r="G89" s="64">
        <v>41.88</v>
      </c>
      <c r="H89" s="64">
        <v>12.97</v>
      </c>
      <c r="I89" s="64">
        <v>6.77</v>
      </c>
      <c r="J89" s="64">
        <v>0.62</v>
      </c>
      <c r="K89" s="64">
        <v>73.37</v>
      </c>
      <c r="L89" s="64">
        <v>24.18</v>
      </c>
      <c r="M89" s="64">
        <v>45.72</v>
      </c>
      <c r="N89" s="64">
        <v>21.4</v>
      </c>
      <c r="O89" s="64">
        <v>0</v>
      </c>
      <c r="P89" s="64">
        <v>0.54</v>
      </c>
      <c r="Q89" s="64">
        <v>9.56</v>
      </c>
      <c r="R89" s="198"/>
      <c r="S89" s="198"/>
      <c r="T89" s="198"/>
      <c r="U89" s="198"/>
    </row>
    <row r="90" spans="1:26" s="12" customFormat="1" x14ac:dyDescent="0.25">
      <c r="A90" s="214" t="s">
        <v>905</v>
      </c>
      <c r="B90" s="64">
        <v>2.66</v>
      </c>
      <c r="C90" s="64">
        <v>51.24</v>
      </c>
      <c r="D90" s="64">
        <v>28.82</v>
      </c>
      <c r="E90" s="64">
        <v>1.41</v>
      </c>
      <c r="F90" s="64">
        <v>3.38</v>
      </c>
      <c r="G90" s="64">
        <v>40.200000000000003</v>
      </c>
      <c r="H90" s="64">
        <v>12.78</v>
      </c>
      <c r="I90" s="64">
        <v>6.94</v>
      </c>
      <c r="J90" s="64">
        <v>0.93</v>
      </c>
      <c r="K90" s="64">
        <v>86.19</v>
      </c>
      <c r="L90" s="64">
        <v>24.15</v>
      </c>
      <c r="M90" s="64">
        <v>45.76</v>
      </c>
      <c r="N90" s="64">
        <v>21.4</v>
      </c>
      <c r="O90" s="64">
        <v>0</v>
      </c>
      <c r="P90" s="64">
        <v>0.53</v>
      </c>
      <c r="Q90" s="64">
        <v>9.4499999999999993</v>
      </c>
      <c r="R90" s="198"/>
      <c r="S90" s="198"/>
      <c r="T90" s="198"/>
      <c r="U90" s="198"/>
    </row>
    <row r="91" spans="1:26" s="12" customFormat="1" x14ac:dyDescent="0.25">
      <c r="A91" s="214" t="s">
        <v>906</v>
      </c>
      <c r="B91" s="64">
        <v>2.69</v>
      </c>
      <c r="C91" s="64">
        <v>50.04</v>
      </c>
      <c r="D91" s="64">
        <v>28.22</v>
      </c>
      <c r="E91" s="64">
        <v>1.77</v>
      </c>
      <c r="F91" s="64">
        <v>3.51</v>
      </c>
      <c r="G91" s="64">
        <v>40.200000000000003</v>
      </c>
      <c r="H91" s="64">
        <v>12.78</v>
      </c>
      <c r="I91" s="64">
        <v>7.09</v>
      </c>
      <c r="J91" s="64">
        <v>1.26</v>
      </c>
      <c r="K91" s="64">
        <v>98.65</v>
      </c>
      <c r="L91" s="64">
        <v>24.15</v>
      </c>
      <c r="M91" s="64">
        <v>46.29</v>
      </c>
      <c r="N91" s="64">
        <v>21.3</v>
      </c>
      <c r="O91" s="64">
        <v>0</v>
      </c>
      <c r="P91" s="64">
        <v>0.53</v>
      </c>
      <c r="Q91" s="64">
        <v>9.65</v>
      </c>
      <c r="R91" s="198"/>
      <c r="S91" s="198"/>
      <c r="T91" s="198"/>
      <c r="U91" s="198"/>
    </row>
    <row r="92" spans="1:26" s="12" customFormat="1" x14ac:dyDescent="0.25">
      <c r="A92" s="214" t="s">
        <v>907</v>
      </c>
      <c r="B92" s="64">
        <v>2.5099999999999998</v>
      </c>
      <c r="C92" s="64">
        <v>48.25</v>
      </c>
      <c r="D92" s="64">
        <v>27.14</v>
      </c>
      <c r="E92" s="64">
        <v>1.48</v>
      </c>
      <c r="F92" s="64">
        <v>3.53</v>
      </c>
      <c r="G92" s="64">
        <v>40.200000000000003</v>
      </c>
      <c r="H92" s="64">
        <v>12.78</v>
      </c>
      <c r="I92" s="64">
        <v>7.31</v>
      </c>
      <c r="J92" s="64">
        <v>2.06</v>
      </c>
      <c r="K92" s="64">
        <v>101.62</v>
      </c>
      <c r="L92" s="64">
        <v>24.25</v>
      </c>
      <c r="M92" s="64">
        <v>45.3</v>
      </c>
      <c r="N92" s="64">
        <v>21.3</v>
      </c>
      <c r="O92" s="64">
        <v>0</v>
      </c>
      <c r="P92" s="64">
        <v>0.52</v>
      </c>
      <c r="Q92" s="64">
        <v>9.2799999999999994</v>
      </c>
      <c r="R92" s="198"/>
      <c r="S92" s="198"/>
      <c r="T92" s="198"/>
      <c r="U92" s="198"/>
    </row>
    <row r="93" spans="1:26" s="12" customFormat="1" x14ac:dyDescent="0.25">
      <c r="A93" s="214" t="s">
        <v>908</v>
      </c>
      <c r="B93" s="64">
        <v>1.97</v>
      </c>
      <c r="C93" s="64">
        <v>48.29</v>
      </c>
      <c r="D93" s="64">
        <v>26.73</v>
      </c>
      <c r="E93" s="64">
        <v>1.71</v>
      </c>
      <c r="F93" s="64">
        <v>3.76</v>
      </c>
      <c r="G93" s="64">
        <v>39.61</v>
      </c>
      <c r="H93" s="64">
        <v>11.43</v>
      </c>
      <c r="I93" s="64">
        <v>7.77</v>
      </c>
      <c r="J93" s="64">
        <v>2.21</v>
      </c>
      <c r="K93" s="64">
        <v>97.48</v>
      </c>
      <c r="L93" s="64">
        <v>24.27</v>
      </c>
      <c r="M93" s="64">
        <v>44.61</v>
      </c>
      <c r="N93" s="64">
        <v>21.4</v>
      </c>
      <c r="O93" s="64">
        <v>0</v>
      </c>
      <c r="P93" s="64">
        <v>0.5</v>
      </c>
      <c r="Q93" s="64">
        <v>9.76</v>
      </c>
      <c r="R93" s="198"/>
      <c r="S93" s="198"/>
      <c r="T93" s="198"/>
      <c r="U93" s="198"/>
    </row>
    <row r="94" spans="1:26" s="12" customFormat="1" x14ac:dyDescent="0.25">
      <c r="A94" s="214" t="s">
        <v>909</v>
      </c>
      <c r="B94" s="64">
        <v>1.55</v>
      </c>
      <c r="C94" s="64">
        <v>48.7</v>
      </c>
      <c r="D94" s="64">
        <v>26.6</v>
      </c>
      <c r="E94" s="64">
        <v>1.88</v>
      </c>
      <c r="F94" s="64">
        <v>3.77</v>
      </c>
      <c r="G94" s="64">
        <v>39.44</v>
      </c>
      <c r="H94" s="64">
        <v>11.04</v>
      </c>
      <c r="I94" s="64">
        <v>8.25</v>
      </c>
      <c r="J94" s="64">
        <v>2.12</v>
      </c>
      <c r="K94" s="64">
        <v>96.22</v>
      </c>
      <c r="L94" s="64">
        <v>24.28</v>
      </c>
      <c r="M94" s="64">
        <v>43.94</v>
      </c>
      <c r="N94" s="64">
        <v>21.4</v>
      </c>
      <c r="O94" s="64">
        <v>0</v>
      </c>
      <c r="P94" s="64">
        <v>0.48</v>
      </c>
      <c r="Q94" s="64">
        <v>9.7100000000000009</v>
      </c>
      <c r="R94" s="198"/>
      <c r="S94" s="198"/>
      <c r="T94" s="198"/>
      <c r="U94" s="198"/>
    </row>
    <row r="95" spans="1:26" s="12" customFormat="1" x14ac:dyDescent="0.25">
      <c r="A95" s="214" t="s">
        <v>910</v>
      </c>
      <c r="B95" s="64">
        <v>1.22</v>
      </c>
      <c r="C95" s="64">
        <v>48.48</v>
      </c>
      <c r="D95" s="64">
        <v>26.23</v>
      </c>
      <c r="E95" s="64">
        <v>1.84</v>
      </c>
      <c r="F95" s="64">
        <v>4.04</v>
      </c>
      <c r="G95" s="64">
        <v>39.44</v>
      </c>
      <c r="H95" s="64">
        <v>11.04</v>
      </c>
      <c r="I95" s="64">
        <v>8.49</v>
      </c>
      <c r="J95" s="64">
        <v>2.21</v>
      </c>
      <c r="K95" s="64">
        <v>106.61</v>
      </c>
      <c r="L95" s="64">
        <v>24.29</v>
      </c>
      <c r="M95" s="64">
        <v>43.83</v>
      </c>
      <c r="N95" s="64">
        <v>21.5</v>
      </c>
      <c r="O95" s="64">
        <v>0</v>
      </c>
      <c r="P95" s="64">
        <v>0.46</v>
      </c>
      <c r="Q95" s="64">
        <v>9.59</v>
      </c>
      <c r="R95" s="198"/>
      <c r="S95" s="198"/>
      <c r="T95" s="198"/>
      <c r="U95" s="198"/>
    </row>
    <row r="96" spans="1:26" s="12" customFormat="1" x14ac:dyDescent="0.25">
      <c r="A96" s="214" t="s">
        <v>911</v>
      </c>
      <c r="B96" s="64">
        <v>0.89</v>
      </c>
      <c r="C96" s="64">
        <v>48.4</v>
      </c>
      <c r="D96" s="64">
        <v>25.92</v>
      </c>
      <c r="E96" s="64">
        <v>1.76</v>
      </c>
      <c r="F96" s="64">
        <v>4</v>
      </c>
      <c r="G96" s="64">
        <v>39.44</v>
      </c>
      <c r="H96" s="64">
        <v>11.04</v>
      </c>
      <c r="I96" s="64">
        <v>8.5399999999999991</v>
      </c>
      <c r="J96" s="64">
        <v>1.59</v>
      </c>
      <c r="K96" s="64">
        <v>95.45</v>
      </c>
      <c r="L96" s="64">
        <v>24.25</v>
      </c>
      <c r="M96" s="64">
        <v>43.65</v>
      </c>
      <c r="N96" s="64">
        <v>21.6</v>
      </c>
      <c r="O96" s="64">
        <v>0</v>
      </c>
      <c r="P96" s="64">
        <v>0.44</v>
      </c>
      <c r="Q96" s="64">
        <v>9.32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912</v>
      </c>
      <c r="B97" s="64">
        <v>0.63</v>
      </c>
      <c r="C97" s="64">
        <v>48.29</v>
      </c>
      <c r="D97" s="64">
        <v>25.65</v>
      </c>
      <c r="E97" s="64">
        <v>1.88</v>
      </c>
      <c r="F97" s="64">
        <v>3.95</v>
      </c>
      <c r="G97" s="64">
        <v>37.659999999999997</v>
      </c>
      <c r="H97" s="64">
        <v>11.11</v>
      </c>
      <c r="I97" s="64">
        <v>8.31</v>
      </c>
      <c r="J97" s="64">
        <v>0.69</v>
      </c>
      <c r="K97" s="64">
        <v>96.71</v>
      </c>
      <c r="L97" s="64">
        <v>24.11</v>
      </c>
      <c r="M97" s="64">
        <v>44.45</v>
      </c>
      <c r="N97" s="64">
        <v>21.8</v>
      </c>
      <c r="O97" s="64">
        <v>0</v>
      </c>
      <c r="P97" s="64">
        <v>0.43</v>
      </c>
      <c r="Q97" s="64">
        <v>9.59</v>
      </c>
      <c r="R97" s="198"/>
      <c r="S97" s="198"/>
      <c r="T97" s="198"/>
      <c r="U97" s="198"/>
    </row>
    <row r="98" spans="1:33" s="12" customFormat="1" x14ac:dyDescent="0.25">
      <c r="A98" s="214" t="s">
        <v>913</v>
      </c>
      <c r="B98" s="64">
        <v>0.56999999999999995</v>
      </c>
      <c r="C98" s="64">
        <v>47.85</v>
      </c>
      <c r="D98" s="64">
        <v>25.38</v>
      </c>
      <c r="E98" s="64">
        <v>1.6</v>
      </c>
      <c r="F98" s="64">
        <v>3.73</v>
      </c>
      <c r="G98" s="64">
        <v>37.159999999999997</v>
      </c>
      <c r="H98" s="64">
        <v>11.13</v>
      </c>
      <c r="I98" s="64">
        <v>7.85</v>
      </c>
      <c r="J98" s="64">
        <v>1.03</v>
      </c>
      <c r="K98" s="64">
        <v>99.96</v>
      </c>
      <c r="L98" s="64">
        <v>24.22</v>
      </c>
      <c r="M98" s="64">
        <v>43.95</v>
      </c>
      <c r="N98" s="64">
        <v>21.5</v>
      </c>
      <c r="O98" s="64">
        <v>0</v>
      </c>
      <c r="P98" s="64">
        <v>0.42</v>
      </c>
      <c r="Q98" s="64">
        <v>9.5399999999999991</v>
      </c>
      <c r="R98" s="198"/>
      <c r="S98" s="198"/>
      <c r="T98" s="198"/>
      <c r="U98" s="198"/>
    </row>
    <row r="99" spans="1:33" s="12" customFormat="1" x14ac:dyDescent="0.25">
      <c r="A99" s="214" t="s">
        <v>914</v>
      </c>
      <c r="B99" s="64">
        <v>0.63</v>
      </c>
      <c r="C99" s="64">
        <v>47.35</v>
      </c>
      <c r="D99" s="64">
        <v>25.16</v>
      </c>
      <c r="E99" s="64">
        <v>1.73</v>
      </c>
      <c r="F99" s="64">
        <v>3.93</v>
      </c>
      <c r="G99" s="64">
        <v>37.159999999999997</v>
      </c>
      <c r="H99" s="64">
        <v>11.13</v>
      </c>
      <c r="I99" s="64">
        <v>7.69</v>
      </c>
      <c r="J99" s="64">
        <v>0.67</v>
      </c>
      <c r="K99" s="64">
        <v>17.3</v>
      </c>
      <c r="L99" s="64">
        <v>24.29</v>
      </c>
      <c r="M99" s="64">
        <v>44.06</v>
      </c>
      <c r="N99" s="64">
        <v>21.9</v>
      </c>
      <c r="O99" s="64">
        <v>0</v>
      </c>
      <c r="P99" s="64">
        <v>0.41</v>
      </c>
      <c r="Q99" s="64">
        <v>9.51</v>
      </c>
      <c r="R99" s="198"/>
      <c r="S99" s="198"/>
      <c r="T99" s="198"/>
      <c r="U99" s="198"/>
    </row>
    <row r="100" spans="1:33" s="12" customFormat="1" x14ac:dyDescent="0.25">
      <c r="A100" s="214" t="s">
        <v>915</v>
      </c>
      <c r="B100" s="64">
        <v>1.06</v>
      </c>
      <c r="C100" s="64">
        <v>48.06</v>
      </c>
      <c r="D100" s="64">
        <v>25.88</v>
      </c>
      <c r="E100" s="64">
        <v>1.8</v>
      </c>
      <c r="F100" s="64">
        <v>3.79</v>
      </c>
      <c r="G100" s="64">
        <v>37.159999999999997</v>
      </c>
      <c r="H100" s="64">
        <v>11.13</v>
      </c>
      <c r="I100" s="64">
        <v>7.92</v>
      </c>
      <c r="J100" s="64">
        <v>0.49</v>
      </c>
      <c r="K100" s="64">
        <v>72.349999999999994</v>
      </c>
      <c r="L100" s="64">
        <v>24.06</v>
      </c>
      <c r="M100" s="64">
        <v>44.96</v>
      </c>
      <c r="N100" s="64">
        <v>21.8</v>
      </c>
      <c r="O100" s="64">
        <v>0</v>
      </c>
      <c r="P100" s="64">
        <v>0.42</v>
      </c>
      <c r="Q100" s="64">
        <v>9.4600000000000009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916</v>
      </c>
      <c r="B101" s="64">
        <v>1.36</v>
      </c>
      <c r="C101" s="64">
        <v>48.23</v>
      </c>
      <c r="D101" s="64">
        <v>26.21</v>
      </c>
      <c r="E101" s="64">
        <v>1.62</v>
      </c>
      <c r="F101" s="64">
        <v>3.68</v>
      </c>
      <c r="G101" s="64">
        <v>33.159999999999997</v>
      </c>
      <c r="H101" s="64">
        <v>11.54</v>
      </c>
      <c r="I101" s="64">
        <v>7.76</v>
      </c>
      <c r="J101" s="64">
        <v>1.1100000000000001</v>
      </c>
      <c r="K101" s="64">
        <v>93.97</v>
      </c>
      <c r="L101" s="64">
        <v>24.03</v>
      </c>
      <c r="M101" s="64">
        <v>44.86</v>
      </c>
      <c r="N101" s="64">
        <v>21.3</v>
      </c>
      <c r="O101" s="64">
        <v>0</v>
      </c>
      <c r="P101" s="64">
        <v>0.42</v>
      </c>
      <c r="Q101" s="64">
        <v>9.67</v>
      </c>
      <c r="R101" s="198"/>
      <c r="S101" s="198"/>
      <c r="T101" s="198"/>
      <c r="U101" s="198"/>
    </row>
    <row r="102" spans="1:33" s="12" customFormat="1" x14ac:dyDescent="0.25">
      <c r="A102" s="214" t="s">
        <v>917</v>
      </c>
      <c r="B102" s="64">
        <v>1.34</v>
      </c>
      <c r="C102" s="64">
        <v>48.62</v>
      </c>
      <c r="D102" s="64">
        <v>26.39</v>
      </c>
      <c r="E102" s="64">
        <v>1.94</v>
      </c>
      <c r="F102" s="64">
        <v>3.59</v>
      </c>
      <c r="G102" s="64">
        <v>32.01</v>
      </c>
      <c r="H102" s="64">
        <v>11.65</v>
      </c>
      <c r="I102" s="64">
        <v>7.52</v>
      </c>
      <c r="J102" s="64">
        <v>1.05</v>
      </c>
      <c r="K102" s="64">
        <v>96.11</v>
      </c>
      <c r="L102" s="64">
        <v>24.12</v>
      </c>
      <c r="M102" s="64">
        <v>44.34</v>
      </c>
      <c r="N102" s="64">
        <v>21.5</v>
      </c>
      <c r="O102" s="64">
        <v>0</v>
      </c>
      <c r="P102" s="64">
        <v>0.4</v>
      </c>
      <c r="Q102" s="64">
        <v>9.52</v>
      </c>
      <c r="R102" s="198"/>
      <c r="S102" s="198"/>
      <c r="T102" s="198"/>
      <c r="U102" s="198"/>
    </row>
    <row r="103" spans="1:33" s="12" customFormat="1" x14ac:dyDescent="0.25">
      <c r="A103" s="214" t="s">
        <v>918</v>
      </c>
      <c r="B103" s="64">
        <v>1.29</v>
      </c>
      <c r="C103" s="64">
        <v>47.18</v>
      </c>
      <c r="D103" s="64">
        <v>25.61</v>
      </c>
      <c r="E103" s="64">
        <v>1.82</v>
      </c>
      <c r="F103" s="64">
        <v>3.66</v>
      </c>
      <c r="G103" s="64">
        <v>32.01</v>
      </c>
      <c r="H103" s="64">
        <v>11.65</v>
      </c>
      <c r="I103" s="64">
        <v>7.39</v>
      </c>
      <c r="J103" s="64">
        <v>0.99</v>
      </c>
      <c r="K103" s="64">
        <v>0.51</v>
      </c>
      <c r="L103" s="64">
        <v>24.06</v>
      </c>
      <c r="M103" s="64">
        <v>45.24</v>
      </c>
      <c r="N103" s="64">
        <v>22.1</v>
      </c>
      <c r="O103" s="64">
        <v>0</v>
      </c>
      <c r="P103" s="64">
        <v>0.39</v>
      </c>
      <c r="Q103" s="64">
        <v>9.4499999999999993</v>
      </c>
      <c r="R103" s="198"/>
      <c r="S103" s="198"/>
      <c r="T103" s="198"/>
      <c r="U103" s="198"/>
    </row>
    <row r="104" spans="1:33" s="12" customFormat="1" x14ac:dyDescent="0.25">
      <c r="A104" s="214" t="s">
        <v>919</v>
      </c>
      <c r="B104" s="64">
        <v>1.45</v>
      </c>
      <c r="C104" s="64">
        <v>47.06</v>
      </c>
      <c r="D104" s="64">
        <v>25.67</v>
      </c>
      <c r="E104" s="64">
        <v>1.18</v>
      </c>
      <c r="F104" s="64">
        <v>3.58</v>
      </c>
      <c r="G104" s="64">
        <v>32.01</v>
      </c>
      <c r="H104" s="64">
        <v>11.65</v>
      </c>
      <c r="I104" s="64">
        <v>7.3</v>
      </c>
      <c r="J104" s="64">
        <v>1.32</v>
      </c>
      <c r="K104" s="64">
        <v>1.29</v>
      </c>
      <c r="L104" s="64">
        <v>23.91</v>
      </c>
      <c r="M104" s="64">
        <v>46.38</v>
      </c>
      <c r="N104" s="64">
        <v>22.2</v>
      </c>
      <c r="O104" s="64">
        <v>0</v>
      </c>
      <c r="P104" s="64">
        <v>0.39</v>
      </c>
      <c r="Q104" s="64">
        <v>9.49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47.06</v>
      </c>
      <c r="D106" s="67">
        <f t="shared" ref="D106:Q106" si="0">MIN(D9:D104)</f>
        <v>25.16</v>
      </c>
      <c r="E106" s="67">
        <f t="shared" si="0"/>
        <v>0.6</v>
      </c>
      <c r="F106" s="67">
        <f t="shared" si="0"/>
        <v>2.81</v>
      </c>
      <c r="G106" s="67">
        <f t="shared" si="0"/>
        <v>32.01</v>
      </c>
      <c r="H106" s="67">
        <f t="shared" si="0"/>
        <v>11.04</v>
      </c>
      <c r="I106" s="67">
        <f t="shared" si="0"/>
        <v>5.88</v>
      </c>
      <c r="J106" s="67">
        <f t="shared" si="0"/>
        <v>0.03</v>
      </c>
      <c r="K106" s="67">
        <f t="shared" si="0"/>
        <v>0.01</v>
      </c>
      <c r="L106" s="67">
        <f t="shared" si="0"/>
        <v>22.09</v>
      </c>
      <c r="M106" s="67">
        <f t="shared" si="0"/>
        <v>23.88</v>
      </c>
      <c r="N106" s="67">
        <f t="shared" si="0"/>
        <v>18.899999999999999</v>
      </c>
      <c r="O106" s="67">
        <f t="shared" si="0"/>
        <v>0</v>
      </c>
      <c r="P106" s="67">
        <f t="shared" si="0"/>
        <v>0.39</v>
      </c>
      <c r="Q106" s="67">
        <f t="shared" si="0"/>
        <v>9.2799999999999994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41.47</v>
      </c>
      <c r="C107" s="66">
        <f t="shared" ref="C107:Q107" si="1">MAX(C9:C104)</f>
        <v>67.55</v>
      </c>
      <c r="D107" s="66">
        <f t="shared" si="1"/>
        <v>68.47</v>
      </c>
      <c r="E107" s="66">
        <f t="shared" si="1"/>
        <v>2.64</v>
      </c>
      <c r="F107" s="66">
        <f t="shared" si="1"/>
        <v>6.18</v>
      </c>
      <c r="G107" s="66">
        <f t="shared" si="1"/>
        <v>126.9</v>
      </c>
      <c r="H107" s="66">
        <f t="shared" si="1"/>
        <v>47.91</v>
      </c>
      <c r="I107" s="66">
        <f t="shared" si="1"/>
        <v>10.95</v>
      </c>
      <c r="J107" s="66">
        <f t="shared" si="1"/>
        <v>3.05</v>
      </c>
      <c r="K107" s="66">
        <f t="shared" si="1"/>
        <v>359.47</v>
      </c>
      <c r="L107" s="66">
        <f t="shared" si="1"/>
        <v>31.41</v>
      </c>
      <c r="M107" s="66">
        <f t="shared" si="1"/>
        <v>57.28</v>
      </c>
      <c r="N107" s="66">
        <f t="shared" si="1"/>
        <v>674.4</v>
      </c>
      <c r="O107" s="66">
        <f t="shared" si="1"/>
        <v>0</v>
      </c>
      <c r="P107" s="66">
        <f t="shared" si="1"/>
        <v>1.37</v>
      </c>
      <c r="Q107" s="66">
        <f t="shared" si="1"/>
        <v>10.44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12.551666666666668</v>
      </c>
      <c r="C108" s="67">
        <f t="shared" ref="C108:Q108" si="2">AVERAGE(C9:C104)</f>
        <v>54.561145833333335</v>
      </c>
      <c r="D108" s="67">
        <f t="shared" si="2"/>
        <v>38.491250000000001</v>
      </c>
      <c r="E108" s="67">
        <f t="shared" si="2"/>
        <v>1.5656249999999998</v>
      </c>
      <c r="F108" s="67">
        <f t="shared" si="2"/>
        <v>3.6844791666666659</v>
      </c>
      <c r="G108" s="67">
        <f t="shared" si="2"/>
        <v>73.435208333333279</v>
      </c>
      <c r="H108" s="67">
        <f t="shared" si="2"/>
        <v>24.837708333333342</v>
      </c>
      <c r="I108" s="67">
        <f t="shared" si="2"/>
        <v>8.164791666666666</v>
      </c>
      <c r="J108" s="67">
        <f t="shared" si="2"/>
        <v>0.84374999999999956</v>
      </c>
      <c r="K108" s="67">
        <f t="shared" si="2"/>
        <v>143.52645833333327</v>
      </c>
      <c r="L108" s="67">
        <f t="shared" si="2"/>
        <v>26.164791666666673</v>
      </c>
      <c r="M108" s="67">
        <f t="shared" si="2"/>
        <v>40.512395833333322</v>
      </c>
      <c r="N108" s="67">
        <f t="shared" si="2"/>
        <v>115.89791666666663</v>
      </c>
      <c r="O108" s="67">
        <f t="shared" si="2"/>
        <v>0</v>
      </c>
      <c r="P108" s="67">
        <f t="shared" si="2"/>
        <v>0.76666666666666672</v>
      </c>
      <c r="Q108" s="67">
        <f t="shared" si="2"/>
        <v>9.790520833333332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11.801779407910592</v>
      </c>
      <c r="C109" s="67">
        <f t="shared" ref="C109:Q109" si="3">STDEV(C9:C104)</f>
        <v>5.4037670816982493</v>
      </c>
      <c r="D109" s="67">
        <f t="shared" si="3"/>
        <v>10.497383759274213</v>
      </c>
      <c r="E109" s="67">
        <f t="shared" si="3"/>
        <v>0.52559302346567605</v>
      </c>
      <c r="F109" s="67">
        <f t="shared" si="3"/>
        <v>0.6506092202360384</v>
      </c>
      <c r="G109" s="67">
        <f t="shared" si="3"/>
        <v>26.15757356279417</v>
      </c>
      <c r="H109" s="67">
        <f t="shared" si="3"/>
        <v>9.9647040761158969</v>
      </c>
      <c r="I109" s="67">
        <f t="shared" si="3"/>
        <v>1.3169246305146449</v>
      </c>
      <c r="J109" s="67">
        <f t="shared" si="3"/>
        <v>0.67904770780386625</v>
      </c>
      <c r="K109" s="67">
        <f t="shared" si="3"/>
        <v>129.0549907024882</v>
      </c>
      <c r="L109" s="67">
        <f t="shared" si="3"/>
        <v>2.362014741772557</v>
      </c>
      <c r="M109" s="67">
        <f t="shared" si="3"/>
        <v>8.1891014537991289</v>
      </c>
      <c r="N109" s="67">
        <f t="shared" si="3"/>
        <v>155.32407071340384</v>
      </c>
      <c r="O109" s="67">
        <f t="shared" si="3"/>
        <v>0</v>
      </c>
      <c r="P109" s="67">
        <f t="shared" si="3"/>
        <v>0.24380176013641569</v>
      </c>
      <c r="Q109" s="67">
        <f t="shared" si="3"/>
        <v>0.27058754704168309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920</v>
      </c>
      <c r="B9" s="64">
        <v>1.6</v>
      </c>
      <c r="C9" s="64">
        <v>47.11</v>
      </c>
      <c r="D9" s="64">
        <v>25.82</v>
      </c>
      <c r="E9" s="64">
        <v>1.55</v>
      </c>
      <c r="F9" s="64">
        <v>3.79</v>
      </c>
      <c r="G9" s="64">
        <v>32.96</v>
      </c>
      <c r="H9" s="64">
        <v>9.43</v>
      </c>
      <c r="I9" s="64">
        <v>7.07</v>
      </c>
      <c r="J9" s="64">
        <v>0.77</v>
      </c>
      <c r="K9" s="64">
        <v>10.57</v>
      </c>
      <c r="L9" s="64">
        <v>23.38</v>
      </c>
      <c r="M9" s="64">
        <v>52.75</v>
      </c>
      <c r="N9" s="64">
        <v>23</v>
      </c>
      <c r="O9" s="64">
        <v>0</v>
      </c>
      <c r="P9" s="64">
        <v>0.38</v>
      </c>
      <c r="Q9" s="64">
        <v>9.58</v>
      </c>
      <c r="R9" s="198"/>
      <c r="S9" s="198"/>
      <c r="T9" s="198"/>
      <c r="U9" s="198"/>
    </row>
    <row r="10" spans="1:21" s="12" customFormat="1" x14ac:dyDescent="0.25">
      <c r="A10" s="214" t="s">
        <v>921</v>
      </c>
      <c r="B10" s="64">
        <v>1.74</v>
      </c>
      <c r="C10" s="64">
        <v>46.94</v>
      </c>
      <c r="D10" s="64">
        <v>25.84</v>
      </c>
      <c r="E10" s="64">
        <v>1.94</v>
      </c>
      <c r="F10" s="64">
        <v>3.36</v>
      </c>
      <c r="G10" s="64">
        <v>33.229999999999997</v>
      </c>
      <c r="H10" s="64">
        <v>8.7899999999999991</v>
      </c>
      <c r="I10" s="64">
        <v>7.52</v>
      </c>
      <c r="J10" s="64">
        <v>1.23</v>
      </c>
      <c r="K10" s="64">
        <v>110.26</v>
      </c>
      <c r="L10" s="64">
        <v>22.9</v>
      </c>
      <c r="M10" s="64">
        <v>53.2</v>
      </c>
      <c r="N10" s="64">
        <v>18.899999999999999</v>
      </c>
      <c r="O10" s="64">
        <v>0</v>
      </c>
      <c r="P10" s="64">
        <v>0.38</v>
      </c>
      <c r="Q10" s="64">
        <v>9.49</v>
      </c>
      <c r="R10" s="198"/>
      <c r="S10" s="198"/>
      <c r="T10" s="198"/>
      <c r="U10" s="198"/>
    </row>
    <row r="11" spans="1:21" s="12" customFormat="1" x14ac:dyDescent="0.25">
      <c r="A11" s="214" t="s">
        <v>922</v>
      </c>
      <c r="B11" s="64">
        <v>1.87</v>
      </c>
      <c r="C11" s="64">
        <v>46.31</v>
      </c>
      <c r="D11" s="64">
        <v>25.61</v>
      </c>
      <c r="E11" s="64">
        <v>1.85</v>
      </c>
      <c r="F11" s="64">
        <v>3.45</v>
      </c>
      <c r="G11" s="64">
        <v>33.229999999999997</v>
      </c>
      <c r="H11" s="64">
        <v>8.7899999999999991</v>
      </c>
      <c r="I11" s="64">
        <v>7.45</v>
      </c>
      <c r="J11" s="64">
        <v>1.35</v>
      </c>
      <c r="K11" s="64">
        <v>119.96</v>
      </c>
      <c r="L11" s="64">
        <v>23.11</v>
      </c>
      <c r="M11" s="64">
        <v>52</v>
      </c>
      <c r="N11" s="64">
        <v>21.1</v>
      </c>
      <c r="O11" s="64">
        <v>0</v>
      </c>
      <c r="P11" s="64">
        <v>0.37</v>
      </c>
      <c r="Q11" s="64">
        <v>9.5299999999999994</v>
      </c>
      <c r="R11" s="198"/>
      <c r="S11" s="198"/>
      <c r="T11" s="198"/>
      <c r="U11" s="198"/>
    </row>
    <row r="12" spans="1:21" s="12" customFormat="1" x14ac:dyDescent="0.25">
      <c r="A12" s="214" t="s">
        <v>923</v>
      </c>
      <c r="B12" s="64">
        <v>1.81</v>
      </c>
      <c r="C12" s="64">
        <v>45.54</v>
      </c>
      <c r="D12" s="64">
        <v>25.16</v>
      </c>
      <c r="E12" s="64">
        <v>1.75</v>
      </c>
      <c r="F12" s="64">
        <v>3.29</v>
      </c>
      <c r="G12" s="64">
        <v>33.229999999999997</v>
      </c>
      <c r="H12" s="64">
        <v>8.7899999999999991</v>
      </c>
      <c r="I12" s="64">
        <v>7.38</v>
      </c>
      <c r="J12" s="64">
        <v>0.49</v>
      </c>
      <c r="K12" s="64">
        <v>72.400000000000006</v>
      </c>
      <c r="L12" s="64">
        <v>22.39</v>
      </c>
      <c r="M12" s="64">
        <v>59.7</v>
      </c>
      <c r="N12" s="64">
        <v>19.899999999999999</v>
      </c>
      <c r="O12" s="64">
        <v>0</v>
      </c>
      <c r="P12" s="64">
        <v>0.36</v>
      </c>
      <c r="Q12" s="64">
        <v>9.56</v>
      </c>
      <c r="R12" s="198"/>
      <c r="S12" s="198"/>
      <c r="T12" s="198"/>
      <c r="U12" s="198"/>
    </row>
    <row r="13" spans="1:21" s="12" customFormat="1" x14ac:dyDescent="0.25">
      <c r="A13" s="214" t="s">
        <v>924</v>
      </c>
      <c r="B13" s="64">
        <v>1.93</v>
      </c>
      <c r="C13" s="64">
        <v>46</v>
      </c>
      <c r="D13" s="64">
        <v>25.5</v>
      </c>
      <c r="E13" s="64">
        <v>1.81</v>
      </c>
      <c r="F13" s="64">
        <v>3.34</v>
      </c>
      <c r="G13" s="64">
        <v>33.4</v>
      </c>
      <c r="H13" s="64">
        <v>11.35</v>
      </c>
      <c r="I13" s="64">
        <v>7.44</v>
      </c>
      <c r="J13" s="64">
        <v>0.59</v>
      </c>
      <c r="K13" s="64">
        <v>112.07</v>
      </c>
      <c r="L13" s="64">
        <v>21.55</v>
      </c>
      <c r="M13" s="64">
        <v>66.069999999999993</v>
      </c>
      <c r="N13" s="64">
        <v>19.7</v>
      </c>
      <c r="O13" s="64">
        <v>0.2</v>
      </c>
      <c r="P13" s="64">
        <v>0.39</v>
      </c>
      <c r="Q13" s="64">
        <v>9.5500000000000007</v>
      </c>
      <c r="R13" s="198"/>
      <c r="S13" s="198"/>
      <c r="T13" s="198"/>
      <c r="U13" s="198"/>
    </row>
    <row r="14" spans="1:21" s="12" customFormat="1" x14ac:dyDescent="0.25">
      <c r="A14" s="214" t="s">
        <v>925</v>
      </c>
      <c r="B14" s="64">
        <v>2.08</v>
      </c>
      <c r="C14" s="64">
        <v>45.79</v>
      </c>
      <c r="D14" s="64">
        <v>25.51</v>
      </c>
      <c r="E14" s="64">
        <v>1.83</v>
      </c>
      <c r="F14" s="64">
        <v>3.76</v>
      </c>
      <c r="G14" s="64">
        <v>33.450000000000003</v>
      </c>
      <c r="H14" s="64">
        <v>12.08</v>
      </c>
      <c r="I14" s="64">
        <v>7.65</v>
      </c>
      <c r="J14" s="64">
        <v>0.27</v>
      </c>
      <c r="K14" s="64">
        <v>269.58</v>
      </c>
      <c r="L14" s="64">
        <v>21.19</v>
      </c>
      <c r="M14" s="64">
        <v>71.66</v>
      </c>
      <c r="N14" s="64">
        <v>19.8</v>
      </c>
      <c r="O14" s="64">
        <v>0</v>
      </c>
      <c r="P14" s="64">
        <v>0.41</v>
      </c>
      <c r="Q14" s="64">
        <v>9.57</v>
      </c>
      <c r="R14" s="198"/>
      <c r="S14" s="198"/>
      <c r="T14" s="198"/>
      <c r="U14" s="198"/>
    </row>
    <row r="15" spans="1:21" s="12" customFormat="1" x14ac:dyDescent="0.25">
      <c r="A15" s="214" t="s">
        <v>926</v>
      </c>
      <c r="B15" s="64">
        <v>1.89</v>
      </c>
      <c r="C15" s="64">
        <v>44.61</v>
      </c>
      <c r="D15" s="64">
        <v>24.74</v>
      </c>
      <c r="E15" s="64">
        <v>1.88</v>
      </c>
      <c r="F15" s="64">
        <v>3.7</v>
      </c>
      <c r="G15" s="64">
        <v>33.450000000000003</v>
      </c>
      <c r="H15" s="64">
        <v>12.08</v>
      </c>
      <c r="I15" s="64">
        <v>7.79</v>
      </c>
      <c r="J15" s="64">
        <v>1.04</v>
      </c>
      <c r="K15" s="64">
        <v>170.87</v>
      </c>
      <c r="L15" s="64">
        <v>20.3</v>
      </c>
      <c r="M15" s="64">
        <v>81.540000000000006</v>
      </c>
      <c r="N15" s="64">
        <v>22.8</v>
      </c>
      <c r="O15" s="64">
        <v>0.6</v>
      </c>
      <c r="P15" s="64">
        <v>0.4</v>
      </c>
      <c r="Q15" s="64">
        <v>9.57</v>
      </c>
      <c r="R15" s="198"/>
      <c r="S15" s="198"/>
      <c r="T15" s="198"/>
      <c r="U15" s="198"/>
    </row>
    <row r="16" spans="1:21" s="12" customFormat="1" x14ac:dyDescent="0.25">
      <c r="A16" s="214" t="s">
        <v>927</v>
      </c>
      <c r="B16" s="64">
        <v>1.64</v>
      </c>
      <c r="C16" s="64">
        <v>44.54</v>
      </c>
      <c r="D16" s="64">
        <v>24.51</v>
      </c>
      <c r="E16" s="64">
        <v>1.86</v>
      </c>
      <c r="F16" s="64">
        <v>3.59</v>
      </c>
      <c r="G16" s="64">
        <v>33.450000000000003</v>
      </c>
      <c r="H16" s="64">
        <v>12.08</v>
      </c>
      <c r="I16" s="64">
        <v>7.6</v>
      </c>
      <c r="J16" s="64">
        <v>1.22</v>
      </c>
      <c r="K16" s="64">
        <v>157.97999999999999</v>
      </c>
      <c r="L16" s="64">
        <v>19.29</v>
      </c>
      <c r="M16" s="64">
        <v>89.58</v>
      </c>
      <c r="N16" s="64">
        <v>22.3</v>
      </c>
      <c r="O16" s="64">
        <v>0.4</v>
      </c>
      <c r="P16" s="64">
        <v>0.39</v>
      </c>
      <c r="Q16" s="64">
        <v>9.59</v>
      </c>
      <c r="R16" s="198"/>
      <c r="S16" s="198"/>
      <c r="T16" s="198"/>
      <c r="U16" s="198"/>
    </row>
    <row r="17" spans="1:21" s="12" customFormat="1" x14ac:dyDescent="0.25">
      <c r="A17" s="214" t="s">
        <v>928</v>
      </c>
      <c r="B17" s="64">
        <v>1.48</v>
      </c>
      <c r="C17" s="64">
        <v>44.58</v>
      </c>
      <c r="D17" s="64">
        <v>24.4</v>
      </c>
      <c r="E17" s="64">
        <v>1.65</v>
      </c>
      <c r="F17" s="64">
        <v>3.79</v>
      </c>
      <c r="G17" s="64">
        <v>33.450000000000003</v>
      </c>
      <c r="H17" s="64">
        <v>22.11</v>
      </c>
      <c r="I17" s="64">
        <v>7.29</v>
      </c>
      <c r="J17" s="64">
        <v>1.54</v>
      </c>
      <c r="K17" s="64">
        <v>159.52000000000001</v>
      </c>
      <c r="L17" s="64">
        <v>18.989999999999998</v>
      </c>
      <c r="M17" s="64">
        <v>89.82</v>
      </c>
      <c r="N17" s="64">
        <v>21.6</v>
      </c>
      <c r="O17" s="64">
        <v>0.2</v>
      </c>
      <c r="P17" s="64">
        <v>0.38</v>
      </c>
      <c r="Q17" s="64">
        <v>9.6</v>
      </c>
      <c r="R17" s="198"/>
      <c r="S17" s="198"/>
      <c r="T17" s="198"/>
      <c r="U17" s="198"/>
    </row>
    <row r="18" spans="1:21" s="12" customFormat="1" x14ac:dyDescent="0.25">
      <c r="A18" s="214" t="s">
        <v>929</v>
      </c>
      <c r="B18" s="64">
        <v>1.1200000000000001</v>
      </c>
      <c r="C18" s="64">
        <v>44.65</v>
      </c>
      <c r="D18" s="64">
        <v>24.15</v>
      </c>
      <c r="E18" s="64">
        <v>1.68</v>
      </c>
      <c r="F18" s="64">
        <v>3.97</v>
      </c>
      <c r="G18" s="64">
        <v>33.450000000000003</v>
      </c>
      <c r="H18" s="64">
        <v>25.16</v>
      </c>
      <c r="I18" s="64">
        <v>7.07</v>
      </c>
      <c r="J18" s="64">
        <v>0.94</v>
      </c>
      <c r="K18" s="64">
        <v>158.09</v>
      </c>
      <c r="L18" s="64">
        <v>18.649999999999999</v>
      </c>
      <c r="M18" s="64">
        <v>94.21</v>
      </c>
      <c r="N18" s="64">
        <v>21.6</v>
      </c>
      <c r="O18" s="64">
        <v>0.4</v>
      </c>
      <c r="P18" s="64">
        <v>0.37</v>
      </c>
      <c r="Q18" s="64">
        <v>9.6199999999999992</v>
      </c>
      <c r="R18" s="198"/>
      <c r="S18" s="198"/>
      <c r="T18" s="198"/>
      <c r="U18" s="198"/>
    </row>
    <row r="19" spans="1:21" s="12" customFormat="1" x14ac:dyDescent="0.25">
      <c r="A19" s="214" t="s">
        <v>930</v>
      </c>
      <c r="B19" s="64">
        <v>0.64</v>
      </c>
      <c r="C19" s="64">
        <v>44.44</v>
      </c>
      <c r="D19" s="64">
        <v>23.66</v>
      </c>
      <c r="E19" s="64">
        <v>1.75</v>
      </c>
      <c r="F19" s="64">
        <v>4.1399999999999997</v>
      </c>
      <c r="G19" s="64">
        <v>33.450000000000003</v>
      </c>
      <c r="H19" s="64">
        <v>25.16</v>
      </c>
      <c r="I19" s="64">
        <v>7.04</v>
      </c>
      <c r="J19" s="64">
        <v>1.47</v>
      </c>
      <c r="K19" s="64">
        <v>162.59</v>
      </c>
      <c r="L19" s="64">
        <v>18.34</v>
      </c>
      <c r="M19" s="64">
        <v>98.69</v>
      </c>
      <c r="N19" s="64">
        <v>21.9</v>
      </c>
      <c r="O19" s="64">
        <v>0.2</v>
      </c>
      <c r="P19" s="64">
        <v>0.36</v>
      </c>
      <c r="Q19" s="64">
        <v>9.57</v>
      </c>
      <c r="R19" s="198"/>
      <c r="S19" s="198"/>
      <c r="T19" s="198"/>
      <c r="U19" s="198"/>
    </row>
    <row r="20" spans="1:21" s="12" customFormat="1" x14ac:dyDescent="0.25">
      <c r="A20" s="214" t="s">
        <v>931</v>
      </c>
      <c r="B20" s="64">
        <v>0.28999999999999998</v>
      </c>
      <c r="C20" s="64">
        <v>43.87</v>
      </c>
      <c r="D20" s="64">
        <v>23.07</v>
      </c>
      <c r="E20" s="64">
        <v>2.1800000000000002</v>
      </c>
      <c r="F20" s="64">
        <v>3.72</v>
      </c>
      <c r="G20" s="64">
        <v>33.450000000000003</v>
      </c>
      <c r="H20" s="64">
        <v>25.16</v>
      </c>
      <c r="I20" s="64">
        <v>6.49</v>
      </c>
      <c r="J20" s="64">
        <v>1.48</v>
      </c>
      <c r="K20" s="64">
        <v>158.97999999999999</v>
      </c>
      <c r="L20" s="64">
        <v>18.02</v>
      </c>
      <c r="M20" s="64">
        <v>100.31</v>
      </c>
      <c r="N20" s="64">
        <v>22</v>
      </c>
      <c r="O20" s="64">
        <v>0.4</v>
      </c>
      <c r="P20" s="64">
        <v>0.35</v>
      </c>
      <c r="Q20" s="64">
        <v>9.52</v>
      </c>
      <c r="R20" s="198"/>
      <c r="S20" s="198"/>
      <c r="T20" s="198"/>
      <c r="U20" s="198"/>
    </row>
    <row r="21" spans="1:21" s="12" customFormat="1" x14ac:dyDescent="0.25">
      <c r="A21" s="214" t="s">
        <v>932</v>
      </c>
      <c r="B21" s="64">
        <v>0.14000000000000001</v>
      </c>
      <c r="C21" s="64">
        <v>43.98</v>
      </c>
      <c r="D21" s="64">
        <v>23.01</v>
      </c>
      <c r="E21" s="64">
        <v>1.99</v>
      </c>
      <c r="F21" s="64">
        <v>4</v>
      </c>
      <c r="G21" s="64">
        <v>37.380000000000003</v>
      </c>
      <c r="H21" s="64">
        <v>19.59</v>
      </c>
      <c r="I21" s="64">
        <v>6.59</v>
      </c>
      <c r="J21" s="64">
        <v>2.0699999999999998</v>
      </c>
      <c r="K21" s="64">
        <v>162.97999999999999</v>
      </c>
      <c r="L21" s="64">
        <v>17.79</v>
      </c>
      <c r="M21" s="64">
        <v>101.25</v>
      </c>
      <c r="N21" s="64">
        <v>22.2</v>
      </c>
      <c r="O21" s="64">
        <v>0.4</v>
      </c>
      <c r="P21" s="64">
        <v>0.34</v>
      </c>
      <c r="Q21" s="64">
        <v>9.48</v>
      </c>
      <c r="R21" s="198"/>
      <c r="S21" s="198"/>
      <c r="T21" s="198"/>
      <c r="U21" s="198"/>
    </row>
    <row r="22" spans="1:21" s="12" customFormat="1" x14ac:dyDescent="0.25">
      <c r="A22" s="214" t="s">
        <v>933</v>
      </c>
      <c r="B22" s="64">
        <v>0.1</v>
      </c>
      <c r="C22" s="64">
        <v>42.75</v>
      </c>
      <c r="D22" s="64">
        <v>22.34</v>
      </c>
      <c r="E22" s="64">
        <v>1.93</v>
      </c>
      <c r="F22" s="64">
        <v>4.42</v>
      </c>
      <c r="G22" s="64">
        <v>38.5</v>
      </c>
      <c r="H22" s="64">
        <v>18</v>
      </c>
      <c r="I22" s="64">
        <v>6.19</v>
      </c>
      <c r="J22" s="64">
        <v>1.87</v>
      </c>
      <c r="K22" s="64">
        <v>159.77000000000001</v>
      </c>
      <c r="L22" s="64">
        <v>17.78</v>
      </c>
      <c r="M22" s="64">
        <v>102.51</v>
      </c>
      <c r="N22" s="64">
        <v>22.1</v>
      </c>
      <c r="O22" s="64">
        <v>0.4</v>
      </c>
      <c r="P22" s="64">
        <v>0.34</v>
      </c>
      <c r="Q22" s="64">
        <v>9.58</v>
      </c>
      <c r="R22" s="198"/>
      <c r="S22" s="198"/>
      <c r="T22" s="198"/>
      <c r="U22" s="198"/>
    </row>
    <row r="23" spans="1:21" s="12" customFormat="1" x14ac:dyDescent="0.25">
      <c r="A23" s="214" t="s">
        <v>934</v>
      </c>
      <c r="B23" s="64">
        <v>0.1</v>
      </c>
      <c r="C23" s="64">
        <v>42.26</v>
      </c>
      <c r="D23" s="64">
        <v>22.08</v>
      </c>
      <c r="E23" s="64">
        <v>1.89</v>
      </c>
      <c r="F23" s="64">
        <v>4.82</v>
      </c>
      <c r="G23" s="64">
        <v>38.5</v>
      </c>
      <c r="H23" s="64">
        <v>18</v>
      </c>
      <c r="I23" s="64">
        <v>5.87</v>
      </c>
      <c r="J23" s="64">
        <v>2.41</v>
      </c>
      <c r="K23" s="64">
        <v>163.47</v>
      </c>
      <c r="L23" s="64">
        <v>18.07</v>
      </c>
      <c r="M23" s="64">
        <v>99.08</v>
      </c>
      <c r="N23" s="64">
        <v>22.2</v>
      </c>
      <c r="O23" s="64">
        <v>0.2</v>
      </c>
      <c r="P23" s="64">
        <v>0.33</v>
      </c>
      <c r="Q23" s="64">
        <v>9.56</v>
      </c>
      <c r="R23" s="198"/>
      <c r="S23" s="198"/>
      <c r="T23" s="198"/>
      <c r="U23" s="198"/>
    </row>
    <row r="24" spans="1:21" s="12" customFormat="1" x14ac:dyDescent="0.25">
      <c r="A24" s="214" t="s">
        <v>935</v>
      </c>
      <c r="B24" s="64">
        <v>0.1</v>
      </c>
      <c r="C24" s="64">
        <v>40.409999999999997</v>
      </c>
      <c r="D24" s="64">
        <v>21.11</v>
      </c>
      <c r="E24" s="64">
        <v>1.2</v>
      </c>
      <c r="F24" s="64">
        <v>5.77</v>
      </c>
      <c r="G24" s="64">
        <v>38.5</v>
      </c>
      <c r="H24" s="64">
        <v>18</v>
      </c>
      <c r="I24" s="64">
        <v>5.56</v>
      </c>
      <c r="J24" s="64">
        <v>2.87</v>
      </c>
      <c r="K24" s="64">
        <v>160.4</v>
      </c>
      <c r="L24" s="64">
        <v>17.940000000000001</v>
      </c>
      <c r="M24" s="64">
        <v>97.09</v>
      </c>
      <c r="N24" s="64">
        <v>22.3</v>
      </c>
      <c r="O24" s="64">
        <v>0.2</v>
      </c>
      <c r="P24" s="64">
        <v>0.32</v>
      </c>
      <c r="Q24" s="64">
        <v>9.57</v>
      </c>
      <c r="R24" s="198"/>
      <c r="S24" s="198"/>
      <c r="T24" s="198"/>
      <c r="U24" s="198"/>
    </row>
    <row r="25" spans="1:21" s="12" customFormat="1" x14ac:dyDescent="0.25">
      <c r="A25" s="214" t="s">
        <v>936</v>
      </c>
      <c r="B25" s="64">
        <v>0.1</v>
      </c>
      <c r="C25" s="64">
        <v>36.9</v>
      </c>
      <c r="D25" s="64">
        <v>19.28</v>
      </c>
      <c r="E25" s="64">
        <v>1.4</v>
      </c>
      <c r="F25" s="64">
        <v>6.99</v>
      </c>
      <c r="G25" s="64">
        <v>31.32</v>
      </c>
      <c r="H25" s="64">
        <v>15.74</v>
      </c>
      <c r="I25" s="64">
        <v>5.32</v>
      </c>
      <c r="J25" s="64">
        <v>3.07</v>
      </c>
      <c r="K25" s="64">
        <v>157.82</v>
      </c>
      <c r="L25" s="64">
        <v>18.12</v>
      </c>
      <c r="M25" s="64">
        <v>95.7</v>
      </c>
      <c r="N25" s="64">
        <v>22.6</v>
      </c>
      <c r="O25" s="64">
        <v>0.2</v>
      </c>
      <c r="P25" s="64">
        <v>0.31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4" t="s">
        <v>937</v>
      </c>
      <c r="B26" s="64">
        <v>0.1</v>
      </c>
      <c r="C26" s="64">
        <v>36.35</v>
      </c>
      <c r="D26" s="64">
        <v>18.989999999999998</v>
      </c>
      <c r="E26" s="64">
        <v>1.05</v>
      </c>
      <c r="F26" s="64">
        <v>7.21</v>
      </c>
      <c r="G26" s="64">
        <v>29.27</v>
      </c>
      <c r="H26" s="64">
        <v>15.09</v>
      </c>
      <c r="I26" s="64">
        <v>4.8899999999999997</v>
      </c>
      <c r="J26" s="64">
        <v>2.5299999999999998</v>
      </c>
      <c r="K26" s="64">
        <v>161.47</v>
      </c>
      <c r="L26" s="64">
        <v>18.52</v>
      </c>
      <c r="M26" s="64">
        <v>91.54</v>
      </c>
      <c r="N26" s="64">
        <v>22.7</v>
      </c>
      <c r="O26" s="64">
        <v>0.2</v>
      </c>
      <c r="P26" s="64">
        <v>0.3</v>
      </c>
      <c r="Q26" s="64">
        <v>9.49</v>
      </c>
      <c r="R26" s="198"/>
      <c r="S26" s="198"/>
      <c r="T26" s="198"/>
      <c r="U26" s="198"/>
    </row>
    <row r="27" spans="1:21" s="12" customFormat="1" x14ac:dyDescent="0.25">
      <c r="A27" s="214" t="s">
        <v>938</v>
      </c>
      <c r="B27" s="64">
        <v>0.1</v>
      </c>
      <c r="C27" s="64">
        <v>36.64</v>
      </c>
      <c r="D27" s="64">
        <v>19.14</v>
      </c>
      <c r="E27" s="64">
        <v>0.76</v>
      </c>
      <c r="F27" s="64">
        <v>7</v>
      </c>
      <c r="G27" s="64">
        <v>29.27</v>
      </c>
      <c r="H27" s="64">
        <v>15.09</v>
      </c>
      <c r="I27" s="64">
        <v>4.07</v>
      </c>
      <c r="J27" s="64">
        <v>1.85</v>
      </c>
      <c r="K27" s="64">
        <v>158.76</v>
      </c>
      <c r="L27" s="64">
        <v>18.690000000000001</v>
      </c>
      <c r="M27" s="64">
        <v>89.69</v>
      </c>
      <c r="N27" s="64">
        <v>22.1</v>
      </c>
      <c r="O27" s="64">
        <v>0</v>
      </c>
      <c r="P27" s="64">
        <v>0.28999999999999998</v>
      </c>
      <c r="Q27" s="64">
        <v>9.48</v>
      </c>
      <c r="R27" s="198"/>
      <c r="S27" s="198"/>
      <c r="T27" s="198"/>
      <c r="U27" s="198"/>
    </row>
    <row r="28" spans="1:21" s="12" customFormat="1" x14ac:dyDescent="0.25">
      <c r="A28" s="214" t="s">
        <v>939</v>
      </c>
      <c r="B28" s="64">
        <v>0.1</v>
      </c>
      <c r="C28" s="64">
        <v>37.17</v>
      </c>
      <c r="D28" s="64">
        <v>19.420000000000002</v>
      </c>
      <c r="E28" s="64">
        <v>0.86</v>
      </c>
      <c r="F28" s="64">
        <v>6.07</v>
      </c>
      <c r="G28" s="64">
        <v>29.27</v>
      </c>
      <c r="H28" s="64">
        <v>15.09</v>
      </c>
      <c r="I28" s="64">
        <v>3.75</v>
      </c>
      <c r="J28" s="64">
        <v>2.84</v>
      </c>
      <c r="K28" s="64">
        <v>165.42</v>
      </c>
      <c r="L28" s="64">
        <v>18.45</v>
      </c>
      <c r="M28" s="64">
        <v>93.53</v>
      </c>
      <c r="N28" s="64">
        <v>22.3</v>
      </c>
      <c r="O28" s="64">
        <v>0.2</v>
      </c>
      <c r="P28" s="64">
        <v>0.28999999999999998</v>
      </c>
      <c r="Q28" s="64">
        <v>9.57</v>
      </c>
      <c r="R28" s="198"/>
      <c r="S28" s="198"/>
      <c r="T28" s="198"/>
      <c r="U28" s="198"/>
    </row>
    <row r="29" spans="1:21" s="12" customFormat="1" x14ac:dyDescent="0.25">
      <c r="A29" s="214" t="s">
        <v>940</v>
      </c>
      <c r="B29" s="64">
        <v>0.1</v>
      </c>
      <c r="C29" s="64">
        <v>36.96</v>
      </c>
      <c r="D29" s="64">
        <v>19.309999999999999</v>
      </c>
      <c r="E29" s="64">
        <v>1.02</v>
      </c>
      <c r="F29" s="64">
        <v>6.81</v>
      </c>
      <c r="G29" s="64">
        <v>25.38</v>
      </c>
      <c r="H29" s="64">
        <v>11.07</v>
      </c>
      <c r="I29" s="64">
        <v>3.66</v>
      </c>
      <c r="J29" s="64">
        <v>2.44</v>
      </c>
      <c r="K29" s="64">
        <v>159.44999999999999</v>
      </c>
      <c r="L29" s="64">
        <v>17.82</v>
      </c>
      <c r="M29" s="64">
        <v>97.56</v>
      </c>
      <c r="N29" s="64">
        <v>22.5</v>
      </c>
      <c r="O29" s="64">
        <v>0.2</v>
      </c>
      <c r="P29" s="64">
        <v>0.28000000000000003</v>
      </c>
      <c r="Q29" s="64">
        <v>9.57</v>
      </c>
      <c r="R29" s="198"/>
      <c r="S29" s="198"/>
      <c r="T29" s="198"/>
      <c r="U29" s="198"/>
    </row>
    <row r="30" spans="1:21" s="12" customFormat="1" x14ac:dyDescent="0.25">
      <c r="A30" s="214" t="s">
        <v>941</v>
      </c>
      <c r="B30" s="64">
        <v>0.1</v>
      </c>
      <c r="C30" s="64">
        <v>36.159999999999997</v>
      </c>
      <c r="D30" s="64">
        <v>18.89</v>
      </c>
      <c r="E30" s="64">
        <v>0.97</v>
      </c>
      <c r="F30" s="64">
        <v>6.71</v>
      </c>
      <c r="G30" s="64">
        <v>24.27</v>
      </c>
      <c r="H30" s="64">
        <v>9.92</v>
      </c>
      <c r="I30" s="64">
        <v>3.69</v>
      </c>
      <c r="J30" s="64">
        <v>3.08</v>
      </c>
      <c r="K30" s="64">
        <v>161.66999999999999</v>
      </c>
      <c r="L30" s="64">
        <v>18.149999999999999</v>
      </c>
      <c r="M30" s="64">
        <v>94.33</v>
      </c>
      <c r="N30" s="64">
        <v>23</v>
      </c>
      <c r="O30" s="64">
        <v>0</v>
      </c>
      <c r="P30" s="64">
        <v>0.28000000000000003</v>
      </c>
      <c r="Q30" s="64">
        <v>9.4600000000000009</v>
      </c>
      <c r="R30" s="198"/>
      <c r="S30" s="198"/>
      <c r="T30" s="198"/>
      <c r="U30" s="198"/>
    </row>
    <row r="31" spans="1:21" s="12" customFormat="1" x14ac:dyDescent="0.25">
      <c r="A31" s="214" t="s">
        <v>942</v>
      </c>
      <c r="B31" s="64">
        <v>0.1</v>
      </c>
      <c r="C31" s="64">
        <v>36</v>
      </c>
      <c r="D31" s="64">
        <v>18.809999999999999</v>
      </c>
      <c r="E31" s="64">
        <v>1.0900000000000001</v>
      </c>
      <c r="F31" s="64">
        <v>6.94</v>
      </c>
      <c r="G31" s="64">
        <v>24.27</v>
      </c>
      <c r="H31" s="64">
        <v>9.92</v>
      </c>
      <c r="I31" s="64">
        <v>3.14</v>
      </c>
      <c r="J31" s="64">
        <v>2.69</v>
      </c>
      <c r="K31" s="64">
        <v>159.65</v>
      </c>
      <c r="L31" s="64">
        <v>18.45</v>
      </c>
      <c r="M31" s="64">
        <v>91.97</v>
      </c>
      <c r="N31" s="64">
        <v>23.1</v>
      </c>
      <c r="O31" s="64">
        <v>0</v>
      </c>
      <c r="P31" s="64">
        <v>0.27</v>
      </c>
      <c r="Q31" s="64">
        <v>9.42</v>
      </c>
      <c r="R31" s="198"/>
      <c r="S31" s="198"/>
      <c r="T31" s="198"/>
      <c r="U31" s="198"/>
    </row>
    <row r="32" spans="1:21" s="12" customFormat="1" x14ac:dyDescent="0.25">
      <c r="A32" s="214" t="s">
        <v>943</v>
      </c>
      <c r="B32" s="64">
        <v>0.1</v>
      </c>
      <c r="C32" s="64">
        <v>35.950000000000003</v>
      </c>
      <c r="D32" s="64">
        <v>18.78</v>
      </c>
      <c r="E32" s="64">
        <v>1.45</v>
      </c>
      <c r="F32" s="64">
        <v>7.43</v>
      </c>
      <c r="G32" s="64">
        <v>24.27</v>
      </c>
      <c r="H32" s="64">
        <v>9.92</v>
      </c>
      <c r="I32" s="64">
        <v>2.93</v>
      </c>
      <c r="J32" s="64">
        <v>2.37</v>
      </c>
      <c r="K32" s="64">
        <v>162.06</v>
      </c>
      <c r="L32" s="64">
        <v>18.2</v>
      </c>
      <c r="M32" s="64">
        <v>94.17</v>
      </c>
      <c r="N32" s="64">
        <v>22.7</v>
      </c>
      <c r="O32" s="64">
        <v>0.2</v>
      </c>
      <c r="P32" s="64">
        <v>0.26</v>
      </c>
      <c r="Q32" s="64">
        <v>9.41</v>
      </c>
      <c r="R32" s="198"/>
      <c r="S32" s="198"/>
      <c r="T32" s="198"/>
      <c r="U32" s="198"/>
    </row>
    <row r="33" spans="1:21" s="12" customFormat="1" x14ac:dyDescent="0.25">
      <c r="A33" s="214" t="s">
        <v>944</v>
      </c>
      <c r="B33" s="64">
        <v>0.1</v>
      </c>
      <c r="C33" s="64">
        <v>35.65</v>
      </c>
      <c r="D33" s="64">
        <v>18.63</v>
      </c>
      <c r="E33" s="64">
        <v>1.39</v>
      </c>
      <c r="F33" s="64">
        <v>6.9</v>
      </c>
      <c r="G33" s="64">
        <v>19.68</v>
      </c>
      <c r="H33" s="64">
        <v>7.66</v>
      </c>
      <c r="I33" s="64">
        <v>2.77</v>
      </c>
      <c r="J33" s="64">
        <v>1.84</v>
      </c>
      <c r="K33" s="64">
        <v>165.36</v>
      </c>
      <c r="L33" s="64">
        <v>18</v>
      </c>
      <c r="M33" s="64">
        <v>95.8</v>
      </c>
      <c r="N33" s="64">
        <v>24.2</v>
      </c>
      <c r="O33" s="64">
        <v>0</v>
      </c>
      <c r="P33" s="64">
        <v>0.27</v>
      </c>
      <c r="Q33" s="64">
        <v>9.4</v>
      </c>
      <c r="R33" s="198"/>
      <c r="S33" s="198"/>
      <c r="T33" s="198"/>
      <c r="U33" s="198"/>
    </row>
    <row r="34" spans="1:21" s="12" customFormat="1" x14ac:dyDescent="0.25">
      <c r="A34" s="214" t="s">
        <v>945</v>
      </c>
      <c r="B34" s="64">
        <v>0.1</v>
      </c>
      <c r="C34" s="64">
        <v>36.450000000000003</v>
      </c>
      <c r="D34" s="64">
        <v>19.05</v>
      </c>
      <c r="E34" s="64">
        <v>1.1299999999999999</v>
      </c>
      <c r="F34" s="64">
        <v>6.34</v>
      </c>
      <c r="G34" s="64">
        <v>18.37</v>
      </c>
      <c r="H34" s="64">
        <v>7.01</v>
      </c>
      <c r="I34" s="64">
        <v>2.66</v>
      </c>
      <c r="J34" s="64">
        <v>1.73</v>
      </c>
      <c r="K34" s="64">
        <v>155.9</v>
      </c>
      <c r="L34" s="64">
        <v>18.170000000000002</v>
      </c>
      <c r="M34" s="64">
        <v>94.5</v>
      </c>
      <c r="N34" s="64">
        <v>28.9</v>
      </c>
      <c r="O34" s="64">
        <v>0</v>
      </c>
      <c r="P34" s="64">
        <v>0.26</v>
      </c>
      <c r="Q34" s="64">
        <v>9.43</v>
      </c>
      <c r="R34" s="198"/>
      <c r="S34" s="198"/>
      <c r="T34" s="198"/>
      <c r="U34" s="198"/>
    </row>
    <row r="35" spans="1:21" s="12" customFormat="1" x14ac:dyDescent="0.25">
      <c r="A35" s="214" t="s">
        <v>946</v>
      </c>
      <c r="B35" s="64">
        <v>0.1</v>
      </c>
      <c r="C35" s="64">
        <v>36.450000000000003</v>
      </c>
      <c r="D35" s="64">
        <v>19.04</v>
      </c>
      <c r="E35" s="64">
        <v>1.59</v>
      </c>
      <c r="F35" s="64">
        <v>6.03</v>
      </c>
      <c r="G35" s="64">
        <v>18.37</v>
      </c>
      <c r="H35" s="64">
        <v>7.01</v>
      </c>
      <c r="I35" s="64">
        <v>2.59</v>
      </c>
      <c r="J35" s="64">
        <v>2.02</v>
      </c>
      <c r="K35" s="64">
        <v>164.6</v>
      </c>
      <c r="L35" s="64">
        <v>18.440000000000001</v>
      </c>
      <c r="M35" s="64">
        <v>93.92</v>
      </c>
      <c r="N35" s="64">
        <v>43.7</v>
      </c>
      <c r="O35" s="64">
        <v>0</v>
      </c>
      <c r="P35" s="64">
        <v>0.26</v>
      </c>
      <c r="Q35" s="64">
        <v>9.25</v>
      </c>
      <c r="R35" s="198"/>
      <c r="S35" s="198"/>
      <c r="T35" s="198"/>
      <c r="U35" s="198"/>
    </row>
    <row r="36" spans="1:21" s="12" customFormat="1" x14ac:dyDescent="0.25">
      <c r="A36" s="214" t="s">
        <v>947</v>
      </c>
      <c r="B36" s="64">
        <v>0.1</v>
      </c>
      <c r="C36" s="64">
        <v>37.369999999999997</v>
      </c>
      <c r="D36" s="64">
        <v>19.52</v>
      </c>
      <c r="E36" s="64">
        <v>1.25</v>
      </c>
      <c r="F36" s="64">
        <v>5.59</v>
      </c>
      <c r="G36" s="64">
        <v>18.37</v>
      </c>
      <c r="H36" s="64">
        <v>7.01</v>
      </c>
      <c r="I36" s="64">
        <v>2.57</v>
      </c>
      <c r="J36" s="64">
        <v>2.08</v>
      </c>
      <c r="K36" s="64">
        <v>157.02000000000001</v>
      </c>
      <c r="L36" s="64">
        <v>18.62</v>
      </c>
      <c r="M36" s="64">
        <v>92.6</v>
      </c>
      <c r="N36" s="64">
        <v>32.9</v>
      </c>
      <c r="O36" s="64">
        <v>0</v>
      </c>
      <c r="P36" s="64">
        <v>0.26</v>
      </c>
      <c r="Q36" s="64">
        <v>9.58</v>
      </c>
      <c r="R36" s="198"/>
      <c r="S36" s="198"/>
      <c r="T36" s="198"/>
      <c r="U36" s="198"/>
    </row>
    <row r="37" spans="1:21" s="12" customFormat="1" x14ac:dyDescent="0.25">
      <c r="A37" s="214" t="s">
        <v>948</v>
      </c>
      <c r="B37" s="64">
        <v>0.1</v>
      </c>
      <c r="C37" s="64">
        <v>37.39</v>
      </c>
      <c r="D37" s="64">
        <v>19.54</v>
      </c>
      <c r="E37" s="64">
        <v>1.49</v>
      </c>
      <c r="F37" s="64">
        <v>5.99</v>
      </c>
      <c r="G37" s="64">
        <v>16.760000000000002</v>
      </c>
      <c r="H37" s="64">
        <v>6.82</v>
      </c>
      <c r="I37" s="64">
        <v>2.4900000000000002</v>
      </c>
      <c r="J37" s="64">
        <v>2.36</v>
      </c>
      <c r="K37" s="64">
        <v>157.19999999999999</v>
      </c>
      <c r="L37" s="64">
        <v>18.68</v>
      </c>
      <c r="M37" s="64">
        <v>92.4</v>
      </c>
      <c r="N37" s="64">
        <v>58.3</v>
      </c>
      <c r="O37" s="64">
        <v>0</v>
      </c>
      <c r="P37" s="64">
        <v>0.24</v>
      </c>
      <c r="Q37" s="64">
        <v>9.4600000000000009</v>
      </c>
      <c r="R37" s="198"/>
      <c r="S37" s="198"/>
      <c r="T37" s="198"/>
      <c r="U37" s="198"/>
    </row>
    <row r="38" spans="1:21" s="12" customFormat="1" x14ac:dyDescent="0.25">
      <c r="A38" s="214" t="s">
        <v>949</v>
      </c>
      <c r="B38" s="64">
        <v>0.1</v>
      </c>
      <c r="C38" s="64">
        <v>37.57</v>
      </c>
      <c r="D38" s="64">
        <v>19.63</v>
      </c>
      <c r="E38" s="64">
        <v>1.26</v>
      </c>
      <c r="F38" s="64">
        <v>6.29</v>
      </c>
      <c r="G38" s="64">
        <v>16.3</v>
      </c>
      <c r="H38" s="64">
        <v>6.76</v>
      </c>
      <c r="I38" s="64">
        <v>2.48</v>
      </c>
      <c r="J38" s="64">
        <v>2.2999999999999998</v>
      </c>
      <c r="K38" s="64">
        <v>166.04</v>
      </c>
      <c r="L38" s="64">
        <v>18.63</v>
      </c>
      <c r="M38" s="64">
        <v>93.69</v>
      </c>
      <c r="N38" s="64">
        <v>78.900000000000006</v>
      </c>
      <c r="O38" s="64">
        <v>0</v>
      </c>
      <c r="P38" s="64">
        <v>0.26</v>
      </c>
      <c r="Q38" s="64">
        <v>9.39</v>
      </c>
      <c r="R38" s="198"/>
      <c r="S38" s="198"/>
      <c r="T38" s="198"/>
      <c r="U38" s="198"/>
    </row>
    <row r="39" spans="1:21" s="12" customFormat="1" x14ac:dyDescent="0.25">
      <c r="A39" s="214" t="s">
        <v>950</v>
      </c>
      <c r="B39" s="64">
        <v>0.1</v>
      </c>
      <c r="C39" s="64">
        <v>37.619999999999997</v>
      </c>
      <c r="D39" s="64">
        <v>19.649999999999999</v>
      </c>
      <c r="E39" s="64">
        <v>1.17</v>
      </c>
      <c r="F39" s="64">
        <v>6.65</v>
      </c>
      <c r="G39" s="64">
        <v>16.3</v>
      </c>
      <c r="H39" s="64">
        <v>6.76</v>
      </c>
      <c r="I39" s="64">
        <v>2.4</v>
      </c>
      <c r="J39" s="64">
        <v>2.13</v>
      </c>
      <c r="K39" s="64">
        <v>161.41999999999999</v>
      </c>
      <c r="L39" s="64">
        <v>18.48</v>
      </c>
      <c r="M39" s="64">
        <v>96.16</v>
      </c>
      <c r="N39" s="64">
        <v>94.7</v>
      </c>
      <c r="O39" s="64">
        <v>0</v>
      </c>
      <c r="P39" s="64">
        <v>0.26</v>
      </c>
      <c r="Q39" s="64">
        <v>9.2100000000000009</v>
      </c>
      <c r="R39" s="198"/>
      <c r="S39" s="198"/>
      <c r="T39" s="198"/>
      <c r="U39" s="198"/>
    </row>
    <row r="40" spans="1:21" s="12" customFormat="1" x14ac:dyDescent="0.25">
      <c r="A40" s="214" t="s">
        <v>951</v>
      </c>
      <c r="B40" s="64">
        <v>0.1</v>
      </c>
      <c r="C40" s="64">
        <v>37.479999999999997</v>
      </c>
      <c r="D40" s="64">
        <v>19.579999999999998</v>
      </c>
      <c r="E40" s="64">
        <v>1.66</v>
      </c>
      <c r="F40" s="64">
        <v>6.33</v>
      </c>
      <c r="G40" s="64">
        <v>16.3</v>
      </c>
      <c r="H40" s="64">
        <v>6.76</v>
      </c>
      <c r="I40" s="64">
        <v>2.34</v>
      </c>
      <c r="J40" s="64">
        <v>2.12</v>
      </c>
      <c r="K40" s="64">
        <v>161.04</v>
      </c>
      <c r="L40" s="64">
        <v>18.62</v>
      </c>
      <c r="M40" s="64">
        <v>95.59</v>
      </c>
      <c r="N40" s="64">
        <v>113.5</v>
      </c>
      <c r="O40" s="64">
        <v>0</v>
      </c>
      <c r="P40" s="64">
        <v>0.27</v>
      </c>
      <c r="Q40" s="64">
        <v>9.5500000000000007</v>
      </c>
      <c r="R40" s="198"/>
      <c r="S40" s="198"/>
      <c r="T40" s="198"/>
      <c r="U40" s="198"/>
    </row>
    <row r="41" spans="1:21" s="12" customFormat="1" x14ac:dyDescent="0.25">
      <c r="A41" s="214" t="s">
        <v>952</v>
      </c>
      <c r="B41" s="64">
        <v>0.1</v>
      </c>
      <c r="C41" s="64">
        <v>38.11</v>
      </c>
      <c r="D41" s="64">
        <v>19.91</v>
      </c>
      <c r="E41" s="64">
        <v>1.81</v>
      </c>
      <c r="F41" s="64">
        <v>5.24</v>
      </c>
      <c r="G41" s="64">
        <v>15.64</v>
      </c>
      <c r="H41" s="64">
        <v>6.1</v>
      </c>
      <c r="I41" s="64">
        <v>2.3199999999999998</v>
      </c>
      <c r="J41" s="64">
        <v>1.54</v>
      </c>
      <c r="K41" s="64">
        <v>166.88</v>
      </c>
      <c r="L41" s="64">
        <v>18.86</v>
      </c>
      <c r="M41" s="64">
        <v>94.6</v>
      </c>
      <c r="N41" s="64">
        <v>114.7</v>
      </c>
      <c r="O41" s="64">
        <v>0</v>
      </c>
      <c r="P41" s="64">
        <v>0.28000000000000003</v>
      </c>
      <c r="Q41" s="64">
        <v>9.32</v>
      </c>
      <c r="R41" s="198"/>
      <c r="S41" s="198"/>
      <c r="T41" s="198"/>
      <c r="U41" s="198"/>
    </row>
    <row r="42" spans="1:21" s="12" customFormat="1" x14ac:dyDescent="0.25">
      <c r="A42" s="214" t="s">
        <v>953</v>
      </c>
      <c r="B42" s="64">
        <v>0.1</v>
      </c>
      <c r="C42" s="64">
        <v>38.18</v>
      </c>
      <c r="D42" s="64">
        <v>19.95</v>
      </c>
      <c r="E42" s="64">
        <v>1.77</v>
      </c>
      <c r="F42" s="64">
        <v>5.38</v>
      </c>
      <c r="G42" s="64">
        <v>15.45</v>
      </c>
      <c r="H42" s="64">
        <v>5.91</v>
      </c>
      <c r="I42" s="64">
        <v>2.2400000000000002</v>
      </c>
      <c r="J42" s="64">
        <v>1.28</v>
      </c>
      <c r="K42" s="64">
        <v>155.5</v>
      </c>
      <c r="L42" s="64">
        <v>19.18</v>
      </c>
      <c r="M42" s="64">
        <v>92.11</v>
      </c>
      <c r="N42" s="64">
        <v>126.4</v>
      </c>
      <c r="O42" s="64">
        <v>0</v>
      </c>
      <c r="P42" s="64">
        <v>0.27</v>
      </c>
      <c r="Q42" s="64">
        <v>9.41</v>
      </c>
      <c r="R42" s="198"/>
      <c r="S42" s="198"/>
      <c r="T42" s="198"/>
      <c r="U42" s="198"/>
    </row>
    <row r="43" spans="1:21" s="12" customFormat="1" x14ac:dyDescent="0.25">
      <c r="A43" s="214" t="s">
        <v>954</v>
      </c>
      <c r="B43" s="64">
        <v>0.1</v>
      </c>
      <c r="C43" s="64">
        <v>38.090000000000003</v>
      </c>
      <c r="D43" s="64">
        <v>19.899999999999999</v>
      </c>
      <c r="E43" s="64">
        <v>1.61</v>
      </c>
      <c r="F43" s="64">
        <v>4.9000000000000004</v>
      </c>
      <c r="G43" s="64">
        <v>15.45</v>
      </c>
      <c r="H43" s="64">
        <v>5.91</v>
      </c>
      <c r="I43" s="64">
        <v>2.2000000000000002</v>
      </c>
      <c r="J43" s="64">
        <v>0.69</v>
      </c>
      <c r="K43" s="64">
        <v>145.12</v>
      </c>
      <c r="L43" s="64">
        <v>19.87</v>
      </c>
      <c r="M43" s="64">
        <v>88.6</v>
      </c>
      <c r="N43" s="64">
        <v>322.7</v>
      </c>
      <c r="O43" s="64">
        <v>0</v>
      </c>
      <c r="P43" s="64">
        <v>0.28000000000000003</v>
      </c>
      <c r="Q43" s="64">
        <v>9.41</v>
      </c>
      <c r="R43" s="198"/>
      <c r="S43" s="198"/>
      <c r="T43" s="198"/>
      <c r="U43" s="198"/>
    </row>
    <row r="44" spans="1:21" s="12" customFormat="1" x14ac:dyDescent="0.25">
      <c r="A44" s="214" t="s">
        <v>955</v>
      </c>
      <c r="B44" s="64">
        <v>0.1</v>
      </c>
      <c r="C44" s="64">
        <v>36.01</v>
      </c>
      <c r="D44" s="64">
        <v>18.809999999999999</v>
      </c>
      <c r="E44" s="64">
        <v>1.36</v>
      </c>
      <c r="F44" s="64">
        <v>4.49</v>
      </c>
      <c r="G44" s="64">
        <v>15.45</v>
      </c>
      <c r="H44" s="64">
        <v>5.91</v>
      </c>
      <c r="I44" s="64">
        <v>2.16</v>
      </c>
      <c r="J44" s="64">
        <v>0.79</v>
      </c>
      <c r="K44" s="64">
        <v>155.88</v>
      </c>
      <c r="L44" s="64">
        <v>21.29</v>
      </c>
      <c r="M44" s="64">
        <v>81.7</v>
      </c>
      <c r="N44" s="64">
        <v>565.79999999999995</v>
      </c>
      <c r="O44" s="64">
        <v>0</v>
      </c>
      <c r="P44" s="64">
        <v>0.28000000000000003</v>
      </c>
      <c r="Q44" s="64">
        <v>9.26</v>
      </c>
      <c r="R44" s="198"/>
      <c r="S44" s="198"/>
      <c r="T44" s="198"/>
      <c r="U44" s="198"/>
    </row>
    <row r="45" spans="1:21" s="12" customFormat="1" x14ac:dyDescent="0.25">
      <c r="A45" s="214" t="s">
        <v>956</v>
      </c>
      <c r="B45" s="64">
        <v>0.1</v>
      </c>
      <c r="C45" s="64">
        <v>37.21</v>
      </c>
      <c r="D45" s="64">
        <v>19.440000000000001</v>
      </c>
      <c r="E45" s="64">
        <v>1.32</v>
      </c>
      <c r="F45" s="64">
        <v>4.4800000000000004</v>
      </c>
      <c r="G45" s="64">
        <v>15.97</v>
      </c>
      <c r="H45" s="64">
        <v>7.65</v>
      </c>
      <c r="I45" s="64">
        <v>2.14</v>
      </c>
      <c r="J45" s="64">
        <v>1.24</v>
      </c>
      <c r="K45" s="64">
        <v>161.43</v>
      </c>
      <c r="L45" s="64">
        <v>21.95</v>
      </c>
      <c r="M45" s="64">
        <v>76.87</v>
      </c>
      <c r="N45" s="64">
        <v>557.5</v>
      </c>
      <c r="O45" s="64">
        <v>0</v>
      </c>
      <c r="P45" s="64">
        <v>0.28000000000000003</v>
      </c>
      <c r="Q45" s="64">
        <v>9.33</v>
      </c>
      <c r="R45" s="198"/>
      <c r="S45" s="198"/>
      <c r="T45" s="198"/>
      <c r="U45" s="198"/>
    </row>
    <row r="46" spans="1:21" s="12" customFormat="1" x14ac:dyDescent="0.25">
      <c r="A46" s="214" t="s">
        <v>957</v>
      </c>
      <c r="B46" s="64">
        <v>0.1</v>
      </c>
      <c r="C46" s="64">
        <v>38.28</v>
      </c>
      <c r="D46" s="64">
        <v>20</v>
      </c>
      <c r="E46" s="64">
        <v>1.43</v>
      </c>
      <c r="F46" s="64">
        <v>4.95</v>
      </c>
      <c r="G46" s="64">
        <v>16.12</v>
      </c>
      <c r="H46" s="64">
        <v>8.15</v>
      </c>
      <c r="I46" s="64">
        <v>2.34</v>
      </c>
      <c r="J46" s="64">
        <v>1.1299999999999999</v>
      </c>
      <c r="K46" s="64">
        <v>157.82</v>
      </c>
      <c r="L46" s="64">
        <v>22.37</v>
      </c>
      <c r="M46" s="64">
        <v>74.55</v>
      </c>
      <c r="N46" s="64">
        <v>662</v>
      </c>
      <c r="O46" s="64">
        <v>0</v>
      </c>
      <c r="P46" s="64">
        <v>0.28999999999999998</v>
      </c>
      <c r="Q46" s="64">
        <v>9.33</v>
      </c>
      <c r="R46" s="198"/>
      <c r="S46" s="198"/>
      <c r="T46" s="198"/>
      <c r="U46" s="198"/>
    </row>
    <row r="47" spans="1:21" s="12" customFormat="1" x14ac:dyDescent="0.25">
      <c r="A47" s="214" t="s">
        <v>958</v>
      </c>
      <c r="B47" s="64">
        <v>0.1</v>
      </c>
      <c r="C47" s="64">
        <v>38.1</v>
      </c>
      <c r="D47" s="64">
        <v>19.91</v>
      </c>
      <c r="E47" s="64">
        <v>1.52</v>
      </c>
      <c r="F47" s="64">
        <v>4.8899999999999997</v>
      </c>
      <c r="G47" s="64">
        <v>16.12</v>
      </c>
      <c r="H47" s="64">
        <v>8.15</v>
      </c>
      <c r="I47" s="64">
        <v>2.5499999999999998</v>
      </c>
      <c r="J47" s="64">
        <v>0.97</v>
      </c>
      <c r="K47" s="64">
        <v>163.47999999999999</v>
      </c>
      <c r="L47" s="64">
        <v>23.03</v>
      </c>
      <c r="M47" s="64">
        <v>71.05</v>
      </c>
      <c r="N47" s="64">
        <v>378.7</v>
      </c>
      <c r="O47" s="64">
        <v>0</v>
      </c>
      <c r="P47" s="64">
        <v>0.28999999999999998</v>
      </c>
      <c r="Q47" s="64">
        <v>9.43</v>
      </c>
      <c r="R47" s="198"/>
      <c r="S47" s="198"/>
      <c r="T47" s="198"/>
      <c r="U47" s="198"/>
    </row>
    <row r="48" spans="1:21" s="12" customFormat="1" x14ac:dyDescent="0.25">
      <c r="A48" s="214" t="s">
        <v>959</v>
      </c>
      <c r="B48" s="64">
        <v>0.1</v>
      </c>
      <c r="C48" s="64">
        <v>38.43</v>
      </c>
      <c r="D48" s="64">
        <v>20.079999999999998</v>
      </c>
      <c r="E48" s="64">
        <v>1.87</v>
      </c>
      <c r="F48" s="64">
        <v>4.5199999999999996</v>
      </c>
      <c r="G48" s="64">
        <v>16.12</v>
      </c>
      <c r="H48" s="64">
        <v>8.15</v>
      </c>
      <c r="I48" s="64">
        <v>2.68</v>
      </c>
      <c r="J48" s="64">
        <v>0.83</v>
      </c>
      <c r="K48" s="64">
        <v>162.69999999999999</v>
      </c>
      <c r="L48" s="64">
        <v>22.58</v>
      </c>
      <c r="M48" s="64">
        <v>73.25</v>
      </c>
      <c r="N48" s="64">
        <v>295.5</v>
      </c>
      <c r="O48" s="64">
        <v>0</v>
      </c>
      <c r="P48" s="64">
        <v>0.28999999999999998</v>
      </c>
      <c r="Q48" s="64">
        <v>9.44</v>
      </c>
      <c r="R48" s="198"/>
      <c r="S48" s="198"/>
      <c r="T48" s="198"/>
      <c r="U48" s="198"/>
    </row>
    <row r="49" spans="1:21" s="12" customFormat="1" x14ac:dyDescent="0.25">
      <c r="A49" s="214" t="s">
        <v>960</v>
      </c>
      <c r="B49" s="64">
        <v>0.1</v>
      </c>
      <c r="C49" s="64">
        <v>39.11</v>
      </c>
      <c r="D49" s="64">
        <v>20.43</v>
      </c>
      <c r="E49" s="64">
        <v>1.5</v>
      </c>
      <c r="F49" s="64">
        <v>3.66</v>
      </c>
      <c r="G49" s="64">
        <v>15.87</v>
      </c>
      <c r="H49" s="64">
        <v>6.59</v>
      </c>
      <c r="I49" s="64">
        <v>2.76</v>
      </c>
      <c r="J49" s="64">
        <v>0.68</v>
      </c>
      <c r="K49" s="64">
        <v>121.34</v>
      </c>
      <c r="L49" s="64">
        <v>22.2</v>
      </c>
      <c r="M49" s="64">
        <v>74.3</v>
      </c>
      <c r="N49" s="64">
        <v>189.8</v>
      </c>
      <c r="O49" s="64">
        <v>0</v>
      </c>
      <c r="P49" s="64">
        <v>0.3</v>
      </c>
      <c r="Q49" s="64">
        <v>9.42</v>
      </c>
      <c r="R49" s="198"/>
      <c r="S49" s="198"/>
      <c r="T49" s="198"/>
      <c r="U49" s="198"/>
    </row>
    <row r="50" spans="1:21" s="12" customFormat="1" x14ac:dyDescent="0.25">
      <c r="A50" s="214" t="s">
        <v>961</v>
      </c>
      <c r="B50" s="64">
        <v>0.1</v>
      </c>
      <c r="C50" s="64">
        <v>38.72</v>
      </c>
      <c r="D50" s="64">
        <v>20.23</v>
      </c>
      <c r="E50" s="64">
        <v>1.64</v>
      </c>
      <c r="F50" s="64">
        <v>3.73</v>
      </c>
      <c r="G50" s="64">
        <v>15.81</v>
      </c>
      <c r="H50" s="64">
        <v>6.14</v>
      </c>
      <c r="I50" s="64">
        <v>2.99</v>
      </c>
      <c r="J50" s="64">
        <v>0.91</v>
      </c>
      <c r="K50" s="64">
        <v>100.23</v>
      </c>
      <c r="L50" s="64">
        <v>22.24</v>
      </c>
      <c r="M50" s="64">
        <v>73.12</v>
      </c>
      <c r="N50" s="64">
        <v>250.4</v>
      </c>
      <c r="O50" s="64">
        <v>0</v>
      </c>
      <c r="P50" s="64">
        <v>0.28999999999999998</v>
      </c>
      <c r="Q50" s="64">
        <v>9.36</v>
      </c>
      <c r="R50" s="198"/>
      <c r="S50" s="198"/>
      <c r="T50" s="198"/>
      <c r="U50" s="198"/>
    </row>
    <row r="51" spans="1:21" s="12" customFormat="1" x14ac:dyDescent="0.25">
      <c r="A51" s="214" t="s">
        <v>962</v>
      </c>
      <c r="B51" s="64">
        <v>0.1</v>
      </c>
      <c r="C51" s="64">
        <v>39.82</v>
      </c>
      <c r="D51" s="64">
        <v>20.8</v>
      </c>
      <c r="E51" s="64">
        <v>1.74</v>
      </c>
      <c r="F51" s="64">
        <v>4.1500000000000004</v>
      </c>
      <c r="G51" s="64">
        <v>15.81</v>
      </c>
      <c r="H51" s="64">
        <v>6.14</v>
      </c>
      <c r="I51" s="64">
        <v>3.38</v>
      </c>
      <c r="J51" s="64">
        <v>0.17</v>
      </c>
      <c r="K51" s="64">
        <v>207.55</v>
      </c>
      <c r="L51" s="64">
        <v>22.2</v>
      </c>
      <c r="M51" s="64">
        <v>72.400000000000006</v>
      </c>
      <c r="N51" s="64">
        <v>163.5</v>
      </c>
      <c r="O51" s="64">
        <v>0</v>
      </c>
      <c r="P51" s="64">
        <v>0.3</v>
      </c>
      <c r="Q51" s="64">
        <v>9.4</v>
      </c>
      <c r="R51" s="198"/>
      <c r="S51" s="198"/>
      <c r="T51" s="198"/>
      <c r="U51" s="198"/>
    </row>
    <row r="52" spans="1:21" s="12" customFormat="1" x14ac:dyDescent="0.25">
      <c r="A52" s="214" t="s">
        <v>963</v>
      </c>
      <c r="B52" s="64">
        <v>0.1</v>
      </c>
      <c r="C52" s="64">
        <v>39.86</v>
      </c>
      <c r="D52" s="64">
        <v>20.83</v>
      </c>
      <c r="E52" s="64">
        <v>1.41</v>
      </c>
      <c r="F52" s="64">
        <v>4.37</v>
      </c>
      <c r="G52" s="64">
        <v>15.81</v>
      </c>
      <c r="H52" s="64">
        <v>6.14</v>
      </c>
      <c r="I52" s="64">
        <v>3.33</v>
      </c>
      <c r="J52" s="64">
        <v>0.7</v>
      </c>
      <c r="K52" s="64">
        <v>116.62</v>
      </c>
      <c r="L52" s="64">
        <v>22.57</v>
      </c>
      <c r="M52" s="64">
        <v>70.55</v>
      </c>
      <c r="N52" s="64">
        <v>408.8</v>
      </c>
      <c r="O52" s="64">
        <v>0</v>
      </c>
      <c r="P52" s="64">
        <v>0.31</v>
      </c>
      <c r="Q52" s="64">
        <v>9.4600000000000009</v>
      </c>
      <c r="R52" s="198"/>
      <c r="S52" s="198"/>
      <c r="T52" s="198"/>
      <c r="U52" s="198"/>
    </row>
    <row r="53" spans="1:21" s="12" customFormat="1" x14ac:dyDescent="0.25">
      <c r="A53" s="214" t="s">
        <v>964</v>
      </c>
      <c r="B53" s="64">
        <v>0.1</v>
      </c>
      <c r="C53" s="64">
        <v>40.94</v>
      </c>
      <c r="D53" s="64">
        <v>21.39</v>
      </c>
      <c r="E53" s="64">
        <v>1.75</v>
      </c>
      <c r="F53" s="64">
        <v>4.5</v>
      </c>
      <c r="G53" s="64">
        <v>16.8</v>
      </c>
      <c r="H53" s="64">
        <v>6.91</v>
      </c>
      <c r="I53" s="64">
        <v>3.55</v>
      </c>
      <c r="J53" s="64">
        <v>0.93</v>
      </c>
      <c r="K53" s="64">
        <v>167.64</v>
      </c>
      <c r="L53" s="64">
        <v>23.58</v>
      </c>
      <c r="M53" s="64">
        <v>67.39</v>
      </c>
      <c r="N53" s="64">
        <v>557.29999999999995</v>
      </c>
      <c r="O53" s="64">
        <v>0</v>
      </c>
      <c r="P53" s="64">
        <v>0.31</v>
      </c>
      <c r="Q53" s="64">
        <v>9.2799999999999994</v>
      </c>
      <c r="R53" s="198"/>
      <c r="S53" s="198"/>
      <c r="T53" s="198"/>
      <c r="U53" s="198"/>
    </row>
    <row r="54" spans="1:21" s="12" customFormat="1" x14ac:dyDescent="0.25">
      <c r="A54" s="214" t="s">
        <v>965</v>
      </c>
      <c r="B54" s="64">
        <v>0.1</v>
      </c>
      <c r="C54" s="64">
        <v>41.11</v>
      </c>
      <c r="D54" s="64">
        <v>21.48</v>
      </c>
      <c r="E54" s="64">
        <v>1.76</v>
      </c>
      <c r="F54" s="64">
        <v>4.47</v>
      </c>
      <c r="G54" s="64">
        <v>17.079999999999998</v>
      </c>
      <c r="H54" s="64">
        <v>7.12</v>
      </c>
      <c r="I54" s="64">
        <v>3.57</v>
      </c>
      <c r="J54" s="64">
        <v>0.72</v>
      </c>
      <c r="K54" s="64">
        <v>163.69</v>
      </c>
      <c r="L54" s="64">
        <v>23.71</v>
      </c>
      <c r="M54" s="64">
        <v>67.319999999999993</v>
      </c>
      <c r="N54" s="64">
        <v>624.5</v>
      </c>
      <c r="O54" s="64">
        <v>0</v>
      </c>
      <c r="P54" s="64">
        <v>0.32</v>
      </c>
      <c r="Q54" s="64">
        <v>9.59</v>
      </c>
      <c r="R54" s="198"/>
      <c r="S54" s="198"/>
      <c r="T54" s="198"/>
      <c r="U54" s="198"/>
    </row>
    <row r="55" spans="1:21" s="12" customFormat="1" x14ac:dyDescent="0.25">
      <c r="A55" s="214" t="s">
        <v>966</v>
      </c>
      <c r="B55" s="64">
        <v>0.1</v>
      </c>
      <c r="C55" s="64">
        <v>41.66</v>
      </c>
      <c r="D55" s="64">
        <v>21.77</v>
      </c>
      <c r="E55" s="64">
        <v>1.96</v>
      </c>
      <c r="F55" s="64">
        <v>4.87</v>
      </c>
      <c r="G55" s="64">
        <v>17.079999999999998</v>
      </c>
      <c r="H55" s="64">
        <v>7.12</v>
      </c>
      <c r="I55" s="64">
        <v>3.64</v>
      </c>
      <c r="J55" s="64">
        <v>1.1200000000000001</v>
      </c>
      <c r="K55" s="64">
        <v>99.85</v>
      </c>
      <c r="L55" s="64">
        <v>24.27</v>
      </c>
      <c r="M55" s="64">
        <v>64.63</v>
      </c>
      <c r="N55" s="64">
        <v>900.6</v>
      </c>
      <c r="O55" s="64">
        <v>0</v>
      </c>
      <c r="P55" s="64">
        <v>0.32</v>
      </c>
      <c r="Q55" s="64">
        <v>9.4499999999999993</v>
      </c>
      <c r="R55" s="198"/>
      <c r="S55" s="198"/>
      <c r="T55" s="198"/>
      <c r="U55" s="198"/>
    </row>
    <row r="56" spans="1:21" s="12" customFormat="1" x14ac:dyDescent="0.25">
      <c r="A56" s="214" t="s">
        <v>967</v>
      </c>
      <c r="B56" s="64">
        <v>0.1</v>
      </c>
      <c r="C56" s="64">
        <v>40.93</v>
      </c>
      <c r="D56" s="64">
        <v>21.38</v>
      </c>
      <c r="E56" s="64">
        <v>1.9</v>
      </c>
      <c r="F56" s="64">
        <v>4.49</v>
      </c>
      <c r="G56" s="64">
        <v>17.079999999999998</v>
      </c>
      <c r="H56" s="64">
        <v>7.12</v>
      </c>
      <c r="I56" s="64">
        <v>3.69</v>
      </c>
      <c r="J56" s="64">
        <v>0.56000000000000005</v>
      </c>
      <c r="K56" s="64">
        <v>107.54</v>
      </c>
      <c r="L56" s="64">
        <v>24.96</v>
      </c>
      <c r="M56" s="64">
        <v>60.47</v>
      </c>
      <c r="N56" s="64">
        <v>788.6</v>
      </c>
      <c r="O56" s="64">
        <v>0</v>
      </c>
      <c r="P56" s="64">
        <v>0.32</v>
      </c>
      <c r="Q56" s="64">
        <v>9.44</v>
      </c>
      <c r="R56" s="198"/>
      <c r="S56" s="198"/>
      <c r="T56" s="198"/>
      <c r="U56" s="198"/>
    </row>
    <row r="57" spans="1:21" s="12" customFormat="1" x14ac:dyDescent="0.25">
      <c r="A57" s="214" t="s">
        <v>968</v>
      </c>
      <c r="B57" s="64">
        <v>0.1</v>
      </c>
      <c r="C57" s="64">
        <v>41.11</v>
      </c>
      <c r="D57" s="64">
        <v>21.48</v>
      </c>
      <c r="E57" s="64">
        <v>1.67</v>
      </c>
      <c r="F57" s="64">
        <v>4.04</v>
      </c>
      <c r="G57" s="64">
        <v>16.62</v>
      </c>
      <c r="H57" s="64">
        <v>7.45</v>
      </c>
      <c r="I57" s="64">
        <v>3.83</v>
      </c>
      <c r="J57" s="64">
        <v>0.92</v>
      </c>
      <c r="K57" s="64">
        <v>111.93</v>
      </c>
      <c r="L57" s="64">
        <v>24.66</v>
      </c>
      <c r="M57" s="64">
        <v>58.87</v>
      </c>
      <c r="N57" s="64">
        <v>516.70000000000005</v>
      </c>
      <c r="O57" s="64">
        <v>0</v>
      </c>
      <c r="P57" s="64">
        <v>0.32</v>
      </c>
      <c r="Q57" s="64">
        <v>9.52</v>
      </c>
      <c r="R57" s="198"/>
      <c r="S57" s="198"/>
      <c r="T57" s="198"/>
      <c r="U57" s="198"/>
    </row>
    <row r="58" spans="1:21" s="12" customFormat="1" x14ac:dyDescent="0.25">
      <c r="A58" s="214" t="s">
        <v>969</v>
      </c>
      <c r="B58" s="64">
        <v>0.1</v>
      </c>
      <c r="C58" s="64">
        <v>40.99</v>
      </c>
      <c r="D58" s="64">
        <v>21.41</v>
      </c>
      <c r="E58" s="64">
        <v>1.93</v>
      </c>
      <c r="F58" s="64">
        <v>4.7300000000000004</v>
      </c>
      <c r="G58" s="64">
        <v>16.489999999999998</v>
      </c>
      <c r="H58" s="64">
        <v>7.54</v>
      </c>
      <c r="I58" s="64">
        <v>4.0999999999999996</v>
      </c>
      <c r="J58" s="64">
        <v>0.81</v>
      </c>
      <c r="K58" s="64">
        <v>109.37</v>
      </c>
      <c r="L58" s="64">
        <v>25.21</v>
      </c>
      <c r="M58" s="64">
        <v>58.36</v>
      </c>
      <c r="N58" s="64">
        <v>771.3</v>
      </c>
      <c r="O58" s="64">
        <v>0</v>
      </c>
      <c r="P58" s="64">
        <v>0.33</v>
      </c>
      <c r="Q58" s="64">
        <v>9.42</v>
      </c>
      <c r="R58" s="198"/>
      <c r="S58" s="198"/>
      <c r="T58" s="198"/>
      <c r="U58" s="198"/>
    </row>
    <row r="59" spans="1:21" s="12" customFormat="1" x14ac:dyDescent="0.25">
      <c r="A59" s="214" t="s">
        <v>970</v>
      </c>
      <c r="B59" s="64">
        <v>0.1</v>
      </c>
      <c r="C59" s="64">
        <v>41.06</v>
      </c>
      <c r="D59" s="64">
        <v>21.45</v>
      </c>
      <c r="E59" s="64">
        <v>1.91</v>
      </c>
      <c r="F59" s="64">
        <v>4.8499999999999996</v>
      </c>
      <c r="G59" s="64">
        <v>16.489999999999998</v>
      </c>
      <c r="H59" s="64">
        <v>7.54</v>
      </c>
      <c r="I59" s="64">
        <v>4.2300000000000004</v>
      </c>
      <c r="J59" s="64">
        <v>0.32</v>
      </c>
      <c r="K59" s="64">
        <v>44.1</v>
      </c>
      <c r="L59" s="64">
        <v>26.7</v>
      </c>
      <c r="M59" s="64">
        <v>54.56</v>
      </c>
      <c r="N59" s="64">
        <v>407.2</v>
      </c>
      <c r="O59" s="64">
        <v>0</v>
      </c>
      <c r="P59" s="64">
        <v>0.33</v>
      </c>
      <c r="Q59" s="64">
        <v>9.43</v>
      </c>
      <c r="R59" s="198"/>
      <c r="S59" s="198"/>
      <c r="T59" s="198"/>
      <c r="U59" s="198"/>
    </row>
    <row r="60" spans="1:21" s="12" customFormat="1" x14ac:dyDescent="0.25">
      <c r="A60" s="214" t="s">
        <v>971</v>
      </c>
      <c r="B60" s="64">
        <v>0.1</v>
      </c>
      <c r="C60" s="64">
        <v>40.85</v>
      </c>
      <c r="D60" s="64">
        <v>21.34</v>
      </c>
      <c r="E60" s="64">
        <v>1.73</v>
      </c>
      <c r="F60" s="64">
        <v>4.95</v>
      </c>
      <c r="G60" s="64">
        <v>16.489999999999998</v>
      </c>
      <c r="H60" s="64">
        <v>7.54</v>
      </c>
      <c r="I60" s="64">
        <v>4.3499999999999996</v>
      </c>
      <c r="J60" s="64">
        <v>0.56999999999999995</v>
      </c>
      <c r="K60" s="64">
        <v>154.66</v>
      </c>
      <c r="L60" s="64">
        <v>26.52</v>
      </c>
      <c r="M60" s="64">
        <v>53.45</v>
      </c>
      <c r="N60" s="64">
        <v>473.7</v>
      </c>
      <c r="O60" s="64">
        <v>0</v>
      </c>
      <c r="P60" s="64">
        <v>0.34</v>
      </c>
      <c r="Q60" s="64">
        <v>9.4</v>
      </c>
      <c r="R60" s="198"/>
      <c r="S60" s="198"/>
      <c r="T60" s="198"/>
      <c r="U60" s="198"/>
    </row>
    <row r="61" spans="1:21" s="12" customFormat="1" x14ac:dyDescent="0.25">
      <c r="A61" s="214" t="s">
        <v>972</v>
      </c>
      <c r="B61" s="64">
        <v>0.1</v>
      </c>
      <c r="C61" s="64">
        <v>41.89</v>
      </c>
      <c r="D61" s="64">
        <v>21.88</v>
      </c>
      <c r="E61" s="64">
        <v>1.92</v>
      </c>
      <c r="F61" s="64">
        <v>4.8600000000000003</v>
      </c>
      <c r="G61" s="64">
        <v>17.98</v>
      </c>
      <c r="H61" s="64">
        <v>8.56</v>
      </c>
      <c r="I61" s="64">
        <v>4.38</v>
      </c>
      <c r="J61" s="64">
        <v>0.41</v>
      </c>
      <c r="K61" s="64">
        <v>161.22999999999999</v>
      </c>
      <c r="L61" s="64">
        <v>25.24</v>
      </c>
      <c r="M61" s="64">
        <v>56.61</v>
      </c>
      <c r="N61" s="64">
        <v>125.1</v>
      </c>
      <c r="O61" s="64">
        <v>0</v>
      </c>
      <c r="P61" s="64">
        <v>0.32</v>
      </c>
      <c r="Q61" s="64">
        <v>9.3800000000000008</v>
      </c>
      <c r="R61" s="198"/>
      <c r="S61" s="198"/>
      <c r="T61" s="198"/>
      <c r="U61" s="198"/>
    </row>
    <row r="62" spans="1:21" s="12" customFormat="1" x14ac:dyDescent="0.25">
      <c r="A62" s="214" t="s">
        <v>973</v>
      </c>
      <c r="B62" s="64">
        <v>0.1</v>
      </c>
      <c r="C62" s="64">
        <v>39.659999999999997</v>
      </c>
      <c r="D62" s="64">
        <v>20.72</v>
      </c>
      <c r="E62" s="64">
        <v>1.62</v>
      </c>
      <c r="F62" s="64">
        <v>4.6900000000000004</v>
      </c>
      <c r="G62" s="64">
        <v>18.41</v>
      </c>
      <c r="H62" s="64">
        <v>8.85</v>
      </c>
      <c r="I62" s="64">
        <v>4.41</v>
      </c>
      <c r="J62" s="64">
        <v>0.05</v>
      </c>
      <c r="K62" s="64">
        <v>220.16</v>
      </c>
      <c r="L62" s="64">
        <v>25.03</v>
      </c>
      <c r="M62" s="64">
        <v>58.92</v>
      </c>
      <c r="N62" s="64">
        <v>128.30000000000001</v>
      </c>
      <c r="O62" s="64">
        <v>0</v>
      </c>
      <c r="P62" s="64">
        <v>0.34</v>
      </c>
      <c r="Q62" s="64">
        <v>9.41</v>
      </c>
      <c r="R62" s="198"/>
      <c r="S62" s="198"/>
      <c r="T62" s="198"/>
      <c r="U62" s="198"/>
    </row>
    <row r="63" spans="1:21" s="12" customFormat="1" x14ac:dyDescent="0.25">
      <c r="A63" s="214" t="s">
        <v>974</v>
      </c>
      <c r="B63" s="64">
        <v>0.1</v>
      </c>
      <c r="C63" s="64">
        <v>40.5</v>
      </c>
      <c r="D63" s="64">
        <v>21.16</v>
      </c>
      <c r="E63" s="64">
        <v>1.91</v>
      </c>
      <c r="F63" s="64">
        <v>4.25</v>
      </c>
      <c r="G63" s="64">
        <v>18.41</v>
      </c>
      <c r="H63" s="64">
        <v>8.85</v>
      </c>
      <c r="I63" s="64">
        <v>4.38</v>
      </c>
      <c r="J63" s="64">
        <v>0.63</v>
      </c>
      <c r="K63" s="64">
        <v>86.08</v>
      </c>
      <c r="L63" s="64">
        <v>24.89</v>
      </c>
      <c r="M63" s="64">
        <v>63.04</v>
      </c>
      <c r="N63" s="64">
        <v>289.39999999999998</v>
      </c>
      <c r="O63" s="64">
        <v>0</v>
      </c>
      <c r="P63" s="64">
        <v>0.35</v>
      </c>
      <c r="Q63" s="64">
        <v>9.43</v>
      </c>
      <c r="R63" s="198"/>
      <c r="S63" s="198"/>
      <c r="T63" s="198"/>
      <c r="U63" s="198"/>
    </row>
    <row r="64" spans="1:21" s="12" customFormat="1" x14ac:dyDescent="0.25">
      <c r="A64" s="214" t="s">
        <v>975</v>
      </c>
      <c r="B64" s="64">
        <v>0.1</v>
      </c>
      <c r="C64" s="64">
        <v>41.45</v>
      </c>
      <c r="D64" s="64">
        <v>21.66</v>
      </c>
      <c r="E64" s="64">
        <v>1.72</v>
      </c>
      <c r="F64" s="64">
        <v>4.07</v>
      </c>
      <c r="G64" s="64">
        <v>18.41</v>
      </c>
      <c r="H64" s="64">
        <v>8.85</v>
      </c>
      <c r="I64" s="64">
        <v>4.43</v>
      </c>
      <c r="J64" s="64">
        <v>1.69</v>
      </c>
      <c r="K64" s="64">
        <v>97.39</v>
      </c>
      <c r="L64" s="64">
        <v>24.62</v>
      </c>
      <c r="M64" s="64">
        <v>61.59</v>
      </c>
      <c r="N64" s="64">
        <v>298.39999999999998</v>
      </c>
      <c r="O64" s="64">
        <v>0</v>
      </c>
      <c r="P64" s="64">
        <v>0.35</v>
      </c>
      <c r="Q64" s="64">
        <v>9.4</v>
      </c>
      <c r="R64" s="198"/>
      <c r="S64" s="198"/>
      <c r="T64" s="198"/>
      <c r="U64" s="198"/>
    </row>
    <row r="65" spans="1:21" s="12" customFormat="1" x14ac:dyDescent="0.25">
      <c r="A65" s="214" t="s">
        <v>976</v>
      </c>
      <c r="B65" s="64">
        <v>0.1</v>
      </c>
      <c r="C65" s="64">
        <v>41.98</v>
      </c>
      <c r="D65" s="64">
        <v>21.93</v>
      </c>
      <c r="E65" s="64">
        <v>1.92</v>
      </c>
      <c r="F65" s="64">
        <v>4.21</v>
      </c>
      <c r="G65" s="64">
        <v>21.78</v>
      </c>
      <c r="H65" s="64">
        <v>9.74</v>
      </c>
      <c r="I65" s="64">
        <v>4.72</v>
      </c>
      <c r="J65" s="64">
        <v>1.52</v>
      </c>
      <c r="K65" s="64">
        <v>94.37</v>
      </c>
      <c r="L65" s="64">
        <v>24.71</v>
      </c>
      <c r="M65" s="64">
        <v>60.65</v>
      </c>
      <c r="N65" s="64">
        <v>285.3</v>
      </c>
      <c r="O65" s="64">
        <v>0</v>
      </c>
      <c r="P65" s="64">
        <v>0.36</v>
      </c>
      <c r="Q65" s="64">
        <v>9.3800000000000008</v>
      </c>
      <c r="R65" s="198"/>
      <c r="S65" s="198"/>
      <c r="T65" s="198"/>
      <c r="U65" s="198"/>
    </row>
    <row r="66" spans="1:21" s="12" customFormat="1" x14ac:dyDescent="0.25">
      <c r="A66" s="214" t="s">
        <v>977</v>
      </c>
      <c r="B66" s="64">
        <v>0.1</v>
      </c>
      <c r="C66" s="64">
        <v>42.24</v>
      </c>
      <c r="D66" s="64">
        <v>22.07</v>
      </c>
      <c r="E66" s="64">
        <v>1.86</v>
      </c>
      <c r="F66" s="64">
        <v>4.3600000000000003</v>
      </c>
      <c r="G66" s="64">
        <v>22.74</v>
      </c>
      <c r="H66" s="64">
        <v>9.99</v>
      </c>
      <c r="I66" s="64">
        <v>5.36</v>
      </c>
      <c r="J66" s="64">
        <v>1.02</v>
      </c>
      <c r="K66" s="64">
        <v>96.57</v>
      </c>
      <c r="L66" s="64">
        <v>25.05</v>
      </c>
      <c r="M66" s="64">
        <v>59</v>
      </c>
      <c r="N66" s="64">
        <v>403.7</v>
      </c>
      <c r="O66" s="64">
        <v>0</v>
      </c>
      <c r="P66" s="64">
        <v>0.36</v>
      </c>
      <c r="Q66" s="64">
        <v>9.2100000000000009</v>
      </c>
      <c r="R66" s="198"/>
      <c r="S66" s="198"/>
      <c r="T66" s="198"/>
      <c r="U66" s="198"/>
    </row>
    <row r="67" spans="1:21" s="12" customFormat="1" x14ac:dyDescent="0.25">
      <c r="A67" s="214" t="s">
        <v>978</v>
      </c>
      <c r="B67" s="64">
        <v>0.1</v>
      </c>
      <c r="C67" s="64">
        <v>42.71</v>
      </c>
      <c r="D67" s="64">
        <v>22.32</v>
      </c>
      <c r="E67" s="64">
        <v>1.74</v>
      </c>
      <c r="F67" s="64">
        <v>3.98</v>
      </c>
      <c r="G67" s="64">
        <v>22.74</v>
      </c>
      <c r="H67" s="64">
        <v>9.99</v>
      </c>
      <c r="I67" s="64">
        <v>6.09</v>
      </c>
      <c r="J67" s="64">
        <v>0.65</v>
      </c>
      <c r="K67" s="64">
        <v>88.76</v>
      </c>
      <c r="L67" s="64">
        <v>25.78</v>
      </c>
      <c r="M67" s="64">
        <v>55.69</v>
      </c>
      <c r="N67" s="64">
        <v>427.3</v>
      </c>
      <c r="O67" s="64">
        <v>0</v>
      </c>
      <c r="P67" s="64">
        <v>0.36</v>
      </c>
      <c r="Q67" s="64">
        <v>9.56</v>
      </c>
      <c r="R67" s="198"/>
      <c r="S67" s="198"/>
      <c r="T67" s="198"/>
      <c r="U67" s="198"/>
    </row>
    <row r="68" spans="1:21" s="12" customFormat="1" x14ac:dyDescent="0.25">
      <c r="A68" s="214" t="s">
        <v>979</v>
      </c>
      <c r="B68" s="64">
        <v>0.1</v>
      </c>
      <c r="C68" s="64">
        <v>42.48</v>
      </c>
      <c r="D68" s="64">
        <v>22.19</v>
      </c>
      <c r="E68" s="64">
        <v>1.69</v>
      </c>
      <c r="F68" s="64">
        <v>4.1100000000000003</v>
      </c>
      <c r="G68" s="64">
        <v>22.74</v>
      </c>
      <c r="H68" s="64">
        <v>9.99</v>
      </c>
      <c r="I68" s="64">
        <v>6.47</v>
      </c>
      <c r="J68" s="64">
        <v>0.61</v>
      </c>
      <c r="K68" s="64">
        <v>102.25</v>
      </c>
      <c r="L68" s="64">
        <v>25.55</v>
      </c>
      <c r="M68" s="64">
        <v>56.15</v>
      </c>
      <c r="N68" s="64">
        <v>213.9</v>
      </c>
      <c r="O68" s="64">
        <v>0</v>
      </c>
      <c r="P68" s="64">
        <v>0.36</v>
      </c>
      <c r="Q68" s="64">
        <v>9.58</v>
      </c>
      <c r="R68" s="198"/>
      <c r="S68" s="198"/>
      <c r="T68" s="198"/>
      <c r="U68" s="198"/>
    </row>
    <row r="69" spans="1:21" s="12" customFormat="1" x14ac:dyDescent="0.25">
      <c r="A69" s="214" t="s">
        <v>980</v>
      </c>
      <c r="B69" s="64">
        <v>0.11</v>
      </c>
      <c r="C69" s="64">
        <v>43.16</v>
      </c>
      <c r="D69" s="64">
        <v>22.56</v>
      </c>
      <c r="E69" s="64">
        <v>1.71</v>
      </c>
      <c r="F69" s="64">
        <v>4.2</v>
      </c>
      <c r="G69" s="64">
        <v>21.48</v>
      </c>
      <c r="H69" s="64">
        <v>9.17</v>
      </c>
      <c r="I69" s="64">
        <v>6.64</v>
      </c>
      <c r="J69" s="64">
        <v>0.67</v>
      </c>
      <c r="K69" s="64">
        <v>87.23</v>
      </c>
      <c r="L69" s="64">
        <v>25.57</v>
      </c>
      <c r="M69" s="64">
        <v>57.65</v>
      </c>
      <c r="N69" s="64">
        <v>209.3</v>
      </c>
      <c r="O69" s="64">
        <v>0</v>
      </c>
      <c r="P69" s="64">
        <v>0.36</v>
      </c>
      <c r="Q69" s="64">
        <v>9.4600000000000009</v>
      </c>
      <c r="R69" s="198"/>
      <c r="S69" s="198"/>
      <c r="T69" s="198"/>
      <c r="U69" s="198"/>
    </row>
    <row r="70" spans="1:21" s="12" customFormat="1" x14ac:dyDescent="0.25">
      <c r="A70" s="214" t="s">
        <v>981</v>
      </c>
      <c r="B70" s="64">
        <v>0.12</v>
      </c>
      <c r="C70" s="64">
        <v>44.18</v>
      </c>
      <c r="D70" s="64">
        <v>23.1</v>
      </c>
      <c r="E70" s="64">
        <v>1.97</v>
      </c>
      <c r="F70" s="64">
        <v>4.47</v>
      </c>
      <c r="G70" s="64">
        <v>21.12</v>
      </c>
      <c r="H70" s="64">
        <v>8.93</v>
      </c>
      <c r="I70" s="64">
        <v>6.8</v>
      </c>
      <c r="J70" s="64">
        <v>0.73</v>
      </c>
      <c r="K70" s="64">
        <v>93.12</v>
      </c>
      <c r="L70" s="64">
        <v>25.25</v>
      </c>
      <c r="M70" s="64">
        <v>58.23</v>
      </c>
      <c r="N70" s="64">
        <v>110.6</v>
      </c>
      <c r="O70" s="64">
        <v>0</v>
      </c>
      <c r="P70" s="64">
        <v>0.36</v>
      </c>
      <c r="Q70" s="64">
        <v>9.44</v>
      </c>
      <c r="R70" s="198"/>
      <c r="S70" s="198"/>
      <c r="T70" s="198"/>
      <c r="U70" s="198"/>
    </row>
    <row r="71" spans="1:21" s="12" customFormat="1" x14ac:dyDescent="0.25">
      <c r="A71" s="214" t="s">
        <v>982</v>
      </c>
      <c r="B71" s="64">
        <v>0.14000000000000001</v>
      </c>
      <c r="C71" s="64">
        <v>44.75</v>
      </c>
      <c r="D71" s="64">
        <v>23.41</v>
      </c>
      <c r="E71" s="64">
        <v>1.86</v>
      </c>
      <c r="F71" s="64">
        <v>4.17</v>
      </c>
      <c r="G71" s="64">
        <v>21.12</v>
      </c>
      <c r="H71" s="64">
        <v>8.93</v>
      </c>
      <c r="I71" s="64">
        <v>6.84</v>
      </c>
      <c r="J71" s="64">
        <v>1.1599999999999999</v>
      </c>
      <c r="K71" s="64">
        <v>99.24</v>
      </c>
      <c r="L71" s="64">
        <v>25.12</v>
      </c>
      <c r="M71" s="64">
        <v>58.49</v>
      </c>
      <c r="N71" s="64">
        <v>202.9</v>
      </c>
      <c r="O71" s="64">
        <v>0</v>
      </c>
      <c r="P71" s="64">
        <v>0.38</v>
      </c>
      <c r="Q71" s="64">
        <v>9.59</v>
      </c>
      <c r="R71" s="198"/>
      <c r="S71" s="198"/>
      <c r="T71" s="198"/>
      <c r="U71" s="198"/>
    </row>
    <row r="72" spans="1:21" s="12" customFormat="1" x14ac:dyDescent="0.25">
      <c r="A72" s="214" t="s">
        <v>983</v>
      </c>
      <c r="B72" s="64">
        <v>0.11</v>
      </c>
      <c r="C72" s="64">
        <v>44.85</v>
      </c>
      <c r="D72" s="64">
        <v>23.44</v>
      </c>
      <c r="E72" s="64">
        <v>1.36</v>
      </c>
      <c r="F72" s="64">
        <v>4.22</v>
      </c>
      <c r="G72" s="64">
        <v>21.12</v>
      </c>
      <c r="H72" s="64">
        <v>8.93</v>
      </c>
      <c r="I72" s="64">
        <v>6.78</v>
      </c>
      <c r="J72" s="64">
        <v>0.9</v>
      </c>
      <c r="K72" s="64">
        <v>93.02</v>
      </c>
      <c r="L72" s="64">
        <v>25.14</v>
      </c>
      <c r="M72" s="64">
        <v>57.78</v>
      </c>
      <c r="N72" s="64">
        <v>182.1</v>
      </c>
      <c r="O72" s="64">
        <v>0</v>
      </c>
      <c r="P72" s="64">
        <v>0.37</v>
      </c>
      <c r="Q72" s="64">
        <v>9.4700000000000006</v>
      </c>
      <c r="R72" s="198"/>
      <c r="S72" s="198"/>
      <c r="T72" s="198"/>
      <c r="U72" s="198"/>
    </row>
    <row r="73" spans="1:21" s="12" customFormat="1" x14ac:dyDescent="0.25">
      <c r="A73" s="214" t="s">
        <v>984</v>
      </c>
      <c r="B73" s="64">
        <v>0.1</v>
      </c>
      <c r="C73" s="64">
        <v>44.77</v>
      </c>
      <c r="D73" s="64">
        <v>23.39</v>
      </c>
      <c r="E73" s="64">
        <v>1.69</v>
      </c>
      <c r="F73" s="64">
        <v>4.29</v>
      </c>
      <c r="G73" s="64">
        <v>21.74</v>
      </c>
      <c r="H73" s="64">
        <v>9.24</v>
      </c>
      <c r="I73" s="64">
        <v>6.7</v>
      </c>
      <c r="J73" s="64">
        <v>1.21</v>
      </c>
      <c r="K73" s="64">
        <v>97.92</v>
      </c>
      <c r="L73" s="64">
        <v>24.71</v>
      </c>
      <c r="M73" s="64">
        <v>60.34</v>
      </c>
      <c r="N73" s="64">
        <v>113.8</v>
      </c>
      <c r="O73" s="64">
        <v>0</v>
      </c>
      <c r="P73" s="64">
        <v>0.37</v>
      </c>
      <c r="Q73" s="64">
        <v>9.44</v>
      </c>
      <c r="R73" s="198"/>
      <c r="S73" s="198"/>
      <c r="T73" s="198"/>
      <c r="U73" s="198"/>
    </row>
    <row r="74" spans="1:21" s="12" customFormat="1" x14ac:dyDescent="0.25">
      <c r="A74" s="214" t="s">
        <v>985</v>
      </c>
      <c r="B74" s="64">
        <v>0.1</v>
      </c>
      <c r="C74" s="64">
        <v>44.78</v>
      </c>
      <c r="D74" s="64">
        <v>23.4</v>
      </c>
      <c r="E74" s="64">
        <v>1.67</v>
      </c>
      <c r="F74" s="64">
        <v>4.37</v>
      </c>
      <c r="G74" s="64">
        <v>21.91</v>
      </c>
      <c r="H74" s="64">
        <v>9.33</v>
      </c>
      <c r="I74" s="64">
        <v>6.75</v>
      </c>
      <c r="J74" s="64">
        <v>1.05</v>
      </c>
      <c r="K74" s="64">
        <v>94.93</v>
      </c>
      <c r="L74" s="64">
        <v>24.68</v>
      </c>
      <c r="M74" s="64">
        <v>61.14</v>
      </c>
      <c r="N74" s="64">
        <v>149.80000000000001</v>
      </c>
      <c r="O74" s="64">
        <v>0</v>
      </c>
      <c r="P74" s="64">
        <v>0.37</v>
      </c>
      <c r="Q74" s="64">
        <v>9.44</v>
      </c>
      <c r="R74" s="198"/>
      <c r="S74" s="198"/>
      <c r="T74" s="198"/>
      <c r="U74" s="198"/>
    </row>
    <row r="75" spans="1:21" s="12" customFormat="1" x14ac:dyDescent="0.25">
      <c r="A75" s="214" t="s">
        <v>986</v>
      </c>
      <c r="B75" s="64">
        <v>0.1</v>
      </c>
      <c r="C75" s="64">
        <v>45.08</v>
      </c>
      <c r="D75" s="64">
        <v>23.55</v>
      </c>
      <c r="E75" s="64">
        <v>1.61</v>
      </c>
      <c r="F75" s="64">
        <v>4.18</v>
      </c>
      <c r="G75" s="64">
        <v>21.91</v>
      </c>
      <c r="H75" s="64">
        <v>9.33</v>
      </c>
      <c r="I75" s="64">
        <v>6.73</v>
      </c>
      <c r="J75" s="64">
        <v>0.81</v>
      </c>
      <c r="K75" s="64">
        <v>90.75</v>
      </c>
      <c r="L75" s="64">
        <v>24.92</v>
      </c>
      <c r="M75" s="64">
        <v>61.21</v>
      </c>
      <c r="N75" s="64">
        <v>124.1</v>
      </c>
      <c r="O75" s="64">
        <v>0</v>
      </c>
      <c r="P75" s="64">
        <v>0.37</v>
      </c>
      <c r="Q75" s="64">
        <v>9.4499999999999993</v>
      </c>
      <c r="R75" s="198"/>
      <c r="S75" s="198"/>
      <c r="T75" s="198"/>
      <c r="U75" s="198"/>
    </row>
    <row r="76" spans="1:21" s="12" customFormat="1" x14ac:dyDescent="0.25">
      <c r="A76" s="214" t="s">
        <v>987</v>
      </c>
      <c r="B76" s="64">
        <v>0.1</v>
      </c>
      <c r="C76" s="64">
        <v>44.61</v>
      </c>
      <c r="D76" s="64">
        <v>23.31</v>
      </c>
      <c r="E76" s="64">
        <v>1.59</v>
      </c>
      <c r="F76" s="64">
        <v>4.4400000000000004</v>
      </c>
      <c r="G76" s="64">
        <v>21.91</v>
      </c>
      <c r="H76" s="64">
        <v>9.33</v>
      </c>
      <c r="I76" s="64">
        <v>6.74</v>
      </c>
      <c r="J76" s="64">
        <v>1.21</v>
      </c>
      <c r="K76" s="64">
        <v>102.26</v>
      </c>
      <c r="L76" s="64">
        <v>24.58</v>
      </c>
      <c r="M76" s="64">
        <v>62.99</v>
      </c>
      <c r="N76" s="64">
        <v>62.4</v>
      </c>
      <c r="O76" s="64">
        <v>0</v>
      </c>
      <c r="P76" s="64">
        <v>0.37</v>
      </c>
      <c r="Q76" s="64">
        <v>9.5</v>
      </c>
      <c r="R76" s="198"/>
      <c r="S76" s="198"/>
      <c r="T76" s="198"/>
      <c r="U76" s="198"/>
    </row>
    <row r="77" spans="1:21" s="12" customFormat="1" x14ac:dyDescent="0.25">
      <c r="A77" s="214" t="s">
        <v>988</v>
      </c>
      <c r="B77" s="64">
        <v>0.1</v>
      </c>
      <c r="C77" s="64">
        <v>44.62</v>
      </c>
      <c r="D77" s="64">
        <v>23.31</v>
      </c>
      <c r="E77" s="64">
        <v>1.1599999999999999</v>
      </c>
      <c r="F77" s="64">
        <v>4.24</v>
      </c>
      <c r="G77" s="64">
        <v>21.86</v>
      </c>
      <c r="H77" s="64">
        <v>9.3000000000000007</v>
      </c>
      <c r="I77" s="64">
        <v>6.74</v>
      </c>
      <c r="J77" s="64">
        <v>0.7</v>
      </c>
      <c r="K77" s="64">
        <v>95.43</v>
      </c>
      <c r="L77" s="64">
        <v>24.36</v>
      </c>
      <c r="M77" s="64">
        <v>65.209999999999994</v>
      </c>
      <c r="N77" s="64">
        <v>41.6</v>
      </c>
      <c r="O77" s="64">
        <v>0</v>
      </c>
      <c r="P77" s="64">
        <v>0.36</v>
      </c>
      <c r="Q77" s="64">
        <v>9.4600000000000009</v>
      </c>
      <c r="R77" s="198"/>
      <c r="S77" s="198"/>
      <c r="T77" s="198"/>
      <c r="U77" s="198"/>
    </row>
    <row r="78" spans="1:21" s="12" customFormat="1" x14ac:dyDescent="0.25">
      <c r="A78" s="214" t="s">
        <v>989</v>
      </c>
      <c r="B78" s="64">
        <v>0.1</v>
      </c>
      <c r="C78" s="64">
        <v>45.98</v>
      </c>
      <c r="D78" s="64">
        <v>24.02</v>
      </c>
      <c r="E78" s="64">
        <v>1.3</v>
      </c>
      <c r="F78" s="64">
        <v>3.85</v>
      </c>
      <c r="G78" s="64">
        <v>21.85</v>
      </c>
      <c r="H78" s="64">
        <v>9.2899999999999991</v>
      </c>
      <c r="I78" s="64">
        <v>6.68</v>
      </c>
      <c r="J78" s="64">
        <v>1.59</v>
      </c>
      <c r="K78" s="64">
        <v>102.02</v>
      </c>
      <c r="L78" s="64">
        <v>24.22</v>
      </c>
      <c r="M78" s="64">
        <v>65.400000000000006</v>
      </c>
      <c r="N78" s="64">
        <v>54.5</v>
      </c>
      <c r="O78" s="64">
        <v>0</v>
      </c>
      <c r="P78" s="64">
        <v>0.37</v>
      </c>
      <c r="Q78" s="64">
        <v>9.44</v>
      </c>
      <c r="R78" s="198"/>
      <c r="S78" s="198"/>
      <c r="T78" s="198"/>
      <c r="U78" s="198"/>
    </row>
    <row r="79" spans="1:21" s="12" customFormat="1" x14ac:dyDescent="0.25">
      <c r="A79" s="214" t="s">
        <v>990</v>
      </c>
      <c r="B79" s="64">
        <v>0.1</v>
      </c>
      <c r="C79" s="64">
        <v>44.9</v>
      </c>
      <c r="D79" s="64">
        <v>23.46</v>
      </c>
      <c r="E79" s="64">
        <v>1.63</v>
      </c>
      <c r="F79" s="64">
        <v>4.25</v>
      </c>
      <c r="G79" s="64">
        <v>21.85</v>
      </c>
      <c r="H79" s="64">
        <v>9.2899999999999991</v>
      </c>
      <c r="I79" s="64">
        <v>6.63</v>
      </c>
      <c r="J79" s="64">
        <v>1.1000000000000001</v>
      </c>
      <c r="K79" s="64">
        <v>100</v>
      </c>
      <c r="L79" s="64">
        <v>23.98</v>
      </c>
      <c r="M79" s="64">
        <v>66.91</v>
      </c>
      <c r="N79" s="64">
        <v>40.6</v>
      </c>
      <c r="O79" s="64">
        <v>0</v>
      </c>
      <c r="P79" s="64">
        <v>0.36</v>
      </c>
      <c r="Q79" s="64">
        <v>9.4700000000000006</v>
      </c>
      <c r="R79" s="198"/>
      <c r="S79" s="198"/>
      <c r="T79" s="198"/>
      <c r="U79" s="198"/>
    </row>
    <row r="80" spans="1:21" s="12" customFormat="1" x14ac:dyDescent="0.25">
      <c r="A80" s="214" t="s">
        <v>991</v>
      </c>
      <c r="B80" s="64">
        <v>0.1</v>
      </c>
      <c r="C80" s="64">
        <v>43.64</v>
      </c>
      <c r="D80" s="64">
        <v>22.8</v>
      </c>
      <c r="E80" s="64">
        <v>1.67</v>
      </c>
      <c r="F80" s="64">
        <v>4.22</v>
      </c>
      <c r="G80" s="64">
        <v>21.85</v>
      </c>
      <c r="H80" s="64">
        <v>9.2899999999999991</v>
      </c>
      <c r="I80" s="64">
        <v>6.71</v>
      </c>
      <c r="J80" s="64">
        <v>0.62</v>
      </c>
      <c r="K80" s="64">
        <v>82.65</v>
      </c>
      <c r="L80" s="64">
        <v>23.69</v>
      </c>
      <c r="M80" s="64">
        <v>70.77</v>
      </c>
      <c r="N80" s="64">
        <v>23.5</v>
      </c>
      <c r="O80" s="64">
        <v>0</v>
      </c>
      <c r="P80" s="64">
        <v>0.36</v>
      </c>
      <c r="Q80" s="64">
        <v>9.39</v>
      </c>
      <c r="R80" s="198"/>
      <c r="S80" s="198"/>
      <c r="T80" s="198"/>
      <c r="U80" s="198"/>
    </row>
    <row r="81" spans="1:26" s="12" customFormat="1" x14ac:dyDescent="0.25">
      <c r="A81" s="214" t="s">
        <v>992</v>
      </c>
      <c r="B81" s="64">
        <v>0.1</v>
      </c>
      <c r="C81" s="64">
        <v>41.89</v>
      </c>
      <c r="D81" s="64">
        <v>21.89</v>
      </c>
      <c r="E81" s="64">
        <v>1.75</v>
      </c>
      <c r="F81" s="64">
        <v>4.1900000000000004</v>
      </c>
      <c r="G81" s="64">
        <v>22.77</v>
      </c>
      <c r="H81" s="64">
        <v>8.33</v>
      </c>
      <c r="I81" s="64">
        <v>7.06</v>
      </c>
      <c r="J81" s="64">
        <v>0.36</v>
      </c>
      <c r="K81" s="64">
        <v>39.909999999999997</v>
      </c>
      <c r="L81" s="64">
        <v>23.39</v>
      </c>
      <c r="M81" s="64">
        <v>76.05</v>
      </c>
      <c r="N81" s="64">
        <v>18.2</v>
      </c>
      <c r="O81" s="64">
        <v>0</v>
      </c>
      <c r="P81" s="64">
        <v>0.37</v>
      </c>
      <c r="Q81" s="64">
        <v>9.52</v>
      </c>
      <c r="R81" s="198"/>
      <c r="S81" s="198"/>
      <c r="T81" s="198"/>
      <c r="U81" s="198"/>
    </row>
    <row r="82" spans="1:26" s="12" customFormat="1" x14ac:dyDescent="0.25">
      <c r="A82" s="214" t="s">
        <v>993</v>
      </c>
      <c r="B82" s="64">
        <v>0.26</v>
      </c>
      <c r="C82" s="64">
        <v>43.94</v>
      </c>
      <c r="D82" s="64">
        <v>23.09</v>
      </c>
      <c r="E82" s="64">
        <v>1.29</v>
      </c>
      <c r="F82" s="64">
        <v>3.75</v>
      </c>
      <c r="G82" s="64">
        <v>23.03</v>
      </c>
      <c r="H82" s="64">
        <v>8.0500000000000007</v>
      </c>
      <c r="I82" s="64">
        <v>7.24</v>
      </c>
      <c r="J82" s="64">
        <v>0.35</v>
      </c>
      <c r="K82" s="64">
        <v>40.76</v>
      </c>
      <c r="L82" s="64">
        <v>23.22</v>
      </c>
      <c r="M82" s="64">
        <v>72.75</v>
      </c>
      <c r="N82" s="64">
        <v>16.8</v>
      </c>
      <c r="O82" s="64">
        <v>0</v>
      </c>
      <c r="P82" s="64">
        <v>0.38</v>
      </c>
      <c r="Q82" s="64">
        <v>9.48</v>
      </c>
      <c r="R82" s="198"/>
      <c r="S82" s="198"/>
      <c r="T82" s="198"/>
      <c r="U82" s="198"/>
    </row>
    <row r="83" spans="1:26" s="12" customFormat="1" x14ac:dyDescent="0.25">
      <c r="A83" s="214" t="s">
        <v>994</v>
      </c>
      <c r="B83" s="64">
        <v>0.98</v>
      </c>
      <c r="C83" s="64">
        <v>44.45</v>
      </c>
      <c r="D83" s="64">
        <v>23.93</v>
      </c>
      <c r="E83" s="64">
        <v>1.31</v>
      </c>
      <c r="F83" s="64">
        <v>4.0999999999999996</v>
      </c>
      <c r="G83" s="64">
        <v>23.03</v>
      </c>
      <c r="H83" s="64">
        <v>8.0500000000000007</v>
      </c>
      <c r="I83" s="64">
        <v>7.43</v>
      </c>
      <c r="J83" s="64">
        <v>0.59</v>
      </c>
      <c r="K83" s="64">
        <v>358.52</v>
      </c>
      <c r="L83" s="64">
        <v>23.23</v>
      </c>
      <c r="M83" s="64">
        <v>72.31</v>
      </c>
      <c r="N83" s="64">
        <v>16.2</v>
      </c>
      <c r="O83" s="64">
        <v>0</v>
      </c>
      <c r="P83" s="64">
        <v>0.4</v>
      </c>
      <c r="Q83" s="64">
        <v>0</v>
      </c>
      <c r="R83" s="198"/>
      <c r="S83" s="198"/>
      <c r="T83" s="198"/>
      <c r="U83" s="198"/>
    </row>
    <row r="84" spans="1:26" s="12" customFormat="1" x14ac:dyDescent="0.25">
      <c r="A84" s="214" t="s">
        <v>995</v>
      </c>
      <c r="B84" s="64">
        <v>2.33</v>
      </c>
      <c r="C84" s="64">
        <v>44.91</v>
      </c>
      <c r="D84" s="64">
        <v>25.33</v>
      </c>
      <c r="E84" s="64">
        <v>1.84</v>
      </c>
      <c r="F84" s="64">
        <v>3.66</v>
      </c>
      <c r="G84" s="64">
        <v>23.03</v>
      </c>
      <c r="H84" s="64">
        <v>8.0500000000000007</v>
      </c>
      <c r="I84" s="64">
        <v>7.64</v>
      </c>
      <c r="J84" s="64">
        <v>0.49</v>
      </c>
      <c r="K84" s="64">
        <v>76.069999999999993</v>
      </c>
      <c r="L84" s="64">
        <v>23.44</v>
      </c>
      <c r="M84" s="64">
        <v>67.099999999999994</v>
      </c>
      <c r="N84" s="64">
        <v>16.2</v>
      </c>
      <c r="O84" s="64">
        <v>0</v>
      </c>
      <c r="P84" s="64">
        <v>0.45</v>
      </c>
      <c r="Q84" s="64">
        <v>0</v>
      </c>
      <c r="R84" s="198"/>
      <c r="S84" s="198"/>
      <c r="T84" s="198"/>
      <c r="U84" s="198"/>
    </row>
    <row r="85" spans="1:26" s="12" customFormat="1" x14ac:dyDescent="0.25">
      <c r="A85" s="214" t="s">
        <v>996</v>
      </c>
      <c r="B85" s="64">
        <v>2.83</v>
      </c>
      <c r="C85" s="64">
        <v>45.53</v>
      </c>
      <c r="D85" s="64">
        <v>25.97</v>
      </c>
      <c r="E85" s="64">
        <v>1.36</v>
      </c>
      <c r="F85" s="64">
        <v>3.32</v>
      </c>
      <c r="G85" s="64">
        <v>24.9</v>
      </c>
      <c r="H85" s="64">
        <v>8.6199999999999992</v>
      </c>
      <c r="I85" s="64">
        <v>7.75</v>
      </c>
      <c r="J85" s="64">
        <v>0.76</v>
      </c>
      <c r="K85" s="64">
        <v>350.33</v>
      </c>
      <c r="L85" s="64">
        <v>23</v>
      </c>
      <c r="M85" s="64">
        <v>77.08</v>
      </c>
      <c r="N85" s="64">
        <v>19.8</v>
      </c>
      <c r="O85" s="64">
        <v>0.4</v>
      </c>
      <c r="P85" s="64">
        <v>0.39</v>
      </c>
      <c r="Q85" s="64">
        <v>0</v>
      </c>
      <c r="R85" s="198"/>
      <c r="S85" s="198"/>
      <c r="T85" s="198"/>
      <c r="U85" s="198"/>
    </row>
    <row r="86" spans="1:26" s="12" customFormat="1" x14ac:dyDescent="0.25">
      <c r="A86" s="214" t="s">
        <v>997</v>
      </c>
      <c r="B86" s="64">
        <v>3.56</v>
      </c>
      <c r="C86" s="64">
        <v>45.94</v>
      </c>
      <c r="D86" s="64">
        <v>26.76</v>
      </c>
      <c r="E86" s="64">
        <v>1.67</v>
      </c>
      <c r="F86" s="64">
        <v>3.35</v>
      </c>
      <c r="G86" s="64">
        <v>27.91</v>
      </c>
      <c r="H86" s="64">
        <v>9.6199999999999992</v>
      </c>
      <c r="I86" s="64">
        <v>7.83</v>
      </c>
      <c r="J86" s="64">
        <v>1.26</v>
      </c>
      <c r="K86" s="64">
        <v>4.17</v>
      </c>
      <c r="L86" s="64">
        <v>21.62</v>
      </c>
      <c r="M86" s="64">
        <v>91.23</v>
      </c>
      <c r="N86" s="64">
        <v>18.2</v>
      </c>
      <c r="O86" s="64">
        <v>0</v>
      </c>
      <c r="P86" s="64">
        <v>0.5</v>
      </c>
      <c r="Q86" s="64">
        <v>0</v>
      </c>
      <c r="R86" s="198"/>
      <c r="S86" s="198"/>
      <c r="T86" s="198"/>
      <c r="U86" s="198"/>
    </row>
    <row r="87" spans="1:26" s="12" customFormat="1" x14ac:dyDescent="0.25">
      <c r="A87" s="214" t="s">
        <v>998</v>
      </c>
      <c r="B87" s="64">
        <v>4.67</v>
      </c>
      <c r="C87" s="64">
        <v>47.08</v>
      </c>
      <c r="D87" s="64">
        <v>28.26</v>
      </c>
      <c r="E87" s="64">
        <v>1.61</v>
      </c>
      <c r="F87" s="64">
        <v>3.14</v>
      </c>
      <c r="G87" s="64">
        <v>27.91</v>
      </c>
      <c r="H87" s="64">
        <v>9.6199999999999992</v>
      </c>
      <c r="I87" s="64">
        <v>7.91</v>
      </c>
      <c r="J87" s="64">
        <v>1.03</v>
      </c>
      <c r="K87" s="64">
        <v>5.92</v>
      </c>
      <c r="L87" s="64">
        <v>21.41</v>
      </c>
      <c r="M87" s="64">
        <v>92.6</v>
      </c>
      <c r="N87" s="64">
        <v>17.7</v>
      </c>
      <c r="O87" s="64">
        <v>0</v>
      </c>
      <c r="P87" s="64">
        <v>0.53</v>
      </c>
      <c r="Q87" s="64">
        <v>9.5399999999999991</v>
      </c>
      <c r="R87" s="198"/>
      <c r="S87" s="198"/>
      <c r="T87" s="198"/>
      <c r="U87" s="198"/>
    </row>
    <row r="88" spans="1:26" s="12" customFormat="1" x14ac:dyDescent="0.25">
      <c r="A88" s="214" t="s">
        <v>999</v>
      </c>
      <c r="B88" s="64">
        <v>5.21</v>
      </c>
      <c r="C88" s="64">
        <v>47.83</v>
      </c>
      <c r="D88" s="64">
        <v>29.09</v>
      </c>
      <c r="E88" s="64">
        <v>1.61</v>
      </c>
      <c r="F88" s="64">
        <v>3.47</v>
      </c>
      <c r="G88" s="64">
        <v>27.91</v>
      </c>
      <c r="H88" s="64">
        <v>9.6199999999999992</v>
      </c>
      <c r="I88" s="64">
        <v>8.0299999999999994</v>
      </c>
      <c r="J88" s="64">
        <v>0.63</v>
      </c>
      <c r="K88" s="64">
        <v>56.93</v>
      </c>
      <c r="L88" s="64">
        <v>21.28</v>
      </c>
      <c r="M88" s="64">
        <v>89.99</v>
      </c>
      <c r="N88" s="64">
        <v>17.399999999999999</v>
      </c>
      <c r="O88" s="64">
        <v>0</v>
      </c>
      <c r="P88" s="64">
        <v>0.55000000000000004</v>
      </c>
      <c r="Q88" s="64">
        <v>9.35</v>
      </c>
      <c r="R88" s="198"/>
      <c r="S88" s="198"/>
      <c r="T88" s="198"/>
      <c r="U88" s="198"/>
    </row>
    <row r="89" spans="1:26" s="12" customFormat="1" x14ac:dyDescent="0.25">
      <c r="A89" s="214" t="s">
        <v>1000</v>
      </c>
      <c r="B89" s="64">
        <v>4.9800000000000004</v>
      </c>
      <c r="C89" s="64">
        <v>48.54</v>
      </c>
      <c r="D89" s="64">
        <v>29.27</v>
      </c>
      <c r="E89" s="64">
        <v>1.79</v>
      </c>
      <c r="F89" s="64">
        <v>3.58</v>
      </c>
      <c r="G89" s="64">
        <v>30.75</v>
      </c>
      <c r="H89" s="64">
        <v>11.4</v>
      </c>
      <c r="I89" s="64">
        <v>8.43</v>
      </c>
      <c r="J89" s="64">
        <v>0.71</v>
      </c>
      <c r="K89" s="64">
        <v>78.02</v>
      </c>
      <c r="L89" s="64">
        <v>21.36</v>
      </c>
      <c r="M89" s="64">
        <v>87.93</v>
      </c>
      <c r="N89" s="64">
        <v>16.5</v>
      </c>
      <c r="O89" s="64">
        <v>0</v>
      </c>
      <c r="P89" s="64">
        <v>0.56999999999999995</v>
      </c>
      <c r="Q89" s="64">
        <v>9.56</v>
      </c>
      <c r="R89" s="198"/>
      <c r="S89" s="198"/>
      <c r="T89" s="198"/>
      <c r="U89" s="198"/>
    </row>
    <row r="90" spans="1:26" s="12" customFormat="1" x14ac:dyDescent="0.25">
      <c r="A90" s="214" t="s">
        <v>1001</v>
      </c>
      <c r="B90" s="64">
        <v>4.7699999999999996</v>
      </c>
      <c r="C90" s="64">
        <v>47.86</v>
      </c>
      <c r="D90" s="64">
        <v>28.75</v>
      </c>
      <c r="E90" s="64">
        <v>1.91</v>
      </c>
      <c r="F90" s="64">
        <v>3.67</v>
      </c>
      <c r="G90" s="64">
        <v>31.56</v>
      </c>
      <c r="H90" s="64">
        <v>11.91</v>
      </c>
      <c r="I90" s="64">
        <v>8.3000000000000007</v>
      </c>
      <c r="J90" s="64">
        <v>0.73</v>
      </c>
      <c r="K90" s="64">
        <v>64.17</v>
      </c>
      <c r="L90" s="64">
        <v>21.44</v>
      </c>
      <c r="M90" s="64">
        <v>88.18</v>
      </c>
      <c r="N90" s="64">
        <v>16.3</v>
      </c>
      <c r="O90" s="64">
        <v>0</v>
      </c>
      <c r="P90" s="64">
        <v>0.57999999999999996</v>
      </c>
      <c r="Q90" s="64">
        <v>9.5</v>
      </c>
      <c r="R90" s="198"/>
      <c r="S90" s="198"/>
      <c r="T90" s="198"/>
      <c r="U90" s="198"/>
    </row>
    <row r="91" spans="1:26" s="12" customFormat="1" x14ac:dyDescent="0.25">
      <c r="A91" s="214" t="s">
        <v>1002</v>
      </c>
      <c r="B91" s="64">
        <v>5.09</v>
      </c>
      <c r="C91" s="64">
        <v>48.11</v>
      </c>
      <c r="D91" s="64">
        <v>29.13</v>
      </c>
      <c r="E91" s="64">
        <v>1.76</v>
      </c>
      <c r="F91" s="64">
        <v>3.29</v>
      </c>
      <c r="G91" s="64">
        <v>31.56</v>
      </c>
      <c r="H91" s="64">
        <v>11.91</v>
      </c>
      <c r="I91" s="64">
        <v>8.25</v>
      </c>
      <c r="J91" s="64">
        <v>0.57999999999999996</v>
      </c>
      <c r="K91" s="64">
        <v>33.479999999999997</v>
      </c>
      <c r="L91" s="64">
        <v>21.4</v>
      </c>
      <c r="M91" s="64">
        <v>90.45</v>
      </c>
      <c r="N91" s="64">
        <v>16.399999999999999</v>
      </c>
      <c r="O91" s="64">
        <v>0</v>
      </c>
      <c r="P91" s="64">
        <v>0.59</v>
      </c>
      <c r="Q91" s="64">
        <v>9.6</v>
      </c>
      <c r="R91" s="198"/>
      <c r="S91" s="198"/>
      <c r="T91" s="198"/>
      <c r="U91" s="198"/>
    </row>
    <row r="92" spans="1:26" s="12" customFormat="1" x14ac:dyDescent="0.25">
      <c r="A92" s="214" t="s">
        <v>1003</v>
      </c>
      <c r="B92" s="64">
        <v>5.44</v>
      </c>
      <c r="C92" s="64">
        <v>47.42</v>
      </c>
      <c r="D92" s="64">
        <v>29.06</v>
      </c>
      <c r="E92" s="64">
        <v>1.79</v>
      </c>
      <c r="F92" s="64">
        <v>3.64</v>
      </c>
      <c r="G92" s="64">
        <v>31.56</v>
      </c>
      <c r="H92" s="64">
        <v>11.91</v>
      </c>
      <c r="I92" s="64">
        <v>8.2200000000000006</v>
      </c>
      <c r="J92" s="64">
        <v>0.52</v>
      </c>
      <c r="K92" s="64">
        <v>33.83</v>
      </c>
      <c r="L92" s="64">
        <v>21.29</v>
      </c>
      <c r="M92" s="64">
        <v>91.37</v>
      </c>
      <c r="N92" s="64">
        <v>16.5</v>
      </c>
      <c r="O92" s="64">
        <v>0</v>
      </c>
      <c r="P92" s="64">
        <v>0.61</v>
      </c>
      <c r="Q92" s="64">
        <v>9.42</v>
      </c>
      <c r="R92" s="198"/>
      <c r="S92" s="198"/>
      <c r="T92" s="198"/>
      <c r="U92" s="198"/>
    </row>
    <row r="93" spans="1:26" s="12" customFormat="1" x14ac:dyDescent="0.25">
      <c r="A93" s="214" t="s">
        <v>1004</v>
      </c>
      <c r="B93" s="64">
        <v>5.72</v>
      </c>
      <c r="C93" s="64">
        <v>47.4</v>
      </c>
      <c r="D93" s="64">
        <v>29.27</v>
      </c>
      <c r="E93" s="64">
        <v>1.68</v>
      </c>
      <c r="F93" s="64">
        <v>3.15</v>
      </c>
      <c r="G93" s="64">
        <v>29.09</v>
      </c>
      <c r="H93" s="64">
        <v>12.12</v>
      </c>
      <c r="I93" s="64">
        <v>8.16</v>
      </c>
      <c r="J93" s="64">
        <v>0.84</v>
      </c>
      <c r="K93" s="64">
        <v>35.85</v>
      </c>
      <c r="L93" s="64">
        <v>21.25</v>
      </c>
      <c r="M93" s="64">
        <v>88.93</v>
      </c>
      <c r="N93" s="64">
        <v>16.100000000000001</v>
      </c>
      <c r="O93" s="64">
        <v>0</v>
      </c>
      <c r="P93" s="64">
        <v>0.62</v>
      </c>
      <c r="Q93" s="64">
        <v>9.7200000000000006</v>
      </c>
      <c r="R93" s="198"/>
      <c r="S93" s="198"/>
      <c r="T93" s="198"/>
      <c r="U93" s="198"/>
    </row>
    <row r="94" spans="1:26" s="12" customFormat="1" x14ac:dyDescent="0.25">
      <c r="A94" s="214" t="s">
        <v>1005</v>
      </c>
      <c r="B94" s="64">
        <v>5.82</v>
      </c>
      <c r="C94" s="64">
        <v>47.37</v>
      </c>
      <c r="D94" s="64">
        <v>29.33</v>
      </c>
      <c r="E94" s="64">
        <v>1.82</v>
      </c>
      <c r="F94" s="64">
        <v>3.49</v>
      </c>
      <c r="G94" s="64">
        <v>28.38</v>
      </c>
      <c r="H94" s="64">
        <v>12.18</v>
      </c>
      <c r="I94" s="64">
        <v>8.02</v>
      </c>
      <c r="J94" s="64">
        <v>1.1200000000000001</v>
      </c>
      <c r="K94" s="64">
        <v>77.790000000000006</v>
      </c>
      <c r="L94" s="64">
        <v>21.16</v>
      </c>
      <c r="M94" s="64">
        <v>88.87</v>
      </c>
      <c r="N94" s="64">
        <v>16.100000000000001</v>
      </c>
      <c r="O94" s="64">
        <v>0</v>
      </c>
      <c r="P94" s="64">
        <v>0.63</v>
      </c>
      <c r="Q94" s="64">
        <v>9.5399999999999991</v>
      </c>
      <c r="R94" s="198"/>
      <c r="S94" s="198"/>
      <c r="T94" s="198"/>
      <c r="U94" s="198"/>
    </row>
    <row r="95" spans="1:26" s="12" customFormat="1" x14ac:dyDescent="0.25">
      <c r="A95" s="214" t="s">
        <v>1006</v>
      </c>
      <c r="B95" s="64">
        <v>5.65</v>
      </c>
      <c r="C95" s="64">
        <v>47.1</v>
      </c>
      <c r="D95" s="64">
        <v>29.06</v>
      </c>
      <c r="E95" s="64">
        <v>1.91</v>
      </c>
      <c r="F95" s="64">
        <v>3.32</v>
      </c>
      <c r="G95" s="64">
        <v>28.38</v>
      </c>
      <c r="H95" s="64">
        <v>12.18</v>
      </c>
      <c r="I95" s="64">
        <v>7.83</v>
      </c>
      <c r="J95" s="64">
        <v>0.63</v>
      </c>
      <c r="K95" s="64">
        <v>31.88</v>
      </c>
      <c r="L95" s="64">
        <v>21.14</v>
      </c>
      <c r="M95" s="64">
        <v>88.09</v>
      </c>
      <c r="N95" s="64">
        <v>16.2</v>
      </c>
      <c r="O95" s="64">
        <v>0</v>
      </c>
      <c r="P95" s="64">
        <v>0.63</v>
      </c>
      <c r="Q95" s="64">
        <v>9.5399999999999991</v>
      </c>
      <c r="R95" s="198"/>
      <c r="S95" s="198"/>
      <c r="T95" s="198"/>
      <c r="U95" s="198"/>
    </row>
    <row r="96" spans="1:26" s="12" customFormat="1" x14ac:dyDescent="0.25">
      <c r="A96" s="214" t="s">
        <v>1007</v>
      </c>
      <c r="B96" s="64">
        <v>5.64</v>
      </c>
      <c r="C96" s="64">
        <v>45.98</v>
      </c>
      <c r="D96" s="64">
        <v>28.47</v>
      </c>
      <c r="E96" s="64">
        <v>1.85</v>
      </c>
      <c r="F96" s="64">
        <v>3.42</v>
      </c>
      <c r="G96" s="64">
        <v>28.38</v>
      </c>
      <c r="H96" s="64">
        <v>12.18</v>
      </c>
      <c r="I96" s="64">
        <v>7.78</v>
      </c>
      <c r="J96" s="64">
        <v>0.5</v>
      </c>
      <c r="K96" s="64">
        <v>43.73</v>
      </c>
      <c r="L96" s="64">
        <v>21.11</v>
      </c>
      <c r="M96" s="64">
        <v>87.9</v>
      </c>
      <c r="N96" s="64">
        <v>16.600000000000001</v>
      </c>
      <c r="O96" s="64">
        <v>0</v>
      </c>
      <c r="P96" s="64">
        <v>0.63</v>
      </c>
      <c r="Q96" s="64">
        <v>9.74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1008</v>
      </c>
      <c r="B97" s="64">
        <v>5.99</v>
      </c>
      <c r="C97" s="64">
        <v>46.29</v>
      </c>
      <c r="D97" s="64">
        <v>28.91</v>
      </c>
      <c r="E97" s="64">
        <v>1.95</v>
      </c>
      <c r="F97" s="64">
        <v>3.63</v>
      </c>
      <c r="G97" s="64">
        <v>29.96</v>
      </c>
      <c r="H97" s="64">
        <v>11.99</v>
      </c>
      <c r="I97" s="64">
        <v>7.67</v>
      </c>
      <c r="J97" s="64">
        <v>0.71</v>
      </c>
      <c r="K97" s="64">
        <v>55.02</v>
      </c>
      <c r="L97" s="64">
        <v>21.05</v>
      </c>
      <c r="M97" s="64">
        <v>84.15</v>
      </c>
      <c r="N97" s="64">
        <v>16.600000000000001</v>
      </c>
      <c r="O97" s="64">
        <v>0</v>
      </c>
      <c r="P97" s="64">
        <v>0.63</v>
      </c>
      <c r="Q97" s="64">
        <v>9.66</v>
      </c>
      <c r="R97" s="198"/>
      <c r="S97" s="198"/>
      <c r="T97" s="198"/>
      <c r="U97" s="198"/>
    </row>
    <row r="98" spans="1:33" s="12" customFormat="1" x14ac:dyDescent="0.25">
      <c r="A98" s="214" t="s">
        <v>1009</v>
      </c>
      <c r="B98" s="64">
        <v>6.32</v>
      </c>
      <c r="C98" s="64">
        <v>45.27</v>
      </c>
      <c r="D98" s="64">
        <v>28.64</v>
      </c>
      <c r="E98" s="64">
        <v>1.8</v>
      </c>
      <c r="F98" s="64">
        <v>3.03</v>
      </c>
      <c r="G98" s="64">
        <v>30.4</v>
      </c>
      <c r="H98" s="64">
        <v>11.93</v>
      </c>
      <c r="I98" s="64">
        <v>7.53</v>
      </c>
      <c r="J98" s="64">
        <v>0.87</v>
      </c>
      <c r="K98" s="64">
        <v>1.94</v>
      </c>
      <c r="L98" s="64">
        <v>21.01</v>
      </c>
      <c r="M98" s="64">
        <v>80.8</v>
      </c>
      <c r="N98" s="64">
        <v>16.600000000000001</v>
      </c>
      <c r="O98" s="64">
        <v>0</v>
      </c>
      <c r="P98" s="64">
        <v>0.61</v>
      </c>
      <c r="Q98" s="64">
        <v>9.52</v>
      </c>
      <c r="R98" s="198"/>
      <c r="S98" s="198"/>
      <c r="T98" s="198"/>
      <c r="U98" s="198"/>
    </row>
    <row r="99" spans="1:33" s="12" customFormat="1" x14ac:dyDescent="0.25">
      <c r="A99" s="214" t="s">
        <v>1010</v>
      </c>
      <c r="B99" s="64">
        <v>6.28</v>
      </c>
      <c r="C99" s="64">
        <v>43.22</v>
      </c>
      <c r="D99" s="64">
        <v>27.54</v>
      </c>
      <c r="E99" s="64">
        <v>1.96</v>
      </c>
      <c r="F99" s="64">
        <v>3.39</v>
      </c>
      <c r="G99" s="64">
        <v>30.4</v>
      </c>
      <c r="H99" s="64">
        <v>11.93</v>
      </c>
      <c r="I99" s="64">
        <v>7.4</v>
      </c>
      <c r="J99" s="64">
        <v>0.75</v>
      </c>
      <c r="K99" s="64">
        <v>12.6</v>
      </c>
      <c r="L99" s="64">
        <v>20.92</v>
      </c>
      <c r="M99" s="64">
        <v>81.06</v>
      </c>
      <c r="N99" s="64">
        <v>16.399999999999999</v>
      </c>
      <c r="O99" s="64">
        <v>0</v>
      </c>
      <c r="P99" s="64">
        <v>0.6</v>
      </c>
      <c r="Q99" s="64">
        <v>9.3699999999999992</v>
      </c>
      <c r="R99" s="198"/>
      <c r="S99" s="198"/>
      <c r="T99" s="198"/>
      <c r="U99" s="198"/>
    </row>
    <row r="100" spans="1:33" s="12" customFormat="1" x14ac:dyDescent="0.25">
      <c r="A100" s="214" t="s">
        <v>1011</v>
      </c>
      <c r="B100" s="64">
        <v>6.62</v>
      </c>
      <c r="C100" s="64">
        <v>44.56</v>
      </c>
      <c r="D100" s="64">
        <v>28.51</v>
      </c>
      <c r="E100" s="64">
        <v>1.6</v>
      </c>
      <c r="F100" s="64">
        <v>3.46</v>
      </c>
      <c r="G100" s="64">
        <v>30.4</v>
      </c>
      <c r="H100" s="64">
        <v>11.93</v>
      </c>
      <c r="I100" s="64">
        <v>7.13</v>
      </c>
      <c r="J100" s="64">
        <v>1.44</v>
      </c>
      <c r="K100" s="64">
        <v>359.2</v>
      </c>
      <c r="L100" s="64">
        <v>20.54</v>
      </c>
      <c r="M100" s="64">
        <v>85.16</v>
      </c>
      <c r="N100" s="64">
        <v>20.5</v>
      </c>
      <c r="O100" s="64">
        <v>0.8</v>
      </c>
      <c r="P100" s="64">
        <v>0.59</v>
      </c>
      <c r="Q100" s="64">
        <v>9.6999999999999993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1012</v>
      </c>
      <c r="B101" s="64">
        <v>6.67</v>
      </c>
      <c r="C101" s="64">
        <v>45.74</v>
      </c>
      <c r="D101" s="64">
        <v>29.16</v>
      </c>
      <c r="E101" s="64">
        <v>1.58</v>
      </c>
      <c r="F101" s="64">
        <v>3.84</v>
      </c>
      <c r="G101" s="64">
        <v>31.14</v>
      </c>
      <c r="H101" s="64">
        <v>11.19</v>
      </c>
      <c r="I101" s="64">
        <v>7.16</v>
      </c>
      <c r="J101" s="64">
        <v>1.33</v>
      </c>
      <c r="K101" s="64">
        <v>0.99</v>
      </c>
      <c r="L101" s="64">
        <v>19.05</v>
      </c>
      <c r="M101" s="64">
        <v>95.01</v>
      </c>
      <c r="N101" s="64">
        <v>18.600000000000001</v>
      </c>
      <c r="O101" s="64">
        <v>0.2</v>
      </c>
      <c r="P101" s="64">
        <v>0.56999999999999995</v>
      </c>
      <c r="Q101" s="64">
        <v>9.5</v>
      </c>
      <c r="R101" s="198"/>
      <c r="S101" s="198"/>
      <c r="T101" s="198"/>
      <c r="U101" s="198"/>
    </row>
    <row r="102" spans="1:33" s="12" customFormat="1" x14ac:dyDescent="0.25">
      <c r="A102" s="214" t="s">
        <v>1013</v>
      </c>
      <c r="B102" s="64">
        <v>6.31</v>
      </c>
      <c r="C102" s="64">
        <v>46.07</v>
      </c>
      <c r="D102" s="64">
        <v>29.05</v>
      </c>
      <c r="E102" s="64">
        <v>1.23</v>
      </c>
      <c r="F102" s="64">
        <v>2.72</v>
      </c>
      <c r="G102" s="64">
        <v>31.35</v>
      </c>
      <c r="H102" s="64">
        <v>10.98</v>
      </c>
      <c r="I102" s="64">
        <v>7.15</v>
      </c>
      <c r="J102" s="64">
        <v>0.71</v>
      </c>
      <c r="K102" s="64">
        <v>5.55</v>
      </c>
      <c r="L102" s="64">
        <v>18.670000000000002</v>
      </c>
      <c r="M102" s="64">
        <v>94.82</v>
      </c>
      <c r="N102" s="64">
        <v>17.899999999999999</v>
      </c>
      <c r="O102" s="64">
        <v>0</v>
      </c>
      <c r="P102" s="64">
        <v>0.56000000000000005</v>
      </c>
      <c r="Q102" s="64">
        <v>9.5399999999999991</v>
      </c>
      <c r="R102" s="198"/>
      <c r="S102" s="198"/>
      <c r="T102" s="198"/>
      <c r="U102" s="198"/>
    </row>
    <row r="103" spans="1:33" s="12" customFormat="1" x14ac:dyDescent="0.25">
      <c r="A103" s="214" t="s">
        <v>1014</v>
      </c>
      <c r="B103" s="64">
        <v>6.53</v>
      </c>
      <c r="C103" s="64">
        <v>45.51</v>
      </c>
      <c r="D103" s="64">
        <v>28.93</v>
      </c>
      <c r="E103" s="64">
        <v>1.41</v>
      </c>
      <c r="F103" s="64">
        <v>3.44</v>
      </c>
      <c r="G103" s="64">
        <v>31.35</v>
      </c>
      <c r="H103" s="64">
        <v>10.98</v>
      </c>
      <c r="I103" s="64">
        <v>7.08</v>
      </c>
      <c r="J103" s="64">
        <v>0.71</v>
      </c>
      <c r="K103" s="64">
        <v>5.9</v>
      </c>
      <c r="L103" s="64">
        <v>18.64</v>
      </c>
      <c r="M103" s="64">
        <v>92.25</v>
      </c>
      <c r="N103" s="64">
        <v>17.7</v>
      </c>
      <c r="O103" s="64">
        <v>0</v>
      </c>
      <c r="P103" s="64">
        <v>0.56999999999999995</v>
      </c>
      <c r="Q103" s="64">
        <v>9.58</v>
      </c>
      <c r="R103" s="198"/>
      <c r="S103" s="198"/>
      <c r="T103" s="198"/>
      <c r="U103" s="198"/>
    </row>
    <row r="104" spans="1:33" s="12" customFormat="1" x14ac:dyDescent="0.25">
      <c r="A104" s="214" t="s">
        <v>1015</v>
      </c>
      <c r="B104" s="64">
        <v>6.56</v>
      </c>
      <c r="C104" s="64">
        <v>45.45</v>
      </c>
      <c r="D104" s="64">
        <v>28.93</v>
      </c>
      <c r="E104" s="64">
        <v>1.05</v>
      </c>
      <c r="F104" s="64">
        <v>3.54</v>
      </c>
      <c r="G104" s="64">
        <v>31.35</v>
      </c>
      <c r="H104" s="64">
        <v>10.98</v>
      </c>
      <c r="I104" s="64">
        <v>7</v>
      </c>
      <c r="J104" s="64">
        <v>0.34</v>
      </c>
      <c r="K104" s="64">
        <v>55.16</v>
      </c>
      <c r="L104" s="64">
        <v>18.440000000000001</v>
      </c>
      <c r="M104" s="64">
        <v>92.31</v>
      </c>
      <c r="N104" s="64">
        <v>17.399999999999999</v>
      </c>
      <c r="O104" s="64">
        <v>0</v>
      </c>
      <c r="P104" s="64">
        <v>0.56999999999999995</v>
      </c>
      <c r="Q104" s="64">
        <v>9.5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35.65</v>
      </c>
      <c r="D106" s="67">
        <f t="shared" ref="D106:Q106" si="0">MIN(D9:D104)</f>
        <v>18.63</v>
      </c>
      <c r="E106" s="67">
        <f t="shared" si="0"/>
        <v>0.76</v>
      </c>
      <c r="F106" s="67">
        <f t="shared" si="0"/>
        <v>2.72</v>
      </c>
      <c r="G106" s="67">
        <f t="shared" si="0"/>
        <v>15.45</v>
      </c>
      <c r="H106" s="67">
        <f t="shared" si="0"/>
        <v>5.91</v>
      </c>
      <c r="I106" s="67">
        <f t="shared" si="0"/>
        <v>2.14</v>
      </c>
      <c r="J106" s="67">
        <f t="shared" si="0"/>
        <v>0.05</v>
      </c>
      <c r="K106" s="67">
        <f t="shared" si="0"/>
        <v>0.99</v>
      </c>
      <c r="L106" s="67">
        <f t="shared" si="0"/>
        <v>17.78</v>
      </c>
      <c r="M106" s="67">
        <f t="shared" si="0"/>
        <v>52</v>
      </c>
      <c r="N106" s="67">
        <f t="shared" si="0"/>
        <v>16.100000000000001</v>
      </c>
      <c r="O106" s="67">
        <f t="shared" si="0"/>
        <v>0</v>
      </c>
      <c r="P106" s="67">
        <f t="shared" si="0"/>
        <v>0.24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6.67</v>
      </c>
      <c r="C107" s="66">
        <f t="shared" ref="C107:Q107" si="1">MAX(C9:C104)</f>
        <v>48.54</v>
      </c>
      <c r="D107" s="66">
        <f t="shared" si="1"/>
        <v>29.33</v>
      </c>
      <c r="E107" s="66">
        <f t="shared" si="1"/>
        <v>2.1800000000000002</v>
      </c>
      <c r="F107" s="66">
        <f t="shared" si="1"/>
        <v>7.43</v>
      </c>
      <c r="G107" s="66">
        <f t="shared" si="1"/>
        <v>38.5</v>
      </c>
      <c r="H107" s="66">
        <f t="shared" si="1"/>
        <v>25.16</v>
      </c>
      <c r="I107" s="66">
        <f t="shared" si="1"/>
        <v>8.43</v>
      </c>
      <c r="J107" s="66">
        <f t="shared" si="1"/>
        <v>3.08</v>
      </c>
      <c r="K107" s="66">
        <f t="shared" si="1"/>
        <v>359.2</v>
      </c>
      <c r="L107" s="66">
        <f t="shared" si="1"/>
        <v>26.7</v>
      </c>
      <c r="M107" s="66">
        <f t="shared" si="1"/>
        <v>102.51</v>
      </c>
      <c r="N107" s="66">
        <f t="shared" si="1"/>
        <v>900.6</v>
      </c>
      <c r="O107" s="66">
        <f t="shared" si="1"/>
        <v>0.8</v>
      </c>
      <c r="P107" s="66">
        <f t="shared" si="1"/>
        <v>0.63</v>
      </c>
      <c r="Q107" s="66">
        <f t="shared" si="1"/>
        <v>9.74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1.4431250000000009</v>
      </c>
      <c r="C108" s="67">
        <f t="shared" ref="C108:Q108" si="2">AVERAGE(C9:C104)</f>
        <v>42.314062499999984</v>
      </c>
      <c r="D108" s="67">
        <f t="shared" si="2"/>
        <v>23.185104166666665</v>
      </c>
      <c r="E108" s="67">
        <f t="shared" si="2"/>
        <v>1.6145833333333333</v>
      </c>
      <c r="F108" s="67">
        <f t="shared" si="2"/>
        <v>4.4673958333333355</v>
      </c>
      <c r="G108" s="67">
        <f t="shared" si="2"/>
        <v>24.41697916666666</v>
      </c>
      <c r="H108" s="67">
        <f t="shared" si="2"/>
        <v>10.357499999999993</v>
      </c>
      <c r="I108" s="67">
        <f t="shared" si="2"/>
        <v>5.5289583333333328</v>
      </c>
      <c r="J108" s="67">
        <f t="shared" si="2"/>
        <v>1.1690624999999997</v>
      </c>
      <c r="K108" s="67">
        <f t="shared" si="2"/>
        <v>120.5291666666667</v>
      </c>
      <c r="L108" s="67">
        <f t="shared" si="2"/>
        <v>21.644062500000004</v>
      </c>
      <c r="M108" s="67">
        <f t="shared" si="2"/>
        <v>78.280416666666653</v>
      </c>
      <c r="N108" s="67">
        <f t="shared" si="2"/>
        <v>145.5697916666667</v>
      </c>
      <c r="O108" s="67">
        <f t="shared" si="2"/>
        <v>6.2500000000000014E-2</v>
      </c>
      <c r="P108" s="67">
        <f t="shared" si="2"/>
        <v>0.38135416666666672</v>
      </c>
      <c r="Q108" s="67">
        <f t="shared" si="2"/>
        <v>9.0843750000000014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2.2239236604183201</v>
      </c>
      <c r="C109" s="67">
        <f t="shared" ref="C109:Q109" si="3">STDEV(C9:C104)</f>
        <v>3.7147519795723709</v>
      </c>
      <c r="D109" s="67">
        <f t="shared" si="3"/>
        <v>3.3708961778237589</v>
      </c>
      <c r="E109" s="67">
        <f t="shared" si="3"/>
        <v>0.28981270418801963</v>
      </c>
      <c r="F109" s="67">
        <f t="shared" si="3"/>
        <v>1.1116665959783212</v>
      </c>
      <c r="G109" s="67">
        <f t="shared" si="3"/>
        <v>6.8690361110055909</v>
      </c>
      <c r="H109" s="67">
        <f t="shared" si="3"/>
        <v>4.0929523509770416</v>
      </c>
      <c r="I109" s="67">
        <f t="shared" si="3"/>
        <v>2.0651746347294284</v>
      </c>
      <c r="J109" s="67">
        <f t="shared" si="3"/>
        <v>0.70655886352913289</v>
      </c>
      <c r="K109" s="67">
        <f t="shared" si="3"/>
        <v>70.013514359603803</v>
      </c>
      <c r="L109" s="67">
        <f t="shared" si="3"/>
        <v>2.647293584468533</v>
      </c>
      <c r="M109" s="67">
        <f t="shared" si="3"/>
        <v>15.334965544324337</v>
      </c>
      <c r="N109" s="67">
        <f t="shared" si="3"/>
        <v>205.22599102852533</v>
      </c>
      <c r="O109" s="67">
        <f t="shared" si="3"/>
        <v>0.14599927901768631</v>
      </c>
      <c r="P109" s="67">
        <f t="shared" si="3"/>
        <v>0.11143673958719563</v>
      </c>
      <c r="Q109" s="67">
        <f t="shared" si="3"/>
        <v>1.9068932089989337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1016</v>
      </c>
      <c r="B9" s="64">
        <v>6.68</v>
      </c>
      <c r="C9" s="64">
        <v>44.43</v>
      </c>
      <c r="D9" s="64">
        <v>28.49</v>
      </c>
      <c r="E9" s="64">
        <v>1.31</v>
      </c>
      <c r="F9" s="64">
        <v>3.07</v>
      </c>
      <c r="G9" s="64">
        <v>30.94</v>
      </c>
      <c r="H9" s="64">
        <v>12.67</v>
      </c>
      <c r="I9" s="64">
        <v>6.95</v>
      </c>
      <c r="J9" s="64">
        <v>0.51</v>
      </c>
      <c r="K9" s="64">
        <v>91.89</v>
      </c>
      <c r="L9" s="64">
        <v>18.53</v>
      </c>
      <c r="M9" s="64">
        <v>89.12</v>
      </c>
      <c r="N9" s="64">
        <v>17</v>
      </c>
      <c r="O9" s="64">
        <v>0</v>
      </c>
      <c r="P9" s="64">
        <v>0.57999999999999996</v>
      </c>
      <c r="Q9" s="64">
        <v>9.32</v>
      </c>
      <c r="R9" s="198"/>
      <c r="S9" s="198"/>
      <c r="T9" s="198"/>
      <c r="U9" s="198"/>
    </row>
    <row r="10" spans="1:21" s="12" customFormat="1" x14ac:dyDescent="0.25">
      <c r="A10" s="214" t="s">
        <v>1017</v>
      </c>
      <c r="B10" s="64">
        <v>6.7</v>
      </c>
      <c r="C10" s="64">
        <v>46.86</v>
      </c>
      <c r="D10" s="64">
        <v>29.77</v>
      </c>
      <c r="E10" s="64">
        <v>1.05</v>
      </c>
      <c r="F10" s="64">
        <v>2.65</v>
      </c>
      <c r="G10" s="64">
        <v>30.82</v>
      </c>
      <c r="H10" s="64">
        <v>13.16</v>
      </c>
      <c r="I10" s="64">
        <v>6.85</v>
      </c>
      <c r="J10" s="64">
        <v>1.48</v>
      </c>
      <c r="K10" s="64">
        <v>98.05</v>
      </c>
      <c r="L10" s="64">
        <v>18.91</v>
      </c>
      <c r="M10" s="64">
        <v>84.84</v>
      </c>
      <c r="N10" s="64">
        <v>16.399999999999999</v>
      </c>
      <c r="O10" s="64">
        <v>0</v>
      </c>
      <c r="P10" s="64">
        <v>0.56000000000000005</v>
      </c>
      <c r="Q10" s="64">
        <v>9.59</v>
      </c>
      <c r="R10" s="198"/>
      <c r="S10" s="198"/>
      <c r="T10" s="198"/>
      <c r="U10" s="198"/>
    </row>
    <row r="11" spans="1:21" s="12" customFormat="1" x14ac:dyDescent="0.25">
      <c r="A11" s="214" t="s">
        <v>1018</v>
      </c>
      <c r="B11" s="64">
        <v>6.12</v>
      </c>
      <c r="C11" s="64">
        <v>46.2</v>
      </c>
      <c r="D11" s="64">
        <v>28.96</v>
      </c>
      <c r="E11" s="64">
        <v>1.25</v>
      </c>
      <c r="F11" s="64">
        <v>3.45</v>
      </c>
      <c r="G11" s="64">
        <v>30.82</v>
      </c>
      <c r="H11" s="64">
        <v>13.16</v>
      </c>
      <c r="I11" s="64">
        <v>6.87</v>
      </c>
      <c r="J11" s="64">
        <v>0.67</v>
      </c>
      <c r="K11" s="64">
        <v>162.16999999999999</v>
      </c>
      <c r="L11" s="64">
        <v>18.989999999999998</v>
      </c>
      <c r="M11" s="64">
        <v>86.05</v>
      </c>
      <c r="N11" s="64">
        <v>16.600000000000001</v>
      </c>
      <c r="O11" s="64">
        <v>0</v>
      </c>
      <c r="P11" s="64">
        <v>0.55000000000000004</v>
      </c>
      <c r="Q11" s="64">
        <v>9.4</v>
      </c>
      <c r="R11" s="198"/>
      <c r="S11" s="198"/>
      <c r="T11" s="198"/>
      <c r="U11" s="198"/>
    </row>
    <row r="12" spans="1:21" s="12" customFormat="1" x14ac:dyDescent="0.25">
      <c r="A12" s="214" t="s">
        <v>1019</v>
      </c>
      <c r="B12" s="64">
        <v>5.28</v>
      </c>
      <c r="C12" s="64">
        <v>45.74</v>
      </c>
      <c r="D12" s="64">
        <v>28.05</v>
      </c>
      <c r="E12" s="64">
        <v>1.1200000000000001</v>
      </c>
      <c r="F12" s="64">
        <v>3.58</v>
      </c>
      <c r="G12" s="64">
        <v>30.82</v>
      </c>
      <c r="H12" s="64">
        <v>13.16</v>
      </c>
      <c r="I12" s="64">
        <v>7.1</v>
      </c>
      <c r="J12" s="64">
        <v>0.04</v>
      </c>
      <c r="K12" s="64">
        <v>13.45</v>
      </c>
      <c r="L12" s="64">
        <v>18.88</v>
      </c>
      <c r="M12" s="64">
        <v>88.6</v>
      </c>
      <c r="N12" s="64">
        <v>16.7</v>
      </c>
      <c r="O12" s="64">
        <v>0</v>
      </c>
      <c r="P12" s="64">
        <v>0.53</v>
      </c>
      <c r="Q12" s="64">
        <v>9.58</v>
      </c>
      <c r="R12" s="198"/>
      <c r="S12" s="198"/>
      <c r="T12" s="198"/>
      <c r="U12" s="198"/>
    </row>
    <row r="13" spans="1:21" s="12" customFormat="1" x14ac:dyDescent="0.25">
      <c r="A13" s="214" t="s">
        <v>1020</v>
      </c>
      <c r="B13" s="64">
        <v>4.78</v>
      </c>
      <c r="C13" s="64">
        <v>44.36</v>
      </c>
      <c r="D13" s="64">
        <v>26.93</v>
      </c>
      <c r="E13" s="64">
        <v>1.06</v>
      </c>
      <c r="F13" s="64">
        <v>3.38</v>
      </c>
      <c r="G13" s="64">
        <v>26.48</v>
      </c>
      <c r="H13" s="64">
        <v>12.09</v>
      </c>
      <c r="I13" s="64">
        <v>7.2</v>
      </c>
      <c r="J13" s="64">
        <v>0.3</v>
      </c>
      <c r="K13" s="64">
        <v>53.63</v>
      </c>
      <c r="L13" s="64">
        <v>18.600000000000001</v>
      </c>
      <c r="M13" s="64">
        <v>93.33</v>
      </c>
      <c r="N13" s="64">
        <v>17.399999999999999</v>
      </c>
      <c r="O13" s="64">
        <v>0.6</v>
      </c>
      <c r="P13" s="64">
        <v>0.42</v>
      </c>
      <c r="Q13" s="64">
        <v>9.2899999999999991</v>
      </c>
      <c r="R13" s="198"/>
      <c r="S13" s="198"/>
      <c r="T13" s="198"/>
      <c r="U13" s="198"/>
    </row>
    <row r="14" spans="1:21" s="12" customFormat="1" x14ac:dyDescent="0.25">
      <c r="A14" s="214" t="s">
        <v>1021</v>
      </c>
      <c r="B14" s="64">
        <v>4.42</v>
      </c>
      <c r="C14" s="64">
        <v>43.54</v>
      </c>
      <c r="D14" s="64">
        <v>26.21</v>
      </c>
      <c r="E14" s="64">
        <v>0.99</v>
      </c>
      <c r="F14" s="64">
        <v>3.1</v>
      </c>
      <c r="G14" s="64">
        <v>25.24</v>
      </c>
      <c r="H14" s="64">
        <v>11.79</v>
      </c>
      <c r="I14" s="64">
        <v>6.99</v>
      </c>
      <c r="J14" s="64">
        <v>0.24</v>
      </c>
      <c r="K14" s="64">
        <v>13.52</v>
      </c>
      <c r="L14" s="64">
        <v>18.010000000000002</v>
      </c>
      <c r="M14" s="64">
        <v>97.72</v>
      </c>
      <c r="N14" s="64">
        <v>17.3</v>
      </c>
      <c r="O14" s="64">
        <v>6.8</v>
      </c>
      <c r="P14" s="64">
        <v>0.44</v>
      </c>
      <c r="Q14" s="64">
        <v>9.6300000000000008</v>
      </c>
      <c r="R14" s="198"/>
      <c r="S14" s="198"/>
      <c r="T14" s="198"/>
      <c r="U14" s="198"/>
    </row>
    <row r="15" spans="1:21" s="12" customFormat="1" x14ac:dyDescent="0.25">
      <c r="A15" s="214" t="s">
        <v>1022</v>
      </c>
      <c r="B15" s="64">
        <v>4.0599999999999996</v>
      </c>
      <c r="C15" s="64">
        <v>42.24</v>
      </c>
      <c r="D15" s="64">
        <v>25.24</v>
      </c>
      <c r="E15" s="64">
        <v>0.97</v>
      </c>
      <c r="F15" s="64">
        <v>3.32</v>
      </c>
      <c r="G15" s="64">
        <v>25.24</v>
      </c>
      <c r="H15" s="64">
        <v>11.79</v>
      </c>
      <c r="I15" s="64">
        <v>6.74</v>
      </c>
      <c r="J15" s="64">
        <v>0.59</v>
      </c>
      <c r="K15" s="64">
        <v>110.85</v>
      </c>
      <c r="L15" s="64">
        <v>16.82</v>
      </c>
      <c r="M15" s="64">
        <v>97.77</v>
      </c>
      <c r="N15" s="64">
        <v>17.5</v>
      </c>
      <c r="O15" s="64">
        <v>1</v>
      </c>
      <c r="P15" s="64">
        <v>0.43</v>
      </c>
      <c r="Q15" s="64">
        <v>9.4700000000000006</v>
      </c>
      <c r="R15" s="198"/>
      <c r="S15" s="198"/>
      <c r="T15" s="198"/>
      <c r="U15" s="198"/>
    </row>
    <row r="16" spans="1:21" s="12" customFormat="1" x14ac:dyDescent="0.25">
      <c r="A16" s="214" t="s">
        <v>1023</v>
      </c>
      <c r="B16" s="64">
        <v>3.72</v>
      </c>
      <c r="C16" s="64">
        <v>41.62</v>
      </c>
      <c r="D16" s="64">
        <v>24.64</v>
      </c>
      <c r="E16" s="64">
        <v>1.1299999999999999</v>
      </c>
      <c r="F16" s="64">
        <v>3.57</v>
      </c>
      <c r="G16" s="64">
        <v>25.24</v>
      </c>
      <c r="H16" s="64">
        <v>11.79</v>
      </c>
      <c r="I16" s="64">
        <v>6.45</v>
      </c>
      <c r="J16" s="64">
        <v>0.68</v>
      </c>
      <c r="K16" s="64">
        <v>152.66</v>
      </c>
      <c r="L16" s="64">
        <v>17.21</v>
      </c>
      <c r="M16" s="64">
        <v>97.78</v>
      </c>
      <c r="N16" s="64">
        <v>16.2</v>
      </c>
      <c r="O16" s="64">
        <v>0</v>
      </c>
      <c r="P16" s="64">
        <v>0.41</v>
      </c>
      <c r="Q16" s="64">
        <v>9.5500000000000007</v>
      </c>
      <c r="R16" s="198"/>
      <c r="S16" s="198"/>
      <c r="T16" s="198"/>
      <c r="U16" s="198"/>
    </row>
    <row r="17" spans="1:21" s="12" customFormat="1" x14ac:dyDescent="0.25">
      <c r="A17" s="214" t="s">
        <v>1024</v>
      </c>
      <c r="B17" s="64">
        <v>3.46</v>
      </c>
      <c r="C17" s="64">
        <v>41.54</v>
      </c>
      <c r="D17" s="64">
        <v>24.4</v>
      </c>
      <c r="E17" s="64">
        <v>1.02</v>
      </c>
      <c r="F17" s="64">
        <v>3.05</v>
      </c>
      <c r="G17" s="64">
        <v>24.72</v>
      </c>
      <c r="H17" s="64">
        <v>9.24</v>
      </c>
      <c r="I17" s="64">
        <v>6.32</v>
      </c>
      <c r="J17" s="64">
        <v>0.92</v>
      </c>
      <c r="K17" s="64">
        <v>155.79</v>
      </c>
      <c r="L17" s="64">
        <v>17.52</v>
      </c>
      <c r="M17" s="64">
        <v>97.76</v>
      </c>
      <c r="N17" s="64">
        <v>17.600000000000001</v>
      </c>
      <c r="O17" s="64">
        <v>0</v>
      </c>
      <c r="P17" s="64">
        <v>0.4</v>
      </c>
      <c r="Q17" s="64">
        <v>9.49</v>
      </c>
      <c r="R17" s="198"/>
      <c r="S17" s="198"/>
      <c r="T17" s="198"/>
      <c r="U17" s="198"/>
    </row>
    <row r="18" spans="1:21" s="12" customFormat="1" x14ac:dyDescent="0.25">
      <c r="A18" s="214" t="s">
        <v>1025</v>
      </c>
      <c r="B18" s="64">
        <v>3.23</v>
      </c>
      <c r="C18" s="64">
        <v>41.4</v>
      </c>
      <c r="D18" s="64">
        <v>24.14</v>
      </c>
      <c r="E18" s="64">
        <v>0.91</v>
      </c>
      <c r="F18" s="64">
        <v>3.49</v>
      </c>
      <c r="G18" s="64">
        <v>24.57</v>
      </c>
      <c r="H18" s="64">
        <v>8.51</v>
      </c>
      <c r="I18" s="64">
        <v>6.2</v>
      </c>
      <c r="J18" s="64">
        <v>1.66</v>
      </c>
      <c r="K18" s="64">
        <v>311.7</v>
      </c>
      <c r="L18" s="64">
        <v>17.71</v>
      </c>
      <c r="M18" s="64">
        <v>97.75</v>
      </c>
      <c r="N18" s="64">
        <v>18</v>
      </c>
      <c r="O18" s="64">
        <v>0</v>
      </c>
      <c r="P18" s="64">
        <v>0.38</v>
      </c>
      <c r="Q18" s="64">
        <v>9.2799999999999994</v>
      </c>
      <c r="R18" s="198"/>
      <c r="S18" s="198"/>
      <c r="T18" s="198"/>
      <c r="U18" s="198"/>
    </row>
    <row r="19" spans="1:21" s="12" customFormat="1" x14ac:dyDescent="0.25">
      <c r="A19" s="214" t="s">
        <v>1026</v>
      </c>
      <c r="B19" s="64">
        <v>2.16</v>
      </c>
      <c r="C19" s="64">
        <v>40.79</v>
      </c>
      <c r="D19" s="64">
        <v>22.96</v>
      </c>
      <c r="E19" s="64">
        <v>1.27</v>
      </c>
      <c r="F19" s="64">
        <v>4.32</v>
      </c>
      <c r="G19" s="64">
        <v>24.57</v>
      </c>
      <c r="H19" s="64">
        <v>8.51</v>
      </c>
      <c r="I19" s="64">
        <v>6.02</v>
      </c>
      <c r="J19" s="64">
        <v>1.21</v>
      </c>
      <c r="K19" s="64">
        <v>313.89999999999998</v>
      </c>
      <c r="L19" s="64">
        <v>17.920000000000002</v>
      </c>
      <c r="M19" s="64">
        <v>95.56</v>
      </c>
      <c r="N19" s="64">
        <v>18.7</v>
      </c>
      <c r="O19" s="64">
        <v>0</v>
      </c>
      <c r="P19" s="64">
        <v>0.36</v>
      </c>
      <c r="Q19" s="64">
        <v>9.57</v>
      </c>
      <c r="R19" s="198"/>
      <c r="S19" s="198"/>
      <c r="T19" s="198"/>
      <c r="U19" s="198"/>
    </row>
    <row r="20" spans="1:21" s="12" customFormat="1" x14ac:dyDescent="0.25">
      <c r="A20" s="214" t="s">
        <v>1027</v>
      </c>
      <c r="B20" s="64">
        <v>1</v>
      </c>
      <c r="C20" s="64">
        <v>41.26</v>
      </c>
      <c r="D20" s="64">
        <v>22.27</v>
      </c>
      <c r="E20" s="64">
        <v>1.39</v>
      </c>
      <c r="F20" s="64">
        <v>3.91</v>
      </c>
      <c r="G20" s="64">
        <v>24.57</v>
      </c>
      <c r="H20" s="64">
        <v>8.51</v>
      </c>
      <c r="I20" s="64">
        <v>5.65</v>
      </c>
      <c r="J20" s="64">
        <v>0.05</v>
      </c>
      <c r="K20" s="64">
        <v>263.11</v>
      </c>
      <c r="L20" s="64">
        <v>18.190000000000001</v>
      </c>
      <c r="M20" s="64">
        <v>92.52</v>
      </c>
      <c r="N20" s="64">
        <v>17.7</v>
      </c>
      <c r="O20" s="64">
        <v>0.2</v>
      </c>
      <c r="P20" s="64">
        <v>0.34</v>
      </c>
      <c r="Q20" s="64">
        <v>9.4</v>
      </c>
      <c r="R20" s="198"/>
      <c r="S20" s="198"/>
      <c r="T20" s="198"/>
      <c r="U20" s="198"/>
    </row>
    <row r="21" spans="1:21" s="12" customFormat="1" x14ac:dyDescent="0.25">
      <c r="A21" s="214" t="s">
        <v>1028</v>
      </c>
      <c r="B21" s="64">
        <v>0.69</v>
      </c>
      <c r="C21" s="64">
        <v>40.14</v>
      </c>
      <c r="D21" s="64">
        <v>21.44</v>
      </c>
      <c r="E21" s="64">
        <v>0.95</v>
      </c>
      <c r="F21" s="64">
        <v>3.14</v>
      </c>
      <c r="G21" s="64">
        <v>21.65</v>
      </c>
      <c r="H21" s="64">
        <v>7.75</v>
      </c>
      <c r="I21" s="64">
        <v>5.09</v>
      </c>
      <c r="J21" s="64">
        <v>1.26</v>
      </c>
      <c r="K21" s="64">
        <v>110.75</v>
      </c>
      <c r="L21" s="64">
        <v>18.54</v>
      </c>
      <c r="M21" s="64">
        <v>87.63</v>
      </c>
      <c r="N21" s="64">
        <v>17.3</v>
      </c>
      <c r="O21" s="64">
        <v>2.8</v>
      </c>
      <c r="P21" s="64">
        <v>0.33</v>
      </c>
      <c r="Q21" s="64">
        <v>9.57</v>
      </c>
      <c r="R21" s="198"/>
      <c r="S21" s="198"/>
      <c r="T21" s="198"/>
      <c r="U21" s="198"/>
    </row>
    <row r="22" spans="1:21" s="12" customFormat="1" x14ac:dyDescent="0.25">
      <c r="A22" s="214" t="s">
        <v>1029</v>
      </c>
      <c r="B22" s="64">
        <v>0.74</v>
      </c>
      <c r="C22" s="64">
        <v>40.729999999999997</v>
      </c>
      <c r="D22" s="64">
        <v>21.79</v>
      </c>
      <c r="E22" s="64">
        <v>1.01</v>
      </c>
      <c r="F22" s="64">
        <v>3.74</v>
      </c>
      <c r="G22" s="64">
        <v>20.81</v>
      </c>
      <c r="H22" s="64">
        <v>7.53</v>
      </c>
      <c r="I22" s="64">
        <v>4.66</v>
      </c>
      <c r="J22" s="64">
        <v>2.52</v>
      </c>
      <c r="K22" s="64">
        <v>111.35</v>
      </c>
      <c r="L22" s="64">
        <v>18.32</v>
      </c>
      <c r="M22" s="64">
        <v>91.22</v>
      </c>
      <c r="N22" s="64">
        <v>17.100000000000001</v>
      </c>
      <c r="O22" s="64">
        <v>1.2</v>
      </c>
      <c r="P22" s="64">
        <v>0.32</v>
      </c>
      <c r="Q22" s="64">
        <v>9.4700000000000006</v>
      </c>
      <c r="R22" s="198"/>
      <c r="S22" s="198"/>
      <c r="T22" s="198"/>
      <c r="U22" s="198"/>
    </row>
    <row r="23" spans="1:21" s="12" customFormat="1" x14ac:dyDescent="0.25">
      <c r="A23" s="214" t="s">
        <v>1030</v>
      </c>
      <c r="B23" s="64">
        <v>0.37</v>
      </c>
      <c r="C23" s="64">
        <v>40.56</v>
      </c>
      <c r="D23" s="64">
        <v>21.41</v>
      </c>
      <c r="E23" s="64">
        <v>1</v>
      </c>
      <c r="F23" s="64">
        <v>4.84</v>
      </c>
      <c r="G23" s="64">
        <v>20.81</v>
      </c>
      <c r="H23" s="64">
        <v>7.53</v>
      </c>
      <c r="I23" s="64">
        <v>4.83</v>
      </c>
      <c r="J23" s="64">
        <v>1.21</v>
      </c>
      <c r="K23" s="64">
        <v>174.33</v>
      </c>
      <c r="L23" s="64">
        <v>18.84</v>
      </c>
      <c r="M23" s="64">
        <v>85.2</v>
      </c>
      <c r="N23" s="64">
        <v>20.3</v>
      </c>
      <c r="O23" s="64">
        <v>0</v>
      </c>
      <c r="P23" s="64">
        <v>0.31</v>
      </c>
      <c r="Q23" s="64">
        <v>9.49</v>
      </c>
      <c r="R23" s="198"/>
      <c r="S23" s="198"/>
      <c r="T23" s="198"/>
      <c r="U23" s="198"/>
    </row>
    <row r="24" spans="1:21" s="12" customFormat="1" x14ac:dyDescent="0.25">
      <c r="A24" s="214" t="s">
        <v>1031</v>
      </c>
      <c r="B24" s="64">
        <v>0.1</v>
      </c>
      <c r="C24" s="64">
        <v>41.13</v>
      </c>
      <c r="D24" s="64">
        <v>21.49</v>
      </c>
      <c r="E24" s="64">
        <v>1.38</v>
      </c>
      <c r="F24" s="64">
        <v>4.28</v>
      </c>
      <c r="G24" s="64">
        <v>20.81</v>
      </c>
      <c r="H24" s="64">
        <v>7.53</v>
      </c>
      <c r="I24" s="64">
        <v>5.33</v>
      </c>
      <c r="J24" s="64">
        <v>0.91</v>
      </c>
      <c r="K24" s="64">
        <v>170.92</v>
      </c>
      <c r="L24" s="64">
        <v>18.73</v>
      </c>
      <c r="M24" s="64">
        <v>86.43</v>
      </c>
      <c r="N24" s="64">
        <v>18.399999999999999</v>
      </c>
      <c r="O24" s="64">
        <v>0</v>
      </c>
      <c r="P24" s="64">
        <v>0.3</v>
      </c>
      <c r="Q24" s="64">
        <v>9.4499999999999993</v>
      </c>
      <c r="R24" s="198"/>
      <c r="S24" s="198"/>
      <c r="T24" s="198"/>
      <c r="U24" s="198"/>
    </row>
    <row r="25" spans="1:21" s="12" customFormat="1" x14ac:dyDescent="0.25">
      <c r="A25" s="214" t="s">
        <v>1032</v>
      </c>
      <c r="B25" s="64">
        <v>0.1</v>
      </c>
      <c r="C25" s="64">
        <v>41.1</v>
      </c>
      <c r="D25" s="64">
        <v>21.47</v>
      </c>
      <c r="E25" s="64">
        <v>1.03</v>
      </c>
      <c r="F25" s="64">
        <v>4.1900000000000004</v>
      </c>
      <c r="G25" s="64">
        <v>20</v>
      </c>
      <c r="H25" s="64">
        <v>10.54</v>
      </c>
      <c r="I25" s="64">
        <v>5.51</v>
      </c>
      <c r="J25" s="64">
        <v>1.92</v>
      </c>
      <c r="K25" s="64">
        <v>162.06</v>
      </c>
      <c r="L25" s="64">
        <v>18.98</v>
      </c>
      <c r="M25" s="64">
        <v>83.61</v>
      </c>
      <c r="N25" s="64">
        <v>18.5</v>
      </c>
      <c r="O25" s="64">
        <v>0</v>
      </c>
      <c r="P25" s="64">
        <v>0.28999999999999998</v>
      </c>
      <c r="Q25" s="64">
        <v>9.3699999999999992</v>
      </c>
      <c r="R25" s="198"/>
      <c r="S25" s="198"/>
      <c r="T25" s="198"/>
      <c r="U25" s="198"/>
    </row>
    <row r="26" spans="1:21" s="12" customFormat="1" x14ac:dyDescent="0.25">
      <c r="A26" s="214" t="s">
        <v>1033</v>
      </c>
      <c r="B26" s="64">
        <v>0.1</v>
      </c>
      <c r="C26" s="64">
        <v>40.42</v>
      </c>
      <c r="D26" s="64">
        <v>21.12</v>
      </c>
      <c r="E26" s="64">
        <v>1.1000000000000001</v>
      </c>
      <c r="F26" s="64">
        <v>4.1500000000000004</v>
      </c>
      <c r="G26" s="64">
        <v>19.77</v>
      </c>
      <c r="H26" s="64">
        <v>11.4</v>
      </c>
      <c r="I26" s="64">
        <v>5.23</v>
      </c>
      <c r="J26" s="64">
        <v>1.51</v>
      </c>
      <c r="K26" s="64">
        <v>162.79</v>
      </c>
      <c r="L26" s="64">
        <v>18.98</v>
      </c>
      <c r="M26" s="64">
        <v>82.53</v>
      </c>
      <c r="N26" s="64">
        <v>17.100000000000001</v>
      </c>
      <c r="O26" s="64">
        <v>0</v>
      </c>
      <c r="P26" s="64">
        <v>0.28000000000000003</v>
      </c>
      <c r="Q26" s="64">
        <v>9.23</v>
      </c>
      <c r="R26" s="198"/>
      <c r="S26" s="198"/>
      <c r="T26" s="198"/>
      <c r="U26" s="198"/>
    </row>
    <row r="27" spans="1:21" s="12" customFormat="1" x14ac:dyDescent="0.25">
      <c r="A27" s="214" t="s">
        <v>1034</v>
      </c>
      <c r="B27" s="64">
        <v>0.1</v>
      </c>
      <c r="C27" s="64">
        <v>40.840000000000003</v>
      </c>
      <c r="D27" s="64">
        <v>21.34</v>
      </c>
      <c r="E27" s="64">
        <v>1.1399999999999999</v>
      </c>
      <c r="F27" s="64">
        <v>3.67</v>
      </c>
      <c r="G27" s="64">
        <v>19.77</v>
      </c>
      <c r="H27" s="64">
        <v>11.4</v>
      </c>
      <c r="I27" s="64">
        <v>5.01</v>
      </c>
      <c r="J27" s="64">
        <v>1.27</v>
      </c>
      <c r="K27" s="64">
        <v>163.11000000000001</v>
      </c>
      <c r="L27" s="64">
        <v>19.079999999999998</v>
      </c>
      <c r="M27" s="64">
        <v>81.23</v>
      </c>
      <c r="N27" s="64">
        <v>16.5</v>
      </c>
      <c r="O27" s="64">
        <v>0</v>
      </c>
      <c r="P27" s="64">
        <v>0.28000000000000003</v>
      </c>
      <c r="Q27" s="64">
        <v>9.4</v>
      </c>
      <c r="R27" s="198"/>
      <c r="S27" s="198"/>
      <c r="T27" s="198"/>
      <c r="U27" s="198"/>
    </row>
    <row r="28" spans="1:21" s="12" customFormat="1" x14ac:dyDescent="0.25">
      <c r="A28" s="214" t="s">
        <v>1035</v>
      </c>
      <c r="B28" s="64">
        <v>0.1</v>
      </c>
      <c r="C28" s="64">
        <v>38.54</v>
      </c>
      <c r="D28" s="64">
        <v>20.13</v>
      </c>
      <c r="E28" s="64">
        <v>0.69</v>
      </c>
      <c r="F28" s="64">
        <v>3.74</v>
      </c>
      <c r="G28" s="64">
        <v>19.77</v>
      </c>
      <c r="H28" s="64">
        <v>11.4</v>
      </c>
      <c r="I28" s="64">
        <v>4.76</v>
      </c>
      <c r="J28" s="64">
        <v>0.2</v>
      </c>
      <c r="K28" s="64">
        <v>184.36</v>
      </c>
      <c r="L28" s="64">
        <v>19.13</v>
      </c>
      <c r="M28" s="64">
        <v>82.28</v>
      </c>
      <c r="N28" s="64">
        <v>16.2</v>
      </c>
      <c r="O28" s="64">
        <v>0</v>
      </c>
      <c r="P28" s="64">
        <v>0.26</v>
      </c>
      <c r="Q28" s="64">
        <v>9.2899999999999991</v>
      </c>
      <c r="R28" s="198"/>
      <c r="S28" s="198"/>
      <c r="T28" s="198"/>
      <c r="U28" s="198"/>
    </row>
    <row r="29" spans="1:21" s="12" customFormat="1" x14ac:dyDescent="0.25">
      <c r="A29" s="214" t="s">
        <v>1036</v>
      </c>
      <c r="B29" s="64">
        <v>0.11</v>
      </c>
      <c r="C29" s="64">
        <v>37.97</v>
      </c>
      <c r="D29" s="64">
        <v>19.850000000000001</v>
      </c>
      <c r="E29" s="64">
        <v>1.08</v>
      </c>
      <c r="F29" s="64">
        <v>3.73</v>
      </c>
      <c r="G29" s="64">
        <v>19.100000000000001</v>
      </c>
      <c r="H29" s="64">
        <v>9.11</v>
      </c>
      <c r="I29" s="64">
        <v>4.5999999999999996</v>
      </c>
      <c r="J29" s="64">
        <v>0.14000000000000001</v>
      </c>
      <c r="K29" s="64">
        <v>296.95</v>
      </c>
      <c r="L29" s="64">
        <v>18.79</v>
      </c>
      <c r="M29" s="64">
        <v>87.94</v>
      </c>
      <c r="N29" s="64">
        <v>17</v>
      </c>
      <c r="O29" s="64">
        <v>0</v>
      </c>
      <c r="P29" s="64">
        <v>0.26</v>
      </c>
      <c r="Q29" s="64">
        <v>9.35</v>
      </c>
      <c r="R29" s="198"/>
      <c r="S29" s="198"/>
      <c r="T29" s="198"/>
      <c r="U29" s="198"/>
    </row>
    <row r="30" spans="1:21" s="12" customFormat="1" x14ac:dyDescent="0.25">
      <c r="A30" s="214" t="s">
        <v>1037</v>
      </c>
      <c r="B30" s="64">
        <v>0.47</v>
      </c>
      <c r="C30" s="64">
        <v>39.369999999999997</v>
      </c>
      <c r="D30" s="64">
        <v>20.87</v>
      </c>
      <c r="E30" s="64">
        <v>1.07</v>
      </c>
      <c r="F30" s="64">
        <v>3.26</v>
      </c>
      <c r="G30" s="64">
        <v>18.91</v>
      </c>
      <c r="H30" s="64">
        <v>8.4499999999999993</v>
      </c>
      <c r="I30" s="64">
        <v>4.43</v>
      </c>
      <c r="J30" s="64">
        <v>1.72</v>
      </c>
      <c r="K30" s="64">
        <v>335.79</v>
      </c>
      <c r="L30" s="64">
        <v>18.690000000000001</v>
      </c>
      <c r="M30" s="64">
        <v>91.18</v>
      </c>
      <c r="N30" s="64">
        <v>16.5</v>
      </c>
      <c r="O30" s="64">
        <v>0</v>
      </c>
      <c r="P30" s="64">
        <v>0.27</v>
      </c>
      <c r="Q30" s="64">
        <v>9.43</v>
      </c>
      <c r="R30" s="198"/>
      <c r="S30" s="198"/>
      <c r="T30" s="198"/>
      <c r="U30" s="198"/>
    </row>
    <row r="31" spans="1:21" s="12" customFormat="1" x14ac:dyDescent="0.25">
      <c r="A31" s="214" t="s">
        <v>1038</v>
      </c>
      <c r="B31" s="64">
        <v>0.74</v>
      </c>
      <c r="C31" s="64">
        <v>39.22</v>
      </c>
      <c r="D31" s="64">
        <v>21</v>
      </c>
      <c r="E31" s="64">
        <v>1.25</v>
      </c>
      <c r="F31" s="64">
        <v>4.34</v>
      </c>
      <c r="G31" s="64">
        <v>18.91</v>
      </c>
      <c r="H31" s="64">
        <v>8.4499999999999993</v>
      </c>
      <c r="I31" s="64">
        <v>4.3099999999999996</v>
      </c>
      <c r="J31" s="64">
        <v>1.86</v>
      </c>
      <c r="K31" s="64">
        <v>350.73</v>
      </c>
      <c r="L31" s="64">
        <v>18.38</v>
      </c>
      <c r="M31" s="64">
        <v>91.63</v>
      </c>
      <c r="N31" s="64">
        <v>16.2</v>
      </c>
      <c r="O31" s="64">
        <v>0</v>
      </c>
      <c r="P31" s="64">
        <v>0.26</v>
      </c>
      <c r="Q31" s="64">
        <v>9.3699999999999992</v>
      </c>
      <c r="R31" s="198"/>
      <c r="S31" s="198"/>
      <c r="T31" s="198"/>
      <c r="U31" s="198"/>
    </row>
    <row r="32" spans="1:21" s="12" customFormat="1" x14ac:dyDescent="0.25">
      <c r="A32" s="214" t="s">
        <v>1039</v>
      </c>
      <c r="B32" s="64">
        <v>0.65</v>
      </c>
      <c r="C32" s="64">
        <v>39.74</v>
      </c>
      <c r="D32" s="64">
        <v>21.2</v>
      </c>
      <c r="E32" s="64">
        <v>1.1299999999999999</v>
      </c>
      <c r="F32" s="64">
        <v>4.12</v>
      </c>
      <c r="G32" s="64">
        <v>18.91</v>
      </c>
      <c r="H32" s="64">
        <v>8.4499999999999993</v>
      </c>
      <c r="I32" s="64">
        <v>4.1399999999999997</v>
      </c>
      <c r="J32" s="64">
        <v>0.4</v>
      </c>
      <c r="K32" s="64">
        <v>56.36</v>
      </c>
      <c r="L32" s="64">
        <v>18.47</v>
      </c>
      <c r="M32" s="64">
        <v>89.91</v>
      </c>
      <c r="N32" s="64">
        <v>20.399999999999999</v>
      </c>
      <c r="O32" s="64">
        <v>0</v>
      </c>
      <c r="P32" s="64">
        <v>0.26</v>
      </c>
      <c r="Q32" s="64">
        <v>9.3699999999999992</v>
      </c>
      <c r="R32" s="198"/>
      <c r="S32" s="198"/>
      <c r="T32" s="198"/>
      <c r="U32" s="198"/>
    </row>
    <row r="33" spans="1:21" s="12" customFormat="1" x14ac:dyDescent="0.25">
      <c r="A33" s="214" t="s">
        <v>1040</v>
      </c>
      <c r="B33" s="64">
        <v>0.76</v>
      </c>
      <c r="C33" s="64">
        <v>39.659999999999997</v>
      </c>
      <c r="D33" s="64">
        <v>21.25</v>
      </c>
      <c r="E33" s="64">
        <v>0.86</v>
      </c>
      <c r="F33" s="64">
        <v>3.8</v>
      </c>
      <c r="G33" s="64">
        <v>20.82</v>
      </c>
      <c r="H33" s="64">
        <v>8.6300000000000008</v>
      </c>
      <c r="I33" s="64">
        <v>3.89</v>
      </c>
      <c r="J33" s="64">
        <v>0.57999999999999996</v>
      </c>
      <c r="K33" s="64">
        <v>103.59</v>
      </c>
      <c r="L33" s="64">
        <v>18.39</v>
      </c>
      <c r="M33" s="64">
        <v>90.13</v>
      </c>
      <c r="N33" s="64">
        <v>23.7</v>
      </c>
      <c r="O33" s="64">
        <v>0</v>
      </c>
      <c r="P33" s="64">
        <v>0.26</v>
      </c>
      <c r="Q33" s="64">
        <v>9.43</v>
      </c>
      <c r="R33" s="198"/>
      <c r="S33" s="198"/>
      <c r="T33" s="198"/>
      <c r="U33" s="198"/>
    </row>
    <row r="34" spans="1:21" s="12" customFormat="1" x14ac:dyDescent="0.25">
      <c r="A34" s="214" t="s">
        <v>1041</v>
      </c>
      <c r="B34" s="64">
        <v>1.04</v>
      </c>
      <c r="C34" s="64">
        <v>39.68</v>
      </c>
      <c r="D34" s="64">
        <v>21.48</v>
      </c>
      <c r="E34" s="64">
        <v>0.88</v>
      </c>
      <c r="F34" s="64">
        <v>3.64</v>
      </c>
      <c r="G34" s="64">
        <v>21.37</v>
      </c>
      <c r="H34" s="64">
        <v>8.68</v>
      </c>
      <c r="I34" s="64">
        <v>3.85</v>
      </c>
      <c r="J34" s="64">
        <v>0.91</v>
      </c>
      <c r="K34" s="64">
        <v>109.81</v>
      </c>
      <c r="L34" s="64">
        <v>19.079999999999998</v>
      </c>
      <c r="M34" s="64">
        <v>85.17</v>
      </c>
      <c r="N34" s="64">
        <v>19.899999999999999</v>
      </c>
      <c r="O34" s="64">
        <v>0.4</v>
      </c>
      <c r="P34" s="64">
        <v>0.26</v>
      </c>
      <c r="Q34" s="64">
        <v>9.43</v>
      </c>
      <c r="R34" s="198"/>
      <c r="S34" s="198"/>
      <c r="T34" s="198"/>
      <c r="U34" s="198"/>
    </row>
    <row r="35" spans="1:21" s="12" customFormat="1" x14ac:dyDescent="0.25">
      <c r="A35" s="214" t="s">
        <v>1042</v>
      </c>
      <c r="B35" s="64">
        <v>0.34</v>
      </c>
      <c r="C35" s="64">
        <v>39.81</v>
      </c>
      <c r="D35" s="64">
        <v>20.99</v>
      </c>
      <c r="E35" s="64">
        <v>1.21</v>
      </c>
      <c r="F35" s="64">
        <v>7.36</v>
      </c>
      <c r="G35" s="64">
        <v>21.37</v>
      </c>
      <c r="H35" s="64">
        <v>8.68</v>
      </c>
      <c r="I35" s="64">
        <v>3.87</v>
      </c>
      <c r="J35" s="64">
        <v>1.59</v>
      </c>
      <c r="K35" s="64">
        <v>182</v>
      </c>
      <c r="L35" s="64">
        <v>16.28</v>
      </c>
      <c r="M35" s="64">
        <v>97.75</v>
      </c>
      <c r="N35" s="64">
        <v>22.2</v>
      </c>
      <c r="O35" s="64">
        <v>8</v>
      </c>
      <c r="P35" s="64">
        <v>0.27</v>
      </c>
      <c r="Q35" s="64">
        <v>9.35</v>
      </c>
      <c r="R35" s="198"/>
      <c r="S35" s="198"/>
      <c r="T35" s="198"/>
      <c r="U35" s="198"/>
    </row>
    <row r="36" spans="1:21" s="12" customFormat="1" x14ac:dyDescent="0.25">
      <c r="A36" s="214" t="s">
        <v>1043</v>
      </c>
      <c r="B36" s="64">
        <v>0.1</v>
      </c>
      <c r="C36" s="64">
        <v>37.51</v>
      </c>
      <c r="D36" s="64">
        <v>19.600000000000001</v>
      </c>
      <c r="E36" s="64">
        <v>1.04</v>
      </c>
      <c r="F36" s="64">
        <v>6.32</v>
      </c>
      <c r="G36" s="64">
        <v>21.37</v>
      </c>
      <c r="H36" s="64">
        <v>8.68</v>
      </c>
      <c r="I36" s="64">
        <v>3.92</v>
      </c>
      <c r="J36" s="64">
        <v>1.57</v>
      </c>
      <c r="K36" s="64">
        <v>90.86</v>
      </c>
      <c r="L36" s="64">
        <v>15.86</v>
      </c>
      <c r="M36" s="64">
        <v>97.8</v>
      </c>
      <c r="N36" s="64">
        <v>22.2</v>
      </c>
      <c r="O36" s="64">
        <v>0</v>
      </c>
      <c r="P36" s="64">
        <v>0.26</v>
      </c>
      <c r="Q36" s="64">
        <v>9.33</v>
      </c>
      <c r="R36" s="198"/>
      <c r="S36" s="198"/>
      <c r="T36" s="198"/>
      <c r="U36" s="198"/>
    </row>
    <row r="37" spans="1:21" s="12" customFormat="1" x14ac:dyDescent="0.25">
      <c r="A37" s="214" t="s">
        <v>1044</v>
      </c>
      <c r="B37" s="64">
        <v>0.1</v>
      </c>
      <c r="C37" s="64">
        <v>37.450000000000003</v>
      </c>
      <c r="D37" s="64">
        <v>19.57</v>
      </c>
      <c r="E37" s="64">
        <v>1.02</v>
      </c>
      <c r="F37" s="64">
        <v>4.75</v>
      </c>
      <c r="G37" s="64">
        <v>20.170000000000002</v>
      </c>
      <c r="H37" s="64">
        <v>8</v>
      </c>
      <c r="I37" s="64">
        <v>3.67</v>
      </c>
      <c r="J37" s="64">
        <v>0.65</v>
      </c>
      <c r="K37" s="64">
        <v>138.29</v>
      </c>
      <c r="L37" s="64">
        <v>16.329999999999998</v>
      </c>
      <c r="M37" s="64">
        <v>97.81</v>
      </c>
      <c r="N37" s="64">
        <v>23.7</v>
      </c>
      <c r="O37" s="64">
        <v>0</v>
      </c>
      <c r="P37" s="64">
        <v>0.26</v>
      </c>
      <c r="Q37" s="64">
        <v>9.33</v>
      </c>
      <c r="R37" s="198"/>
      <c r="S37" s="198"/>
      <c r="T37" s="198"/>
      <c r="U37" s="198"/>
    </row>
    <row r="38" spans="1:21" s="12" customFormat="1" x14ac:dyDescent="0.25">
      <c r="A38" s="214" t="s">
        <v>1045</v>
      </c>
      <c r="B38" s="64">
        <v>0.1</v>
      </c>
      <c r="C38" s="64">
        <v>38.39</v>
      </c>
      <c r="D38" s="64">
        <v>20.059999999999999</v>
      </c>
      <c r="E38" s="64">
        <v>0.96</v>
      </c>
      <c r="F38" s="64">
        <v>4.0199999999999996</v>
      </c>
      <c r="G38" s="64">
        <v>19.829999999999998</v>
      </c>
      <c r="H38" s="64">
        <v>7.81</v>
      </c>
      <c r="I38" s="64">
        <v>3.89</v>
      </c>
      <c r="J38" s="64">
        <v>0.22</v>
      </c>
      <c r="K38" s="64">
        <v>231.29</v>
      </c>
      <c r="L38" s="64">
        <v>16.739999999999998</v>
      </c>
      <c r="M38" s="64">
        <v>97.83</v>
      </c>
      <c r="N38" s="64">
        <v>29.9</v>
      </c>
      <c r="O38" s="64">
        <v>0</v>
      </c>
      <c r="P38" s="64">
        <v>0.27</v>
      </c>
      <c r="Q38" s="64">
        <v>9.4</v>
      </c>
      <c r="R38" s="198"/>
      <c r="S38" s="198"/>
      <c r="T38" s="198"/>
      <c r="U38" s="198"/>
    </row>
    <row r="39" spans="1:21" s="12" customFormat="1" x14ac:dyDescent="0.25">
      <c r="A39" s="214" t="s">
        <v>1046</v>
      </c>
      <c r="B39" s="64">
        <v>0.1</v>
      </c>
      <c r="C39" s="64">
        <v>41.96</v>
      </c>
      <c r="D39" s="64">
        <v>21.92</v>
      </c>
      <c r="E39" s="64">
        <v>1.1499999999999999</v>
      </c>
      <c r="F39" s="64">
        <v>3.72</v>
      </c>
      <c r="G39" s="64">
        <v>19.829999999999998</v>
      </c>
      <c r="H39" s="64">
        <v>7.81</v>
      </c>
      <c r="I39" s="64">
        <v>3.93</v>
      </c>
      <c r="J39" s="64">
        <v>0.95</v>
      </c>
      <c r="K39" s="64">
        <v>111.31</v>
      </c>
      <c r="L39" s="64">
        <v>17.04</v>
      </c>
      <c r="M39" s="64">
        <v>97.82</v>
      </c>
      <c r="N39" s="64">
        <v>38</v>
      </c>
      <c r="O39" s="64">
        <v>0</v>
      </c>
      <c r="P39" s="64">
        <v>0.28000000000000003</v>
      </c>
      <c r="Q39" s="64">
        <v>9.3800000000000008</v>
      </c>
      <c r="R39" s="198"/>
      <c r="S39" s="198"/>
      <c r="T39" s="198"/>
      <c r="U39" s="198"/>
    </row>
    <row r="40" spans="1:21" s="12" customFormat="1" x14ac:dyDescent="0.25">
      <c r="A40" s="214" t="s">
        <v>1047</v>
      </c>
      <c r="B40" s="64">
        <v>0.1</v>
      </c>
      <c r="C40" s="64">
        <v>41.6</v>
      </c>
      <c r="D40" s="64">
        <v>21.74</v>
      </c>
      <c r="E40" s="64">
        <v>1.34</v>
      </c>
      <c r="F40" s="64">
        <v>3.67</v>
      </c>
      <c r="G40" s="64">
        <v>19.829999999999998</v>
      </c>
      <c r="H40" s="64">
        <v>7.81</v>
      </c>
      <c r="I40" s="64">
        <v>3.58</v>
      </c>
      <c r="J40" s="64">
        <v>1.1499999999999999</v>
      </c>
      <c r="K40" s="64">
        <v>170.37</v>
      </c>
      <c r="L40" s="64">
        <v>17.57</v>
      </c>
      <c r="M40" s="64">
        <v>97.76</v>
      </c>
      <c r="N40" s="64">
        <v>77.3</v>
      </c>
      <c r="O40" s="64">
        <v>0</v>
      </c>
      <c r="P40" s="64">
        <v>0.28999999999999998</v>
      </c>
      <c r="Q40" s="64">
        <v>9.32</v>
      </c>
      <c r="R40" s="198"/>
      <c r="S40" s="198"/>
      <c r="T40" s="198"/>
      <c r="U40" s="198"/>
    </row>
    <row r="41" spans="1:21" s="12" customFormat="1" x14ac:dyDescent="0.25">
      <c r="A41" s="214" t="s">
        <v>1048</v>
      </c>
      <c r="B41" s="64">
        <v>0.19</v>
      </c>
      <c r="C41" s="64">
        <v>44.05</v>
      </c>
      <c r="D41" s="64">
        <v>23.09</v>
      </c>
      <c r="E41" s="64">
        <v>1.06</v>
      </c>
      <c r="F41" s="64">
        <v>3.92</v>
      </c>
      <c r="G41" s="64">
        <v>20.37</v>
      </c>
      <c r="H41" s="64">
        <v>10.33</v>
      </c>
      <c r="I41" s="64">
        <v>3.66</v>
      </c>
      <c r="J41" s="64">
        <v>0.87</v>
      </c>
      <c r="K41" s="64">
        <v>154.44999999999999</v>
      </c>
      <c r="L41" s="64">
        <v>17.97</v>
      </c>
      <c r="M41" s="64">
        <v>97.49</v>
      </c>
      <c r="N41" s="64">
        <v>186.1</v>
      </c>
      <c r="O41" s="64">
        <v>0</v>
      </c>
      <c r="P41" s="64">
        <v>0.28999999999999998</v>
      </c>
      <c r="Q41" s="64">
        <v>9.32</v>
      </c>
      <c r="R41" s="198"/>
      <c r="S41" s="198"/>
      <c r="T41" s="198"/>
      <c r="U41" s="198"/>
    </row>
    <row r="42" spans="1:21" s="12" customFormat="1" x14ac:dyDescent="0.25">
      <c r="A42" s="214" t="s">
        <v>1049</v>
      </c>
      <c r="B42" s="64">
        <v>0.15</v>
      </c>
      <c r="C42" s="64">
        <v>44.17</v>
      </c>
      <c r="D42" s="64">
        <v>23.11</v>
      </c>
      <c r="E42" s="64">
        <v>1.1399999999999999</v>
      </c>
      <c r="F42" s="64">
        <v>3.95</v>
      </c>
      <c r="G42" s="64">
        <v>20.52</v>
      </c>
      <c r="H42" s="64">
        <v>11.05</v>
      </c>
      <c r="I42" s="64">
        <v>3.98</v>
      </c>
      <c r="J42" s="64">
        <v>1.0900000000000001</v>
      </c>
      <c r="K42" s="64">
        <v>156.30000000000001</v>
      </c>
      <c r="L42" s="64">
        <v>18.52</v>
      </c>
      <c r="M42" s="64">
        <v>94.97</v>
      </c>
      <c r="N42" s="64">
        <v>174.2</v>
      </c>
      <c r="O42" s="64">
        <v>0</v>
      </c>
      <c r="P42" s="64">
        <v>0.28999999999999998</v>
      </c>
      <c r="Q42" s="64">
        <v>9.4</v>
      </c>
      <c r="R42" s="198"/>
      <c r="S42" s="198"/>
      <c r="T42" s="198"/>
      <c r="U42" s="198"/>
    </row>
    <row r="43" spans="1:21" s="12" customFormat="1" x14ac:dyDescent="0.25">
      <c r="A43" s="214" t="s">
        <v>1050</v>
      </c>
      <c r="B43" s="64">
        <v>0.1</v>
      </c>
      <c r="C43" s="64">
        <v>43.02</v>
      </c>
      <c r="D43" s="64">
        <v>22.47</v>
      </c>
      <c r="E43" s="64">
        <v>1.37</v>
      </c>
      <c r="F43" s="64">
        <v>3.52</v>
      </c>
      <c r="G43" s="64">
        <v>20.52</v>
      </c>
      <c r="H43" s="64">
        <v>11.05</v>
      </c>
      <c r="I43" s="64">
        <v>3.95</v>
      </c>
      <c r="J43" s="64">
        <v>1.78</v>
      </c>
      <c r="K43" s="64">
        <v>161.75</v>
      </c>
      <c r="L43" s="64">
        <v>18.87</v>
      </c>
      <c r="M43" s="64">
        <v>92.81</v>
      </c>
      <c r="N43" s="64">
        <v>191.3</v>
      </c>
      <c r="O43" s="64">
        <v>0</v>
      </c>
      <c r="P43" s="64">
        <v>0.28999999999999998</v>
      </c>
      <c r="Q43" s="64">
        <v>9.32</v>
      </c>
      <c r="R43" s="198"/>
      <c r="S43" s="198"/>
      <c r="T43" s="198"/>
      <c r="U43" s="198"/>
    </row>
    <row r="44" spans="1:21" s="12" customFormat="1" x14ac:dyDescent="0.25">
      <c r="A44" s="214" t="s">
        <v>1051</v>
      </c>
      <c r="B44" s="64">
        <v>0.1</v>
      </c>
      <c r="C44" s="64">
        <v>42.36</v>
      </c>
      <c r="D44" s="64">
        <v>22.13</v>
      </c>
      <c r="E44" s="64">
        <v>1.57</v>
      </c>
      <c r="F44" s="64">
        <v>4.3</v>
      </c>
      <c r="G44" s="64">
        <v>20.52</v>
      </c>
      <c r="H44" s="64">
        <v>11.05</v>
      </c>
      <c r="I44" s="64">
        <v>3.96</v>
      </c>
      <c r="J44" s="64">
        <v>1.48</v>
      </c>
      <c r="K44" s="64">
        <v>165.3</v>
      </c>
      <c r="L44" s="64">
        <v>19.09</v>
      </c>
      <c r="M44" s="64">
        <v>93.28</v>
      </c>
      <c r="N44" s="64">
        <v>207.8</v>
      </c>
      <c r="O44" s="64">
        <v>0</v>
      </c>
      <c r="P44" s="64">
        <v>0.28999999999999998</v>
      </c>
      <c r="Q44" s="64">
        <v>9.33</v>
      </c>
      <c r="R44" s="198"/>
      <c r="S44" s="198"/>
      <c r="T44" s="198"/>
      <c r="U44" s="198"/>
    </row>
    <row r="45" spans="1:21" s="12" customFormat="1" x14ac:dyDescent="0.25">
      <c r="A45" s="214" t="s">
        <v>1052</v>
      </c>
      <c r="B45" s="64">
        <v>0.1</v>
      </c>
      <c r="C45" s="64">
        <v>43.35</v>
      </c>
      <c r="D45" s="64">
        <v>22.65</v>
      </c>
      <c r="E45" s="64">
        <v>1.1299999999999999</v>
      </c>
      <c r="F45" s="64">
        <v>4.2</v>
      </c>
      <c r="G45" s="64">
        <v>20.56</v>
      </c>
      <c r="H45" s="64">
        <v>10.39</v>
      </c>
      <c r="I45" s="64">
        <v>3.92</v>
      </c>
      <c r="J45" s="64">
        <v>1.51</v>
      </c>
      <c r="K45" s="64">
        <v>161.76</v>
      </c>
      <c r="L45" s="64">
        <v>19.72</v>
      </c>
      <c r="M45" s="64">
        <v>88.09</v>
      </c>
      <c r="N45" s="64">
        <v>238.6</v>
      </c>
      <c r="O45" s="64">
        <v>0</v>
      </c>
      <c r="P45" s="64">
        <v>0.28999999999999998</v>
      </c>
      <c r="Q45" s="64">
        <v>9.31</v>
      </c>
      <c r="R45" s="198"/>
      <c r="S45" s="198"/>
      <c r="T45" s="198"/>
      <c r="U45" s="198"/>
    </row>
    <row r="46" spans="1:21" s="12" customFormat="1" x14ac:dyDescent="0.25">
      <c r="A46" s="214" t="s">
        <v>1053</v>
      </c>
      <c r="B46" s="64">
        <v>0.1</v>
      </c>
      <c r="C46" s="64">
        <v>42.01</v>
      </c>
      <c r="D46" s="64">
        <v>21.95</v>
      </c>
      <c r="E46" s="64">
        <v>1.42</v>
      </c>
      <c r="F46" s="64">
        <v>4</v>
      </c>
      <c r="G46" s="64">
        <v>20.57</v>
      </c>
      <c r="H46" s="64">
        <v>10.210000000000001</v>
      </c>
      <c r="I46" s="64">
        <v>3.84</v>
      </c>
      <c r="J46" s="64">
        <v>1.27</v>
      </c>
      <c r="K46" s="64">
        <v>161.32</v>
      </c>
      <c r="L46" s="64">
        <v>20.29</v>
      </c>
      <c r="M46" s="64">
        <v>83.47</v>
      </c>
      <c r="N46" s="64">
        <v>221.8</v>
      </c>
      <c r="O46" s="64">
        <v>0</v>
      </c>
      <c r="P46" s="64">
        <v>0.28999999999999998</v>
      </c>
      <c r="Q46" s="64">
        <v>9.36</v>
      </c>
      <c r="R46" s="198"/>
      <c r="S46" s="198"/>
      <c r="T46" s="198"/>
      <c r="U46" s="198"/>
    </row>
    <row r="47" spans="1:21" s="12" customFormat="1" x14ac:dyDescent="0.25">
      <c r="A47" s="214" t="s">
        <v>1054</v>
      </c>
      <c r="B47" s="64">
        <v>0.1</v>
      </c>
      <c r="C47" s="64">
        <v>39.26</v>
      </c>
      <c r="D47" s="64">
        <v>20.51</v>
      </c>
      <c r="E47" s="64">
        <v>1.35</v>
      </c>
      <c r="F47" s="64">
        <v>4.16</v>
      </c>
      <c r="G47" s="64">
        <v>20.57</v>
      </c>
      <c r="H47" s="64">
        <v>10.210000000000001</v>
      </c>
      <c r="I47" s="64">
        <v>3.78</v>
      </c>
      <c r="J47" s="64">
        <v>0.95</v>
      </c>
      <c r="K47" s="64">
        <v>129.71</v>
      </c>
      <c r="L47" s="64">
        <v>21.33</v>
      </c>
      <c r="M47" s="64">
        <v>79.11</v>
      </c>
      <c r="N47" s="64">
        <v>361.8</v>
      </c>
      <c r="O47" s="64">
        <v>0</v>
      </c>
      <c r="P47" s="64">
        <v>0.28999999999999998</v>
      </c>
      <c r="Q47" s="64">
        <v>9.35</v>
      </c>
      <c r="R47" s="198"/>
      <c r="S47" s="198"/>
      <c r="T47" s="198"/>
      <c r="U47" s="198"/>
    </row>
    <row r="48" spans="1:21" s="12" customFormat="1" x14ac:dyDescent="0.25">
      <c r="A48" s="214" t="s">
        <v>1055</v>
      </c>
      <c r="B48" s="64">
        <v>0.1</v>
      </c>
      <c r="C48" s="64">
        <v>38.880000000000003</v>
      </c>
      <c r="D48" s="64">
        <v>20.309999999999999</v>
      </c>
      <c r="E48" s="64">
        <v>1.41</v>
      </c>
      <c r="F48" s="64">
        <v>4.7699999999999996</v>
      </c>
      <c r="G48" s="64">
        <v>20.57</v>
      </c>
      <c r="H48" s="64">
        <v>10.210000000000001</v>
      </c>
      <c r="I48" s="64">
        <v>3.76</v>
      </c>
      <c r="J48" s="64">
        <v>1.6</v>
      </c>
      <c r="K48" s="64">
        <v>153.66</v>
      </c>
      <c r="L48" s="64">
        <v>21.6</v>
      </c>
      <c r="M48" s="64">
        <v>77.25</v>
      </c>
      <c r="N48" s="64">
        <v>244.3</v>
      </c>
      <c r="O48" s="64">
        <v>0</v>
      </c>
      <c r="P48" s="64">
        <v>0.3</v>
      </c>
      <c r="Q48" s="64">
        <v>9.35</v>
      </c>
      <c r="R48" s="198"/>
      <c r="S48" s="198"/>
      <c r="T48" s="198"/>
      <c r="U48" s="198"/>
    </row>
    <row r="49" spans="1:21" s="12" customFormat="1" x14ac:dyDescent="0.25">
      <c r="A49" s="214" t="s">
        <v>1056</v>
      </c>
      <c r="B49" s="64">
        <v>0.1</v>
      </c>
      <c r="C49" s="64">
        <v>39.35</v>
      </c>
      <c r="D49" s="64">
        <v>20.56</v>
      </c>
      <c r="E49" s="64">
        <v>1.43</v>
      </c>
      <c r="F49" s="64">
        <v>3.89</v>
      </c>
      <c r="G49" s="64">
        <v>20.99</v>
      </c>
      <c r="H49" s="64">
        <v>15.95</v>
      </c>
      <c r="I49" s="64">
        <v>3.79</v>
      </c>
      <c r="J49" s="64">
        <v>1.34</v>
      </c>
      <c r="K49" s="64">
        <v>154.66</v>
      </c>
      <c r="L49" s="64">
        <v>21.7</v>
      </c>
      <c r="M49" s="64">
        <v>77.86</v>
      </c>
      <c r="N49" s="64">
        <v>248.9</v>
      </c>
      <c r="O49" s="64">
        <v>0</v>
      </c>
      <c r="P49" s="64">
        <v>0.3</v>
      </c>
      <c r="Q49" s="64">
        <v>9.2799999999999994</v>
      </c>
      <c r="R49" s="198"/>
      <c r="S49" s="198"/>
      <c r="T49" s="198"/>
      <c r="U49" s="198"/>
    </row>
    <row r="50" spans="1:21" s="12" customFormat="1" x14ac:dyDescent="0.25">
      <c r="A50" s="214" t="s">
        <v>1057</v>
      </c>
      <c r="B50" s="64">
        <v>0.1</v>
      </c>
      <c r="C50" s="64">
        <v>39.08</v>
      </c>
      <c r="D50" s="64">
        <v>20.420000000000002</v>
      </c>
      <c r="E50" s="64">
        <v>1.26</v>
      </c>
      <c r="F50" s="64">
        <v>5.0999999999999996</v>
      </c>
      <c r="G50" s="64">
        <v>21.12</v>
      </c>
      <c r="H50" s="64">
        <v>17.59</v>
      </c>
      <c r="I50" s="64">
        <v>3.77</v>
      </c>
      <c r="J50" s="64">
        <v>1.48</v>
      </c>
      <c r="K50" s="64">
        <v>159.66999999999999</v>
      </c>
      <c r="L50" s="64">
        <v>22.06</v>
      </c>
      <c r="M50" s="64">
        <v>76.77</v>
      </c>
      <c r="N50" s="64">
        <v>357.9</v>
      </c>
      <c r="O50" s="64">
        <v>0.2</v>
      </c>
      <c r="P50" s="64">
        <v>0.31</v>
      </c>
      <c r="Q50" s="64">
        <v>9.49</v>
      </c>
      <c r="R50" s="198"/>
      <c r="S50" s="198"/>
      <c r="T50" s="198"/>
      <c r="U50" s="198"/>
    </row>
    <row r="51" spans="1:21" s="12" customFormat="1" x14ac:dyDescent="0.25">
      <c r="A51" s="214" t="s">
        <v>1058</v>
      </c>
      <c r="B51" s="64">
        <v>0.1</v>
      </c>
      <c r="C51" s="64">
        <v>37.97</v>
      </c>
      <c r="D51" s="64">
        <v>19.84</v>
      </c>
      <c r="E51" s="64">
        <v>0.32</v>
      </c>
      <c r="F51" s="64">
        <v>225.58</v>
      </c>
      <c r="G51" s="64">
        <v>21.12</v>
      </c>
      <c r="H51" s="64">
        <v>17.59</v>
      </c>
      <c r="I51" s="64">
        <v>3.67</v>
      </c>
      <c r="J51" s="64">
        <v>1.17</v>
      </c>
      <c r="K51" s="64">
        <v>149.37</v>
      </c>
      <c r="L51" s="64">
        <v>23.3</v>
      </c>
      <c r="M51" s="64">
        <v>69.02</v>
      </c>
      <c r="N51" s="64">
        <v>827.3</v>
      </c>
      <c r="O51" s="64">
        <v>0</v>
      </c>
      <c r="P51" s="64">
        <v>0.3</v>
      </c>
      <c r="Q51" s="64">
        <v>9.35</v>
      </c>
      <c r="R51" s="198"/>
      <c r="S51" s="198"/>
      <c r="T51" s="198"/>
      <c r="U51" s="198"/>
    </row>
    <row r="52" spans="1:21" s="12" customFormat="1" x14ac:dyDescent="0.25">
      <c r="A52" s="214" t="s">
        <v>1059</v>
      </c>
      <c r="B52" s="64">
        <v>0.1</v>
      </c>
      <c r="C52" s="64">
        <v>39.49</v>
      </c>
      <c r="D52" s="64">
        <v>20.63</v>
      </c>
      <c r="E52" s="64">
        <v>12.81</v>
      </c>
      <c r="F52" s="64">
        <v>10.34</v>
      </c>
      <c r="G52" s="64">
        <v>21.12</v>
      </c>
      <c r="H52" s="64">
        <v>17.59</v>
      </c>
      <c r="I52" s="64">
        <v>3.48</v>
      </c>
      <c r="J52" s="64">
        <v>1.27</v>
      </c>
      <c r="K52" s="64">
        <v>161.91999999999999</v>
      </c>
      <c r="L52" s="64">
        <v>24.21</v>
      </c>
      <c r="M52" s="64">
        <v>64.45</v>
      </c>
      <c r="N52" s="64">
        <v>775.9</v>
      </c>
      <c r="O52" s="64">
        <v>0</v>
      </c>
      <c r="P52" s="64">
        <v>0.28999999999999998</v>
      </c>
      <c r="Q52" s="64">
        <v>9.16</v>
      </c>
      <c r="R52" s="198"/>
      <c r="S52" s="198"/>
      <c r="T52" s="198"/>
      <c r="U52" s="198"/>
    </row>
    <row r="53" spans="1:21" s="12" customFormat="1" x14ac:dyDescent="0.25">
      <c r="A53" s="214" t="s">
        <v>1060</v>
      </c>
      <c r="B53" s="64">
        <v>0.1</v>
      </c>
      <c r="C53" s="64">
        <v>38.22</v>
      </c>
      <c r="D53" s="64">
        <v>19.97</v>
      </c>
      <c r="E53" s="211" t="s">
        <v>40</v>
      </c>
      <c r="F53" s="64">
        <v>7.52</v>
      </c>
      <c r="G53" s="64">
        <v>21.12</v>
      </c>
      <c r="H53" s="64">
        <v>17.59</v>
      </c>
      <c r="I53" s="64">
        <v>3.3</v>
      </c>
      <c r="J53" s="64">
        <v>1.23</v>
      </c>
      <c r="K53" s="64">
        <v>158.38</v>
      </c>
      <c r="L53" s="64">
        <v>24.91</v>
      </c>
      <c r="M53" s="64">
        <v>61</v>
      </c>
      <c r="N53" s="64">
        <v>842</v>
      </c>
      <c r="O53" s="64">
        <v>0</v>
      </c>
      <c r="P53" s="64">
        <v>0.28999999999999998</v>
      </c>
      <c r="Q53" s="64">
        <v>9.15</v>
      </c>
      <c r="R53" s="198"/>
      <c r="S53" s="198"/>
      <c r="T53" s="198"/>
      <c r="U53" s="198"/>
    </row>
    <row r="54" spans="1:21" s="12" customFormat="1" x14ac:dyDescent="0.25">
      <c r="A54" s="214" t="s">
        <v>1061</v>
      </c>
      <c r="B54" s="64">
        <v>0.1</v>
      </c>
      <c r="C54" s="64">
        <v>36</v>
      </c>
      <c r="D54" s="64">
        <v>18.809999999999999</v>
      </c>
      <c r="E54" s="211" t="s">
        <v>40</v>
      </c>
      <c r="F54" s="64">
        <v>5.01</v>
      </c>
      <c r="G54" s="64">
        <v>21.12</v>
      </c>
      <c r="H54" s="64">
        <v>17.59</v>
      </c>
      <c r="I54" s="64">
        <v>3.55</v>
      </c>
      <c r="J54" s="64">
        <v>0.67</v>
      </c>
      <c r="K54" s="64">
        <v>165.09</v>
      </c>
      <c r="L54" s="64">
        <v>25.34</v>
      </c>
      <c r="M54" s="64">
        <v>59.9</v>
      </c>
      <c r="N54" s="64">
        <v>875.5</v>
      </c>
      <c r="O54" s="64">
        <v>0</v>
      </c>
      <c r="P54" s="64">
        <v>0.28000000000000003</v>
      </c>
      <c r="Q54" s="64">
        <v>9.3699999999999992</v>
      </c>
      <c r="R54" s="198"/>
      <c r="S54" s="198"/>
      <c r="T54" s="198"/>
      <c r="U54" s="198"/>
    </row>
    <row r="55" spans="1:21" s="12" customFormat="1" x14ac:dyDescent="0.25">
      <c r="A55" s="214" t="s">
        <v>1062</v>
      </c>
      <c r="B55" s="64">
        <v>0.1</v>
      </c>
      <c r="C55" s="64">
        <v>33.53</v>
      </c>
      <c r="D55" s="64">
        <v>17.52</v>
      </c>
      <c r="E55" s="211" t="s">
        <v>40</v>
      </c>
      <c r="F55" s="64">
        <v>5.04</v>
      </c>
      <c r="G55" s="64">
        <v>21.12</v>
      </c>
      <c r="H55" s="64">
        <v>17.59</v>
      </c>
      <c r="I55" s="64">
        <v>4.8499999999999996</v>
      </c>
      <c r="J55" s="64">
        <v>0.94</v>
      </c>
      <c r="K55" s="64">
        <v>162.08000000000001</v>
      </c>
      <c r="L55" s="64">
        <v>25.75</v>
      </c>
      <c r="M55" s="64">
        <v>57.96</v>
      </c>
      <c r="N55" s="64">
        <v>894.1</v>
      </c>
      <c r="O55" s="64">
        <v>0</v>
      </c>
      <c r="P55" s="64">
        <v>0.28000000000000003</v>
      </c>
      <c r="Q55" s="64">
        <v>9.3000000000000007</v>
      </c>
      <c r="R55" s="198"/>
      <c r="S55" s="198"/>
      <c r="T55" s="198"/>
      <c r="U55" s="198"/>
    </row>
    <row r="56" spans="1:21" s="12" customFormat="1" x14ac:dyDescent="0.25">
      <c r="A56" s="214" t="s">
        <v>1063</v>
      </c>
      <c r="B56" s="211" t="s">
        <v>40</v>
      </c>
      <c r="C56" s="211" t="s">
        <v>40</v>
      </c>
      <c r="D56" s="211" t="s">
        <v>40</v>
      </c>
      <c r="E56" s="64">
        <v>7.82</v>
      </c>
      <c r="F56" s="64">
        <v>7.47</v>
      </c>
      <c r="G56" s="64">
        <v>20.18</v>
      </c>
      <c r="H56" s="64">
        <v>16.809999999999999</v>
      </c>
      <c r="I56" s="64">
        <v>6.99</v>
      </c>
      <c r="J56" s="64">
        <v>0.2</v>
      </c>
      <c r="K56" s="64">
        <v>166.03</v>
      </c>
      <c r="L56" s="64">
        <v>26.35</v>
      </c>
      <c r="M56" s="64">
        <v>56.88</v>
      </c>
      <c r="N56" s="64">
        <v>601.9</v>
      </c>
      <c r="O56" s="64">
        <v>0</v>
      </c>
      <c r="P56" s="64">
        <v>0.26</v>
      </c>
      <c r="Q56" s="64">
        <v>9.17</v>
      </c>
      <c r="R56" s="198"/>
      <c r="S56" s="198"/>
      <c r="T56" s="198"/>
      <c r="U56" s="198"/>
    </row>
    <row r="57" spans="1:21" s="12" customFormat="1" x14ac:dyDescent="0.25">
      <c r="A57" s="214" t="s">
        <v>1064</v>
      </c>
      <c r="B57" s="211" t="s">
        <v>40</v>
      </c>
      <c r="C57" s="211" t="s">
        <v>40</v>
      </c>
      <c r="D57" s="211" t="s">
        <v>40</v>
      </c>
      <c r="E57" s="64">
        <v>2.8</v>
      </c>
      <c r="F57" s="64">
        <v>6.59</v>
      </c>
      <c r="G57" s="211" t="s">
        <v>40</v>
      </c>
      <c r="H57" s="211" t="s">
        <v>40</v>
      </c>
      <c r="I57" s="64">
        <v>8.65</v>
      </c>
      <c r="J57" s="64">
        <v>0.21</v>
      </c>
      <c r="K57" s="64">
        <v>331.59</v>
      </c>
      <c r="L57" s="64">
        <v>26.8</v>
      </c>
      <c r="M57" s="64">
        <v>59</v>
      </c>
      <c r="N57" s="64">
        <v>322.5</v>
      </c>
      <c r="O57" s="64">
        <v>0</v>
      </c>
      <c r="P57" s="64">
        <v>0.26</v>
      </c>
      <c r="Q57" s="64">
        <v>9.31</v>
      </c>
      <c r="R57" s="198"/>
      <c r="S57" s="198"/>
      <c r="T57" s="198"/>
      <c r="U57" s="198"/>
    </row>
    <row r="58" spans="1:21" s="12" customFormat="1" x14ac:dyDescent="0.25">
      <c r="A58" s="214" t="s">
        <v>1065</v>
      </c>
      <c r="B58" s="211" t="s">
        <v>40</v>
      </c>
      <c r="C58" s="211" t="s">
        <v>40</v>
      </c>
      <c r="D58" s="211" t="s">
        <v>40</v>
      </c>
      <c r="E58" s="64">
        <v>2.79</v>
      </c>
      <c r="F58" s="64">
        <v>6.33</v>
      </c>
      <c r="G58" s="211" t="s">
        <v>40</v>
      </c>
      <c r="H58" s="211" t="s">
        <v>40</v>
      </c>
      <c r="I58" s="64">
        <v>9.6</v>
      </c>
      <c r="J58" s="64">
        <v>0.27</v>
      </c>
      <c r="K58" s="64">
        <v>321.72000000000003</v>
      </c>
      <c r="L58" s="64">
        <v>28.17</v>
      </c>
      <c r="M58" s="64">
        <v>54.74</v>
      </c>
      <c r="N58" s="64">
        <v>359.4</v>
      </c>
      <c r="O58" s="64">
        <v>0</v>
      </c>
      <c r="P58" s="64">
        <v>0.28999999999999998</v>
      </c>
      <c r="Q58" s="64">
        <v>9.33</v>
      </c>
      <c r="R58" s="198"/>
      <c r="S58" s="198"/>
      <c r="T58" s="198"/>
      <c r="U58" s="198"/>
    </row>
    <row r="59" spans="1:21" s="12" customFormat="1" x14ac:dyDescent="0.25">
      <c r="A59" s="214" t="s">
        <v>1066</v>
      </c>
      <c r="B59" s="64">
        <v>0.11</v>
      </c>
      <c r="C59" s="64">
        <v>30.18</v>
      </c>
      <c r="D59" s="64">
        <v>15.78</v>
      </c>
      <c r="E59" s="64">
        <v>2.82</v>
      </c>
      <c r="F59" s="64">
        <v>4.6900000000000004</v>
      </c>
      <c r="G59" s="211" t="s">
        <v>40</v>
      </c>
      <c r="H59" s="211" t="s">
        <v>40</v>
      </c>
      <c r="I59" s="64">
        <v>10.91</v>
      </c>
      <c r="J59" s="64">
        <v>0.17</v>
      </c>
      <c r="K59" s="64">
        <v>292.10000000000002</v>
      </c>
      <c r="L59" s="64">
        <v>28.21</v>
      </c>
      <c r="M59" s="64">
        <v>54.48</v>
      </c>
      <c r="N59" s="64">
        <v>540.4</v>
      </c>
      <c r="O59" s="64">
        <v>0</v>
      </c>
      <c r="P59" s="64">
        <v>0.3</v>
      </c>
      <c r="Q59" s="64">
        <v>9.2200000000000006</v>
      </c>
      <c r="R59" s="198"/>
      <c r="S59" s="198"/>
      <c r="T59" s="198"/>
      <c r="U59" s="198"/>
    </row>
    <row r="60" spans="1:21" s="12" customFormat="1" x14ac:dyDescent="0.25">
      <c r="A60" s="214" t="s">
        <v>1067</v>
      </c>
      <c r="B60" s="64">
        <v>0.1</v>
      </c>
      <c r="C60" s="64">
        <v>30.52</v>
      </c>
      <c r="D60" s="64">
        <v>15.94</v>
      </c>
      <c r="E60" s="64">
        <v>3.34</v>
      </c>
      <c r="F60" s="64">
        <v>7.77</v>
      </c>
      <c r="G60" s="211" t="s">
        <v>40</v>
      </c>
      <c r="H60" s="211" t="s">
        <v>40</v>
      </c>
      <c r="I60" s="64">
        <v>12.59</v>
      </c>
      <c r="J60" s="64">
        <v>0.45</v>
      </c>
      <c r="K60" s="64">
        <v>167.43</v>
      </c>
      <c r="L60" s="64">
        <v>27.66</v>
      </c>
      <c r="M60" s="64">
        <v>53.74</v>
      </c>
      <c r="N60" s="64">
        <v>739.8</v>
      </c>
      <c r="O60" s="64">
        <v>0</v>
      </c>
      <c r="P60" s="64">
        <v>0.3</v>
      </c>
      <c r="Q60" s="64">
        <v>9.31</v>
      </c>
      <c r="R60" s="198"/>
      <c r="S60" s="198"/>
      <c r="T60" s="198"/>
      <c r="U60" s="198"/>
    </row>
    <row r="61" spans="1:21" s="12" customFormat="1" x14ac:dyDescent="0.25">
      <c r="A61" s="214" t="s">
        <v>1068</v>
      </c>
      <c r="B61" s="64">
        <v>0.1</v>
      </c>
      <c r="C61" s="64">
        <v>28.87</v>
      </c>
      <c r="D61" s="64">
        <v>15.08</v>
      </c>
      <c r="E61" s="64">
        <v>3.01</v>
      </c>
      <c r="F61" s="64">
        <v>7.43</v>
      </c>
      <c r="G61" s="211" t="s">
        <v>40</v>
      </c>
      <c r="H61" s="211" t="s">
        <v>40</v>
      </c>
      <c r="I61" s="64">
        <v>13.78</v>
      </c>
      <c r="J61" s="64">
        <v>0.12</v>
      </c>
      <c r="K61" s="64">
        <v>141.47</v>
      </c>
      <c r="L61" s="64">
        <v>28.66</v>
      </c>
      <c r="M61" s="64">
        <v>52.61</v>
      </c>
      <c r="N61" s="64">
        <v>651.5</v>
      </c>
      <c r="O61" s="64">
        <v>0</v>
      </c>
      <c r="P61" s="64">
        <v>0.3</v>
      </c>
      <c r="Q61" s="64">
        <v>9.18</v>
      </c>
      <c r="R61" s="198"/>
      <c r="S61" s="198"/>
      <c r="T61" s="198"/>
      <c r="U61" s="198"/>
    </row>
    <row r="62" spans="1:21" s="12" customFormat="1" x14ac:dyDescent="0.25">
      <c r="A62" s="214" t="s">
        <v>1069</v>
      </c>
      <c r="B62" s="64">
        <v>0.1</v>
      </c>
      <c r="C62" s="64">
        <v>28.36</v>
      </c>
      <c r="D62" s="64">
        <v>14.82</v>
      </c>
      <c r="E62" s="64">
        <v>3.11</v>
      </c>
      <c r="F62" s="64">
        <v>6.62</v>
      </c>
      <c r="G62" s="211" t="s">
        <v>40</v>
      </c>
      <c r="H62" s="211" t="s">
        <v>40</v>
      </c>
      <c r="I62" s="64">
        <v>12.75</v>
      </c>
      <c r="J62" s="64">
        <v>0.37</v>
      </c>
      <c r="K62" s="64">
        <v>142.16</v>
      </c>
      <c r="L62" s="64">
        <v>27.93</v>
      </c>
      <c r="M62" s="64">
        <v>53.31</v>
      </c>
      <c r="N62" s="64">
        <v>659</v>
      </c>
      <c r="O62" s="64">
        <v>0</v>
      </c>
      <c r="P62" s="64">
        <v>0.3</v>
      </c>
      <c r="Q62" s="64">
        <v>9.16</v>
      </c>
      <c r="R62" s="198"/>
      <c r="S62" s="198"/>
      <c r="T62" s="198"/>
      <c r="U62" s="198"/>
    </row>
    <row r="63" spans="1:21" s="12" customFormat="1" x14ac:dyDescent="0.25">
      <c r="A63" s="214" t="s">
        <v>1070</v>
      </c>
      <c r="B63" s="64">
        <v>0.1</v>
      </c>
      <c r="C63" s="64">
        <v>27.69</v>
      </c>
      <c r="D63" s="64">
        <v>14.47</v>
      </c>
      <c r="E63" s="64">
        <v>3.76</v>
      </c>
      <c r="F63" s="64">
        <v>4.63</v>
      </c>
      <c r="G63" s="211" t="s">
        <v>40</v>
      </c>
      <c r="H63" s="211" t="s">
        <v>40</v>
      </c>
      <c r="I63" s="64">
        <v>10.72</v>
      </c>
      <c r="J63" s="64">
        <v>0.68</v>
      </c>
      <c r="K63" s="64">
        <v>106.34</v>
      </c>
      <c r="L63" s="64">
        <v>27.75</v>
      </c>
      <c r="M63" s="64">
        <v>54.92</v>
      </c>
      <c r="N63" s="64">
        <v>700.4</v>
      </c>
      <c r="O63" s="64">
        <v>0</v>
      </c>
      <c r="P63" s="64">
        <v>0.31</v>
      </c>
      <c r="Q63" s="64">
        <v>9.2899999999999991</v>
      </c>
      <c r="R63" s="198"/>
      <c r="S63" s="198"/>
      <c r="T63" s="198"/>
      <c r="U63" s="198"/>
    </row>
    <row r="64" spans="1:21" s="12" customFormat="1" x14ac:dyDescent="0.25">
      <c r="A64" s="214" t="s">
        <v>1071</v>
      </c>
      <c r="B64" s="64">
        <v>0.1</v>
      </c>
      <c r="C64" s="64">
        <v>27.28</v>
      </c>
      <c r="D64" s="64">
        <v>14.25</v>
      </c>
      <c r="E64" s="64">
        <v>3.29</v>
      </c>
      <c r="F64" s="64">
        <v>3.78</v>
      </c>
      <c r="G64" s="211" t="s">
        <v>40</v>
      </c>
      <c r="H64" s="211" t="s">
        <v>40</v>
      </c>
      <c r="I64" s="64">
        <v>10.039999999999999</v>
      </c>
      <c r="J64" s="64">
        <v>0.78</v>
      </c>
      <c r="K64" s="64">
        <v>105.09</v>
      </c>
      <c r="L64" s="64">
        <v>27.38</v>
      </c>
      <c r="M64" s="64">
        <v>56.05</v>
      </c>
      <c r="N64" s="64">
        <v>653.4</v>
      </c>
      <c r="O64" s="64">
        <v>0</v>
      </c>
      <c r="P64" s="64">
        <v>0.31</v>
      </c>
      <c r="Q64" s="64">
        <v>9.2200000000000006</v>
      </c>
      <c r="R64" s="198"/>
      <c r="S64" s="198"/>
      <c r="T64" s="198"/>
      <c r="U64" s="198"/>
    </row>
    <row r="65" spans="1:21" s="12" customFormat="1" x14ac:dyDescent="0.25">
      <c r="A65" s="214" t="s">
        <v>1072</v>
      </c>
      <c r="B65" s="64">
        <v>0.1</v>
      </c>
      <c r="C65" s="64">
        <v>32.049999999999997</v>
      </c>
      <c r="D65" s="64">
        <v>16.75</v>
      </c>
      <c r="E65" s="64">
        <v>3.3</v>
      </c>
      <c r="F65" s="64">
        <v>3.96</v>
      </c>
      <c r="G65" s="64">
        <v>48.77</v>
      </c>
      <c r="H65" s="64">
        <v>4.55</v>
      </c>
      <c r="I65" s="64">
        <v>10.050000000000001</v>
      </c>
      <c r="J65" s="64">
        <v>0.28000000000000003</v>
      </c>
      <c r="K65" s="64">
        <v>140.33000000000001</v>
      </c>
      <c r="L65" s="64">
        <v>27.74</v>
      </c>
      <c r="M65" s="64">
        <v>55.02</v>
      </c>
      <c r="N65" s="64">
        <v>516.1</v>
      </c>
      <c r="O65" s="64">
        <v>0</v>
      </c>
      <c r="P65" s="64">
        <v>0.3</v>
      </c>
      <c r="Q65" s="64">
        <v>9.14</v>
      </c>
      <c r="R65" s="198"/>
      <c r="S65" s="198"/>
      <c r="T65" s="198"/>
      <c r="U65" s="198"/>
    </row>
    <row r="66" spans="1:21" s="12" customFormat="1" x14ac:dyDescent="0.25">
      <c r="A66" s="214" t="s">
        <v>1073</v>
      </c>
      <c r="B66" s="64">
        <v>0.1</v>
      </c>
      <c r="C66" s="64">
        <v>32.6</v>
      </c>
      <c r="D66" s="64">
        <v>17.03</v>
      </c>
      <c r="E66" s="64">
        <v>3.14</v>
      </c>
      <c r="F66" s="64">
        <v>4.8499999999999996</v>
      </c>
      <c r="G66" s="64">
        <v>48.77</v>
      </c>
      <c r="H66" s="64">
        <v>4.55</v>
      </c>
      <c r="I66" s="64">
        <v>10.210000000000001</v>
      </c>
      <c r="J66" s="64">
        <v>0.53</v>
      </c>
      <c r="K66" s="64">
        <v>173.92</v>
      </c>
      <c r="L66" s="64">
        <v>27.98</v>
      </c>
      <c r="M66" s="64">
        <v>48.91</v>
      </c>
      <c r="N66" s="64">
        <v>406.5</v>
      </c>
      <c r="O66" s="64">
        <v>0</v>
      </c>
      <c r="P66" s="64">
        <v>0.3</v>
      </c>
      <c r="Q66" s="64">
        <v>9.2200000000000006</v>
      </c>
      <c r="R66" s="198"/>
      <c r="S66" s="198"/>
      <c r="T66" s="198"/>
      <c r="U66" s="198"/>
    </row>
    <row r="67" spans="1:21" s="12" customFormat="1" x14ac:dyDescent="0.25">
      <c r="A67" s="214" t="s">
        <v>1074</v>
      </c>
      <c r="B67" s="64">
        <v>0.1</v>
      </c>
      <c r="C67" s="64">
        <v>32.33</v>
      </c>
      <c r="D67" s="64">
        <v>16.89</v>
      </c>
      <c r="E67" s="64">
        <v>3.17</v>
      </c>
      <c r="F67" s="64">
        <v>4.88</v>
      </c>
      <c r="G67" s="64">
        <v>48.77</v>
      </c>
      <c r="H67" s="64">
        <v>4.55</v>
      </c>
      <c r="I67" s="64">
        <v>10.09</v>
      </c>
      <c r="J67" s="64">
        <v>0.42</v>
      </c>
      <c r="K67" s="64">
        <v>171.65</v>
      </c>
      <c r="L67" s="64">
        <v>28.25</v>
      </c>
      <c r="M67" s="64">
        <v>48.31</v>
      </c>
      <c r="N67" s="64">
        <v>578.9</v>
      </c>
      <c r="O67" s="64">
        <v>0</v>
      </c>
      <c r="P67" s="64">
        <v>0.3</v>
      </c>
      <c r="Q67" s="64">
        <v>9.2200000000000006</v>
      </c>
      <c r="R67" s="198"/>
      <c r="S67" s="198"/>
      <c r="T67" s="198"/>
      <c r="U67" s="198"/>
    </row>
    <row r="68" spans="1:21" s="12" customFormat="1" x14ac:dyDescent="0.25">
      <c r="A68" s="214" t="s">
        <v>1075</v>
      </c>
      <c r="B68" s="64">
        <v>0.1</v>
      </c>
      <c r="C68" s="64">
        <v>31.69</v>
      </c>
      <c r="D68" s="64">
        <v>16.559999999999999</v>
      </c>
      <c r="E68" s="64">
        <v>3.14</v>
      </c>
      <c r="F68" s="64">
        <v>4.6399999999999997</v>
      </c>
      <c r="G68" s="64">
        <v>47.66</v>
      </c>
      <c r="H68" s="64">
        <v>4.62</v>
      </c>
      <c r="I68" s="64">
        <v>9.64</v>
      </c>
      <c r="J68" s="64">
        <v>0.47</v>
      </c>
      <c r="K68" s="64">
        <v>175.56</v>
      </c>
      <c r="L68" s="64">
        <v>28.27</v>
      </c>
      <c r="M68" s="64">
        <v>47.16</v>
      </c>
      <c r="N68" s="64">
        <v>474</v>
      </c>
      <c r="O68" s="64">
        <v>0</v>
      </c>
      <c r="P68" s="64">
        <v>0.28999999999999998</v>
      </c>
      <c r="Q68" s="64">
        <v>9.25</v>
      </c>
      <c r="R68" s="198"/>
      <c r="S68" s="198"/>
      <c r="T68" s="198"/>
      <c r="U68" s="198"/>
    </row>
    <row r="69" spans="1:21" s="12" customFormat="1" x14ac:dyDescent="0.25">
      <c r="A69" s="214" t="s">
        <v>1076</v>
      </c>
      <c r="B69" s="64">
        <v>0.1</v>
      </c>
      <c r="C69" s="64">
        <v>30.81</v>
      </c>
      <c r="D69" s="64">
        <v>16.100000000000001</v>
      </c>
      <c r="E69" s="64">
        <v>3.06</v>
      </c>
      <c r="F69" s="64">
        <v>5.33</v>
      </c>
      <c r="G69" s="64">
        <v>32.11</v>
      </c>
      <c r="H69" s="64">
        <v>5.56</v>
      </c>
      <c r="I69" s="64">
        <v>9.09</v>
      </c>
      <c r="J69" s="64">
        <v>0.68</v>
      </c>
      <c r="K69" s="64">
        <v>169.9</v>
      </c>
      <c r="L69" s="64">
        <v>28.27</v>
      </c>
      <c r="M69" s="64">
        <v>47.08</v>
      </c>
      <c r="N69" s="64">
        <v>434.4</v>
      </c>
      <c r="O69" s="64">
        <v>0</v>
      </c>
      <c r="P69" s="64">
        <v>0.28000000000000003</v>
      </c>
      <c r="Q69" s="64">
        <v>9.2200000000000006</v>
      </c>
      <c r="R69" s="198"/>
      <c r="S69" s="198"/>
      <c r="T69" s="198"/>
      <c r="U69" s="198"/>
    </row>
    <row r="70" spans="1:21" s="12" customFormat="1" x14ac:dyDescent="0.25">
      <c r="A70" s="214" t="s">
        <v>1077</v>
      </c>
      <c r="B70" s="64">
        <v>0.1</v>
      </c>
      <c r="C70" s="64">
        <v>28.59</v>
      </c>
      <c r="D70" s="64">
        <v>14.94</v>
      </c>
      <c r="E70" s="64">
        <v>3.61</v>
      </c>
      <c r="F70" s="64">
        <v>8.3800000000000008</v>
      </c>
      <c r="G70" s="64">
        <v>32.11</v>
      </c>
      <c r="H70" s="64">
        <v>5.56</v>
      </c>
      <c r="I70" s="64">
        <v>8.75</v>
      </c>
      <c r="J70" s="64">
        <v>0.83</v>
      </c>
      <c r="K70" s="64">
        <v>173.69</v>
      </c>
      <c r="L70" s="64">
        <v>27.99</v>
      </c>
      <c r="M70" s="64">
        <v>47.76</v>
      </c>
      <c r="N70" s="64">
        <v>333.8</v>
      </c>
      <c r="O70" s="64">
        <v>0</v>
      </c>
      <c r="P70" s="64">
        <v>0.27</v>
      </c>
      <c r="Q70" s="64">
        <v>9.32</v>
      </c>
      <c r="R70" s="198"/>
      <c r="S70" s="198"/>
      <c r="T70" s="198"/>
      <c r="U70" s="198"/>
    </row>
    <row r="71" spans="1:21" s="12" customFormat="1" x14ac:dyDescent="0.25">
      <c r="A71" s="214" t="s">
        <v>1078</v>
      </c>
      <c r="B71" s="64">
        <v>0.1</v>
      </c>
      <c r="C71" s="64">
        <v>27.12</v>
      </c>
      <c r="D71" s="64">
        <v>14.17</v>
      </c>
      <c r="E71" s="64">
        <v>3.33</v>
      </c>
      <c r="F71" s="64">
        <v>6.54</v>
      </c>
      <c r="G71" s="64">
        <v>32.11</v>
      </c>
      <c r="H71" s="64">
        <v>5.56</v>
      </c>
      <c r="I71" s="64">
        <v>8.16</v>
      </c>
      <c r="J71" s="64">
        <v>0.83</v>
      </c>
      <c r="K71" s="64">
        <v>157.51</v>
      </c>
      <c r="L71" s="64">
        <v>28.03</v>
      </c>
      <c r="M71" s="64">
        <v>44.64</v>
      </c>
      <c r="N71" s="64">
        <v>278.5</v>
      </c>
      <c r="O71" s="64">
        <v>0</v>
      </c>
      <c r="P71" s="64">
        <v>0.26</v>
      </c>
      <c r="Q71" s="64">
        <v>9.18</v>
      </c>
      <c r="R71" s="198"/>
      <c r="S71" s="198"/>
      <c r="T71" s="198"/>
      <c r="U71" s="198"/>
    </row>
    <row r="72" spans="1:21" s="12" customFormat="1" x14ac:dyDescent="0.25">
      <c r="A72" s="214" t="s">
        <v>1079</v>
      </c>
      <c r="B72" s="64">
        <v>0.1</v>
      </c>
      <c r="C72" s="64">
        <v>25.41</v>
      </c>
      <c r="D72" s="64">
        <v>13.28</v>
      </c>
      <c r="E72" s="64">
        <v>0.78</v>
      </c>
      <c r="F72" s="64">
        <v>5.24</v>
      </c>
      <c r="G72" s="64">
        <v>31.85</v>
      </c>
      <c r="H72" s="64">
        <v>5.45</v>
      </c>
      <c r="I72" s="64">
        <v>6.92</v>
      </c>
      <c r="J72" s="64">
        <v>1.24</v>
      </c>
      <c r="K72" s="64">
        <v>154.55000000000001</v>
      </c>
      <c r="L72" s="64">
        <v>27.85</v>
      </c>
      <c r="M72" s="64">
        <v>42.23</v>
      </c>
      <c r="N72" s="64">
        <v>228.8</v>
      </c>
      <c r="O72" s="64">
        <v>0</v>
      </c>
      <c r="P72" s="64">
        <v>0.26</v>
      </c>
      <c r="Q72" s="64">
        <v>9.26</v>
      </c>
      <c r="R72" s="198"/>
      <c r="S72" s="198"/>
      <c r="T72" s="198"/>
      <c r="U72" s="198"/>
    </row>
    <row r="73" spans="1:21" s="12" customFormat="1" x14ac:dyDescent="0.25">
      <c r="A73" s="214" t="s">
        <v>1080</v>
      </c>
      <c r="B73" s="64">
        <v>0.1</v>
      </c>
      <c r="C73" s="64">
        <v>24.94</v>
      </c>
      <c r="D73" s="64">
        <v>13.03</v>
      </c>
      <c r="E73" s="64">
        <v>0.94</v>
      </c>
      <c r="F73" s="64">
        <v>6.01</v>
      </c>
      <c r="G73" s="64">
        <v>28.21</v>
      </c>
      <c r="H73" s="64">
        <v>3.89</v>
      </c>
      <c r="I73" s="64">
        <v>6.65</v>
      </c>
      <c r="J73" s="64">
        <v>1.47</v>
      </c>
      <c r="K73" s="64">
        <v>155.63999999999999</v>
      </c>
      <c r="L73" s="64">
        <v>27.7</v>
      </c>
      <c r="M73" s="64">
        <v>44.16</v>
      </c>
      <c r="N73" s="64">
        <v>228.1</v>
      </c>
      <c r="O73" s="64">
        <v>0</v>
      </c>
      <c r="P73" s="64">
        <v>0.24</v>
      </c>
      <c r="Q73" s="64">
        <v>9.24</v>
      </c>
      <c r="R73" s="198"/>
      <c r="S73" s="198"/>
      <c r="T73" s="198"/>
      <c r="U73" s="198"/>
    </row>
    <row r="74" spans="1:21" s="12" customFormat="1" x14ac:dyDescent="0.25">
      <c r="A74" s="214" t="s">
        <v>1081</v>
      </c>
      <c r="B74" s="64">
        <v>0.1</v>
      </c>
      <c r="C74" s="64">
        <v>25.49</v>
      </c>
      <c r="D74" s="64">
        <v>13.32</v>
      </c>
      <c r="E74" s="64">
        <v>0.89</v>
      </c>
      <c r="F74" s="64">
        <v>6.87</v>
      </c>
      <c r="G74" s="64">
        <v>28.21</v>
      </c>
      <c r="H74" s="64">
        <v>3.89</v>
      </c>
      <c r="I74" s="64">
        <v>6.58</v>
      </c>
      <c r="J74" s="64">
        <v>0.65</v>
      </c>
      <c r="K74" s="64">
        <v>169.91</v>
      </c>
      <c r="L74" s="64">
        <v>27.46</v>
      </c>
      <c r="M74" s="64">
        <v>49.44</v>
      </c>
      <c r="N74" s="64">
        <v>146.30000000000001</v>
      </c>
      <c r="O74" s="64">
        <v>0</v>
      </c>
      <c r="P74" s="64">
        <v>0.24</v>
      </c>
      <c r="Q74" s="64">
        <v>9.23</v>
      </c>
      <c r="R74" s="198"/>
      <c r="S74" s="198"/>
      <c r="T74" s="198"/>
      <c r="U74" s="198"/>
    </row>
    <row r="75" spans="1:21" s="12" customFormat="1" x14ac:dyDescent="0.25">
      <c r="A75" s="214" t="s">
        <v>1082</v>
      </c>
      <c r="B75" s="64">
        <v>0.1</v>
      </c>
      <c r="C75" s="64">
        <v>26.15</v>
      </c>
      <c r="D75" s="64">
        <v>13.66</v>
      </c>
      <c r="E75" s="64">
        <v>0.54</v>
      </c>
      <c r="F75" s="64">
        <v>5.34</v>
      </c>
      <c r="G75" s="64">
        <v>28.21</v>
      </c>
      <c r="H75" s="64">
        <v>3.89</v>
      </c>
      <c r="I75" s="64">
        <v>6.32</v>
      </c>
      <c r="J75" s="64">
        <v>0.88</v>
      </c>
      <c r="K75" s="64">
        <v>168.95</v>
      </c>
      <c r="L75" s="64">
        <v>27.26</v>
      </c>
      <c r="M75" s="64">
        <v>45.36</v>
      </c>
      <c r="N75" s="64">
        <v>91.2</v>
      </c>
      <c r="O75" s="64">
        <v>0</v>
      </c>
      <c r="P75" s="64">
        <v>0.24</v>
      </c>
      <c r="Q75" s="64">
        <v>9.26</v>
      </c>
      <c r="R75" s="198"/>
      <c r="S75" s="198"/>
      <c r="T75" s="198"/>
      <c r="U75" s="198"/>
    </row>
    <row r="76" spans="1:21" s="12" customFormat="1" x14ac:dyDescent="0.25">
      <c r="A76" s="214" t="s">
        <v>1083</v>
      </c>
      <c r="B76" s="64">
        <v>0.1</v>
      </c>
      <c r="C76" s="64">
        <v>30.07</v>
      </c>
      <c r="D76" s="64">
        <v>15.71</v>
      </c>
      <c r="E76" s="64">
        <v>0.73</v>
      </c>
      <c r="F76" s="64">
        <v>5.45</v>
      </c>
      <c r="G76" s="64">
        <v>28.21</v>
      </c>
      <c r="H76" s="64">
        <v>4.07</v>
      </c>
      <c r="I76" s="64">
        <v>5.55</v>
      </c>
      <c r="J76" s="64">
        <v>0.73</v>
      </c>
      <c r="K76" s="64">
        <v>159.21</v>
      </c>
      <c r="L76" s="64">
        <v>26.91</v>
      </c>
      <c r="M76" s="64">
        <v>48.31</v>
      </c>
      <c r="N76" s="64">
        <v>73.2</v>
      </c>
      <c r="O76" s="64">
        <v>0</v>
      </c>
      <c r="P76" s="64">
        <v>0.25</v>
      </c>
      <c r="Q76" s="64">
        <v>9.26</v>
      </c>
      <c r="R76" s="198"/>
      <c r="S76" s="198"/>
      <c r="T76" s="198"/>
      <c r="U76" s="198"/>
    </row>
    <row r="77" spans="1:21" s="12" customFormat="1" x14ac:dyDescent="0.25">
      <c r="A77" s="214" t="s">
        <v>1084</v>
      </c>
      <c r="B77" s="64">
        <v>0.1</v>
      </c>
      <c r="C77" s="64">
        <v>31.58</v>
      </c>
      <c r="D77" s="64">
        <v>16.5</v>
      </c>
      <c r="E77" s="64">
        <v>0.57999999999999996</v>
      </c>
      <c r="F77" s="64">
        <v>4.41</v>
      </c>
      <c r="G77" s="64">
        <v>28.26</v>
      </c>
      <c r="H77" s="64">
        <v>6.59</v>
      </c>
      <c r="I77" s="64">
        <v>5.34</v>
      </c>
      <c r="J77" s="64">
        <v>0.87</v>
      </c>
      <c r="K77" s="64">
        <v>166.19</v>
      </c>
      <c r="L77" s="64">
        <v>26.71</v>
      </c>
      <c r="M77" s="64">
        <v>49.36</v>
      </c>
      <c r="N77" s="64">
        <v>79.3</v>
      </c>
      <c r="O77" s="64">
        <v>0</v>
      </c>
      <c r="P77" s="64">
        <v>0.25</v>
      </c>
      <c r="Q77" s="64">
        <v>9.19</v>
      </c>
      <c r="R77" s="198"/>
      <c r="S77" s="198"/>
      <c r="T77" s="198"/>
      <c r="U77" s="198"/>
    </row>
    <row r="78" spans="1:21" s="12" customFormat="1" x14ac:dyDescent="0.25">
      <c r="A78" s="214" t="s">
        <v>1085</v>
      </c>
      <c r="B78" s="64">
        <v>0.11</v>
      </c>
      <c r="C78" s="64">
        <v>32.08</v>
      </c>
      <c r="D78" s="64">
        <v>16.77</v>
      </c>
      <c r="E78" s="64">
        <v>0.8</v>
      </c>
      <c r="F78" s="64">
        <v>3.77</v>
      </c>
      <c r="G78" s="64">
        <v>28.26</v>
      </c>
      <c r="H78" s="64">
        <v>6.59</v>
      </c>
      <c r="I78" s="64">
        <v>5.27</v>
      </c>
      <c r="J78" s="64">
        <v>0.73</v>
      </c>
      <c r="K78" s="64">
        <v>163.13</v>
      </c>
      <c r="L78" s="64">
        <v>26.47</v>
      </c>
      <c r="M78" s="64">
        <v>51.2</v>
      </c>
      <c r="N78" s="64">
        <v>64.099999999999994</v>
      </c>
      <c r="O78" s="64">
        <v>0</v>
      </c>
      <c r="P78" s="64">
        <v>0.25</v>
      </c>
      <c r="Q78" s="64">
        <v>9.39</v>
      </c>
      <c r="R78" s="198"/>
      <c r="S78" s="198"/>
      <c r="T78" s="198"/>
      <c r="U78" s="198"/>
    </row>
    <row r="79" spans="1:21" s="12" customFormat="1" x14ac:dyDescent="0.25">
      <c r="A79" s="214" t="s">
        <v>1086</v>
      </c>
      <c r="B79" s="64">
        <v>0.3</v>
      </c>
      <c r="C79" s="64">
        <v>32.19</v>
      </c>
      <c r="D79" s="64">
        <v>16.98</v>
      </c>
      <c r="E79" s="64">
        <v>0.63</v>
      </c>
      <c r="F79" s="64">
        <v>3.93</v>
      </c>
      <c r="G79" s="64">
        <v>28.26</v>
      </c>
      <c r="H79" s="64">
        <v>6.59</v>
      </c>
      <c r="I79" s="64">
        <v>5.61</v>
      </c>
      <c r="J79" s="64">
        <v>0.5</v>
      </c>
      <c r="K79" s="64">
        <v>159.12</v>
      </c>
      <c r="L79" s="64">
        <v>26.19</v>
      </c>
      <c r="M79" s="64">
        <v>53.11</v>
      </c>
      <c r="N79" s="64">
        <v>49.5</v>
      </c>
      <c r="O79" s="64">
        <v>0</v>
      </c>
      <c r="P79" s="64">
        <v>0.26</v>
      </c>
      <c r="Q79" s="64">
        <v>9.2100000000000009</v>
      </c>
      <c r="R79" s="198"/>
      <c r="S79" s="198"/>
      <c r="T79" s="198"/>
      <c r="U79" s="198"/>
    </row>
    <row r="80" spans="1:21" s="12" customFormat="1" x14ac:dyDescent="0.25">
      <c r="A80" s="214" t="s">
        <v>1087</v>
      </c>
      <c r="B80" s="64">
        <v>0.49</v>
      </c>
      <c r="C80" s="64">
        <v>32.79</v>
      </c>
      <c r="D80" s="64">
        <v>17.45</v>
      </c>
      <c r="E80" s="64">
        <v>0.78</v>
      </c>
      <c r="F80" s="64">
        <v>4.0999999999999996</v>
      </c>
      <c r="G80" s="64">
        <v>27.86</v>
      </c>
      <c r="H80" s="64">
        <v>6.5</v>
      </c>
      <c r="I80" s="64">
        <v>5.66</v>
      </c>
      <c r="J80" s="64">
        <v>0.21</v>
      </c>
      <c r="K80" s="64">
        <v>98.01</v>
      </c>
      <c r="L80" s="64">
        <v>25.83</v>
      </c>
      <c r="M80" s="64">
        <v>55.84</v>
      </c>
      <c r="N80" s="64">
        <v>32.1</v>
      </c>
      <c r="O80" s="64">
        <v>0</v>
      </c>
      <c r="P80" s="64">
        <v>0.27</v>
      </c>
      <c r="Q80" s="64">
        <v>9.31</v>
      </c>
      <c r="R80" s="198"/>
      <c r="S80" s="198"/>
      <c r="T80" s="198"/>
      <c r="U80" s="198"/>
    </row>
    <row r="81" spans="1:26" s="12" customFormat="1" x14ac:dyDescent="0.25">
      <c r="A81" s="214" t="s">
        <v>1088</v>
      </c>
      <c r="B81" s="64">
        <v>0.81</v>
      </c>
      <c r="C81" s="64">
        <v>33.39</v>
      </c>
      <c r="D81" s="64">
        <v>18.02</v>
      </c>
      <c r="E81" s="64">
        <v>0.92</v>
      </c>
      <c r="F81" s="64">
        <v>3.52</v>
      </c>
      <c r="G81" s="64">
        <v>22.34</v>
      </c>
      <c r="H81" s="64">
        <v>4.93</v>
      </c>
      <c r="I81" s="64">
        <v>5.74</v>
      </c>
      <c r="J81" s="64">
        <v>0.18</v>
      </c>
      <c r="K81" s="64">
        <v>74.61</v>
      </c>
      <c r="L81" s="64">
        <v>25.46</v>
      </c>
      <c r="M81" s="64">
        <v>58.83</v>
      </c>
      <c r="N81" s="64">
        <v>23.5</v>
      </c>
      <c r="O81" s="64">
        <v>0</v>
      </c>
      <c r="P81" s="64">
        <v>0.27</v>
      </c>
      <c r="Q81" s="64">
        <v>9.18</v>
      </c>
      <c r="R81" s="198"/>
      <c r="S81" s="198"/>
      <c r="T81" s="198"/>
      <c r="U81" s="198"/>
    </row>
    <row r="82" spans="1:26" s="12" customFormat="1" x14ac:dyDescent="0.25">
      <c r="A82" s="214" t="s">
        <v>1089</v>
      </c>
      <c r="B82" s="64">
        <v>1.1000000000000001</v>
      </c>
      <c r="C82" s="64">
        <v>33.229999999999997</v>
      </c>
      <c r="D82" s="64">
        <v>18.16</v>
      </c>
      <c r="E82" s="64">
        <v>0.77</v>
      </c>
      <c r="F82" s="64">
        <v>3.6</v>
      </c>
      <c r="G82" s="64">
        <v>22.34</v>
      </c>
      <c r="H82" s="64">
        <v>4.93</v>
      </c>
      <c r="I82" s="64">
        <v>5.85</v>
      </c>
      <c r="J82" s="64">
        <v>0.8</v>
      </c>
      <c r="K82" s="64">
        <v>82.26</v>
      </c>
      <c r="L82" s="64">
        <v>25.34</v>
      </c>
      <c r="M82" s="64">
        <v>59.61</v>
      </c>
      <c r="N82" s="64">
        <v>20.8</v>
      </c>
      <c r="O82" s="64">
        <v>0</v>
      </c>
      <c r="P82" s="64">
        <v>0.28999999999999998</v>
      </c>
      <c r="Q82" s="64">
        <v>9.34</v>
      </c>
      <c r="R82" s="198"/>
      <c r="S82" s="198"/>
      <c r="T82" s="198"/>
      <c r="U82" s="198"/>
    </row>
    <row r="83" spans="1:26" s="12" customFormat="1" x14ac:dyDescent="0.25">
      <c r="A83" s="214" t="s">
        <v>1090</v>
      </c>
      <c r="B83" s="64">
        <v>1.39</v>
      </c>
      <c r="C83" s="64">
        <v>33.33</v>
      </c>
      <c r="D83" s="64">
        <v>18.45</v>
      </c>
      <c r="E83" s="64">
        <v>0.57999999999999996</v>
      </c>
      <c r="F83" s="64">
        <v>3.46</v>
      </c>
      <c r="G83" s="64">
        <v>22.34</v>
      </c>
      <c r="H83" s="64">
        <v>4.93</v>
      </c>
      <c r="I83" s="64">
        <v>6.02</v>
      </c>
      <c r="J83" s="64">
        <v>0.53</v>
      </c>
      <c r="K83" s="64">
        <v>85.96</v>
      </c>
      <c r="L83" s="64">
        <v>25.28</v>
      </c>
      <c r="M83" s="64">
        <v>60.97</v>
      </c>
      <c r="N83" s="64">
        <v>20.9</v>
      </c>
      <c r="O83" s="64">
        <v>0</v>
      </c>
      <c r="P83" s="64">
        <v>0.3</v>
      </c>
      <c r="Q83" s="64">
        <v>9.23</v>
      </c>
      <c r="R83" s="198"/>
      <c r="S83" s="198"/>
      <c r="T83" s="198"/>
      <c r="U83" s="198"/>
    </row>
    <row r="84" spans="1:26" s="12" customFormat="1" x14ac:dyDescent="0.25">
      <c r="A84" s="214" t="s">
        <v>1091</v>
      </c>
      <c r="B84" s="64">
        <v>1.84</v>
      </c>
      <c r="C84" s="64">
        <v>34.83</v>
      </c>
      <c r="D84" s="64">
        <v>19.59</v>
      </c>
      <c r="E84" s="64">
        <v>0.42</v>
      </c>
      <c r="F84" s="64">
        <v>3.7</v>
      </c>
      <c r="G84" s="64">
        <v>23.33</v>
      </c>
      <c r="H84" s="64">
        <v>5.21</v>
      </c>
      <c r="I84" s="64">
        <v>6.35</v>
      </c>
      <c r="J84" s="64">
        <v>0.08</v>
      </c>
      <c r="K84" s="64">
        <v>308.35000000000002</v>
      </c>
      <c r="L84" s="64">
        <v>24.64</v>
      </c>
      <c r="M84" s="64">
        <v>66.209999999999994</v>
      </c>
      <c r="N84" s="64">
        <v>21.3</v>
      </c>
      <c r="O84" s="64">
        <v>0</v>
      </c>
      <c r="P84" s="64">
        <v>0.34</v>
      </c>
      <c r="Q84" s="64">
        <v>9.25</v>
      </c>
      <c r="R84" s="198"/>
      <c r="S84" s="198"/>
      <c r="T84" s="198"/>
      <c r="U84" s="198"/>
    </row>
    <row r="85" spans="1:26" s="12" customFormat="1" x14ac:dyDescent="0.25">
      <c r="A85" s="214" t="s">
        <v>1092</v>
      </c>
      <c r="B85" s="64">
        <v>3.44</v>
      </c>
      <c r="C85" s="64">
        <v>36.07</v>
      </c>
      <c r="D85" s="64">
        <v>21.52</v>
      </c>
      <c r="E85" s="64">
        <v>0.88</v>
      </c>
      <c r="F85" s="64">
        <v>3.57</v>
      </c>
      <c r="G85" s="64">
        <v>37.31</v>
      </c>
      <c r="H85" s="64">
        <v>9.1</v>
      </c>
      <c r="I85" s="64">
        <v>6.62</v>
      </c>
      <c r="J85" s="64">
        <v>0.03</v>
      </c>
      <c r="K85" s="64">
        <v>230.71</v>
      </c>
      <c r="L85" s="64">
        <v>24.34</v>
      </c>
      <c r="M85" s="64">
        <v>67.28</v>
      </c>
      <c r="N85" s="64">
        <v>20.9</v>
      </c>
      <c r="O85" s="64">
        <v>0</v>
      </c>
      <c r="P85" s="64">
        <v>0.39</v>
      </c>
      <c r="Q85" s="64">
        <v>9.36</v>
      </c>
      <c r="R85" s="198"/>
      <c r="S85" s="198"/>
      <c r="T85" s="198"/>
      <c r="U85" s="198"/>
    </row>
    <row r="86" spans="1:26" s="12" customFormat="1" x14ac:dyDescent="0.25">
      <c r="A86" s="214" t="s">
        <v>1093</v>
      </c>
      <c r="B86" s="64">
        <v>5.53</v>
      </c>
      <c r="C86" s="64">
        <v>36.81</v>
      </c>
      <c r="D86" s="64">
        <v>23.59</v>
      </c>
      <c r="E86" s="64">
        <v>0.85</v>
      </c>
      <c r="F86" s="64">
        <v>3.02</v>
      </c>
      <c r="G86" s="64">
        <v>37.31</v>
      </c>
      <c r="H86" s="64">
        <v>9.1</v>
      </c>
      <c r="I86" s="64">
        <v>6.66</v>
      </c>
      <c r="J86" s="64">
        <v>0.1</v>
      </c>
      <c r="K86" s="64">
        <v>311.69</v>
      </c>
      <c r="L86" s="64">
        <v>24.09</v>
      </c>
      <c r="M86" s="64">
        <v>68.44</v>
      </c>
      <c r="N86" s="64">
        <v>21</v>
      </c>
      <c r="O86" s="64">
        <v>0</v>
      </c>
      <c r="P86" s="64">
        <v>0.45</v>
      </c>
      <c r="Q86" s="64">
        <v>9.34</v>
      </c>
      <c r="R86" s="198"/>
      <c r="S86" s="198"/>
      <c r="T86" s="198"/>
      <c r="U86" s="198"/>
    </row>
    <row r="87" spans="1:26" s="12" customFormat="1" x14ac:dyDescent="0.25">
      <c r="A87" s="214" t="s">
        <v>1094</v>
      </c>
      <c r="B87" s="64">
        <v>6.9</v>
      </c>
      <c r="C87" s="64">
        <v>37.07</v>
      </c>
      <c r="D87" s="64">
        <v>24.82</v>
      </c>
      <c r="E87" s="64">
        <v>0.81</v>
      </c>
      <c r="F87" s="64">
        <v>3.6</v>
      </c>
      <c r="G87" s="64">
        <v>37.31</v>
      </c>
      <c r="H87" s="64">
        <v>9.1</v>
      </c>
      <c r="I87" s="64">
        <v>6.65</v>
      </c>
      <c r="J87" s="64">
        <v>0.14000000000000001</v>
      </c>
      <c r="K87" s="64">
        <v>132.24</v>
      </c>
      <c r="L87" s="64">
        <v>24.19</v>
      </c>
      <c r="M87" s="64">
        <v>67.47</v>
      </c>
      <c r="N87" s="64">
        <v>20.6</v>
      </c>
      <c r="O87" s="64">
        <v>0</v>
      </c>
      <c r="P87" s="64">
        <v>0.48</v>
      </c>
      <c r="Q87" s="64">
        <v>9.33</v>
      </c>
      <c r="R87" s="198"/>
      <c r="S87" s="198"/>
      <c r="T87" s="198"/>
      <c r="U87" s="198"/>
    </row>
    <row r="88" spans="1:26" s="12" customFormat="1" x14ac:dyDescent="0.25">
      <c r="A88" s="214" t="s">
        <v>1095</v>
      </c>
      <c r="B88" s="64">
        <v>7.2</v>
      </c>
      <c r="C88" s="64">
        <v>36.93</v>
      </c>
      <c r="D88" s="64">
        <v>24.99</v>
      </c>
      <c r="E88" s="64">
        <v>1.1000000000000001</v>
      </c>
      <c r="F88" s="64">
        <v>3.46</v>
      </c>
      <c r="G88" s="64">
        <v>37.659999999999997</v>
      </c>
      <c r="H88" s="64">
        <v>9.31</v>
      </c>
      <c r="I88" s="64">
        <v>6.81</v>
      </c>
      <c r="J88" s="64">
        <v>0.14000000000000001</v>
      </c>
      <c r="K88" s="64">
        <v>79.180000000000007</v>
      </c>
      <c r="L88" s="64">
        <v>24.03</v>
      </c>
      <c r="M88" s="64">
        <v>68.41</v>
      </c>
      <c r="N88" s="64">
        <v>21</v>
      </c>
      <c r="O88" s="64">
        <v>0</v>
      </c>
      <c r="P88" s="64">
        <v>0.51</v>
      </c>
      <c r="Q88" s="64">
        <v>9.36</v>
      </c>
      <c r="R88" s="198"/>
      <c r="S88" s="198"/>
      <c r="T88" s="198"/>
      <c r="U88" s="198"/>
    </row>
    <row r="89" spans="1:26" s="12" customFormat="1" x14ac:dyDescent="0.25">
      <c r="A89" s="214" t="s">
        <v>1096</v>
      </c>
      <c r="B89" s="64">
        <v>7.49</v>
      </c>
      <c r="C89" s="64">
        <v>36.96</v>
      </c>
      <c r="D89" s="64">
        <v>25.24</v>
      </c>
      <c r="E89" s="64">
        <v>1.28</v>
      </c>
      <c r="F89" s="64">
        <v>3.41</v>
      </c>
      <c r="G89" s="64">
        <v>42.59</v>
      </c>
      <c r="H89" s="64">
        <v>12.82</v>
      </c>
      <c r="I89" s="64">
        <v>6.78</v>
      </c>
      <c r="J89" s="64">
        <v>0.47</v>
      </c>
      <c r="K89" s="64">
        <v>156.74</v>
      </c>
      <c r="L89" s="64">
        <v>23.98</v>
      </c>
      <c r="M89" s="64">
        <v>67.91</v>
      </c>
      <c r="N89" s="64">
        <v>20.5</v>
      </c>
      <c r="O89" s="64">
        <v>0</v>
      </c>
      <c r="P89" s="64">
        <v>0.53</v>
      </c>
      <c r="Q89" s="64">
        <v>9.39</v>
      </c>
      <c r="R89" s="198"/>
      <c r="S89" s="198"/>
      <c r="T89" s="198"/>
      <c r="U89" s="198"/>
    </row>
    <row r="90" spans="1:26" s="12" customFormat="1" x14ac:dyDescent="0.25">
      <c r="A90" s="214" t="s">
        <v>1097</v>
      </c>
      <c r="B90" s="64">
        <v>8.31</v>
      </c>
      <c r="C90" s="64">
        <v>37.090000000000003</v>
      </c>
      <c r="D90" s="64">
        <v>25.96</v>
      </c>
      <c r="E90" s="64">
        <v>1.28</v>
      </c>
      <c r="F90" s="64">
        <v>3.72</v>
      </c>
      <c r="G90" s="64">
        <v>42.59</v>
      </c>
      <c r="H90" s="64">
        <v>12.82</v>
      </c>
      <c r="I90" s="64">
        <v>6.83</v>
      </c>
      <c r="J90" s="64">
        <v>0.1</v>
      </c>
      <c r="K90" s="64">
        <v>144.82</v>
      </c>
      <c r="L90" s="64">
        <v>23.91</v>
      </c>
      <c r="M90" s="64">
        <v>66.849999999999994</v>
      </c>
      <c r="N90" s="64">
        <v>21</v>
      </c>
      <c r="O90" s="64">
        <v>0</v>
      </c>
      <c r="P90" s="64">
        <v>0.54</v>
      </c>
      <c r="Q90" s="64">
        <v>9.52</v>
      </c>
      <c r="R90" s="198"/>
      <c r="S90" s="198"/>
      <c r="T90" s="198"/>
      <c r="U90" s="198"/>
    </row>
    <row r="91" spans="1:26" s="12" customFormat="1" x14ac:dyDescent="0.25">
      <c r="A91" s="214" t="s">
        <v>1098</v>
      </c>
      <c r="B91" s="64">
        <v>9.2200000000000006</v>
      </c>
      <c r="C91" s="64">
        <v>37.44</v>
      </c>
      <c r="D91" s="64">
        <v>26.88</v>
      </c>
      <c r="E91" s="64">
        <v>1.5</v>
      </c>
      <c r="F91" s="64">
        <v>3.88</v>
      </c>
      <c r="G91" s="64">
        <v>42.59</v>
      </c>
      <c r="H91" s="64">
        <v>12.82</v>
      </c>
      <c r="I91" s="64">
        <v>6.88</v>
      </c>
      <c r="J91" s="64">
        <v>0.13</v>
      </c>
      <c r="K91" s="64">
        <v>293.43</v>
      </c>
      <c r="L91" s="64">
        <v>23.47</v>
      </c>
      <c r="M91" s="64">
        <v>69.819999999999993</v>
      </c>
      <c r="N91" s="64">
        <v>21.4</v>
      </c>
      <c r="O91" s="64">
        <v>0</v>
      </c>
      <c r="P91" s="64">
        <v>0.56000000000000005</v>
      </c>
      <c r="Q91" s="64">
        <v>9.35</v>
      </c>
      <c r="R91" s="198"/>
      <c r="S91" s="198"/>
      <c r="T91" s="198"/>
      <c r="U91" s="198"/>
    </row>
    <row r="92" spans="1:26" s="12" customFormat="1" x14ac:dyDescent="0.25">
      <c r="A92" s="214" t="s">
        <v>1099</v>
      </c>
      <c r="B92" s="64">
        <v>11</v>
      </c>
      <c r="C92" s="64">
        <v>37.46</v>
      </c>
      <c r="D92" s="64">
        <v>28.32</v>
      </c>
      <c r="E92" s="64">
        <v>1.26</v>
      </c>
      <c r="F92" s="64">
        <v>3.34</v>
      </c>
      <c r="G92" s="64">
        <v>42.8</v>
      </c>
      <c r="H92" s="64">
        <v>12.79</v>
      </c>
      <c r="I92" s="64">
        <v>6.79</v>
      </c>
      <c r="J92" s="64">
        <v>0.11</v>
      </c>
      <c r="K92" s="64">
        <v>29.79</v>
      </c>
      <c r="L92" s="64">
        <v>22.96</v>
      </c>
      <c r="M92" s="64">
        <v>73.900000000000006</v>
      </c>
      <c r="N92" s="64">
        <v>21.3</v>
      </c>
      <c r="O92" s="64">
        <v>0</v>
      </c>
      <c r="P92" s="64">
        <v>0.61</v>
      </c>
      <c r="Q92" s="64">
        <v>9.48</v>
      </c>
      <c r="R92" s="198"/>
      <c r="S92" s="198"/>
      <c r="T92" s="198"/>
      <c r="U92" s="198"/>
    </row>
    <row r="93" spans="1:26" s="12" customFormat="1" x14ac:dyDescent="0.25">
      <c r="A93" s="214" t="s">
        <v>1100</v>
      </c>
      <c r="B93" s="64">
        <v>14.05</v>
      </c>
      <c r="C93" s="64">
        <v>37.380000000000003</v>
      </c>
      <c r="D93" s="64">
        <v>30.72</v>
      </c>
      <c r="E93" s="64">
        <v>1.23</v>
      </c>
      <c r="F93" s="64">
        <v>3.44</v>
      </c>
      <c r="G93" s="64">
        <v>45.74</v>
      </c>
      <c r="H93" s="64">
        <v>12.36</v>
      </c>
      <c r="I93" s="64">
        <v>6.92</v>
      </c>
      <c r="J93" s="64">
        <v>0.2</v>
      </c>
      <c r="K93" s="64">
        <v>336.1</v>
      </c>
      <c r="L93" s="64">
        <v>22.5</v>
      </c>
      <c r="M93" s="64">
        <v>80.52</v>
      </c>
      <c r="N93" s="64">
        <v>21.2</v>
      </c>
      <c r="O93" s="64">
        <v>0</v>
      </c>
      <c r="P93" s="64">
        <v>0.66</v>
      </c>
      <c r="Q93" s="64">
        <v>9.41</v>
      </c>
      <c r="R93" s="198"/>
      <c r="S93" s="198"/>
      <c r="T93" s="198"/>
      <c r="U93" s="198"/>
    </row>
    <row r="94" spans="1:26" s="12" customFormat="1" x14ac:dyDescent="0.25">
      <c r="A94" s="214" t="s">
        <v>1101</v>
      </c>
      <c r="B94" s="64">
        <v>17.73</v>
      </c>
      <c r="C94" s="64">
        <v>39.22</v>
      </c>
      <c r="D94" s="64">
        <v>34.630000000000003</v>
      </c>
      <c r="E94" s="64">
        <v>1.47</v>
      </c>
      <c r="F94" s="64">
        <v>3.54</v>
      </c>
      <c r="G94" s="64">
        <v>45.74</v>
      </c>
      <c r="H94" s="64">
        <v>12.36</v>
      </c>
      <c r="I94" s="64">
        <v>6.94</v>
      </c>
      <c r="J94" s="64">
        <v>0.12</v>
      </c>
      <c r="K94" s="64">
        <v>347.15</v>
      </c>
      <c r="L94" s="64">
        <v>21.96</v>
      </c>
      <c r="M94" s="64">
        <v>81.69</v>
      </c>
      <c r="N94" s="64">
        <v>21.2</v>
      </c>
      <c r="O94" s="64">
        <v>0</v>
      </c>
      <c r="P94" s="64">
        <v>0.74</v>
      </c>
      <c r="Q94" s="64">
        <v>9.5399999999999991</v>
      </c>
      <c r="R94" s="198"/>
      <c r="S94" s="198"/>
      <c r="T94" s="198"/>
      <c r="U94" s="198"/>
    </row>
    <row r="95" spans="1:26" s="12" customFormat="1" x14ac:dyDescent="0.25">
      <c r="A95" s="214" t="s">
        <v>1102</v>
      </c>
      <c r="B95" s="64">
        <v>20.32</v>
      </c>
      <c r="C95" s="64">
        <v>38.92</v>
      </c>
      <c r="D95" s="64">
        <v>36.549999999999997</v>
      </c>
      <c r="E95" s="64">
        <v>1.37</v>
      </c>
      <c r="F95" s="64">
        <v>2.92</v>
      </c>
      <c r="G95" s="64">
        <v>45.74</v>
      </c>
      <c r="H95" s="64">
        <v>12.36</v>
      </c>
      <c r="I95" s="64">
        <v>7</v>
      </c>
      <c r="J95" s="64">
        <v>0.11</v>
      </c>
      <c r="K95" s="64">
        <v>70.180000000000007</v>
      </c>
      <c r="L95" s="64">
        <v>21.98</v>
      </c>
      <c r="M95" s="64">
        <v>80.25</v>
      </c>
      <c r="N95" s="64">
        <v>21</v>
      </c>
      <c r="O95" s="64">
        <v>0</v>
      </c>
      <c r="P95" s="64">
        <v>0.78</v>
      </c>
      <c r="Q95" s="64">
        <v>9.5299999999999994</v>
      </c>
      <c r="R95" s="198"/>
      <c r="S95" s="198"/>
      <c r="T95" s="198"/>
      <c r="U95" s="198"/>
    </row>
    <row r="96" spans="1:26" s="12" customFormat="1" x14ac:dyDescent="0.25">
      <c r="A96" s="214" t="s">
        <v>1103</v>
      </c>
      <c r="B96" s="64">
        <v>22.54</v>
      </c>
      <c r="C96" s="64">
        <v>38.75</v>
      </c>
      <c r="D96" s="64">
        <v>38.24</v>
      </c>
      <c r="E96" s="64">
        <v>1.27</v>
      </c>
      <c r="F96" s="64">
        <v>2.99</v>
      </c>
      <c r="G96" s="64">
        <v>46.55</v>
      </c>
      <c r="H96" s="64">
        <v>12.81</v>
      </c>
      <c r="I96" s="64">
        <v>7.24</v>
      </c>
      <c r="J96" s="64">
        <v>0.15</v>
      </c>
      <c r="K96" s="64">
        <v>244.31</v>
      </c>
      <c r="L96" s="64">
        <v>21.95</v>
      </c>
      <c r="M96" s="64">
        <v>84.3</v>
      </c>
      <c r="N96" s="64">
        <v>20.8</v>
      </c>
      <c r="O96" s="64">
        <v>0</v>
      </c>
      <c r="P96" s="64">
        <v>0.82</v>
      </c>
      <c r="Q96" s="64">
        <v>9.4499999999999993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1104</v>
      </c>
      <c r="B97" s="64">
        <v>25.13</v>
      </c>
      <c r="C97" s="64">
        <v>38.5</v>
      </c>
      <c r="D97" s="64">
        <v>40.18</v>
      </c>
      <c r="E97" s="64">
        <v>1.46</v>
      </c>
      <c r="F97" s="64">
        <v>3.46</v>
      </c>
      <c r="G97" s="64">
        <v>57.92</v>
      </c>
      <c r="H97" s="64">
        <v>19</v>
      </c>
      <c r="I97" s="64">
        <v>7.45</v>
      </c>
      <c r="J97" s="64">
        <v>0.04</v>
      </c>
      <c r="K97" s="64">
        <v>218.53</v>
      </c>
      <c r="L97" s="64">
        <v>21.66</v>
      </c>
      <c r="M97" s="64">
        <v>87.58</v>
      </c>
      <c r="N97" s="64">
        <v>21.1</v>
      </c>
      <c r="O97" s="64">
        <v>0</v>
      </c>
      <c r="P97" s="64">
        <v>0.85</v>
      </c>
      <c r="Q97" s="64">
        <v>9.56</v>
      </c>
      <c r="R97" s="198"/>
      <c r="S97" s="198"/>
      <c r="T97" s="198"/>
      <c r="U97" s="198"/>
    </row>
    <row r="98" spans="1:33" s="12" customFormat="1" x14ac:dyDescent="0.25">
      <c r="A98" s="214" t="s">
        <v>1105</v>
      </c>
      <c r="B98" s="64">
        <v>28.46</v>
      </c>
      <c r="C98" s="64">
        <v>38.229999999999997</v>
      </c>
      <c r="D98" s="64">
        <v>42.71</v>
      </c>
      <c r="E98" s="64">
        <v>1.57</v>
      </c>
      <c r="F98" s="64">
        <v>3.54</v>
      </c>
      <c r="G98" s="64">
        <v>57.92</v>
      </c>
      <c r="H98" s="64">
        <v>19</v>
      </c>
      <c r="I98" s="64">
        <v>7.5</v>
      </c>
      <c r="J98" s="64">
        <v>0.2</v>
      </c>
      <c r="K98" s="64">
        <v>329.55</v>
      </c>
      <c r="L98" s="64">
        <v>21.31</v>
      </c>
      <c r="M98" s="64">
        <v>92.04</v>
      </c>
      <c r="N98" s="64">
        <v>21.2</v>
      </c>
      <c r="O98" s="64">
        <v>0</v>
      </c>
      <c r="P98" s="64">
        <v>0.88</v>
      </c>
      <c r="Q98" s="64">
        <v>9.67</v>
      </c>
      <c r="R98" s="198"/>
      <c r="S98" s="198"/>
      <c r="T98" s="198"/>
      <c r="U98" s="198"/>
    </row>
    <row r="99" spans="1:33" s="12" customFormat="1" x14ac:dyDescent="0.25">
      <c r="A99" s="214" t="s">
        <v>1106</v>
      </c>
      <c r="B99" s="64">
        <v>31.85</v>
      </c>
      <c r="C99" s="64">
        <v>37.86</v>
      </c>
      <c r="D99" s="64">
        <v>45.25</v>
      </c>
      <c r="E99" s="64">
        <v>1.77</v>
      </c>
      <c r="F99" s="64">
        <v>3.22</v>
      </c>
      <c r="G99" s="64">
        <v>57.92</v>
      </c>
      <c r="H99" s="64">
        <v>19</v>
      </c>
      <c r="I99" s="64">
        <v>7.88</v>
      </c>
      <c r="J99" s="64">
        <v>0.06</v>
      </c>
      <c r="K99" s="64">
        <v>141.69</v>
      </c>
      <c r="L99" s="64">
        <v>21.21</v>
      </c>
      <c r="M99" s="64">
        <v>92.68</v>
      </c>
      <c r="N99" s="64">
        <v>21</v>
      </c>
      <c r="O99" s="64">
        <v>0</v>
      </c>
      <c r="P99" s="64">
        <v>0.93</v>
      </c>
      <c r="Q99" s="64">
        <v>9.58</v>
      </c>
      <c r="R99" s="198"/>
      <c r="S99" s="198"/>
      <c r="T99" s="198"/>
      <c r="U99" s="198"/>
    </row>
    <row r="100" spans="1:33" s="12" customFormat="1" x14ac:dyDescent="0.25">
      <c r="A100" s="214" t="s">
        <v>1107</v>
      </c>
      <c r="B100" s="64">
        <v>35.659999999999997</v>
      </c>
      <c r="C100" s="64">
        <v>37.119999999999997</v>
      </c>
      <c r="D100" s="64">
        <v>47.91</v>
      </c>
      <c r="E100" s="64">
        <v>1.5</v>
      </c>
      <c r="F100" s="64">
        <v>3.51</v>
      </c>
      <c r="G100" s="64">
        <v>58.69</v>
      </c>
      <c r="H100" s="64">
        <v>19.149999999999999</v>
      </c>
      <c r="I100" s="64">
        <v>8.31</v>
      </c>
      <c r="J100" s="64">
        <v>0.14000000000000001</v>
      </c>
      <c r="K100" s="64">
        <v>39.4</v>
      </c>
      <c r="L100" s="64">
        <v>21.27</v>
      </c>
      <c r="M100" s="64">
        <v>95.07</v>
      </c>
      <c r="N100" s="64">
        <v>21</v>
      </c>
      <c r="O100" s="64">
        <v>0</v>
      </c>
      <c r="P100" s="64">
        <v>0.99</v>
      </c>
      <c r="Q100" s="64">
        <v>9.51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1108</v>
      </c>
      <c r="B101" s="64">
        <v>39.090000000000003</v>
      </c>
      <c r="C101" s="64">
        <v>37.159999999999997</v>
      </c>
      <c r="D101" s="64">
        <v>50.68</v>
      </c>
      <c r="E101" s="64">
        <v>1.97</v>
      </c>
      <c r="F101" s="64">
        <v>3.07</v>
      </c>
      <c r="G101" s="64">
        <v>69.45</v>
      </c>
      <c r="H101" s="64">
        <v>21.25</v>
      </c>
      <c r="I101" s="64">
        <v>8.6199999999999992</v>
      </c>
      <c r="J101" s="64">
        <v>0.14000000000000001</v>
      </c>
      <c r="K101" s="64">
        <v>326.26</v>
      </c>
      <c r="L101" s="64">
        <v>21.38</v>
      </c>
      <c r="M101" s="64">
        <v>94.15</v>
      </c>
      <c r="N101" s="64">
        <v>21.1</v>
      </c>
      <c r="O101" s="64">
        <v>0</v>
      </c>
      <c r="P101" s="64">
        <v>1.03</v>
      </c>
      <c r="Q101" s="64">
        <v>9.65</v>
      </c>
      <c r="R101" s="198"/>
      <c r="S101" s="198"/>
      <c r="T101" s="198"/>
      <c r="U101" s="198"/>
    </row>
    <row r="102" spans="1:33" s="12" customFormat="1" x14ac:dyDescent="0.25">
      <c r="A102" s="214" t="s">
        <v>1109</v>
      </c>
      <c r="B102" s="64">
        <v>43.79</v>
      </c>
      <c r="C102" s="64">
        <v>37.1</v>
      </c>
      <c r="D102" s="64">
        <v>54.42</v>
      </c>
      <c r="E102" s="64">
        <v>1.91</v>
      </c>
      <c r="F102" s="64">
        <v>3.37</v>
      </c>
      <c r="G102" s="64">
        <v>69.45</v>
      </c>
      <c r="H102" s="64">
        <v>21.25</v>
      </c>
      <c r="I102" s="64">
        <v>8.93</v>
      </c>
      <c r="J102" s="64">
        <v>0.12</v>
      </c>
      <c r="K102" s="64">
        <v>25.51</v>
      </c>
      <c r="L102" s="64">
        <v>21.39</v>
      </c>
      <c r="M102" s="64">
        <v>96.12</v>
      </c>
      <c r="N102" s="64">
        <v>21.4</v>
      </c>
      <c r="O102" s="64">
        <v>0</v>
      </c>
      <c r="P102" s="64">
        <v>1.1000000000000001</v>
      </c>
      <c r="Q102" s="64">
        <v>9.7799999999999994</v>
      </c>
      <c r="R102" s="198"/>
      <c r="S102" s="198"/>
      <c r="T102" s="198"/>
      <c r="U102" s="198"/>
    </row>
    <row r="103" spans="1:33" s="12" customFormat="1" x14ac:dyDescent="0.25">
      <c r="A103" s="214" t="s">
        <v>1110</v>
      </c>
      <c r="B103" s="64">
        <v>49.39</v>
      </c>
      <c r="C103" s="64">
        <v>38.07</v>
      </c>
      <c r="D103" s="64">
        <v>59.42</v>
      </c>
      <c r="E103" s="64">
        <v>2.3199999999999998</v>
      </c>
      <c r="F103" s="64">
        <v>3.28</v>
      </c>
      <c r="G103" s="64">
        <v>69.45</v>
      </c>
      <c r="H103" s="64">
        <v>21.25</v>
      </c>
      <c r="I103" s="64">
        <v>9.25</v>
      </c>
      <c r="J103" s="64">
        <v>0.05</v>
      </c>
      <c r="K103" s="64">
        <v>6.62</v>
      </c>
      <c r="L103" s="64">
        <v>21.53</v>
      </c>
      <c r="M103" s="64">
        <v>93.84</v>
      </c>
      <c r="N103" s="64">
        <v>21.1</v>
      </c>
      <c r="O103" s="64">
        <v>0</v>
      </c>
      <c r="P103" s="64">
        <v>1.2</v>
      </c>
      <c r="Q103" s="64">
        <v>9.92</v>
      </c>
      <c r="R103" s="198"/>
      <c r="S103" s="198"/>
      <c r="T103" s="198"/>
      <c r="U103" s="198"/>
    </row>
    <row r="104" spans="1:33" s="12" customFormat="1" x14ac:dyDescent="0.25">
      <c r="A104" s="214" t="s">
        <v>1111</v>
      </c>
      <c r="B104" s="64">
        <v>53.52</v>
      </c>
      <c r="C104" s="64">
        <v>38.119999999999997</v>
      </c>
      <c r="D104" s="64">
        <v>62.76</v>
      </c>
      <c r="E104" s="64">
        <v>1.77</v>
      </c>
      <c r="F104" s="64">
        <v>3.12</v>
      </c>
      <c r="G104" s="64">
        <v>69.94</v>
      </c>
      <c r="H104" s="64">
        <v>21.46</v>
      </c>
      <c r="I104" s="64">
        <v>9.2899999999999991</v>
      </c>
      <c r="J104" s="64">
        <v>0.08</v>
      </c>
      <c r="K104" s="64">
        <v>285.39</v>
      </c>
      <c r="L104" s="64">
        <v>21.56</v>
      </c>
      <c r="M104" s="64">
        <v>96.78</v>
      </c>
      <c r="N104" s="64">
        <v>21.3</v>
      </c>
      <c r="O104" s="64">
        <v>0</v>
      </c>
      <c r="P104" s="64">
        <v>1.27</v>
      </c>
      <c r="Q104" s="64">
        <v>9.8800000000000008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24.94</v>
      </c>
      <c r="D106" s="67">
        <f t="shared" ref="D106:Q106" si="0">MIN(D9:D104)</f>
        <v>13.03</v>
      </c>
      <c r="E106" s="67">
        <f t="shared" si="0"/>
        <v>0.32</v>
      </c>
      <c r="F106" s="67">
        <f t="shared" si="0"/>
        <v>2.65</v>
      </c>
      <c r="G106" s="67">
        <f t="shared" si="0"/>
        <v>18.91</v>
      </c>
      <c r="H106" s="67">
        <f t="shared" si="0"/>
        <v>3.89</v>
      </c>
      <c r="I106" s="67">
        <f t="shared" si="0"/>
        <v>3.3</v>
      </c>
      <c r="J106" s="67">
        <f t="shared" si="0"/>
        <v>0.03</v>
      </c>
      <c r="K106" s="67">
        <f t="shared" si="0"/>
        <v>6.62</v>
      </c>
      <c r="L106" s="67">
        <f t="shared" si="0"/>
        <v>15.86</v>
      </c>
      <c r="M106" s="67">
        <f t="shared" si="0"/>
        <v>42.23</v>
      </c>
      <c r="N106" s="67">
        <f t="shared" si="0"/>
        <v>16.2</v>
      </c>
      <c r="O106" s="67">
        <f t="shared" si="0"/>
        <v>0</v>
      </c>
      <c r="P106" s="67">
        <f t="shared" si="0"/>
        <v>0.24</v>
      </c>
      <c r="Q106" s="67">
        <f t="shared" si="0"/>
        <v>9.14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53.52</v>
      </c>
      <c r="C107" s="66">
        <f t="shared" ref="C107:Q107" si="1">MAX(C9:C104)</f>
        <v>46.86</v>
      </c>
      <c r="D107" s="66">
        <f t="shared" si="1"/>
        <v>62.76</v>
      </c>
      <c r="E107" s="66">
        <f t="shared" si="1"/>
        <v>12.81</v>
      </c>
      <c r="F107" s="66">
        <f t="shared" si="1"/>
        <v>225.58</v>
      </c>
      <c r="G107" s="66">
        <f t="shared" si="1"/>
        <v>69.94</v>
      </c>
      <c r="H107" s="66">
        <f t="shared" si="1"/>
        <v>21.46</v>
      </c>
      <c r="I107" s="66">
        <f t="shared" si="1"/>
        <v>13.78</v>
      </c>
      <c r="J107" s="66">
        <f t="shared" si="1"/>
        <v>2.52</v>
      </c>
      <c r="K107" s="66">
        <f t="shared" si="1"/>
        <v>350.73</v>
      </c>
      <c r="L107" s="66">
        <f t="shared" si="1"/>
        <v>28.66</v>
      </c>
      <c r="M107" s="66">
        <f t="shared" si="1"/>
        <v>97.83</v>
      </c>
      <c r="N107" s="66">
        <f t="shared" si="1"/>
        <v>894.1</v>
      </c>
      <c r="O107" s="66">
        <f t="shared" si="1"/>
        <v>8</v>
      </c>
      <c r="P107" s="66">
        <f t="shared" si="1"/>
        <v>1.27</v>
      </c>
      <c r="Q107" s="66">
        <f t="shared" si="1"/>
        <v>9.92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5.4702150537634413</v>
      </c>
      <c r="C108" s="67">
        <f t="shared" ref="C108:Q108" si="2">AVERAGE(C9:C104)</f>
        <v>37.122258064516124</v>
      </c>
      <c r="D108" s="67">
        <f t="shared" si="2"/>
        <v>23.701505376344095</v>
      </c>
      <c r="E108" s="67">
        <f t="shared" si="2"/>
        <v>1.6607526881720429</v>
      </c>
      <c r="F108" s="67">
        <f t="shared" si="2"/>
        <v>6.6814583333333344</v>
      </c>
      <c r="G108" s="67">
        <f t="shared" si="2"/>
        <v>30.824772727272713</v>
      </c>
      <c r="H108" s="67">
        <f t="shared" si="2"/>
        <v>10.617499999999994</v>
      </c>
      <c r="I108" s="67">
        <f t="shared" si="2"/>
        <v>6.3992708333333317</v>
      </c>
      <c r="J108" s="67">
        <f t="shared" si="2"/>
        <v>0.71177083333333346</v>
      </c>
      <c r="K108" s="67">
        <f t="shared" si="2"/>
        <v>168.17531249999999</v>
      </c>
      <c r="L108" s="67">
        <f t="shared" si="2"/>
        <v>22.326875000000012</v>
      </c>
      <c r="M108" s="67">
        <f t="shared" si="2"/>
        <v>75.410729166666641</v>
      </c>
      <c r="N108" s="67">
        <f t="shared" si="2"/>
        <v>177.85104166666659</v>
      </c>
      <c r="O108" s="67">
        <f t="shared" si="2"/>
        <v>0.22083333333333333</v>
      </c>
      <c r="P108" s="67">
        <f t="shared" si="2"/>
        <v>0.40375000000000005</v>
      </c>
      <c r="Q108" s="67">
        <f t="shared" si="2"/>
        <v>9.3736458333333328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11.357598775852631</v>
      </c>
      <c r="C109" s="67">
        <f t="shared" ref="C109:Q109" si="3">STDEV(C9:C104)</f>
        <v>5.1491647969929373</v>
      </c>
      <c r="D109" s="67">
        <f t="shared" si="3"/>
        <v>9.8022517317990392</v>
      </c>
      <c r="E109" s="67">
        <f t="shared" si="3"/>
        <v>1.574799667424359</v>
      </c>
      <c r="F109" s="67">
        <f t="shared" si="3"/>
        <v>22.619472094876066</v>
      </c>
      <c r="G109" s="67">
        <f t="shared" si="3"/>
        <v>13.722219750837805</v>
      </c>
      <c r="H109" s="67">
        <f t="shared" si="3"/>
        <v>4.6831186804001375</v>
      </c>
      <c r="I109" s="67">
        <f t="shared" si="3"/>
        <v>2.3002888810763613</v>
      </c>
      <c r="J109" s="67">
        <f t="shared" si="3"/>
        <v>0.56894545995508972</v>
      </c>
      <c r="K109" s="67">
        <f t="shared" si="3"/>
        <v>82.608489712213583</v>
      </c>
      <c r="L109" s="67">
        <f t="shared" si="3"/>
        <v>3.8982987686262782</v>
      </c>
      <c r="M109" s="67">
        <f t="shared" si="3"/>
        <v>18.140047655295966</v>
      </c>
      <c r="N109" s="67">
        <f t="shared" si="3"/>
        <v>249.60167762374465</v>
      </c>
      <c r="O109" s="67">
        <f t="shared" si="3"/>
        <v>1.1070983093956319</v>
      </c>
      <c r="P109" s="67">
        <f t="shared" si="3"/>
        <v>0.22953614553107565</v>
      </c>
      <c r="Q109" s="67">
        <f t="shared" si="3"/>
        <v>0.151547246700348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</f>
        <v>96</v>
      </c>
      <c r="C110" s="66">
        <f>COUNT(C9:C104)+3</f>
        <v>96</v>
      </c>
      <c r="D110" s="66">
        <f>COUNT(D9:D104)+3</f>
        <v>96</v>
      </c>
      <c r="E110" s="66">
        <f>COUNT(E9:E104)+3</f>
        <v>96</v>
      </c>
      <c r="F110" s="66">
        <f t="shared" ref="F110:Q110" si="4">COUNT(F9:F104)</f>
        <v>96</v>
      </c>
      <c r="G110" s="66">
        <f>COUNT(G9:G104)+8</f>
        <v>96</v>
      </c>
      <c r="H110" s="66">
        <f>COUNT(H9:H104)+8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1112</v>
      </c>
      <c r="B9" s="64">
        <v>55.69</v>
      </c>
      <c r="C9" s="64">
        <v>37.69</v>
      </c>
      <c r="D9" s="64">
        <v>64.27</v>
      </c>
      <c r="E9" s="64">
        <v>2.12</v>
      </c>
      <c r="F9" s="64">
        <v>3.35</v>
      </c>
      <c r="G9" s="64">
        <v>76.73</v>
      </c>
      <c r="H9" s="64">
        <v>24.37</v>
      </c>
      <c r="I9" s="64">
        <v>9.3000000000000007</v>
      </c>
      <c r="J9" s="64">
        <v>0.18</v>
      </c>
      <c r="K9" s="64">
        <v>226.68</v>
      </c>
      <c r="L9" s="64">
        <v>21.92</v>
      </c>
      <c r="M9" s="64">
        <v>90.92</v>
      </c>
      <c r="N9" s="64">
        <v>20.8</v>
      </c>
      <c r="O9" s="64">
        <v>0</v>
      </c>
      <c r="P9" s="64">
        <v>1.31</v>
      </c>
      <c r="Q9" s="64">
        <v>9.73</v>
      </c>
      <c r="R9" s="198"/>
      <c r="S9" s="198"/>
      <c r="T9" s="198"/>
      <c r="U9" s="198"/>
    </row>
    <row r="10" spans="1:21" s="12" customFormat="1" x14ac:dyDescent="0.25">
      <c r="A10" s="214" t="s">
        <v>1113</v>
      </c>
      <c r="B10" s="64">
        <v>56.07</v>
      </c>
      <c r="C10" s="64">
        <v>37.56</v>
      </c>
      <c r="D10" s="64">
        <v>64.510000000000005</v>
      </c>
      <c r="E10" s="64">
        <v>2</v>
      </c>
      <c r="F10" s="64">
        <v>3.58</v>
      </c>
      <c r="G10" s="64">
        <v>76.73</v>
      </c>
      <c r="H10" s="64">
        <v>24.37</v>
      </c>
      <c r="I10" s="64">
        <v>9.48</v>
      </c>
      <c r="J10" s="64">
        <v>0.31</v>
      </c>
      <c r="K10" s="64">
        <v>216.7</v>
      </c>
      <c r="L10" s="64">
        <v>22.29</v>
      </c>
      <c r="M10" s="64">
        <v>88.76</v>
      </c>
      <c r="N10" s="64">
        <v>20.8</v>
      </c>
      <c r="O10" s="64">
        <v>0</v>
      </c>
      <c r="P10" s="64">
        <v>1.34</v>
      </c>
      <c r="Q10" s="64">
        <v>9.99</v>
      </c>
      <c r="R10" s="198"/>
      <c r="S10" s="198"/>
      <c r="T10" s="198"/>
      <c r="U10" s="198"/>
    </row>
    <row r="11" spans="1:21" s="12" customFormat="1" x14ac:dyDescent="0.25">
      <c r="A11" s="214" t="s">
        <v>1114</v>
      </c>
      <c r="B11" s="64">
        <v>55.57</v>
      </c>
      <c r="C11" s="64">
        <v>36.950000000000003</v>
      </c>
      <c r="D11" s="64">
        <v>63.79</v>
      </c>
      <c r="E11" s="64">
        <v>2.2999999999999998</v>
      </c>
      <c r="F11" s="64">
        <v>3.2</v>
      </c>
      <c r="G11" s="64">
        <v>76.73</v>
      </c>
      <c r="H11" s="64">
        <v>24.37</v>
      </c>
      <c r="I11" s="64">
        <v>9.68</v>
      </c>
      <c r="J11" s="64">
        <v>0.04</v>
      </c>
      <c r="K11" s="64">
        <v>329.2</v>
      </c>
      <c r="L11" s="64">
        <v>22.08</v>
      </c>
      <c r="M11" s="64">
        <v>89.82</v>
      </c>
      <c r="N11" s="64">
        <v>21.4</v>
      </c>
      <c r="O11" s="64">
        <v>0</v>
      </c>
      <c r="P11" s="64">
        <v>1.34</v>
      </c>
      <c r="Q11" s="64">
        <v>10.07</v>
      </c>
      <c r="R11" s="198"/>
      <c r="S11" s="198"/>
      <c r="T11" s="198"/>
      <c r="U11" s="198"/>
    </row>
    <row r="12" spans="1:21" s="12" customFormat="1" x14ac:dyDescent="0.25">
      <c r="A12" s="214" t="s">
        <v>1115</v>
      </c>
      <c r="B12" s="64">
        <v>53.78</v>
      </c>
      <c r="C12" s="64">
        <v>35.909999999999997</v>
      </c>
      <c r="D12" s="64">
        <v>61.81</v>
      </c>
      <c r="E12" s="64">
        <v>2.31</v>
      </c>
      <c r="F12" s="64">
        <v>3.43</v>
      </c>
      <c r="G12" s="64">
        <v>76.73</v>
      </c>
      <c r="H12" s="64">
        <v>24.48</v>
      </c>
      <c r="I12" s="64">
        <v>9.8699999999999992</v>
      </c>
      <c r="J12" s="64">
        <v>0.22</v>
      </c>
      <c r="K12" s="64">
        <v>327.66000000000003</v>
      </c>
      <c r="L12" s="64">
        <v>21.84</v>
      </c>
      <c r="M12" s="64">
        <v>90.98</v>
      </c>
      <c r="N12" s="64">
        <v>21.5</v>
      </c>
      <c r="O12" s="64">
        <v>0</v>
      </c>
      <c r="P12" s="64">
        <v>1.31</v>
      </c>
      <c r="Q12" s="64">
        <v>9.8000000000000007</v>
      </c>
      <c r="R12" s="198"/>
      <c r="S12" s="198"/>
      <c r="T12" s="198"/>
      <c r="U12" s="198"/>
    </row>
    <row r="13" spans="1:21" s="12" customFormat="1" x14ac:dyDescent="0.25">
      <c r="A13" s="214" t="s">
        <v>1116</v>
      </c>
      <c r="B13" s="64">
        <v>51.45</v>
      </c>
      <c r="C13" s="64">
        <v>35.18</v>
      </c>
      <c r="D13" s="64">
        <v>59.56</v>
      </c>
      <c r="E13" s="64">
        <v>2.09</v>
      </c>
      <c r="F13" s="64">
        <v>3.22</v>
      </c>
      <c r="G13" s="64">
        <v>76.83</v>
      </c>
      <c r="H13" s="64">
        <v>26.07</v>
      </c>
      <c r="I13" s="64">
        <v>9.81</v>
      </c>
      <c r="J13" s="64">
        <v>0.35</v>
      </c>
      <c r="K13" s="64">
        <v>261.58999999999997</v>
      </c>
      <c r="L13" s="64">
        <v>21.8</v>
      </c>
      <c r="M13" s="64">
        <v>88.65</v>
      </c>
      <c r="N13" s="64">
        <v>20.8</v>
      </c>
      <c r="O13" s="64">
        <v>0</v>
      </c>
      <c r="P13" s="64">
        <v>1.1200000000000001</v>
      </c>
      <c r="Q13" s="64">
        <v>9.94</v>
      </c>
      <c r="R13" s="198"/>
      <c r="S13" s="198"/>
      <c r="T13" s="198"/>
      <c r="U13" s="198"/>
    </row>
    <row r="14" spans="1:21" s="12" customFormat="1" x14ac:dyDescent="0.25">
      <c r="A14" s="214" t="s">
        <v>1117</v>
      </c>
      <c r="B14" s="64">
        <v>48.6</v>
      </c>
      <c r="C14" s="64">
        <v>35.36</v>
      </c>
      <c r="D14" s="64">
        <v>57.37</v>
      </c>
      <c r="E14" s="64">
        <v>2.1</v>
      </c>
      <c r="F14" s="64">
        <v>3.1</v>
      </c>
      <c r="G14" s="64">
        <v>76.83</v>
      </c>
      <c r="H14" s="64">
        <v>26.07</v>
      </c>
      <c r="I14" s="64">
        <v>9.6</v>
      </c>
      <c r="J14" s="64">
        <v>0.34</v>
      </c>
      <c r="K14" s="64">
        <v>318.92</v>
      </c>
      <c r="L14" s="64">
        <v>22.02</v>
      </c>
      <c r="M14" s="64">
        <v>82.91</v>
      </c>
      <c r="N14" s="64">
        <v>21.3</v>
      </c>
      <c r="O14" s="64">
        <v>0</v>
      </c>
      <c r="P14" s="64">
        <v>1.1399999999999999</v>
      </c>
      <c r="Q14" s="64">
        <v>9.9</v>
      </c>
      <c r="R14" s="198"/>
      <c r="S14" s="198"/>
      <c r="T14" s="198"/>
      <c r="U14" s="198"/>
    </row>
    <row r="15" spans="1:21" s="12" customFormat="1" x14ac:dyDescent="0.25">
      <c r="A15" s="214" t="s">
        <v>1118</v>
      </c>
      <c r="B15" s="64">
        <v>45.38</v>
      </c>
      <c r="C15" s="64">
        <v>34.880000000000003</v>
      </c>
      <c r="D15" s="64">
        <v>54.53</v>
      </c>
      <c r="E15" s="64">
        <v>1.96</v>
      </c>
      <c r="F15" s="64">
        <v>2.8</v>
      </c>
      <c r="G15" s="64">
        <v>76.83</v>
      </c>
      <c r="H15" s="64">
        <v>26.07</v>
      </c>
      <c r="I15" s="64">
        <v>9.4</v>
      </c>
      <c r="J15" s="64">
        <v>0.32</v>
      </c>
      <c r="K15" s="64">
        <v>319.20999999999998</v>
      </c>
      <c r="L15" s="64">
        <v>21.76</v>
      </c>
      <c r="M15" s="64">
        <v>82.03</v>
      </c>
      <c r="N15" s="64">
        <v>21.5</v>
      </c>
      <c r="O15" s="64">
        <v>0</v>
      </c>
      <c r="P15" s="64">
        <v>1.0900000000000001</v>
      </c>
      <c r="Q15" s="64">
        <v>9.82</v>
      </c>
      <c r="R15" s="198"/>
      <c r="S15" s="198"/>
      <c r="T15" s="198"/>
      <c r="U15" s="198"/>
    </row>
    <row r="16" spans="1:21" s="12" customFormat="1" x14ac:dyDescent="0.25">
      <c r="A16" s="214" t="s">
        <v>1119</v>
      </c>
      <c r="B16" s="64">
        <v>42.01</v>
      </c>
      <c r="C16" s="64">
        <v>37.51</v>
      </c>
      <c r="D16" s="64">
        <v>53.21</v>
      </c>
      <c r="E16" s="64">
        <v>1.96</v>
      </c>
      <c r="F16" s="64">
        <v>3.01</v>
      </c>
      <c r="G16" s="64">
        <v>75.97</v>
      </c>
      <c r="H16" s="64">
        <v>25.69</v>
      </c>
      <c r="I16" s="64">
        <v>9.0299999999999994</v>
      </c>
      <c r="J16" s="64">
        <v>0.51</v>
      </c>
      <c r="K16" s="64">
        <v>306</v>
      </c>
      <c r="L16" s="64">
        <v>21.3</v>
      </c>
      <c r="M16" s="64">
        <v>86.01</v>
      </c>
      <c r="N16" s="64">
        <v>20.5</v>
      </c>
      <c r="O16" s="64">
        <v>0.2</v>
      </c>
      <c r="P16" s="64">
        <v>1.03</v>
      </c>
      <c r="Q16" s="64">
        <v>9.91</v>
      </c>
      <c r="R16" s="198"/>
      <c r="S16" s="198"/>
      <c r="T16" s="198"/>
      <c r="U16" s="198"/>
    </row>
    <row r="17" spans="1:21" s="12" customFormat="1" x14ac:dyDescent="0.25">
      <c r="A17" s="214" t="s">
        <v>1120</v>
      </c>
      <c r="B17" s="64">
        <v>38.32</v>
      </c>
      <c r="C17" s="64">
        <v>42.2</v>
      </c>
      <c r="D17" s="64">
        <v>52.69</v>
      </c>
      <c r="E17" s="64">
        <v>2.0099999999999998</v>
      </c>
      <c r="F17" s="64">
        <v>3.45</v>
      </c>
      <c r="G17" s="64">
        <v>61.29</v>
      </c>
      <c r="H17" s="64">
        <v>19.25</v>
      </c>
      <c r="I17" s="64">
        <v>8.4</v>
      </c>
      <c r="J17" s="64">
        <v>1.59</v>
      </c>
      <c r="K17" s="64">
        <v>302.16000000000003</v>
      </c>
      <c r="L17" s="64">
        <v>20.86</v>
      </c>
      <c r="M17" s="64">
        <v>90.94</v>
      </c>
      <c r="N17" s="64">
        <v>20.7</v>
      </c>
      <c r="O17" s="64">
        <v>0</v>
      </c>
      <c r="P17" s="64">
        <v>0.97</v>
      </c>
      <c r="Q17" s="64">
        <v>9.7200000000000006</v>
      </c>
      <c r="R17" s="198"/>
      <c r="S17" s="198"/>
      <c r="T17" s="198"/>
      <c r="U17" s="198"/>
    </row>
    <row r="18" spans="1:21" s="12" customFormat="1" x14ac:dyDescent="0.25">
      <c r="A18" s="214" t="s">
        <v>1121</v>
      </c>
      <c r="B18" s="64">
        <v>31.57</v>
      </c>
      <c r="C18" s="64">
        <v>43.91</v>
      </c>
      <c r="D18" s="64">
        <v>48.18</v>
      </c>
      <c r="E18" s="64">
        <v>2.0699999999999998</v>
      </c>
      <c r="F18" s="64">
        <v>3.5</v>
      </c>
      <c r="G18" s="64">
        <v>61.29</v>
      </c>
      <c r="H18" s="64">
        <v>19.25</v>
      </c>
      <c r="I18" s="64">
        <v>8.2799999999999994</v>
      </c>
      <c r="J18" s="64">
        <v>1.69</v>
      </c>
      <c r="K18" s="64">
        <v>313.91000000000003</v>
      </c>
      <c r="L18" s="64">
        <v>20.149999999999999</v>
      </c>
      <c r="M18" s="64">
        <v>95.95</v>
      </c>
      <c r="N18" s="64">
        <v>21.1</v>
      </c>
      <c r="O18" s="64">
        <v>0</v>
      </c>
      <c r="P18" s="64">
        <v>0.87</v>
      </c>
      <c r="Q18" s="64">
        <v>9.5500000000000007</v>
      </c>
      <c r="R18" s="198"/>
      <c r="S18" s="198"/>
      <c r="T18" s="198"/>
      <c r="U18" s="198"/>
    </row>
    <row r="19" spans="1:21" s="12" customFormat="1" x14ac:dyDescent="0.25">
      <c r="A19" s="214" t="s">
        <v>1122</v>
      </c>
      <c r="B19" s="64">
        <v>25.79</v>
      </c>
      <c r="C19" s="64">
        <v>44.8</v>
      </c>
      <c r="D19" s="64">
        <v>44</v>
      </c>
      <c r="E19" s="64">
        <v>1.62</v>
      </c>
      <c r="F19" s="64">
        <v>3.41</v>
      </c>
      <c r="G19" s="64">
        <v>61.29</v>
      </c>
      <c r="H19" s="64">
        <v>19.25</v>
      </c>
      <c r="I19" s="64">
        <v>8.17</v>
      </c>
      <c r="J19" s="64">
        <v>1.63</v>
      </c>
      <c r="K19" s="64">
        <v>315.83999999999997</v>
      </c>
      <c r="L19" s="64">
        <v>19.89</v>
      </c>
      <c r="M19" s="64">
        <v>96.37</v>
      </c>
      <c r="N19" s="64">
        <v>21.3</v>
      </c>
      <c r="O19" s="64">
        <v>0</v>
      </c>
      <c r="P19" s="64">
        <v>0.79</v>
      </c>
      <c r="Q19" s="64">
        <v>9.35</v>
      </c>
      <c r="R19" s="198"/>
      <c r="S19" s="198"/>
      <c r="T19" s="198"/>
      <c r="U19" s="198"/>
    </row>
    <row r="20" spans="1:21" s="12" customFormat="1" x14ac:dyDescent="0.25">
      <c r="A20" s="214" t="s">
        <v>1123</v>
      </c>
      <c r="B20" s="64">
        <v>21.54</v>
      </c>
      <c r="C20" s="64">
        <v>44.45</v>
      </c>
      <c r="D20" s="64">
        <v>40.42</v>
      </c>
      <c r="E20" s="64">
        <v>1.45</v>
      </c>
      <c r="F20" s="64">
        <v>2.76</v>
      </c>
      <c r="G20" s="64">
        <v>60.42</v>
      </c>
      <c r="H20" s="64">
        <v>19.170000000000002</v>
      </c>
      <c r="I20" s="64">
        <v>7.64</v>
      </c>
      <c r="J20" s="64">
        <v>1.24</v>
      </c>
      <c r="K20" s="64">
        <v>323.56</v>
      </c>
      <c r="L20" s="64">
        <v>19.61</v>
      </c>
      <c r="M20" s="64">
        <v>97.22</v>
      </c>
      <c r="N20" s="64">
        <v>20.7</v>
      </c>
      <c r="O20" s="64">
        <v>0</v>
      </c>
      <c r="P20" s="64">
        <v>0.74</v>
      </c>
      <c r="Q20" s="64">
        <v>9.4499999999999993</v>
      </c>
      <c r="R20" s="198"/>
      <c r="S20" s="198"/>
      <c r="T20" s="198"/>
      <c r="U20" s="198"/>
    </row>
    <row r="21" spans="1:21" s="12" customFormat="1" x14ac:dyDescent="0.25">
      <c r="A21" s="214" t="s">
        <v>1124</v>
      </c>
      <c r="B21" s="64">
        <v>18.8</v>
      </c>
      <c r="C21" s="64">
        <v>43.45</v>
      </c>
      <c r="D21" s="64">
        <v>37.69</v>
      </c>
      <c r="E21" s="64">
        <v>1.36</v>
      </c>
      <c r="F21" s="64">
        <v>3.35</v>
      </c>
      <c r="G21" s="64">
        <v>45.6</v>
      </c>
      <c r="H21" s="64">
        <v>17.82</v>
      </c>
      <c r="I21" s="64">
        <v>7.09</v>
      </c>
      <c r="J21" s="64">
        <v>0.7</v>
      </c>
      <c r="K21" s="64">
        <v>314.77999999999997</v>
      </c>
      <c r="L21" s="64">
        <v>19.43</v>
      </c>
      <c r="M21" s="64">
        <v>97.34</v>
      </c>
      <c r="N21" s="64">
        <v>21.1</v>
      </c>
      <c r="O21" s="64">
        <v>0</v>
      </c>
      <c r="P21" s="64">
        <v>0.71</v>
      </c>
      <c r="Q21" s="64">
        <v>9.1999999999999993</v>
      </c>
      <c r="R21" s="198"/>
      <c r="S21" s="198"/>
      <c r="T21" s="198"/>
      <c r="U21" s="198"/>
    </row>
    <row r="22" spans="1:21" s="12" customFormat="1" x14ac:dyDescent="0.25">
      <c r="A22" s="214" t="s">
        <v>1125</v>
      </c>
      <c r="B22" s="64">
        <v>17.39</v>
      </c>
      <c r="C22" s="64">
        <v>42.43</v>
      </c>
      <c r="D22" s="64">
        <v>36.04</v>
      </c>
      <c r="E22" s="64">
        <v>1.61</v>
      </c>
      <c r="F22" s="64">
        <v>3.09</v>
      </c>
      <c r="G22" s="64">
        <v>45.6</v>
      </c>
      <c r="H22" s="64">
        <v>17.82</v>
      </c>
      <c r="I22" s="64">
        <v>6.65</v>
      </c>
      <c r="J22" s="64">
        <v>0.17</v>
      </c>
      <c r="K22" s="64">
        <v>225.05</v>
      </c>
      <c r="L22" s="64">
        <v>19.559999999999999</v>
      </c>
      <c r="M22" s="64">
        <v>94.86</v>
      </c>
      <c r="N22" s="64">
        <v>21.5</v>
      </c>
      <c r="O22" s="64">
        <v>0</v>
      </c>
      <c r="P22" s="64">
        <v>0.68</v>
      </c>
      <c r="Q22" s="64">
        <v>9.51</v>
      </c>
      <c r="R22" s="198"/>
      <c r="S22" s="198"/>
      <c r="T22" s="198"/>
      <c r="U22" s="198"/>
    </row>
    <row r="23" spans="1:21" s="12" customFormat="1" x14ac:dyDescent="0.25">
      <c r="A23" s="214" t="s">
        <v>1126</v>
      </c>
      <c r="B23" s="64">
        <v>16.73</v>
      </c>
      <c r="C23" s="64">
        <v>40.369999999999997</v>
      </c>
      <c r="D23" s="64">
        <v>34.43</v>
      </c>
      <c r="E23" s="64">
        <v>1.18</v>
      </c>
      <c r="F23" s="64">
        <v>3.32</v>
      </c>
      <c r="G23" s="64">
        <v>45.6</v>
      </c>
      <c r="H23" s="64">
        <v>17.82</v>
      </c>
      <c r="I23" s="64">
        <v>6.42</v>
      </c>
      <c r="J23" s="64">
        <v>0.23</v>
      </c>
      <c r="K23" s="64">
        <v>85.17</v>
      </c>
      <c r="L23" s="64">
        <v>19.93</v>
      </c>
      <c r="M23" s="64">
        <v>91.79</v>
      </c>
      <c r="N23" s="64">
        <v>21.5</v>
      </c>
      <c r="O23" s="64">
        <v>0</v>
      </c>
      <c r="P23" s="64">
        <v>0.66</v>
      </c>
      <c r="Q23" s="64">
        <v>9.41</v>
      </c>
      <c r="R23" s="198"/>
      <c r="S23" s="198"/>
      <c r="T23" s="198"/>
      <c r="U23" s="198"/>
    </row>
    <row r="24" spans="1:21" s="12" customFormat="1" x14ac:dyDescent="0.25">
      <c r="A24" s="214" t="s">
        <v>1127</v>
      </c>
      <c r="B24" s="64">
        <v>16.41</v>
      </c>
      <c r="C24" s="64">
        <v>37.57</v>
      </c>
      <c r="D24" s="64">
        <v>32.71</v>
      </c>
      <c r="E24" s="64">
        <v>2.02</v>
      </c>
      <c r="F24" s="64">
        <v>2.84</v>
      </c>
      <c r="G24" s="64">
        <v>44.87</v>
      </c>
      <c r="H24" s="64">
        <v>17.760000000000002</v>
      </c>
      <c r="I24" s="64">
        <v>6.31</v>
      </c>
      <c r="J24" s="64">
        <v>0.38</v>
      </c>
      <c r="K24" s="64">
        <v>73.53</v>
      </c>
      <c r="L24" s="64">
        <v>20</v>
      </c>
      <c r="M24" s="64">
        <v>90.81</v>
      </c>
      <c r="N24" s="64">
        <v>21.3</v>
      </c>
      <c r="O24" s="64">
        <v>0</v>
      </c>
      <c r="P24" s="64">
        <v>0.64</v>
      </c>
      <c r="Q24" s="64">
        <v>9.43</v>
      </c>
      <c r="R24" s="198"/>
      <c r="S24" s="198"/>
      <c r="T24" s="198"/>
      <c r="U24" s="198"/>
    </row>
    <row r="25" spans="1:21" s="12" customFormat="1" x14ac:dyDescent="0.25">
      <c r="A25" s="214" t="s">
        <v>1128</v>
      </c>
      <c r="B25" s="64">
        <v>15.9</v>
      </c>
      <c r="C25" s="64">
        <v>35.07</v>
      </c>
      <c r="D25" s="64">
        <v>30.99</v>
      </c>
      <c r="E25" s="64">
        <v>2.2000000000000002</v>
      </c>
      <c r="F25" s="64">
        <v>3.39</v>
      </c>
      <c r="G25" s="64">
        <v>34.65</v>
      </c>
      <c r="H25" s="64">
        <v>16.75</v>
      </c>
      <c r="I25" s="64">
        <v>6.34</v>
      </c>
      <c r="J25" s="64">
        <v>0.78</v>
      </c>
      <c r="K25" s="64">
        <v>132.96</v>
      </c>
      <c r="L25" s="64">
        <v>20.260000000000002</v>
      </c>
      <c r="M25" s="64">
        <v>87.44</v>
      </c>
      <c r="N25" s="64">
        <v>21.1</v>
      </c>
      <c r="O25" s="64">
        <v>0</v>
      </c>
      <c r="P25" s="64">
        <v>0.62</v>
      </c>
      <c r="Q25" s="64">
        <v>9.51</v>
      </c>
      <c r="R25" s="198"/>
      <c r="S25" s="198"/>
      <c r="T25" s="198"/>
      <c r="U25" s="198"/>
    </row>
    <row r="26" spans="1:21" s="12" customFormat="1" x14ac:dyDescent="0.25">
      <c r="A26" s="214" t="s">
        <v>1129</v>
      </c>
      <c r="B26" s="64">
        <v>14.89</v>
      </c>
      <c r="C26" s="64">
        <v>34.299999999999997</v>
      </c>
      <c r="D26" s="64">
        <v>29.78</v>
      </c>
      <c r="E26" s="64">
        <v>2.0099999999999998</v>
      </c>
      <c r="F26" s="64">
        <v>3.33</v>
      </c>
      <c r="G26" s="64">
        <v>34.65</v>
      </c>
      <c r="H26" s="64">
        <v>16.75</v>
      </c>
      <c r="I26" s="64">
        <v>6.44</v>
      </c>
      <c r="J26" s="64">
        <v>0.36</v>
      </c>
      <c r="K26" s="64">
        <v>165.91</v>
      </c>
      <c r="L26" s="64">
        <v>20.329999999999998</v>
      </c>
      <c r="M26" s="64">
        <v>87.78</v>
      </c>
      <c r="N26" s="64">
        <v>21.4</v>
      </c>
      <c r="O26" s="64">
        <v>0</v>
      </c>
      <c r="P26" s="64">
        <v>0.6</v>
      </c>
      <c r="Q26" s="64">
        <v>9.52</v>
      </c>
      <c r="R26" s="198"/>
      <c r="S26" s="198"/>
      <c r="T26" s="198"/>
      <c r="U26" s="198"/>
    </row>
    <row r="27" spans="1:21" s="12" customFormat="1" x14ac:dyDescent="0.25">
      <c r="A27" s="214" t="s">
        <v>1130</v>
      </c>
      <c r="B27" s="64">
        <v>13.93</v>
      </c>
      <c r="C27" s="64">
        <v>33.26</v>
      </c>
      <c r="D27" s="64">
        <v>28.47</v>
      </c>
      <c r="E27" s="64">
        <v>1.82</v>
      </c>
      <c r="F27" s="64">
        <v>3.2</v>
      </c>
      <c r="G27" s="64">
        <v>34.65</v>
      </c>
      <c r="H27" s="64">
        <v>16.75</v>
      </c>
      <c r="I27" s="64">
        <v>6.49</v>
      </c>
      <c r="J27" s="64">
        <v>0.45</v>
      </c>
      <c r="K27" s="64">
        <v>119.52</v>
      </c>
      <c r="L27" s="64">
        <v>20.260000000000002</v>
      </c>
      <c r="M27" s="64">
        <v>88.74</v>
      </c>
      <c r="N27" s="64">
        <v>21.4</v>
      </c>
      <c r="O27" s="64">
        <v>0</v>
      </c>
      <c r="P27" s="64">
        <v>0.57999999999999996</v>
      </c>
      <c r="Q27" s="64">
        <v>9.26</v>
      </c>
      <c r="R27" s="198"/>
      <c r="S27" s="198"/>
      <c r="T27" s="198"/>
      <c r="U27" s="198"/>
    </row>
    <row r="28" spans="1:21" s="12" customFormat="1" x14ac:dyDescent="0.25">
      <c r="A28" s="214" t="s">
        <v>1131</v>
      </c>
      <c r="B28" s="64">
        <v>13.15</v>
      </c>
      <c r="C28" s="64">
        <v>32.69</v>
      </c>
      <c r="D28" s="64">
        <v>27.55</v>
      </c>
      <c r="E28" s="64">
        <v>1.8</v>
      </c>
      <c r="F28" s="64">
        <v>3.27</v>
      </c>
      <c r="G28" s="64">
        <v>34.340000000000003</v>
      </c>
      <c r="H28" s="64">
        <v>16.61</v>
      </c>
      <c r="I28" s="64">
        <v>6.74</v>
      </c>
      <c r="J28" s="64">
        <v>0.51</v>
      </c>
      <c r="K28" s="64">
        <v>165.15</v>
      </c>
      <c r="L28" s="64">
        <v>20.07</v>
      </c>
      <c r="M28" s="64">
        <v>91.64</v>
      </c>
      <c r="N28" s="64">
        <v>21.2</v>
      </c>
      <c r="O28" s="64">
        <v>0</v>
      </c>
      <c r="P28" s="64">
        <v>0.56000000000000005</v>
      </c>
      <c r="Q28" s="64">
        <v>9.41</v>
      </c>
      <c r="R28" s="198"/>
      <c r="S28" s="198"/>
      <c r="T28" s="198"/>
      <c r="U28" s="198"/>
    </row>
    <row r="29" spans="1:21" s="12" customFormat="1" x14ac:dyDescent="0.25">
      <c r="A29" s="214" t="s">
        <v>1132</v>
      </c>
      <c r="B29" s="64">
        <v>12.51</v>
      </c>
      <c r="C29" s="64">
        <v>32.659999999999997</v>
      </c>
      <c r="D29" s="64">
        <v>27.02</v>
      </c>
      <c r="E29" s="64">
        <v>1.98</v>
      </c>
      <c r="F29" s="64">
        <v>3.11</v>
      </c>
      <c r="G29" s="64">
        <v>29.08</v>
      </c>
      <c r="H29" s="64">
        <v>14.63</v>
      </c>
      <c r="I29" s="64">
        <v>6.71</v>
      </c>
      <c r="J29" s="64">
        <v>0.46</v>
      </c>
      <c r="K29" s="64">
        <v>160.19999999999999</v>
      </c>
      <c r="L29" s="64">
        <v>19.91</v>
      </c>
      <c r="M29" s="64">
        <v>93.73</v>
      </c>
      <c r="N29" s="64">
        <v>21.3</v>
      </c>
      <c r="O29" s="64">
        <v>0</v>
      </c>
      <c r="P29" s="64">
        <v>0.54</v>
      </c>
      <c r="Q29" s="64">
        <v>9.48</v>
      </c>
      <c r="R29" s="198"/>
      <c r="S29" s="198"/>
      <c r="T29" s="198"/>
      <c r="U29" s="198"/>
    </row>
    <row r="30" spans="1:21" s="12" customFormat="1" x14ac:dyDescent="0.25">
      <c r="A30" s="214" t="s">
        <v>1133</v>
      </c>
      <c r="B30" s="64">
        <v>11.97</v>
      </c>
      <c r="C30" s="64">
        <v>32.22</v>
      </c>
      <c r="D30" s="64">
        <v>26.35</v>
      </c>
      <c r="E30" s="64">
        <v>1.6</v>
      </c>
      <c r="F30" s="64">
        <v>3.17</v>
      </c>
      <c r="G30" s="64">
        <v>29.08</v>
      </c>
      <c r="H30" s="64">
        <v>14.63</v>
      </c>
      <c r="I30" s="64">
        <v>6.57</v>
      </c>
      <c r="J30" s="64">
        <v>0.24</v>
      </c>
      <c r="K30" s="64">
        <v>85.42</v>
      </c>
      <c r="L30" s="64">
        <v>19.649999999999999</v>
      </c>
      <c r="M30" s="64">
        <v>96.03</v>
      </c>
      <c r="N30" s="64">
        <v>21.4</v>
      </c>
      <c r="O30" s="64">
        <v>0</v>
      </c>
      <c r="P30" s="64">
        <v>0.53</v>
      </c>
      <c r="Q30" s="64">
        <v>9.4600000000000009</v>
      </c>
      <c r="R30" s="198"/>
      <c r="S30" s="198"/>
      <c r="T30" s="198"/>
      <c r="U30" s="198"/>
    </row>
    <row r="31" spans="1:21" s="12" customFormat="1" x14ac:dyDescent="0.25">
      <c r="A31" s="214" t="s">
        <v>1134</v>
      </c>
      <c r="B31" s="64">
        <v>11.55</v>
      </c>
      <c r="C31" s="64">
        <v>31.78</v>
      </c>
      <c r="D31" s="64">
        <v>25.78</v>
      </c>
      <c r="E31" s="64">
        <v>1.67</v>
      </c>
      <c r="F31" s="64">
        <v>3.39</v>
      </c>
      <c r="G31" s="64">
        <v>29.08</v>
      </c>
      <c r="H31" s="64">
        <v>14.63</v>
      </c>
      <c r="I31" s="64">
        <v>6.51</v>
      </c>
      <c r="J31" s="64">
        <v>0.31</v>
      </c>
      <c r="K31" s="64">
        <v>171.38</v>
      </c>
      <c r="L31" s="64">
        <v>19.63</v>
      </c>
      <c r="M31" s="64">
        <v>96.38</v>
      </c>
      <c r="N31" s="64">
        <v>23.4</v>
      </c>
      <c r="O31" s="64">
        <v>0</v>
      </c>
      <c r="P31" s="64">
        <v>0.51</v>
      </c>
      <c r="Q31" s="64">
        <v>9.42</v>
      </c>
      <c r="R31" s="198"/>
      <c r="S31" s="198"/>
      <c r="T31" s="198"/>
      <c r="U31" s="198"/>
    </row>
    <row r="32" spans="1:21" s="12" customFormat="1" x14ac:dyDescent="0.25">
      <c r="A32" s="214" t="s">
        <v>1135</v>
      </c>
      <c r="B32" s="64">
        <v>11.09</v>
      </c>
      <c r="C32" s="64">
        <v>30.88</v>
      </c>
      <c r="D32" s="64">
        <v>24.95</v>
      </c>
      <c r="E32" s="64">
        <v>2.0499999999999998</v>
      </c>
      <c r="F32" s="64">
        <v>3.34</v>
      </c>
      <c r="G32" s="64">
        <v>28.9</v>
      </c>
      <c r="H32" s="64">
        <v>14.6</v>
      </c>
      <c r="I32" s="64">
        <v>6.31</v>
      </c>
      <c r="J32" s="64">
        <v>0.35</v>
      </c>
      <c r="K32" s="64">
        <v>174.56</v>
      </c>
      <c r="L32" s="64">
        <v>19.579999999999998</v>
      </c>
      <c r="M32" s="64">
        <v>97.02</v>
      </c>
      <c r="N32" s="64">
        <v>34.1</v>
      </c>
      <c r="O32" s="64">
        <v>0</v>
      </c>
      <c r="P32" s="64">
        <v>0.49</v>
      </c>
      <c r="Q32" s="64">
        <v>9.36</v>
      </c>
      <c r="R32" s="198"/>
      <c r="S32" s="198"/>
      <c r="T32" s="198"/>
      <c r="U32" s="198"/>
    </row>
    <row r="33" spans="1:21" s="12" customFormat="1" x14ac:dyDescent="0.25">
      <c r="A33" s="214" t="s">
        <v>1136</v>
      </c>
      <c r="B33" s="64">
        <v>10.77</v>
      </c>
      <c r="C33" s="64">
        <v>30.81</v>
      </c>
      <c r="D33" s="64">
        <v>24.65</v>
      </c>
      <c r="E33" s="64">
        <v>1.71</v>
      </c>
      <c r="F33" s="64">
        <v>3.4</v>
      </c>
      <c r="G33" s="64">
        <v>25.88</v>
      </c>
      <c r="H33" s="64">
        <v>13.99</v>
      </c>
      <c r="I33" s="64">
        <v>6.15</v>
      </c>
      <c r="J33" s="64">
        <v>1.0900000000000001</v>
      </c>
      <c r="K33" s="64">
        <v>156.36000000000001</v>
      </c>
      <c r="L33" s="64">
        <v>19.760000000000002</v>
      </c>
      <c r="M33" s="64">
        <v>96.63</v>
      </c>
      <c r="N33" s="64">
        <v>51.7</v>
      </c>
      <c r="O33" s="64">
        <v>0</v>
      </c>
      <c r="P33" s="64">
        <v>0.49</v>
      </c>
      <c r="Q33" s="64">
        <v>9.44</v>
      </c>
      <c r="R33" s="198"/>
      <c r="S33" s="198"/>
      <c r="T33" s="198"/>
      <c r="U33" s="198"/>
    </row>
    <row r="34" spans="1:21" s="12" customFormat="1" x14ac:dyDescent="0.25">
      <c r="A34" s="214" t="s">
        <v>1137</v>
      </c>
      <c r="B34" s="64">
        <v>10.62</v>
      </c>
      <c r="C34" s="64">
        <v>31.44</v>
      </c>
      <c r="D34" s="64">
        <v>24.86</v>
      </c>
      <c r="E34" s="64">
        <v>1.69</v>
      </c>
      <c r="F34" s="64">
        <v>3.52</v>
      </c>
      <c r="G34" s="64">
        <v>25.88</v>
      </c>
      <c r="H34" s="64">
        <v>13.99</v>
      </c>
      <c r="I34" s="64">
        <v>6.12</v>
      </c>
      <c r="J34" s="64">
        <v>0.42</v>
      </c>
      <c r="K34" s="64">
        <v>176.65</v>
      </c>
      <c r="L34" s="64">
        <v>20.07</v>
      </c>
      <c r="M34" s="64">
        <v>94.74</v>
      </c>
      <c r="N34" s="64">
        <v>74.2</v>
      </c>
      <c r="O34" s="64">
        <v>0</v>
      </c>
      <c r="P34" s="64">
        <v>0.47</v>
      </c>
      <c r="Q34" s="64">
        <v>9.42</v>
      </c>
      <c r="R34" s="198"/>
      <c r="S34" s="198"/>
      <c r="T34" s="198"/>
      <c r="U34" s="198"/>
    </row>
    <row r="35" spans="1:21" s="12" customFormat="1" x14ac:dyDescent="0.25">
      <c r="A35" s="214" t="s">
        <v>1138</v>
      </c>
      <c r="B35" s="64">
        <v>10.59</v>
      </c>
      <c r="C35" s="64">
        <v>33.39</v>
      </c>
      <c r="D35" s="64">
        <v>25.86</v>
      </c>
      <c r="E35" s="64">
        <v>1.79</v>
      </c>
      <c r="F35" s="64">
        <v>2.8</v>
      </c>
      <c r="G35" s="64">
        <v>25.88</v>
      </c>
      <c r="H35" s="64">
        <v>13.99</v>
      </c>
      <c r="I35" s="64">
        <v>5.97</v>
      </c>
      <c r="J35" s="64">
        <v>0.88</v>
      </c>
      <c r="K35" s="64">
        <v>157.34</v>
      </c>
      <c r="L35" s="64">
        <v>20.399999999999999</v>
      </c>
      <c r="M35" s="64">
        <v>92.49</v>
      </c>
      <c r="N35" s="64">
        <v>121</v>
      </c>
      <c r="O35" s="64">
        <v>0</v>
      </c>
      <c r="P35" s="64">
        <v>0.46</v>
      </c>
      <c r="Q35" s="64">
        <v>9.34</v>
      </c>
      <c r="R35" s="198"/>
      <c r="S35" s="198"/>
      <c r="T35" s="198"/>
      <c r="U35" s="198"/>
    </row>
    <row r="36" spans="1:21" s="12" customFormat="1" x14ac:dyDescent="0.25">
      <c r="A36" s="214" t="s">
        <v>1139</v>
      </c>
      <c r="B36" s="64">
        <v>10.7</v>
      </c>
      <c r="C36" s="64">
        <v>34.08</v>
      </c>
      <c r="D36" s="64">
        <v>26.31</v>
      </c>
      <c r="E36" s="64">
        <v>1.95</v>
      </c>
      <c r="F36" s="64">
        <v>3.54</v>
      </c>
      <c r="G36" s="64">
        <v>26.46</v>
      </c>
      <c r="H36" s="64">
        <v>14.09</v>
      </c>
      <c r="I36" s="64">
        <v>5.82</v>
      </c>
      <c r="J36" s="64">
        <v>1.08</v>
      </c>
      <c r="K36" s="64">
        <v>166.2</v>
      </c>
      <c r="L36" s="64">
        <v>20.76</v>
      </c>
      <c r="M36" s="64">
        <v>91.39</v>
      </c>
      <c r="N36" s="64">
        <v>164.6</v>
      </c>
      <c r="O36" s="64">
        <v>0</v>
      </c>
      <c r="P36" s="64">
        <v>0.46</v>
      </c>
      <c r="Q36" s="64">
        <v>9.3800000000000008</v>
      </c>
      <c r="R36" s="198"/>
      <c r="S36" s="198"/>
      <c r="T36" s="198"/>
      <c r="U36" s="198"/>
    </row>
    <row r="37" spans="1:21" s="12" customFormat="1" x14ac:dyDescent="0.25">
      <c r="A37" s="214" t="s">
        <v>1140</v>
      </c>
      <c r="B37" s="64">
        <v>10.69</v>
      </c>
      <c r="C37" s="64">
        <v>34.94</v>
      </c>
      <c r="D37" s="64">
        <v>26.75</v>
      </c>
      <c r="E37" s="64">
        <v>1.71</v>
      </c>
      <c r="F37" s="64">
        <v>3</v>
      </c>
      <c r="G37" s="64">
        <v>36.299999999999997</v>
      </c>
      <c r="H37" s="64">
        <v>15.76</v>
      </c>
      <c r="I37" s="64">
        <v>5.65</v>
      </c>
      <c r="J37" s="64">
        <v>1.1200000000000001</v>
      </c>
      <c r="K37" s="64">
        <v>169.69</v>
      </c>
      <c r="L37" s="64">
        <v>21.09</v>
      </c>
      <c r="M37" s="64">
        <v>90.26</v>
      </c>
      <c r="N37" s="64">
        <v>216.5</v>
      </c>
      <c r="O37" s="64">
        <v>0</v>
      </c>
      <c r="P37" s="64">
        <v>0.56000000000000005</v>
      </c>
      <c r="Q37" s="64">
        <v>9.3699999999999992</v>
      </c>
      <c r="R37" s="198"/>
      <c r="S37" s="198"/>
      <c r="T37" s="198"/>
      <c r="U37" s="198"/>
    </row>
    <row r="38" spans="1:21" s="12" customFormat="1" x14ac:dyDescent="0.25">
      <c r="A38" s="214" t="s">
        <v>1141</v>
      </c>
      <c r="B38" s="64">
        <v>10.42</v>
      </c>
      <c r="C38" s="64">
        <v>34.549999999999997</v>
      </c>
      <c r="D38" s="64">
        <v>26.33</v>
      </c>
      <c r="E38" s="64">
        <v>1.82</v>
      </c>
      <c r="F38" s="64">
        <v>3.29</v>
      </c>
      <c r="G38" s="64">
        <v>36.299999999999997</v>
      </c>
      <c r="H38" s="64">
        <v>15.76</v>
      </c>
      <c r="I38" s="64">
        <v>5.63</v>
      </c>
      <c r="J38" s="64">
        <v>1.0900000000000001</v>
      </c>
      <c r="K38" s="64">
        <v>158.87</v>
      </c>
      <c r="L38" s="64">
        <v>21.74</v>
      </c>
      <c r="M38" s="64">
        <v>87.16</v>
      </c>
      <c r="N38" s="64">
        <v>263.89999999999998</v>
      </c>
      <c r="O38" s="64">
        <v>0</v>
      </c>
      <c r="P38" s="64">
        <v>0.59</v>
      </c>
      <c r="Q38" s="64">
        <v>9.35</v>
      </c>
      <c r="R38" s="198"/>
      <c r="S38" s="198"/>
      <c r="T38" s="198"/>
      <c r="U38" s="198"/>
    </row>
    <row r="39" spans="1:21" s="12" customFormat="1" x14ac:dyDescent="0.25">
      <c r="A39" s="214" t="s">
        <v>1142</v>
      </c>
      <c r="B39" s="64">
        <v>10.19</v>
      </c>
      <c r="C39" s="64">
        <v>34.409999999999997</v>
      </c>
      <c r="D39" s="64">
        <v>26.07</v>
      </c>
      <c r="E39" s="64">
        <v>1.48</v>
      </c>
      <c r="F39" s="64">
        <v>3.3</v>
      </c>
      <c r="G39" s="64">
        <v>36.299999999999997</v>
      </c>
      <c r="H39" s="64">
        <v>15.76</v>
      </c>
      <c r="I39" s="64">
        <v>5.73</v>
      </c>
      <c r="J39" s="64">
        <v>0.81</v>
      </c>
      <c r="K39" s="64">
        <v>173.97</v>
      </c>
      <c r="L39" s="64">
        <v>22.32</v>
      </c>
      <c r="M39" s="64">
        <v>84.38</v>
      </c>
      <c r="N39" s="64">
        <v>319.7</v>
      </c>
      <c r="O39" s="64">
        <v>0</v>
      </c>
      <c r="P39" s="64">
        <v>0.57999999999999996</v>
      </c>
      <c r="Q39" s="64">
        <v>9.41</v>
      </c>
      <c r="R39" s="198"/>
      <c r="S39" s="198"/>
      <c r="T39" s="198"/>
      <c r="U39" s="198"/>
    </row>
    <row r="40" spans="1:21" s="12" customFormat="1" x14ac:dyDescent="0.25">
      <c r="A40" s="214" t="s">
        <v>1143</v>
      </c>
      <c r="B40" s="64">
        <v>9.8000000000000007</v>
      </c>
      <c r="C40" s="64">
        <v>34.119999999999997</v>
      </c>
      <c r="D40" s="64">
        <v>25.61</v>
      </c>
      <c r="E40" s="64">
        <v>1.51</v>
      </c>
      <c r="F40" s="64">
        <v>3.07</v>
      </c>
      <c r="G40" s="64">
        <v>36.39</v>
      </c>
      <c r="H40" s="64">
        <v>15.7</v>
      </c>
      <c r="I40" s="64">
        <v>5.63</v>
      </c>
      <c r="J40" s="64">
        <v>0.91</v>
      </c>
      <c r="K40" s="64">
        <v>158.86000000000001</v>
      </c>
      <c r="L40" s="64">
        <v>22.94</v>
      </c>
      <c r="M40" s="64">
        <v>81.48</v>
      </c>
      <c r="N40" s="64">
        <v>375.2</v>
      </c>
      <c r="O40" s="64">
        <v>0</v>
      </c>
      <c r="P40" s="64">
        <v>0.57999999999999996</v>
      </c>
      <c r="Q40" s="64">
        <v>9.2100000000000009</v>
      </c>
      <c r="R40" s="198"/>
      <c r="S40" s="198"/>
      <c r="T40" s="198"/>
      <c r="U40" s="198"/>
    </row>
    <row r="41" spans="1:21" s="12" customFormat="1" x14ac:dyDescent="0.25">
      <c r="A41" s="214" t="s">
        <v>1144</v>
      </c>
      <c r="B41" s="64">
        <v>9.56</v>
      </c>
      <c r="C41" s="64">
        <v>33.92</v>
      </c>
      <c r="D41" s="64">
        <v>25.31</v>
      </c>
      <c r="E41" s="64">
        <v>1.4</v>
      </c>
      <c r="F41" s="64">
        <v>4</v>
      </c>
      <c r="G41" s="64">
        <v>37.69</v>
      </c>
      <c r="H41" s="64">
        <v>14.74</v>
      </c>
      <c r="I41" s="64">
        <v>5.64</v>
      </c>
      <c r="J41" s="64">
        <v>0.72</v>
      </c>
      <c r="K41" s="64">
        <v>165.14</v>
      </c>
      <c r="L41" s="64">
        <v>23.9</v>
      </c>
      <c r="M41" s="64">
        <v>76.5</v>
      </c>
      <c r="N41" s="64">
        <v>431.8</v>
      </c>
      <c r="O41" s="64">
        <v>0</v>
      </c>
      <c r="P41" s="64">
        <v>0.56000000000000005</v>
      </c>
      <c r="Q41" s="64">
        <v>9.33</v>
      </c>
      <c r="R41" s="198"/>
      <c r="S41" s="198"/>
      <c r="T41" s="198"/>
      <c r="U41" s="198"/>
    </row>
    <row r="42" spans="1:21" s="12" customFormat="1" x14ac:dyDescent="0.25">
      <c r="A42" s="214" t="s">
        <v>1145</v>
      </c>
      <c r="B42" s="64">
        <v>8.99</v>
      </c>
      <c r="C42" s="64">
        <v>34.119999999999997</v>
      </c>
      <c r="D42" s="64">
        <v>24.96</v>
      </c>
      <c r="E42" s="64">
        <v>1.47</v>
      </c>
      <c r="F42" s="64">
        <v>3.8</v>
      </c>
      <c r="G42" s="64">
        <v>37.69</v>
      </c>
      <c r="H42" s="64">
        <v>14.74</v>
      </c>
      <c r="I42" s="64">
        <v>5.54</v>
      </c>
      <c r="J42" s="64">
        <v>0.8</v>
      </c>
      <c r="K42" s="64">
        <v>180.09</v>
      </c>
      <c r="L42" s="64">
        <v>23.82</v>
      </c>
      <c r="M42" s="64">
        <v>75.78</v>
      </c>
      <c r="N42" s="64">
        <v>493</v>
      </c>
      <c r="O42" s="64">
        <v>0</v>
      </c>
      <c r="P42" s="64">
        <v>0.56000000000000005</v>
      </c>
      <c r="Q42" s="64">
        <v>9.41</v>
      </c>
      <c r="R42" s="198"/>
      <c r="S42" s="198"/>
      <c r="T42" s="198"/>
      <c r="U42" s="198"/>
    </row>
    <row r="43" spans="1:21" s="12" customFormat="1" x14ac:dyDescent="0.25">
      <c r="A43" s="214" t="s">
        <v>1146</v>
      </c>
      <c r="B43" s="64">
        <v>7.9</v>
      </c>
      <c r="C43" s="64">
        <v>31.38</v>
      </c>
      <c r="D43" s="64">
        <v>22.65</v>
      </c>
      <c r="E43" s="64">
        <v>1.31</v>
      </c>
      <c r="F43" s="64">
        <v>3.65</v>
      </c>
      <c r="G43" s="64">
        <v>37.69</v>
      </c>
      <c r="H43" s="64">
        <v>14.74</v>
      </c>
      <c r="I43" s="64">
        <v>5.59</v>
      </c>
      <c r="J43" s="64">
        <v>1.41</v>
      </c>
      <c r="K43" s="64">
        <v>158.61000000000001</v>
      </c>
      <c r="L43" s="64">
        <v>24.45</v>
      </c>
      <c r="M43" s="64">
        <v>72</v>
      </c>
      <c r="N43" s="64">
        <v>557.70000000000005</v>
      </c>
      <c r="O43" s="64">
        <v>0</v>
      </c>
      <c r="P43" s="64">
        <v>0.55000000000000004</v>
      </c>
      <c r="Q43" s="64">
        <v>9.3699999999999992</v>
      </c>
      <c r="R43" s="198"/>
      <c r="S43" s="198"/>
      <c r="T43" s="198"/>
      <c r="U43" s="198"/>
    </row>
    <row r="44" spans="1:21" s="12" customFormat="1" x14ac:dyDescent="0.25">
      <c r="A44" s="214" t="s">
        <v>1147</v>
      </c>
      <c r="B44" s="64">
        <v>6.74</v>
      </c>
      <c r="C44" s="64">
        <v>30.45</v>
      </c>
      <c r="D44" s="64">
        <v>21.24</v>
      </c>
      <c r="E44" s="64">
        <v>1.26</v>
      </c>
      <c r="F44" s="64">
        <v>3.36</v>
      </c>
      <c r="G44" s="64">
        <v>37.58</v>
      </c>
      <c r="H44" s="64">
        <v>14.76</v>
      </c>
      <c r="I44" s="64">
        <v>5.53</v>
      </c>
      <c r="J44" s="64">
        <v>0.72</v>
      </c>
      <c r="K44" s="64">
        <v>166.96</v>
      </c>
      <c r="L44" s="64">
        <v>25.36</v>
      </c>
      <c r="M44" s="64">
        <v>67</v>
      </c>
      <c r="N44" s="64">
        <v>611.70000000000005</v>
      </c>
      <c r="O44" s="64">
        <v>0</v>
      </c>
      <c r="P44" s="64">
        <v>0.55000000000000004</v>
      </c>
      <c r="Q44" s="64">
        <v>9.3699999999999992</v>
      </c>
      <c r="R44" s="198"/>
      <c r="S44" s="198"/>
      <c r="T44" s="198"/>
      <c r="U44" s="198"/>
    </row>
    <row r="45" spans="1:21" s="12" customFormat="1" x14ac:dyDescent="0.25">
      <c r="A45" s="214" t="s">
        <v>1148</v>
      </c>
      <c r="B45" s="64">
        <v>5.76</v>
      </c>
      <c r="C45" s="64">
        <v>30.68</v>
      </c>
      <c r="D45" s="64">
        <v>20.57</v>
      </c>
      <c r="E45" s="64">
        <v>1.47</v>
      </c>
      <c r="F45" s="64">
        <v>3.8</v>
      </c>
      <c r="G45" s="64">
        <v>36.03</v>
      </c>
      <c r="H45" s="64">
        <v>15.08</v>
      </c>
      <c r="I45" s="64">
        <v>5.42</v>
      </c>
      <c r="J45" s="64">
        <v>0.26</v>
      </c>
      <c r="K45" s="64">
        <v>60.12</v>
      </c>
      <c r="L45" s="64">
        <v>27.11</v>
      </c>
      <c r="M45" s="64">
        <v>61.42</v>
      </c>
      <c r="N45" s="64">
        <v>655.5</v>
      </c>
      <c r="O45" s="64">
        <v>0</v>
      </c>
      <c r="P45" s="64">
        <v>0.55000000000000004</v>
      </c>
      <c r="Q45" s="64">
        <v>9.2100000000000009</v>
      </c>
      <c r="R45" s="198"/>
      <c r="S45" s="198"/>
      <c r="T45" s="198"/>
      <c r="U45" s="198"/>
    </row>
    <row r="46" spans="1:21" s="12" customFormat="1" x14ac:dyDescent="0.25">
      <c r="A46" s="214" t="s">
        <v>1149</v>
      </c>
      <c r="B46" s="64">
        <v>5.36</v>
      </c>
      <c r="C46" s="64">
        <v>30.9</v>
      </c>
      <c r="D46" s="64">
        <v>20.36</v>
      </c>
      <c r="E46" s="64">
        <v>1.27</v>
      </c>
      <c r="F46" s="64">
        <v>4.0599999999999996</v>
      </c>
      <c r="G46" s="64">
        <v>36.03</v>
      </c>
      <c r="H46" s="64">
        <v>15.08</v>
      </c>
      <c r="I46" s="64">
        <v>5.36</v>
      </c>
      <c r="J46" s="64">
        <v>0.51</v>
      </c>
      <c r="K46" s="64">
        <v>351.16</v>
      </c>
      <c r="L46" s="64">
        <v>29.91</v>
      </c>
      <c r="M46" s="64">
        <v>53.88</v>
      </c>
      <c r="N46" s="64">
        <v>707.8</v>
      </c>
      <c r="O46" s="64">
        <v>0</v>
      </c>
      <c r="P46" s="64">
        <v>0.55000000000000004</v>
      </c>
      <c r="Q46" s="64">
        <v>9.41</v>
      </c>
      <c r="R46" s="198"/>
      <c r="S46" s="198"/>
      <c r="T46" s="198"/>
      <c r="U46" s="198"/>
    </row>
    <row r="47" spans="1:21" s="12" customFormat="1" x14ac:dyDescent="0.25">
      <c r="A47" s="214" t="s">
        <v>1150</v>
      </c>
      <c r="B47" s="64">
        <v>5.25</v>
      </c>
      <c r="C47" s="64">
        <v>31.17</v>
      </c>
      <c r="D47" s="64">
        <v>20.41</v>
      </c>
      <c r="E47" s="64">
        <v>1.03</v>
      </c>
      <c r="F47" s="64">
        <v>3.94</v>
      </c>
      <c r="G47" s="64">
        <v>36.03</v>
      </c>
      <c r="H47" s="64">
        <v>15.08</v>
      </c>
      <c r="I47" s="64">
        <v>5.37</v>
      </c>
      <c r="J47" s="64">
        <v>0.43</v>
      </c>
      <c r="K47" s="64">
        <v>336.59</v>
      </c>
      <c r="L47" s="64">
        <v>31.45</v>
      </c>
      <c r="M47" s="64">
        <v>48.95</v>
      </c>
      <c r="N47" s="64">
        <v>749</v>
      </c>
      <c r="O47" s="64">
        <v>0</v>
      </c>
      <c r="P47" s="64">
        <v>0.56999999999999995</v>
      </c>
      <c r="Q47" s="64">
        <v>9.42</v>
      </c>
      <c r="R47" s="198"/>
      <c r="S47" s="198"/>
      <c r="T47" s="198"/>
      <c r="U47" s="198"/>
    </row>
    <row r="48" spans="1:21" s="12" customFormat="1" x14ac:dyDescent="0.25">
      <c r="A48" s="214" t="s">
        <v>1151</v>
      </c>
      <c r="B48" s="64">
        <v>4.78</v>
      </c>
      <c r="C48" s="64">
        <v>31.91</v>
      </c>
      <c r="D48" s="64">
        <v>20.420000000000002</v>
      </c>
      <c r="E48" s="64">
        <v>1.21</v>
      </c>
      <c r="F48" s="64">
        <v>4.05</v>
      </c>
      <c r="G48" s="64">
        <v>35.950000000000003</v>
      </c>
      <c r="H48" s="64">
        <v>15.11</v>
      </c>
      <c r="I48" s="64">
        <v>5.34</v>
      </c>
      <c r="J48" s="64">
        <v>0.28999999999999998</v>
      </c>
      <c r="K48" s="64">
        <v>40.200000000000003</v>
      </c>
      <c r="L48" s="64">
        <v>31.13</v>
      </c>
      <c r="M48" s="64">
        <v>48.41</v>
      </c>
      <c r="N48" s="64">
        <v>792.3</v>
      </c>
      <c r="O48" s="64">
        <v>0</v>
      </c>
      <c r="P48" s="64">
        <v>0.57999999999999996</v>
      </c>
      <c r="Q48" s="64">
        <v>9.2799999999999994</v>
      </c>
      <c r="R48" s="198"/>
      <c r="S48" s="198"/>
      <c r="T48" s="198"/>
      <c r="U48" s="198"/>
    </row>
    <row r="49" spans="1:21" s="12" customFormat="1" x14ac:dyDescent="0.25">
      <c r="A49" s="214" t="s">
        <v>1152</v>
      </c>
      <c r="B49" s="64">
        <v>4.1100000000000003</v>
      </c>
      <c r="C49" s="64">
        <v>32.25</v>
      </c>
      <c r="D49" s="64">
        <v>20.059999999999999</v>
      </c>
      <c r="E49" s="64">
        <v>1.04</v>
      </c>
      <c r="F49" s="64">
        <v>4.12</v>
      </c>
      <c r="G49" s="64">
        <v>34.83</v>
      </c>
      <c r="H49" s="64">
        <v>15.6</v>
      </c>
      <c r="I49" s="64">
        <v>5.47</v>
      </c>
      <c r="J49" s="64">
        <v>0.6</v>
      </c>
      <c r="K49" s="64">
        <v>154.25</v>
      </c>
      <c r="L49" s="64">
        <v>28.67</v>
      </c>
      <c r="M49" s="64">
        <v>51.12</v>
      </c>
      <c r="N49" s="64">
        <v>839.3</v>
      </c>
      <c r="O49" s="64">
        <v>0</v>
      </c>
      <c r="P49" s="64">
        <v>0.59</v>
      </c>
      <c r="Q49" s="64">
        <v>9.33</v>
      </c>
      <c r="R49" s="198"/>
      <c r="S49" s="198"/>
      <c r="T49" s="198"/>
      <c r="U49" s="198"/>
    </row>
    <row r="50" spans="1:21" s="12" customFormat="1" x14ac:dyDescent="0.25">
      <c r="A50" s="214" t="s">
        <v>1153</v>
      </c>
      <c r="B50" s="64">
        <v>3.07</v>
      </c>
      <c r="C50" s="64">
        <v>32.24</v>
      </c>
      <c r="D50" s="64">
        <v>19.23</v>
      </c>
      <c r="E50" s="64">
        <v>0.98</v>
      </c>
      <c r="F50" s="64">
        <v>4.24</v>
      </c>
      <c r="G50" s="64">
        <v>34.83</v>
      </c>
      <c r="H50" s="64">
        <v>15.6</v>
      </c>
      <c r="I50" s="64">
        <v>5.43</v>
      </c>
      <c r="J50" s="64">
        <v>0.63</v>
      </c>
      <c r="K50" s="64">
        <v>169.87</v>
      </c>
      <c r="L50" s="64">
        <v>28.77</v>
      </c>
      <c r="M50" s="64">
        <v>48.84</v>
      </c>
      <c r="N50" s="64">
        <v>867.2</v>
      </c>
      <c r="O50" s="64">
        <v>0</v>
      </c>
      <c r="P50" s="64">
        <v>0.57999999999999996</v>
      </c>
      <c r="Q50" s="64">
        <v>9.34</v>
      </c>
      <c r="R50" s="198"/>
      <c r="S50" s="198"/>
      <c r="T50" s="198"/>
      <c r="U50" s="198"/>
    </row>
    <row r="51" spans="1:21" s="12" customFormat="1" x14ac:dyDescent="0.25">
      <c r="A51" s="214" t="s">
        <v>1154</v>
      </c>
      <c r="B51" s="64">
        <v>1.88</v>
      </c>
      <c r="C51" s="64">
        <v>32.07</v>
      </c>
      <c r="D51" s="64">
        <v>18.18</v>
      </c>
      <c r="E51" s="64">
        <v>1.04</v>
      </c>
      <c r="F51" s="64">
        <v>4.09</v>
      </c>
      <c r="G51" s="64">
        <v>34.83</v>
      </c>
      <c r="H51" s="64">
        <v>15.6</v>
      </c>
      <c r="I51" s="64">
        <v>5.64</v>
      </c>
      <c r="J51" s="64">
        <v>0.12</v>
      </c>
      <c r="K51" s="64">
        <v>280.06</v>
      </c>
      <c r="L51" s="64">
        <v>29.69</v>
      </c>
      <c r="M51" s="64">
        <v>48.17</v>
      </c>
      <c r="N51" s="64">
        <v>897.2</v>
      </c>
      <c r="O51" s="64">
        <v>0</v>
      </c>
      <c r="P51" s="64">
        <v>0.57999999999999996</v>
      </c>
      <c r="Q51" s="64">
        <v>9.2100000000000009</v>
      </c>
      <c r="R51" s="198"/>
      <c r="S51" s="198"/>
      <c r="T51" s="198"/>
      <c r="U51" s="198"/>
    </row>
    <row r="52" spans="1:21" s="12" customFormat="1" x14ac:dyDescent="0.25">
      <c r="A52" s="214" t="s">
        <v>1155</v>
      </c>
      <c r="B52" s="64">
        <v>1.1399999999999999</v>
      </c>
      <c r="C52" s="64">
        <v>32.29</v>
      </c>
      <c r="D52" s="64">
        <v>17.71</v>
      </c>
      <c r="E52" s="64">
        <v>1.31</v>
      </c>
      <c r="F52" s="64">
        <v>4.3099999999999996</v>
      </c>
      <c r="G52" s="64">
        <v>34.89</v>
      </c>
      <c r="H52" s="64">
        <v>15.76</v>
      </c>
      <c r="I52" s="64">
        <v>5.65</v>
      </c>
      <c r="J52" s="64">
        <v>0.6</v>
      </c>
      <c r="K52" s="64">
        <v>349.42</v>
      </c>
      <c r="L52" s="64">
        <v>32.44</v>
      </c>
      <c r="M52" s="64">
        <v>41.62</v>
      </c>
      <c r="N52" s="64">
        <v>918.7</v>
      </c>
      <c r="O52" s="64">
        <v>0</v>
      </c>
      <c r="P52" s="64">
        <v>0.59</v>
      </c>
      <c r="Q52" s="64">
        <v>9.3000000000000007</v>
      </c>
      <c r="R52" s="198"/>
      <c r="S52" s="198"/>
      <c r="T52" s="198"/>
      <c r="U52" s="198"/>
    </row>
    <row r="53" spans="1:21" s="12" customFormat="1" x14ac:dyDescent="0.25">
      <c r="A53" s="214" t="s">
        <v>1156</v>
      </c>
      <c r="B53" s="64">
        <v>0.72</v>
      </c>
      <c r="C53" s="64">
        <v>35.39</v>
      </c>
      <c r="D53" s="64">
        <v>18.989999999999998</v>
      </c>
      <c r="E53" s="64">
        <v>0.91</v>
      </c>
      <c r="F53" s="64">
        <v>4.5599999999999996</v>
      </c>
      <c r="G53" s="64">
        <v>35.770000000000003</v>
      </c>
      <c r="H53" s="64">
        <v>17.940000000000001</v>
      </c>
      <c r="I53" s="64">
        <v>5.59</v>
      </c>
      <c r="J53" s="64">
        <v>0.28999999999999998</v>
      </c>
      <c r="K53" s="64">
        <v>68.67</v>
      </c>
      <c r="L53" s="64">
        <v>32.92</v>
      </c>
      <c r="M53" s="64">
        <v>39.880000000000003</v>
      </c>
      <c r="N53" s="64">
        <v>947.1</v>
      </c>
      <c r="O53" s="64">
        <v>0</v>
      </c>
      <c r="P53" s="64">
        <v>0.6</v>
      </c>
      <c r="Q53" s="64">
        <v>9.32</v>
      </c>
      <c r="R53" s="198"/>
      <c r="S53" s="198"/>
      <c r="T53" s="198"/>
      <c r="U53" s="198"/>
    </row>
    <row r="54" spans="1:21" s="12" customFormat="1" x14ac:dyDescent="0.25">
      <c r="A54" s="214" t="s">
        <v>1157</v>
      </c>
      <c r="B54" s="64">
        <v>0.52</v>
      </c>
      <c r="C54" s="64">
        <v>35.340000000000003</v>
      </c>
      <c r="D54" s="64">
        <v>18.8</v>
      </c>
      <c r="E54" s="64">
        <v>0.97</v>
      </c>
      <c r="F54" s="64">
        <v>4.43</v>
      </c>
      <c r="G54" s="64">
        <v>35.770000000000003</v>
      </c>
      <c r="H54" s="64">
        <v>17.940000000000001</v>
      </c>
      <c r="I54" s="64">
        <v>5.62</v>
      </c>
      <c r="J54" s="64">
        <v>0.36</v>
      </c>
      <c r="K54" s="64">
        <v>359.39</v>
      </c>
      <c r="L54" s="64">
        <v>32.630000000000003</v>
      </c>
      <c r="M54" s="64">
        <v>39.619999999999997</v>
      </c>
      <c r="N54" s="64">
        <v>965.1</v>
      </c>
      <c r="O54" s="64">
        <v>0</v>
      </c>
      <c r="P54" s="64">
        <v>0.6</v>
      </c>
      <c r="Q54" s="64">
        <v>9.2200000000000006</v>
      </c>
      <c r="R54" s="198"/>
      <c r="S54" s="198"/>
      <c r="T54" s="198"/>
      <c r="U54" s="198"/>
    </row>
    <row r="55" spans="1:21" s="12" customFormat="1" x14ac:dyDescent="0.25">
      <c r="A55" s="214" t="s">
        <v>1158</v>
      </c>
      <c r="B55" s="64">
        <v>0.63</v>
      </c>
      <c r="C55" s="64">
        <v>35.78</v>
      </c>
      <c r="D55" s="64">
        <v>19.12</v>
      </c>
      <c r="E55" s="64">
        <v>1.23</v>
      </c>
      <c r="F55" s="64">
        <v>4.57</v>
      </c>
      <c r="G55" s="64">
        <v>35.770000000000003</v>
      </c>
      <c r="H55" s="64">
        <v>17.940000000000001</v>
      </c>
      <c r="I55" s="64">
        <v>5.8</v>
      </c>
      <c r="J55" s="64">
        <v>0.08</v>
      </c>
      <c r="K55" s="64">
        <v>22.97</v>
      </c>
      <c r="L55" s="64">
        <v>33.270000000000003</v>
      </c>
      <c r="M55" s="64">
        <v>35.31</v>
      </c>
      <c r="N55" s="64">
        <v>960.2</v>
      </c>
      <c r="O55" s="64">
        <v>0</v>
      </c>
      <c r="P55" s="64">
        <v>0.6</v>
      </c>
      <c r="Q55" s="64">
        <v>9.26</v>
      </c>
      <c r="R55" s="198"/>
      <c r="S55" s="198"/>
      <c r="T55" s="198"/>
      <c r="U55" s="198"/>
    </row>
    <row r="56" spans="1:21" s="12" customFormat="1" x14ac:dyDescent="0.25">
      <c r="A56" s="214" t="s">
        <v>1159</v>
      </c>
      <c r="B56" s="64">
        <v>0.56000000000000005</v>
      </c>
      <c r="C56" s="64">
        <v>35.28</v>
      </c>
      <c r="D56" s="64">
        <v>18.8</v>
      </c>
      <c r="E56" s="64">
        <v>1.62</v>
      </c>
      <c r="F56" s="64">
        <v>4.28</v>
      </c>
      <c r="G56" s="64">
        <v>35.72</v>
      </c>
      <c r="H56" s="64">
        <v>17.98</v>
      </c>
      <c r="I56" s="64">
        <v>6.25</v>
      </c>
      <c r="J56" s="64">
        <v>0.86</v>
      </c>
      <c r="K56" s="64">
        <v>136.85</v>
      </c>
      <c r="L56" s="64">
        <v>31.69</v>
      </c>
      <c r="M56" s="64">
        <v>35.83</v>
      </c>
      <c r="N56" s="64">
        <v>972.5</v>
      </c>
      <c r="O56" s="64">
        <v>0</v>
      </c>
      <c r="P56" s="64">
        <v>0.6</v>
      </c>
      <c r="Q56" s="64">
        <v>9.32</v>
      </c>
      <c r="R56" s="198"/>
      <c r="S56" s="198"/>
      <c r="T56" s="198"/>
      <c r="U56" s="198"/>
    </row>
    <row r="57" spans="1:21" s="12" customFormat="1" x14ac:dyDescent="0.25">
      <c r="A57" s="214" t="s">
        <v>1160</v>
      </c>
      <c r="B57" s="64">
        <v>0.31</v>
      </c>
      <c r="C57" s="64">
        <v>34.909999999999997</v>
      </c>
      <c r="D57" s="64">
        <v>18.41</v>
      </c>
      <c r="E57" s="64">
        <v>0.95</v>
      </c>
      <c r="F57" s="64">
        <v>4.28</v>
      </c>
      <c r="G57" s="64">
        <v>34.799999999999997</v>
      </c>
      <c r="H57" s="64">
        <v>18.55</v>
      </c>
      <c r="I57" s="64">
        <v>6.64</v>
      </c>
      <c r="J57" s="64">
        <v>0.31</v>
      </c>
      <c r="K57" s="64">
        <v>134.63</v>
      </c>
      <c r="L57" s="64">
        <v>31.38</v>
      </c>
      <c r="M57" s="64">
        <v>34.380000000000003</v>
      </c>
      <c r="N57" s="64">
        <v>969</v>
      </c>
      <c r="O57" s="64">
        <v>0</v>
      </c>
      <c r="P57" s="64">
        <v>0.6</v>
      </c>
      <c r="Q57" s="64">
        <v>9.32</v>
      </c>
      <c r="R57" s="198"/>
      <c r="S57" s="198"/>
      <c r="T57" s="198"/>
      <c r="U57" s="198"/>
    </row>
    <row r="58" spans="1:21" s="12" customFormat="1" x14ac:dyDescent="0.25">
      <c r="A58" s="214" t="s">
        <v>1161</v>
      </c>
      <c r="B58" s="64">
        <v>0.1</v>
      </c>
      <c r="C58" s="64">
        <v>33.729999999999997</v>
      </c>
      <c r="D58" s="64">
        <v>17.62</v>
      </c>
      <c r="E58" s="64">
        <v>1.23</v>
      </c>
      <c r="F58" s="64">
        <v>5.07</v>
      </c>
      <c r="G58" s="64">
        <v>34.799999999999997</v>
      </c>
      <c r="H58" s="64">
        <v>18.55</v>
      </c>
      <c r="I58" s="64">
        <v>6.92</v>
      </c>
      <c r="J58" s="64">
        <v>0.6</v>
      </c>
      <c r="K58" s="64">
        <v>150.19</v>
      </c>
      <c r="L58" s="64">
        <v>31.51</v>
      </c>
      <c r="M58" s="64">
        <v>31.13</v>
      </c>
      <c r="N58" s="64">
        <v>951.4</v>
      </c>
      <c r="O58" s="64">
        <v>0</v>
      </c>
      <c r="P58" s="64">
        <v>0.57999999999999996</v>
      </c>
      <c r="Q58" s="64">
        <v>9.2100000000000009</v>
      </c>
      <c r="R58" s="198"/>
      <c r="S58" s="198"/>
      <c r="T58" s="198"/>
      <c r="U58" s="198"/>
    </row>
    <row r="59" spans="1:21" s="12" customFormat="1" x14ac:dyDescent="0.25">
      <c r="A59" s="214" t="s">
        <v>1162</v>
      </c>
      <c r="B59" s="64">
        <v>0.1</v>
      </c>
      <c r="C59" s="64">
        <v>32.29</v>
      </c>
      <c r="D59" s="64">
        <v>16.87</v>
      </c>
      <c r="E59" s="64">
        <v>1.41</v>
      </c>
      <c r="F59" s="64">
        <v>5.16</v>
      </c>
      <c r="G59" s="64">
        <v>34.799999999999997</v>
      </c>
      <c r="H59" s="64">
        <v>18.55</v>
      </c>
      <c r="I59" s="64">
        <v>7.26</v>
      </c>
      <c r="J59" s="64">
        <v>0.64</v>
      </c>
      <c r="K59" s="64">
        <v>180.21</v>
      </c>
      <c r="L59" s="64">
        <v>32.299999999999997</v>
      </c>
      <c r="M59" s="64">
        <v>28.62</v>
      </c>
      <c r="N59" s="64">
        <v>923.4</v>
      </c>
      <c r="O59" s="64">
        <v>0</v>
      </c>
      <c r="P59" s="64">
        <v>0.56000000000000005</v>
      </c>
      <c r="Q59" s="64">
        <v>9.24</v>
      </c>
      <c r="R59" s="198"/>
      <c r="S59" s="198"/>
      <c r="T59" s="198"/>
      <c r="U59" s="198"/>
    </row>
    <row r="60" spans="1:21" s="12" customFormat="1" x14ac:dyDescent="0.25">
      <c r="A60" s="214" t="s">
        <v>1163</v>
      </c>
      <c r="B60" s="64">
        <v>0.1</v>
      </c>
      <c r="C60" s="64">
        <v>31.16</v>
      </c>
      <c r="D60" s="64">
        <v>16.28</v>
      </c>
      <c r="E60" s="64">
        <v>1.24</v>
      </c>
      <c r="F60" s="64">
        <v>5.43</v>
      </c>
      <c r="G60" s="64">
        <v>34.46</v>
      </c>
      <c r="H60" s="64">
        <v>18.190000000000001</v>
      </c>
      <c r="I60" s="64">
        <v>7.29</v>
      </c>
      <c r="J60" s="64">
        <v>1.1299999999999999</v>
      </c>
      <c r="K60" s="64">
        <v>156.41999999999999</v>
      </c>
      <c r="L60" s="64">
        <v>31.73</v>
      </c>
      <c r="M60" s="64">
        <v>30.51</v>
      </c>
      <c r="N60" s="64">
        <v>906.9</v>
      </c>
      <c r="O60" s="64">
        <v>0</v>
      </c>
      <c r="P60" s="64">
        <v>0.55000000000000004</v>
      </c>
      <c r="Q60" s="64">
        <v>9.31</v>
      </c>
      <c r="R60" s="198"/>
      <c r="S60" s="198"/>
      <c r="T60" s="198"/>
      <c r="U60" s="198"/>
    </row>
    <row r="61" spans="1:21" s="12" customFormat="1" x14ac:dyDescent="0.25">
      <c r="A61" s="214" t="s">
        <v>1164</v>
      </c>
      <c r="B61" s="64">
        <v>0.1</v>
      </c>
      <c r="C61" s="64">
        <v>30.61</v>
      </c>
      <c r="D61" s="64">
        <v>15.99</v>
      </c>
      <c r="E61" s="64">
        <v>1.29</v>
      </c>
      <c r="F61" s="64">
        <v>5.79</v>
      </c>
      <c r="G61" s="64">
        <v>29.7</v>
      </c>
      <c r="H61" s="64">
        <v>13.15</v>
      </c>
      <c r="I61" s="64">
        <v>7.11</v>
      </c>
      <c r="J61" s="64">
        <v>1.29</v>
      </c>
      <c r="K61" s="64">
        <v>163.84</v>
      </c>
      <c r="L61" s="64">
        <v>31.59</v>
      </c>
      <c r="M61" s="64">
        <v>31.12</v>
      </c>
      <c r="N61" s="64">
        <v>869.6</v>
      </c>
      <c r="O61" s="64">
        <v>0</v>
      </c>
      <c r="P61" s="64">
        <v>0.46</v>
      </c>
      <c r="Q61" s="64">
        <v>9.2100000000000009</v>
      </c>
      <c r="R61" s="198"/>
      <c r="S61" s="198"/>
      <c r="T61" s="198"/>
      <c r="U61" s="198"/>
    </row>
    <row r="62" spans="1:21" s="12" customFormat="1" x14ac:dyDescent="0.25">
      <c r="A62" s="214" t="s">
        <v>1165</v>
      </c>
      <c r="B62" s="64">
        <v>0.1</v>
      </c>
      <c r="C62" s="64">
        <v>33.29</v>
      </c>
      <c r="D62" s="64">
        <v>17.39</v>
      </c>
      <c r="E62" s="64">
        <v>1.37</v>
      </c>
      <c r="F62" s="64">
        <v>5.79</v>
      </c>
      <c r="G62" s="64">
        <v>29.7</v>
      </c>
      <c r="H62" s="64">
        <v>13.15</v>
      </c>
      <c r="I62" s="64">
        <v>6.89</v>
      </c>
      <c r="J62" s="64">
        <v>0.68</v>
      </c>
      <c r="K62" s="64">
        <v>169.59</v>
      </c>
      <c r="L62" s="64">
        <v>32.03</v>
      </c>
      <c r="M62" s="64">
        <v>32.369999999999997</v>
      </c>
      <c r="N62" s="64">
        <v>827.5</v>
      </c>
      <c r="O62" s="64">
        <v>0</v>
      </c>
      <c r="P62" s="64">
        <v>0.49</v>
      </c>
      <c r="Q62" s="64">
        <v>9.26</v>
      </c>
      <c r="R62" s="198"/>
      <c r="S62" s="198"/>
      <c r="T62" s="198"/>
      <c r="U62" s="198"/>
    </row>
    <row r="63" spans="1:21" s="12" customFormat="1" x14ac:dyDescent="0.25">
      <c r="A63" s="214" t="s">
        <v>1166</v>
      </c>
      <c r="B63" s="64">
        <v>0.1</v>
      </c>
      <c r="C63" s="64">
        <v>36.909999999999997</v>
      </c>
      <c r="D63" s="64">
        <v>19.29</v>
      </c>
      <c r="E63" s="64">
        <v>1.45</v>
      </c>
      <c r="F63" s="64">
        <v>5.49</v>
      </c>
      <c r="G63" s="64">
        <v>29.7</v>
      </c>
      <c r="H63" s="64">
        <v>13.15</v>
      </c>
      <c r="I63" s="64">
        <v>6.68</v>
      </c>
      <c r="J63" s="64">
        <v>1.1100000000000001</v>
      </c>
      <c r="K63" s="64">
        <v>137.83000000000001</v>
      </c>
      <c r="L63" s="64">
        <v>31.96</v>
      </c>
      <c r="M63" s="64">
        <v>32.22</v>
      </c>
      <c r="N63" s="64">
        <v>791.3</v>
      </c>
      <c r="O63" s="64">
        <v>0</v>
      </c>
      <c r="P63" s="64">
        <v>0.49</v>
      </c>
      <c r="Q63" s="64">
        <v>9.2799999999999994</v>
      </c>
      <c r="R63" s="198"/>
      <c r="S63" s="198"/>
      <c r="T63" s="198"/>
      <c r="U63" s="198"/>
    </row>
    <row r="64" spans="1:21" s="12" customFormat="1" x14ac:dyDescent="0.25">
      <c r="A64" s="214" t="s">
        <v>1167</v>
      </c>
      <c r="B64" s="64">
        <v>0.1</v>
      </c>
      <c r="C64" s="64">
        <v>39.25</v>
      </c>
      <c r="D64" s="64">
        <v>20.51</v>
      </c>
      <c r="E64" s="64">
        <v>1.35</v>
      </c>
      <c r="F64" s="64">
        <v>5.08</v>
      </c>
      <c r="G64" s="64">
        <v>29.69</v>
      </c>
      <c r="H64" s="64">
        <v>13.41</v>
      </c>
      <c r="I64" s="64">
        <v>6.39</v>
      </c>
      <c r="J64" s="64">
        <v>0.86</v>
      </c>
      <c r="K64" s="64">
        <v>112.67</v>
      </c>
      <c r="L64" s="64">
        <v>31.65</v>
      </c>
      <c r="M64" s="64">
        <v>34</v>
      </c>
      <c r="N64" s="64">
        <v>753.3</v>
      </c>
      <c r="O64" s="64">
        <v>0</v>
      </c>
      <c r="P64" s="64">
        <v>0.49</v>
      </c>
      <c r="Q64" s="64">
        <v>9.33</v>
      </c>
      <c r="R64" s="198"/>
      <c r="S64" s="198"/>
      <c r="T64" s="198"/>
      <c r="U64" s="198"/>
    </row>
    <row r="65" spans="1:21" s="12" customFormat="1" x14ac:dyDescent="0.25">
      <c r="A65" s="214" t="s">
        <v>1168</v>
      </c>
      <c r="B65" s="64">
        <v>0.1</v>
      </c>
      <c r="C65" s="64">
        <v>39.42</v>
      </c>
      <c r="D65" s="64">
        <v>20.6</v>
      </c>
      <c r="E65" s="64">
        <v>1.05</v>
      </c>
      <c r="F65" s="64">
        <v>5.54</v>
      </c>
      <c r="G65" s="64">
        <v>29.61</v>
      </c>
      <c r="H65" s="64">
        <v>17.02</v>
      </c>
      <c r="I65" s="64">
        <v>6.44</v>
      </c>
      <c r="J65" s="64">
        <v>1.1200000000000001</v>
      </c>
      <c r="K65" s="64">
        <v>161.78</v>
      </c>
      <c r="L65" s="64">
        <v>31.72</v>
      </c>
      <c r="M65" s="64">
        <v>31.99</v>
      </c>
      <c r="N65" s="64">
        <v>724.2</v>
      </c>
      <c r="O65" s="64">
        <v>0</v>
      </c>
      <c r="P65" s="64">
        <v>0.48</v>
      </c>
      <c r="Q65" s="64">
        <v>9.35</v>
      </c>
      <c r="R65" s="198"/>
      <c r="S65" s="198"/>
      <c r="T65" s="198"/>
      <c r="U65" s="198"/>
    </row>
    <row r="66" spans="1:21" s="12" customFormat="1" x14ac:dyDescent="0.25">
      <c r="A66" s="214" t="s">
        <v>1169</v>
      </c>
      <c r="B66" s="64">
        <v>0.1</v>
      </c>
      <c r="C66" s="64">
        <v>40.44</v>
      </c>
      <c r="D66" s="64">
        <v>21.13</v>
      </c>
      <c r="E66" s="64">
        <v>1.47</v>
      </c>
      <c r="F66" s="64">
        <v>6</v>
      </c>
      <c r="G66" s="64">
        <v>29.61</v>
      </c>
      <c r="H66" s="64">
        <v>17.02</v>
      </c>
      <c r="I66" s="64">
        <v>6.5</v>
      </c>
      <c r="J66" s="64">
        <v>0.2</v>
      </c>
      <c r="K66" s="64">
        <v>12.11</v>
      </c>
      <c r="L66" s="64">
        <v>33.04</v>
      </c>
      <c r="M66" s="64">
        <v>30.68</v>
      </c>
      <c r="N66" s="64">
        <v>670.8</v>
      </c>
      <c r="O66" s="64">
        <v>0</v>
      </c>
      <c r="P66" s="64">
        <v>0.48</v>
      </c>
      <c r="Q66" s="64">
        <v>9.24</v>
      </c>
      <c r="R66" s="198"/>
      <c r="S66" s="198"/>
      <c r="T66" s="198"/>
      <c r="U66" s="198"/>
    </row>
    <row r="67" spans="1:21" s="12" customFormat="1" x14ac:dyDescent="0.25">
      <c r="A67" s="214" t="s">
        <v>1170</v>
      </c>
      <c r="B67" s="64">
        <v>0.1</v>
      </c>
      <c r="C67" s="64">
        <v>40.17</v>
      </c>
      <c r="D67" s="64">
        <v>20.99</v>
      </c>
      <c r="E67" s="64">
        <v>1.2</v>
      </c>
      <c r="F67" s="64">
        <v>5.68</v>
      </c>
      <c r="G67" s="64">
        <v>29.61</v>
      </c>
      <c r="H67" s="64">
        <v>17.02</v>
      </c>
      <c r="I67" s="64">
        <v>6.48</v>
      </c>
      <c r="J67" s="64">
        <v>0.65</v>
      </c>
      <c r="K67" s="64">
        <v>96.84</v>
      </c>
      <c r="L67" s="64">
        <v>32.409999999999997</v>
      </c>
      <c r="M67" s="64">
        <v>31.28</v>
      </c>
      <c r="N67" s="64">
        <v>418.5</v>
      </c>
      <c r="O67" s="64">
        <v>0</v>
      </c>
      <c r="P67" s="64">
        <v>0.49</v>
      </c>
      <c r="Q67" s="64">
        <v>9.41</v>
      </c>
      <c r="R67" s="198"/>
      <c r="S67" s="198"/>
      <c r="T67" s="198"/>
      <c r="U67" s="198"/>
    </row>
    <row r="68" spans="1:21" s="12" customFormat="1" x14ac:dyDescent="0.25">
      <c r="A68" s="214" t="s">
        <v>1171</v>
      </c>
      <c r="B68" s="64">
        <v>0.1</v>
      </c>
      <c r="C68" s="64">
        <v>40.97</v>
      </c>
      <c r="D68" s="64">
        <v>21.4</v>
      </c>
      <c r="E68" s="64">
        <v>1.18</v>
      </c>
      <c r="F68" s="64">
        <v>4.99</v>
      </c>
      <c r="G68" s="64">
        <v>29.63</v>
      </c>
      <c r="H68" s="64">
        <v>16.89</v>
      </c>
      <c r="I68" s="64">
        <v>6.39</v>
      </c>
      <c r="J68" s="64">
        <v>0.74</v>
      </c>
      <c r="K68" s="64">
        <v>111.25</v>
      </c>
      <c r="L68" s="64">
        <v>31.09</v>
      </c>
      <c r="M68" s="64">
        <v>32.71</v>
      </c>
      <c r="N68" s="64">
        <v>246.3</v>
      </c>
      <c r="O68" s="64">
        <v>0</v>
      </c>
      <c r="P68" s="64">
        <v>0.49</v>
      </c>
      <c r="Q68" s="64">
        <v>9.3800000000000008</v>
      </c>
      <c r="R68" s="198"/>
      <c r="S68" s="198"/>
      <c r="T68" s="198"/>
      <c r="U68" s="198"/>
    </row>
    <row r="69" spans="1:21" s="12" customFormat="1" x14ac:dyDescent="0.25">
      <c r="A69" s="214" t="s">
        <v>1172</v>
      </c>
      <c r="B69" s="64">
        <v>0.1</v>
      </c>
      <c r="C69" s="64">
        <v>39.65</v>
      </c>
      <c r="D69" s="64">
        <v>20.71</v>
      </c>
      <c r="E69" s="64">
        <v>1.36</v>
      </c>
      <c r="F69" s="64">
        <v>4.99</v>
      </c>
      <c r="G69" s="64">
        <v>29.99</v>
      </c>
      <c r="H69" s="64">
        <v>14.95</v>
      </c>
      <c r="I69" s="64">
        <v>6.36</v>
      </c>
      <c r="J69" s="64">
        <v>1.19</v>
      </c>
      <c r="K69" s="64">
        <v>153.02000000000001</v>
      </c>
      <c r="L69" s="64">
        <v>30.94</v>
      </c>
      <c r="M69" s="64">
        <v>32.53</v>
      </c>
      <c r="N69" s="64">
        <v>212.3</v>
      </c>
      <c r="O69" s="64">
        <v>0</v>
      </c>
      <c r="P69" s="64">
        <v>0.48</v>
      </c>
      <c r="Q69" s="64">
        <v>9.31</v>
      </c>
      <c r="R69" s="198"/>
      <c r="S69" s="198"/>
      <c r="T69" s="198"/>
      <c r="U69" s="198"/>
    </row>
    <row r="70" spans="1:21" s="12" customFormat="1" x14ac:dyDescent="0.25">
      <c r="A70" s="214" t="s">
        <v>1173</v>
      </c>
      <c r="B70" s="64">
        <v>0.1</v>
      </c>
      <c r="C70" s="64">
        <v>37.22</v>
      </c>
      <c r="D70" s="64">
        <v>19.440000000000001</v>
      </c>
      <c r="E70" s="64">
        <v>1.35</v>
      </c>
      <c r="F70" s="64">
        <v>5.21</v>
      </c>
      <c r="G70" s="64">
        <v>29.99</v>
      </c>
      <c r="H70" s="64">
        <v>14.95</v>
      </c>
      <c r="I70" s="64">
        <v>6.46</v>
      </c>
      <c r="J70" s="64">
        <v>0.26</v>
      </c>
      <c r="K70" s="64">
        <v>124.61</v>
      </c>
      <c r="L70" s="64">
        <v>31.15</v>
      </c>
      <c r="M70" s="64">
        <v>32.270000000000003</v>
      </c>
      <c r="N70" s="64">
        <v>252.9</v>
      </c>
      <c r="O70" s="64">
        <v>0</v>
      </c>
      <c r="P70" s="64">
        <v>0.48</v>
      </c>
      <c r="Q70" s="64">
        <v>9.26</v>
      </c>
      <c r="R70" s="198"/>
      <c r="S70" s="198"/>
      <c r="T70" s="198"/>
      <c r="U70" s="198"/>
    </row>
    <row r="71" spans="1:21" s="12" customFormat="1" x14ac:dyDescent="0.25">
      <c r="A71" s="214" t="s">
        <v>1174</v>
      </c>
      <c r="B71" s="64">
        <v>0.1</v>
      </c>
      <c r="C71" s="64">
        <v>38.08</v>
      </c>
      <c r="D71" s="64">
        <v>19.899999999999999</v>
      </c>
      <c r="E71" s="64">
        <v>1.44</v>
      </c>
      <c r="F71" s="64">
        <v>5.14</v>
      </c>
      <c r="G71" s="64">
        <v>29.99</v>
      </c>
      <c r="H71" s="64">
        <v>14.95</v>
      </c>
      <c r="I71" s="64">
        <v>6.44</v>
      </c>
      <c r="J71" s="64">
        <v>0.6</v>
      </c>
      <c r="K71" s="64">
        <v>156.19</v>
      </c>
      <c r="L71" s="64">
        <v>31.23</v>
      </c>
      <c r="M71" s="64">
        <v>31.78</v>
      </c>
      <c r="N71" s="64">
        <v>212.1</v>
      </c>
      <c r="O71" s="64">
        <v>0</v>
      </c>
      <c r="P71" s="64">
        <v>0.48</v>
      </c>
      <c r="Q71" s="64">
        <v>9.49</v>
      </c>
      <c r="R71" s="198"/>
      <c r="S71" s="198"/>
      <c r="T71" s="198"/>
      <c r="U71" s="198"/>
    </row>
    <row r="72" spans="1:21" s="12" customFormat="1" x14ac:dyDescent="0.25">
      <c r="A72" s="214" t="s">
        <v>1175</v>
      </c>
      <c r="B72" s="64">
        <v>0.1</v>
      </c>
      <c r="C72" s="64">
        <v>30.23</v>
      </c>
      <c r="D72" s="64">
        <v>15.79</v>
      </c>
      <c r="E72" s="64">
        <v>1.33</v>
      </c>
      <c r="F72" s="64">
        <v>5.35</v>
      </c>
      <c r="G72" s="64">
        <v>29.96</v>
      </c>
      <c r="H72" s="64">
        <v>14.93</v>
      </c>
      <c r="I72" s="64">
        <v>6.33</v>
      </c>
      <c r="J72" s="64">
        <v>0.84</v>
      </c>
      <c r="K72" s="64">
        <v>143.9</v>
      </c>
      <c r="L72" s="64">
        <v>31.01</v>
      </c>
      <c r="M72" s="64">
        <v>31.23</v>
      </c>
      <c r="N72" s="64">
        <v>187.5</v>
      </c>
      <c r="O72" s="64">
        <v>0</v>
      </c>
      <c r="P72" s="64">
        <v>0.47</v>
      </c>
      <c r="Q72" s="64">
        <v>9.36</v>
      </c>
      <c r="R72" s="198"/>
      <c r="S72" s="198"/>
      <c r="T72" s="198"/>
      <c r="U72" s="198"/>
    </row>
    <row r="73" spans="1:21" s="12" customFormat="1" x14ac:dyDescent="0.25">
      <c r="A73" s="214" t="s">
        <v>1176</v>
      </c>
      <c r="B73" s="64">
        <v>0.1</v>
      </c>
      <c r="C73" s="64">
        <v>27.21</v>
      </c>
      <c r="D73" s="64">
        <v>14.21</v>
      </c>
      <c r="E73" s="64">
        <v>1.1200000000000001</v>
      </c>
      <c r="F73" s="64">
        <v>4.72</v>
      </c>
      <c r="G73" s="64">
        <v>29.51</v>
      </c>
      <c r="H73" s="64">
        <v>14.7</v>
      </c>
      <c r="I73" s="64">
        <v>6.19</v>
      </c>
      <c r="J73" s="64">
        <v>0.64</v>
      </c>
      <c r="K73" s="64">
        <v>146.49</v>
      </c>
      <c r="L73" s="64">
        <v>30.93</v>
      </c>
      <c r="M73" s="64">
        <v>32.33</v>
      </c>
      <c r="N73" s="64">
        <v>174.2</v>
      </c>
      <c r="O73" s="64">
        <v>0</v>
      </c>
      <c r="P73" s="64">
        <v>0.47</v>
      </c>
      <c r="Q73" s="64">
        <v>9.23</v>
      </c>
      <c r="R73" s="198"/>
      <c r="S73" s="198"/>
      <c r="T73" s="198"/>
      <c r="U73" s="198"/>
    </row>
    <row r="74" spans="1:21" s="12" customFormat="1" x14ac:dyDescent="0.25">
      <c r="A74" s="214" t="s">
        <v>1177</v>
      </c>
      <c r="B74" s="64">
        <v>0.1</v>
      </c>
      <c r="C74" s="64">
        <v>28.52</v>
      </c>
      <c r="D74" s="64">
        <v>14.9</v>
      </c>
      <c r="E74" s="64">
        <v>0.91</v>
      </c>
      <c r="F74" s="64">
        <v>4.74</v>
      </c>
      <c r="G74" s="64">
        <v>29.51</v>
      </c>
      <c r="H74" s="64">
        <v>14.7</v>
      </c>
      <c r="I74" s="64">
        <v>6.24</v>
      </c>
      <c r="J74" s="64">
        <v>1.1100000000000001</v>
      </c>
      <c r="K74" s="64">
        <v>153.49</v>
      </c>
      <c r="L74" s="64">
        <v>30.77</v>
      </c>
      <c r="M74" s="64">
        <v>32.32</v>
      </c>
      <c r="N74" s="64">
        <v>142.6</v>
      </c>
      <c r="O74" s="64">
        <v>0</v>
      </c>
      <c r="P74" s="64">
        <v>0.46</v>
      </c>
      <c r="Q74" s="64">
        <v>9.24</v>
      </c>
      <c r="R74" s="198"/>
      <c r="S74" s="198"/>
      <c r="T74" s="198"/>
      <c r="U74" s="198"/>
    </row>
    <row r="75" spans="1:21" s="12" customFormat="1" x14ac:dyDescent="0.25">
      <c r="A75" s="214" t="s">
        <v>1178</v>
      </c>
      <c r="B75" s="64">
        <v>0.1</v>
      </c>
      <c r="C75" s="64">
        <v>29.96</v>
      </c>
      <c r="D75" s="64">
        <v>15.65</v>
      </c>
      <c r="E75" s="64">
        <v>1.1000000000000001</v>
      </c>
      <c r="F75" s="64">
        <v>4.63</v>
      </c>
      <c r="G75" s="64">
        <v>29.51</v>
      </c>
      <c r="H75" s="64">
        <v>14.7</v>
      </c>
      <c r="I75" s="64">
        <v>6.36</v>
      </c>
      <c r="J75" s="64">
        <v>0.92</v>
      </c>
      <c r="K75" s="64">
        <v>156.57</v>
      </c>
      <c r="L75" s="64">
        <v>30.72</v>
      </c>
      <c r="M75" s="64">
        <v>32.520000000000003</v>
      </c>
      <c r="N75" s="64">
        <v>127.8</v>
      </c>
      <c r="O75" s="64">
        <v>0</v>
      </c>
      <c r="P75" s="64">
        <v>0.46</v>
      </c>
      <c r="Q75" s="64">
        <v>9.26</v>
      </c>
      <c r="R75" s="198"/>
      <c r="S75" s="198"/>
      <c r="T75" s="198"/>
      <c r="U75" s="198"/>
    </row>
    <row r="76" spans="1:21" s="12" customFormat="1" x14ac:dyDescent="0.25">
      <c r="A76" s="214" t="s">
        <v>1179</v>
      </c>
      <c r="B76" s="64">
        <v>0.1</v>
      </c>
      <c r="C76" s="64">
        <v>30.89</v>
      </c>
      <c r="D76" s="64">
        <v>16.14</v>
      </c>
      <c r="E76" s="64">
        <v>0.92</v>
      </c>
      <c r="F76" s="64">
        <v>4.42</v>
      </c>
      <c r="G76" s="64">
        <v>29.69</v>
      </c>
      <c r="H76" s="64">
        <v>14.46</v>
      </c>
      <c r="I76" s="64">
        <v>6.47</v>
      </c>
      <c r="J76" s="64">
        <v>0.95</v>
      </c>
      <c r="K76" s="64">
        <v>154.22</v>
      </c>
      <c r="L76" s="64">
        <v>30.52</v>
      </c>
      <c r="M76" s="64">
        <v>33.020000000000003</v>
      </c>
      <c r="N76" s="64">
        <v>96.5</v>
      </c>
      <c r="O76" s="64">
        <v>0</v>
      </c>
      <c r="P76" s="64">
        <v>0.45</v>
      </c>
      <c r="Q76" s="64">
        <v>9.39</v>
      </c>
      <c r="R76" s="198"/>
      <c r="S76" s="198"/>
      <c r="T76" s="198"/>
      <c r="U76" s="198"/>
    </row>
    <row r="77" spans="1:21" s="12" customFormat="1" x14ac:dyDescent="0.25">
      <c r="A77" s="214" t="s">
        <v>1180</v>
      </c>
      <c r="B77" s="64">
        <v>0.1</v>
      </c>
      <c r="C77" s="64">
        <v>32.15</v>
      </c>
      <c r="D77" s="64">
        <v>16.8</v>
      </c>
      <c r="E77" s="64">
        <v>1.25</v>
      </c>
      <c r="F77" s="64">
        <v>4.34</v>
      </c>
      <c r="G77" s="64">
        <v>32.25</v>
      </c>
      <c r="H77" s="64">
        <v>11.01</v>
      </c>
      <c r="I77" s="64">
        <v>6.47</v>
      </c>
      <c r="J77" s="64">
        <v>1.3</v>
      </c>
      <c r="K77" s="64">
        <v>148.84</v>
      </c>
      <c r="L77" s="64">
        <v>30.34</v>
      </c>
      <c r="M77" s="64">
        <v>33.409999999999997</v>
      </c>
      <c r="N77" s="64">
        <v>70.7</v>
      </c>
      <c r="O77" s="64">
        <v>0</v>
      </c>
      <c r="P77" s="64">
        <v>0.45</v>
      </c>
      <c r="Q77" s="64">
        <v>9.3699999999999992</v>
      </c>
      <c r="R77" s="198"/>
      <c r="S77" s="198"/>
      <c r="T77" s="198"/>
      <c r="U77" s="198"/>
    </row>
    <row r="78" spans="1:21" s="12" customFormat="1" x14ac:dyDescent="0.25">
      <c r="A78" s="214" t="s">
        <v>1181</v>
      </c>
      <c r="B78" s="64">
        <v>0.1</v>
      </c>
      <c r="C78" s="64">
        <v>32.97</v>
      </c>
      <c r="D78" s="64">
        <v>17.23</v>
      </c>
      <c r="E78" s="64">
        <v>1.22</v>
      </c>
      <c r="F78" s="64">
        <v>4.34</v>
      </c>
      <c r="G78" s="64">
        <v>32.25</v>
      </c>
      <c r="H78" s="64">
        <v>11.01</v>
      </c>
      <c r="I78" s="64">
        <v>6.52</v>
      </c>
      <c r="J78" s="64">
        <v>0.68</v>
      </c>
      <c r="K78" s="64">
        <v>158.9</v>
      </c>
      <c r="L78" s="64">
        <v>30.11</v>
      </c>
      <c r="M78" s="64">
        <v>34.700000000000003</v>
      </c>
      <c r="N78" s="64">
        <v>36.200000000000003</v>
      </c>
      <c r="O78" s="64">
        <v>0</v>
      </c>
      <c r="P78" s="64">
        <v>0.45</v>
      </c>
      <c r="Q78" s="64">
        <v>9.33</v>
      </c>
      <c r="R78" s="198"/>
      <c r="S78" s="198"/>
      <c r="T78" s="198"/>
      <c r="U78" s="198"/>
    </row>
    <row r="79" spans="1:21" s="12" customFormat="1" x14ac:dyDescent="0.25">
      <c r="A79" s="214" t="s">
        <v>1182</v>
      </c>
      <c r="B79" s="64">
        <v>0.1</v>
      </c>
      <c r="C79" s="64">
        <v>35.89</v>
      </c>
      <c r="D79" s="64">
        <v>18.75</v>
      </c>
      <c r="E79" s="64">
        <v>1.23</v>
      </c>
      <c r="F79" s="64">
        <v>4.38</v>
      </c>
      <c r="G79" s="64">
        <v>32.25</v>
      </c>
      <c r="H79" s="64">
        <v>11.01</v>
      </c>
      <c r="I79" s="64">
        <v>6.57</v>
      </c>
      <c r="J79" s="64">
        <v>0.2</v>
      </c>
      <c r="K79" s="64">
        <v>103.03</v>
      </c>
      <c r="L79" s="64">
        <v>29.85</v>
      </c>
      <c r="M79" s="64">
        <v>35.03</v>
      </c>
      <c r="N79" s="64">
        <v>27.1</v>
      </c>
      <c r="O79" s="64">
        <v>0</v>
      </c>
      <c r="P79" s="64">
        <v>0.46</v>
      </c>
      <c r="Q79" s="64">
        <v>9.2100000000000009</v>
      </c>
      <c r="R79" s="198"/>
      <c r="S79" s="198"/>
      <c r="T79" s="198"/>
      <c r="U79" s="198"/>
    </row>
    <row r="80" spans="1:21" s="12" customFormat="1" x14ac:dyDescent="0.25">
      <c r="A80" s="214" t="s">
        <v>1183</v>
      </c>
      <c r="B80" s="64">
        <v>0.18</v>
      </c>
      <c r="C80" s="64">
        <v>38.64</v>
      </c>
      <c r="D80" s="64">
        <v>20.25</v>
      </c>
      <c r="E80" s="64">
        <v>1.49</v>
      </c>
      <c r="F80" s="64">
        <v>4.3099999999999996</v>
      </c>
      <c r="G80" s="64">
        <v>32.96</v>
      </c>
      <c r="H80" s="64">
        <v>11.2</v>
      </c>
      <c r="I80" s="64">
        <v>6.61</v>
      </c>
      <c r="J80" s="64">
        <v>0.09</v>
      </c>
      <c r="K80" s="64">
        <v>329.88</v>
      </c>
      <c r="L80" s="64">
        <v>29.22</v>
      </c>
      <c r="M80" s="64">
        <v>41.23</v>
      </c>
      <c r="N80" s="64">
        <v>21.5</v>
      </c>
      <c r="O80" s="64">
        <v>0</v>
      </c>
      <c r="P80" s="64">
        <v>0.53</v>
      </c>
      <c r="Q80" s="64">
        <v>9.3800000000000008</v>
      </c>
      <c r="R80" s="198"/>
      <c r="S80" s="198"/>
      <c r="T80" s="198"/>
      <c r="U80" s="198"/>
    </row>
    <row r="81" spans="1:26" s="12" customFormat="1" x14ac:dyDescent="0.25">
      <c r="A81" s="214" t="s">
        <v>1184</v>
      </c>
      <c r="B81" s="64">
        <v>1.1100000000000001</v>
      </c>
      <c r="C81" s="64">
        <v>42.71</v>
      </c>
      <c r="D81" s="64">
        <v>23.12</v>
      </c>
      <c r="E81" s="64">
        <v>1.26</v>
      </c>
      <c r="F81" s="64">
        <v>3.89</v>
      </c>
      <c r="G81" s="64">
        <v>42.86</v>
      </c>
      <c r="H81" s="64">
        <v>13.9</v>
      </c>
      <c r="I81" s="64">
        <v>6.68</v>
      </c>
      <c r="J81" s="64">
        <v>0.19</v>
      </c>
      <c r="K81" s="64">
        <v>24.09</v>
      </c>
      <c r="L81" s="64">
        <v>28.55</v>
      </c>
      <c r="M81" s="64">
        <v>46.61</v>
      </c>
      <c r="N81" s="64">
        <v>18.5</v>
      </c>
      <c r="O81" s="64">
        <v>0</v>
      </c>
      <c r="P81" s="64">
        <v>0.59</v>
      </c>
      <c r="Q81" s="64">
        <v>9.34</v>
      </c>
      <c r="R81" s="198"/>
      <c r="S81" s="198"/>
      <c r="T81" s="198"/>
      <c r="U81" s="198"/>
    </row>
    <row r="82" spans="1:26" s="12" customFormat="1" x14ac:dyDescent="0.25">
      <c r="A82" s="214" t="s">
        <v>1185</v>
      </c>
      <c r="B82" s="64">
        <v>2.62</v>
      </c>
      <c r="C82" s="64">
        <v>44.19</v>
      </c>
      <c r="D82" s="64">
        <v>25.11</v>
      </c>
      <c r="E82" s="64">
        <v>1.66</v>
      </c>
      <c r="F82" s="64">
        <v>3.66</v>
      </c>
      <c r="G82" s="64">
        <v>42.86</v>
      </c>
      <c r="H82" s="64">
        <v>13.9</v>
      </c>
      <c r="I82" s="64">
        <v>6.6</v>
      </c>
      <c r="J82" s="64">
        <v>0.15</v>
      </c>
      <c r="K82" s="64">
        <v>270.91000000000003</v>
      </c>
      <c r="L82" s="64">
        <v>28.34</v>
      </c>
      <c r="M82" s="64">
        <v>43.86</v>
      </c>
      <c r="N82" s="64">
        <v>16.899999999999999</v>
      </c>
      <c r="O82" s="64">
        <v>0</v>
      </c>
      <c r="P82" s="64">
        <v>0.67</v>
      </c>
      <c r="Q82" s="64">
        <v>9.4499999999999993</v>
      </c>
      <c r="R82" s="198"/>
      <c r="S82" s="198"/>
      <c r="T82" s="198"/>
      <c r="U82" s="198"/>
    </row>
    <row r="83" spans="1:26" s="12" customFormat="1" x14ac:dyDescent="0.25">
      <c r="A83" s="214" t="s">
        <v>1186</v>
      </c>
      <c r="B83" s="64">
        <v>4.22</v>
      </c>
      <c r="C83" s="64">
        <v>44.04</v>
      </c>
      <c r="D83" s="64">
        <v>26.32</v>
      </c>
      <c r="E83" s="64">
        <v>1.56</v>
      </c>
      <c r="F83" s="64">
        <v>3.62</v>
      </c>
      <c r="G83" s="64">
        <v>42.86</v>
      </c>
      <c r="H83" s="64">
        <v>13.9</v>
      </c>
      <c r="I83" s="64">
        <v>6.67</v>
      </c>
      <c r="J83" s="64">
        <v>0.25</v>
      </c>
      <c r="K83" s="64">
        <v>40.549999999999997</v>
      </c>
      <c r="L83" s="64">
        <v>28.12</v>
      </c>
      <c r="M83" s="64">
        <v>49.81</v>
      </c>
      <c r="N83" s="64">
        <v>16.899999999999999</v>
      </c>
      <c r="O83" s="64">
        <v>0</v>
      </c>
      <c r="P83" s="64">
        <v>0.75</v>
      </c>
      <c r="Q83" s="64">
        <v>9.2799999999999994</v>
      </c>
      <c r="R83" s="198"/>
      <c r="S83" s="198"/>
      <c r="T83" s="198"/>
      <c r="U83" s="198"/>
    </row>
    <row r="84" spans="1:26" s="12" customFormat="1" x14ac:dyDescent="0.25">
      <c r="A84" s="214" t="s">
        <v>1187</v>
      </c>
      <c r="B84" s="64">
        <v>6.05</v>
      </c>
      <c r="C84" s="64">
        <v>44.44</v>
      </c>
      <c r="D84" s="64">
        <v>27.99</v>
      </c>
      <c r="E84" s="64">
        <v>1.1499999999999999</v>
      </c>
      <c r="F84" s="64">
        <v>3.54</v>
      </c>
      <c r="G84" s="64">
        <v>43.78</v>
      </c>
      <c r="H84" s="64">
        <v>14.04</v>
      </c>
      <c r="I84" s="64">
        <v>7.01</v>
      </c>
      <c r="J84" s="64">
        <v>0.36</v>
      </c>
      <c r="K84" s="64">
        <v>107.6</v>
      </c>
      <c r="L84" s="64">
        <v>27.55</v>
      </c>
      <c r="M84" s="64">
        <v>57.52</v>
      </c>
      <c r="N84" s="64">
        <v>16.899999999999999</v>
      </c>
      <c r="O84" s="64">
        <v>0</v>
      </c>
      <c r="P84" s="64">
        <v>0.81</v>
      </c>
      <c r="Q84" s="64">
        <v>9.43</v>
      </c>
      <c r="R84" s="198"/>
      <c r="S84" s="198"/>
      <c r="T84" s="198"/>
      <c r="U84" s="198"/>
    </row>
    <row r="85" spans="1:26" s="12" customFormat="1" x14ac:dyDescent="0.25">
      <c r="A85" s="214" t="s">
        <v>1188</v>
      </c>
      <c r="B85" s="64">
        <v>7</v>
      </c>
      <c r="C85" s="64">
        <v>45</v>
      </c>
      <c r="D85" s="64">
        <v>29.05</v>
      </c>
      <c r="E85" s="64">
        <v>1.67</v>
      </c>
      <c r="F85" s="64">
        <v>3.41</v>
      </c>
      <c r="G85" s="64">
        <v>56.63</v>
      </c>
      <c r="H85" s="64">
        <v>16.04</v>
      </c>
      <c r="I85" s="64">
        <v>7.08</v>
      </c>
      <c r="J85" s="64">
        <v>0.45</v>
      </c>
      <c r="K85" s="64">
        <v>193.28</v>
      </c>
      <c r="L85" s="64">
        <v>27.88</v>
      </c>
      <c r="M85" s="64">
        <v>51.11</v>
      </c>
      <c r="N85" s="64">
        <v>16.100000000000001</v>
      </c>
      <c r="O85" s="64">
        <v>0</v>
      </c>
      <c r="P85" s="64">
        <v>0.8</v>
      </c>
      <c r="Q85" s="64">
        <v>9.4600000000000009</v>
      </c>
      <c r="R85" s="198"/>
      <c r="S85" s="198"/>
      <c r="T85" s="198"/>
      <c r="U85" s="198"/>
    </row>
    <row r="86" spans="1:26" s="12" customFormat="1" x14ac:dyDescent="0.25">
      <c r="A86" s="214" t="s">
        <v>1189</v>
      </c>
      <c r="B86" s="64">
        <v>8.64</v>
      </c>
      <c r="C86" s="64">
        <v>45.93</v>
      </c>
      <c r="D86" s="64">
        <v>30.84</v>
      </c>
      <c r="E86" s="64">
        <v>1.38</v>
      </c>
      <c r="F86" s="64">
        <v>3.58</v>
      </c>
      <c r="G86" s="64">
        <v>56.63</v>
      </c>
      <c r="H86" s="64">
        <v>16.04</v>
      </c>
      <c r="I86" s="64">
        <v>7.28</v>
      </c>
      <c r="J86" s="64">
        <v>0.09</v>
      </c>
      <c r="K86" s="64">
        <v>140.52000000000001</v>
      </c>
      <c r="L86" s="64">
        <v>28.05</v>
      </c>
      <c r="M86" s="64">
        <v>48.86</v>
      </c>
      <c r="N86" s="64">
        <v>16.600000000000001</v>
      </c>
      <c r="O86" s="64">
        <v>0</v>
      </c>
      <c r="P86" s="64">
        <v>0.88</v>
      </c>
      <c r="Q86" s="64">
        <v>9.24</v>
      </c>
      <c r="R86" s="198"/>
      <c r="S86" s="198"/>
      <c r="T86" s="198"/>
      <c r="U86" s="198"/>
    </row>
    <row r="87" spans="1:26" s="12" customFormat="1" x14ac:dyDescent="0.25">
      <c r="A87" s="214" t="s">
        <v>1190</v>
      </c>
      <c r="B87" s="64">
        <v>11.8</v>
      </c>
      <c r="C87" s="64">
        <v>46.96</v>
      </c>
      <c r="D87" s="64">
        <v>33.92</v>
      </c>
      <c r="E87" s="64">
        <v>1.1599999999999999</v>
      </c>
      <c r="F87" s="64">
        <v>3.65</v>
      </c>
      <c r="G87" s="64">
        <v>56.63</v>
      </c>
      <c r="H87" s="64">
        <v>16.04</v>
      </c>
      <c r="I87" s="64">
        <v>7.37</v>
      </c>
      <c r="J87" s="64">
        <v>0.25</v>
      </c>
      <c r="K87" s="64">
        <v>25.82</v>
      </c>
      <c r="L87" s="64">
        <v>27.48</v>
      </c>
      <c r="M87" s="64">
        <v>58.65</v>
      </c>
      <c r="N87" s="64">
        <v>17</v>
      </c>
      <c r="O87" s="64">
        <v>0</v>
      </c>
      <c r="P87" s="64">
        <v>1.01</v>
      </c>
      <c r="Q87" s="64">
        <v>9.48</v>
      </c>
      <c r="R87" s="198"/>
      <c r="S87" s="198"/>
      <c r="T87" s="198"/>
      <c r="U87" s="198"/>
    </row>
    <row r="88" spans="1:26" s="12" customFormat="1" x14ac:dyDescent="0.25">
      <c r="A88" s="214" t="s">
        <v>1191</v>
      </c>
      <c r="B88" s="64">
        <v>15.67</v>
      </c>
      <c r="C88" s="64">
        <v>47.04</v>
      </c>
      <c r="D88" s="64">
        <v>37.06</v>
      </c>
      <c r="E88" s="64">
        <v>0.68</v>
      </c>
      <c r="F88" s="64">
        <v>3.49</v>
      </c>
      <c r="G88" s="64">
        <v>58.14</v>
      </c>
      <c r="H88" s="64">
        <v>16.559999999999999</v>
      </c>
      <c r="I88" s="64">
        <v>7.63</v>
      </c>
      <c r="J88" s="64">
        <v>0.02</v>
      </c>
      <c r="K88" s="64">
        <v>63.42</v>
      </c>
      <c r="L88" s="64">
        <v>27.24</v>
      </c>
      <c r="M88" s="64">
        <v>56.49</v>
      </c>
      <c r="N88" s="64">
        <v>16.899999999999999</v>
      </c>
      <c r="O88" s="64">
        <v>0</v>
      </c>
      <c r="P88" s="64">
        <v>1.19</v>
      </c>
      <c r="Q88" s="64">
        <v>9.35</v>
      </c>
      <c r="R88" s="198"/>
      <c r="S88" s="198"/>
      <c r="T88" s="198"/>
      <c r="U88" s="198"/>
    </row>
    <row r="89" spans="1:26" s="12" customFormat="1" x14ac:dyDescent="0.25">
      <c r="A89" s="214" t="s">
        <v>1192</v>
      </c>
      <c r="B89" s="64">
        <v>19.07</v>
      </c>
      <c r="C89" s="64">
        <v>47.82</v>
      </c>
      <c r="D89" s="64">
        <v>40.200000000000003</v>
      </c>
      <c r="E89" s="64">
        <v>0.34</v>
      </c>
      <c r="F89" s="64">
        <v>3.12</v>
      </c>
      <c r="G89" s="64">
        <v>79.290000000000006</v>
      </c>
      <c r="H89" s="64">
        <v>25.42</v>
      </c>
      <c r="I89" s="64">
        <v>8.1999999999999993</v>
      </c>
      <c r="J89" s="64">
        <v>0.32</v>
      </c>
      <c r="K89" s="64">
        <v>349.57</v>
      </c>
      <c r="L89" s="64">
        <v>26.96</v>
      </c>
      <c r="M89" s="64">
        <v>60.42</v>
      </c>
      <c r="N89" s="64">
        <v>16.8</v>
      </c>
      <c r="O89" s="64">
        <v>0</v>
      </c>
      <c r="P89" s="64">
        <v>1.29</v>
      </c>
      <c r="Q89" s="64">
        <v>9.57</v>
      </c>
      <c r="R89" s="198"/>
      <c r="S89" s="198"/>
      <c r="T89" s="198"/>
      <c r="U89" s="198"/>
    </row>
    <row r="90" spans="1:26" s="12" customFormat="1" x14ac:dyDescent="0.25">
      <c r="A90" s="214" t="s">
        <v>1193</v>
      </c>
      <c r="B90" s="64">
        <v>21.39</v>
      </c>
      <c r="C90" s="64">
        <v>50.91</v>
      </c>
      <c r="D90" s="64">
        <v>43.67</v>
      </c>
      <c r="E90" s="64">
        <v>0.32</v>
      </c>
      <c r="F90" s="64">
        <v>3.62</v>
      </c>
      <c r="G90" s="64">
        <v>79.290000000000006</v>
      </c>
      <c r="H90" s="64">
        <v>25.42</v>
      </c>
      <c r="I90" s="64">
        <v>8.85</v>
      </c>
      <c r="J90" s="64">
        <v>3.94</v>
      </c>
      <c r="K90" s="64">
        <v>3.49</v>
      </c>
      <c r="L90" s="64">
        <v>25.97</v>
      </c>
      <c r="M90" s="64">
        <v>53.35</v>
      </c>
      <c r="N90" s="64">
        <v>18.899999999999999</v>
      </c>
      <c r="O90" s="64">
        <v>0</v>
      </c>
      <c r="P90" s="64">
        <v>1.35</v>
      </c>
      <c r="Q90" s="64">
        <v>9.51</v>
      </c>
      <c r="R90" s="198"/>
      <c r="S90" s="198"/>
      <c r="T90" s="198"/>
      <c r="U90" s="198"/>
    </row>
    <row r="91" spans="1:26" s="12" customFormat="1" x14ac:dyDescent="0.25">
      <c r="A91" s="214" t="s">
        <v>1194</v>
      </c>
      <c r="B91" s="64">
        <v>16.14</v>
      </c>
      <c r="C91" s="64">
        <v>54.33</v>
      </c>
      <c r="D91" s="64">
        <v>41.25</v>
      </c>
      <c r="E91" s="64">
        <v>0.56999999999999995</v>
      </c>
      <c r="F91" s="64">
        <v>4.2699999999999996</v>
      </c>
      <c r="G91" s="64">
        <v>79.290000000000006</v>
      </c>
      <c r="H91" s="64">
        <v>25.42</v>
      </c>
      <c r="I91" s="64">
        <v>9.41</v>
      </c>
      <c r="J91" s="64">
        <v>3.94</v>
      </c>
      <c r="K91" s="64">
        <v>0.79</v>
      </c>
      <c r="L91" s="64">
        <v>24.28</v>
      </c>
      <c r="M91" s="64">
        <v>51.4</v>
      </c>
      <c r="N91" s="64">
        <v>19.100000000000001</v>
      </c>
      <c r="O91" s="64">
        <v>0</v>
      </c>
      <c r="P91" s="64">
        <v>1.2</v>
      </c>
      <c r="Q91" s="64">
        <v>9.5399999999999991</v>
      </c>
      <c r="R91" s="198"/>
      <c r="S91" s="198"/>
      <c r="T91" s="198"/>
      <c r="U91" s="198"/>
    </row>
    <row r="92" spans="1:26" s="12" customFormat="1" x14ac:dyDescent="0.25">
      <c r="A92" s="214" t="s">
        <v>1195</v>
      </c>
      <c r="B92" s="64">
        <v>9.49</v>
      </c>
      <c r="C92" s="64">
        <v>56.18</v>
      </c>
      <c r="D92" s="64">
        <v>36.880000000000003</v>
      </c>
      <c r="E92" s="64">
        <v>0.28000000000000003</v>
      </c>
      <c r="F92" s="64">
        <v>4.3099999999999996</v>
      </c>
      <c r="G92" s="64">
        <v>80.19</v>
      </c>
      <c r="H92" s="64">
        <v>25.18</v>
      </c>
      <c r="I92" s="64">
        <v>9.7200000000000006</v>
      </c>
      <c r="J92" s="64">
        <v>3.73</v>
      </c>
      <c r="K92" s="64">
        <v>2.0699999999999998</v>
      </c>
      <c r="L92" s="64">
        <v>23.48</v>
      </c>
      <c r="M92" s="64">
        <v>53.32</v>
      </c>
      <c r="N92" s="64">
        <v>17.7</v>
      </c>
      <c r="O92" s="64">
        <v>0</v>
      </c>
      <c r="P92" s="64">
        <v>1.05</v>
      </c>
      <c r="Q92" s="64">
        <v>9.43</v>
      </c>
      <c r="R92" s="198"/>
      <c r="S92" s="198"/>
      <c r="T92" s="198"/>
      <c r="U92" s="198"/>
    </row>
    <row r="93" spans="1:26" s="12" customFormat="1" x14ac:dyDescent="0.25">
      <c r="A93" s="214" t="s">
        <v>1196</v>
      </c>
      <c r="B93" s="64">
        <v>5.07</v>
      </c>
      <c r="C93" s="64">
        <v>56.42</v>
      </c>
      <c r="D93" s="64">
        <v>33.46</v>
      </c>
      <c r="E93" s="64">
        <v>0.21</v>
      </c>
      <c r="F93" s="64">
        <v>4.55</v>
      </c>
      <c r="G93" s="64">
        <v>92.71</v>
      </c>
      <c r="H93" s="64">
        <v>21.81</v>
      </c>
      <c r="I93" s="64">
        <v>9.2200000000000006</v>
      </c>
      <c r="J93" s="64">
        <v>3.26</v>
      </c>
      <c r="K93" s="64">
        <v>2.34</v>
      </c>
      <c r="L93" s="64">
        <v>22.95</v>
      </c>
      <c r="M93" s="64">
        <v>54.9</v>
      </c>
      <c r="N93" s="64">
        <v>17.5</v>
      </c>
      <c r="O93" s="64">
        <v>0</v>
      </c>
      <c r="P93" s="64">
        <v>0.94</v>
      </c>
      <c r="Q93" s="64">
        <v>9.4600000000000009</v>
      </c>
      <c r="R93" s="198"/>
      <c r="S93" s="198"/>
      <c r="T93" s="198"/>
      <c r="U93" s="198"/>
    </row>
    <row r="94" spans="1:26" s="12" customFormat="1" x14ac:dyDescent="0.25">
      <c r="A94" s="214" t="s">
        <v>1197</v>
      </c>
      <c r="B94" s="64">
        <v>2.34</v>
      </c>
      <c r="C94" s="64">
        <v>54.54</v>
      </c>
      <c r="D94" s="64">
        <v>30.29</v>
      </c>
      <c r="E94" s="64">
        <v>0.1</v>
      </c>
      <c r="F94" s="64">
        <v>4.83</v>
      </c>
      <c r="G94" s="64">
        <v>92.71</v>
      </c>
      <c r="H94" s="64">
        <v>21.81</v>
      </c>
      <c r="I94" s="64">
        <v>8.48</v>
      </c>
      <c r="J94" s="64">
        <v>3.31</v>
      </c>
      <c r="K94" s="64">
        <v>0.71</v>
      </c>
      <c r="L94" s="64">
        <v>22.67</v>
      </c>
      <c r="M94" s="64">
        <v>56.88</v>
      </c>
      <c r="N94" s="64">
        <v>16.8</v>
      </c>
      <c r="O94" s="64">
        <v>0</v>
      </c>
      <c r="P94" s="64">
        <v>0.83</v>
      </c>
      <c r="Q94" s="64">
        <v>9.34</v>
      </c>
      <c r="R94" s="198"/>
      <c r="S94" s="198"/>
      <c r="T94" s="198"/>
      <c r="U94" s="198"/>
    </row>
    <row r="95" spans="1:26" s="12" customFormat="1" x14ac:dyDescent="0.25">
      <c r="A95" s="214" t="s">
        <v>1198</v>
      </c>
      <c r="B95" s="64">
        <v>0.76</v>
      </c>
      <c r="C95" s="64">
        <v>51.91</v>
      </c>
      <c r="D95" s="64">
        <v>27.65</v>
      </c>
      <c r="E95" s="64">
        <v>0</v>
      </c>
      <c r="F95" s="64">
        <v>5.28</v>
      </c>
      <c r="G95" s="64">
        <v>92.71</v>
      </c>
      <c r="H95" s="64">
        <v>21.81</v>
      </c>
      <c r="I95" s="64">
        <v>7.84</v>
      </c>
      <c r="J95" s="64">
        <v>2.74</v>
      </c>
      <c r="K95" s="64">
        <v>2.75</v>
      </c>
      <c r="L95" s="64">
        <v>22.4</v>
      </c>
      <c r="M95" s="64">
        <v>59.56</v>
      </c>
      <c r="N95" s="64">
        <v>15.9</v>
      </c>
      <c r="O95" s="64">
        <v>0</v>
      </c>
      <c r="P95" s="64">
        <v>0.75</v>
      </c>
      <c r="Q95" s="64">
        <v>9.19</v>
      </c>
      <c r="R95" s="198"/>
      <c r="S95" s="198"/>
      <c r="T95" s="198"/>
      <c r="U95" s="198"/>
    </row>
    <row r="96" spans="1:26" s="12" customFormat="1" x14ac:dyDescent="0.25">
      <c r="A96" s="214" t="s">
        <v>1199</v>
      </c>
      <c r="B96" s="64">
        <v>0.15</v>
      </c>
      <c r="C96" s="64">
        <v>49.8</v>
      </c>
      <c r="D96" s="64">
        <v>26.06</v>
      </c>
      <c r="E96" s="64">
        <v>0.15</v>
      </c>
      <c r="F96" s="64">
        <v>5.14</v>
      </c>
      <c r="G96" s="64">
        <v>90.51</v>
      </c>
      <c r="H96" s="64">
        <v>21.61</v>
      </c>
      <c r="I96" s="64">
        <v>7.4</v>
      </c>
      <c r="J96" s="64">
        <v>2.36</v>
      </c>
      <c r="K96" s="64">
        <v>5.17</v>
      </c>
      <c r="L96" s="64">
        <v>22.58</v>
      </c>
      <c r="M96" s="64">
        <v>57.63</v>
      </c>
      <c r="N96" s="64">
        <v>16.3</v>
      </c>
      <c r="O96" s="64">
        <v>0</v>
      </c>
      <c r="P96" s="64">
        <v>0.68</v>
      </c>
      <c r="Q96" s="64">
        <v>9.39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1200</v>
      </c>
      <c r="B97" s="64">
        <v>0.1</v>
      </c>
      <c r="C97" s="64">
        <v>46.58</v>
      </c>
      <c r="D97" s="64">
        <v>24.34</v>
      </c>
      <c r="E97" s="64">
        <v>0.35</v>
      </c>
      <c r="F97" s="64">
        <v>5.68</v>
      </c>
      <c r="G97" s="64">
        <v>59.69</v>
      </c>
      <c r="H97" s="64">
        <v>18.75</v>
      </c>
      <c r="I97" s="64">
        <v>6.98</v>
      </c>
      <c r="J97" s="64">
        <v>2.6</v>
      </c>
      <c r="K97" s="64">
        <v>1.48</v>
      </c>
      <c r="L97" s="64">
        <v>22.64</v>
      </c>
      <c r="M97" s="64">
        <v>56.97</v>
      </c>
      <c r="N97" s="64">
        <v>16.7</v>
      </c>
      <c r="O97" s="64">
        <v>0</v>
      </c>
      <c r="P97" s="64">
        <v>0.63</v>
      </c>
      <c r="Q97" s="64">
        <v>9.3699999999999992</v>
      </c>
      <c r="R97" s="198"/>
      <c r="S97" s="198"/>
      <c r="T97" s="198"/>
      <c r="U97" s="198"/>
    </row>
    <row r="98" spans="1:33" s="12" customFormat="1" x14ac:dyDescent="0.25">
      <c r="A98" s="214" t="s">
        <v>1201</v>
      </c>
      <c r="B98" s="64">
        <v>0.1</v>
      </c>
      <c r="C98" s="64">
        <v>42.71</v>
      </c>
      <c r="D98" s="64">
        <v>22.32</v>
      </c>
      <c r="E98" s="64">
        <v>0.24</v>
      </c>
      <c r="F98" s="64">
        <v>5.92</v>
      </c>
      <c r="G98" s="64">
        <v>59.69</v>
      </c>
      <c r="H98" s="64">
        <v>18.75</v>
      </c>
      <c r="I98" s="64">
        <v>6.78</v>
      </c>
      <c r="J98" s="64">
        <v>2.72</v>
      </c>
      <c r="K98" s="64">
        <v>4.28</v>
      </c>
      <c r="L98" s="64">
        <v>22.47</v>
      </c>
      <c r="M98" s="64">
        <v>56.7</v>
      </c>
      <c r="N98" s="64">
        <v>17</v>
      </c>
      <c r="O98" s="64">
        <v>0</v>
      </c>
      <c r="P98" s="64">
        <v>0.59</v>
      </c>
      <c r="Q98" s="64">
        <v>9.1999999999999993</v>
      </c>
      <c r="R98" s="198"/>
      <c r="S98" s="198"/>
      <c r="T98" s="198"/>
      <c r="U98" s="198"/>
    </row>
    <row r="99" spans="1:33" s="12" customFormat="1" x14ac:dyDescent="0.25">
      <c r="A99" s="214" t="s">
        <v>1202</v>
      </c>
      <c r="B99" s="64">
        <v>0.1</v>
      </c>
      <c r="C99" s="64">
        <v>38.909999999999997</v>
      </c>
      <c r="D99" s="64">
        <v>20.329999999999998</v>
      </c>
      <c r="E99" s="64">
        <v>0.05</v>
      </c>
      <c r="F99" s="64">
        <v>6.03</v>
      </c>
      <c r="G99" s="64">
        <v>59.69</v>
      </c>
      <c r="H99" s="64">
        <v>18.75</v>
      </c>
      <c r="I99" s="64">
        <v>6.58</v>
      </c>
      <c r="J99" s="64">
        <v>2.25</v>
      </c>
      <c r="K99" s="64">
        <v>352.98</v>
      </c>
      <c r="L99" s="64">
        <v>22.26</v>
      </c>
      <c r="M99" s="64">
        <v>58.22</v>
      </c>
      <c r="N99" s="64">
        <v>17</v>
      </c>
      <c r="O99" s="64">
        <v>0</v>
      </c>
      <c r="P99" s="64">
        <v>0.54</v>
      </c>
      <c r="Q99" s="64">
        <v>9.1300000000000008</v>
      </c>
      <c r="R99" s="198"/>
      <c r="S99" s="198"/>
      <c r="T99" s="198"/>
      <c r="U99" s="198"/>
    </row>
    <row r="100" spans="1:33" s="12" customFormat="1" x14ac:dyDescent="0.25">
      <c r="A100" s="214" t="s">
        <v>1203</v>
      </c>
      <c r="B100" s="64">
        <v>0.1</v>
      </c>
      <c r="C100" s="64">
        <v>37.049999999999997</v>
      </c>
      <c r="D100" s="64">
        <v>19.36</v>
      </c>
      <c r="E100" s="64">
        <v>0.11</v>
      </c>
      <c r="F100" s="64">
        <v>5.89</v>
      </c>
      <c r="G100" s="64">
        <v>58.08</v>
      </c>
      <c r="H100" s="64">
        <v>18.510000000000002</v>
      </c>
      <c r="I100" s="64">
        <v>6.31</v>
      </c>
      <c r="J100" s="64">
        <v>2.4900000000000002</v>
      </c>
      <c r="K100" s="64">
        <v>336.86</v>
      </c>
      <c r="L100" s="64">
        <v>22.02</v>
      </c>
      <c r="M100" s="64">
        <v>60.7</v>
      </c>
      <c r="N100" s="64">
        <v>17.100000000000001</v>
      </c>
      <c r="O100" s="64">
        <v>0</v>
      </c>
      <c r="P100" s="64">
        <v>0.52</v>
      </c>
      <c r="Q100" s="64">
        <v>9.39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1204</v>
      </c>
      <c r="B101" s="64">
        <v>0.1</v>
      </c>
      <c r="C101" s="64">
        <v>35.28</v>
      </c>
      <c r="D101" s="64">
        <v>18.43</v>
      </c>
      <c r="E101" s="64">
        <v>0.09</v>
      </c>
      <c r="F101" s="64">
        <v>6.03</v>
      </c>
      <c r="G101" s="64">
        <v>35.43</v>
      </c>
      <c r="H101" s="64">
        <v>15.17</v>
      </c>
      <c r="I101" s="64">
        <v>5.97</v>
      </c>
      <c r="J101" s="64">
        <v>2.38</v>
      </c>
      <c r="K101" s="64">
        <v>352.69</v>
      </c>
      <c r="L101" s="64">
        <v>21.57</v>
      </c>
      <c r="M101" s="64">
        <v>65.13</v>
      </c>
      <c r="N101" s="64">
        <v>17.100000000000001</v>
      </c>
      <c r="O101" s="64">
        <v>0</v>
      </c>
      <c r="P101" s="64">
        <v>0.48</v>
      </c>
      <c r="Q101" s="64">
        <v>9.3000000000000007</v>
      </c>
      <c r="R101" s="198"/>
      <c r="S101" s="198"/>
      <c r="T101" s="198"/>
      <c r="U101" s="198"/>
    </row>
    <row r="102" spans="1:33" s="12" customFormat="1" x14ac:dyDescent="0.25">
      <c r="A102" s="214" t="s">
        <v>1205</v>
      </c>
      <c r="B102" s="64">
        <v>0.1</v>
      </c>
      <c r="C102" s="64">
        <v>34.51</v>
      </c>
      <c r="D102" s="64">
        <v>18.03</v>
      </c>
      <c r="E102" s="64">
        <v>0</v>
      </c>
      <c r="F102" s="64">
        <v>5.97</v>
      </c>
      <c r="G102" s="64">
        <v>35.43</v>
      </c>
      <c r="H102" s="64">
        <v>15.17</v>
      </c>
      <c r="I102" s="64">
        <v>5.53</v>
      </c>
      <c r="J102" s="64">
        <v>1.88</v>
      </c>
      <c r="K102" s="64">
        <v>339.87</v>
      </c>
      <c r="L102" s="64">
        <v>20.85</v>
      </c>
      <c r="M102" s="64">
        <v>71.959999999999994</v>
      </c>
      <c r="N102" s="64">
        <v>17.899999999999999</v>
      </c>
      <c r="O102" s="64">
        <v>0</v>
      </c>
      <c r="P102" s="64">
        <v>0.45</v>
      </c>
      <c r="Q102" s="64">
        <v>9.32</v>
      </c>
      <c r="R102" s="198"/>
      <c r="S102" s="198"/>
      <c r="T102" s="198"/>
      <c r="U102" s="198"/>
    </row>
    <row r="103" spans="1:33" s="12" customFormat="1" x14ac:dyDescent="0.25">
      <c r="A103" s="214" t="s">
        <v>1206</v>
      </c>
      <c r="B103" s="64">
        <v>0.1</v>
      </c>
      <c r="C103" s="64">
        <v>33.880000000000003</v>
      </c>
      <c r="D103" s="64">
        <v>17.7</v>
      </c>
      <c r="E103" s="64">
        <v>0</v>
      </c>
      <c r="F103" s="64">
        <v>4.91</v>
      </c>
      <c r="G103" s="64">
        <v>35.43</v>
      </c>
      <c r="H103" s="64">
        <v>15.17</v>
      </c>
      <c r="I103" s="64">
        <v>5.2</v>
      </c>
      <c r="J103" s="64">
        <v>1.51</v>
      </c>
      <c r="K103" s="64">
        <v>343</v>
      </c>
      <c r="L103" s="64">
        <v>20.29</v>
      </c>
      <c r="M103" s="64">
        <v>75.86</v>
      </c>
      <c r="N103" s="64">
        <v>17.100000000000001</v>
      </c>
      <c r="O103" s="64">
        <v>0</v>
      </c>
      <c r="P103" s="64">
        <v>0.43</v>
      </c>
      <c r="Q103" s="64">
        <v>9.27</v>
      </c>
      <c r="R103" s="198"/>
      <c r="S103" s="198"/>
      <c r="T103" s="198"/>
      <c r="U103" s="198"/>
    </row>
    <row r="104" spans="1:33" s="12" customFormat="1" x14ac:dyDescent="0.25">
      <c r="A104" s="214" t="s">
        <v>1207</v>
      </c>
      <c r="B104" s="64">
        <v>0.1</v>
      </c>
      <c r="C104" s="64">
        <v>33.799999999999997</v>
      </c>
      <c r="D104" s="64">
        <v>17.66</v>
      </c>
      <c r="E104" s="64">
        <v>1.85</v>
      </c>
      <c r="F104" s="64">
        <v>4.5</v>
      </c>
      <c r="G104" s="64">
        <v>35.380000000000003</v>
      </c>
      <c r="H104" s="64">
        <v>15.04</v>
      </c>
      <c r="I104" s="64">
        <v>4.95</v>
      </c>
      <c r="J104" s="64">
        <v>1.85</v>
      </c>
      <c r="K104" s="64">
        <v>309.06</v>
      </c>
      <c r="L104" s="64">
        <v>20.170000000000002</v>
      </c>
      <c r="M104" s="64">
        <v>74.760000000000005</v>
      </c>
      <c r="N104" s="64">
        <v>16.5</v>
      </c>
      <c r="O104" s="64">
        <v>0</v>
      </c>
      <c r="P104" s="64">
        <v>0.42</v>
      </c>
      <c r="Q104" s="64">
        <v>9.3000000000000007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27.21</v>
      </c>
      <c r="D106" s="67">
        <f t="shared" ref="D106:Q106" si="0">MIN(D9:D104)</f>
        <v>14.21</v>
      </c>
      <c r="E106" s="67">
        <f t="shared" si="0"/>
        <v>0</v>
      </c>
      <c r="F106" s="67">
        <f t="shared" si="0"/>
        <v>2.76</v>
      </c>
      <c r="G106" s="67">
        <f t="shared" si="0"/>
        <v>25.88</v>
      </c>
      <c r="H106" s="67">
        <f t="shared" si="0"/>
        <v>11.01</v>
      </c>
      <c r="I106" s="67">
        <f t="shared" si="0"/>
        <v>4.95</v>
      </c>
      <c r="J106" s="67">
        <f t="shared" si="0"/>
        <v>0.02</v>
      </c>
      <c r="K106" s="67">
        <f t="shared" si="0"/>
        <v>0.71</v>
      </c>
      <c r="L106" s="67">
        <f t="shared" si="0"/>
        <v>19.43</v>
      </c>
      <c r="M106" s="67">
        <f t="shared" si="0"/>
        <v>28.62</v>
      </c>
      <c r="N106" s="67">
        <f t="shared" si="0"/>
        <v>15.9</v>
      </c>
      <c r="O106" s="67">
        <f t="shared" si="0"/>
        <v>0</v>
      </c>
      <c r="P106" s="67">
        <f t="shared" si="0"/>
        <v>0.42</v>
      </c>
      <c r="Q106" s="67">
        <f t="shared" si="0"/>
        <v>9.1300000000000008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56.07</v>
      </c>
      <c r="C107" s="66">
        <f t="shared" ref="C107:Q107" si="1">MAX(C9:C104)</f>
        <v>56.42</v>
      </c>
      <c r="D107" s="66">
        <f t="shared" si="1"/>
        <v>64.510000000000005</v>
      </c>
      <c r="E107" s="66">
        <f t="shared" si="1"/>
        <v>2.31</v>
      </c>
      <c r="F107" s="66">
        <f t="shared" si="1"/>
        <v>6.03</v>
      </c>
      <c r="G107" s="66">
        <f t="shared" si="1"/>
        <v>92.71</v>
      </c>
      <c r="H107" s="66">
        <f t="shared" si="1"/>
        <v>26.07</v>
      </c>
      <c r="I107" s="66">
        <f t="shared" si="1"/>
        <v>9.8699999999999992</v>
      </c>
      <c r="J107" s="66">
        <f t="shared" si="1"/>
        <v>3.94</v>
      </c>
      <c r="K107" s="66">
        <f t="shared" si="1"/>
        <v>359.39</v>
      </c>
      <c r="L107" s="66">
        <f t="shared" si="1"/>
        <v>33.270000000000003</v>
      </c>
      <c r="M107" s="66">
        <f t="shared" si="1"/>
        <v>97.34</v>
      </c>
      <c r="N107" s="66">
        <f t="shared" si="1"/>
        <v>972.5</v>
      </c>
      <c r="O107" s="66">
        <f t="shared" si="1"/>
        <v>0.2</v>
      </c>
      <c r="P107" s="66">
        <f t="shared" si="1"/>
        <v>1.35</v>
      </c>
      <c r="Q107" s="66">
        <f t="shared" si="1"/>
        <v>10.07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10.269270833333337</v>
      </c>
      <c r="C108" s="67">
        <f t="shared" ref="C108:Q108" si="2">AVERAGE(C9:C104)</f>
        <v>37.557187500000005</v>
      </c>
      <c r="D108" s="67">
        <f t="shared" si="2"/>
        <v>27.7775</v>
      </c>
      <c r="E108" s="67">
        <f t="shared" si="2"/>
        <v>1.2870833333333331</v>
      </c>
      <c r="F108" s="67">
        <f t="shared" si="2"/>
        <v>4.1515624999999998</v>
      </c>
      <c r="G108" s="67">
        <f t="shared" si="2"/>
        <v>45.105625000000032</v>
      </c>
      <c r="H108" s="67">
        <f t="shared" si="2"/>
        <v>17.178541666666678</v>
      </c>
      <c r="I108" s="67">
        <f t="shared" si="2"/>
        <v>6.8221875000000027</v>
      </c>
      <c r="J108" s="67">
        <f t="shared" si="2"/>
        <v>0.94364583333333307</v>
      </c>
      <c r="K108" s="67">
        <f t="shared" si="2"/>
        <v>172.32447916666669</v>
      </c>
      <c r="L108" s="67">
        <f t="shared" si="2"/>
        <v>25.691562500000003</v>
      </c>
      <c r="M108" s="67">
        <f t="shared" si="2"/>
        <v>61.6773958333333</v>
      </c>
      <c r="N108" s="67">
        <f t="shared" si="2"/>
        <v>265.63333333333338</v>
      </c>
      <c r="O108" s="67">
        <f t="shared" si="2"/>
        <v>2.0833333333333333E-3</v>
      </c>
      <c r="P108" s="67">
        <f t="shared" si="2"/>
        <v>0.66895833333333332</v>
      </c>
      <c r="Q108" s="67">
        <f t="shared" si="2"/>
        <v>9.3992708333333344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14.585419268988897</v>
      </c>
      <c r="C109" s="67">
        <f t="shared" ref="C109:Q109" si="3">STDEV(C9:C104)</f>
        <v>6.585791516690727</v>
      </c>
      <c r="D109" s="67">
        <f t="shared" si="3"/>
        <v>12.497744470187625</v>
      </c>
      <c r="E109" s="67">
        <f t="shared" si="3"/>
        <v>0.5915882577153363</v>
      </c>
      <c r="F109" s="67">
        <f t="shared" si="3"/>
        <v>0.92751431043009813</v>
      </c>
      <c r="G109" s="67">
        <f t="shared" si="3"/>
        <v>18.859429907803818</v>
      </c>
      <c r="H109" s="67">
        <f t="shared" si="3"/>
        <v>3.7755440121549086</v>
      </c>
      <c r="I109" s="67">
        <f t="shared" si="3"/>
        <v>1.2380895326225099</v>
      </c>
      <c r="J109" s="67">
        <f t="shared" si="3"/>
        <v>0.90657147050872466</v>
      </c>
      <c r="K109" s="67">
        <f t="shared" si="3"/>
        <v>106.78323087224572</v>
      </c>
      <c r="L109" s="67">
        <f t="shared" si="3"/>
        <v>4.7770491504197503</v>
      </c>
      <c r="M109" s="67">
        <f t="shared" si="3"/>
        <v>23.974779917536321</v>
      </c>
      <c r="N109" s="67">
        <f t="shared" si="3"/>
        <v>345.29864866797527</v>
      </c>
      <c r="O109" s="67">
        <f t="shared" si="3"/>
        <v>2.0412414523193152E-2</v>
      </c>
      <c r="P109" s="67">
        <f t="shared" si="3"/>
        <v>0.25080703073611554</v>
      </c>
      <c r="Q109" s="67">
        <f t="shared" si="3"/>
        <v>0.1827062341094472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1208</v>
      </c>
      <c r="B9" s="64">
        <v>0.1</v>
      </c>
      <c r="C9" s="64">
        <v>32.409999999999997</v>
      </c>
      <c r="D9" s="64">
        <v>16.93</v>
      </c>
      <c r="E9" s="64">
        <v>1.87</v>
      </c>
      <c r="F9" s="64">
        <v>6</v>
      </c>
      <c r="G9" s="64">
        <v>34.619999999999997</v>
      </c>
      <c r="H9" s="64">
        <v>13.23</v>
      </c>
      <c r="I9" s="64">
        <v>4.67</v>
      </c>
      <c r="J9" s="64">
        <v>2.83</v>
      </c>
      <c r="K9" s="64">
        <v>332.6</v>
      </c>
      <c r="L9" s="64">
        <v>20.37</v>
      </c>
      <c r="M9" s="64">
        <v>71.58</v>
      </c>
      <c r="N9" s="64">
        <v>16.5</v>
      </c>
      <c r="O9" s="64">
        <v>0</v>
      </c>
      <c r="P9" s="64">
        <v>0.39</v>
      </c>
      <c r="Q9" s="64">
        <v>9.19</v>
      </c>
      <c r="R9" s="198"/>
      <c r="S9" s="198"/>
      <c r="T9" s="198"/>
      <c r="U9" s="198"/>
    </row>
    <row r="10" spans="1:21" s="12" customFormat="1" x14ac:dyDescent="0.25">
      <c r="A10" s="214" t="s">
        <v>1209</v>
      </c>
      <c r="B10" s="64">
        <v>0.1</v>
      </c>
      <c r="C10" s="64">
        <v>31.02</v>
      </c>
      <c r="D10" s="64">
        <v>16.21</v>
      </c>
      <c r="E10" s="64">
        <v>1.54</v>
      </c>
      <c r="F10" s="64">
        <v>7.36</v>
      </c>
      <c r="G10" s="64">
        <v>34.619999999999997</v>
      </c>
      <c r="H10" s="64">
        <v>13.23</v>
      </c>
      <c r="I10" s="64">
        <v>4.37</v>
      </c>
      <c r="J10" s="64">
        <v>3.85</v>
      </c>
      <c r="K10" s="64">
        <v>348.53</v>
      </c>
      <c r="L10" s="64">
        <v>19.78</v>
      </c>
      <c r="M10" s="64">
        <v>76.349999999999994</v>
      </c>
      <c r="N10" s="64">
        <v>17.899999999999999</v>
      </c>
      <c r="O10" s="64">
        <v>0</v>
      </c>
      <c r="P10" s="64">
        <v>0.35</v>
      </c>
      <c r="Q10" s="64">
        <v>9.26</v>
      </c>
      <c r="R10" s="198"/>
      <c r="S10" s="198"/>
      <c r="T10" s="198"/>
      <c r="U10" s="198"/>
    </row>
    <row r="11" spans="1:21" s="12" customFormat="1" x14ac:dyDescent="0.25">
      <c r="A11" s="214" t="s">
        <v>1210</v>
      </c>
      <c r="B11" s="64">
        <v>0.1</v>
      </c>
      <c r="C11" s="64">
        <v>29.7</v>
      </c>
      <c r="D11" s="64">
        <v>15.52</v>
      </c>
      <c r="E11" s="64">
        <v>1.7</v>
      </c>
      <c r="F11" s="64">
        <v>8</v>
      </c>
      <c r="G11" s="64">
        <v>34.619999999999997</v>
      </c>
      <c r="H11" s="64">
        <v>13.23</v>
      </c>
      <c r="I11" s="64">
        <v>3.97</v>
      </c>
      <c r="J11" s="64">
        <v>3.73</v>
      </c>
      <c r="K11" s="64">
        <v>0.39</v>
      </c>
      <c r="L11" s="64">
        <v>19.100000000000001</v>
      </c>
      <c r="M11" s="64">
        <v>79.989999999999995</v>
      </c>
      <c r="N11" s="64">
        <v>17.3</v>
      </c>
      <c r="O11" s="64">
        <v>0</v>
      </c>
      <c r="P11" s="64">
        <v>0.31</v>
      </c>
      <c r="Q11" s="64">
        <v>9.24</v>
      </c>
      <c r="R11" s="198"/>
      <c r="S11" s="198"/>
      <c r="T11" s="198"/>
      <c r="U11" s="198"/>
    </row>
    <row r="12" spans="1:21" s="12" customFormat="1" x14ac:dyDescent="0.25">
      <c r="A12" s="214" t="s">
        <v>1211</v>
      </c>
      <c r="B12" s="64">
        <v>0.1</v>
      </c>
      <c r="C12" s="64">
        <v>30.66</v>
      </c>
      <c r="D12" s="64">
        <v>16.02</v>
      </c>
      <c r="E12" s="64">
        <v>1.62</v>
      </c>
      <c r="F12" s="64">
        <v>7.58</v>
      </c>
      <c r="G12" s="64">
        <v>34.590000000000003</v>
      </c>
      <c r="H12" s="64">
        <v>13.1</v>
      </c>
      <c r="I12" s="64">
        <v>3.59</v>
      </c>
      <c r="J12" s="64">
        <v>3.48</v>
      </c>
      <c r="K12" s="64">
        <v>351.26</v>
      </c>
      <c r="L12" s="64">
        <v>19.239999999999998</v>
      </c>
      <c r="M12" s="64">
        <v>78.5</v>
      </c>
      <c r="N12" s="64">
        <v>16.5</v>
      </c>
      <c r="O12" s="64">
        <v>0</v>
      </c>
      <c r="P12" s="64">
        <v>0.28999999999999998</v>
      </c>
      <c r="Q12" s="64">
        <v>9.1999999999999993</v>
      </c>
      <c r="R12" s="198"/>
      <c r="S12" s="198"/>
      <c r="T12" s="198"/>
      <c r="U12" s="198"/>
    </row>
    <row r="13" spans="1:21" s="12" customFormat="1" x14ac:dyDescent="0.25">
      <c r="A13" s="214" t="s">
        <v>1212</v>
      </c>
      <c r="B13" s="64">
        <v>0.1</v>
      </c>
      <c r="C13" s="64">
        <v>33.82</v>
      </c>
      <c r="D13" s="64">
        <v>17.670000000000002</v>
      </c>
      <c r="E13" s="64">
        <v>1.29</v>
      </c>
      <c r="F13" s="64">
        <v>7.11</v>
      </c>
      <c r="G13" s="64">
        <v>34.14</v>
      </c>
      <c r="H13" s="64">
        <v>11.38</v>
      </c>
      <c r="I13" s="64">
        <v>3.37</v>
      </c>
      <c r="J13" s="64">
        <v>3.15</v>
      </c>
      <c r="K13" s="64">
        <v>337.56</v>
      </c>
      <c r="L13" s="64">
        <v>18.97</v>
      </c>
      <c r="M13" s="64">
        <v>83.54</v>
      </c>
      <c r="N13" s="64">
        <v>17.399999999999999</v>
      </c>
      <c r="O13" s="64">
        <v>0</v>
      </c>
      <c r="P13" s="64">
        <v>0.28000000000000003</v>
      </c>
      <c r="Q13" s="64">
        <v>9.32</v>
      </c>
      <c r="R13" s="198"/>
      <c r="S13" s="198"/>
      <c r="T13" s="198"/>
      <c r="U13" s="198"/>
    </row>
    <row r="14" spans="1:21" s="12" customFormat="1" x14ac:dyDescent="0.25">
      <c r="A14" s="214" t="s">
        <v>1213</v>
      </c>
      <c r="B14" s="64">
        <v>0.1</v>
      </c>
      <c r="C14" s="64">
        <v>33.64</v>
      </c>
      <c r="D14" s="64">
        <v>17.57</v>
      </c>
      <c r="E14" s="64">
        <v>1.55</v>
      </c>
      <c r="F14" s="64">
        <v>6.74</v>
      </c>
      <c r="G14" s="64">
        <v>34.14</v>
      </c>
      <c r="H14" s="64">
        <v>11.38</v>
      </c>
      <c r="I14" s="64">
        <v>3.2</v>
      </c>
      <c r="J14" s="64">
        <v>2.79</v>
      </c>
      <c r="K14" s="64">
        <v>348.98</v>
      </c>
      <c r="L14" s="64">
        <v>18.05</v>
      </c>
      <c r="M14" s="64">
        <v>93.2</v>
      </c>
      <c r="N14" s="64">
        <v>17.5</v>
      </c>
      <c r="O14" s="64">
        <v>0.4</v>
      </c>
      <c r="P14" s="64">
        <v>0.28999999999999998</v>
      </c>
      <c r="Q14" s="64">
        <v>9.2200000000000006</v>
      </c>
      <c r="R14" s="198"/>
      <c r="S14" s="198"/>
      <c r="T14" s="198"/>
      <c r="U14" s="198"/>
    </row>
    <row r="15" spans="1:21" s="12" customFormat="1" x14ac:dyDescent="0.25">
      <c r="A15" s="214" t="s">
        <v>1214</v>
      </c>
      <c r="B15" s="64">
        <v>0.1</v>
      </c>
      <c r="C15" s="64">
        <v>33.44</v>
      </c>
      <c r="D15" s="64">
        <v>17.47</v>
      </c>
      <c r="E15" s="64">
        <v>1.57</v>
      </c>
      <c r="F15" s="64">
        <v>6.01</v>
      </c>
      <c r="G15" s="64">
        <v>34.14</v>
      </c>
      <c r="H15" s="64">
        <v>11.38</v>
      </c>
      <c r="I15" s="64">
        <v>2.85</v>
      </c>
      <c r="J15" s="64">
        <v>1.64</v>
      </c>
      <c r="K15" s="64">
        <v>339.65</v>
      </c>
      <c r="L15" s="64">
        <v>17.57</v>
      </c>
      <c r="M15" s="64">
        <v>97.56</v>
      </c>
      <c r="N15" s="64">
        <v>16.899999999999999</v>
      </c>
      <c r="O15" s="64">
        <v>0.4</v>
      </c>
      <c r="P15" s="64">
        <v>0.28999999999999998</v>
      </c>
      <c r="Q15" s="64">
        <v>9.26</v>
      </c>
      <c r="R15" s="198"/>
      <c r="S15" s="198"/>
      <c r="T15" s="198"/>
      <c r="U15" s="198"/>
    </row>
    <row r="16" spans="1:21" s="12" customFormat="1" x14ac:dyDescent="0.25">
      <c r="A16" s="214" t="s">
        <v>1215</v>
      </c>
      <c r="B16" s="64">
        <v>0.1</v>
      </c>
      <c r="C16" s="64">
        <v>33.18</v>
      </c>
      <c r="D16" s="64">
        <v>17.34</v>
      </c>
      <c r="E16" s="64">
        <v>1.48</v>
      </c>
      <c r="F16" s="64">
        <v>4.4000000000000004</v>
      </c>
      <c r="G16" s="64">
        <v>33.840000000000003</v>
      </c>
      <c r="H16" s="64">
        <v>11.27</v>
      </c>
      <c r="I16" s="64">
        <v>2.65</v>
      </c>
      <c r="J16" s="64">
        <v>0.85</v>
      </c>
      <c r="K16" s="64">
        <v>164.16</v>
      </c>
      <c r="L16" s="64">
        <v>17.34</v>
      </c>
      <c r="M16" s="64">
        <v>97.78</v>
      </c>
      <c r="N16" s="64">
        <v>16.7</v>
      </c>
      <c r="O16" s="64">
        <v>0.8</v>
      </c>
      <c r="P16" s="64">
        <v>0.28000000000000003</v>
      </c>
      <c r="Q16" s="64">
        <v>9.1999999999999993</v>
      </c>
      <c r="R16" s="198"/>
      <c r="S16" s="198"/>
      <c r="T16" s="198"/>
      <c r="U16" s="198"/>
    </row>
    <row r="17" spans="1:21" s="12" customFormat="1" x14ac:dyDescent="0.25">
      <c r="A17" s="214" t="s">
        <v>1216</v>
      </c>
      <c r="B17" s="64">
        <v>0.1</v>
      </c>
      <c r="C17" s="64">
        <v>32.86</v>
      </c>
      <c r="D17" s="64">
        <v>17.170000000000002</v>
      </c>
      <c r="E17" s="64">
        <v>1.81</v>
      </c>
      <c r="F17" s="64">
        <v>4.18</v>
      </c>
      <c r="G17" s="64">
        <v>29.52</v>
      </c>
      <c r="H17" s="64">
        <v>9.5500000000000007</v>
      </c>
      <c r="I17" s="64">
        <v>2.72</v>
      </c>
      <c r="J17" s="64">
        <v>0.51</v>
      </c>
      <c r="K17" s="64">
        <v>113.01</v>
      </c>
      <c r="L17" s="64">
        <v>17.059999999999999</v>
      </c>
      <c r="M17" s="64">
        <v>97.8</v>
      </c>
      <c r="N17" s="64">
        <v>17</v>
      </c>
      <c r="O17" s="64">
        <v>1</v>
      </c>
      <c r="P17" s="64">
        <v>0.28000000000000003</v>
      </c>
      <c r="Q17" s="64">
        <v>9.24</v>
      </c>
      <c r="R17" s="198"/>
      <c r="S17" s="198"/>
      <c r="T17" s="198"/>
      <c r="U17" s="198"/>
    </row>
    <row r="18" spans="1:21" s="12" customFormat="1" x14ac:dyDescent="0.25">
      <c r="A18" s="214" t="s">
        <v>1217</v>
      </c>
      <c r="B18" s="64">
        <v>0.1</v>
      </c>
      <c r="C18" s="64">
        <v>32.380000000000003</v>
      </c>
      <c r="D18" s="64">
        <v>16.920000000000002</v>
      </c>
      <c r="E18" s="64">
        <v>1.25</v>
      </c>
      <c r="F18" s="64">
        <v>3.45</v>
      </c>
      <c r="G18" s="64">
        <v>29.52</v>
      </c>
      <c r="H18" s="64">
        <v>9.5500000000000007</v>
      </c>
      <c r="I18" s="64">
        <v>2.68</v>
      </c>
      <c r="J18" s="64">
        <v>1.49</v>
      </c>
      <c r="K18" s="64">
        <v>90.88</v>
      </c>
      <c r="L18" s="64">
        <v>17.05</v>
      </c>
      <c r="M18" s="64">
        <v>97.8</v>
      </c>
      <c r="N18" s="64">
        <v>17</v>
      </c>
      <c r="O18" s="64">
        <v>0.4</v>
      </c>
      <c r="P18" s="64">
        <v>0.28000000000000003</v>
      </c>
      <c r="Q18" s="64">
        <v>9.18</v>
      </c>
      <c r="R18" s="198"/>
      <c r="S18" s="198"/>
      <c r="T18" s="198"/>
      <c r="U18" s="198"/>
    </row>
    <row r="19" spans="1:21" s="12" customFormat="1" x14ac:dyDescent="0.25">
      <c r="A19" s="214" t="s">
        <v>1218</v>
      </c>
      <c r="B19" s="64">
        <v>0.1</v>
      </c>
      <c r="C19" s="64">
        <v>31.89</v>
      </c>
      <c r="D19" s="64">
        <v>16.66</v>
      </c>
      <c r="E19" s="64">
        <v>1.53</v>
      </c>
      <c r="F19" s="64">
        <v>3.39</v>
      </c>
      <c r="G19" s="64">
        <v>29.52</v>
      </c>
      <c r="H19" s="64">
        <v>9.5500000000000007</v>
      </c>
      <c r="I19" s="64">
        <v>2.83</v>
      </c>
      <c r="J19" s="64">
        <v>1.93</v>
      </c>
      <c r="K19" s="64">
        <v>103.75</v>
      </c>
      <c r="L19" s="64">
        <v>17.260000000000002</v>
      </c>
      <c r="M19" s="64">
        <v>97.78</v>
      </c>
      <c r="N19" s="64">
        <v>17.399999999999999</v>
      </c>
      <c r="O19" s="64">
        <v>0</v>
      </c>
      <c r="P19" s="64">
        <v>0.27</v>
      </c>
      <c r="Q19" s="64">
        <v>9.2799999999999994</v>
      </c>
      <c r="R19" s="198"/>
      <c r="S19" s="198"/>
      <c r="T19" s="198"/>
      <c r="U19" s="198"/>
    </row>
    <row r="20" spans="1:21" s="12" customFormat="1" x14ac:dyDescent="0.25">
      <c r="A20" s="214" t="s">
        <v>1219</v>
      </c>
      <c r="B20" s="64">
        <v>0.1</v>
      </c>
      <c r="C20" s="64">
        <v>31.05</v>
      </c>
      <c r="D20" s="64">
        <v>16.22</v>
      </c>
      <c r="E20" s="64">
        <v>1.74</v>
      </c>
      <c r="F20" s="64">
        <v>3.77</v>
      </c>
      <c r="G20" s="64">
        <v>28.71</v>
      </c>
      <c r="H20" s="64">
        <v>9.4700000000000006</v>
      </c>
      <c r="I20" s="64">
        <v>3.31</v>
      </c>
      <c r="J20" s="64">
        <v>1.1200000000000001</v>
      </c>
      <c r="K20" s="64">
        <v>92.06</v>
      </c>
      <c r="L20" s="64">
        <v>17.440000000000001</v>
      </c>
      <c r="M20" s="64">
        <v>97.76</v>
      </c>
      <c r="N20" s="64">
        <v>17.899999999999999</v>
      </c>
      <c r="O20" s="64">
        <v>0</v>
      </c>
      <c r="P20" s="64">
        <v>0.27</v>
      </c>
      <c r="Q20" s="64">
        <v>9.2899999999999991</v>
      </c>
      <c r="R20" s="198"/>
      <c r="S20" s="198"/>
      <c r="T20" s="198"/>
      <c r="U20" s="198"/>
    </row>
    <row r="21" spans="1:21" s="12" customFormat="1" x14ac:dyDescent="0.25">
      <c r="A21" s="214" t="s">
        <v>1220</v>
      </c>
      <c r="B21" s="64">
        <v>0.1</v>
      </c>
      <c r="C21" s="64">
        <v>30.66</v>
      </c>
      <c r="D21" s="64">
        <v>16.02</v>
      </c>
      <c r="E21" s="64">
        <v>1.73</v>
      </c>
      <c r="F21" s="64">
        <v>4.07</v>
      </c>
      <c r="G21" s="64">
        <v>14.79</v>
      </c>
      <c r="H21" s="64">
        <v>8.33</v>
      </c>
      <c r="I21" s="64">
        <v>3.99</v>
      </c>
      <c r="J21" s="64">
        <v>0.5</v>
      </c>
      <c r="K21" s="64">
        <v>69.45</v>
      </c>
      <c r="L21" s="64">
        <v>17.39</v>
      </c>
      <c r="M21" s="64">
        <v>97.8</v>
      </c>
      <c r="N21" s="64">
        <v>17.8</v>
      </c>
      <c r="O21" s="64">
        <v>0</v>
      </c>
      <c r="P21" s="64">
        <v>0.26</v>
      </c>
      <c r="Q21" s="64">
        <v>9.19</v>
      </c>
      <c r="R21" s="198"/>
      <c r="S21" s="198"/>
      <c r="T21" s="198"/>
      <c r="U21" s="198"/>
    </row>
    <row r="22" spans="1:21" s="12" customFormat="1" x14ac:dyDescent="0.25">
      <c r="A22" s="214" t="s">
        <v>1221</v>
      </c>
      <c r="B22" s="64">
        <v>0.13</v>
      </c>
      <c r="C22" s="64">
        <v>30.55</v>
      </c>
      <c r="D22" s="64">
        <v>15.99</v>
      </c>
      <c r="E22" s="64">
        <v>1.84</v>
      </c>
      <c r="F22" s="64">
        <v>3.94</v>
      </c>
      <c r="G22" s="64">
        <v>14.79</v>
      </c>
      <c r="H22" s="64">
        <v>8.33</v>
      </c>
      <c r="I22" s="64">
        <v>4.49</v>
      </c>
      <c r="J22" s="64">
        <v>0.3</v>
      </c>
      <c r="K22" s="64">
        <v>110.06</v>
      </c>
      <c r="L22" s="64">
        <v>17.53</v>
      </c>
      <c r="M22" s="64">
        <v>97.79</v>
      </c>
      <c r="N22" s="64">
        <v>17.100000000000001</v>
      </c>
      <c r="O22" s="64">
        <v>0</v>
      </c>
      <c r="P22" s="64">
        <v>0.27</v>
      </c>
      <c r="Q22" s="64">
        <v>9.23</v>
      </c>
      <c r="R22" s="198"/>
      <c r="S22" s="198"/>
      <c r="T22" s="198"/>
      <c r="U22" s="198"/>
    </row>
    <row r="23" spans="1:21" s="12" customFormat="1" x14ac:dyDescent="0.25">
      <c r="A23" s="214" t="s">
        <v>1222</v>
      </c>
      <c r="B23" s="64">
        <v>0.21</v>
      </c>
      <c r="C23" s="64">
        <v>29.88</v>
      </c>
      <c r="D23" s="64">
        <v>15.7</v>
      </c>
      <c r="E23" s="64">
        <v>1.47</v>
      </c>
      <c r="F23" s="64">
        <v>3.67</v>
      </c>
      <c r="G23" s="64">
        <v>14.79</v>
      </c>
      <c r="H23" s="64">
        <v>8.33</v>
      </c>
      <c r="I23" s="64">
        <v>4.74</v>
      </c>
      <c r="J23" s="64">
        <v>0.18</v>
      </c>
      <c r="K23" s="64">
        <v>334.02</v>
      </c>
      <c r="L23" s="64">
        <v>17.75</v>
      </c>
      <c r="M23" s="64">
        <v>97.8</v>
      </c>
      <c r="N23" s="64">
        <v>16.600000000000001</v>
      </c>
      <c r="O23" s="64">
        <v>0.4</v>
      </c>
      <c r="P23" s="64">
        <v>0.26</v>
      </c>
      <c r="Q23" s="64">
        <v>9.23</v>
      </c>
      <c r="R23" s="198"/>
      <c r="S23" s="198"/>
      <c r="T23" s="198"/>
      <c r="U23" s="198"/>
    </row>
    <row r="24" spans="1:21" s="12" customFormat="1" x14ac:dyDescent="0.25">
      <c r="A24" s="214" t="s">
        <v>1223</v>
      </c>
      <c r="B24" s="64">
        <v>0.13</v>
      </c>
      <c r="C24" s="64">
        <v>29.46</v>
      </c>
      <c r="D24" s="64">
        <v>15.41</v>
      </c>
      <c r="E24" s="64">
        <v>0.98</v>
      </c>
      <c r="F24" s="64">
        <v>4.3899999999999997</v>
      </c>
      <c r="G24" s="64">
        <v>14.91</v>
      </c>
      <c r="H24" s="64">
        <v>8.3000000000000007</v>
      </c>
      <c r="I24" s="64">
        <v>4.63</v>
      </c>
      <c r="J24" s="64">
        <v>0.03</v>
      </c>
      <c r="K24" s="64">
        <v>4.28</v>
      </c>
      <c r="L24" s="64">
        <v>17.68</v>
      </c>
      <c r="M24" s="64">
        <v>97.82</v>
      </c>
      <c r="N24" s="64">
        <v>16.899999999999999</v>
      </c>
      <c r="O24" s="64">
        <v>0.6</v>
      </c>
      <c r="P24" s="64">
        <v>0.26</v>
      </c>
      <c r="Q24" s="64">
        <v>9.31</v>
      </c>
      <c r="R24" s="198"/>
      <c r="S24" s="198"/>
      <c r="T24" s="198"/>
      <c r="U24" s="198"/>
    </row>
    <row r="25" spans="1:21" s="12" customFormat="1" x14ac:dyDescent="0.25">
      <c r="A25" s="214" t="s">
        <v>1224</v>
      </c>
      <c r="B25" s="64">
        <v>0.1</v>
      </c>
      <c r="C25" s="64">
        <v>28.49</v>
      </c>
      <c r="D25" s="64">
        <v>14.89</v>
      </c>
      <c r="E25" s="64">
        <v>2.16</v>
      </c>
      <c r="F25" s="64">
        <v>3.46</v>
      </c>
      <c r="G25" s="64">
        <v>16.510000000000002</v>
      </c>
      <c r="H25" s="64">
        <v>7.88</v>
      </c>
      <c r="I25" s="64">
        <v>4.34</v>
      </c>
      <c r="J25" s="64">
        <v>0.52</v>
      </c>
      <c r="K25" s="64">
        <v>190.25</v>
      </c>
      <c r="L25" s="64">
        <v>17.28</v>
      </c>
      <c r="M25" s="64">
        <v>97.83</v>
      </c>
      <c r="N25" s="64">
        <v>17.3</v>
      </c>
      <c r="O25" s="64">
        <v>0.4</v>
      </c>
      <c r="P25" s="64">
        <v>0.24</v>
      </c>
      <c r="Q25" s="64">
        <v>9.1999999999999993</v>
      </c>
      <c r="R25" s="198"/>
      <c r="S25" s="198"/>
      <c r="T25" s="198"/>
      <c r="U25" s="198"/>
    </row>
    <row r="26" spans="1:21" s="12" customFormat="1" x14ac:dyDescent="0.25">
      <c r="A26" s="214" t="s">
        <v>1225</v>
      </c>
      <c r="B26" s="64">
        <v>0.1</v>
      </c>
      <c r="C26" s="64">
        <v>28.34</v>
      </c>
      <c r="D26" s="64">
        <v>14.81</v>
      </c>
      <c r="E26" s="64">
        <v>2.17</v>
      </c>
      <c r="F26" s="64">
        <v>3.62</v>
      </c>
      <c r="G26" s="64">
        <v>16.510000000000002</v>
      </c>
      <c r="H26" s="64">
        <v>7.88</v>
      </c>
      <c r="I26" s="64">
        <v>3.8</v>
      </c>
      <c r="J26" s="64">
        <v>1.1299999999999999</v>
      </c>
      <c r="K26" s="64">
        <v>174.7</v>
      </c>
      <c r="L26" s="64">
        <v>17.09</v>
      </c>
      <c r="M26" s="64">
        <v>97.83</v>
      </c>
      <c r="N26" s="64">
        <v>17.3</v>
      </c>
      <c r="O26" s="64">
        <v>0.2</v>
      </c>
      <c r="P26" s="64">
        <v>0.24</v>
      </c>
      <c r="Q26" s="64">
        <v>9.2799999999999994</v>
      </c>
      <c r="R26" s="198"/>
      <c r="S26" s="198"/>
      <c r="T26" s="198"/>
      <c r="U26" s="198"/>
    </row>
    <row r="27" spans="1:21" s="12" customFormat="1" x14ac:dyDescent="0.25">
      <c r="A27" s="214" t="s">
        <v>1226</v>
      </c>
      <c r="B27" s="64">
        <v>0.1</v>
      </c>
      <c r="C27" s="64">
        <v>27.73</v>
      </c>
      <c r="D27" s="64">
        <v>14.49</v>
      </c>
      <c r="E27" s="64">
        <v>1.78</v>
      </c>
      <c r="F27" s="64">
        <v>4.29</v>
      </c>
      <c r="G27" s="64">
        <v>16.510000000000002</v>
      </c>
      <c r="H27" s="64">
        <v>7.88</v>
      </c>
      <c r="I27" s="64">
        <v>3.79</v>
      </c>
      <c r="J27" s="64">
        <v>1</v>
      </c>
      <c r="K27" s="64">
        <v>189.31</v>
      </c>
      <c r="L27" s="64">
        <v>16.920000000000002</v>
      </c>
      <c r="M27" s="64">
        <v>97.83</v>
      </c>
      <c r="N27" s="64">
        <v>17.2</v>
      </c>
      <c r="O27" s="64">
        <v>0.2</v>
      </c>
      <c r="P27" s="64">
        <v>0.24</v>
      </c>
      <c r="Q27" s="64">
        <v>9.2200000000000006</v>
      </c>
      <c r="R27" s="198"/>
      <c r="S27" s="198"/>
      <c r="T27" s="198"/>
      <c r="U27" s="198"/>
    </row>
    <row r="28" spans="1:21" s="12" customFormat="1" x14ac:dyDescent="0.25">
      <c r="A28" s="214" t="s">
        <v>1227</v>
      </c>
      <c r="B28" s="64">
        <v>0.1</v>
      </c>
      <c r="C28" s="64">
        <v>27.26</v>
      </c>
      <c r="D28" s="64">
        <v>14.25</v>
      </c>
      <c r="E28" s="64">
        <v>1.87</v>
      </c>
      <c r="F28" s="64">
        <v>4.22</v>
      </c>
      <c r="G28" s="64">
        <v>16.2</v>
      </c>
      <c r="H28" s="64">
        <v>7.73</v>
      </c>
      <c r="I28" s="64">
        <v>3.3</v>
      </c>
      <c r="J28" s="64">
        <v>1.85</v>
      </c>
      <c r="K28" s="64">
        <v>168.78</v>
      </c>
      <c r="L28" s="64">
        <v>16.7</v>
      </c>
      <c r="M28" s="64">
        <v>97.83</v>
      </c>
      <c r="N28" s="64">
        <v>17.399999999999999</v>
      </c>
      <c r="O28" s="64">
        <v>0.4</v>
      </c>
      <c r="P28" s="64">
        <v>0.24</v>
      </c>
      <c r="Q28" s="64">
        <v>9.26</v>
      </c>
      <c r="R28" s="198"/>
      <c r="S28" s="198"/>
      <c r="T28" s="198"/>
      <c r="U28" s="198"/>
    </row>
    <row r="29" spans="1:21" s="12" customFormat="1" x14ac:dyDescent="0.25">
      <c r="A29" s="214" t="s">
        <v>1228</v>
      </c>
      <c r="B29" s="64">
        <v>0.1</v>
      </c>
      <c r="C29" s="64">
        <v>26.94</v>
      </c>
      <c r="D29" s="64">
        <v>14.07</v>
      </c>
      <c r="E29" s="64">
        <v>2.0699999999999998</v>
      </c>
      <c r="F29" s="64">
        <v>5.39</v>
      </c>
      <c r="G29" s="64">
        <v>11.85</v>
      </c>
      <c r="H29" s="64">
        <v>5.62</v>
      </c>
      <c r="I29" s="64">
        <v>3.21</v>
      </c>
      <c r="J29" s="64">
        <v>3.03</v>
      </c>
      <c r="K29" s="64">
        <v>159.81</v>
      </c>
      <c r="L29" s="64">
        <v>16.59</v>
      </c>
      <c r="M29" s="64">
        <v>97.83</v>
      </c>
      <c r="N29" s="64">
        <v>17.3</v>
      </c>
      <c r="O29" s="64">
        <v>0</v>
      </c>
      <c r="P29" s="64">
        <v>0.23</v>
      </c>
      <c r="Q29" s="64">
        <v>9.24</v>
      </c>
      <c r="R29" s="198"/>
      <c r="S29" s="198"/>
      <c r="T29" s="198"/>
      <c r="U29" s="198"/>
    </row>
    <row r="30" spans="1:21" s="12" customFormat="1" x14ac:dyDescent="0.25">
      <c r="A30" s="214" t="s">
        <v>1229</v>
      </c>
      <c r="B30" s="64">
        <v>0.1</v>
      </c>
      <c r="C30" s="64">
        <v>27.67</v>
      </c>
      <c r="D30" s="64">
        <v>14.46</v>
      </c>
      <c r="E30" s="64">
        <v>1.95</v>
      </c>
      <c r="F30" s="64">
        <v>6.51</v>
      </c>
      <c r="G30" s="64">
        <v>11.85</v>
      </c>
      <c r="H30" s="64">
        <v>5.62</v>
      </c>
      <c r="I30" s="64">
        <v>3.13</v>
      </c>
      <c r="J30" s="64">
        <v>3.68</v>
      </c>
      <c r="K30" s="64">
        <v>161.21</v>
      </c>
      <c r="L30" s="64">
        <v>16.64</v>
      </c>
      <c r="M30" s="64">
        <v>97.84</v>
      </c>
      <c r="N30" s="64">
        <v>17.5</v>
      </c>
      <c r="O30" s="64">
        <v>0.4</v>
      </c>
      <c r="P30" s="64">
        <v>0.24</v>
      </c>
      <c r="Q30" s="64">
        <v>9.25</v>
      </c>
      <c r="R30" s="198"/>
      <c r="S30" s="198"/>
      <c r="T30" s="198"/>
      <c r="U30" s="198"/>
    </row>
    <row r="31" spans="1:21" s="12" customFormat="1" x14ac:dyDescent="0.25">
      <c r="A31" s="214" t="s">
        <v>1230</v>
      </c>
      <c r="B31" s="64">
        <v>0.1</v>
      </c>
      <c r="C31" s="64">
        <v>26.62</v>
      </c>
      <c r="D31" s="64">
        <v>13.91</v>
      </c>
      <c r="E31" s="64">
        <v>2.0499999999999998</v>
      </c>
      <c r="F31" s="64">
        <v>7.1</v>
      </c>
      <c r="G31" s="64">
        <v>11.85</v>
      </c>
      <c r="H31" s="64">
        <v>5.62</v>
      </c>
      <c r="I31" s="64">
        <v>2.73</v>
      </c>
      <c r="J31" s="64">
        <v>1.48</v>
      </c>
      <c r="K31" s="64">
        <v>157.88</v>
      </c>
      <c r="L31" s="64">
        <v>17.079999999999998</v>
      </c>
      <c r="M31" s="64">
        <v>97.82</v>
      </c>
      <c r="N31" s="64">
        <v>18.100000000000001</v>
      </c>
      <c r="O31" s="64">
        <v>0</v>
      </c>
      <c r="P31" s="64">
        <v>0.25</v>
      </c>
      <c r="Q31" s="64">
        <v>9.18</v>
      </c>
      <c r="R31" s="198"/>
      <c r="S31" s="198"/>
      <c r="T31" s="198"/>
      <c r="U31" s="198"/>
    </row>
    <row r="32" spans="1:21" s="12" customFormat="1" x14ac:dyDescent="0.25">
      <c r="A32" s="214" t="s">
        <v>1231</v>
      </c>
      <c r="B32" s="64">
        <v>0.1</v>
      </c>
      <c r="C32" s="64">
        <v>28.3</v>
      </c>
      <c r="D32" s="64">
        <v>14.79</v>
      </c>
      <c r="E32" s="64">
        <v>2.04</v>
      </c>
      <c r="F32" s="64">
        <v>6.32</v>
      </c>
      <c r="G32" s="64">
        <v>11.66</v>
      </c>
      <c r="H32" s="64">
        <v>5.59</v>
      </c>
      <c r="I32" s="64">
        <v>2.75</v>
      </c>
      <c r="J32" s="64">
        <v>0.14000000000000001</v>
      </c>
      <c r="K32" s="64">
        <v>221.1</v>
      </c>
      <c r="L32" s="64">
        <v>17.29</v>
      </c>
      <c r="M32" s="64">
        <v>97.82</v>
      </c>
      <c r="N32" s="64">
        <v>22.9</v>
      </c>
      <c r="O32" s="64">
        <v>0</v>
      </c>
      <c r="P32" s="64">
        <v>0.26</v>
      </c>
      <c r="Q32" s="64">
        <v>9.23</v>
      </c>
      <c r="R32" s="198"/>
      <c r="S32" s="198"/>
      <c r="T32" s="198"/>
      <c r="U32" s="198"/>
    </row>
    <row r="33" spans="1:21" s="12" customFormat="1" x14ac:dyDescent="0.25">
      <c r="A33" s="214" t="s">
        <v>1232</v>
      </c>
      <c r="B33" s="64">
        <v>0.1</v>
      </c>
      <c r="C33" s="64">
        <v>29.78</v>
      </c>
      <c r="D33" s="64">
        <v>15.56</v>
      </c>
      <c r="E33" s="64">
        <v>2.1</v>
      </c>
      <c r="F33" s="64">
        <v>4.66</v>
      </c>
      <c r="G33" s="64">
        <v>8.51</v>
      </c>
      <c r="H33" s="64">
        <v>5.03</v>
      </c>
      <c r="I33" s="64">
        <v>2.5</v>
      </c>
      <c r="J33" s="64">
        <v>0.13</v>
      </c>
      <c r="K33" s="64">
        <v>355.55</v>
      </c>
      <c r="L33" s="64">
        <v>17.38</v>
      </c>
      <c r="M33" s="64">
        <v>97.83</v>
      </c>
      <c r="N33" s="64">
        <v>24.8</v>
      </c>
      <c r="O33" s="64">
        <v>0</v>
      </c>
      <c r="P33" s="64">
        <v>0.26</v>
      </c>
      <c r="Q33" s="64">
        <v>9.23</v>
      </c>
      <c r="R33" s="198"/>
      <c r="S33" s="198"/>
      <c r="T33" s="198"/>
      <c r="U33" s="198"/>
    </row>
    <row r="34" spans="1:21" s="12" customFormat="1" x14ac:dyDescent="0.25">
      <c r="A34" s="214" t="s">
        <v>1233</v>
      </c>
      <c r="B34" s="64">
        <v>0.1</v>
      </c>
      <c r="C34" s="64">
        <v>30.48</v>
      </c>
      <c r="D34" s="64">
        <v>15.93</v>
      </c>
      <c r="E34" s="64">
        <v>1.98</v>
      </c>
      <c r="F34" s="64">
        <v>4.18</v>
      </c>
      <c r="G34" s="64">
        <v>8.51</v>
      </c>
      <c r="H34" s="64">
        <v>5.03</v>
      </c>
      <c r="I34" s="64">
        <v>2.46</v>
      </c>
      <c r="J34" s="64">
        <v>0.03</v>
      </c>
      <c r="K34" s="64">
        <v>263.37</v>
      </c>
      <c r="L34" s="64">
        <v>17.399999999999999</v>
      </c>
      <c r="M34" s="64">
        <v>97.83</v>
      </c>
      <c r="N34" s="64">
        <v>28.1</v>
      </c>
      <c r="O34" s="64">
        <v>0</v>
      </c>
      <c r="P34" s="64">
        <v>0.27</v>
      </c>
      <c r="Q34" s="64">
        <v>9.1999999999999993</v>
      </c>
      <c r="R34" s="198"/>
      <c r="S34" s="198"/>
      <c r="T34" s="198"/>
      <c r="U34" s="198"/>
    </row>
    <row r="35" spans="1:21" s="12" customFormat="1" x14ac:dyDescent="0.25">
      <c r="A35" s="214" t="s">
        <v>1234</v>
      </c>
      <c r="B35" s="64">
        <v>0.1</v>
      </c>
      <c r="C35" s="64">
        <v>30.93</v>
      </c>
      <c r="D35" s="64">
        <v>16.16</v>
      </c>
      <c r="E35" s="64">
        <v>1.73</v>
      </c>
      <c r="F35" s="64">
        <v>4.12</v>
      </c>
      <c r="G35" s="64">
        <v>8.51</v>
      </c>
      <c r="H35" s="64">
        <v>5.03</v>
      </c>
      <c r="I35" s="64">
        <v>2.38</v>
      </c>
      <c r="J35" s="64">
        <v>0.24</v>
      </c>
      <c r="K35" s="64">
        <v>210.65</v>
      </c>
      <c r="L35" s="64">
        <v>17.45</v>
      </c>
      <c r="M35" s="64">
        <v>97.83</v>
      </c>
      <c r="N35" s="64">
        <v>31.8</v>
      </c>
      <c r="O35" s="64">
        <v>0</v>
      </c>
      <c r="P35" s="64">
        <v>0.28000000000000003</v>
      </c>
      <c r="Q35" s="64">
        <v>9.2100000000000009</v>
      </c>
      <c r="R35" s="198"/>
      <c r="S35" s="198"/>
      <c r="T35" s="198"/>
      <c r="U35" s="198"/>
    </row>
    <row r="36" spans="1:21" s="12" customFormat="1" x14ac:dyDescent="0.25">
      <c r="A36" s="214" t="s">
        <v>1235</v>
      </c>
      <c r="B36" s="64">
        <v>0.1</v>
      </c>
      <c r="C36" s="64">
        <v>31.54</v>
      </c>
      <c r="D36" s="64">
        <v>16.48</v>
      </c>
      <c r="E36" s="64">
        <v>1.97</v>
      </c>
      <c r="F36" s="64">
        <v>4.1500000000000004</v>
      </c>
      <c r="G36" s="64">
        <v>8.73</v>
      </c>
      <c r="H36" s="64">
        <v>5.09</v>
      </c>
      <c r="I36" s="64">
        <v>2.37</v>
      </c>
      <c r="J36" s="64">
        <v>0.14000000000000001</v>
      </c>
      <c r="K36" s="64">
        <v>53.98</v>
      </c>
      <c r="L36" s="64">
        <v>17.489999999999998</v>
      </c>
      <c r="M36" s="64">
        <v>97.83</v>
      </c>
      <c r="N36" s="64">
        <v>48.6</v>
      </c>
      <c r="O36" s="64">
        <v>0</v>
      </c>
      <c r="P36" s="64">
        <v>0.28000000000000003</v>
      </c>
      <c r="Q36" s="64">
        <v>9.18</v>
      </c>
      <c r="R36" s="198"/>
      <c r="S36" s="198"/>
      <c r="T36" s="198"/>
      <c r="U36" s="198"/>
    </row>
    <row r="37" spans="1:21" s="12" customFormat="1" x14ac:dyDescent="0.25">
      <c r="A37" s="214" t="s">
        <v>1236</v>
      </c>
      <c r="B37" s="64">
        <v>0.28000000000000003</v>
      </c>
      <c r="C37" s="64">
        <v>32.93</v>
      </c>
      <c r="D37" s="64">
        <v>17.350000000000001</v>
      </c>
      <c r="E37" s="64">
        <v>1.86</v>
      </c>
      <c r="F37" s="64">
        <v>3.56</v>
      </c>
      <c r="G37" s="64">
        <v>11.93</v>
      </c>
      <c r="H37" s="64">
        <v>6.08</v>
      </c>
      <c r="I37" s="64">
        <v>2.48</v>
      </c>
      <c r="J37" s="64">
        <v>0.67</v>
      </c>
      <c r="K37" s="64">
        <v>80.599999999999994</v>
      </c>
      <c r="L37" s="64">
        <v>17.66</v>
      </c>
      <c r="M37" s="64">
        <v>97.82</v>
      </c>
      <c r="N37" s="64">
        <v>55.9</v>
      </c>
      <c r="O37" s="64">
        <v>0</v>
      </c>
      <c r="P37" s="64">
        <v>0.28000000000000003</v>
      </c>
      <c r="Q37" s="64">
        <v>9.27</v>
      </c>
      <c r="R37" s="198"/>
      <c r="S37" s="198"/>
      <c r="T37" s="198"/>
      <c r="U37" s="198"/>
    </row>
    <row r="38" spans="1:21" s="12" customFormat="1" x14ac:dyDescent="0.25">
      <c r="A38" s="214" t="s">
        <v>1237</v>
      </c>
      <c r="B38" s="64">
        <v>0.97</v>
      </c>
      <c r="C38" s="64">
        <v>33.869999999999997</v>
      </c>
      <c r="D38" s="64">
        <v>18.39</v>
      </c>
      <c r="E38" s="64">
        <v>2.0699999999999998</v>
      </c>
      <c r="F38" s="64">
        <v>3.54</v>
      </c>
      <c r="G38" s="64">
        <v>11.93</v>
      </c>
      <c r="H38" s="64">
        <v>6.08</v>
      </c>
      <c r="I38" s="64">
        <v>2.5299999999999998</v>
      </c>
      <c r="J38" s="64">
        <v>0.8</v>
      </c>
      <c r="K38" s="64">
        <v>90.81</v>
      </c>
      <c r="L38" s="64">
        <v>17.8</v>
      </c>
      <c r="M38" s="64">
        <v>97.79</v>
      </c>
      <c r="N38" s="64">
        <v>68.400000000000006</v>
      </c>
      <c r="O38" s="64">
        <v>0</v>
      </c>
      <c r="P38" s="64">
        <v>0.28999999999999998</v>
      </c>
      <c r="Q38" s="64">
        <v>9.24</v>
      </c>
      <c r="R38" s="198"/>
      <c r="S38" s="198"/>
      <c r="T38" s="198"/>
      <c r="U38" s="198"/>
    </row>
    <row r="39" spans="1:21" s="12" customFormat="1" x14ac:dyDescent="0.25">
      <c r="A39" s="214" t="s">
        <v>1238</v>
      </c>
      <c r="B39" s="64">
        <v>1.29</v>
      </c>
      <c r="C39" s="64">
        <v>32.49</v>
      </c>
      <c r="D39" s="64">
        <v>17.93</v>
      </c>
      <c r="E39" s="64">
        <v>1.99</v>
      </c>
      <c r="F39" s="64">
        <v>3.89</v>
      </c>
      <c r="G39" s="64">
        <v>11.93</v>
      </c>
      <c r="H39" s="64">
        <v>6.08</v>
      </c>
      <c r="I39" s="64">
        <v>2.69</v>
      </c>
      <c r="J39" s="64">
        <v>0.37</v>
      </c>
      <c r="K39" s="64">
        <v>67.3</v>
      </c>
      <c r="L39" s="64">
        <v>18.07</v>
      </c>
      <c r="M39" s="64">
        <v>97.78</v>
      </c>
      <c r="N39" s="64">
        <v>78.099999999999994</v>
      </c>
      <c r="O39" s="64">
        <v>0</v>
      </c>
      <c r="P39" s="64">
        <v>0.3</v>
      </c>
      <c r="Q39" s="64">
        <v>9.27</v>
      </c>
      <c r="R39" s="198"/>
      <c r="S39" s="198"/>
      <c r="T39" s="198"/>
      <c r="U39" s="198"/>
    </row>
    <row r="40" spans="1:21" s="12" customFormat="1" x14ac:dyDescent="0.25">
      <c r="A40" s="214" t="s">
        <v>1239</v>
      </c>
      <c r="B40" s="64">
        <v>1.68</v>
      </c>
      <c r="C40" s="64">
        <v>32.020000000000003</v>
      </c>
      <c r="D40" s="64">
        <v>17.989999999999998</v>
      </c>
      <c r="E40" s="64">
        <v>1.69</v>
      </c>
      <c r="F40" s="64">
        <v>3.73</v>
      </c>
      <c r="G40" s="64">
        <v>11.61</v>
      </c>
      <c r="H40" s="64">
        <v>5.99</v>
      </c>
      <c r="I40" s="64">
        <v>2.8</v>
      </c>
      <c r="J40" s="64">
        <v>0.12</v>
      </c>
      <c r="K40" s="64">
        <v>349.02</v>
      </c>
      <c r="L40" s="64">
        <v>18.579999999999998</v>
      </c>
      <c r="M40" s="64">
        <v>97.79</v>
      </c>
      <c r="N40" s="64">
        <v>131.5</v>
      </c>
      <c r="O40" s="64">
        <v>0</v>
      </c>
      <c r="P40" s="64">
        <v>0.32</v>
      </c>
      <c r="Q40" s="64">
        <v>9.32</v>
      </c>
      <c r="R40" s="198"/>
      <c r="S40" s="198"/>
      <c r="T40" s="198"/>
      <c r="U40" s="198"/>
    </row>
    <row r="41" spans="1:21" s="12" customFormat="1" x14ac:dyDescent="0.25">
      <c r="A41" s="214" t="s">
        <v>1240</v>
      </c>
      <c r="B41" s="64">
        <v>2.2400000000000002</v>
      </c>
      <c r="C41" s="64">
        <v>32.32</v>
      </c>
      <c r="D41" s="64">
        <v>18.600000000000001</v>
      </c>
      <c r="E41" s="64">
        <v>2.2200000000000002</v>
      </c>
      <c r="F41" s="64">
        <v>3.93</v>
      </c>
      <c r="G41" s="64">
        <v>7.15</v>
      </c>
      <c r="H41" s="64">
        <v>4.49</v>
      </c>
      <c r="I41" s="64">
        <v>3.27</v>
      </c>
      <c r="J41" s="64">
        <v>0.57999999999999996</v>
      </c>
      <c r="K41" s="64">
        <v>321.13</v>
      </c>
      <c r="L41" s="64">
        <v>19.399999999999999</v>
      </c>
      <c r="M41" s="64">
        <v>97.76</v>
      </c>
      <c r="N41" s="64">
        <v>139.30000000000001</v>
      </c>
      <c r="O41" s="64">
        <v>0</v>
      </c>
      <c r="P41" s="64">
        <v>0.33</v>
      </c>
      <c r="Q41" s="64">
        <v>9.25</v>
      </c>
      <c r="R41" s="198"/>
      <c r="S41" s="198"/>
      <c r="T41" s="198"/>
      <c r="U41" s="198"/>
    </row>
    <row r="42" spans="1:21" s="12" customFormat="1" x14ac:dyDescent="0.25">
      <c r="A42" s="214" t="s">
        <v>1241</v>
      </c>
      <c r="B42" s="64">
        <v>2.62</v>
      </c>
      <c r="C42" s="64">
        <v>32.58</v>
      </c>
      <c r="D42" s="64">
        <v>19.04</v>
      </c>
      <c r="E42" s="64">
        <v>2.2000000000000002</v>
      </c>
      <c r="F42" s="64">
        <v>3.74</v>
      </c>
      <c r="G42" s="64">
        <v>7.15</v>
      </c>
      <c r="H42" s="64">
        <v>4.49</v>
      </c>
      <c r="I42" s="64">
        <v>3.21</v>
      </c>
      <c r="J42" s="64">
        <v>0.9</v>
      </c>
      <c r="K42" s="64">
        <v>317.42</v>
      </c>
      <c r="L42" s="64">
        <v>19.71</v>
      </c>
      <c r="M42" s="64">
        <v>96.57</v>
      </c>
      <c r="N42" s="64">
        <v>155.80000000000001</v>
      </c>
      <c r="O42" s="64">
        <v>0</v>
      </c>
      <c r="P42" s="64">
        <v>0.34</v>
      </c>
      <c r="Q42" s="64">
        <v>9.24</v>
      </c>
      <c r="R42" s="198"/>
      <c r="S42" s="198"/>
      <c r="T42" s="198"/>
      <c r="U42" s="198"/>
    </row>
    <row r="43" spans="1:21" s="12" customFormat="1" x14ac:dyDescent="0.25">
      <c r="A43" s="214" t="s">
        <v>1242</v>
      </c>
      <c r="B43" s="64">
        <v>2.56</v>
      </c>
      <c r="C43" s="64">
        <v>32.590000000000003</v>
      </c>
      <c r="D43" s="64">
        <v>19</v>
      </c>
      <c r="E43" s="64">
        <v>1.91</v>
      </c>
      <c r="F43" s="64">
        <v>3.71</v>
      </c>
      <c r="G43" s="64">
        <v>7.15</v>
      </c>
      <c r="H43" s="64">
        <v>4.49</v>
      </c>
      <c r="I43" s="64">
        <v>2.93</v>
      </c>
      <c r="J43" s="64">
        <v>0.62</v>
      </c>
      <c r="K43" s="64">
        <v>306.77999999999997</v>
      </c>
      <c r="L43" s="64">
        <v>19.940000000000001</v>
      </c>
      <c r="M43" s="64">
        <v>95.73</v>
      </c>
      <c r="N43" s="64">
        <v>185.5</v>
      </c>
      <c r="O43" s="64">
        <v>0</v>
      </c>
      <c r="P43" s="64">
        <v>0.35</v>
      </c>
      <c r="Q43" s="64">
        <v>9.1999999999999993</v>
      </c>
      <c r="R43" s="198"/>
      <c r="S43" s="198"/>
      <c r="T43" s="198"/>
      <c r="U43" s="198"/>
    </row>
    <row r="44" spans="1:21" s="12" customFormat="1" x14ac:dyDescent="0.25">
      <c r="A44" s="214" t="s">
        <v>1243</v>
      </c>
      <c r="B44" s="64">
        <v>2.2599999999999998</v>
      </c>
      <c r="C44" s="64">
        <v>32.94</v>
      </c>
      <c r="D44" s="64">
        <v>18.940000000000001</v>
      </c>
      <c r="E44" s="64">
        <v>1.8</v>
      </c>
      <c r="F44" s="64">
        <v>3.6</v>
      </c>
      <c r="G44" s="64">
        <v>7.45</v>
      </c>
      <c r="H44" s="64">
        <v>4.5999999999999996</v>
      </c>
      <c r="I44" s="64">
        <v>2.92</v>
      </c>
      <c r="J44" s="64">
        <v>0.19</v>
      </c>
      <c r="K44" s="64">
        <v>291.14999999999998</v>
      </c>
      <c r="L44" s="64">
        <v>19.62</v>
      </c>
      <c r="M44" s="64">
        <v>95.68</v>
      </c>
      <c r="N44" s="64">
        <v>244.1</v>
      </c>
      <c r="O44" s="64">
        <v>0</v>
      </c>
      <c r="P44" s="64">
        <v>0.35</v>
      </c>
      <c r="Q44" s="64">
        <v>9.2200000000000006</v>
      </c>
      <c r="R44" s="198"/>
      <c r="S44" s="198"/>
      <c r="T44" s="198"/>
      <c r="U44" s="198"/>
    </row>
    <row r="45" spans="1:21" s="12" customFormat="1" x14ac:dyDescent="0.25">
      <c r="A45" s="214" t="s">
        <v>1244</v>
      </c>
      <c r="B45" s="64">
        <v>1.92</v>
      </c>
      <c r="C45" s="64">
        <v>32.840000000000003</v>
      </c>
      <c r="D45" s="64">
        <v>18.62</v>
      </c>
      <c r="E45" s="64">
        <v>2.0099999999999998</v>
      </c>
      <c r="F45" s="64">
        <v>3.62</v>
      </c>
      <c r="G45" s="64">
        <v>11.66</v>
      </c>
      <c r="H45" s="64">
        <v>6.11</v>
      </c>
      <c r="I45" s="64">
        <v>2.85</v>
      </c>
      <c r="J45" s="64">
        <v>0.24</v>
      </c>
      <c r="K45" s="64">
        <v>296.02999999999997</v>
      </c>
      <c r="L45" s="64">
        <v>20.420000000000002</v>
      </c>
      <c r="M45" s="64">
        <v>92.39</v>
      </c>
      <c r="N45" s="64">
        <v>311</v>
      </c>
      <c r="O45" s="64">
        <v>0</v>
      </c>
      <c r="P45" s="64">
        <v>0.36</v>
      </c>
      <c r="Q45" s="64">
        <v>9.2799999999999994</v>
      </c>
      <c r="R45" s="198"/>
      <c r="S45" s="198"/>
      <c r="T45" s="198"/>
      <c r="U45" s="198"/>
    </row>
    <row r="46" spans="1:21" s="12" customFormat="1" x14ac:dyDescent="0.25">
      <c r="A46" s="214" t="s">
        <v>1245</v>
      </c>
      <c r="B46" s="64">
        <v>1.29</v>
      </c>
      <c r="C46" s="64">
        <v>32.82</v>
      </c>
      <c r="D46" s="64">
        <v>18.100000000000001</v>
      </c>
      <c r="E46" s="64">
        <v>1.79</v>
      </c>
      <c r="F46" s="64">
        <v>4.72</v>
      </c>
      <c r="G46" s="64">
        <v>11.66</v>
      </c>
      <c r="H46" s="64">
        <v>6.11</v>
      </c>
      <c r="I46" s="64">
        <v>2.77</v>
      </c>
      <c r="J46" s="64">
        <v>0.16</v>
      </c>
      <c r="K46" s="64">
        <v>347.37</v>
      </c>
      <c r="L46" s="64">
        <v>20.14</v>
      </c>
      <c r="M46" s="64">
        <v>91.2</v>
      </c>
      <c r="N46" s="64">
        <v>228.4</v>
      </c>
      <c r="O46" s="64">
        <v>0</v>
      </c>
      <c r="P46" s="64">
        <v>0.37</v>
      </c>
      <c r="Q46" s="64">
        <v>9.3000000000000007</v>
      </c>
      <c r="R46" s="198"/>
      <c r="S46" s="198"/>
      <c r="T46" s="198"/>
      <c r="U46" s="198"/>
    </row>
    <row r="47" spans="1:21" s="12" customFormat="1" x14ac:dyDescent="0.25">
      <c r="A47" s="214" t="s">
        <v>1246</v>
      </c>
      <c r="B47" s="64">
        <v>0.45</v>
      </c>
      <c r="C47" s="64">
        <v>33.01</v>
      </c>
      <c r="D47" s="64">
        <v>17.53</v>
      </c>
      <c r="E47" s="64">
        <v>2.08</v>
      </c>
      <c r="F47" s="64">
        <v>4.87</v>
      </c>
      <c r="G47" s="64">
        <v>11.66</v>
      </c>
      <c r="H47" s="64">
        <v>6.11</v>
      </c>
      <c r="I47" s="64">
        <v>2.69</v>
      </c>
      <c r="J47" s="64">
        <v>0.16</v>
      </c>
      <c r="K47" s="64">
        <v>265.29000000000002</v>
      </c>
      <c r="L47" s="64">
        <v>20.54</v>
      </c>
      <c r="M47" s="64">
        <v>87.8</v>
      </c>
      <c r="N47" s="64">
        <v>165</v>
      </c>
      <c r="O47" s="64">
        <v>0</v>
      </c>
      <c r="P47" s="64">
        <v>0.37</v>
      </c>
      <c r="Q47" s="64">
        <v>9.24</v>
      </c>
      <c r="R47" s="198"/>
      <c r="S47" s="198"/>
      <c r="T47" s="198"/>
      <c r="U47" s="198"/>
    </row>
    <row r="48" spans="1:21" s="12" customFormat="1" x14ac:dyDescent="0.25">
      <c r="A48" s="214" t="s">
        <v>1247</v>
      </c>
      <c r="B48" s="64">
        <v>0.22</v>
      </c>
      <c r="C48" s="64">
        <v>33.64</v>
      </c>
      <c r="D48" s="64">
        <v>17.670000000000002</v>
      </c>
      <c r="E48" s="64">
        <v>1.88</v>
      </c>
      <c r="F48" s="64">
        <v>4.3099999999999996</v>
      </c>
      <c r="G48" s="64">
        <v>12.12</v>
      </c>
      <c r="H48" s="64">
        <v>6.02</v>
      </c>
      <c r="I48" s="64">
        <v>2.58</v>
      </c>
      <c r="J48" s="64">
        <v>0.13</v>
      </c>
      <c r="K48" s="64">
        <v>270.55</v>
      </c>
      <c r="L48" s="64">
        <v>20.399999999999999</v>
      </c>
      <c r="M48" s="64">
        <v>90.78</v>
      </c>
      <c r="N48" s="64">
        <v>151.80000000000001</v>
      </c>
      <c r="O48" s="64">
        <v>0</v>
      </c>
      <c r="P48" s="64">
        <v>0.39</v>
      </c>
      <c r="Q48" s="64">
        <v>9.17</v>
      </c>
      <c r="R48" s="198"/>
      <c r="S48" s="198"/>
      <c r="T48" s="198"/>
      <c r="U48" s="198"/>
    </row>
    <row r="49" spans="1:21" s="12" customFormat="1" x14ac:dyDescent="0.25">
      <c r="A49" s="214" t="s">
        <v>1248</v>
      </c>
      <c r="B49" s="64">
        <v>0.12</v>
      </c>
      <c r="C49" s="64">
        <v>32.799999999999997</v>
      </c>
      <c r="D49" s="64">
        <v>17.149999999999999</v>
      </c>
      <c r="E49" s="64">
        <v>2.04</v>
      </c>
      <c r="F49" s="64">
        <v>4.87</v>
      </c>
      <c r="G49" s="64">
        <v>18.53</v>
      </c>
      <c r="H49" s="64">
        <v>4.3499999999999996</v>
      </c>
      <c r="I49" s="64">
        <v>2.61</v>
      </c>
      <c r="J49" s="64">
        <v>0.09</v>
      </c>
      <c r="K49" s="64">
        <v>317.91000000000003</v>
      </c>
      <c r="L49" s="64">
        <v>20.329999999999998</v>
      </c>
      <c r="M49" s="64">
        <v>89.76</v>
      </c>
      <c r="N49" s="64">
        <v>172.6</v>
      </c>
      <c r="O49" s="64">
        <v>0</v>
      </c>
      <c r="P49" s="64">
        <v>0.41</v>
      </c>
      <c r="Q49" s="64">
        <v>9.2200000000000006</v>
      </c>
      <c r="R49" s="198"/>
      <c r="S49" s="198"/>
      <c r="T49" s="198"/>
      <c r="U49" s="198"/>
    </row>
    <row r="50" spans="1:21" s="12" customFormat="1" x14ac:dyDescent="0.25">
      <c r="A50" s="214" t="s">
        <v>1249</v>
      </c>
      <c r="B50" s="64">
        <v>0.1</v>
      </c>
      <c r="C50" s="64">
        <v>33.74</v>
      </c>
      <c r="D50" s="64">
        <v>17.63</v>
      </c>
      <c r="E50" s="64">
        <v>2.09</v>
      </c>
      <c r="F50" s="64">
        <v>5.15</v>
      </c>
      <c r="G50" s="64">
        <v>18.53</v>
      </c>
      <c r="H50" s="64">
        <v>4.3499999999999996</v>
      </c>
      <c r="I50" s="64">
        <v>2.79</v>
      </c>
      <c r="J50" s="64">
        <v>0.11</v>
      </c>
      <c r="K50" s="64">
        <v>309.39</v>
      </c>
      <c r="L50" s="64">
        <v>20.350000000000001</v>
      </c>
      <c r="M50" s="64">
        <v>88.47</v>
      </c>
      <c r="N50" s="64">
        <v>152.9</v>
      </c>
      <c r="O50" s="64">
        <v>0</v>
      </c>
      <c r="P50" s="64">
        <v>0.42</v>
      </c>
      <c r="Q50" s="64">
        <v>9.18</v>
      </c>
      <c r="R50" s="198"/>
      <c r="S50" s="198"/>
      <c r="T50" s="198"/>
      <c r="U50" s="198"/>
    </row>
    <row r="51" spans="1:21" s="12" customFormat="1" x14ac:dyDescent="0.25">
      <c r="A51" s="214" t="s">
        <v>1250</v>
      </c>
      <c r="B51" s="64">
        <v>0.1</v>
      </c>
      <c r="C51" s="64">
        <v>33.61</v>
      </c>
      <c r="D51" s="64">
        <v>17.559999999999999</v>
      </c>
      <c r="E51" s="64">
        <v>1.93</v>
      </c>
      <c r="F51" s="64">
        <v>5.14</v>
      </c>
      <c r="G51" s="64">
        <v>18.53</v>
      </c>
      <c r="H51" s="64">
        <v>4.3499999999999996</v>
      </c>
      <c r="I51" s="64">
        <v>2.7</v>
      </c>
      <c r="J51" s="64">
        <v>0.4</v>
      </c>
      <c r="K51" s="64">
        <v>199.9</v>
      </c>
      <c r="L51" s="64">
        <v>20.04</v>
      </c>
      <c r="M51" s="64">
        <v>89.65</v>
      </c>
      <c r="N51" s="64">
        <v>130.19999999999999</v>
      </c>
      <c r="O51" s="64">
        <v>0</v>
      </c>
      <c r="P51" s="64">
        <v>0.42</v>
      </c>
      <c r="Q51" s="64">
        <v>9.25</v>
      </c>
      <c r="R51" s="198"/>
      <c r="S51" s="198"/>
      <c r="T51" s="198"/>
      <c r="U51" s="198"/>
    </row>
    <row r="52" spans="1:21" s="12" customFormat="1" x14ac:dyDescent="0.25">
      <c r="A52" s="214" t="s">
        <v>1251</v>
      </c>
      <c r="B52" s="64">
        <v>0.1</v>
      </c>
      <c r="C52" s="64">
        <v>31.72</v>
      </c>
      <c r="D52" s="64">
        <v>16.57</v>
      </c>
      <c r="E52" s="64">
        <v>2.1</v>
      </c>
      <c r="F52" s="64">
        <v>6.92</v>
      </c>
      <c r="G52" s="64">
        <v>18.16</v>
      </c>
      <c r="H52" s="64">
        <v>4.3899999999999997</v>
      </c>
      <c r="I52" s="64">
        <v>2.68</v>
      </c>
      <c r="J52" s="64">
        <v>0.2</v>
      </c>
      <c r="K52" s="64">
        <v>151.91</v>
      </c>
      <c r="L52" s="64">
        <v>20.04</v>
      </c>
      <c r="M52" s="64">
        <v>90.45</v>
      </c>
      <c r="N52" s="64">
        <v>128</v>
      </c>
      <c r="O52" s="64">
        <v>0</v>
      </c>
      <c r="P52" s="64">
        <v>0.4</v>
      </c>
      <c r="Q52" s="64">
        <v>9.25</v>
      </c>
      <c r="R52" s="198"/>
      <c r="S52" s="198"/>
      <c r="T52" s="198"/>
      <c r="U52" s="198"/>
    </row>
    <row r="53" spans="1:21" s="12" customFormat="1" x14ac:dyDescent="0.25">
      <c r="A53" s="214" t="s">
        <v>1252</v>
      </c>
      <c r="B53" s="64">
        <v>0.1</v>
      </c>
      <c r="C53" s="64">
        <v>29.88</v>
      </c>
      <c r="D53" s="64">
        <v>15.61</v>
      </c>
      <c r="E53" s="64">
        <v>2.09</v>
      </c>
      <c r="F53" s="64">
        <v>4.8099999999999996</v>
      </c>
      <c r="G53" s="64">
        <v>11.86</v>
      </c>
      <c r="H53" s="64">
        <v>5</v>
      </c>
      <c r="I53" s="64">
        <v>2.57</v>
      </c>
      <c r="J53" s="64">
        <v>1.26</v>
      </c>
      <c r="K53" s="64">
        <v>154.99</v>
      </c>
      <c r="L53" s="64">
        <v>20</v>
      </c>
      <c r="M53" s="64">
        <v>89.71</v>
      </c>
      <c r="N53" s="64">
        <v>128.9</v>
      </c>
      <c r="O53" s="64">
        <v>0</v>
      </c>
      <c r="P53" s="64">
        <v>0.39</v>
      </c>
      <c r="Q53" s="64">
        <v>9.24</v>
      </c>
      <c r="R53" s="198"/>
      <c r="S53" s="198"/>
      <c r="T53" s="198"/>
      <c r="U53" s="198"/>
    </row>
    <row r="54" spans="1:21" s="12" customFormat="1" x14ac:dyDescent="0.25">
      <c r="A54" s="214" t="s">
        <v>1253</v>
      </c>
      <c r="B54" s="64">
        <v>0.1</v>
      </c>
      <c r="C54" s="64">
        <v>28.55</v>
      </c>
      <c r="D54" s="64">
        <v>14.92</v>
      </c>
      <c r="E54" s="64">
        <v>1.86</v>
      </c>
      <c r="F54" s="64">
        <v>3.81</v>
      </c>
      <c r="G54" s="64">
        <v>11.86</v>
      </c>
      <c r="H54" s="64">
        <v>5</v>
      </c>
      <c r="I54" s="64">
        <v>2.54</v>
      </c>
      <c r="J54" s="64">
        <v>0.67</v>
      </c>
      <c r="K54" s="64">
        <v>134.9</v>
      </c>
      <c r="L54" s="64">
        <v>19.989999999999998</v>
      </c>
      <c r="M54" s="64">
        <v>89.34</v>
      </c>
      <c r="N54" s="64">
        <v>144.19999999999999</v>
      </c>
      <c r="O54" s="64">
        <v>0</v>
      </c>
      <c r="P54" s="64">
        <v>0.38</v>
      </c>
      <c r="Q54" s="64">
        <v>9.17</v>
      </c>
      <c r="R54" s="198"/>
      <c r="S54" s="198"/>
      <c r="T54" s="198"/>
      <c r="U54" s="198"/>
    </row>
    <row r="55" spans="1:21" s="12" customFormat="1" x14ac:dyDescent="0.25">
      <c r="A55" s="214" t="s">
        <v>1254</v>
      </c>
      <c r="B55" s="64">
        <v>0.1</v>
      </c>
      <c r="C55" s="64">
        <v>27.39</v>
      </c>
      <c r="D55" s="64">
        <v>14.31</v>
      </c>
      <c r="E55" s="64">
        <v>1.89</v>
      </c>
      <c r="F55" s="64">
        <v>3.66</v>
      </c>
      <c r="G55" s="64">
        <v>11.86</v>
      </c>
      <c r="H55" s="64">
        <v>5</v>
      </c>
      <c r="I55" s="64">
        <v>2.88</v>
      </c>
      <c r="J55" s="64">
        <v>0.51</v>
      </c>
      <c r="K55" s="64">
        <v>154.01</v>
      </c>
      <c r="L55" s="64">
        <v>20.100000000000001</v>
      </c>
      <c r="M55" s="64">
        <v>89.6</v>
      </c>
      <c r="N55" s="64">
        <v>150.1</v>
      </c>
      <c r="O55" s="64">
        <v>0</v>
      </c>
      <c r="P55" s="64">
        <v>0.38</v>
      </c>
      <c r="Q55" s="64">
        <v>9.24</v>
      </c>
      <c r="R55" s="198"/>
      <c r="S55" s="198"/>
      <c r="T55" s="198"/>
      <c r="U55" s="198"/>
    </row>
    <row r="56" spans="1:21" s="12" customFormat="1" x14ac:dyDescent="0.25">
      <c r="A56" s="214" t="s">
        <v>1255</v>
      </c>
      <c r="B56" s="64">
        <v>0.1</v>
      </c>
      <c r="C56" s="64">
        <v>27.47</v>
      </c>
      <c r="D56" s="64">
        <v>14.36</v>
      </c>
      <c r="E56" s="64">
        <v>0.7</v>
      </c>
      <c r="F56" s="64">
        <v>4.4000000000000004</v>
      </c>
      <c r="G56" s="64">
        <v>12.39</v>
      </c>
      <c r="H56" s="64">
        <v>5.0199999999999996</v>
      </c>
      <c r="I56" s="64">
        <v>2.99</v>
      </c>
      <c r="J56" s="64">
        <v>0.34</v>
      </c>
      <c r="K56" s="64">
        <v>337.32</v>
      </c>
      <c r="L56" s="64">
        <v>20.62</v>
      </c>
      <c r="M56" s="64">
        <v>88.79</v>
      </c>
      <c r="N56" s="64">
        <v>142.5</v>
      </c>
      <c r="O56" s="64">
        <v>0</v>
      </c>
      <c r="P56" s="64">
        <v>0.37</v>
      </c>
      <c r="Q56" s="64">
        <v>9.2100000000000009</v>
      </c>
      <c r="R56" s="198"/>
      <c r="S56" s="198"/>
      <c r="T56" s="198"/>
      <c r="U56" s="198"/>
    </row>
    <row r="57" spans="1:21" s="12" customFormat="1" x14ac:dyDescent="0.25">
      <c r="A57" s="214" t="s">
        <v>1256</v>
      </c>
      <c r="B57" s="64">
        <v>0.41</v>
      </c>
      <c r="C57" s="64">
        <v>28.49</v>
      </c>
      <c r="D57" s="64">
        <v>15.13</v>
      </c>
      <c r="E57" s="64">
        <v>1.51</v>
      </c>
      <c r="F57" s="64">
        <v>4.13</v>
      </c>
      <c r="G57" s="64">
        <v>19.86</v>
      </c>
      <c r="H57" s="64">
        <v>5.27</v>
      </c>
      <c r="I57" s="64">
        <v>3.18</v>
      </c>
      <c r="J57" s="64">
        <v>0.42</v>
      </c>
      <c r="K57" s="64">
        <v>203.92</v>
      </c>
      <c r="L57" s="64">
        <v>20.5</v>
      </c>
      <c r="M57" s="64">
        <v>87.33</v>
      </c>
      <c r="N57" s="64">
        <v>154.30000000000001</v>
      </c>
      <c r="O57" s="64">
        <v>0</v>
      </c>
      <c r="P57" s="64">
        <v>0.38</v>
      </c>
      <c r="Q57" s="64">
        <v>9.14</v>
      </c>
      <c r="R57" s="198"/>
      <c r="S57" s="198"/>
      <c r="T57" s="198"/>
      <c r="U57" s="198"/>
    </row>
    <row r="58" spans="1:21" s="12" customFormat="1" x14ac:dyDescent="0.25">
      <c r="A58" s="214" t="s">
        <v>1257</v>
      </c>
      <c r="B58" s="64">
        <v>0.66</v>
      </c>
      <c r="C58" s="64">
        <v>27.9</v>
      </c>
      <c r="D58" s="64">
        <v>15.03</v>
      </c>
      <c r="E58" s="64">
        <v>1.22</v>
      </c>
      <c r="F58" s="64">
        <v>3.66</v>
      </c>
      <c r="G58" s="64">
        <v>19.86</v>
      </c>
      <c r="H58" s="64">
        <v>5.27</v>
      </c>
      <c r="I58" s="64">
        <v>3.08</v>
      </c>
      <c r="J58" s="64">
        <v>1.0900000000000001</v>
      </c>
      <c r="K58" s="64">
        <v>155.94</v>
      </c>
      <c r="L58" s="64">
        <v>20.440000000000001</v>
      </c>
      <c r="M58" s="64">
        <v>88.79</v>
      </c>
      <c r="N58" s="64">
        <v>147.9</v>
      </c>
      <c r="O58" s="64">
        <v>0</v>
      </c>
      <c r="P58" s="64">
        <v>0.38</v>
      </c>
      <c r="Q58" s="64">
        <v>9.2100000000000009</v>
      </c>
      <c r="R58" s="198"/>
      <c r="S58" s="198"/>
      <c r="T58" s="198"/>
      <c r="U58" s="198"/>
    </row>
    <row r="59" spans="1:21" s="12" customFormat="1" x14ac:dyDescent="0.25">
      <c r="A59" s="214" t="s">
        <v>1258</v>
      </c>
      <c r="B59" s="64">
        <v>0.37</v>
      </c>
      <c r="C59" s="64">
        <v>27.6</v>
      </c>
      <c r="D59" s="64">
        <v>14.64</v>
      </c>
      <c r="E59" s="64">
        <v>1.25</v>
      </c>
      <c r="F59" s="64">
        <v>5.14</v>
      </c>
      <c r="G59" s="64">
        <v>19.86</v>
      </c>
      <c r="H59" s="64">
        <v>5.27</v>
      </c>
      <c r="I59" s="64">
        <v>3.21</v>
      </c>
      <c r="J59" s="64">
        <v>0.63</v>
      </c>
      <c r="K59" s="64">
        <v>178.16</v>
      </c>
      <c r="L59" s="64">
        <v>20.27</v>
      </c>
      <c r="M59" s="64">
        <v>89.58</v>
      </c>
      <c r="N59" s="64">
        <v>154</v>
      </c>
      <c r="O59" s="64">
        <v>0</v>
      </c>
      <c r="P59" s="64">
        <v>0.37</v>
      </c>
      <c r="Q59" s="64">
        <v>9.23</v>
      </c>
      <c r="R59" s="198"/>
      <c r="S59" s="198"/>
      <c r="T59" s="198"/>
      <c r="U59" s="198"/>
    </row>
    <row r="60" spans="1:21" s="12" customFormat="1" x14ac:dyDescent="0.25">
      <c r="A60" s="214" t="s">
        <v>1259</v>
      </c>
      <c r="B60" s="64">
        <v>0.1</v>
      </c>
      <c r="C60" s="64">
        <v>26.84</v>
      </c>
      <c r="D60" s="64">
        <v>14.02</v>
      </c>
      <c r="E60" s="64">
        <v>1.4</v>
      </c>
      <c r="F60" s="64">
        <v>5.36</v>
      </c>
      <c r="G60" s="64">
        <v>19.670000000000002</v>
      </c>
      <c r="H60" s="64">
        <v>5.23</v>
      </c>
      <c r="I60" s="64">
        <v>3.04</v>
      </c>
      <c r="J60" s="64">
        <v>1.7</v>
      </c>
      <c r="K60" s="64">
        <v>165.17</v>
      </c>
      <c r="L60" s="64">
        <v>20.11</v>
      </c>
      <c r="M60" s="64">
        <v>91.06</v>
      </c>
      <c r="N60" s="64">
        <v>139.4</v>
      </c>
      <c r="O60" s="64">
        <v>0</v>
      </c>
      <c r="P60" s="64">
        <v>0.36</v>
      </c>
      <c r="Q60" s="64">
        <v>9.19</v>
      </c>
      <c r="R60" s="198"/>
      <c r="S60" s="198"/>
      <c r="T60" s="198"/>
      <c r="U60" s="198"/>
    </row>
    <row r="61" spans="1:21" s="12" customFormat="1" x14ac:dyDescent="0.25">
      <c r="A61" s="214" t="s">
        <v>1260</v>
      </c>
      <c r="B61" s="64">
        <v>0.1</v>
      </c>
      <c r="C61" s="64">
        <v>26.09</v>
      </c>
      <c r="D61" s="64">
        <v>13.63</v>
      </c>
      <c r="E61" s="64">
        <v>1</v>
      </c>
      <c r="F61" s="64">
        <v>5.36</v>
      </c>
      <c r="G61" s="64">
        <v>17.059999999999999</v>
      </c>
      <c r="H61" s="64">
        <v>4.6399999999999997</v>
      </c>
      <c r="I61" s="64">
        <v>3.08</v>
      </c>
      <c r="J61" s="64">
        <v>1.96</v>
      </c>
      <c r="K61" s="64">
        <v>161.47999999999999</v>
      </c>
      <c r="L61" s="64">
        <v>19.899999999999999</v>
      </c>
      <c r="M61" s="64">
        <v>92.09</v>
      </c>
      <c r="N61" s="64">
        <v>127</v>
      </c>
      <c r="O61" s="64">
        <v>0</v>
      </c>
      <c r="P61" s="64">
        <v>0.33</v>
      </c>
      <c r="Q61" s="64">
        <v>9.19</v>
      </c>
      <c r="R61" s="198"/>
      <c r="S61" s="198"/>
      <c r="T61" s="198"/>
      <c r="U61" s="198"/>
    </row>
    <row r="62" spans="1:21" s="12" customFormat="1" x14ac:dyDescent="0.25">
      <c r="A62" s="214" t="s">
        <v>1261</v>
      </c>
      <c r="B62" s="64">
        <v>0.1</v>
      </c>
      <c r="C62" s="64">
        <v>26.19</v>
      </c>
      <c r="D62" s="64">
        <v>13.68</v>
      </c>
      <c r="E62" s="64">
        <v>0.86</v>
      </c>
      <c r="F62" s="64">
        <v>4.87</v>
      </c>
      <c r="G62" s="64">
        <v>17.059999999999999</v>
      </c>
      <c r="H62" s="64">
        <v>4.6399999999999997</v>
      </c>
      <c r="I62" s="64">
        <v>2.84</v>
      </c>
      <c r="J62" s="64">
        <v>1.1299999999999999</v>
      </c>
      <c r="K62" s="64">
        <v>169.61</v>
      </c>
      <c r="L62" s="64">
        <v>19.71</v>
      </c>
      <c r="M62" s="64">
        <v>95.81</v>
      </c>
      <c r="N62" s="64">
        <v>115.9</v>
      </c>
      <c r="O62" s="64">
        <v>0</v>
      </c>
      <c r="P62" s="64">
        <v>0.34</v>
      </c>
      <c r="Q62" s="64">
        <v>9.18</v>
      </c>
      <c r="R62" s="198"/>
      <c r="S62" s="198"/>
      <c r="T62" s="198"/>
      <c r="U62" s="198"/>
    </row>
    <row r="63" spans="1:21" s="12" customFormat="1" x14ac:dyDescent="0.25">
      <c r="A63" s="214" t="s">
        <v>1262</v>
      </c>
      <c r="B63" s="64">
        <v>0.1</v>
      </c>
      <c r="C63" s="64">
        <v>26.2</v>
      </c>
      <c r="D63" s="64">
        <v>13.69</v>
      </c>
      <c r="E63" s="64">
        <v>1.28</v>
      </c>
      <c r="F63" s="64">
        <v>4.1399999999999997</v>
      </c>
      <c r="G63" s="64">
        <v>17.059999999999999</v>
      </c>
      <c r="H63" s="64">
        <v>4.6399999999999997</v>
      </c>
      <c r="I63" s="64">
        <v>2.44</v>
      </c>
      <c r="J63" s="64">
        <v>2.27</v>
      </c>
      <c r="K63" s="64">
        <v>157.16999999999999</v>
      </c>
      <c r="L63" s="64">
        <v>19.559999999999999</v>
      </c>
      <c r="M63" s="64">
        <v>96.25</v>
      </c>
      <c r="N63" s="64">
        <v>87.7</v>
      </c>
      <c r="O63" s="64">
        <v>0</v>
      </c>
      <c r="P63" s="64">
        <v>0.33</v>
      </c>
      <c r="Q63" s="64">
        <v>9.2100000000000009</v>
      </c>
      <c r="R63" s="198"/>
      <c r="S63" s="198"/>
      <c r="T63" s="198"/>
      <c r="U63" s="198"/>
    </row>
    <row r="64" spans="1:21" s="12" customFormat="1" x14ac:dyDescent="0.25">
      <c r="A64" s="214" t="s">
        <v>1263</v>
      </c>
      <c r="B64" s="64">
        <v>0.1</v>
      </c>
      <c r="C64" s="64">
        <v>25.64</v>
      </c>
      <c r="D64" s="64">
        <v>13.4</v>
      </c>
      <c r="E64" s="64">
        <v>1.45</v>
      </c>
      <c r="F64" s="64">
        <v>4.26</v>
      </c>
      <c r="G64" s="64">
        <v>16.95</v>
      </c>
      <c r="H64" s="64">
        <v>4.5999999999999996</v>
      </c>
      <c r="I64" s="64">
        <v>2.33</v>
      </c>
      <c r="J64" s="64">
        <v>1.38</v>
      </c>
      <c r="K64" s="64">
        <v>161.87</v>
      </c>
      <c r="L64" s="64">
        <v>19.38</v>
      </c>
      <c r="M64" s="64">
        <v>97.68</v>
      </c>
      <c r="N64" s="64">
        <v>81.400000000000006</v>
      </c>
      <c r="O64" s="64">
        <v>0</v>
      </c>
      <c r="P64" s="64">
        <v>0.33</v>
      </c>
      <c r="Q64" s="64">
        <v>9.18</v>
      </c>
      <c r="R64" s="198"/>
      <c r="S64" s="198"/>
      <c r="T64" s="198"/>
      <c r="U64" s="198"/>
    </row>
    <row r="65" spans="1:21" s="12" customFormat="1" x14ac:dyDescent="0.25">
      <c r="A65" s="214" t="s">
        <v>1264</v>
      </c>
      <c r="B65" s="64">
        <v>0.1</v>
      </c>
      <c r="C65" s="64">
        <v>25.35</v>
      </c>
      <c r="D65" s="64">
        <v>13.25</v>
      </c>
      <c r="E65" s="64">
        <v>1.52</v>
      </c>
      <c r="F65" s="64">
        <v>5.28</v>
      </c>
      <c r="G65" s="64">
        <v>15.46</v>
      </c>
      <c r="H65" s="64">
        <v>3.89</v>
      </c>
      <c r="I65" s="64">
        <v>2.2400000000000002</v>
      </c>
      <c r="J65" s="64">
        <v>2.15</v>
      </c>
      <c r="K65" s="64">
        <v>153.16</v>
      </c>
      <c r="L65" s="64">
        <v>19.329999999999998</v>
      </c>
      <c r="M65" s="64">
        <v>97.77</v>
      </c>
      <c r="N65" s="64">
        <v>108.3</v>
      </c>
      <c r="O65" s="64">
        <v>0</v>
      </c>
      <c r="P65" s="64">
        <v>0.31</v>
      </c>
      <c r="Q65" s="64">
        <v>9.18</v>
      </c>
      <c r="R65" s="198"/>
      <c r="S65" s="198"/>
      <c r="T65" s="198"/>
      <c r="U65" s="198"/>
    </row>
    <row r="66" spans="1:21" s="12" customFormat="1" x14ac:dyDescent="0.25">
      <c r="A66" s="214" t="s">
        <v>1265</v>
      </c>
      <c r="B66" s="64">
        <v>0.1</v>
      </c>
      <c r="C66" s="64">
        <v>25.28</v>
      </c>
      <c r="D66" s="64">
        <v>13.21</v>
      </c>
      <c r="E66" s="64">
        <v>1.39</v>
      </c>
      <c r="F66" s="64">
        <v>5.26</v>
      </c>
      <c r="G66" s="64">
        <v>15.46</v>
      </c>
      <c r="H66" s="64">
        <v>3.89</v>
      </c>
      <c r="I66" s="64">
        <v>2.14</v>
      </c>
      <c r="J66" s="64">
        <v>1.1499999999999999</v>
      </c>
      <c r="K66" s="64">
        <v>161.11000000000001</v>
      </c>
      <c r="L66" s="64">
        <v>19.47</v>
      </c>
      <c r="M66" s="64">
        <v>97.72</v>
      </c>
      <c r="N66" s="64">
        <v>160.1</v>
      </c>
      <c r="O66" s="64">
        <v>0.2</v>
      </c>
      <c r="P66" s="64">
        <v>0.31</v>
      </c>
      <c r="Q66" s="64">
        <v>9.2100000000000009</v>
      </c>
      <c r="R66" s="198"/>
      <c r="S66" s="198"/>
      <c r="T66" s="198"/>
      <c r="U66" s="198"/>
    </row>
    <row r="67" spans="1:21" s="12" customFormat="1" x14ac:dyDescent="0.25">
      <c r="A67" s="214" t="s">
        <v>1266</v>
      </c>
      <c r="B67" s="64">
        <v>0.1</v>
      </c>
      <c r="C67" s="64">
        <v>26.44</v>
      </c>
      <c r="D67" s="64">
        <v>13.82</v>
      </c>
      <c r="E67" s="64">
        <v>1.21</v>
      </c>
      <c r="F67" s="64">
        <v>4.32</v>
      </c>
      <c r="G67" s="64">
        <v>15.46</v>
      </c>
      <c r="H67" s="64">
        <v>3.89</v>
      </c>
      <c r="I67" s="64">
        <v>2.0699999999999998</v>
      </c>
      <c r="J67" s="64">
        <v>1.25</v>
      </c>
      <c r="K67" s="64">
        <v>156.58000000000001</v>
      </c>
      <c r="L67" s="64">
        <v>19.739999999999998</v>
      </c>
      <c r="M67" s="64">
        <v>96.42</v>
      </c>
      <c r="N67" s="64">
        <v>162.1</v>
      </c>
      <c r="O67" s="64">
        <v>0</v>
      </c>
      <c r="P67" s="64">
        <v>0.3</v>
      </c>
      <c r="Q67" s="64">
        <v>9.1999999999999993</v>
      </c>
      <c r="R67" s="198"/>
      <c r="S67" s="198"/>
      <c r="T67" s="198"/>
      <c r="U67" s="198"/>
    </row>
    <row r="68" spans="1:21" s="12" customFormat="1" x14ac:dyDescent="0.25">
      <c r="A68" s="214" t="s">
        <v>1267</v>
      </c>
      <c r="B68" s="64">
        <v>0.1</v>
      </c>
      <c r="C68" s="64">
        <v>26.87</v>
      </c>
      <c r="D68" s="64">
        <v>14.04</v>
      </c>
      <c r="E68" s="64">
        <v>0.88</v>
      </c>
      <c r="F68" s="64">
        <v>3.45</v>
      </c>
      <c r="G68" s="64">
        <v>15.59</v>
      </c>
      <c r="H68" s="64">
        <v>3.99</v>
      </c>
      <c r="I68" s="64">
        <v>1.92</v>
      </c>
      <c r="J68" s="64">
        <v>0.79</v>
      </c>
      <c r="K68" s="64">
        <v>131.16</v>
      </c>
      <c r="L68" s="64">
        <v>20.07</v>
      </c>
      <c r="M68" s="64">
        <v>94.15</v>
      </c>
      <c r="N68" s="64">
        <v>189.4</v>
      </c>
      <c r="O68" s="64">
        <v>0</v>
      </c>
      <c r="P68" s="64">
        <v>0.31</v>
      </c>
      <c r="Q68" s="64">
        <v>9.1300000000000008</v>
      </c>
      <c r="R68" s="198"/>
      <c r="S68" s="198"/>
      <c r="T68" s="198"/>
      <c r="U68" s="198"/>
    </row>
    <row r="69" spans="1:21" s="12" customFormat="1" x14ac:dyDescent="0.25">
      <c r="A69" s="214" t="s">
        <v>1268</v>
      </c>
      <c r="B69" s="64">
        <v>0.1</v>
      </c>
      <c r="C69" s="64">
        <v>27.19</v>
      </c>
      <c r="D69" s="64">
        <v>14.21</v>
      </c>
      <c r="E69" s="64">
        <v>1.28</v>
      </c>
      <c r="F69" s="64">
        <v>7.05</v>
      </c>
      <c r="G69" s="64">
        <v>17.34</v>
      </c>
      <c r="H69" s="64">
        <v>5.81</v>
      </c>
      <c r="I69" s="64">
        <v>1.95</v>
      </c>
      <c r="J69" s="64">
        <v>0.64</v>
      </c>
      <c r="K69" s="64">
        <v>18.649999999999999</v>
      </c>
      <c r="L69" s="64">
        <v>20.32</v>
      </c>
      <c r="M69" s="64">
        <v>94.83</v>
      </c>
      <c r="N69" s="64">
        <v>142.4</v>
      </c>
      <c r="O69" s="64">
        <v>0</v>
      </c>
      <c r="P69" s="64">
        <v>0.31</v>
      </c>
      <c r="Q69" s="64">
        <v>9.2100000000000009</v>
      </c>
      <c r="R69" s="198"/>
      <c r="S69" s="198"/>
      <c r="T69" s="198"/>
      <c r="U69" s="198"/>
    </row>
    <row r="70" spans="1:21" s="12" customFormat="1" x14ac:dyDescent="0.25">
      <c r="A70" s="214" t="s">
        <v>1269</v>
      </c>
      <c r="B70" s="64">
        <v>0.1</v>
      </c>
      <c r="C70" s="64">
        <v>28.4</v>
      </c>
      <c r="D70" s="64">
        <v>14.84</v>
      </c>
      <c r="E70" s="64">
        <v>1.01</v>
      </c>
      <c r="F70" s="64">
        <v>6.07</v>
      </c>
      <c r="G70" s="64">
        <v>17.34</v>
      </c>
      <c r="H70" s="64">
        <v>5.81</v>
      </c>
      <c r="I70" s="64">
        <v>2.08</v>
      </c>
      <c r="J70" s="64">
        <v>2.0099999999999998</v>
      </c>
      <c r="K70" s="64">
        <v>358.45</v>
      </c>
      <c r="L70" s="64">
        <v>20.79</v>
      </c>
      <c r="M70" s="64">
        <v>93.06</v>
      </c>
      <c r="N70" s="64">
        <v>178.7</v>
      </c>
      <c r="O70" s="64">
        <v>0</v>
      </c>
      <c r="P70" s="64">
        <v>0.34</v>
      </c>
      <c r="Q70" s="64">
        <v>9.15</v>
      </c>
      <c r="R70" s="198"/>
      <c r="S70" s="198"/>
      <c r="T70" s="198"/>
      <c r="U70" s="198"/>
    </row>
    <row r="71" spans="1:21" s="12" customFormat="1" x14ac:dyDescent="0.25">
      <c r="A71" s="214" t="s">
        <v>1270</v>
      </c>
      <c r="B71" s="64">
        <v>0.16</v>
      </c>
      <c r="C71" s="64">
        <v>28.74</v>
      </c>
      <c r="D71" s="64">
        <v>15.06</v>
      </c>
      <c r="E71" s="64">
        <v>1.1499999999999999</v>
      </c>
      <c r="F71" s="64">
        <v>4.66</v>
      </c>
      <c r="G71" s="64">
        <v>17.34</v>
      </c>
      <c r="H71" s="64">
        <v>5.81</v>
      </c>
      <c r="I71" s="64">
        <v>2.19</v>
      </c>
      <c r="J71" s="64">
        <v>0.98</v>
      </c>
      <c r="K71" s="64">
        <v>5.38</v>
      </c>
      <c r="L71" s="64">
        <v>20.88</v>
      </c>
      <c r="M71" s="64">
        <v>90.91</v>
      </c>
      <c r="N71" s="64">
        <v>187.8</v>
      </c>
      <c r="O71" s="64">
        <v>0</v>
      </c>
      <c r="P71" s="64">
        <v>0.35</v>
      </c>
      <c r="Q71" s="64">
        <v>9.2100000000000009</v>
      </c>
      <c r="R71" s="198"/>
      <c r="S71" s="198"/>
      <c r="T71" s="198"/>
      <c r="U71" s="198"/>
    </row>
    <row r="72" spans="1:21" s="12" customFormat="1" x14ac:dyDescent="0.25">
      <c r="A72" s="214" t="s">
        <v>1271</v>
      </c>
      <c r="B72" s="64">
        <v>0.64</v>
      </c>
      <c r="C72" s="64">
        <v>28.64</v>
      </c>
      <c r="D72" s="64">
        <v>15.4</v>
      </c>
      <c r="E72" s="64">
        <v>0.63</v>
      </c>
      <c r="F72" s="64">
        <v>4.5</v>
      </c>
      <c r="G72" s="64">
        <v>17.02</v>
      </c>
      <c r="H72" s="64">
        <v>5.86</v>
      </c>
      <c r="I72" s="64">
        <v>2.27</v>
      </c>
      <c r="J72" s="64">
        <v>1.29</v>
      </c>
      <c r="K72" s="64">
        <v>87.28</v>
      </c>
      <c r="L72" s="64">
        <v>20.87</v>
      </c>
      <c r="M72" s="64">
        <v>88.08</v>
      </c>
      <c r="N72" s="64">
        <v>230.8</v>
      </c>
      <c r="O72" s="64">
        <v>0</v>
      </c>
      <c r="P72" s="64">
        <v>0.37</v>
      </c>
      <c r="Q72" s="64">
        <v>9.16</v>
      </c>
      <c r="R72" s="198"/>
      <c r="S72" s="198"/>
      <c r="T72" s="198"/>
      <c r="U72" s="198"/>
    </row>
    <row r="73" spans="1:21" s="12" customFormat="1" x14ac:dyDescent="0.25">
      <c r="A73" s="214" t="s">
        <v>1272</v>
      </c>
      <c r="B73" s="64">
        <v>0.22</v>
      </c>
      <c r="C73" s="64">
        <v>29.17</v>
      </c>
      <c r="D73" s="64">
        <v>15.34</v>
      </c>
      <c r="E73" s="64">
        <v>1.7</v>
      </c>
      <c r="F73" s="64">
        <v>4.28</v>
      </c>
      <c r="G73" s="64">
        <v>12.53</v>
      </c>
      <c r="H73" s="64">
        <v>6.59</v>
      </c>
      <c r="I73" s="64">
        <v>2.72</v>
      </c>
      <c r="J73" s="64">
        <v>1.53</v>
      </c>
      <c r="K73" s="64">
        <v>101.93</v>
      </c>
      <c r="L73" s="64">
        <v>20.63</v>
      </c>
      <c r="M73" s="64">
        <v>87.91</v>
      </c>
      <c r="N73" s="64">
        <v>162.5</v>
      </c>
      <c r="O73" s="64">
        <v>0</v>
      </c>
      <c r="P73" s="64">
        <v>0.38</v>
      </c>
      <c r="Q73" s="64">
        <v>9.1199999999999992</v>
      </c>
      <c r="R73" s="198"/>
      <c r="S73" s="198"/>
      <c r="T73" s="198"/>
      <c r="U73" s="198"/>
    </row>
    <row r="74" spans="1:21" s="12" customFormat="1" x14ac:dyDescent="0.25">
      <c r="A74" s="214" t="s">
        <v>1273</v>
      </c>
      <c r="B74" s="64">
        <v>0.1</v>
      </c>
      <c r="C74" s="64">
        <v>28.15</v>
      </c>
      <c r="D74" s="64">
        <v>14.71</v>
      </c>
      <c r="E74" s="64">
        <v>1.68</v>
      </c>
      <c r="F74" s="64">
        <v>3.66</v>
      </c>
      <c r="G74" s="64">
        <v>12.53</v>
      </c>
      <c r="H74" s="64">
        <v>6.59</v>
      </c>
      <c r="I74" s="64">
        <v>3.06</v>
      </c>
      <c r="J74" s="64">
        <v>1.63</v>
      </c>
      <c r="K74" s="64">
        <v>95.31</v>
      </c>
      <c r="L74" s="64">
        <v>20.63</v>
      </c>
      <c r="M74" s="64">
        <v>86.15</v>
      </c>
      <c r="N74" s="64">
        <v>188.3</v>
      </c>
      <c r="O74" s="64">
        <v>0</v>
      </c>
      <c r="P74" s="64">
        <v>0.36</v>
      </c>
      <c r="Q74" s="64">
        <v>9.1199999999999992</v>
      </c>
      <c r="R74" s="198"/>
      <c r="S74" s="198"/>
      <c r="T74" s="198"/>
      <c r="U74" s="198"/>
    </row>
    <row r="75" spans="1:21" s="12" customFormat="1" x14ac:dyDescent="0.25">
      <c r="A75" s="214" t="s">
        <v>1274</v>
      </c>
      <c r="B75" s="64">
        <v>0.1</v>
      </c>
      <c r="C75" s="64">
        <v>28.73</v>
      </c>
      <c r="D75" s="64">
        <v>15.01</v>
      </c>
      <c r="E75" s="64">
        <v>1.68</v>
      </c>
      <c r="F75" s="64">
        <v>4.33</v>
      </c>
      <c r="G75" s="64">
        <v>12.53</v>
      </c>
      <c r="H75" s="64">
        <v>6.59</v>
      </c>
      <c r="I75" s="64">
        <v>3.55</v>
      </c>
      <c r="J75" s="64">
        <v>0.98</v>
      </c>
      <c r="K75" s="64">
        <v>97.8</v>
      </c>
      <c r="L75" s="64">
        <v>20.78</v>
      </c>
      <c r="M75" s="64">
        <v>85.73</v>
      </c>
      <c r="N75" s="64">
        <v>130.30000000000001</v>
      </c>
      <c r="O75" s="64">
        <v>0</v>
      </c>
      <c r="P75" s="64">
        <v>0.36</v>
      </c>
      <c r="Q75" s="64">
        <v>9.2200000000000006</v>
      </c>
      <c r="R75" s="198"/>
      <c r="S75" s="198"/>
      <c r="T75" s="198"/>
      <c r="U75" s="198"/>
    </row>
    <row r="76" spans="1:21" s="12" customFormat="1" x14ac:dyDescent="0.25">
      <c r="A76" s="214" t="s">
        <v>1275</v>
      </c>
      <c r="B76" s="64">
        <v>0.1</v>
      </c>
      <c r="C76" s="64">
        <v>28.08</v>
      </c>
      <c r="D76" s="64">
        <v>14.67</v>
      </c>
      <c r="E76" s="64">
        <v>1.51</v>
      </c>
      <c r="F76" s="64">
        <v>4.6500000000000004</v>
      </c>
      <c r="G76" s="64">
        <v>12.29</v>
      </c>
      <c r="H76" s="64">
        <v>6.47</v>
      </c>
      <c r="I76" s="64">
        <v>3.96</v>
      </c>
      <c r="J76" s="64">
        <v>0.7</v>
      </c>
      <c r="K76" s="64">
        <v>104.93</v>
      </c>
      <c r="L76" s="64">
        <v>20.65</v>
      </c>
      <c r="M76" s="64">
        <v>86.38</v>
      </c>
      <c r="N76" s="64">
        <v>90</v>
      </c>
      <c r="O76" s="64">
        <v>0</v>
      </c>
      <c r="P76" s="64">
        <v>0.36</v>
      </c>
      <c r="Q76" s="64">
        <v>9.23</v>
      </c>
      <c r="R76" s="198"/>
      <c r="S76" s="198"/>
      <c r="T76" s="198"/>
      <c r="U76" s="198"/>
    </row>
    <row r="77" spans="1:21" s="12" customFormat="1" x14ac:dyDescent="0.25">
      <c r="A77" s="214" t="s">
        <v>1276</v>
      </c>
      <c r="B77" s="64">
        <v>0.1</v>
      </c>
      <c r="C77" s="64">
        <v>27.38</v>
      </c>
      <c r="D77" s="64">
        <v>14.3</v>
      </c>
      <c r="E77" s="64">
        <v>1.47</v>
      </c>
      <c r="F77" s="64">
        <v>4.88</v>
      </c>
      <c r="G77" s="64">
        <v>8.86</v>
      </c>
      <c r="H77" s="64">
        <v>4.79</v>
      </c>
      <c r="I77" s="64">
        <v>4.16</v>
      </c>
      <c r="J77" s="64">
        <v>0.96</v>
      </c>
      <c r="K77" s="64">
        <v>93.71</v>
      </c>
      <c r="L77" s="64">
        <v>20.55</v>
      </c>
      <c r="M77" s="64">
        <v>85.65</v>
      </c>
      <c r="N77" s="64">
        <v>98.9</v>
      </c>
      <c r="O77" s="64">
        <v>0</v>
      </c>
      <c r="P77" s="64">
        <v>0.35</v>
      </c>
      <c r="Q77" s="64">
        <v>9.24</v>
      </c>
      <c r="R77" s="198"/>
      <c r="S77" s="198"/>
      <c r="T77" s="198"/>
      <c r="U77" s="198"/>
    </row>
    <row r="78" spans="1:21" s="12" customFormat="1" x14ac:dyDescent="0.25">
      <c r="A78" s="214" t="s">
        <v>1277</v>
      </c>
      <c r="B78" s="64">
        <v>0.1</v>
      </c>
      <c r="C78" s="64">
        <v>26.89</v>
      </c>
      <c r="D78" s="64">
        <v>14.05</v>
      </c>
      <c r="E78" s="64">
        <v>1.58</v>
      </c>
      <c r="F78" s="64">
        <v>4.16</v>
      </c>
      <c r="G78" s="64">
        <v>8.86</v>
      </c>
      <c r="H78" s="64">
        <v>4.79</v>
      </c>
      <c r="I78" s="64">
        <v>4.1500000000000004</v>
      </c>
      <c r="J78" s="64">
        <v>0.69</v>
      </c>
      <c r="K78" s="64">
        <v>100.15</v>
      </c>
      <c r="L78" s="64">
        <v>20.53</v>
      </c>
      <c r="M78" s="64">
        <v>85.92</v>
      </c>
      <c r="N78" s="64">
        <v>57.5</v>
      </c>
      <c r="O78" s="64">
        <v>0</v>
      </c>
      <c r="P78" s="64">
        <v>0.35</v>
      </c>
      <c r="Q78" s="64">
        <v>9.15</v>
      </c>
      <c r="R78" s="198"/>
      <c r="S78" s="198"/>
      <c r="T78" s="198"/>
      <c r="U78" s="198"/>
    </row>
    <row r="79" spans="1:21" s="12" customFormat="1" x14ac:dyDescent="0.25">
      <c r="A79" s="214" t="s">
        <v>1278</v>
      </c>
      <c r="B79" s="64">
        <v>0.1</v>
      </c>
      <c r="C79" s="64">
        <v>26.47</v>
      </c>
      <c r="D79" s="64">
        <v>13.83</v>
      </c>
      <c r="E79" s="64">
        <v>1.25</v>
      </c>
      <c r="F79" s="64">
        <v>3.87</v>
      </c>
      <c r="G79" s="64">
        <v>8.86</v>
      </c>
      <c r="H79" s="64">
        <v>4.79</v>
      </c>
      <c r="I79" s="64">
        <v>4</v>
      </c>
      <c r="J79" s="64">
        <v>0.57999999999999996</v>
      </c>
      <c r="K79" s="64">
        <v>91.53</v>
      </c>
      <c r="L79" s="64">
        <v>20.329999999999998</v>
      </c>
      <c r="M79" s="64">
        <v>88.22</v>
      </c>
      <c r="N79" s="64">
        <v>35.4</v>
      </c>
      <c r="O79" s="64">
        <v>0</v>
      </c>
      <c r="P79" s="64">
        <v>0.35</v>
      </c>
      <c r="Q79" s="64">
        <v>9.14</v>
      </c>
      <c r="R79" s="198"/>
      <c r="S79" s="198"/>
      <c r="T79" s="198"/>
      <c r="U79" s="198"/>
    </row>
    <row r="80" spans="1:21" s="12" customFormat="1" x14ac:dyDescent="0.25">
      <c r="A80" s="214" t="s">
        <v>1279</v>
      </c>
      <c r="B80" s="64">
        <v>0.1</v>
      </c>
      <c r="C80" s="64">
        <v>25.92</v>
      </c>
      <c r="D80" s="64">
        <v>13.54</v>
      </c>
      <c r="E80" s="64">
        <v>1.34</v>
      </c>
      <c r="F80" s="64">
        <v>3.88</v>
      </c>
      <c r="G80" s="64">
        <v>9.9600000000000009</v>
      </c>
      <c r="H80" s="64">
        <v>5.04</v>
      </c>
      <c r="I80" s="64">
        <v>3.87</v>
      </c>
      <c r="J80" s="64">
        <v>0.72</v>
      </c>
      <c r="K80" s="64">
        <v>92.48</v>
      </c>
      <c r="L80" s="64">
        <v>20.149999999999999</v>
      </c>
      <c r="M80" s="64">
        <v>88.65</v>
      </c>
      <c r="N80" s="64">
        <v>27.2</v>
      </c>
      <c r="O80" s="64">
        <v>0</v>
      </c>
      <c r="P80" s="64">
        <v>0.35</v>
      </c>
      <c r="Q80" s="64">
        <v>9.2200000000000006</v>
      </c>
      <c r="R80" s="198"/>
      <c r="S80" s="198"/>
      <c r="T80" s="198"/>
      <c r="U80" s="198"/>
    </row>
    <row r="81" spans="1:26" s="12" customFormat="1" x14ac:dyDescent="0.25">
      <c r="A81" s="214" t="s">
        <v>1280</v>
      </c>
      <c r="B81" s="64">
        <v>0.1</v>
      </c>
      <c r="C81" s="64">
        <v>25.8</v>
      </c>
      <c r="D81" s="64">
        <v>13.48</v>
      </c>
      <c r="E81" s="64">
        <v>1.7</v>
      </c>
      <c r="F81" s="64">
        <v>4.2699999999999996</v>
      </c>
      <c r="G81" s="64">
        <v>25.28</v>
      </c>
      <c r="H81" s="64">
        <v>8.5299999999999994</v>
      </c>
      <c r="I81" s="64">
        <v>4.09</v>
      </c>
      <c r="J81" s="64">
        <v>1.35</v>
      </c>
      <c r="K81" s="64">
        <v>101.43</v>
      </c>
      <c r="L81" s="64">
        <v>20.09</v>
      </c>
      <c r="M81" s="64">
        <v>88.88</v>
      </c>
      <c r="N81" s="64">
        <v>21.2</v>
      </c>
      <c r="O81" s="64">
        <v>0</v>
      </c>
      <c r="P81" s="64">
        <v>0.34</v>
      </c>
      <c r="Q81" s="64">
        <v>9.23</v>
      </c>
      <c r="R81" s="198"/>
      <c r="S81" s="198"/>
      <c r="T81" s="198"/>
      <c r="U81" s="198"/>
    </row>
    <row r="82" spans="1:26" s="12" customFormat="1" x14ac:dyDescent="0.25">
      <c r="A82" s="214" t="s">
        <v>1281</v>
      </c>
      <c r="B82" s="64">
        <v>0.1</v>
      </c>
      <c r="C82" s="64">
        <v>25.4</v>
      </c>
      <c r="D82" s="64">
        <v>13.27</v>
      </c>
      <c r="E82" s="64">
        <v>1.34</v>
      </c>
      <c r="F82" s="64">
        <v>3.95</v>
      </c>
      <c r="G82" s="64">
        <v>25.28</v>
      </c>
      <c r="H82" s="64">
        <v>8.5299999999999994</v>
      </c>
      <c r="I82" s="64">
        <v>4.16</v>
      </c>
      <c r="J82" s="64">
        <v>1.1000000000000001</v>
      </c>
      <c r="K82" s="64">
        <v>93.68</v>
      </c>
      <c r="L82" s="64">
        <v>20.010000000000002</v>
      </c>
      <c r="M82" s="64">
        <v>90.17</v>
      </c>
      <c r="N82" s="64">
        <v>17.3</v>
      </c>
      <c r="O82" s="64">
        <v>0</v>
      </c>
      <c r="P82" s="64">
        <v>0.34</v>
      </c>
      <c r="Q82" s="64">
        <v>9.15</v>
      </c>
      <c r="R82" s="198"/>
      <c r="S82" s="198"/>
      <c r="T82" s="198"/>
      <c r="U82" s="198"/>
    </row>
    <row r="83" spans="1:26" s="12" customFormat="1" x14ac:dyDescent="0.25">
      <c r="A83" s="214" t="s">
        <v>1282</v>
      </c>
      <c r="B83" s="64">
        <v>0.1</v>
      </c>
      <c r="C83" s="64">
        <v>25.39</v>
      </c>
      <c r="D83" s="64">
        <v>13.27</v>
      </c>
      <c r="E83" s="64">
        <v>1.73</v>
      </c>
      <c r="F83" s="64">
        <v>4.07</v>
      </c>
      <c r="G83" s="64">
        <v>25.28</v>
      </c>
      <c r="H83" s="64">
        <v>8.5299999999999994</v>
      </c>
      <c r="I83" s="64">
        <v>4.3600000000000003</v>
      </c>
      <c r="J83" s="64">
        <v>1.31</v>
      </c>
      <c r="K83" s="64">
        <v>101.24</v>
      </c>
      <c r="L83" s="64">
        <v>19.87</v>
      </c>
      <c r="M83" s="64">
        <v>90.28</v>
      </c>
      <c r="N83" s="64">
        <v>16.899999999999999</v>
      </c>
      <c r="O83" s="64">
        <v>0</v>
      </c>
      <c r="P83" s="64">
        <v>0.35</v>
      </c>
      <c r="Q83" s="64">
        <v>9.19</v>
      </c>
      <c r="R83" s="198"/>
      <c r="S83" s="198"/>
      <c r="T83" s="198"/>
      <c r="U83" s="198"/>
    </row>
    <row r="84" spans="1:26" s="12" customFormat="1" x14ac:dyDescent="0.25">
      <c r="A84" s="214" t="s">
        <v>1283</v>
      </c>
      <c r="B84" s="64">
        <v>0.1</v>
      </c>
      <c r="C84" s="64">
        <v>25.07</v>
      </c>
      <c r="D84" s="64">
        <v>13.1</v>
      </c>
      <c r="E84" s="64">
        <v>1.19</v>
      </c>
      <c r="F84" s="64">
        <v>3.8</v>
      </c>
      <c r="G84" s="64">
        <v>25.14</v>
      </c>
      <c r="H84" s="64">
        <v>8.43</v>
      </c>
      <c r="I84" s="64">
        <v>4.59</v>
      </c>
      <c r="J84" s="64">
        <v>1.03</v>
      </c>
      <c r="K84" s="64">
        <v>100.08</v>
      </c>
      <c r="L84" s="64">
        <v>19.809999999999999</v>
      </c>
      <c r="M84" s="64">
        <v>90.95</v>
      </c>
      <c r="N84" s="64">
        <v>16.7</v>
      </c>
      <c r="O84" s="64">
        <v>0</v>
      </c>
      <c r="P84" s="64">
        <v>0.34</v>
      </c>
      <c r="Q84" s="64">
        <v>9.2100000000000009</v>
      </c>
      <c r="R84" s="198"/>
      <c r="S84" s="198"/>
      <c r="T84" s="198"/>
      <c r="U84" s="198"/>
    </row>
    <row r="85" spans="1:26" s="12" customFormat="1" x14ac:dyDescent="0.25">
      <c r="A85" s="214" t="s">
        <v>1284</v>
      </c>
      <c r="B85" s="64">
        <v>0.1</v>
      </c>
      <c r="C85" s="64">
        <v>25.07</v>
      </c>
      <c r="D85" s="64">
        <v>13.1</v>
      </c>
      <c r="E85" s="64">
        <v>1.19</v>
      </c>
      <c r="F85" s="64">
        <v>3.8</v>
      </c>
      <c r="G85" s="64">
        <v>25.14</v>
      </c>
      <c r="H85" s="64">
        <v>8.43</v>
      </c>
      <c r="I85" s="64">
        <v>4.59</v>
      </c>
      <c r="J85" s="64">
        <v>1.03</v>
      </c>
      <c r="K85" s="64">
        <v>100.08</v>
      </c>
      <c r="L85" s="64">
        <v>19.809999999999999</v>
      </c>
      <c r="M85" s="64">
        <v>90.95</v>
      </c>
      <c r="N85" s="64">
        <v>16.7</v>
      </c>
      <c r="O85" s="64">
        <v>0</v>
      </c>
      <c r="P85" s="64">
        <v>0.34</v>
      </c>
      <c r="Q85" s="64">
        <v>9.2100000000000009</v>
      </c>
      <c r="R85" s="198"/>
      <c r="S85" s="198"/>
      <c r="T85" s="198"/>
      <c r="U85" s="198"/>
    </row>
    <row r="86" spans="1:26" s="12" customFormat="1" x14ac:dyDescent="0.25">
      <c r="A86" s="214" t="s">
        <v>1285</v>
      </c>
      <c r="B86" s="64">
        <v>0.19</v>
      </c>
      <c r="C86" s="64">
        <v>25.49</v>
      </c>
      <c r="D86" s="64">
        <v>13.39</v>
      </c>
      <c r="E86" s="64">
        <v>1.1599999999999999</v>
      </c>
      <c r="F86" s="64">
        <v>3.28</v>
      </c>
      <c r="G86" s="64">
        <v>23.19</v>
      </c>
      <c r="H86" s="64">
        <v>7.07</v>
      </c>
      <c r="I86" s="64">
        <v>4.82</v>
      </c>
      <c r="J86" s="64">
        <v>1.1100000000000001</v>
      </c>
      <c r="K86" s="64">
        <v>100.08</v>
      </c>
      <c r="L86" s="64">
        <v>19.739999999999998</v>
      </c>
      <c r="M86" s="64">
        <v>92.59</v>
      </c>
      <c r="N86" s="64">
        <v>16.7</v>
      </c>
      <c r="O86" s="64">
        <v>0</v>
      </c>
      <c r="P86" s="64">
        <v>0.33</v>
      </c>
      <c r="Q86" s="64">
        <v>9.2100000000000009</v>
      </c>
      <c r="R86" s="198"/>
      <c r="S86" s="198"/>
      <c r="T86" s="198"/>
      <c r="U86" s="198"/>
    </row>
    <row r="87" spans="1:26" s="12" customFormat="1" x14ac:dyDescent="0.25">
      <c r="A87" s="214" t="s">
        <v>1286</v>
      </c>
      <c r="B87" s="64">
        <v>0.66</v>
      </c>
      <c r="C87" s="64">
        <v>25.55</v>
      </c>
      <c r="D87" s="64">
        <v>13.8</v>
      </c>
      <c r="E87" s="64">
        <v>1.31</v>
      </c>
      <c r="F87" s="64">
        <v>3.44</v>
      </c>
      <c r="G87" s="64">
        <v>23.19</v>
      </c>
      <c r="H87" s="64">
        <v>7.07</v>
      </c>
      <c r="I87" s="64">
        <v>5.01</v>
      </c>
      <c r="J87" s="64">
        <v>0.75</v>
      </c>
      <c r="K87" s="64">
        <v>89.69</v>
      </c>
      <c r="L87" s="64">
        <v>19.62</v>
      </c>
      <c r="M87" s="64">
        <v>93.09</v>
      </c>
      <c r="N87" s="64">
        <v>16.600000000000001</v>
      </c>
      <c r="O87" s="64">
        <v>0</v>
      </c>
      <c r="P87" s="64">
        <v>0.35</v>
      </c>
      <c r="Q87" s="64">
        <v>9.19</v>
      </c>
      <c r="R87" s="198"/>
      <c r="S87" s="198"/>
      <c r="T87" s="198"/>
      <c r="U87" s="198"/>
    </row>
    <row r="88" spans="1:26" s="12" customFormat="1" x14ac:dyDescent="0.25">
      <c r="A88" s="214" t="s">
        <v>1287</v>
      </c>
      <c r="B88" s="64">
        <v>1.08</v>
      </c>
      <c r="C88" s="64">
        <v>25.68</v>
      </c>
      <c r="D88" s="64">
        <v>14.2</v>
      </c>
      <c r="E88" s="64">
        <v>2.0299999999999998</v>
      </c>
      <c r="F88" s="64">
        <v>3.09</v>
      </c>
      <c r="G88" s="64">
        <v>23.23</v>
      </c>
      <c r="H88" s="64">
        <v>7.09</v>
      </c>
      <c r="I88" s="64">
        <v>5.21</v>
      </c>
      <c r="J88" s="64">
        <v>0.63</v>
      </c>
      <c r="K88" s="64">
        <v>93.35</v>
      </c>
      <c r="L88" s="64">
        <v>19.55</v>
      </c>
      <c r="M88" s="64">
        <v>94.4</v>
      </c>
      <c r="N88" s="64">
        <v>16.8</v>
      </c>
      <c r="O88" s="64">
        <v>0</v>
      </c>
      <c r="P88" s="64">
        <v>0.36</v>
      </c>
      <c r="Q88" s="64">
        <v>9.2200000000000006</v>
      </c>
      <c r="R88" s="198"/>
      <c r="S88" s="198"/>
      <c r="T88" s="198"/>
      <c r="U88" s="198"/>
    </row>
    <row r="89" spans="1:26" s="12" customFormat="1" x14ac:dyDescent="0.25">
      <c r="A89" s="214" t="s">
        <v>1288</v>
      </c>
      <c r="B89" s="64">
        <v>1.52</v>
      </c>
      <c r="C89" s="64">
        <v>25.94</v>
      </c>
      <c r="D89" s="64">
        <v>14.7</v>
      </c>
      <c r="E89" s="64">
        <v>1.74</v>
      </c>
      <c r="F89" s="64">
        <v>2.84</v>
      </c>
      <c r="G89" s="64">
        <v>23.92</v>
      </c>
      <c r="H89" s="64">
        <v>7.55</v>
      </c>
      <c r="I89" s="64">
        <v>5.37</v>
      </c>
      <c r="J89" s="64">
        <v>0.84</v>
      </c>
      <c r="K89" s="64">
        <v>97.46</v>
      </c>
      <c r="L89" s="64">
        <v>19.47</v>
      </c>
      <c r="M89" s="64">
        <v>94.89</v>
      </c>
      <c r="N89" s="64">
        <v>16.5</v>
      </c>
      <c r="O89" s="64">
        <v>0</v>
      </c>
      <c r="P89" s="64">
        <v>0.36</v>
      </c>
      <c r="Q89" s="64">
        <v>9.18</v>
      </c>
      <c r="R89" s="198"/>
      <c r="S89" s="198"/>
      <c r="T89" s="198"/>
      <c r="U89" s="198"/>
    </row>
    <row r="90" spans="1:26" s="12" customFormat="1" x14ac:dyDescent="0.25">
      <c r="A90" s="214" t="s">
        <v>1289</v>
      </c>
      <c r="B90" s="64">
        <v>2.04</v>
      </c>
      <c r="C90" s="64">
        <v>25.66</v>
      </c>
      <c r="D90" s="64">
        <v>14.96</v>
      </c>
      <c r="E90" s="64">
        <v>1.64</v>
      </c>
      <c r="F90" s="64">
        <v>3.28</v>
      </c>
      <c r="G90" s="64">
        <v>23.92</v>
      </c>
      <c r="H90" s="64">
        <v>7.55</v>
      </c>
      <c r="I90" s="64">
        <v>5.52</v>
      </c>
      <c r="J90" s="64">
        <v>0.65</v>
      </c>
      <c r="K90" s="64">
        <v>94.76</v>
      </c>
      <c r="L90" s="64">
        <v>19.41</v>
      </c>
      <c r="M90" s="64">
        <v>95.87</v>
      </c>
      <c r="N90" s="64">
        <v>16.8</v>
      </c>
      <c r="O90" s="64">
        <v>0</v>
      </c>
      <c r="P90" s="64">
        <v>0.39</v>
      </c>
      <c r="Q90" s="64">
        <v>9.19</v>
      </c>
      <c r="R90" s="198"/>
      <c r="S90" s="198"/>
      <c r="T90" s="198"/>
      <c r="U90" s="198"/>
    </row>
    <row r="91" spans="1:26" s="12" customFormat="1" x14ac:dyDescent="0.25">
      <c r="A91" s="214" t="s">
        <v>1290</v>
      </c>
      <c r="B91" s="64">
        <v>2.58</v>
      </c>
      <c r="C91" s="64">
        <v>25.74</v>
      </c>
      <c r="D91" s="64">
        <v>15.43</v>
      </c>
      <c r="E91" s="64">
        <v>1.58</v>
      </c>
      <c r="F91" s="64">
        <v>3.31</v>
      </c>
      <c r="G91" s="64">
        <v>23.92</v>
      </c>
      <c r="H91" s="64">
        <v>7.55</v>
      </c>
      <c r="I91" s="64">
        <v>5.68</v>
      </c>
      <c r="J91" s="64">
        <v>0.88</v>
      </c>
      <c r="K91" s="64">
        <v>101.88</v>
      </c>
      <c r="L91" s="64">
        <v>19.37</v>
      </c>
      <c r="M91" s="64">
        <v>95.45</v>
      </c>
      <c r="N91" s="64">
        <v>16.600000000000001</v>
      </c>
      <c r="O91" s="64">
        <v>0</v>
      </c>
      <c r="P91" s="64">
        <v>0.4</v>
      </c>
      <c r="Q91" s="64">
        <v>9.24</v>
      </c>
      <c r="R91" s="198"/>
      <c r="S91" s="198"/>
      <c r="T91" s="198"/>
      <c r="U91" s="198"/>
    </row>
    <row r="92" spans="1:26" s="12" customFormat="1" x14ac:dyDescent="0.25">
      <c r="A92" s="214" t="s">
        <v>1291</v>
      </c>
      <c r="B92" s="64">
        <v>3</v>
      </c>
      <c r="C92" s="64">
        <v>25.37</v>
      </c>
      <c r="D92" s="64">
        <v>15.58</v>
      </c>
      <c r="E92" s="64">
        <v>1.72</v>
      </c>
      <c r="F92" s="64">
        <v>2.91</v>
      </c>
      <c r="G92" s="64">
        <v>24.17</v>
      </c>
      <c r="H92" s="64">
        <v>7.59</v>
      </c>
      <c r="I92" s="64">
        <v>5.84</v>
      </c>
      <c r="J92" s="64">
        <v>0.75</v>
      </c>
      <c r="K92" s="64">
        <v>98.38</v>
      </c>
      <c r="L92" s="64">
        <v>19.329999999999998</v>
      </c>
      <c r="M92" s="64">
        <v>95.39</v>
      </c>
      <c r="N92" s="64">
        <v>16.5</v>
      </c>
      <c r="O92" s="64">
        <v>0</v>
      </c>
      <c r="P92" s="64">
        <v>0.41</v>
      </c>
      <c r="Q92" s="64">
        <v>9.2899999999999991</v>
      </c>
      <c r="R92" s="198"/>
      <c r="S92" s="198"/>
      <c r="T92" s="198"/>
      <c r="U92" s="198"/>
    </row>
    <row r="93" spans="1:26" s="12" customFormat="1" x14ac:dyDescent="0.25">
      <c r="A93" s="214" t="s">
        <v>1292</v>
      </c>
      <c r="B93" s="64">
        <v>3.39</v>
      </c>
      <c r="C93" s="64">
        <v>26.09</v>
      </c>
      <c r="D93" s="64">
        <v>16.27</v>
      </c>
      <c r="E93" s="64">
        <v>1.77</v>
      </c>
      <c r="F93" s="64">
        <v>3.3</v>
      </c>
      <c r="G93" s="64">
        <v>28.5</v>
      </c>
      <c r="H93" s="64">
        <v>8.4</v>
      </c>
      <c r="I93" s="64">
        <v>6.02</v>
      </c>
      <c r="J93" s="64">
        <v>0.25</v>
      </c>
      <c r="K93" s="64">
        <v>125.66</v>
      </c>
      <c r="L93" s="64">
        <v>19.100000000000001</v>
      </c>
      <c r="M93" s="64">
        <v>96.68</v>
      </c>
      <c r="N93" s="64">
        <v>16.7</v>
      </c>
      <c r="O93" s="64">
        <v>0</v>
      </c>
      <c r="P93" s="64">
        <v>0.42</v>
      </c>
      <c r="Q93" s="64">
        <v>9.26</v>
      </c>
      <c r="R93" s="198"/>
      <c r="S93" s="198"/>
      <c r="T93" s="198"/>
      <c r="U93" s="198"/>
    </row>
    <row r="94" spans="1:26" s="12" customFormat="1" x14ac:dyDescent="0.25">
      <c r="A94" s="214" t="s">
        <v>1293</v>
      </c>
      <c r="B94" s="64">
        <v>3.91</v>
      </c>
      <c r="C94" s="64">
        <v>26.53</v>
      </c>
      <c r="D94" s="64">
        <v>16.91</v>
      </c>
      <c r="E94" s="64">
        <v>2.09</v>
      </c>
      <c r="F94" s="64">
        <v>3</v>
      </c>
      <c r="G94" s="64">
        <v>28.5</v>
      </c>
      <c r="H94" s="64">
        <v>8.4</v>
      </c>
      <c r="I94" s="64">
        <v>6.27</v>
      </c>
      <c r="J94" s="64">
        <v>0.12</v>
      </c>
      <c r="K94" s="64">
        <v>209.14</v>
      </c>
      <c r="L94" s="64">
        <v>18.95</v>
      </c>
      <c r="M94" s="64">
        <v>97.61</v>
      </c>
      <c r="N94" s="64">
        <v>16.7</v>
      </c>
      <c r="O94" s="64">
        <v>0</v>
      </c>
      <c r="P94" s="64">
        <v>0.44</v>
      </c>
      <c r="Q94" s="64">
        <v>9.2799999999999994</v>
      </c>
      <c r="R94" s="198"/>
      <c r="S94" s="198"/>
      <c r="T94" s="198"/>
      <c r="U94" s="198"/>
    </row>
    <row r="95" spans="1:26" s="12" customFormat="1" x14ac:dyDescent="0.25">
      <c r="A95" s="214" t="s">
        <v>1294</v>
      </c>
      <c r="B95" s="64">
        <v>4.38</v>
      </c>
      <c r="C95" s="64">
        <v>26.61</v>
      </c>
      <c r="D95" s="64">
        <v>17.34</v>
      </c>
      <c r="E95" s="64">
        <v>1.78</v>
      </c>
      <c r="F95" s="64">
        <v>3.66</v>
      </c>
      <c r="G95" s="64">
        <v>28.5</v>
      </c>
      <c r="H95" s="64">
        <v>8.4</v>
      </c>
      <c r="I95" s="64">
        <v>6.54</v>
      </c>
      <c r="J95" s="64">
        <v>0.3</v>
      </c>
      <c r="K95" s="64">
        <v>189.26</v>
      </c>
      <c r="L95" s="64">
        <v>18.84</v>
      </c>
      <c r="M95" s="64">
        <v>97.83</v>
      </c>
      <c r="N95" s="64">
        <v>16.600000000000001</v>
      </c>
      <c r="O95" s="64">
        <v>0</v>
      </c>
      <c r="P95" s="64">
        <v>0.45</v>
      </c>
      <c r="Q95" s="64">
        <v>9.2799999999999994</v>
      </c>
      <c r="R95" s="198"/>
      <c r="S95" s="198"/>
      <c r="T95" s="198"/>
      <c r="U95" s="198"/>
    </row>
    <row r="96" spans="1:26" s="12" customFormat="1" x14ac:dyDescent="0.25">
      <c r="A96" s="214" t="s">
        <v>1295</v>
      </c>
      <c r="B96" s="64">
        <v>5.1100000000000003</v>
      </c>
      <c r="C96" s="64">
        <v>27.02</v>
      </c>
      <c r="D96" s="64">
        <v>18.13</v>
      </c>
      <c r="E96" s="64">
        <v>2.0699999999999998</v>
      </c>
      <c r="F96" s="64">
        <v>3.54</v>
      </c>
      <c r="G96" s="64">
        <v>28.53</v>
      </c>
      <c r="H96" s="64">
        <v>8.35</v>
      </c>
      <c r="I96" s="64">
        <v>6.4</v>
      </c>
      <c r="J96" s="64">
        <v>0.24</v>
      </c>
      <c r="K96" s="64">
        <v>173.21</v>
      </c>
      <c r="L96" s="64">
        <v>18.82</v>
      </c>
      <c r="M96" s="64">
        <v>97.83</v>
      </c>
      <c r="N96" s="64">
        <v>16.399999999999999</v>
      </c>
      <c r="O96" s="64">
        <v>0</v>
      </c>
      <c r="P96" s="64">
        <v>0.46</v>
      </c>
      <c r="Q96" s="64">
        <v>9.25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1296</v>
      </c>
      <c r="B97" s="64">
        <v>5.71</v>
      </c>
      <c r="C97" s="64">
        <v>27.15</v>
      </c>
      <c r="D97" s="64">
        <v>18.690000000000001</v>
      </c>
      <c r="E97" s="64">
        <v>1.87</v>
      </c>
      <c r="F97" s="64">
        <v>3.46</v>
      </c>
      <c r="G97" s="64">
        <v>28.88</v>
      </c>
      <c r="H97" s="64">
        <v>7.63</v>
      </c>
      <c r="I97" s="64">
        <v>6.25</v>
      </c>
      <c r="J97" s="64">
        <v>0.03</v>
      </c>
      <c r="K97" s="64">
        <v>249.6</v>
      </c>
      <c r="L97" s="64">
        <v>18.72</v>
      </c>
      <c r="M97" s="64">
        <v>97.83</v>
      </c>
      <c r="N97" s="64">
        <v>16.600000000000001</v>
      </c>
      <c r="O97" s="64">
        <v>0</v>
      </c>
      <c r="P97" s="64">
        <v>0.48</v>
      </c>
      <c r="Q97" s="64">
        <v>9.23</v>
      </c>
      <c r="R97" s="198"/>
      <c r="S97" s="198"/>
      <c r="T97" s="198"/>
      <c r="U97" s="198"/>
    </row>
    <row r="98" spans="1:33" s="12" customFormat="1" x14ac:dyDescent="0.25">
      <c r="A98" s="214" t="s">
        <v>1297</v>
      </c>
      <c r="B98" s="64">
        <v>6.03</v>
      </c>
      <c r="C98" s="64">
        <v>27.34</v>
      </c>
      <c r="D98" s="64">
        <v>19.04</v>
      </c>
      <c r="E98" s="64">
        <v>1.58</v>
      </c>
      <c r="F98" s="64">
        <v>3.72</v>
      </c>
      <c r="G98" s="64">
        <v>28.88</v>
      </c>
      <c r="H98" s="64">
        <v>7.63</v>
      </c>
      <c r="I98" s="64">
        <v>6.14</v>
      </c>
      <c r="J98" s="64">
        <v>0.23</v>
      </c>
      <c r="K98" s="64">
        <v>5.43</v>
      </c>
      <c r="L98" s="64">
        <v>18.39</v>
      </c>
      <c r="M98" s="64">
        <v>97.83</v>
      </c>
      <c r="N98" s="64">
        <v>16.8</v>
      </c>
      <c r="O98" s="64">
        <v>0</v>
      </c>
      <c r="P98" s="64">
        <v>0.48</v>
      </c>
      <c r="Q98" s="64">
        <v>9.25</v>
      </c>
      <c r="R98" s="198"/>
      <c r="S98" s="198"/>
      <c r="T98" s="198"/>
      <c r="U98" s="198"/>
    </row>
    <row r="99" spans="1:33" s="12" customFormat="1" x14ac:dyDescent="0.25">
      <c r="A99" s="214" t="s">
        <v>1298</v>
      </c>
      <c r="B99" s="64">
        <v>8.24</v>
      </c>
      <c r="C99" s="64">
        <v>27.96</v>
      </c>
      <c r="D99" s="64">
        <v>21.13</v>
      </c>
      <c r="E99" s="64">
        <v>1.8</v>
      </c>
      <c r="F99" s="64">
        <v>3.12</v>
      </c>
      <c r="G99" s="64">
        <v>28.88</v>
      </c>
      <c r="H99" s="64">
        <v>7.63</v>
      </c>
      <c r="I99" s="64">
        <v>6.03</v>
      </c>
      <c r="J99" s="64">
        <v>0.06</v>
      </c>
      <c r="K99" s="64">
        <v>211.23</v>
      </c>
      <c r="L99" s="64">
        <v>18.2</v>
      </c>
      <c r="M99" s="64">
        <v>97.87</v>
      </c>
      <c r="N99" s="64">
        <v>16.5</v>
      </c>
      <c r="O99" s="64">
        <v>0</v>
      </c>
      <c r="P99" s="64">
        <v>0.51</v>
      </c>
      <c r="Q99" s="64">
        <v>9.36</v>
      </c>
      <c r="R99" s="198"/>
      <c r="S99" s="198"/>
      <c r="T99" s="198"/>
      <c r="U99" s="198"/>
    </row>
    <row r="100" spans="1:33" s="12" customFormat="1" x14ac:dyDescent="0.25">
      <c r="A100" s="214" t="s">
        <v>1299</v>
      </c>
      <c r="B100" s="64">
        <v>10.68</v>
      </c>
      <c r="C100" s="64">
        <v>28.12</v>
      </c>
      <c r="D100" s="64">
        <v>23.17</v>
      </c>
      <c r="E100" s="64">
        <v>1.98</v>
      </c>
      <c r="F100" s="64">
        <v>3.32</v>
      </c>
      <c r="G100" s="64">
        <v>29.07</v>
      </c>
      <c r="H100" s="64">
        <v>7.75</v>
      </c>
      <c r="I100" s="64">
        <v>5.88</v>
      </c>
      <c r="J100" s="64">
        <v>0.22</v>
      </c>
      <c r="K100" s="64">
        <v>223.14</v>
      </c>
      <c r="L100" s="64">
        <v>18.100000000000001</v>
      </c>
      <c r="M100" s="64">
        <v>97.87</v>
      </c>
      <c r="N100" s="64">
        <v>16.399999999999999</v>
      </c>
      <c r="O100" s="64">
        <v>0</v>
      </c>
      <c r="P100" s="64">
        <v>0.53</v>
      </c>
      <c r="Q100" s="64">
        <v>9.31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1300</v>
      </c>
      <c r="B101" s="64">
        <v>11.23</v>
      </c>
      <c r="C101" s="64">
        <v>27.81</v>
      </c>
      <c r="D101" s="64">
        <v>23.46</v>
      </c>
      <c r="E101" s="64">
        <v>1.89</v>
      </c>
      <c r="F101" s="64">
        <v>3.31</v>
      </c>
      <c r="G101" s="64">
        <v>31.75</v>
      </c>
      <c r="H101" s="64">
        <v>9.91</v>
      </c>
      <c r="I101" s="64">
        <v>5.79</v>
      </c>
      <c r="J101" s="64">
        <v>0.28999999999999998</v>
      </c>
      <c r="K101" s="64">
        <v>215.33</v>
      </c>
      <c r="L101" s="64">
        <v>18.37</v>
      </c>
      <c r="M101" s="64">
        <v>97.83</v>
      </c>
      <c r="N101" s="64">
        <v>16.100000000000001</v>
      </c>
      <c r="O101" s="64">
        <v>0</v>
      </c>
      <c r="P101" s="64">
        <v>0.52</v>
      </c>
      <c r="Q101" s="64">
        <v>9.32</v>
      </c>
      <c r="R101" s="198"/>
      <c r="S101" s="198"/>
      <c r="T101" s="198"/>
      <c r="U101" s="198"/>
    </row>
    <row r="102" spans="1:33" s="12" customFormat="1" x14ac:dyDescent="0.25">
      <c r="A102" s="214" t="s">
        <v>1301</v>
      </c>
      <c r="B102" s="64">
        <v>10.96</v>
      </c>
      <c r="C102" s="64">
        <v>27.69</v>
      </c>
      <c r="D102" s="64">
        <v>23.18</v>
      </c>
      <c r="E102" s="64">
        <v>2.02</v>
      </c>
      <c r="F102" s="64">
        <v>3.07</v>
      </c>
      <c r="G102" s="64">
        <v>31.75</v>
      </c>
      <c r="H102" s="64">
        <v>9.91</v>
      </c>
      <c r="I102" s="64">
        <v>5.73</v>
      </c>
      <c r="J102" s="64">
        <v>0.74</v>
      </c>
      <c r="K102" s="64">
        <v>159.5</v>
      </c>
      <c r="L102" s="64">
        <v>18.39</v>
      </c>
      <c r="M102" s="64">
        <v>97.83</v>
      </c>
      <c r="N102" s="64">
        <v>15.9</v>
      </c>
      <c r="O102" s="64">
        <v>0</v>
      </c>
      <c r="P102" s="64">
        <v>0.52</v>
      </c>
      <c r="Q102" s="64">
        <v>9.36</v>
      </c>
      <c r="R102" s="198"/>
      <c r="S102" s="198"/>
      <c r="T102" s="198"/>
      <c r="U102" s="198"/>
    </row>
    <row r="103" spans="1:33" s="12" customFormat="1" x14ac:dyDescent="0.25">
      <c r="A103" s="214" t="s">
        <v>1302</v>
      </c>
      <c r="B103" s="64">
        <v>10.58</v>
      </c>
      <c r="C103" s="64">
        <v>28.23</v>
      </c>
      <c r="D103" s="64">
        <v>23.16</v>
      </c>
      <c r="E103" s="64">
        <v>1.68</v>
      </c>
      <c r="F103" s="64">
        <v>3.29</v>
      </c>
      <c r="G103" s="64">
        <v>31.75</v>
      </c>
      <c r="H103" s="64">
        <v>9.91</v>
      </c>
      <c r="I103" s="64">
        <v>5.62</v>
      </c>
      <c r="J103" s="64">
        <v>0.26</v>
      </c>
      <c r="K103" s="64">
        <v>92.55</v>
      </c>
      <c r="L103" s="64">
        <v>18.48</v>
      </c>
      <c r="M103" s="64">
        <v>97.83</v>
      </c>
      <c r="N103" s="64">
        <v>16.5</v>
      </c>
      <c r="O103" s="64">
        <v>0</v>
      </c>
      <c r="P103" s="64">
        <v>0.51</v>
      </c>
      <c r="Q103" s="64">
        <v>9.35</v>
      </c>
      <c r="R103" s="198"/>
      <c r="S103" s="198"/>
      <c r="T103" s="198"/>
      <c r="U103" s="198"/>
    </row>
    <row r="104" spans="1:33" s="12" customFormat="1" x14ac:dyDescent="0.25">
      <c r="A104" s="214" t="s">
        <v>1303</v>
      </c>
      <c r="B104" s="64">
        <v>10.34</v>
      </c>
      <c r="C104" s="64">
        <v>30.25</v>
      </c>
      <c r="D104" s="64">
        <v>24.02</v>
      </c>
      <c r="E104" s="64">
        <v>1.3</v>
      </c>
      <c r="F104" s="64">
        <v>3.17</v>
      </c>
      <c r="G104" s="64">
        <v>31.51</v>
      </c>
      <c r="H104" s="64">
        <v>9.9</v>
      </c>
      <c r="I104" s="64">
        <v>5.46</v>
      </c>
      <c r="J104" s="64">
        <v>0.04</v>
      </c>
      <c r="K104" s="64">
        <v>123.39</v>
      </c>
      <c r="L104" s="64">
        <v>18.43</v>
      </c>
      <c r="M104" s="64">
        <v>97.83</v>
      </c>
      <c r="N104" s="64">
        <v>16.5</v>
      </c>
      <c r="O104" s="64">
        <v>0</v>
      </c>
      <c r="P104" s="64">
        <v>0.5</v>
      </c>
      <c r="Q104" s="64">
        <v>9.3000000000000007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25.07</v>
      </c>
      <c r="D106" s="67">
        <f t="shared" ref="D106:Q106" si="0">MIN(D9:D104)</f>
        <v>13.1</v>
      </c>
      <c r="E106" s="67">
        <f t="shared" si="0"/>
        <v>0.63</v>
      </c>
      <c r="F106" s="67">
        <f t="shared" si="0"/>
        <v>2.84</v>
      </c>
      <c r="G106" s="67">
        <f t="shared" si="0"/>
        <v>7.15</v>
      </c>
      <c r="H106" s="67">
        <f t="shared" si="0"/>
        <v>3.89</v>
      </c>
      <c r="I106" s="67">
        <f t="shared" si="0"/>
        <v>1.92</v>
      </c>
      <c r="J106" s="67">
        <f t="shared" si="0"/>
        <v>0.03</v>
      </c>
      <c r="K106" s="67">
        <f t="shared" si="0"/>
        <v>0.39</v>
      </c>
      <c r="L106" s="67">
        <f t="shared" si="0"/>
        <v>16.59</v>
      </c>
      <c r="M106" s="67">
        <f t="shared" si="0"/>
        <v>71.58</v>
      </c>
      <c r="N106" s="67">
        <f t="shared" si="0"/>
        <v>15.9</v>
      </c>
      <c r="O106" s="67">
        <f t="shared" si="0"/>
        <v>0</v>
      </c>
      <c r="P106" s="67">
        <f t="shared" si="0"/>
        <v>0.23</v>
      </c>
      <c r="Q106" s="67">
        <f t="shared" si="0"/>
        <v>9.1199999999999992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11.23</v>
      </c>
      <c r="C107" s="66">
        <f t="shared" ref="C107:Q107" si="1">MAX(C9:C104)</f>
        <v>33.869999999999997</v>
      </c>
      <c r="D107" s="66">
        <f t="shared" si="1"/>
        <v>24.02</v>
      </c>
      <c r="E107" s="66">
        <f t="shared" si="1"/>
        <v>2.2200000000000002</v>
      </c>
      <c r="F107" s="66">
        <f t="shared" si="1"/>
        <v>8</v>
      </c>
      <c r="G107" s="66">
        <f t="shared" si="1"/>
        <v>34.619999999999997</v>
      </c>
      <c r="H107" s="66">
        <f t="shared" si="1"/>
        <v>13.23</v>
      </c>
      <c r="I107" s="66">
        <f t="shared" si="1"/>
        <v>6.54</v>
      </c>
      <c r="J107" s="66">
        <f t="shared" si="1"/>
        <v>3.85</v>
      </c>
      <c r="K107" s="66">
        <f t="shared" si="1"/>
        <v>358.45</v>
      </c>
      <c r="L107" s="66">
        <f t="shared" si="1"/>
        <v>20.88</v>
      </c>
      <c r="M107" s="66">
        <f t="shared" si="1"/>
        <v>97.87</v>
      </c>
      <c r="N107" s="66">
        <f t="shared" si="1"/>
        <v>311</v>
      </c>
      <c r="O107" s="66">
        <f t="shared" si="1"/>
        <v>1</v>
      </c>
      <c r="P107" s="66">
        <f t="shared" si="1"/>
        <v>0.53</v>
      </c>
      <c r="Q107" s="66">
        <f t="shared" si="1"/>
        <v>9.36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1.3329166666666672</v>
      </c>
      <c r="C108" s="67">
        <f t="shared" ref="C108:Q108" si="2">AVERAGE(C9:C104)</f>
        <v>28.953125000000004</v>
      </c>
      <c r="D108" s="67">
        <f t="shared" si="2"/>
        <v>16.116354166666671</v>
      </c>
      <c r="E108" s="67">
        <f t="shared" si="2"/>
        <v>1.6505208333333341</v>
      </c>
      <c r="F108" s="67">
        <f t="shared" si="2"/>
        <v>4.3883333333333328</v>
      </c>
      <c r="G108" s="67">
        <f t="shared" si="2"/>
        <v>19.339062499999994</v>
      </c>
      <c r="H108" s="67">
        <f t="shared" si="2"/>
        <v>6.9752083333333319</v>
      </c>
      <c r="I108" s="67">
        <f t="shared" si="2"/>
        <v>3.6583333333333328</v>
      </c>
      <c r="J108" s="67">
        <f t="shared" si="2"/>
        <v>0.96989583333333373</v>
      </c>
      <c r="K108" s="67">
        <f t="shared" si="2"/>
        <v>172.5363541666666</v>
      </c>
      <c r="L108" s="67">
        <f t="shared" si="2"/>
        <v>19.094791666666662</v>
      </c>
      <c r="M108" s="67">
        <f t="shared" si="2"/>
        <v>93.347708333333358</v>
      </c>
      <c r="N108" s="67">
        <f t="shared" si="2"/>
        <v>74.762499999999989</v>
      </c>
      <c r="O108" s="67">
        <f t="shared" si="2"/>
        <v>6.0416666666666681E-2</v>
      </c>
      <c r="P108" s="67">
        <f t="shared" si="2"/>
        <v>0.34677083333333342</v>
      </c>
      <c r="Q108" s="67">
        <f t="shared" si="2"/>
        <v>9.2266666666666683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2.6711156418114554</v>
      </c>
      <c r="C109" s="67">
        <f t="shared" ref="C109:Q109" si="3">STDEV(C9:C104)</f>
        <v>2.756510499087379</v>
      </c>
      <c r="D109" s="67">
        <f t="shared" si="3"/>
        <v>2.459140679947343</v>
      </c>
      <c r="E109" s="67">
        <f t="shared" si="3"/>
        <v>0.36212347353867513</v>
      </c>
      <c r="F109" s="67">
        <f t="shared" si="3"/>
        <v>1.162006129766127</v>
      </c>
      <c r="G109" s="67">
        <f t="shared" si="3"/>
        <v>8.3287398526364651</v>
      </c>
      <c r="H109" s="67">
        <f t="shared" si="3"/>
        <v>2.3313090874878739</v>
      </c>
      <c r="I109" s="67">
        <f t="shared" si="3"/>
        <v>1.2664743159584653</v>
      </c>
      <c r="J109" s="67">
        <f t="shared" si="3"/>
        <v>0.90236122396120899</v>
      </c>
      <c r="K109" s="67">
        <f t="shared" si="3"/>
        <v>96.554059786757918</v>
      </c>
      <c r="L109" s="67">
        <f t="shared" si="3"/>
        <v>1.2542365924436114</v>
      </c>
      <c r="M109" s="67">
        <f t="shared" si="3"/>
        <v>5.4559255048098931</v>
      </c>
      <c r="N109" s="67">
        <f t="shared" si="3"/>
        <v>71.972989451087273</v>
      </c>
      <c r="O109" s="67">
        <f t="shared" si="3"/>
        <v>0.17440374613713627</v>
      </c>
      <c r="P109" s="67">
        <f t="shared" si="3"/>
        <v>7.1355223932492148E-2</v>
      </c>
      <c r="Q109" s="67">
        <f t="shared" si="3"/>
        <v>5.0983313403642483E-2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1304</v>
      </c>
      <c r="B9" s="64">
        <v>10.28</v>
      </c>
      <c r="C9" s="64">
        <v>31.61</v>
      </c>
      <c r="D9" s="64">
        <v>24.68</v>
      </c>
      <c r="E9" s="64">
        <v>1.29</v>
      </c>
      <c r="F9" s="64">
        <v>3.31</v>
      </c>
      <c r="G9" s="64">
        <v>27.34</v>
      </c>
      <c r="H9" s="64">
        <v>9.82</v>
      </c>
      <c r="I9" s="64">
        <v>5.32</v>
      </c>
      <c r="J9" s="64">
        <v>0.2</v>
      </c>
      <c r="K9" s="64">
        <v>133.32</v>
      </c>
      <c r="L9" s="64">
        <v>18.420000000000002</v>
      </c>
      <c r="M9" s="64">
        <v>97.83</v>
      </c>
      <c r="N9" s="64">
        <v>16.600000000000001</v>
      </c>
      <c r="O9" s="64">
        <v>0</v>
      </c>
      <c r="P9" s="64">
        <v>0.49</v>
      </c>
      <c r="Q9" s="64">
        <v>9.33</v>
      </c>
      <c r="R9" s="198"/>
      <c r="S9" s="198"/>
      <c r="T9" s="198"/>
      <c r="U9" s="198"/>
    </row>
    <row r="10" spans="1:21" s="12" customFormat="1" x14ac:dyDescent="0.25">
      <c r="A10" s="214" t="s">
        <v>1305</v>
      </c>
      <c r="B10" s="64">
        <v>10.29</v>
      </c>
      <c r="C10" s="64">
        <v>31.15</v>
      </c>
      <c r="D10" s="64">
        <v>24.45</v>
      </c>
      <c r="E10" s="64">
        <v>1.08</v>
      </c>
      <c r="F10" s="64">
        <v>3.26</v>
      </c>
      <c r="G10" s="64">
        <v>27.34</v>
      </c>
      <c r="H10" s="64">
        <v>9.82</v>
      </c>
      <c r="I10" s="64">
        <v>5.33</v>
      </c>
      <c r="J10" s="64">
        <v>0.1</v>
      </c>
      <c r="K10" s="64">
        <v>194.53</v>
      </c>
      <c r="L10" s="64">
        <v>18.34</v>
      </c>
      <c r="M10" s="64">
        <v>97.84</v>
      </c>
      <c r="N10" s="64">
        <v>16.7</v>
      </c>
      <c r="O10" s="64">
        <v>0</v>
      </c>
      <c r="P10" s="64">
        <v>0.49</v>
      </c>
      <c r="Q10" s="64">
        <v>9.3699999999999992</v>
      </c>
      <c r="R10" s="198"/>
      <c r="S10" s="198"/>
      <c r="T10" s="198"/>
      <c r="U10" s="198"/>
    </row>
    <row r="11" spans="1:21" s="12" customFormat="1" x14ac:dyDescent="0.25">
      <c r="A11" s="214" t="s">
        <v>1306</v>
      </c>
      <c r="B11" s="64">
        <v>10.33</v>
      </c>
      <c r="C11" s="64">
        <v>29.93</v>
      </c>
      <c r="D11" s="64">
        <v>23.84</v>
      </c>
      <c r="E11" s="64">
        <v>1.1000000000000001</v>
      </c>
      <c r="F11" s="64">
        <v>2.95</v>
      </c>
      <c r="G11" s="64">
        <v>27.34</v>
      </c>
      <c r="H11" s="64">
        <v>9.82</v>
      </c>
      <c r="I11" s="64">
        <v>5.42</v>
      </c>
      <c r="J11" s="64">
        <v>7.0000000000000007E-2</v>
      </c>
      <c r="K11" s="64">
        <v>334.59</v>
      </c>
      <c r="L11" s="64">
        <v>18.13</v>
      </c>
      <c r="M11" s="64">
        <v>97.86</v>
      </c>
      <c r="N11" s="64">
        <v>16.8</v>
      </c>
      <c r="O11" s="64">
        <v>0</v>
      </c>
      <c r="P11" s="64">
        <v>0.48</v>
      </c>
      <c r="Q11" s="64">
        <v>9.3000000000000007</v>
      </c>
      <c r="R11" s="198"/>
      <c r="S11" s="198"/>
      <c r="T11" s="198"/>
      <c r="U11" s="198"/>
    </row>
    <row r="12" spans="1:21" s="12" customFormat="1" x14ac:dyDescent="0.25">
      <c r="A12" s="214" t="s">
        <v>1307</v>
      </c>
      <c r="B12" s="64">
        <v>10.45</v>
      </c>
      <c r="C12" s="64">
        <v>29.31</v>
      </c>
      <c r="D12" s="64">
        <v>23.61</v>
      </c>
      <c r="E12" s="64">
        <v>1.08</v>
      </c>
      <c r="F12" s="64">
        <v>2.97</v>
      </c>
      <c r="G12" s="64">
        <v>27.07</v>
      </c>
      <c r="H12" s="64">
        <v>9.66</v>
      </c>
      <c r="I12" s="64">
        <v>5.43</v>
      </c>
      <c r="J12" s="64">
        <v>0.16</v>
      </c>
      <c r="K12" s="64">
        <v>183.42</v>
      </c>
      <c r="L12" s="64">
        <v>18.149999999999999</v>
      </c>
      <c r="M12" s="64">
        <v>97.85</v>
      </c>
      <c r="N12" s="64">
        <v>16.399999999999999</v>
      </c>
      <c r="O12" s="64">
        <v>0</v>
      </c>
      <c r="P12" s="64">
        <v>0.48</v>
      </c>
      <c r="Q12" s="64">
        <v>9.35</v>
      </c>
      <c r="R12" s="198"/>
      <c r="S12" s="198"/>
      <c r="T12" s="198"/>
      <c r="U12" s="198"/>
    </row>
    <row r="13" spans="1:21" s="12" customFormat="1" x14ac:dyDescent="0.25">
      <c r="A13" s="214" t="s">
        <v>1308</v>
      </c>
      <c r="B13" s="64">
        <v>10.57</v>
      </c>
      <c r="C13" s="64">
        <v>29.5</v>
      </c>
      <c r="D13" s="64">
        <v>23.81</v>
      </c>
      <c r="E13" s="64">
        <v>1.27</v>
      </c>
      <c r="F13" s="64">
        <v>3.02</v>
      </c>
      <c r="G13" s="64">
        <v>22.49</v>
      </c>
      <c r="H13" s="64">
        <v>6.92</v>
      </c>
      <c r="I13" s="64">
        <v>5.46</v>
      </c>
      <c r="J13" s="64">
        <v>0.09</v>
      </c>
      <c r="K13" s="64">
        <v>332.05</v>
      </c>
      <c r="L13" s="64">
        <v>18.16</v>
      </c>
      <c r="M13" s="64">
        <v>97.85</v>
      </c>
      <c r="N13" s="64">
        <v>16.899999999999999</v>
      </c>
      <c r="O13" s="64">
        <v>0</v>
      </c>
      <c r="P13" s="64">
        <v>0.46</v>
      </c>
      <c r="Q13" s="64">
        <v>9.35</v>
      </c>
      <c r="R13" s="198"/>
      <c r="S13" s="198"/>
      <c r="T13" s="198"/>
      <c r="U13" s="198"/>
    </row>
    <row r="14" spans="1:21" s="12" customFormat="1" x14ac:dyDescent="0.25">
      <c r="A14" s="214" t="s">
        <v>1309</v>
      </c>
      <c r="B14" s="64">
        <v>10.64</v>
      </c>
      <c r="C14" s="64">
        <v>28.63</v>
      </c>
      <c r="D14" s="64">
        <v>23.41</v>
      </c>
      <c r="E14" s="64">
        <v>1.32</v>
      </c>
      <c r="F14" s="64">
        <v>3.19</v>
      </c>
      <c r="G14" s="64">
        <v>22.49</v>
      </c>
      <c r="H14" s="64">
        <v>6.92</v>
      </c>
      <c r="I14" s="64">
        <v>5.43</v>
      </c>
      <c r="J14" s="64">
        <v>0.13</v>
      </c>
      <c r="K14" s="64">
        <v>300.04000000000002</v>
      </c>
      <c r="L14" s="64">
        <v>18.03</v>
      </c>
      <c r="M14" s="64">
        <v>97.88</v>
      </c>
      <c r="N14" s="64">
        <v>17.100000000000001</v>
      </c>
      <c r="O14" s="64">
        <v>0</v>
      </c>
      <c r="P14" s="64">
        <v>0.46</v>
      </c>
      <c r="Q14" s="64">
        <v>9.33</v>
      </c>
      <c r="R14" s="198"/>
      <c r="S14" s="198"/>
      <c r="T14" s="198"/>
      <c r="U14" s="198"/>
    </row>
    <row r="15" spans="1:21" s="12" customFormat="1" x14ac:dyDescent="0.25">
      <c r="A15" s="214" t="s">
        <v>1310</v>
      </c>
      <c r="B15" s="64">
        <v>10.71</v>
      </c>
      <c r="C15" s="64">
        <v>28.08</v>
      </c>
      <c r="D15" s="64">
        <v>23.18</v>
      </c>
      <c r="E15" s="64">
        <v>1.31</v>
      </c>
      <c r="F15" s="64">
        <v>3.61</v>
      </c>
      <c r="G15" s="64">
        <v>22.49</v>
      </c>
      <c r="H15" s="64">
        <v>6.92</v>
      </c>
      <c r="I15" s="64">
        <v>5.42</v>
      </c>
      <c r="J15" s="64">
        <v>0.14000000000000001</v>
      </c>
      <c r="K15" s="64">
        <v>102.81</v>
      </c>
      <c r="L15" s="64">
        <v>17.829999999999998</v>
      </c>
      <c r="M15" s="64">
        <v>97.88</v>
      </c>
      <c r="N15" s="64">
        <v>16.7</v>
      </c>
      <c r="O15" s="64">
        <v>0</v>
      </c>
      <c r="P15" s="64">
        <v>0.46</v>
      </c>
      <c r="Q15" s="64">
        <v>9.32</v>
      </c>
      <c r="R15" s="198"/>
      <c r="S15" s="198"/>
      <c r="T15" s="198"/>
      <c r="U15" s="198"/>
    </row>
    <row r="16" spans="1:21" s="12" customFormat="1" x14ac:dyDescent="0.25">
      <c r="A16" s="214" t="s">
        <v>1311</v>
      </c>
      <c r="B16" s="64">
        <v>10.61</v>
      </c>
      <c r="C16" s="64">
        <v>25.94</v>
      </c>
      <c r="D16" s="64">
        <v>21.98</v>
      </c>
      <c r="E16" s="64">
        <v>1.41</v>
      </c>
      <c r="F16" s="64">
        <v>3.57</v>
      </c>
      <c r="G16" s="64">
        <v>22.63</v>
      </c>
      <c r="H16" s="64">
        <v>6.98</v>
      </c>
      <c r="I16" s="64">
        <v>5.39</v>
      </c>
      <c r="J16" s="64">
        <v>0.14000000000000001</v>
      </c>
      <c r="K16" s="64">
        <v>347.26</v>
      </c>
      <c r="L16" s="64">
        <v>18.04</v>
      </c>
      <c r="M16" s="64">
        <v>97.88</v>
      </c>
      <c r="N16" s="64">
        <v>16.7</v>
      </c>
      <c r="O16" s="64">
        <v>0</v>
      </c>
      <c r="P16" s="64">
        <v>0.46</v>
      </c>
      <c r="Q16" s="64">
        <v>9.35</v>
      </c>
      <c r="R16" s="198"/>
      <c r="S16" s="198"/>
      <c r="T16" s="198"/>
      <c r="U16" s="198"/>
    </row>
    <row r="17" spans="1:21" s="12" customFormat="1" x14ac:dyDescent="0.25">
      <c r="A17" s="214" t="s">
        <v>1312</v>
      </c>
      <c r="B17" s="64">
        <v>10.49</v>
      </c>
      <c r="C17" s="64">
        <v>24.95</v>
      </c>
      <c r="D17" s="64">
        <v>21.37</v>
      </c>
      <c r="E17" s="64">
        <v>1.36</v>
      </c>
      <c r="F17" s="64">
        <v>3.27</v>
      </c>
      <c r="G17" s="64">
        <v>24.56</v>
      </c>
      <c r="H17" s="64">
        <v>8.07</v>
      </c>
      <c r="I17" s="64">
        <v>5.27</v>
      </c>
      <c r="J17" s="64">
        <v>0.11</v>
      </c>
      <c r="K17" s="64">
        <v>197.02</v>
      </c>
      <c r="L17" s="64">
        <v>17.91</v>
      </c>
      <c r="M17" s="64">
        <v>97.88</v>
      </c>
      <c r="N17" s="64">
        <v>16.600000000000001</v>
      </c>
      <c r="O17" s="64">
        <v>0</v>
      </c>
      <c r="P17" s="64">
        <v>0.45</v>
      </c>
      <c r="Q17" s="64">
        <v>9.3699999999999992</v>
      </c>
      <c r="R17" s="198"/>
      <c r="S17" s="198"/>
      <c r="T17" s="198"/>
      <c r="U17" s="198"/>
    </row>
    <row r="18" spans="1:21" s="12" customFormat="1" x14ac:dyDescent="0.25">
      <c r="A18" s="214" t="s">
        <v>1313</v>
      </c>
      <c r="B18" s="64">
        <v>10.28</v>
      </c>
      <c r="C18" s="64">
        <v>24.88</v>
      </c>
      <c r="D18" s="64">
        <v>21.17</v>
      </c>
      <c r="E18" s="64">
        <v>1.33</v>
      </c>
      <c r="F18" s="64">
        <v>3.23</v>
      </c>
      <c r="G18" s="64">
        <v>24.56</v>
      </c>
      <c r="H18" s="64">
        <v>8.07</v>
      </c>
      <c r="I18" s="64">
        <v>5.2</v>
      </c>
      <c r="J18" s="64">
        <v>0.13</v>
      </c>
      <c r="K18" s="64">
        <v>201.49</v>
      </c>
      <c r="L18" s="64">
        <v>17.690000000000001</v>
      </c>
      <c r="M18" s="64">
        <v>97.88</v>
      </c>
      <c r="N18" s="64">
        <v>16.899999999999999</v>
      </c>
      <c r="O18" s="64">
        <v>0</v>
      </c>
      <c r="P18" s="64">
        <v>0.44</v>
      </c>
      <c r="Q18" s="64">
        <v>9.39</v>
      </c>
      <c r="R18" s="198"/>
      <c r="S18" s="198"/>
      <c r="T18" s="198"/>
      <c r="U18" s="198"/>
    </row>
    <row r="19" spans="1:21" s="12" customFormat="1" x14ac:dyDescent="0.25">
      <c r="A19" s="214" t="s">
        <v>1314</v>
      </c>
      <c r="B19" s="64">
        <v>10.039999999999999</v>
      </c>
      <c r="C19" s="64">
        <v>24.6</v>
      </c>
      <c r="D19" s="64">
        <v>20.82</v>
      </c>
      <c r="E19" s="64">
        <v>1.29</v>
      </c>
      <c r="F19" s="64">
        <v>3.5</v>
      </c>
      <c r="G19" s="64">
        <v>24.56</v>
      </c>
      <c r="H19" s="64">
        <v>8.07</v>
      </c>
      <c r="I19" s="64">
        <v>5.05</v>
      </c>
      <c r="J19" s="64">
        <v>0.09</v>
      </c>
      <c r="K19" s="64">
        <v>15.88</v>
      </c>
      <c r="L19" s="64">
        <v>17.53</v>
      </c>
      <c r="M19" s="64">
        <v>97.88</v>
      </c>
      <c r="N19" s="64">
        <v>16.7</v>
      </c>
      <c r="O19" s="64">
        <v>0</v>
      </c>
      <c r="P19" s="64">
        <v>0.44</v>
      </c>
      <c r="Q19" s="64">
        <v>9.31</v>
      </c>
      <c r="R19" s="198"/>
      <c r="S19" s="198"/>
      <c r="T19" s="198"/>
      <c r="U19" s="198"/>
    </row>
    <row r="20" spans="1:21" s="12" customFormat="1" x14ac:dyDescent="0.25">
      <c r="A20" s="214" t="s">
        <v>1315</v>
      </c>
      <c r="B20" s="64">
        <v>10.02</v>
      </c>
      <c r="C20" s="64">
        <v>24.46</v>
      </c>
      <c r="D20" s="64">
        <v>20.73</v>
      </c>
      <c r="E20" s="64">
        <v>1.1399999999999999</v>
      </c>
      <c r="F20" s="64">
        <v>2.89</v>
      </c>
      <c r="G20" s="64">
        <v>24.62</v>
      </c>
      <c r="H20" s="64">
        <v>8.09</v>
      </c>
      <c r="I20" s="64">
        <v>4.9800000000000004</v>
      </c>
      <c r="J20" s="64">
        <v>0.2</v>
      </c>
      <c r="K20" s="64">
        <v>214.57</v>
      </c>
      <c r="L20" s="64">
        <v>17.690000000000001</v>
      </c>
      <c r="M20" s="64">
        <v>97.88</v>
      </c>
      <c r="N20" s="64">
        <v>16.399999999999999</v>
      </c>
      <c r="O20" s="64">
        <v>0</v>
      </c>
      <c r="P20" s="64">
        <v>0.44</v>
      </c>
      <c r="Q20" s="64">
        <v>9.35</v>
      </c>
      <c r="R20" s="198"/>
      <c r="S20" s="198"/>
      <c r="T20" s="198"/>
      <c r="U20" s="198"/>
    </row>
    <row r="21" spans="1:21" s="12" customFormat="1" x14ac:dyDescent="0.25">
      <c r="A21" s="214" t="s">
        <v>1316</v>
      </c>
      <c r="B21" s="64">
        <v>10.050000000000001</v>
      </c>
      <c r="C21" s="64">
        <v>24.21</v>
      </c>
      <c r="D21" s="64">
        <v>20.63</v>
      </c>
      <c r="E21" s="64">
        <v>1.2</v>
      </c>
      <c r="F21" s="64">
        <v>3.02</v>
      </c>
      <c r="G21" s="64">
        <v>25.39</v>
      </c>
      <c r="H21" s="64">
        <v>8.35</v>
      </c>
      <c r="I21" s="64">
        <v>4.8899999999999997</v>
      </c>
      <c r="J21" s="64">
        <v>7.0000000000000007E-2</v>
      </c>
      <c r="K21" s="64">
        <v>280.83</v>
      </c>
      <c r="L21" s="64">
        <v>17.739999999999998</v>
      </c>
      <c r="M21" s="64">
        <v>97.88</v>
      </c>
      <c r="N21" s="64">
        <v>16.899999999999999</v>
      </c>
      <c r="O21" s="64">
        <v>0</v>
      </c>
      <c r="P21" s="64">
        <v>0.43</v>
      </c>
      <c r="Q21" s="64">
        <v>9.3699999999999992</v>
      </c>
      <c r="R21" s="198"/>
      <c r="S21" s="198"/>
      <c r="T21" s="198"/>
      <c r="U21" s="198"/>
    </row>
    <row r="22" spans="1:21" s="12" customFormat="1" x14ac:dyDescent="0.25">
      <c r="A22" s="214" t="s">
        <v>1317</v>
      </c>
      <c r="B22" s="64">
        <v>10.07</v>
      </c>
      <c r="C22" s="64">
        <v>24.14</v>
      </c>
      <c r="D22" s="64">
        <v>20.6</v>
      </c>
      <c r="E22" s="64">
        <v>1.21</v>
      </c>
      <c r="F22" s="64">
        <v>3.17</v>
      </c>
      <c r="G22" s="64">
        <v>25.39</v>
      </c>
      <c r="H22" s="64">
        <v>8.35</v>
      </c>
      <c r="I22" s="64">
        <v>4.79</v>
      </c>
      <c r="J22" s="64">
        <v>0.03</v>
      </c>
      <c r="K22" s="64">
        <v>198.19</v>
      </c>
      <c r="L22" s="64">
        <v>17.93</v>
      </c>
      <c r="M22" s="64">
        <v>97.88</v>
      </c>
      <c r="N22" s="64">
        <v>16.600000000000001</v>
      </c>
      <c r="O22" s="64">
        <v>0</v>
      </c>
      <c r="P22" s="64">
        <v>0.43</v>
      </c>
      <c r="Q22" s="64">
        <v>9.41</v>
      </c>
      <c r="R22" s="198"/>
      <c r="S22" s="198"/>
      <c r="T22" s="198"/>
      <c r="U22" s="198"/>
    </row>
    <row r="23" spans="1:21" s="12" customFormat="1" x14ac:dyDescent="0.25">
      <c r="A23" s="214" t="s">
        <v>1318</v>
      </c>
      <c r="B23" s="64">
        <v>10.08</v>
      </c>
      <c r="C23" s="64">
        <v>24.01</v>
      </c>
      <c r="D23" s="64">
        <v>20.55</v>
      </c>
      <c r="E23" s="64">
        <v>1.25</v>
      </c>
      <c r="F23" s="64">
        <v>3.03</v>
      </c>
      <c r="G23" s="64">
        <v>25.39</v>
      </c>
      <c r="H23" s="64">
        <v>8.35</v>
      </c>
      <c r="I23" s="64">
        <v>4.71</v>
      </c>
      <c r="J23" s="64">
        <v>0.31</v>
      </c>
      <c r="K23" s="64">
        <v>221.81</v>
      </c>
      <c r="L23" s="64">
        <v>18.07</v>
      </c>
      <c r="M23" s="64">
        <v>97.88</v>
      </c>
      <c r="N23" s="64">
        <v>16.7</v>
      </c>
      <c r="O23" s="64">
        <v>0</v>
      </c>
      <c r="P23" s="64">
        <v>0.42</v>
      </c>
      <c r="Q23" s="64">
        <v>9.32</v>
      </c>
      <c r="R23" s="198"/>
      <c r="S23" s="198"/>
      <c r="T23" s="198"/>
      <c r="U23" s="198"/>
    </row>
    <row r="24" spans="1:21" s="12" customFormat="1" x14ac:dyDescent="0.25">
      <c r="A24" s="214" t="s">
        <v>1319</v>
      </c>
      <c r="B24" s="64">
        <v>9.9499999999999993</v>
      </c>
      <c r="C24" s="64">
        <v>23.74</v>
      </c>
      <c r="D24" s="64">
        <v>20.3</v>
      </c>
      <c r="E24" s="64">
        <v>1.75</v>
      </c>
      <c r="F24" s="64">
        <v>3.15</v>
      </c>
      <c r="G24" s="64">
        <v>25.5</v>
      </c>
      <c r="H24" s="64">
        <v>8.39</v>
      </c>
      <c r="I24" s="64">
        <v>4.63</v>
      </c>
      <c r="J24" s="64">
        <v>0.28000000000000003</v>
      </c>
      <c r="K24" s="64">
        <v>212.34</v>
      </c>
      <c r="L24" s="64">
        <v>18.04</v>
      </c>
      <c r="M24" s="64">
        <v>97.88</v>
      </c>
      <c r="N24" s="64">
        <v>17</v>
      </c>
      <c r="O24" s="64">
        <v>0</v>
      </c>
      <c r="P24" s="64">
        <v>0.42</v>
      </c>
      <c r="Q24" s="64">
        <v>9.31</v>
      </c>
      <c r="R24" s="198"/>
      <c r="S24" s="198"/>
      <c r="T24" s="198"/>
      <c r="U24" s="198"/>
    </row>
    <row r="25" spans="1:21" s="12" customFormat="1" x14ac:dyDescent="0.25">
      <c r="A25" s="214" t="s">
        <v>1320</v>
      </c>
      <c r="B25" s="64">
        <v>9.81</v>
      </c>
      <c r="C25" s="64">
        <v>23.73</v>
      </c>
      <c r="D25" s="64">
        <v>20.190000000000001</v>
      </c>
      <c r="E25" s="64">
        <v>1.88</v>
      </c>
      <c r="F25" s="64">
        <v>3.2</v>
      </c>
      <c r="G25" s="64">
        <v>27.03</v>
      </c>
      <c r="H25" s="64">
        <v>9.16</v>
      </c>
      <c r="I25" s="64">
        <v>4.5199999999999996</v>
      </c>
      <c r="J25" s="64">
        <v>0.3</v>
      </c>
      <c r="K25" s="64">
        <v>206.46</v>
      </c>
      <c r="L25" s="64">
        <v>17.93</v>
      </c>
      <c r="M25" s="64">
        <v>97.88</v>
      </c>
      <c r="N25" s="64">
        <v>17</v>
      </c>
      <c r="O25" s="64">
        <v>0</v>
      </c>
      <c r="P25" s="64">
        <v>0.41</v>
      </c>
      <c r="Q25" s="64">
        <v>9.34</v>
      </c>
      <c r="R25" s="198"/>
      <c r="S25" s="198"/>
      <c r="T25" s="198"/>
      <c r="U25" s="198"/>
    </row>
    <row r="26" spans="1:21" s="12" customFormat="1" x14ac:dyDescent="0.25">
      <c r="A26" s="214" t="s">
        <v>1321</v>
      </c>
      <c r="B26" s="64">
        <v>9.7100000000000009</v>
      </c>
      <c r="C26" s="64">
        <v>24.77</v>
      </c>
      <c r="D26" s="64">
        <v>20.65</v>
      </c>
      <c r="E26" s="64">
        <v>1.79</v>
      </c>
      <c r="F26" s="64">
        <v>3.43</v>
      </c>
      <c r="G26" s="64">
        <v>27.03</v>
      </c>
      <c r="H26" s="64">
        <v>9.16</v>
      </c>
      <c r="I26" s="64">
        <v>4.5</v>
      </c>
      <c r="J26" s="64">
        <v>0.14000000000000001</v>
      </c>
      <c r="K26" s="64">
        <v>231.53</v>
      </c>
      <c r="L26" s="64">
        <v>17.86</v>
      </c>
      <c r="M26" s="64">
        <v>97.88</v>
      </c>
      <c r="N26" s="64">
        <v>17</v>
      </c>
      <c r="O26" s="64">
        <v>0</v>
      </c>
      <c r="P26" s="64">
        <v>0.4</v>
      </c>
      <c r="Q26" s="64">
        <v>9.23</v>
      </c>
      <c r="R26" s="198"/>
      <c r="S26" s="198"/>
      <c r="T26" s="198"/>
      <c r="U26" s="198"/>
    </row>
    <row r="27" spans="1:21" s="12" customFormat="1" x14ac:dyDescent="0.25">
      <c r="A27" s="214" t="s">
        <v>1322</v>
      </c>
      <c r="B27" s="64">
        <v>9.86</v>
      </c>
      <c r="C27" s="64">
        <v>23.45</v>
      </c>
      <c r="D27" s="64">
        <v>20.079999999999998</v>
      </c>
      <c r="E27" s="64">
        <v>1.54</v>
      </c>
      <c r="F27" s="64">
        <v>3.15</v>
      </c>
      <c r="G27" s="64">
        <v>27.03</v>
      </c>
      <c r="H27" s="64">
        <v>9.16</v>
      </c>
      <c r="I27" s="64">
        <v>4.4400000000000004</v>
      </c>
      <c r="J27" s="64">
        <v>0.09</v>
      </c>
      <c r="K27" s="64">
        <v>329.91</v>
      </c>
      <c r="L27" s="64">
        <v>17.809999999999999</v>
      </c>
      <c r="M27" s="64">
        <v>97.88</v>
      </c>
      <c r="N27" s="64">
        <v>17</v>
      </c>
      <c r="O27" s="64">
        <v>0</v>
      </c>
      <c r="P27" s="64">
        <v>0.4</v>
      </c>
      <c r="Q27" s="64">
        <v>9.32</v>
      </c>
      <c r="R27" s="198"/>
      <c r="S27" s="198"/>
      <c r="T27" s="198"/>
      <c r="U27" s="198"/>
    </row>
    <row r="28" spans="1:21" s="12" customFormat="1" x14ac:dyDescent="0.25">
      <c r="A28" s="214" t="s">
        <v>1323</v>
      </c>
      <c r="B28" s="64">
        <v>10.41</v>
      </c>
      <c r="C28" s="64">
        <v>25.08</v>
      </c>
      <c r="D28" s="64">
        <v>21.37</v>
      </c>
      <c r="E28" s="64">
        <v>1.8</v>
      </c>
      <c r="F28" s="64">
        <v>3.36</v>
      </c>
      <c r="G28" s="64">
        <v>27.05</v>
      </c>
      <c r="H28" s="64">
        <v>9.0399999999999991</v>
      </c>
      <c r="I28" s="64">
        <v>4.3</v>
      </c>
      <c r="J28" s="64">
        <v>0.3</v>
      </c>
      <c r="K28" s="64">
        <v>3.54</v>
      </c>
      <c r="L28" s="64">
        <v>17.8</v>
      </c>
      <c r="M28" s="64">
        <v>97.88</v>
      </c>
      <c r="N28" s="64">
        <v>17</v>
      </c>
      <c r="O28" s="64">
        <v>0</v>
      </c>
      <c r="P28" s="64">
        <v>0.4</v>
      </c>
      <c r="Q28" s="64">
        <v>9.33</v>
      </c>
      <c r="R28" s="198"/>
      <c r="S28" s="198"/>
      <c r="T28" s="198"/>
      <c r="U28" s="198"/>
    </row>
    <row r="29" spans="1:21" s="12" customFormat="1" x14ac:dyDescent="0.25">
      <c r="A29" s="214" t="s">
        <v>1324</v>
      </c>
      <c r="B29" s="64">
        <v>10.94</v>
      </c>
      <c r="C29" s="64">
        <v>26.26</v>
      </c>
      <c r="D29" s="64">
        <v>22.41</v>
      </c>
      <c r="E29" s="64">
        <v>1.89</v>
      </c>
      <c r="F29" s="64">
        <v>3.04</v>
      </c>
      <c r="G29" s="64">
        <v>27.42</v>
      </c>
      <c r="H29" s="64">
        <v>7.03</v>
      </c>
      <c r="I29" s="64">
        <v>4.33</v>
      </c>
      <c r="J29" s="64">
        <v>0.23</v>
      </c>
      <c r="K29" s="64">
        <v>78.83</v>
      </c>
      <c r="L29" s="64">
        <v>17.809999999999999</v>
      </c>
      <c r="M29" s="64">
        <v>97.88</v>
      </c>
      <c r="N29" s="64">
        <v>16.7</v>
      </c>
      <c r="O29" s="64">
        <v>0</v>
      </c>
      <c r="P29" s="64">
        <v>0.4</v>
      </c>
      <c r="Q29" s="64">
        <v>9.36</v>
      </c>
      <c r="R29" s="198"/>
      <c r="S29" s="198"/>
      <c r="T29" s="198"/>
      <c r="U29" s="198"/>
    </row>
    <row r="30" spans="1:21" s="12" customFormat="1" x14ac:dyDescent="0.25">
      <c r="A30" s="214" t="s">
        <v>1325</v>
      </c>
      <c r="B30" s="64">
        <v>11.38</v>
      </c>
      <c r="C30" s="64">
        <v>26</v>
      </c>
      <c r="D30" s="64">
        <v>22.63</v>
      </c>
      <c r="E30" s="64">
        <v>1.65</v>
      </c>
      <c r="F30" s="64">
        <v>3.34</v>
      </c>
      <c r="G30" s="64">
        <v>27.42</v>
      </c>
      <c r="H30" s="64">
        <v>7.03</v>
      </c>
      <c r="I30" s="64">
        <v>4.42</v>
      </c>
      <c r="J30" s="64">
        <v>0.47</v>
      </c>
      <c r="K30" s="64">
        <v>356.72</v>
      </c>
      <c r="L30" s="64">
        <v>18.14</v>
      </c>
      <c r="M30" s="64">
        <v>97.88</v>
      </c>
      <c r="N30" s="64">
        <v>16.8</v>
      </c>
      <c r="O30" s="64">
        <v>0</v>
      </c>
      <c r="P30" s="64">
        <v>0.39</v>
      </c>
      <c r="Q30" s="64">
        <v>9.34</v>
      </c>
      <c r="R30" s="198"/>
      <c r="S30" s="198"/>
      <c r="T30" s="198"/>
      <c r="U30" s="198"/>
    </row>
    <row r="31" spans="1:21" s="12" customFormat="1" x14ac:dyDescent="0.25">
      <c r="A31" s="214" t="s">
        <v>1326</v>
      </c>
      <c r="B31" s="64">
        <v>11.95</v>
      </c>
      <c r="C31" s="64">
        <v>25.99</v>
      </c>
      <c r="D31" s="64">
        <v>23.08</v>
      </c>
      <c r="E31" s="64">
        <v>2.02</v>
      </c>
      <c r="F31" s="64">
        <v>4.03</v>
      </c>
      <c r="G31" s="64">
        <v>27.42</v>
      </c>
      <c r="H31" s="64">
        <v>7.03</v>
      </c>
      <c r="I31" s="64">
        <v>4.49</v>
      </c>
      <c r="J31" s="64">
        <v>0.34</v>
      </c>
      <c r="K31" s="64">
        <v>42.02</v>
      </c>
      <c r="L31" s="64">
        <v>18.46</v>
      </c>
      <c r="M31" s="64">
        <v>97.87</v>
      </c>
      <c r="N31" s="64">
        <v>17.399999999999999</v>
      </c>
      <c r="O31" s="64">
        <v>0</v>
      </c>
      <c r="P31" s="64">
        <v>0.4</v>
      </c>
      <c r="Q31" s="64">
        <v>9.34</v>
      </c>
      <c r="R31" s="198"/>
      <c r="S31" s="198"/>
      <c r="T31" s="198"/>
      <c r="U31" s="198"/>
    </row>
    <row r="32" spans="1:21" s="12" customFormat="1" x14ac:dyDescent="0.25">
      <c r="A32" s="214" t="s">
        <v>1327</v>
      </c>
      <c r="B32" s="64">
        <v>12.67</v>
      </c>
      <c r="C32" s="64">
        <v>26.19</v>
      </c>
      <c r="D32" s="64">
        <v>23.76</v>
      </c>
      <c r="E32" s="64">
        <v>2.2400000000000002</v>
      </c>
      <c r="F32" s="64">
        <v>2.88</v>
      </c>
      <c r="G32" s="64">
        <v>27.47</v>
      </c>
      <c r="H32" s="64">
        <v>7.2</v>
      </c>
      <c r="I32" s="64">
        <v>4.6500000000000004</v>
      </c>
      <c r="J32" s="64">
        <v>0.22</v>
      </c>
      <c r="K32" s="64">
        <v>45.79</v>
      </c>
      <c r="L32" s="64">
        <v>18.59</v>
      </c>
      <c r="M32" s="64">
        <v>97.87</v>
      </c>
      <c r="N32" s="64">
        <v>19.8</v>
      </c>
      <c r="O32" s="64">
        <v>0</v>
      </c>
      <c r="P32" s="64">
        <v>0.4</v>
      </c>
      <c r="Q32" s="64">
        <v>9.2799999999999994</v>
      </c>
      <c r="R32" s="198"/>
      <c r="S32" s="198"/>
      <c r="T32" s="198"/>
      <c r="U32" s="198"/>
    </row>
    <row r="33" spans="1:21" s="12" customFormat="1" x14ac:dyDescent="0.25">
      <c r="A33" s="214" t="s">
        <v>1328</v>
      </c>
      <c r="B33" s="64">
        <v>13.56</v>
      </c>
      <c r="C33" s="64">
        <v>26.51</v>
      </c>
      <c r="D33" s="64">
        <v>24.64</v>
      </c>
      <c r="E33" s="64">
        <v>1.92</v>
      </c>
      <c r="F33" s="64">
        <v>3.36</v>
      </c>
      <c r="G33" s="64">
        <v>28.24</v>
      </c>
      <c r="H33" s="64">
        <v>10.039999999999999</v>
      </c>
      <c r="I33" s="64">
        <v>4.75</v>
      </c>
      <c r="J33" s="64">
        <v>0.38</v>
      </c>
      <c r="K33" s="64">
        <v>24.18</v>
      </c>
      <c r="L33" s="64">
        <v>18.489999999999998</v>
      </c>
      <c r="M33" s="64">
        <v>97.88</v>
      </c>
      <c r="N33" s="64">
        <v>24</v>
      </c>
      <c r="O33" s="64">
        <v>0</v>
      </c>
      <c r="P33" s="64">
        <v>0.42</v>
      </c>
      <c r="Q33" s="64">
        <v>9.31</v>
      </c>
      <c r="R33" s="198"/>
      <c r="S33" s="198"/>
      <c r="T33" s="198"/>
      <c r="U33" s="198"/>
    </row>
    <row r="34" spans="1:21" s="12" customFormat="1" x14ac:dyDescent="0.25">
      <c r="A34" s="214" t="s">
        <v>1329</v>
      </c>
      <c r="B34" s="64">
        <v>14.97</v>
      </c>
      <c r="C34" s="64">
        <v>26.38</v>
      </c>
      <c r="D34" s="64">
        <v>25.71</v>
      </c>
      <c r="E34" s="64">
        <v>1.83</v>
      </c>
      <c r="F34" s="64">
        <v>3.01</v>
      </c>
      <c r="G34" s="64">
        <v>28.24</v>
      </c>
      <c r="H34" s="64">
        <v>10.039999999999999</v>
      </c>
      <c r="I34" s="64">
        <v>4.92</v>
      </c>
      <c r="J34" s="64">
        <v>0.12</v>
      </c>
      <c r="K34" s="64">
        <v>137.24</v>
      </c>
      <c r="L34" s="64">
        <v>18.440000000000001</v>
      </c>
      <c r="M34" s="64">
        <v>97.88</v>
      </c>
      <c r="N34" s="64">
        <v>29.7</v>
      </c>
      <c r="O34" s="64">
        <v>0</v>
      </c>
      <c r="P34" s="64">
        <v>0.46</v>
      </c>
      <c r="Q34" s="64">
        <v>9.42</v>
      </c>
      <c r="R34" s="198"/>
      <c r="S34" s="198"/>
      <c r="T34" s="198"/>
      <c r="U34" s="198"/>
    </row>
    <row r="35" spans="1:21" s="12" customFormat="1" x14ac:dyDescent="0.25">
      <c r="A35" s="214" t="s">
        <v>1330</v>
      </c>
      <c r="B35" s="64">
        <v>17.03</v>
      </c>
      <c r="C35" s="64">
        <v>25.37</v>
      </c>
      <c r="D35" s="64">
        <v>26.83</v>
      </c>
      <c r="E35" s="64">
        <v>1.98</v>
      </c>
      <c r="F35" s="64">
        <v>3.09</v>
      </c>
      <c r="G35" s="64">
        <v>28.24</v>
      </c>
      <c r="H35" s="64">
        <v>10.039999999999999</v>
      </c>
      <c r="I35" s="64">
        <v>5.2</v>
      </c>
      <c r="J35" s="64">
        <v>0.19</v>
      </c>
      <c r="K35" s="64">
        <v>249.59</v>
      </c>
      <c r="L35" s="64">
        <v>18.55</v>
      </c>
      <c r="M35" s="64">
        <v>97.88</v>
      </c>
      <c r="N35" s="64">
        <v>37.799999999999997</v>
      </c>
      <c r="O35" s="64">
        <v>0</v>
      </c>
      <c r="P35" s="64">
        <v>0.51</v>
      </c>
      <c r="Q35" s="64">
        <v>9.44</v>
      </c>
      <c r="R35" s="198"/>
      <c r="S35" s="198"/>
      <c r="T35" s="198"/>
      <c r="U35" s="198"/>
    </row>
    <row r="36" spans="1:21" s="12" customFormat="1" x14ac:dyDescent="0.25">
      <c r="A36" s="214" t="s">
        <v>1331</v>
      </c>
      <c r="B36" s="64">
        <v>19.690000000000001</v>
      </c>
      <c r="C36" s="64">
        <v>24.97</v>
      </c>
      <c r="D36" s="64">
        <v>28.76</v>
      </c>
      <c r="E36" s="64">
        <v>2.34</v>
      </c>
      <c r="F36" s="64">
        <v>3.09</v>
      </c>
      <c r="G36" s="64">
        <v>35.11</v>
      </c>
      <c r="H36" s="64">
        <v>10.77</v>
      </c>
      <c r="I36" s="64">
        <v>5.42</v>
      </c>
      <c r="J36" s="64">
        <v>0.28000000000000003</v>
      </c>
      <c r="K36" s="64">
        <v>346.12</v>
      </c>
      <c r="L36" s="64">
        <v>18.78</v>
      </c>
      <c r="M36" s="64">
        <v>97.88</v>
      </c>
      <c r="N36" s="64">
        <v>54.6</v>
      </c>
      <c r="O36" s="64">
        <v>0</v>
      </c>
      <c r="P36" s="64">
        <v>0.56999999999999995</v>
      </c>
      <c r="Q36" s="64">
        <v>9.4</v>
      </c>
      <c r="R36" s="198"/>
      <c r="S36" s="198"/>
      <c r="T36" s="198"/>
      <c r="U36" s="198"/>
    </row>
    <row r="37" spans="1:21" s="12" customFormat="1" x14ac:dyDescent="0.25">
      <c r="A37" s="214" t="s">
        <v>1332</v>
      </c>
      <c r="B37" s="64">
        <v>22.51</v>
      </c>
      <c r="C37" s="64">
        <v>24.91</v>
      </c>
      <c r="D37" s="64">
        <v>30.98</v>
      </c>
      <c r="E37" s="64">
        <v>2.02</v>
      </c>
      <c r="F37" s="64">
        <v>2.7</v>
      </c>
      <c r="G37" s="64">
        <v>152</v>
      </c>
      <c r="H37" s="64">
        <v>23.12</v>
      </c>
      <c r="I37" s="64">
        <v>5.58</v>
      </c>
      <c r="J37" s="64">
        <v>0.25</v>
      </c>
      <c r="K37" s="64">
        <v>170.83</v>
      </c>
      <c r="L37" s="64">
        <v>18.96</v>
      </c>
      <c r="M37" s="64">
        <v>97.88</v>
      </c>
      <c r="N37" s="64">
        <v>83.5</v>
      </c>
      <c r="O37" s="64">
        <v>0</v>
      </c>
      <c r="P37" s="64">
        <v>0.6</v>
      </c>
      <c r="Q37" s="64">
        <v>9.5</v>
      </c>
      <c r="R37" s="198"/>
      <c r="S37" s="198"/>
      <c r="T37" s="198"/>
      <c r="U37" s="198"/>
    </row>
    <row r="38" spans="1:21" s="12" customFormat="1" x14ac:dyDescent="0.25">
      <c r="A38" s="214" t="s">
        <v>1333</v>
      </c>
      <c r="B38" s="64">
        <v>23.67</v>
      </c>
      <c r="C38" s="64">
        <v>25.08</v>
      </c>
      <c r="D38" s="64">
        <v>32</v>
      </c>
      <c r="E38" s="64">
        <v>1.98</v>
      </c>
      <c r="F38" s="64">
        <v>2.96</v>
      </c>
      <c r="G38" s="64">
        <v>152</v>
      </c>
      <c r="H38" s="64">
        <v>23.12</v>
      </c>
      <c r="I38" s="64">
        <v>5.76</v>
      </c>
      <c r="J38" s="64">
        <v>0.13</v>
      </c>
      <c r="K38" s="64">
        <v>205.29</v>
      </c>
      <c r="L38" s="64">
        <v>18.95</v>
      </c>
      <c r="M38" s="64">
        <v>97.88</v>
      </c>
      <c r="N38" s="64">
        <v>98</v>
      </c>
      <c r="O38" s="64">
        <v>0</v>
      </c>
      <c r="P38" s="64">
        <v>0.63</v>
      </c>
      <c r="Q38" s="64">
        <v>9.5299999999999994</v>
      </c>
      <c r="R38" s="198"/>
      <c r="S38" s="198"/>
      <c r="T38" s="198"/>
      <c r="U38" s="198"/>
    </row>
    <row r="39" spans="1:21" s="12" customFormat="1" x14ac:dyDescent="0.25">
      <c r="A39" s="214" t="s">
        <v>1334</v>
      </c>
      <c r="B39" s="64">
        <v>23.68</v>
      </c>
      <c r="C39" s="64">
        <v>25.38</v>
      </c>
      <c r="D39" s="64">
        <v>32.17</v>
      </c>
      <c r="E39" s="64">
        <v>2.44</v>
      </c>
      <c r="F39" s="64">
        <v>3.63</v>
      </c>
      <c r="G39" s="64">
        <v>152</v>
      </c>
      <c r="H39" s="64">
        <v>23.12</v>
      </c>
      <c r="I39" s="64">
        <v>5.92</v>
      </c>
      <c r="J39" s="64">
        <v>0.32</v>
      </c>
      <c r="K39" s="64">
        <v>216.96</v>
      </c>
      <c r="L39" s="64">
        <v>18.82</v>
      </c>
      <c r="M39" s="64">
        <v>97.88</v>
      </c>
      <c r="N39" s="64">
        <v>75.099999999999994</v>
      </c>
      <c r="O39" s="64">
        <v>0</v>
      </c>
      <c r="P39" s="64">
        <v>0.64</v>
      </c>
      <c r="Q39" s="64">
        <v>9.51</v>
      </c>
      <c r="R39" s="198"/>
      <c r="S39" s="198"/>
      <c r="T39" s="198"/>
      <c r="U39" s="198"/>
    </row>
    <row r="40" spans="1:21" s="12" customFormat="1" x14ac:dyDescent="0.25">
      <c r="A40" s="214" t="s">
        <v>1335</v>
      </c>
      <c r="B40" s="64">
        <v>23.52</v>
      </c>
      <c r="C40" s="64">
        <v>25.1</v>
      </c>
      <c r="D40" s="64">
        <v>31.9</v>
      </c>
      <c r="E40" s="64">
        <v>1.47</v>
      </c>
      <c r="F40" s="64">
        <v>3.54</v>
      </c>
      <c r="G40" s="64">
        <v>145.80000000000001</v>
      </c>
      <c r="H40" s="64">
        <v>23.13</v>
      </c>
      <c r="I40" s="64">
        <v>5.98</v>
      </c>
      <c r="J40" s="64">
        <v>0.16</v>
      </c>
      <c r="K40" s="64">
        <v>326.62</v>
      </c>
      <c r="L40" s="64">
        <v>18.89</v>
      </c>
      <c r="M40" s="64">
        <v>97.88</v>
      </c>
      <c r="N40" s="64">
        <v>60.1</v>
      </c>
      <c r="O40" s="64">
        <v>0</v>
      </c>
      <c r="P40" s="64">
        <v>0.64</v>
      </c>
      <c r="Q40" s="64">
        <v>9.5</v>
      </c>
      <c r="R40" s="198"/>
      <c r="S40" s="198"/>
      <c r="T40" s="198"/>
      <c r="U40" s="198"/>
    </row>
    <row r="41" spans="1:21" s="12" customFormat="1" x14ac:dyDescent="0.25">
      <c r="A41" s="214" t="s">
        <v>1336</v>
      </c>
      <c r="B41" s="64">
        <v>24.08</v>
      </c>
      <c r="C41" s="64">
        <v>25.19</v>
      </c>
      <c r="D41" s="64">
        <v>32.39</v>
      </c>
      <c r="E41" s="64">
        <v>1.35</v>
      </c>
      <c r="F41" s="64">
        <v>3.44</v>
      </c>
      <c r="G41" s="64">
        <v>58.96</v>
      </c>
      <c r="H41" s="64">
        <v>23.3</v>
      </c>
      <c r="I41" s="64">
        <v>5.93</v>
      </c>
      <c r="J41" s="64">
        <v>0.24</v>
      </c>
      <c r="K41" s="64">
        <v>298.08</v>
      </c>
      <c r="L41" s="64">
        <v>19.07</v>
      </c>
      <c r="M41" s="64">
        <v>97.88</v>
      </c>
      <c r="N41" s="64">
        <v>65</v>
      </c>
      <c r="O41" s="64">
        <v>0</v>
      </c>
      <c r="P41" s="64">
        <v>0.66</v>
      </c>
      <c r="Q41" s="64">
        <v>9.5299999999999994</v>
      </c>
      <c r="R41" s="198"/>
      <c r="S41" s="198"/>
      <c r="T41" s="198"/>
      <c r="U41" s="198"/>
    </row>
    <row r="42" spans="1:21" s="12" customFormat="1" x14ac:dyDescent="0.25">
      <c r="A42" s="214" t="s">
        <v>1337</v>
      </c>
      <c r="B42" s="64">
        <v>24.43</v>
      </c>
      <c r="C42" s="64">
        <v>25.38</v>
      </c>
      <c r="D42" s="64">
        <v>32.770000000000003</v>
      </c>
      <c r="E42" s="64">
        <v>1.04</v>
      </c>
      <c r="F42" s="64">
        <v>2.92</v>
      </c>
      <c r="G42" s="64">
        <v>58.96</v>
      </c>
      <c r="H42" s="64">
        <v>23.3</v>
      </c>
      <c r="I42" s="64">
        <v>5.81</v>
      </c>
      <c r="J42" s="64">
        <v>0.41</v>
      </c>
      <c r="K42" s="64">
        <v>172.93</v>
      </c>
      <c r="L42" s="64">
        <v>19</v>
      </c>
      <c r="M42" s="64">
        <v>97.87</v>
      </c>
      <c r="N42" s="64">
        <v>66.599999999999994</v>
      </c>
      <c r="O42" s="64">
        <v>0</v>
      </c>
      <c r="P42" s="64">
        <v>0.66</v>
      </c>
      <c r="Q42" s="64">
        <v>9.56</v>
      </c>
      <c r="R42" s="198"/>
      <c r="S42" s="198"/>
      <c r="T42" s="198"/>
      <c r="U42" s="198"/>
    </row>
    <row r="43" spans="1:21" s="12" customFormat="1" x14ac:dyDescent="0.25">
      <c r="A43" s="214" t="s">
        <v>1338</v>
      </c>
      <c r="B43" s="64">
        <v>24.06</v>
      </c>
      <c r="C43" s="64">
        <v>25.08</v>
      </c>
      <c r="D43" s="64">
        <v>32.32</v>
      </c>
      <c r="E43" s="64">
        <v>1.08</v>
      </c>
      <c r="F43" s="64">
        <v>3.63</v>
      </c>
      <c r="G43" s="64">
        <v>58.96</v>
      </c>
      <c r="H43" s="64">
        <v>23.3</v>
      </c>
      <c r="I43" s="64">
        <v>5.78</v>
      </c>
      <c r="J43" s="64">
        <v>0.56000000000000005</v>
      </c>
      <c r="K43" s="64">
        <v>196.15</v>
      </c>
      <c r="L43" s="64">
        <v>18.93</v>
      </c>
      <c r="M43" s="64">
        <v>97.87</v>
      </c>
      <c r="N43" s="64">
        <v>77.2</v>
      </c>
      <c r="O43" s="64">
        <v>0</v>
      </c>
      <c r="P43" s="64">
        <v>0.66</v>
      </c>
      <c r="Q43" s="64">
        <v>9.56</v>
      </c>
      <c r="R43" s="198"/>
      <c r="S43" s="198"/>
      <c r="T43" s="198"/>
      <c r="U43" s="198"/>
    </row>
    <row r="44" spans="1:21" s="12" customFormat="1" x14ac:dyDescent="0.25">
      <c r="A44" s="214" t="s">
        <v>1339</v>
      </c>
      <c r="B44" s="64">
        <v>23.41</v>
      </c>
      <c r="C44" s="64">
        <v>26.22</v>
      </c>
      <c r="D44" s="64">
        <v>32.39</v>
      </c>
      <c r="E44" s="64">
        <v>1.07</v>
      </c>
      <c r="F44" s="64">
        <v>2.9</v>
      </c>
      <c r="G44" s="64">
        <v>58.93</v>
      </c>
      <c r="H44" s="64">
        <v>23.21</v>
      </c>
      <c r="I44" s="64">
        <v>5.76</v>
      </c>
      <c r="J44" s="64">
        <v>0.28000000000000003</v>
      </c>
      <c r="K44" s="64">
        <v>210.05</v>
      </c>
      <c r="L44" s="64">
        <v>18.8</v>
      </c>
      <c r="M44" s="64">
        <v>97.88</v>
      </c>
      <c r="N44" s="64">
        <v>77.3</v>
      </c>
      <c r="O44" s="64">
        <v>0</v>
      </c>
      <c r="P44" s="64">
        <v>0.64</v>
      </c>
      <c r="Q44" s="64">
        <v>9.56</v>
      </c>
      <c r="R44" s="198"/>
      <c r="S44" s="198"/>
      <c r="T44" s="198"/>
      <c r="U44" s="198"/>
    </row>
    <row r="45" spans="1:21" s="12" customFormat="1" x14ac:dyDescent="0.25">
      <c r="A45" s="214" t="s">
        <v>1340</v>
      </c>
      <c r="B45" s="64">
        <v>22.78</v>
      </c>
      <c r="C45" s="64">
        <v>28.17</v>
      </c>
      <c r="D45" s="64">
        <v>32.909999999999997</v>
      </c>
      <c r="E45" s="64">
        <v>1.29</v>
      </c>
      <c r="F45" s="64">
        <v>3.56</v>
      </c>
      <c r="G45" s="64">
        <v>58.41</v>
      </c>
      <c r="H45" s="64">
        <v>21.95</v>
      </c>
      <c r="I45" s="64">
        <v>5.65</v>
      </c>
      <c r="J45" s="64">
        <v>0.59</v>
      </c>
      <c r="K45" s="64">
        <v>196.44</v>
      </c>
      <c r="L45" s="64">
        <v>18.79</v>
      </c>
      <c r="M45" s="64">
        <v>97.88</v>
      </c>
      <c r="N45" s="64">
        <v>93.2</v>
      </c>
      <c r="O45" s="64">
        <v>0.2</v>
      </c>
      <c r="P45" s="64">
        <v>0.63</v>
      </c>
      <c r="Q45" s="64">
        <v>9.48</v>
      </c>
      <c r="R45" s="198"/>
      <c r="S45" s="198"/>
      <c r="T45" s="198"/>
      <c r="U45" s="198"/>
    </row>
    <row r="46" spans="1:21" s="12" customFormat="1" x14ac:dyDescent="0.25">
      <c r="A46" s="214" t="s">
        <v>1341</v>
      </c>
      <c r="B46" s="64">
        <v>22.09</v>
      </c>
      <c r="C46" s="64">
        <v>29.47</v>
      </c>
      <c r="D46" s="64">
        <v>33.03</v>
      </c>
      <c r="E46" s="64">
        <v>1.1599999999999999</v>
      </c>
      <c r="F46" s="64">
        <v>3.77</v>
      </c>
      <c r="G46" s="64">
        <v>58.41</v>
      </c>
      <c r="H46" s="64">
        <v>21.95</v>
      </c>
      <c r="I46" s="64">
        <v>5.61</v>
      </c>
      <c r="J46" s="64">
        <v>0.45</v>
      </c>
      <c r="K46" s="64">
        <v>197.1</v>
      </c>
      <c r="L46" s="64">
        <v>18.82</v>
      </c>
      <c r="M46" s="64">
        <v>97.9</v>
      </c>
      <c r="N46" s="64">
        <v>102.8</v>
      </c>
      <c r="O46" s="64">
        <v>0</v>
      </c>
      <c r="P46" s="64">
        <v>0.63</v>
      </c>
      <c r="Q46" s="64">
        <v>9.4700000000000006</v>
      </c>
      <c r="R46" s="198"/>
      <c r="S46" s="198"/>
      <c r="T46" s="198"/>
      <c r="U46" s="198"/>
    </row>
    <row r="47" spans="1:21" s="12" customFormat="1" x14ac:dyDescent="0.25">
      <c r="A47" s="214" t="s">
        <v>1342</v>
      </c>
      <c r="B47" s="64">
        <v>21.4</v>
      </c>
      <c r="C47" s="64">
        <v>29.69</v>
      </c>
      <c r="D47" s="64">
        <v>32.590000000000003</v>
      </c>
      <c r="E47" s="64">
        <v>0.87</v>
      </c>
      <c r="F47" s="64">
        <v>3.35</v>
      </c>
      <c r="G47" s="64">
        <v>58.41</v>
      </c>
      <c r="H47" s="64">
        <v>21.95</v>
      </c>
      <c r="I47" s="64">
        <v>5.62</v>
      </c>
      <c r="J47" s="64">
        <v>1.08</v>
      </c>
      <c r="K47" s="64">
        <v>167.3</v>
      </c>
      <c r="L47" s="64">
        <v>18.86</v>
      </c>
      <c r="M47" s="64">
        <v>97.9</v>
      </c>
      <c r="N47" s="64">
        <v>119.5</v>
      </c>
      <c r="O47" s="64">
        <v>0</v>
      </c>
      <c r="P47" s="64">
        <v>0.62</v>
      </c>
      <c r="Q47" s="64">
        <v>9.48</v>
      </c>
      <c r="R47" s="198"/>
      <c r="S47" s="198"/>
      <c r="T47" s="198"/>
      <c r="U47" s="198"/>
    </row>
    <row r="48" spans="1:21" s="12" customFormat="1" x14ac:dyDescent="0.25">
      <c r="A48" s="214" t="s">
        <v>1343</v>
      </c>
      <c r="B48" s="64">
        <v>20.98</v>
      </c>
      <c r="C48" s="64">
        <v>29.54</v>
      </c>
      <c r="D48" s="64">
        <v>32.18</v>
      </c>
      <c r="E48" s="64">
        <v>1.2</v>
      </c>
      <c r="F48" s="64">
        <v>3.24</v>
      </c>
      <c r="G48" s="64">
        <v>56.3</v>
      </c>
      <c r="H48" s="64">
        <v>21.88</v>
      </c>
      <c r="I48" s="64">
        <v>5.59</v>
      </c>
      <c r="J48" s="64">
        <v>0.16</v>
      </c>
      <c r="K48" s="64">
        <v>308.7</v>
      </c>
      <c r="L48" s="64">
        <v>19.23</v>
      </c>
      <c r="M48" s="64">
        <v>97.91</v>
      </c>
      <c r="N48" s="64">
        <v>126.8</v>
      </c>
      <c r="O48" s="64">
        <v>0.2</v>
      </c>
      <c r="P48" s="64">
        <v>0.61</v>
      </c>
      <c r="Q48" s="64">
        <v>9.3800000000000008</v>
      </c>
      <c r="R48" s="198"/>
      <c r="S48" s="198"/>
      <c r="T48" s="198"/>
      <c r="U48" s="198"/>
    </row>
    <row r="49" spans="1:21" s="12" customFormat="1" x14ac:dyDescent="0.25">
      <c r="A49" s="214" t="s">
        <v>1344</v>
      </c>
      <c r="B49" s="64">
        <v>21.23</v>
      </c>
      <c r="C49" s="64">
        <v>29.33</v>
      </c>
      <c r="D49" s="64">
        <v>32.270000000000003</v>
      </c>
      <c r="E49" s="64">
        <v>1.1499999999999999</v>
      </c>
      <c r="F49" s="64">
        <v>3.25</v>
      </c>
      <c r="G49" s="64">
        <v>20.420000000000002</v>
      </c>
      <c r="H49" s="64">
        <v>20.75</v>
      </c>
      <c r="I49" s="64">
        <v>5.55</v>
      </c>
      <c r="J49" s="64">
        <v>0.14000000000000001</v>
      </c>
      <c r="K49" s="64">
        <v>284.48</v>
      </c>
      <c r="L49" s="64">
        <v>19.59</v>
      </c>
      <c r="M49" s="64">
        <v>97.91</v>
      </c>
      <c r="N49" s="64">
        <v>155.69999999999999</v>
      </c>
      <c r="O49" s="64">
        <v>0</v>
      </c>
      <c r="P49" s="64">
        <v>0.63</v>
      </c>
      <c r="Q49" s="64">
        <v>9.5500000000000007</v>
      </c>
      <c r="R49" s="198"/>
      <c r="S49" s="198"/>
      <c r="T49" s="198"/>
      <c r="U49" s="198"/>
    </row>
    <row r="50" spans="1:21" s="12" customFormat="1" x14ac:dyDescent="0.25">
      <c r="A50" s="214" t="s">
        <v>1345</v>
      </c>
      <c r="B50" s="64">
        <v>20.91</v>
      </c>
      <c r="C50" s="64">
        <v>29.48</v>
      </c>
      <c r="D50" s="64">
        <v>32.090000000000003</v>
      </c>
      <c r="E50" s="64">
        <v>0.98</v>
      </c>
      <c r="F50" s="64">
        <v>2.85</v>
      </c>
      <c r="G50" s="64">
        <v>20.420000000000002</v>
      </c>
      <c r="H50" s="64">
        <v>20.75</v>
      </c>
      <c r="I50" s="64">
        <v>5.5</v>
      </c>
      <c r="J50" s="64">
        <v>0.18</v>
      </c>
      <c r="K50" s="64">
        <v>218.55</v>
      </c>
      <c r="L50" s="64">
        <v>19.66</v>
      </c>
      <c r="M50" s="64">
        <v>97.9</v>
      </c>
      <c r="N50" s="64">
        <v>216.2</v>
      </c>
      <c r="O50" s="64">
        <v>0</v>
      </c>
      <c r="P50" s="64">
        <v>0.63</v>
      </c>
      <c r="Q50" s="64">
        <v>9.4499999999999993</v>
      </c>
      <c r="R50" s="198"/>
      <c r="S50" s="198"/>
      <c r="T50" s="198"/>
      <c r="U50" s="198"/>
    </row>
    <row r="51" spans="1:21" s="12" customFormat="1" x14ac:dyDescent="0.25">
      <c r="A51" s="214" t="s">
        <v>1346</v>
      </c>
      <c r="B51" s="64">
        <v>20</v>
      </c>
      <c r="C51" s="64">
        <v>29.11</v>
      </c>
      <c r="D51" s="64">
        <v>31.17</v>
      </c>
      <c r="E51" s="64">
        <v>1.1599999999999999</v>
      </c>
      <c r="F51" s="64">
        <v>3.51</v>
      </c>
      <c r="G51" s="64">
        <v>20.420000000000002</v>
      </c>
      <c r="H51" s="64">
        <v>20.75</v>
      </c>
      <c r="I51" s="64">
        <v>5.5</v>
      </c>
      <c r="J51" s="64">
        <v>0.3</v>
      </c>
      <c r="K51" s="64">
        <v>199.87</v>
      </c>
      <c r="L51" s="64">
        <v>20.3</v>
      </c>
      <c r="M51" s="64">
        <v>97.87</v>
      </c>
      <c r="N51" s="64">
        <v>359.4</v>
      </c>
      <c r="O51" s="64">
        <v>0</v>
      </c>
      <c r="P51" s="64">
        <v>0.61</v>
      </c>
      <c r="Q51" s="64">
        <v>9.51</v>
      </c>
      <c r="R51" s="198"/>
      <c r="S51" s="198"/>
      <c r="T51" s="198"/>
      <c r="U51" s="198"/>
    </row>
    <row r="52" spans="1:21" s="12" customFormat="1" x14ac:dyDescent="0.25">
      <c r="A52" s="214" t="s">
        <v>1347</v>
      </c>
      <c r="B52" s="64">
        <v>18.739999999999998</v>
      </c>
      <c r="C52" s="64">
        <v>28.41</v>
      </c>
      <c r="D52" s="64">
        <v>29.79</v>
      </c>
      <c r="E52" s="64">
        <v>1.06</v>
      </c>
      <c r="F52" s="64">
        <v>3.45</v>
      </c>
      <c r="G52" s="64">
        <v>20.2</v>
      </c>
      <c r="H52" s="64">
        <v>20.51</v>
      </c>
      <c r="I52" s="64">
        <v>5.48</v>
      </c>
      <c r="J52" s="64">
        <v>0.06</v>
      </c>
      <c r="K52" s="64">
        <v>303.97000000000003</v>
      </c>
      <c r="L52" s="64">
        <v>21.35</v>
      </c>
      <c r="M52" s="64">
        <v>92.04</v>
      </c>
      <c r="N52" s="64">
        <v>462.1</v>
      </c>
      <c r="O52" s="64">
        <v>0</v>
      </c>
      <c r="P52" s="64">
        <v>0.62</v>
      </c>
      <c r="Q52" s="64">
        <v>9.5299999999999994</v>
      </c>
      <c r="R52" s="198"/>
      <c r="S52" s="198"/>
      <c r="T52" s="198"/>
      <c r="U52" s="198"/>
    </row>
    <row r="53" spans="1:21" s="12" customFormat="1" x14ac:dyDescent="0.25">
      <c r="A53" s="214" t="s">
        <v>1348</v>
      </c>
      <c r="B53" s="64">
        <v>17.29</v>
      </c>
      <c r="C53" s="64">
        <v>27.83</v>
      </c>
      <c r="D53" s="64">
        <v>28.33</v>
      </c>
      <c r="E53" s="64">
        <v>1.21</v>
      </c>
      <c r="F53" s="64">
        <v>3.16</v>
      </c>
      <c r="G53" s="64">
        <v>16.510000000000002</v>
      </c>
      <c r="H53" s="64">
        <v>16.399999999999999</v>
      </c>
      <c r="I53" s="64">
        <v>5.4</v>
      </c>
      <c r="J53" s="64">
        <v>0.2</v>
      </c>
      <c r="K53" s="64">
        <v>257.27999999999997</v>
      </c>
      <c r="L53" s="64">
        <v>22.25</v>
      </c>
      <c r="M53" s="64">
        <v>86.81</v>
      </c>
      <c r="N53" s="64">
        <v>328.9</v>
      </c>
      <c r="O53" s="64">
        <v>0</v>
      </c>
      <c r="P53" s="64">
        <v>0.62</v>
      </c>
      <c r="Q53" s="64">
        <v>9.5399999999999991</v>
      </c>
      <c r="R53" s="198"/>
      <c r="S53" s="198"/>
      <c r="T53" s="198"/>
      <c r="U53" s="198"/>
    </row>
    <row r="54" spans="1:21" s="12" customFormat="1" x14ac:dyDescent="0.25">
      <c r="A54" s="214" t="s">
        <v>1349</v>
      </c>
      <c r="B54" s="64">
        <v>15.28</v>
      </c>
      <c r="C54" s="64">
        <v>28.42</v>
      </c>
      <c r="D54" s="64">
        <v>27.02</v>
      </c>
      <c r="E54" s="64">
        <v>1.1000000000000001</v>
      </c>
      <c r="F54" s="64">
        <v>3.69</v>
      </c>
      <c r="G54" s="64">
        <v>16.510000000000002</v>
      </c>
      <c r="H54" s="64">
        <v>16.399999999999999</v>
      </c>
      <c r="I54" s="64">
        <v>5.32</v>
      </c>
      <c r="J54" s="64">
        <v>0.22</v>
      </c>
      <c r="K54" s="64">
        <v>228.95</v>
      </c>
      <c r="L54" s="64">
        <v>21.7</v>
      </c>
      <c r="M54" s="64">
        <v>85.79</v>
      </c>
      <c r="N54" s="64">
        <v>297.10000000000002</v>
      </c>
      <c r="O54" s="64">
        <v>0</v>
      </c>
      <c r="P54" s="64">
        <v>0.63</v>
      </c>
      <c r="Q54" s="64">
        <v>9.48</v>
      </c>
      <c r="R54" s="198"/>
      <c r="S54" s="198"/>
      <c r="T54" s="198"/>
      <c r="U54" s="198"/>
    </row>
    <row r="55" spans="1:21" s="12" customFormat="1" x14ac:dyDescent="0.25">
      <c r="A55" s="214" t="s">
        <v>1350</v>
      </c>
      <c r="B55" s="64">
        <v>13.45</v>
      </c>
      <c r="C55" s="64">
        <v>28.91</v>
      </c>
      <c r="D55" s="64">
        <v>25.81</v>
      </c>
      <c r="E55" s="64">
        <v>0.86</v>
      </c>
      <c r="F55" s="64">
        <v>3.2</v>
      </c>
      <c r="G55" s="64">
        <v>16.510000000000002</v>
      </c>
      <c r="H55" s="64">
        <v>16.399999999999999</v>
      </c>
      <c r="I55" s="64">
        <v>5.08</v>
      </c>
      <c r="J55" s="64">
        <v>0.1</v>
      </c>
      <c r="K55" s="64">
        <v>319.95</v>
      </c>
      <c r="L55" s="64">
        <v>23.17</v>
      </c>
      <c r="M55" s="64">
        <v>79.150000000000006</v>
      </c>
      <c r="N55" s="64">
        <v>480.6</v>
      </c>
      <c r="O55" s="64">
        <v>0</v>
      </c>
      <c r="P55" s="64">
        <v>0.63</v>
      </c>
      <c r="Q55" s="64">
        <v>9.42</v>
      </c>
      <c r="R55" s="198"/>
      <c r="S55" s="198"/>
      <c r="T55" s="198"/>
      <c r="U55" s="198"/>
    </row>
    <row r="56" spans="1:21" s="12" customFormat="1" x14ac:dyDescent="0.25">
      <c r="A56" s="214" t="s">
        <v>1351</v>
      </c>
      <c r="B56" s="64">
        <v>11.93</v>
      </c>
      <c r="C56" s="64">
        <v>29.12</v>
      </c>
      <c r="D56" s="64">
        <v>24.7</v>
      </c>
      <c r="E56" s="64">
        <v>1.46</v>
      </c>
      <c r="F56" s="64">
        <v>3.16</v>
      </c>
      <c r="G56" s="64">
        <v>17.649999999999999</v>
      </c>
      <c r="H56" s="64">
        <v>16.32</v>
      </c>
      <c r="I56" s="64">
        <v>4.67</v>
      </c>
      <c r="J56" s="64">
        <v>0.21</v>
      </c>
      <c r="K56" s="64">
        <v>216.49</v>
      </c>
      <c r="L56" s="64">
        <v>23.2</v>
      </c>
      <c r="M56" s="64">
        <v>77.11</v>
      </c>
      <c r="N56" s="64">
        <v>478.4</v>
      </c>
      <c r="O56" s="64">
        <v>0</v>
      </c>
      <c r="P56" s="64">
        <v>0.63</v>
      </c>
      <c r="Q56" s="64">
        <v>9.42</v>
      </c>
      <c r="R56" s="198"/>
      <c r="S56" s="198"/>
      <c r="T56" s="198"/>
      <c r="U56" s="198"/>
    </row>
    <row r="57" spans="1:21" s="12" customFormat="1" x14ac:dyDescent="0.25">
      <c r="A57" s="214" t="s">
        <v>1352</v>
      </c>
      <c r="B57" s="64">
        <v>9.57</v>
      </c>
      <c r="C57" s="64">
        <v>30.16</v>
      </c>
      <c r="D57" s="64">
        <v>23.35</v>
      </c>
      <c r="E57" s="64">
        <v>2.46</v>
      </c>
      <c r="F57" s="64">
        <v>4.1100000000000003</v>
      </c>
      <c r="G57" s="64">
        <v>33.630000000000003</v>
      </c>
      <c r="H57" s="64">
        <v>14.96</v>
      </c>
      <c r="I57" s="64">
        <v>4.59</v>
      </c>
      <c r="J57" s="64">
        <v>0.34</v>
      </c>
      <c r="K57" s="64">
        <v>221.23</v>
      </c>
      <c r="L57" s="64">
        <v>23.04</v>
      </c>
      <c r="M57" s="64">
        <v>74.84</v>
      </c>
      <c r="N57" s="64">
        <v>435.8</v>
      </c>
      <c r="O57" s="64">
        <v>0</v>
      </c>
      <c r="P57" s="64">
        <v>0.61</v>
      </c>
      <c r="Q57" s="64">
        <v>9.31</v>
      </c>
      <c r="R57" s="198"/>
      <c r="S57" s="198"/>
      <c r="T57" s="198"/>
      <c r="U57" s="198"/>
    </row>
    <row r="58" spans="1:21" s="12" customFormat="1" x14ac:dyDescent="0.25">
      <c r="A58" s="214" t="s">
        <v>1353</v>
      </c>
      <c r="B58" s="64">
        <v>7.06</v>
      </c>
      <c r="C58" s="64">
        <v>30.8</v>
      </c>
      <c r="D58" s="64">
        <v>21.67</v>
      </c>
      <c r="E58" s="64">
        <v>2.12</v>
      </c>
      <c r="F58" s="64">
        <v>3.96</v>
      </c>
      <c r="G58" s="64">
        <v>33.630000000000003</v>
      </c>
      <c r="H58" s="64">
        <v>14.96</v>
      </c>
      <c r="I58" s="64">
        <v>4.63</v>
      </c>
      <c r="J58" s="64">
        <v>7.0000000000000007E-2</v>
      </c>
      <c r="K58" s="64">
        <v>350.87</v>
      </c>
      <c r="L58" s="64">
        <v>23.3</v>
      </c>
      <c r="M58" s="64">
        <v>73.349999999999994</v>
      </c>
      <c r="N58" s="64">
        <v>317.60000000000002</v>
      </c>
      <c r="O58" s="64">
        <v>0</v>
      </c>
      <c r="P58" s="64">
        <v>0.59</v>
      </c>
      <c r="Q58" s="64">
        <v>9.39</v>
      </c>
      <c r="R58" s="198"/>
      <c r="S58" s="198"/>
      <c r="T58" s="198"/>
      <c r="U58" s="198"/>
    </row>
    <row r="59" spans="1:21" s="12" customFormat="1" x14ac:dyDescent="0.25">
      <c r="A59" s="214" t="s">
        <v>1354</v>
      </c>
      <c r="B59" s="64">
        <v>4.8600000000000003</v>
      </c>
      <c r="C59" s="64">
        <v>31.11</v>
      </c>
      <c r="D59" s="64">
        <v>20.07</v>
      </c>
      <c r="E59" s="64">
        <v>2.02</v>
      </c>
      <c r="F59" s="64">
        <v>4.0199999999999996</v>
      </c>
      <c r="G59" s="64">
        <v>33.630000000000003</v>
      </c>
      <c r="H59" s="64">
        <v>14.96</v>
      </c>
      <c r="I59" s="64">
        <v>4.5599999999999996</v>
      </c>
      <c r="J59" s="64">
        <v>0.12</v>
      </c>
      <c r="K59" s="64">
        <v>256.7</v>
      </c>
      <c r="L59" s="64">
        <v>23.32</v>
      </c>
      <c r="M59" s="64">
        <v>73.69</v>
      </c>
      <c r="N59" s="64">
        <v>441.4</v>
      </c>
      <c r="O59" s="64">
        <v>0</v>
      </c>
      <c r="P59" s="64">
        <v>0.57999999999999996</v>
      </c>
      <c r="Q59" s="64">
        <v>9.32</v>
      </c>
      <c r="R59" s="198"/>
      <c r="S59" s="198"/>
      <c r="T59" s="198"/>
      <c r="U59" s="198"/>
    </row>
    <row r="60" spans="1:21" s="12" customFormat="1" x14ac:dyDescent="0.25">
      <c r="A60" s="214" t="s">
        <v>1355</v>
      </c>
      <c r="B60" s="64">
        <v>3.55</v>
      </c>
      <c r="C60" s="64">
        <v>30.91</v>
      </c>
      <c r="D60" s="64">
        <v>18.920000000000002</v>
      </c>
      <c r="E60" s="64">
        <v>2.34</v>
      </c>
      <c r="F60" s="64">
        <v>3.54</v>
      </c>
      <c r="G60" s="64">
        <v>33.22</v>
      </c>
      <c r="H60" s="64">
        <v>14.71</v>
      </c>
      <c r="I60" s="64">
        <v>4.33</v>
      </c>
      <c r="J60" s="64">
        <v>0.11</v>
      </c>
      <c r="K60" s="64">
        <v>325.33999999999997</v>
      </c>
      <c r="L60" s="64">
        <v>24.38</v>
      </c>
      <c r="M60" s="64">
        <v>66.02</v>
      </c>
      <c r="N60" s="64">
        <v>453.5</v>
      </c>
      <c r="O60" s="64">
        <v>0</v>
      </c>
      <c r="P60" s="64">
        <v>0.56999999999999995</v>
      </c>
      <c r="Q60" s="64">
        <v>9.23</v>
      </c>
      <c r="R60" s="198"/>
      <c r="S60" s="198"/>
      <c r="T60" s="198"/>
      <c r="U60" s="198"/>
    </row>
    <row r="61" spans="1:21" s="12" customFormat="1" x14ac:dyDescent="0.25">
      <c r="A61" s="214" t="s">
        <v>1356</v>
      </c>
      <c r="B61" s="64">
        <v>2.46</v>
      </c>
      <c r="C61" s="64">
        <v>30.84</v>
      </c>
      <c r="D61" s="64">
        <v>18.010000000000002</v>
      </c>
      <c r="E61" s="64">
        <v>2.38</v>
      </c>
      <c r="F61" s="64">
        <v>4.13</v>
      </c>
      <c r="G61" s="64">
        <v>27.38</v>
      </c>
      <c r="H61" s="64">
        <v>11.14</v>
      </c>
      <c r="I61" s="64">
        <v>4.13</v>
      </c>
      <c r="J61" s="64">
        <v>0.1</v>
      </c>
      <c r="K61" s="64">
        <v>290.76</v>
      </c>
      <c r="L61" s="64">
        <v>24.48</v>
      </c>
      <c r="M61" s="64">
        <v>65.8</v>
      </c>
      <c r="N61" s="64">
        <v>302.7</v>
      </c>
      <c r="O61" s="64">
        <v>0</v>
      </c>
      <c r="P61" s="64">
        <v>0.53</v>
      </c>
      <c r="Q61" s="64">
        <v>9.23</v>
      </c>
      <c r="R61" s="198"/>
      <c r="S61" s="198"/>
      <c r="T61" s="198"/>
      <c r="U61" s="198"/>
    </row>
    <row r="62" spans="1:21" s="12" customFormat="1" x14ac:dyDescent="0.25">
      <c r="A62" s="214" t="s">
        <v>1357</v>
      </c>
      <c r="B62" s="64">
        <v>1.85</v>
      </c>
      <c r="C62" s="64">
        <v>30.84</v>
      </c>
      <c r="D62" s="64">
        <v>17.510000000000002</v>
      </c>
      <c r="E62" s="64">
        <v>2.13</v>
      </c>
      <c r="F62" s="64">
        <v>4.04</v>
      </c>
      <c r="G62" s="64">
        <v>27.38</v>
      </c>
      <c r="H62" s="64">
        <v>11.14</v>
      </c>
      <c r="I62" s="64">
        <v>3.96</v>
      </c>
      <c r="J62" s="64">
        <v>0.31</v>
      </c>
      <c r="K62" s="64">
        <v>311.89</v>
      </c>
      <c r="L62" s="64">
        <v>25.78</v>
      </c>
      <c r="M62" s="64">
        <v>62.23</v>
      </c>
      <c r="N62" s="64">
        <v>317.2</v>
      </c>
      <c r="O62" s="64">
        <v>0</v>
      </c>
      <c r="P62" s="64">
        <v>0.56999999999999995</v>
      </c>
      <c r="Q62" s="64">
        <v>9.27</v>
      </c>
      <c r="R62" s="198"/>
      <c r="S62" s="198"/>
      <c r="T62" s="198"/>
      <c r="U62" s="198"/>
    </row>
    <row r="63" spans="1:21" s="12" customFormat="1" x14ac:dyDescent="0.25">
      <c r="A63" s="214" t="s">
        <v>1358</v>
      </c>
      <c r="B63" s="64">
        <v>2.04</v>
      </c>
      <c r="C63" s="64">
        <v>30.97</v>
      </c>
      <c r="D63" s="64">
        <v>17.739999999999998</v>
      </c>
      <c r="E63" s="64">
        <v>2</v>
      </c>
      <c r="F63" s="64">
        <v>3.59</v>
      </c>
      <c r="G63" s="64">
        <v>27.38</v>
      </c>
      <c r="H63" s="64">
        <v>11.14</v>
      </c>
      <c r="I63" s="64">
        <v>3.84</v>
      </c>
      <c r="J63" s="64">
        <v>0.21</v>
      </c>
      <c r="K63" s="64">
        <v>301</v>
      </c>
      <c r="L63" s="64">
        <v>26.23</v>
      </c>
      <c r="M63" s="64">
        <v>60.44</v>
      </c>
      <c r="N63" s="64">
        <v>258.7</v>
      </c>
      <c r="O63" s="64">
        <v>0</v>
      </c>
      <c r="P63" s="64">
        <v>0.56000000000000005</v>
      </c>
      <c r="Q63" s="64">
        <v>9.24</v>
      </c>
      <c r="R63" s="198"/>
      <c r="S63" s="198"/>
      <c r="T63" s="198"/>
      <c r="U63" s="198"/>
    </row>
    <row r="64" spans="1:21" s="12" customFormat="1" x14ac:dyDescent="0.25">
      <c r="A64" s="214" t="s">
        <v>1359</v>
      </c>
      <c r="B64" s="64">
        <v>2.25</v>
      </c>
      <c r="C64" s="64">
        <v>30.87</v>
      </c>
      <c r="D64" s="64">
        <v>17.86</v>
      </c>
      <c r="E64" s="64">
        <v>1.92</v>
      </c>
      <c r="F64" s="64">
        <v>4.07</v>
      </c>
      <c r="G64" s="64">
        <v>27.92</v>
      </c>
      <c r="H64" s="64">
        <v>11.3</v>
      </c>
      <c r="I64" s="64">
        <v>3.8</v>
      </c>
      <c r="J64" s="64">
        <v>0.3</v>
      </c>
      <c r="K64" s="64">
        <v>217.86</v>
      </c>
      <c r="L64" s="64">
        <v>24.97</v>
      </c>
      <c r="M64" s="64">
        <v>60.96</v>
      </c>
      <c r="N64" s="64">
        <v>248.1</v>
      </c>
      <c r="O64" s="64">
        <v>0</v>
      </c>
      <c r="P64" s="64">
        <v>0.56000000000000005</v>
      </c>
      <c r="Q64" s="64">
        <v>9.25</v>
      </c>
      <c r="R64" s="198"/>
      <c r="S64" s="198"/>
      <c r="T64" s="198"/>
      <c r="U64" s="198"/>
    </row>
    <row r="65" spans="1:21" s="12" customFormat="1" x14ac:dyDescent="0.25">
      <c r="A65" s="214" t="s">
        <v>1360</v>
      </c>
      <c r="B65" s="64">
        <v>1.95</v>
      </c>
      <c r="C65" s="64">
        <v>31.15</v>
      </c>
      <c r="D65" s="64">
        <v>17.760000000000002</v>
      </c>
      <c r="E65" s="64">
        <v>1.84</v>
      </c>
      <c r="F65" s="64">
        <v>4.16</v>
      </c>
      <c r="G65" s="64">
        <v>35.5</v>
      </c>
      <c r="H65" s="64">
        <v>13.52</v>
      </c>
      <c r="I65" s="64">
        <v>3.86</v>
      </c>
      <c r="J65" s="64">
        <v>0.43</v>
      </c>
      <c r="K65" s="64">
        <v>187.1</v>
      </c>
      <c r="L65" s="64">
        <v>24.6</v>
      </c>
      <c r="M65" s="64">
        <v>61.75</v>
      </c>
      <c r="N65" s="64">
        <v>313.39999999999998</v>
      </c>
      <c r="O65" s="64">
        <v>0</v>
      </c>
      <c r="P65" s="64">
        <v>0.55000000000000004</v>
      </c>
      <c r="Q65" s="64">
        <v>9.25</v>
      </c>
      <c r="R65" s="198"/>
      <c r="S65" s="198"/>
      <c r="T65" s="198"/>
      <c r="U65" s="198"/>
    </row>
    <row r="66" spans="1:21" s="12" customFormat="1" x14ac:dyDescent="0.25">
      <c r="A66" s="214" t="s">
        <v>1361</v>
      </c>
      <c r="B66" s="64">
        <v>1.73</v>
      </c>
      <c r="C66" s="64">
        <v>30.56</v>
      </c>
      <c r="D66" s="64">
        <v>17.28</v>
      </c>
      <c r="E66" s="64">
        <v>2.1800000000000002</v>
      </c>
      <c r="F66" s="64">
        <v>4.22</v>
      </c>
      <c r="G66" s="64">
        <v>35.5</v>
      </c>
      <c r="H66" s="64">
        <v>13.52</v>
      </c>
      <c r="I66" s="64">
        <v>3.94</v>
      </c>
      <c r="J66" s="64">
        <v>0.83</v>
      </c>
      <c r="K66" s="64">
        <v>162.57</v>
      </c>
      <c r="L66" s="64">
        <v>25.39</v>
      </c>
      <c r="M66" s="64">
        <v>57.41</v>
      </c>
      <c r="N66" s="64">
        <v>698.3</v>
      </c>
      <c r="O66" s="64">
        <v>0</v>
      </c>
      <c r="P66" s="64">
        <v>0.54</v>
      </c>
      <c r="Q66" s="64">
        <v>9.17</v>
      </c>
      <c r="R66" s="198"/>
      <c r="S66" s="198"/>
      <c r="T66" s="198"/>
      <c r="U66" s="198"/>
    </row>
    <row r="67" spans="1:21" s="12" customFormat="1" x14ac:dyDescent="0.25">
      <c r="A67" s="214" t="s">
        <v>1362</v>
      </c>
      <c r="B67" s="64">
        <v>1.65</v>
      </c>
      <c r="C67" s="64">
        <v>29.93</v>
      </c>
      <c r="D67" s="64">
        <v>16.88</v>
      </c>
      <c r="E67" s="64">
        <v>1.77</v>
      </c>
      <c r="F67" s="64">
        <v>4.16</v>
      </c>
      <c r="G67" s="64">
        <v>35.5</v>
      </c>
      <c r="H67" s="64">
        <v>13.52</v>
      </c>
      <c r="I67" s="64">
        <v>4.12</v>
      </c>
      <c r="J67" s="64">
        <v>0.15</v>
      </c>
      <c r="K67" s="64">
        <v>156.53</v>
      </c>
      <c r="L67" s="64">
        <v>26.18</v>
      </c>
      <c r="M67" s="64">
        <v>56.9</v>
      </c>
      <c r="N67" s="64">
        <v>544.9</v>
      </c>
      <c r="O67" s="64">
        <v>0</v>
      </c>
      <c r="P67" s="64">
        <v>0.54</v>
      </c>
      <c r="Q67" s="64">
        <v>9.24</v>
      </c>
      <c r="R67" s="198"/>
      <c r="S67" s="198"/>
      <c r="T67" s="198"/>
      <c r="U67" s="198"/>
    </row>
    <row r="68" spans="1:21" s="12" customFormat="1" x14ac:dyDescent="0.25">
      <c r="A68" s="214" t="s">
        <v>1363</v>
      </c>
      <c r="B68" s="64">
        <v>1.74</v>
      </c>
      <c r="C68" s="64">
        <v>29.49</v>
      </c>
      <c r="D68" s="64">
        <v>16.72</v>
      </c>
      <c r="E68" s="64">
        <v>2.16</v>
      </c>
      <c r="F68" s="64">
        <v>3.69</v>
      </c>
      <c r="G68" s="64">
        <v>35</v>
      </c>
      <c r="H68" s="64">
        <v>13.65</v>
      </c>
      <c r="I68" s="64">
        <v>4.5199999999999996</v>
      </c>
      <c r="J68" s="64">
        <v>0.39</v>
      </c>
      <c r="K68" s="64">
        <v>164.53</v>
      </c>
      <c r="L68" s="64">
        <v>26.6</v>
      </c>
      <c r="M68" s="64">
        <v>56.92</v>
      </c>
      <c r="N68" s="64">
        <v>535.6</v>
      </c>
      <c r="O68" s="64">
        <v>0</v>
      </c>
      <c r="P68" s="64">
        <v>0.53</v>
      </c>
      <c r="Q68" s="64">
        <v>9.24</v>
      </c>
      <c r="R68" s="198"/>
      <c r="S68" s="198"/>
      <c r="T68" s="198"/>
      <c r="U68" s="198"/>
    </row>
    <row r="69" spans="1:21" s="12" customFormat="1" x14ac:dyDescent="0.25">
      <c r="A69" s="214" t="s">
        <v>1364</v>
      </c>
      <c r="B69" s="64">
        <v>1.81</v>
      </c>
      <c r="C69" s="64">
        <v>29.15</v>
      </c>
      <c r="D69" s="64">
        <v>16.600000000000001</v>
      </c>
      <c r="E69" s="64">
        <v>1.91</v>
      </c>
      <c r="F69" s="64">
        <v>3.97</v>
      </c>
      <c r="G69" s="64">
        <v>28.02</v>
      </c>
      <c r="H69" s="64">
        <v>15.74</v>
      </c>
      <c r="I69" s="64">
        <v>4.79</v>
      </c>
      <c r="J69" s="64">
        <v>0.51</v>
      </c>
      <c r="K69" s="64">
        <v>173.47</v>
      </c>
      <c r="L69" s="64">
        <v>26.26</v>
      </c>
      <c r="M69" s="64">
        <v>55.22</v>
      </c>
      <c r="N69" s="64">
        <v>321.89999999999998</v>
      </c>
      <c r="O69" s="64">
        <v>0</v>
      </c>
      <c r="P69" s="64">
        <v>0.53</v>
      </c>
      <c r="Q69" s="64">
        <v>9.23</v>
      </c>
      <c r="R69" s="198"/>
      <c r="S69" s="198"/>
      <c r="T69" s="198"/>
      <c r="U69" s="198"/>
    </row>
    <row r="70" spans="1:21" s="12" customFormat="1" x14ac:dyDescent="0.25">
      <c r="A70" s="214" t="s">
        <v>1365</v>
      </c>
      <c r="B70" s="64">
        <v>1.65</v>
      </c>
      <c r="C70" s="64">
        <v>28</v>
      </c>
      <c r="D70" s="64">
        <v>15.87</v>
      </c>
      <c r="E70" s="64">
        <v>2.16</v>
      </c>
      <c r="F70" s="64">
        <v>4.21</v>
      </c>
      <c r="G70" s="64">
        <v>28.02</v>
      </c>
      <c r="H70" s="64">
        <v>15.74</v>
      </c>
      <c r="I70" s="64">
        <v>5.09</v>
      </c>
      <c r="J70" s="64">
        <v>0.26</v>
      </c>
      <c r="K70" s="64">
        <v>148.85</v>
      </c>
      <c r="L70" s="64">
        <v>25.94</v>
      </c>
      <c r="M70" s="64">
        <v>53.9</v>
      </c>
      <c r="N70" s="64">
        <v>287.5</v>
      </c>
      <c r="O70" s="64">
        <v>0</v>
      </c>
      <c r="P70" s="64">
        <v>0.52</v>
      </c>
      <c r="Q70" s="64">
        <v>9.25</v>
      </c>
      <c r="R70" s="198"/>
      <c r="S70" s="198"/>
      <c r="T70" s="198"/>
      <c r="U70" s="198"/>
    </row>
    <row r="71" spans="1:21" s="12" customFormat="1" x14ac:dyDescent="0.25">
      <c r="A71" s="214" t="s">
        <v>1366</v>
      </c>
      <c r="B71" s="64">
        <v>1.29</v>
      </c>
      <c r="C71" s="64">
        <v>27.5</v>
      </c>
      <c r="D71" s="64">
        <v>15.32</v>
      </c>
      <c r="E71" s="64">
        <v>2.2599999999999998</v>
      </c>
      <c r="F71" s="64">
        <v>3.71</v>
      </c>
      <c r="G71" s="64">
        <v>28.02</v>
      </c>
      <c r="H71" s="64">
        <v>15.74</v>
      </c>
      <c r="I71" s="64">
        <v>5.3</v>
      </c>
      <c r="J71" s="64">
        <v>0.17</v>
      </c>
      <c r="K71" s="64">
        <v>149.57</v>
      </c>
      <c r="L71" s="64">
        <v>26.14</v>
      </c>
      <c r="M71" s="64">
        <v>54.72</v>
      </c>
      <c r="N71" s="64">
        <v>260.39999999999998</v>
      </c>
      <c r="O71" s="64">
        <v>0</v>
      </c>
      <c r="P71" s="64">
        <v>0.51</v>
      </c>
      <c r="Q71" s="64">
        <v>9.27</v>
      </c>
      <c r="R71" s="198"/>
      <c r="S71" s="198"/>
      <c r="T71" s="198"/>
      <c r="U71" s="198"/>
    </row>
    <row r="72" spans="1:21" s="12" customFormat="1" x14ac:dyDescent="0.25">
      <c r="A72" s="214" t="s">
        <v>1367</v>
      </c>
      <c r="B72" s="64">
        <v>1.01</v>
      </c>
      <c r="C72" s="64">
        <v>27.03</v>
      </c>
      <c r="D72" s="64">
        <v>14.85</v>
      </c>
      <c r="E72" s="64">
        <v>0.57999999999999996</v>
      </c>
      <c r="F72" s="64">
        <v>4.1399999999999997</v>
      </c>
      <c r="G72" s="64">
        <v>28.61</v>
      </c>
      <c r="H72" s="64">
        <v>15.44</v>
      </c>
      <c r="I72" s="64">
        <v>5.36</v>
      </c>
      <c r="J72" s="64">
        <v>0.57999999999999996</v>
      </c>
      <c r="K72" s="64">
        <v>167.39</v>
      </c>
      <c r="L72" s="64">
        <v>25.36</v>
      </c>
      <c r="M72" s="64">
        <v>57.63</v>
      </c>
      <c r="N72" s="64">
        <v>160.69999999999999</v>
      </c>
      <c r="O72" s="64">
        <v>0</v>
      </c>
      <c r="P72" s="64">
        <v>0.51</v>
      </c>
      <c r="Q72" s="64">
        <v>9.25</v>
      </c>
      <c r="R72" s="198"/>
      <c r="S72" s="198"/>
      <c r="T72" s="198"/>
      <c r="U72" s="198"/>
    </row>
    <row r="73" spans="1:21" s="12" customFormat="1" x14ac:dyDescent="0.25">
      <c r="A73" s="214" t="s">
        <v>1368</v>
      </c>
      <c r="B73" s="64">
        <v>0.65</v>
      </c>
      <c r="C73" s="64">
        <v>26.47</v>
      </c>
      <c r="D73" s="64">
        <v>14.27</v>
      </c>
      <c r="E73" s="64">
        <v>1.19</v>
      </c>
      <c r="F73" s="64">
        <v>3.73</v>
      </c>
      <c r="G73" s="64">
        <v>36.99</v>
      </c>
      <c r="H73" s="64">
        <v>11.22</v>
      </c>
      <c r="I73" s="64">
        <v>5.28</v>
      </c>
      <c r="J73" s="64">
        <v>0.16</v>
      </c>
      <c r="K73" s="64">
        <v>144.13999999999999</v>
      </c>
      <c r="L73" s="64">
        <v>25.35</v>
      </c>
      <c r="M73" s="64">
        <v>57.53</v>
      </c>
      <c r="N73" s="64">
        <v>163.1</v>
      </c>
      <c r="O73" s="64">
        <v>0</v>
      </c>
      <c r="P73" s="64">
        <v>0.5</v>
      </c>
      <c r="Q73" s="64">
        <v>9.1999999999999993</v>
      </c>
      <c r="R73" s="198"/>
      <c r="S73" s="198"/>
      <c r="T73" s="198"/>
      <c r="U73" s="198"/>
    </row>
    <row r="74" spans="1:21" s="12" customFormat="1" x14ac:dyDescent="0.25">
      <c r="A74" s="214" t="s">
        <v>1369</v>
      </c>
      <c r="B74" s="64">
        <v>0.34</v>
      </c>
      <c r="C74" s="64">
        <v>26.18</v>
      </c>
      <c r="D74" s="64">
        <v>13.87</v>
      </c>
      <c r="E74" s="64">
        <v>1.23</v>
      </c>
      <c r="F74" s="64">
        <v>4.1100000000000003</v>
      </c>
      <c r="G74" s="64">
        <v>36.99</v>
      </c>
      <c r="H74" s="64">
        <v>11.22</v>
      </c>
      <c r="I74" s="64">
        <v>5.19</v>
      </c>
      <c r="J74" s="64">
        <v>0.52</v>
      </c>
      <c r="K74" s="64">
        <v>107.47</v>
      </c>
      <c r="L74" s="64">
        <v>25.52</v>
      </c>
      <c r="M74" s="64">
        <v>57.63</v>
      </c>
      <c r="N74" s="64">
        <v>228.9</v>
      </c>
      <c r="O74" s="64">
        <v>0</v>
      </c>
      <c r="P74" s="64">
        <v>0.5</v>
      </c>
      <c r="Q74" s="64">
        <v>9.2200000000000006</v>
      </c>
      <c r="R74" s="198"/>
      <c r="S74" s="198"/>
      <c r="T74" s="198"/>
      <c r="U74" s="198"/>
    </row>
    <row r="75" spans="1:21" s="12" customFormat="1" x14ac:dyDescent="0.25">
      <c r="A75" s="214" t="s">
        <v>1370</v>
      </c>
      <c r="B75" s="64">
        <v>0.18</v>
      </c>
      <c r="C75" s="64">
        <v>25.88</v>
      </c>
      <c r="D75" s="64">
        <v>13.59</v>
      </c>
      <c r="E75" s="64">
        <v>0.88</v>
      </c>
      <c r="F75" s="64">
        <v>4.05</v>
      </c>
      <c r="G75" s="64">
        <v>36.99</v>
      </c>
      <c r="H75" s="64">
        <v>11.22</v>
      </c>
      <c r="I75" s="64">
        <v>5.15</v>
      </c>
      <c r="J75" s="64">
        <v>0.53</v>
      </c>
      <c r="K75" s="64">
        <v>136.04</v>
      </c>
      <c r="L75" s="64">
        <v>25.52</v>
      </c>
      <c r="M75" s="64">
        <v>56.61</v>
      </c>
      <c r="N75" s="64">
        <v>122.7</v>
      </c>
      <c r="O75" s="64">
        <v>0</v>
      </c>
      <c r="P75" s="64">
        <v>0.49</v>
      </c>
      <c r="Q75" s="64">
        <v>9.26</v>
      </c>
      <c r="R75" s="198"/>
      <c r="S75" s="198"/>
      <c r="T75" s="198"/>
      <c r="U75" s="198"/>
    </row>
    <row r="76" spans="1:21" s="12" customFormat="1" x14ac:dyDescent="0.25">
      <c r="A76" s="214" t="s">
        <v>1371</v>
      </c>
      <c r="B76" s="64">
        <v>0.1</v>
      </c>
      <c r="C76" s="64">
        <v>25.46</v>
      </c>
      <c r="D76" s="64">
        <v>13.3</v>
      </c>
      <c r="E76" s="64">
        <v>1.07</v>
      </c>
      <c r="F76" s="64">
        <v>4.08</v>
      </c>
      <c r="G76" s="64">
        <v>35.86</v>
      </c>
      <c r="H76" s="64">
        <v>11.38</v>
      </c>
      <c r="I76" s="64">
        <v>5.18</v>
      </c>
      <c r="J76" s="64">
        <v>0.68</v>
      </c>
      <c r="K76" s="64">
        <v>154.38</v>
      </c>
      <c r="L76" s="64">
        <v>25.46</v>
      </c>
      <c r="M76" s="64">
        <v>55.46</v>
      </c>
      <c r="N76" s="64">
        <v>100.6</v>
      </c>
      <c r="O76" s="64">
        <v>0</v>
      </c>
      <c r="P76" s="64">
        <v>0.49</v>
      </c>
      <c r="Q76" s="64">
        <v>9.19</v>
      </c>
      <c r="R76" s="198"/>
      <c r="S76" s="198"/>
      <c r="T76" s="198"/>
      <c r="U76" s="198"/>
    </row>
    <row r="77" spans="1:21" s="12" customFormat="1" x14ac:dyDescent="0.25">
      <c r="A77" s="214" t="s">
        <v>1372</v>
      </c>
      <c r="B77" s="64">
        <v>0.1</v>
      </c>
      <c r="C77" s="64">
        <v>25.27</v>
      </c>
      <c r="D77" s="64">
        <v>13.2</v>
      </c>
      <c r="E77" s="64">
        <v>1.36</v>
      </c>
      <c r="F77" s="64">
        <v>4.17</v>
      </c>
      <c r="G77" s="64">
        <v>20.11</v>
      </c>
      <c r="H77" s="64">
        <v>14.1</v>
      </c>
      <c r="I77" s="64">
        <v>5.29</v>
      </c>
      <c r="J77" s="64">
        <v>1.02</v>
      </c>
      <c r="K77" s="64">
        <v>158.68</v>
      </c>
      <c r="L77" s="64">
        <v>25.17</v>
      </c>
      <c r="M77" s="64">
        <v>56.9</v>
      </c>
      <c r="N77" s="64">
        <v>97.5</v>
      </c>
      <c r="O77" s="64">
        <v>0</v>
      </c>
      <c r="P77" s="64">
        <v>0.48</v>
      </c>
      <c r="Q77" s="64">
        <v>9.2100000000000009</v>
      </c>
      <c r="R77" s="198"/>
      <c r="S77" s="198"/>
      <c r="T77" s="198"/>
      <c r="U77" s="198"/>
    </row>
    <row r="78" spans="1:21" s="12" customFormat="1" x14ac:dyDescent="0.25">
      <c r="A78" s="214" t="s">
        <v>1373</v>
      </c>
      <c r="B78" s="64">
        <v>0.1</v>
      </c>
      <c r="C78" s="64">
        <v>25.1</v>
      </c>
      <c r="D78" s="64">
        <v>13.12</v>
      </c>
      <c r="E78" s="64">
        <v>1.19</v>
      </c>
      <c r="F78" s="64">
        <v>4.1900000000000004</v>
      </c>
      <c r="G78" s="64">
        <v>20.11</v>
      </c>
      <c r="H78" s="64">
        <v>14.1</v>
      </c>
      <c r="I78" s="64">
        <v>5.25</v>
      </c>
      <c r="J78" s="64">
        <v>1.06</v>
      </c>
      <c r="K78" s="64">
        <v>156.54</v>
      </c>
      <c r="L78" s="64">
        <v>24.95</v>
      </c>
      <c r="M78" s="64">
        <v>59.94</v>
      </c>
      <c r="N78" s="64">
        <v>60.7</v>
      </c>
      <c r="O78" s="64">
        <v>0</v>
      </c>
      <c r="P78" s="64">
        <v>0.47</v>
      </c>
      <c r="Q78" s="64">
        <v>9.17</v>
      </c>
      <c r="R78" s="198"/>
      <c r="S78" s="198"/>
      <c r="T78" s="198"/>
      <c r="U78" s="198"/>
    </row>
    <row r="79" spans="1:21" s="12" customFormat="1" x14ac:dyDescent="0.25">
      <c r="A79" s="214" t="s">
        <v>1374</v>
      </c>
      <c r="B79" s="64">
        <v>0.1</v>
      </c>
      <c r="C79" s="64">
        <v>25.52</v>
      </c>
      <c r="D79" s="64">
        <v>13.33</v>
      </c>
      <c r="E79" s="64">
        <v>1.1200000000000001</v>
      </c>
      <c r="F79" s="64">
        <v>4.1399999999999997</v>
      </c>
      <c r="G79" s="64">
        <v>20.11</v>
      </c>
      <c r="H79" s="64">
        <v>14.1</v>
      </c>
      <c r="I79" s="64">
        <v>5.17</v>
      </c>
      <c r="J79" s="64">
        <v>0.96</v>
      </c>
      <c r="K79" s="64">
        <v>161.15</v>
      </c>
      <c r="L79" s="64">
        <v>24.7</v>
      </c>
      <c r="M79" s="64">
        <v>60.42</v>
      </c>
      <c r="N79" s="64">
        <v>47</v>
      </c>
      <c r="O79" s="64">
        <v>0</v>
      </c>
      <c r="P79" s="64">
        <v>0.47</v>
      </c>
      <c r="Q79" s="64">
        <v>9.1999999999999993</v>
      </c>
      <c r="R79" s="198"/>
      <c r="S79" s="198"/>
      <c r="T79" s="198"/>
      <c r="U79" s="198"/>
    </row>
    <row r="80" spans="1:21" s="12" customFormat="1" x14ac:dyDescent="0.25">
      <c r="A80" s="214" t="s">
        <v>1375</v>
      </c>
      <c r="B80" s="64">
        <v>0.1</v>
      </c>
      <c r="C80" s="64">
        <v>25.98</v>
      </c>
      <c r="D80" s="64">
        <v>13.58</v>
      </c>
      <c r="E80" s="64">
        <v>1.28</v>
      </c>
      <c r="F80" s="64">
        <v>4</v>
      </c>
      <c r="G80" s="64">
        <v>21.12</v>
      </c>
      <c r="H80" s="64">
        <v>14.11</v>
      </c>
      <c r="I80" s="64">
        <v>5.05</v>
      </c>
      <c r="J80" s="64">
        <v>0.74</v>
      </c>
      <c r="K80" s="64">
        <v>156.11000000000001</v>
      </c>
      <c r="L80" s="64">
        <v>24.36</v>
      </c>
      <c r="M80" s="64">
        <v>62.13</v>
      </c>
      <c r="N80" s="64">
        <v>33.5</v>
      </c>
      <c r="O80" s="64">
        <v>0</v>
      </c>
      <c r="P80" s="64">
        <v>0.47</v>
      </c>
      <c r="Q80" s="64">
        <v>9.27</v>
      </c>
      <c r="R80" s="198"/>
      <c r="S80" s="198"/>
      <c r="T80" s="198"/>
      <c r="U80" s="198"/>
    </row>
    <row r="81" spans="1:26" s="12" customFormat="1" x14ac:dyDescent="0.25">
      <c r="A81" s="214" t="s">
        <v>1376</v>
      </c>
      <c r="B81" s="64">
        <v>0.1</v>
      </c>
      <c r="C81" s="64">
        <v>27.93</v>
      </c>
      <c r="D81" s="64">
        <v>14.59</v>
      </c>
      <c r="E81" s="64">
        <v>1.32</v>
      </c>
      <c r="F81" s="64">
        <v>3.39</v>
      </c>
      <c r="G81" s="64">
        <v>35.380000000000003</v>
      </c>
      <c r="H81" s="64">
        <v>14.26</v>
      </c>
      <c r="I81" s="64">
        <v>4.97</v>
      </c>
      <c r="J81" s="64">
        <v>0.25</v>
      </c>
      <c r="K81" s="64">
        <v>222.45</v>
      </c>
      <c r="L81" s="64">
        <v>23.61</v>
      </c>
      <c r="M81" s="64">
        <v>73.56</v>
      </c>
      <c r="N81" s="64">
        <v>22.5</v>
      </c>
      <c r="O81" s="64">
        <v>0</v>
      </c>
      <c r="P81" s="64">
        <v>0.47</v>
      </c>
      <c r="Q81" s="64">
        <v>9.25</v>
      </c>
      <c r="R81" s="198"/>
      <c r="S81" s="198"/>
      <c r="T81" s="198"/>
      <c r="U81" s="198"/>
    </row>
    <row r="82" spans="1:26" s="12" customFormat="1" x14ac:dyDescent="0.25">
      <c r="A82" s="214" t="s">
        <v>1377</v>
      </c>
      <c r="B82" s="64">
        <v>0.3</v>
      </c>
      <c r="C82" s="64">
        <v>26.57</v>
      </c>
      <c r="D82" s="64">
        <v>14.04</v>
      </c>
      <c r="E82" s="64">
        <v>1.1599999999999999</v>
      </c>
      <c r="F82" s="64">
        <v>3.57</v>
      </c>
      <c r="G82" s="64">
        <v>35.380000000000003</v>
      </c>
      <c r="H82" s="64">
        <v>14.26</v>
      </c>
      <c r="I82" s="64">
        <v>4.91</v>
      </c>
      <c r="J82" s="64">
        <v>0.39</v>
      </c>
      <c r="K82" s="64">
        <v>204.76</v>
      </c>
      <c r="L82" s="64">
        <v>22.91</v>
      </c>
      <c r="M82" s="64">
        <v>80.56</v>
      </c>
      <c r="N82" s="64">
        <v>17.8</v>
      </c>
      <c r="O82" s="64">
        <v>0</v>
      </c>
      <c r="P82" s="64">
        <v>0.47</v>
      </c>
      <c r="Q82" s="64">
        <v>9.23</v>
      </c>
      <c r="R82" s="198"/>
      <c r="S82" s="198"/>
      <c r="T82" s="198"/>
      <c r="U82" s="198"/>
    </row>
    <row r="83" spans="1:26" s="12" customFormat="1" x14ac:dyDescent="0.25">
      <c r="A83" s="214" t="s">
        <v>1378</v>
      </c>
      <c r="B83" s="64">
        <v>0.69</v>
      </c>
      <c r="C83" s="64">
        <v>27.02</v>
      </c>
      <c r="D83" s="64">
        <v>14.59</v>
      </c>
      <c r="E83" s="64">
        <v>1.25</v>
      </c>
      <c r="F83" s="64">
        <v>3.66</v>
      </c>
      <c r="G83" s="64">
        <v>35.380000000000003</v>
      </c>
      <c r="H83" s="64">
        <v>14.26</v>
      </c>
      <c r="I83" s="64">
        <v>4.92</v>
      </c>
      <c r="J83" s="64">
        <v>0.18</v>
      </c>
      <c r="K83" s="64">
        <v>235.72</v>
      </c>
      <c r="L83" s="64">
        <v>22.4</v>
      </c>
      <c r="M83" s="64">
        <v>83.65</v>
      </c>
      <c r="N83" s="64">
        <v>17.2</v>
      </c>
      <c r="O83" s="64">
        <v>0</v>
      </c>
      <c r="P83" s="64">
        <v>0.47</v>
      </c>
      <c r="Q83" s="64">
        <v>9.1999999999999993</v>
      </c>
      <c r="R83" s="198"/>
      <c r="S83" s="198"/>
      <c r="T83" s="198"/>
      <c r="U83" s="198"/>
    </row>
    <row r="84" spans="1:26" s="12" customFormat="1" x14ac:dyDescent="0.25">
      <c r="A84" s="214" t="s">
        <v>1379</v>
      </c>
      <c r="B84" s="64">
        <v>1.1599999999999999</v>
      </c>
      <c r="C84" s="64">
        <v>27.15</v>
      </c>
      <c r="D84" s="64">
        <v>15.03</v>
      </c>
      <c r="E84" s="64">
        <v>1.27</v>
      </c>
      <c r="F84" s="64">
        <v>3.41</v>
      </c>
      <c r="G84" s="64">
        <v>35.799999999999997</v>
      </c>
      <c r="H84" s="64">
        <v>14.39</v>
      </c>
      <c r="I84" s="64">
        <v>4.9800000000000004</v>
      </c>
      <c r="J84" s="64">
        <v>0.22</v>
      </c>
      <c r="K84" s="64">
        <v>179.18</v>
      </c>
      <c r="L84" s="64">
        <v>22.05</v>
      </c>
      <c r="M84" s="64">
        <v>86.1</v>
      </c>
      <c r="N84" s="64">
        <v>16.8</v>
      </c>
      <c r="O84" s="64">
        <v>0</v>
      </c>
      <c r="P84" s="64">
        <v>0.48</v>
      </c>
      <c r="Q84" s="64">
        <v>9.2799999999999994</v>
      </c>
      <c r="R84" s="198"/>
      <c r="S84" s="198"/>
      <c r="T84" s="198"/>
      <c r="U84" s="198"/>
    </row>
    <row r="85" spans="1:26" s="12" customFormat="1" x14ac:dyDescent="0.25">
      <c r="A85" s="214" t="s">
        <v>1380</v>
      </c>
      <c r="B85" s="64">
        <v>1.81</v>
      </c>
      <c r="C85" s="64">
        <v>26.99</v>
      </c>
      <c r="D85" s="64">
        <v>15.47</v>
      </c>
      <c r="E85" s="64">
        <v>1.1000000000000001</v>
      </c>
      <c r="F85" s="64">
        <v>3.36</v>
      </c>
      <c r="G85" s="64">
        <v>41.77</v>
      </c>
      <c r="H85" s="64">
        <v>16.309999999999999</v>
      </c>
      <c r="I85" s="64">
        <v>5.05</v>
      </c>
      <c r="J85" s="64">
        <v>0.69</v>
      </c>
      <c r="K85" s="64">
        <v>166.1</v>
      </c>
      <c r="L85" s="64">
        <v>22.07</v>
      </c>
      <c r="M85" s="64">
        <v>81.48</v>
      </c>
      <c r="N85" s="64">
        <v>16</v>
      </c>
      <c r="O85" s="64">
        <v>0</v>
      </c>
      <c r="P85" s="64">
        <v>0.48</v>
      </c>
      <c r="Q85" s="64">
        <v>9.2200000000000006</v>
      </c>
      <c r="R85" s="198"/>
      <c r="S85" s="198"/>
      <c r="T85" s="198"/>
      <c r="U85" s="198"/>
    </row>
    <row r="86" spans="1:26" s="12" customFormat="1" x14ac:dyDescent="0.25">
      <c r="A86" s="214" t="s">
        <v>1381</v>
      </c>
      <c r="B86" s="64">
        <v>2.44</v>
      </c>
      <c r="C86" s="64">
        <v>27</v>
      </c>
      <c r="D86" s="64">
        <v>15.98</v>
      </c>
      <c r="E86" s="64">
        <v>0.97</v>
      </c>
      <c r="F86" s="64">
        <v>3.51</v>
      </c>
      <c r="G86" s="64">
        <v>41.77</v>
      </c>
      <c r="H86" s="64">
        <v>16.309999999999999</v>
      </c>
      <c r="I86" s="64">
        <v>5.15</v>
      </c>
      <c r="J86" s="64">
        <v>1.06</v>
      </c>
      <c r="K86" s="64">
        <v>157.94</v>
      </c>
      <c r="L86" s="64">
        <v>22.09</v>
      </c>
      <c r="M86" s="64">
        <v>80.38</v>
      </c>
      <c r="N86" s="64">
        <v>16.3</v>
      </c>
      <c r="O86" s="64">
        <v>0</v>
      </c>
      <c r="P86" s="64">
        <v>0.49</v>
      </c>
      <c r="Q86" s="64">
        <v>9.27</v>
      </c>
      <c r="R86" s="198"/>
      <c r="S86" s="198"/>
      <c r="T86" s="198"/>
      <c r="U86" s="198"/>
    </row>
    <row r="87" spans="1:26" s="12" customFormat="1" x14ac:dyDescent="0.25">
      <c r="A87" s="214" t="s">
        <v>1382</v>
      </c>
      <c r="B87" s="64">
        <v>2.79</v>
      </c>
      <c r="C87" s="64">
        <v>27.16</v>
      </c>
      <c r="D87" s="64">
        <v>16.350000000000001</v>
      </c>
      <c r="E87" s="64">
        <v>1.03</v>
      </c>
      <c r="F87" s="64">
        <v>3.55</v>
      </c>
      <c r="G87" s="64">
        <v>41.77</v>
      </c>
      <c r="H87" s="64">
        <v>16.309999999999999</v>
      </c>
      <c r="I87" s="64">
        <v>5.33</v>
      </c>
      <c r="J87" s="64">
        <v>0.75</v>
      </c>
      <c r="K87" s="64">
        <v>164.64</v>
      </c>
      <c r="L87" s="64">
        <v>21.91</v>
      </c>
      <c r="M87" s="64">
        <v>82.01</v>
      </c>
      <c r="N87" s="64">
        <v>16.8</v>
      </c>
      <c r="O87" s="64">
        <v>0</v>
      </c>
      <c r="P87" s="64">
        <v>0.51</v>
      </c>
      <c r="Q87" s="64">
        <v>9.2899999999999991</v>
      </c>
      <c r="R87" s="198"/>
      <c r="S87" s="198"/>
      <c r="T87" s="198"/>
      <c r="U87" s="198"/>
    </row>
    <row r="88" spans="1:26" s="12" customFormat="1" x14ac:dyDescent="0.25">
      <c r="A88" s="214" t="s">
        <v>1383</v>
      </c>
      <c r="B88" s="64">
        <v>3.26</v>
      </c>
      <c r="C88" s="64">
        <v>27.59</v>
      </c>
      <c r="D88" s="64">
        <v>16.95</v>
      </c>
      <c r="E88" s="64">
        <v>1.1499999999999999</v>
      </c>
      <c r="F88" s="64">
        <v>3.66</v>
      </c>
      <c r="G88" s="64">
        <v>41.87</v>
      </c>
      <c r="H88" s="64">
        <v>16.37</v>
      </c>
      <c r="I88" s="64">
        <v>5.52</v>
      </c>
      <c r="J88" s="64">
        <v>0.74</v>
      </c>
      <c r="K88" s="64">
        <v>166.51</v>
      </c>
      <c r="L88" s="64">
        <v>21.72</v>
      </c>
      <c r="M88" s="64">
        <v>84.41</v>
      </c>
      <c r="N88" s="64">
        <v>16.7</v>
      </c>
      <c r="O88" s="64">
        <v>0</v>
      </c>
      <c r="P88" s="64">
        <v>0.51</v>
      </c>
      <c r="Q88" s="64">
        <v>9.26</v>
      </c>
      <c r="R88" s="198"/>
      <c r="S88" s="198"/>
      <c r="T88" s="198"/>
      <c r="U88" s="198"/>
    </row>
    <row r="89" spans="1:26" s="12" customFormat="1" x14ac:dyDescent="0.25">
      <c r="A89" s="214" t="s">
        <v>1384</v>
      </c>
      <c r="B89" s="64">
        <v>4.04</v>
      </c>
      <c r="C89" s="64">
        <v>28.62</v>
      </c>
      <c r="D89" s="64">
        <v>18.12</v>
      </c>
      <c r="E89" s="64">
        <v>1.23</v>
      </c>
      <c r="F89" s="64">
        <v>3.28</v>
      </c>
      <c r="G89" s="64">
        <v>43.15</v>
      </c>
      <c r="H89" s="64">
        <v>17.420000000000002</v>
      </c>
      <c r="I89" s="64">
        <v>5.59</v>
      </c>
      <c r="J89" s="64">
        <v>0.86</v>
      </c>
      <c r="K89" s="64">
        <v>162.38</v>
      </c>
      <c r="L89" s="64">
        <v>21.56</v>
      </c>
      <c r="M89" s="64">
        <v>85.36</v>
      </c>
      <c r="N89" s="64">
        <v>16.600000000000001</v>
      </c>
      <c r="O89" s="64">
        <v>0</v>
      </c>
      <c r="P89" s="64">
        <v>0.52</v>
      </c>
      <c r="Q89" s="64">
        <v>9.2899999999999991</v>
      </c>
      <c r="R89" s="198"/>
      <c r="S89" s="198"/>
      <c r="T89" s="198"/>
      <c r="U89" s="198"/>
    </row>
    <row r="90" spans="1:26" s="12" customFormat="1" x14ac:dyDescent="0.25">
      <c r="A90" s="214" t="s">
        <v>1385</v>
      </c>
      <c r="B90" s="64">
        <v>4.24</v>
      </c>
      <c r="C90" s="64">
        <v>28.43</v>
      </c>
      <c r="D90" s="64">
        <v>18.18</v>
      </c>
      <c r="E90" s="64">
        <v>1.1100000000000001</v>
      </c>
      <c r="F90" s="64">
        <v>3.8</v>
      </c>
      <c r="G90" s="64">
        <v>43.15</v>
      </c>
      <c r="H90" s="64">
        <v>17.420000000000002</v>
      </c>
      <c r="I90" s="64">
        <v>5.58</v>
      </c>
      <c r="J90" s="64">
        <v>0.64</v>
      </c>
      <c r="K90" s="64">
        <v>164.3</v>
      </c>
      <c r="L90" s="64">
        <v>21.39</v>
      </c>
      <c r="M90" s="64">
        <v>87.38</v>
      </c>
      <c r="N90" s="64">
        <v>16.8</v>
      </c>
      <c r="O90" s="64">
        <v>0</v>
      </c>
      <c r="P90" s="64">
        <v>0.53</v>
      </c>
      <c r="Q90" s="64">
        <v>9.26</v>
      </c>
      <c r="R90" s="198"/>
      <c r="S90" s="198"/>
      <c r="T90" s="198"/>
      <c r="U90" s="198"/>
    </row>
    <row r="91" spans="1:26" s="12" customFormat="1" x14ac:dyDescent="0.25">
      <c r="A91" s="214" t="s">
        <v>1386</v>
      </c>
      <c r="B91" s="64">
        <v>4.59</v>
      </c>
      <c r="C91" s="64">
        <v>28.7</v>
      </c>
      <c r="D91" s="64">
        <v>18.600000000000001</v>
      </c>
      <c r="E91" s="64">
        <v>0.96</v>
      </c>
      <c r="F91" s="64">
        <v>3.55</v>
      </c>
      <c r="G91" s="64">
        <v>43.15</v>
      </c>
      <c r="H91" s="64">
        <v>17.420000000000002</v>
      </c>
      <c r="I91" s="64">
        <v>5.62</v>
      </c>
      <c r="J91" s="64">
        <v>0.11</v>
      </c>
      <c r="K91" s="64">
        <v>124.46</v>
      </c>
      <c r="L91" s="64">
        <v>21.05</v>
      </c>
      <c r="M91" s="64">
        <v>90.17</v>
      </c>
      <c r="N91" s="64">
        <v>17.100000000000001</v>
      </c>
      <c r="O91" s="64">
        <v>0</v>
      </c>
      <c r="P91" s="64">
        <v>0.55000000000000004</v>
      </c>
      <c r="Q91" s="64">
        <v>9.23</v>
      </c>
      <c r="R91" s="198"/>
      <c r="S91" s="198"/>
      <c r="T91" s="198"/>
      <c r="U91" s="198"/>
    </row>
    <row r="92" spans="1:26" s="12" customFormat="1" x14ac:dyDescent="0.25">
      <c r="A92" s="214" t="s">
        <v>1387</v>
      </c>
      <c r="B92" s="64">
        <v>5.18</v>
      </c>
      <c r="C92" s="64">
        <v>28.39</v>
      </c>
      <c r="D92" s="64">
        <v>18.899999999999999</v>
      </c>
      <c r="E92" s="64">
        <v>0.87</v>
      </c>
      <c r="F92" s="64">
        <v>3.32</v>
      </c>
      <c r="G92" s="64">
        <v>42.66</v>
      </c>
      <c r="H92" s="64">
        <v>17.23</v>
      </c>
      <c r="I92" s="64">
        <v>5.59</v>
      </c>
      <c r="J92" s="64">
        <v>0.28000000000000003</v>
      </c>
      <c r="K92" s="64">
        <v>136.72</v>
      </c>
      <c r="L92" s="64">
        <v>20.9</v>
      </c>
      <c r="M92" s="64">
        <v>91.49</v>
      </c>
      <c r="N92" s="64">
        <v>16.3</v>
      </c>
      <c r="O92" s="64">
        <v>0</v>
      </c>
      <c r="P92" s="64">
        <v>0.56999999999999995</v>
      </c>
      <c r="Q92" s="64">
        <v>9.32</v>
      </c>
      <c r="R92" s="198"/>
      <c r="S92" s="198"/>
      <c r="T92" s="198"/>
      <c r="U92" s="198"/>
    </row>
    <row r="93" spans="1:26" s="12" customFormat="1" x14ac:dyDescent="0.25">
      <c r="A93" s="214" t="s">
        <v>1388</v>
      </c>
      <c r="B93" s="64">
        <v>5.79</v>
      </c>
      <c r="C93" s="64">
        <v>28.53</v>
      </c>
      <c r="D93" s="64">
        <v>19.47</v>
      </c>
      <c r="E93" s="64">
        <v>1.1200000000000001</v>
      </c>
      <c r="F93" s="64">
        <v>3.18</v>
      </c>
      <c r="G93" s="64">
        <v>35.76</v>
      </c>
      <c r="H93" s="64">
        <v>14.56</v>
      </c>
      <c r="I93" s="64">
        <v>5.61</v>
      </c>
      <c r="J93" s="64">
        <v>0.17</v>
      </c>
      <c r="K93" s="64">
        <v>143.4</v>
      </c>
      <c r="L93" s="64">
        <v>20.9</v>
      </c>
      <c r="M93" s="64">
        <v>91.53</v>
      </c>
      <c r="N93" s="64">
        <v>16.7</v>
      </c>
      <c r="O93" s="64">
        <v>0</v>
      </c>
      <c r="P93" s="64">
        <v>0.56999999999999995</v>
      </c>
      <c r="Q93" s="64">
        <v>9.34</v>
      </c>
      <c r="R93" s="198"/>
      <c r="S93" s="198"/>
      <c r="T93" s="198"/>
      <c r="U93" s="198"/>
    </row>
    <row r="94" spans="1:26" s="12" customFormat="1" x14ac:dyDescent="0.25">
      <c r="A94" s="214" t="s">
        <v>1389</v>
      </c>
      <c r="B94" s="64">
        <v>6.34</v>
      </c>
      <c r="C94" s="64">
        <v>28.28</v>
      </c>
      <c r="D94" s="64">
        <v>19.78</v>
      </c>
      <c r="E94" s="64">
        <v>0.99</v>
      </c>
      <c r="F94" s="64">
        <v>3.77</v>
      </c>
      <c r="G94" s="64">
        <v>35.76</v>
      </c>
      <c r="H94" s="64">
        <v>14.56</v>
      </c>
      <c r="I94" s="64">
        <v>5.73</v>
      </c>
      <c r="J94" s="64">
        <v>0.03</v>
      </c>
      <c r="K94" s="64">
        <v>180.08</v>
      </c>
      <c r="L94" s="64">
        <v>20.64</v>
      </c>
      <c r="M94" s="64">
        <v>93.64</v>
      </c>
      <c r="N94" s="64">
        <v>16.7</v>
      </c>
      <c r="O94" s="64">
        <v>0</v>
      </c>
      <c r="P94" s="64">
        <v>0.57999999999999996</v>
      </c>
      <c r="Q94" s="64">
        <v>9.3800000000000008</v>
      </c>
      <c r="R94" s="198"/>
      <c r="S94" s="198"/>
      <c r="T94" s="198"/>
      <c r="U94" s="198"/>
    </row>
    <row r="95" spans="1:26" s="12" customFormat="1" x14ac:dyDescent="0.25">
      <c r="A95" s="214" t="s">
        <v>1390</v>
      </c>
      <c r="B95" s="64">
        <v>6.9</v>
      </c>
      <c r="C95" s="64">
        <v>28.18</v>
      </c>
      <c r="D95" s="64">
        <v>20.18</v>
      </c>
      <c r="E95" s="64">
        <v>0.88</v>
      </c>
      <c r="F95" s="64">
        <v>2.94</v>
      </c>
      <c r="G95" s="64">
        <v>35.76</v>
      </c>
      <c r="H95" s="64">
        <v>14.56</v>
      </c>
      <c r="I95" s="64">
        <v>5.81</v>
      </c>
      <c r="J95" s="64">
        <v>0.4</v>
      </c>
      <c r="K95" s="64">
        <v>82.68</v>
      </c>
      <c r="L95" s="64">
        <v>20.7</v>
      </c>
      <c r="M95" s="64">
        <v>92.04</v>
      </c>
      <c r="N95" s="64">
        <v>16.2</v>
      </c>
      <c r="O95" s="64">
        <v>0</v>
      </c>
      <c r="P95" s="64">
        <v>0.6</v>
      </c>
      <c r="Q95" s="64">
        <v>9.27</v>
      </c>
      <c r="R95" s="198"/>
      <c r="S95" s="198"/>
      <c r="T95" s="198"/>
      <c r="U95" s="198"/>
    </row>
    <row r="96" spans="1:26" s="12" customFormat="1" x14ac:dyDescent="0.25">
      <c r="A96" s="214" t="s">
        <v>1391</v>
      </c>
      <c r="B96" s="64">
        <v>7.47</v>
      </c>
      <c r="C96" s="64">
        <v>28.15</v>
      </c>
      <c r="D96" s="64">
        <v>20.62</v>
      </c>
      <c r="E96" s="64">
        <v>0.96</v>
      </c>
      <c r="F96" s="64">
        <v>3.12</v>
      </c>
      <c r="G96" s="64">
        <v>36.01</v>
      </c>
      <c r="H96" s="64">
        <v>14.74</v>
      </c>
      <c r="I96" s="64">
        <v>5.81</v>
      </c>
      <c r="J96" s="64">
        <v>0.28000000000000003</v>
      </c>
      <c r="K96" s="64">
        <v>59.29</v>
      </c>
      <c r="L96" s="64">
        <v>20.77</v>
      </c>
      <c r="M96" s="64">
        <v>88.26</v>
      </c>
      <c r="N96" s="64">
        <v>16.399999999999999</v>
      </c>
      <c r="O96" s="64">
        <v>0</v>
      </c>
      <c r="P96" s="64">
        <v>0.61</v>
      </c>
      <c r="Q96" s="64">
        <v>9.35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1392</v>
      </c>
      <c r="B97" s="64">
        <v>8.76</v>
      </c>
      <c r="C97" s="64">
        <v>28.29</v>
      </c>
      <c r="D97" s="64">
        <v>21.72</v>
      </c>
      <c r="E97" s="64">
        <v>1.18</v>
      </c>
      <c r="F97" s="64">
        <v>3.21</v>
      </c>
      <c r="G97" s="64">
        <v>39.43</v>
      </c>
      <c r="H97" s="64">
        <v>17.27</v>
      </c>
      <c r="I97" s="64">
        <v>5.81</v>
      </c>
      <c r="J97" s="64">
        <v>0.28000000000000003</v>
      </c>
      <c r="K97" s="64">
        <v>4.46</v>
      </c>
      <c r="L97" s="64">
        <v>20.29</v>
      </c>
      <c r="M97" s="64">
        <v>93.63</v>
      </c>
      <c r="N97" s="64">
        <v>17.2</v>
      </c>
      <c r="O97" s="64">
        <v>0</v>
      </c>
      <c r="P97" s="64">
        <v>0.64</v>
      </c>
      <c r="Q97" s="64">
        <v>9.3800000000000008</v>
      </c>
      <c r="R97" s="198"/>
      <c r="S97" s="198"/>
      <c r="T97" s="198"/>
      <c r="U97" s="198"/>
    </row>
    <row r="98" spans="1:33" s="12" customFormat="1" x14ac:dyDescent="0.25">
      <c r="A98" s="214" t="s">
        <v>1393</v>
      </c>
      <c r="B98" s="64">
        <v>12.32</v>
      </c>
      <c r="C98" s="64">
        <v>28.48</v>
      </c>
      <c r="D98" s="64">
        <v>24.68</v>
      </c>
      <c r="E98" s="64">
        <v>1.1200000000000001</v>
      </c>
      <c r="F98" s="64">
        <v>3.59</v>
      </c>
      <c r="G98" s="64">
        <v>39.43</v>
      </c>
      <c r="H98" s="64">
        <v>17.27</v>
      </c>
      <c r="I98" s="64">
        <v>5.85</v>
      </c>
      <c r="J98" s="64">
        <v>0.24</v>
      </c>
      <c r="K98" s="64">
        <v>47.6</v>
      </c>
      <c r="L98" s="64">
        <v>19.739999999999998</v>
      </c>
      <c r="M98" s="64">
        <v>93.6</v>
      </c>
      <c r="N98" s="64">
        <v>16.899999999999999</v>
      </c>
      <c r="O98" s="64">
        <v>0</v>
      </c>
      <c r="P98" s="64">
        <v>0.69</v>
      </c>
      <c r="Q98" s="64">
        <v>9.24</v>
      </c>
      <c r="R98" s="198"/>
      <c r="S98" s="198"/>
      <c r="T98" s="198"/>
      <c r="U98" s="198"/>
    </row>
    <row r="99" spans="1:33" s="12" customFormat="1" x14ac:dyDescent="0.25">
      <c r="A99" s="214" t="s">
        <v>1394</v>
      </c>
      <c r="B99" s="64">
        <v>14.62</v>
      </c>
      <c r="C99" s="64">
        <v>29.37</v>
      </c>
      <c r="D99" s="64">
        <v>26.99</v>
      </c>
      <c r="E99" s="64">
        <v>1.25</v>
      </c>
      <c r="F99" s="64">
        <v>2.68</v>
      </c>
      <c r="G99" s="64">
        <v>39.43</v>
      </c>
      <c r="H99" s="64">
        <v>17.27</v>
      </c>
      <c r="I99" s="64">
        <v>5.88</v>
      </c>
      <c r="J99" s="64">
        <v>0.39</v>
      </c>
      <c r="K99" s="64">
        <v>91.92</v>
      </c>
      <c r="L99" s="64">
        <v>19.989999999999998</v>
      </c>
      <c r="M99" s="64">
        <v>92.43</v>
      </c>
      <c r="N99" s="64">
        <v>16.2</v>
      </c>
      <c r="O99" s="64">
        <v>0</v>
      </c>
      <c r="P99" s="64">
        <v>0.72</v>
      </c>
      <c r="Q99" s="64">
        <v>9.3699999999999992</v>
      </c>
      <c r="R99" s="198"/>
      <c r="S99" s="198"/>
      <c r="T99" s="198"/>
      <c r="U99" s="198"/>
    </row>
    <row r="100" spans="1:33" s="12" customFormat="1" x14ac:dyDescent="0.25">
      <c r="A100" s="214" t="s">
        <v>1395</v>
      </c>
      <c r="B100" s="64">
        <v>15.35</v>
      </c>
      <c r="C100" s="64">
        <v>29.32</v>
      </c>
      <c r="D100" s="64">
        <v>27.55</v>
      </c>
      <c r="E100" s="64">
        <v>1.2</v>
      </c>
      <c r="F100" s="64">
        <v>3.48</v>
      </c>
      <c r="G100" s="64">
        <v>40.42</v>
      </c>
      <c r="H100" s="64">
        <v>17.38</v>
      </c>
      <c r="I100" s="64">
        <v>5.94</v>
      </c>
      <c r="J100" s="64">
        <v>0.08</v>
      </c>
      <c r="K100" s="64">
        <v>9.6199999999999992</v>
      </c>
      <c r="L100" s="64">
        <v>20.09</v>
      </c>
      <c r="M100" s="64">
        <v>92.46</v>
      </c>
      <c r="N100" s="64">
        <v>16.899999999999999</v>
      </c>
      <c r="O100" s="64">
        <v>0</v>
      </c>
      <c r="P100" s="64">
        <v>0.72</v>
      </c>
      <c r="Q100" s="64">
        <v>9.4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1396</v>
      </c>
      <c r="B101" s="64">
        <v>16.46</v>
      </c>
      <c r="C101" s="64">
        <v>30.07</v>
      </c>
      <c r="D101" s="64">
        <v>28.83</v>
      </c>
      <c r="E101" s="64">
        <v>0.91</v>
      </c>
      <c r="F101" s="64">
        <v>3.08</v>
      </c>
      <c r="G101" s="64">
        <v>54.27</v>
      </c>
      <c r="H101" s="64">
        <v>18.96</v>
      </c>
      <c r="I101" s="64">
        <v>5.99</v>
      </c>
      <c r="J101" s="64">
        <v>0.11</v>
      </c>
      <c r="K101" s="64">
        <v>247.59</v>
      </c>
      <c r="L101" s="64">
        <v>19.8</v>
      </c>
      <c r="M101" s="64">
        <v>93.32</v>
      </c>
      <c r="N101" s="64">
        <v>16.7</v>
      </c>
      <c r="O101" s="64">
        <v>0</v>
      </c>
      <c r="P101" s="64">
        <v>0.73</v>
      </c>
      <c r="Q101" s="64">
        <v>9.4700000000000006</v>
      </c>
      <c r="R101" s="198"/>
      <c r="S101" s="198"/>
      <c r="T101" s="198"/>
      <c r="U101" s="198"/>
    </row>
    <row r="102" spans="1:33" s="12" customFormat="1" x14ac:dyDescent="0.25">
      <c r="A102" s="214" t="s">
        <v>1397</v>
      </c>
      <c r="B102" s="64">
        <v>17.12</v>
      </c>
      <c r="C102" s="64">
        <v>29.85</v>
      </c>
      <c r="D102" s="64">
        <v>29.24</v>
      </c>
      <c r="E102" s="64">
        <v>0.96</v>
      </c>
      <c r="F102" s="64">
        <v>3.48</v>
      </c>
      <c r="G102" s="64">
        <v>54.27</v>
      </c>
      <c r="H102" s="64">
        <v>18.96</v>
      </c>
      <c r="I102" s="64">
        <v>6.13</v>
      </c>
      <c r="J102" s="64">
        <v>0.06</v>
      </c>
      <c r="K102" s="64">
        <v>19.73</v>
      </c>
      <c r="L102" s="64">
        <v>20</v>
      </c>
      <c r="M102" s="64">
        <v>90.2</v>
      </c>
      <c r="N102" s="64">
        <v>16.3</v>
      </c>
      <c r="O102" s="64">
        <v>0</v>
      </c>
      <c r="P102" s="64">
        <v>0.74</v>
      </c>
      <c r="Q102" s="64">
        <v>9.51</v>
      </c>
      <c r="R102" s="198"/>
      <c r="S102" s="198"/>
      <c r="T102" s="198"/>
      <c r="U102" s="198"/>
    </row>
    <row r="103" spans="1:33" s="12" customFormat="1" x14ac:dyDescent="0.25">
      <c r="A103" s="214" t="s">
        <v>1398</v>
      </c>
      <c r="B103" s="64">
        <v>17.170000000000002</v>
      </c>
      <c r="C103" s="64">
        <v>29.43</v>
      </c>
      <c r="D103" s="64">
        <v>29.06</v>
      </c>
      <c r="E103" s="64">
        <v>1.3</v>
      </c>
      <c r="F103" s="64">
        <v>3.27</v>
      </c>
      <c r="G103" s="64">
        <v>54.27</v>
      </c>
      <c r="H103" s="64">
        <v>18.96</v>
      </c>
      <c r="I103" s="64">
        <v>6.36</v>
      </c>
      <c r="J103" s="64">
        <v>0.18</v>
      </c>
      <c r="K103" s="64">
        <v>84.71</v>
      </c>
      <c r="L103" s="64">
        <v>19.940000000000001</v>
      </c>
      <c r="M103" s="64">
        <v>90.93</v>
      </c>
      <c r="N103" s="64">
        <v>16.5</v>
      </c>
      <c r="O103" s="64">
        <v>0</v>
      </c>
      <c r="P103" s="64">
        <v>0.73</v>
      </c>
      <c r="Q103" s="64">
        <v>9.51</v>
      </c>
      <c r="R103" s="198"/>
      <c r="S103" s="198"/>
      <c r="T103" s="198"/>
      <c r="U103" s="198"/>
    </row>
    <row r="104" spans="1:33" s="12" customFormat="1" x14ac:dyDescent="0.25">
      <c r="A104" s="214" t="s">
        <v>1399</v>
      </c>
      <c r="B104" s="64">
        <v>16.97</v>
      </c>
      <c r="C104" s="64">
        <v>29.12</v>
      </c>
      <c r="D104" s="64">
        <v>28.75</v>
      </c>
      <c r="E104" s="64">
        <v>0.65</v>
      </c>
      <c r="F104" s="64">
        <v>3.53</v>
      </c>
      <c r="G104" s="64">
        <v>54.34</v>
      </c>
      <c r="H104" s="64">
        <v>18.97</v>
      </c>
      <c r="I104" s="64">
        <v>6.41</v>
      </c>
      <c r="J104" s="64">
        <v>0.31</v>
      </c>
      <c r="K104" s="64">
        <v>88.54</v>
      </c>
      <c r="L104" s="64">
        <v>20.11</v>
      </c>
      <c r="M104" s="64">
        <v>91.1</v>
      </c>
      <c r="N104" s="64">
        <v>16.2</v>
      </c>
      <c r="O104" s="64">
        <v>0</v>
      </c>
      <c r="P104" s="64">
        <v>0.73</v>
      </c>
      <c r="Q104" s="64">
        <v>9.5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23.45</v>
      </c>
      <c r="D106" s="67">
        <f t="shared" ref="D106:Q106" si="0">MIN(D9:D104)</f>
        <v>13.12</v>
      </c>
      <c r="E106" s="67">
        <f t="shared" si="0"/>
        <v>0.57999999999999996</v>
      </c>
      <c r="F106" s="67">
        <f t="shared" si="0"/>
        <v>2.68</v>
      </c>
      <c r="G106" s="67">
        <f t="shared" si="0"/>
        <v>16.510000000000002</v>
      </c>
      <c r="H106" s="67">
        <f t="shared" si="0"/>
        <v>6.92</v>
      </c>
      <c r="I106" s="67">
        <f t="shared" si="0"/>
        <v>3.8</v>
      </c>
      <c r="J106" s="67">
        <f t="shared" si="0"/>
        <v>0.03</v>
      </c>
      <c r="K106" s="67">
        <f t="shared" si="0"/>
        <v>3.54</v>
      </c>
      <c r="L106" s="67">
        <f t="shared" si="0"/>
        <v>17.53</v>
      </c>
      <c r="M106" s="67">
        <f t="shared" si="0"/>
        <v>53.9</v>
      </c>
      <c r="N106" s="67">
        <f t="shared" si="0"/>
        <v>16</v>
      </c>
      <c r="O106" s="67">
        <f t="shared" si="0"/>
        <v>0</v>
      </c>
      <c r="P106" s="67">
        <f t="shared" si="0"/>
        <v>0.39</v>
      </c>
      <c r="Q106" s="67">
        <f t="shared" si="0"/>
        <v>9.17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24.43</v>
      </c>
      <c r="C107" s="66">
        <f t="shared" ref="C107:Q107" si="1">MAX(C9:C104)</f>
        <v>31.61</v>
      </c>
      <c r="D107" s="66">
        <f t="shared" si="1"/>
        <v>33.03</v>
      </c>
      <c r="E107" s="66">
        <f t="shared" si="1"/>
        <v>2.46</v>
      </c>
      <c r="F107" s="66">
        <f t="shared" si="1"/>
        <v>4.22</v>
      </c>
      <c r="G107" s="66">
        <f t="shared" si="1"/>
        <v>152</v>
      </c>
      <c r="H107" s="66">
        <f t="shared" si="1"/>
        <v>23.3</v>
      </c>
      <c r="I107" s="66">
        <f t="shared" si="1"/>
        <v>6.41</v>
      </c>
      <c r="J107" s="66">
        <f t="shared" si="1"/>
        <v>1.08</v>
      </c>
      <c r="K107" s="66">
        <f t="shared" si="1"/>
        <v>356.72</v>
      </c>
      <c r="L107" s="66">
        <f t="shared" si="1"/>
        <v>26.6</v>
      </c>
      <c r="M107" s="66">
        <f t="shared" si="1"/>
        <v>97.91</v>
      </c>
      <c r="N107" s="66">
        <f t="shared" si="1"/>
        <v>698.3</v>
      </c>
      <c r="O107" s="66">
        <f t="shared" si="1"/>
        <v>0.2</v>
      </c>
      <c r="P107" s="66">
        <f t="shared" si="1"/>
        <v>0.74</v>
      </c>
      <c r="Q107" s="66">
        <f t="shared" si="1"/>
        <v>9.56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9.9613541666666663</v>
      </c>
      <c r="C108" s="67">
        <f t="shared" ref="C108:Q108" si="2">AVERAGE(C9:C104)</f>
        <v>27.577604166666664</v>
      </c>
      <c r="D108" s="67">
        <f t="shared" si="2"/>
        <v>22.316562499999986</v>
      </c>
      <c r="E108" s="67">
        <f t="shared" si="2"/>
        <v>1.4240624999999996</v>
      </c>
      <c r="F108" s="67">
        <f t="shared" si="2"/>
        <v>3.4751041666666662</v>
      </c>
      <c r="G108" s="67">
        <f t="shared" si="2"/>
        <v>38.350416666666682</v>
      </c>
      <c r="H108" s="67">
        <f t="shared" si="2"/>
        <v>14.353750000000003</v>
      </c>
      <c r="I108" s="67">
        <f t="shared" si="2"/>
        <v>5.1778125000000008</v>
      </c>
      <c r="J108" s="67">
        <f t="shared" si="2"/>
        <v>0.31874999999999998</v>
      </c>
      <c r="K108" s="67">
        <f t="shared" si="2"/>
        <v>188.78145833333338</v>
      </c>
      <c r="L108" s="67">
        <f t="shared" si="2"/>
        <v>20.982604166666672</v>
      </c>
      <c r="M108" s="67">
        <f t="shared" si="2"/>
        <v>85.393020833333352</v>
      </c>
      <c r="N108" s="67">
        <f t="shared" si="2"/>
        <v>120.14062500000004</v>
      </c>
      <c r="O108" s="67">
        <f t="shared" si="2"/>
        <v>4.1666666666666666E-3</v>
      </c>
      <c r="P108" s="67">
        <f t="shared" si="2"/>
        <v>0.53968749999999976</v>
      </c>
      <c r="Q108" s="67">
        <f t="shared" si="2"/>
        <v>9.3466666666666693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7.5561551932728701</v>
      </c>
      <c r="C109" s="67">
        <f t="shared" ref="C109:Q109" si="3">STDEV(C9:C104)</f>
        <v>2.1699598564279414</v>
      </c>
      <c r="D109" s="67">
        <f t="shared" si="3"/>
        <v>6.0260843231519212</v>
      </c>
      <c r="E109" s="67">
        <f t="shared" si="3"/>
        <v>0.45948158000993167</v>
      </c>
      <c r="F109" s="67">
        <f t="shared" si="3"/>
        <v>0.40505228978015623</v>
      </c>
      <c r="G109" s="67">
        <f t="shared" si="3"/>
        <v>26.044401637716049</v>
      </c>
      <c r="H109" s="67">
        <f t="shared" si="3"/>
        <v>4.9093522458348859</v>
      </c>
      <c r="I109" s="67">
        <f t="shared" si="3"/>
        <v>0.58545924955945616</v>
      </c>
      <c r="J109" s="67">
        <f t="shared" si="3"/>
        <v>0.25496852230897271</v>
      </c>
      <c r="K109" s="67">
        <f t="shared" si="3"/>
        <v>87.55996707194646</v>
      </c>
      <c r="L109" s="67">
        <f t="shared" si="3"/>
        <v>2.8371324458598441</v>
      </c>
      <c r="M109" s="67">
        <f t="shared" si="3"/>
        <v>15.581736483176027</v>
      </c>
      <c r="N109" s="67">
        <f t="shared" si="3"/>
        <v>158.35559889267537</v>
      </c>
      <c r="O109" s="67">
        <f t="shared" si="3"/>
        <v>2.8715177232759195E-2</v>
      </c>
      <c r="P109" s="67">
        <f t="shared" si="3"/>
        <v>9.2000607835522316E-2</v>
      </c>
      <c r="Q109" s="67">
        <f t="shared" si="3"/>
        <v>0.10698417656404952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1400</v>
      </c>
      <c r="B9" s="64">
        <v>16.899999999999999</v>
      </c>
      <c r="C9" s="64">
        <v>28.82</v>
      </c>
      <c r="D9" s="64">
        <v>28.53</v>
      </c>
      <c r="E9" s="64">
        <v>0.76</v>
      </c>
      <c r="F9" s="64">
        <v>3.14</v>
      </c>
      <c r="G9" s="64">
        <v>55.32</v>
      </c>
      <c r="H9" s="64">
        <v>19.23</v>
      </c>
      <c r="I9" s="64">
        <v>6.55</v>
      </c>
      <c r="J9" s="64">
        <v>0.3</v>
      </c>
      <c r="K9" s="64">
        <v>86.34</v>
      </c>
      <c r="L9" s="64">
        <v>20.12</v>
      </c>
      <c r="M9" s="64">
        <v>92.21</v>
      </c>
      <c r="N9" s="64">
        <v>16.2</v>
      </c>
      <c r="O9" s="64">
        <v>0</v>
      </c>
      <c r="P9" s="64">
        <v>0.72</v>
      </c>
      <c r="Q9" s="64">
        <v>9.51</v>
      </c>
      <c r="R9" s="198"/>
      <c r="S9" s="198"/>
      <c r="T9" s="198"/>
      <c r="U9" s="198"/>
    </row>
    <row r="10" spans="1:21" s="12" customFormat="1" x14ac:dyDescent="0.25">
      <c r="A10" s="214" t="s">
        <v>1401</v>
      </c>
      <c r="B10" s="64">
        <v>16.84</v>
      </c>
      <c r="C10" s="64">
        <v>28.33</v>
      </c>
      <c r="D10" s="64">
        <v>28.23</v>
      </c>
      <c r="E10" s="64">
        <v>0.73</v>
      </c>
      <c r="F10" s="64">
        <v>3.6</v>
      </c>
      <c r="G10" s="64">
        <v>55.32</v>
      </c>
      <c r="H10" s="64">
        <v>19.23</v>
      </c>
      <c r="I10" s="64">
        <v>6.75</v>
      </c>
      <c r="J10" s="64">
        <v>0.23</v>
      </c>
      <c r="K10" s="64">
        <v>283.63</v>
      </c>
      <c r="L10" s="64">
        <v>19.64</v>
      </c>
      <c r="M10" s="64">
        <v>96.01</v>
      </c>
      <c r="N10" s="64">
        <v>17.100000000000001</v>
      </c>
      <c r="O10" s="64">
        <v>0</v>
      </c>
      <c r="P10" s="64">
        <v>0.71</v>
      </c>
      <c r="Q10" s="64">
        <v>9.4600000000000009</v>
      </c>
      <c r="R10" s="198"/>
      <c r="S10" s="198"/>
      <c r="T10" s="198"/>
      <c r="U10" s="198"/>
    </row>
    <row r="11" spans="1:21" s="12" customFormat="1" x14ac:dyDescent="0.25">
      <c r="A11" s="214" t="s">
        <v>1402</v>
      </c>
      <c r="B11" s="64">
        <v>16.68</v>
      </c>
      <c r="C11" s="64">
        <v>27.25</v>
      </c>
      <c r="D11" s="64">
        <v>27.54</v>
      </c>
      <c r="E11" s="64">
        <v>0.68</v>
      </c>
      <c r="F11" s="64">
        <v>3.38</v>
      </c>
      <c r="G11" s="64">
        <v>55.32</v>
      </c>
      <c r="H11" s="64">
        <v>19.23</v>
      </c>
      <c r="I11" s="64">
        <v>6.96</v>
      </c>
      <c r="J11" s="64">
        <v>0.18</v>
      </c>
      <c r="K11" s="64">
        <v>250.8</v>
      </c>
      <c r="L11" s="64">
        <v>19.16</v>
      </c>
      <c r="M11" s="64">
        <v>97.88</v>
      </c>
      <c r="N11" s="64">
        <v>16.899999999999999</v>
      </c>
      <c r="O11" s="64">
        <v>0</v>
      </c>
      <c r="P11" s="64">
        <v>0.71</v>
      </c>
      <c r="Q11" s="64">
        <v>9.48</v>
      </c>
      <c r="R11" s="198"/>
      <c r="S11" s="198"/>
      <c r="T11" s="198"/>
      <c r="U11" s="198"/>
    </row>
    <row r="12" spans="1:21" s="12" customFormat="1" x14ac:dyDescent="0.25">
      <c r="A12" s="214" t="s">
        <v>1403</v>
      </c>
      <c r="B12" s="64">
        <v>16.34</v>
      </c>
      <c r="C12" s="64">
        <v>26.57</v>
      </c>
      <c r="D12" s="64">
        <v>26.9</v>
      </c>
      <c r="E12" s="64">
        <v>0.96</v>
      </c>
      <c r="F12" s="64">
        <v>3.09</v>
      </c>
      <c r="G12" s="64">
        <v>54.03</v>
      </c>
      <c r="H12" s="64">
        <v>19.21</v>
      </c>
      <c r="I12" s="64">
        <v>7.09</v>
      </c>
      <c r="J12" s="64">
        <v>0.21</v>
      </c>
      <c r="K12" s="64">
        <v>298.25</v>
      </c>
      <c r="L12" s="64">
        <v>18.96</v>
      </c>
      <c r="M12" s="64">
        <v>97.88</v>
      </c>
      <c r="N12" s="64">
        <v>16.7</v>
      </c>
      <c r="O12" s="64">
        <v>0</v>
      </c>
      <c r="P12" s="64">
        <v>0.69</v>
      </c>
      <c r="Q12" s="64">
        <v>9.4</v>
      </c>
      <c r="R12" s="198"/>
      <c r="S12" s="198"/>
      <c r="T12" s="198"/>
      <c r="U12" s="198"/>
    </row>
    <row r="13" spans="1:21" s="12" customFormat="1" x14ac:dyDescent="0.25">
      <c r="A13" s="214" t="s">
        <v>1404</v>
      </c>
      <c r="B13" s="64">
        <v>16.100000000000001</v>
      </c>
      <c r="C13" s="64">
        <v>25.98</v>
      </c>
      <c r="D13" s="64">
        <v>26.41</v>
      </c>
      <c r="E13" s="64">
        <v>0.72</v>
      </c>
      <c r="F13" s="64">
        <v>3.86</v>
      </c>
      <c r="G13" s="64">
        <v>35.99</v>
      </c>
      <c r="H13" s="64">
        <v>18.809999999999999</v>
      </c>
      <c r="I13" s="64">
        <v>6.99</v>
      </c>
      <c r="J13" s="64">
        <v>0.18</v>
      </c>
      <c r="K13" s="64">
        <v>331.51</v>
      </c>
      <c r="L13" s="64">
        <v>18.66</v>
      </c>
      <c r="M13" s="64">
        <v>97.9</v>
      </c>
      <c r="N13" s="64">
        <v>16.8</v>
      </c>
      <c r="O13" s="64">
        <v>0</v>
      </c>
      <c r="P13" s="64">
        <v>0.59</v>
      </c>
      <c r="Q13" s="64">
        <v>9.43</v>
      </c>
      <c r="R13" s="198"/>
      <c r="S13" s="198"/>
      <c r="T13" s="198"/>
      <c r="U13" s="198"/>
    </row>
    <row r="14" spans="1:21" s="12" customFormat="1" x14ac:dyDescent="0.25">
      <c r="A14" s="214" t="s">
        <v>1405</v>
      </c>
      <c r="B14" s="64">
        <v>15.88</v>
      </c>
      <c r="C14" s="64">
        <v>25.64</v>
      </c>
      <c r="D14" s="64">
        <v>26.05</v>
      </c>
      <c r="E14" s="64">
        <v>0.53</v>
      </c>
      <c r="F14" s="64">
        <v>3.25</v>
      </c>
      <c r="G14" s="64">
        <v>35.99</v>
      </c>
      <c r="H14" s="64">
        <v>18.809999999999999</v>
      </c>
      <c r="I14" s="64">
        <v>6.82</v>
      </c>
      <c r="J14" s="64">
        <v>0.1</v>
      </c>
      <c r="K14" s="64">
        <v>324.26</v>
      </c>
      <c r="L14" s="64">
        <v>18.440000000000001</v>
      </c>
      <c r="M14" s="64">
        <v>97.9</v>
      </c>
      <c r="N14" s="64">
        <v>16.8</v>
      </c>
      <c r="O14" s="64">
        <v>0</v>
      </c>
      <c r="P14" s="64">
        <v>0.62</v>
      </c>
      <c r="Q14" s="64">
        <v>9.41</v>
      </c>
      <c r="R14" s="198"/>
      <c r="S14" s="198"/>
      <c r="T14" s="198"/>
      <c r="U14" s="198"/>
    </row>
    <row r="15" spans="1:21" s="12" customFormat="1" x14ac:dyDescent="0.25">
      <c r="A15" s="214" t="s">
        <v>1406</v>
      </c>
      <c r="B15" s="64">
        <v>15.52</v>
      </c>
      <c r="C15" s="64">
        <v>25.27</v>
      </c>
      <c r="D15" s="64">
        <v>25.57</v>
      </c>
      <c r="E15" s="64">
        <v>0.48</v>
      </c>
      <c r="F15" s="64">
        <v>3.28</v>
      </c>
      <c r="G15" s="64">
        <v>35.99</v>
      </c>
      <c r="H15" s="64">
        <v>18.809999999999999</v>
      </c>
      <c r="I15" s="64">
        <v>6.69</v>
      </c>
      <c r="J15" s="64">
        <v>0.12</v>
      </c>
      <c r="K15" s="64">
        <v>268.19</v>
      </c>
      <c r="L15" s="64">
        <v>18.3</v>
      </c>
      <c r="M15" s="64">
        <v>97.9</v>
      </c>
      <c r="N15" s="64">
        <v>16.600000000000001</v>
      </c>
      <c r="O15" s="64">
        <v>0</v>
      </c>
      <c r="P15" s="64">
        <v>0.6</v>
      </c>
      <c r="Q15" s="64">
        <v>9.4700000000000006</v>
      </c>
      <c r="R15" s="198"/>
      <c r="S15" s="198"/>
      <c r="T15" s="198"/>
      <c r="U15" s="198"/>
    </row>
    <row r="16" spans="1:21" s="12" customFormat="1" x14ac:dyDescent="0.25">
      <c r="A16" s="214" t="s">
        <v>1407</v>
      </c>
      <c r="B16" s="64">
        <v>15.23</v>
      </c>
      <c r="C16" s="64">
        <v>24.92</v>
      </c>
      <c r="D16" s="64">
        <v>25.15</v>
      </c>
      <c r="E16" s="64">
        <v>0.46</v>
      </c>
      <c r="F16" s="64">
        <v>3.33</v>
      </c>
      <c r="G16" s="64">
        <v>36.520000000000003</v>
      </c>
      <c r="H16" s="64">
        <v>18.71</v>
      </c>
      <c r="I16" s="64">
        <v>6.51</v>
      </c>
      <c r="J16" s="64">
        <v>0.17</v>
      </c>
      <c r="K16" s="64">
        <v>336.05</v>
      </c>
      <c r="L16" s="64">
        <v>18.350000000000001</v>
      </c>
      <c r="M16" s="64">
        <v>97.9</v>
      </c>
      <c r="N16" s="64">
        <v>16.600000000000001</v>
      </c>
      <c r="O16" s="64">
        <v>0</v>
      </c>
      <c r="P16" s="64">
        <v>0.6</v>
      </c>
      <c r="Q16" s="64">
        <v>9.4499999999999993</v>
      </c>
      <c r="R16" s="198"/>
      <c r="S16" s="198"/>
      <c r="T16" s="198"/>
      <c r="U16" s="198"/>
    </row>
    <row r="17" spans="1:21" s="12" customFormat="1" x14ac:dyDescent="0.25">
      <c r="A17" s="214" t="s">
        <v>1408</v>
      </c>
      <c r="B17" s="64">
        <v>15.33</v>
      </c>
      <c r="C17" s="64">
        <v>24.73</v>
      </c>
      <c r="D17" s="64">
        <v>25.14</v>
      </c>
      <c r="E17" s="64">
        <v>0.44</v>
      </c>
      <c r="F17" s="64">
        <v>3.31</v>
      </c>
      <c r="G17" s="64">
        <v>43.95</v>
      </c>
      <c r="H17" s="64">
        <v>17.010000000000002</v>
      </c>
      <c r="I17" s="64">
        <v>6.38</v>
      </c>
      <c r="J17" s="64">
        <v>0.08</v>
      </c>
      <c r="K17" s="64">
        <v>5.73</v>
      </c>
      <c r="L17" s="64">
        <v>18.03</v>
      </c>
      <c r="M17" s="64">
        <v>97.9</v>
      </c>
      <c r="N17" s="64">
        <v>16.600000000000001</v>
      </c>
      <c r="O17" s="64">
        <v>0</v>
      </c>
      <c r="P17" s="64">
        <v>0.59</v>
      </c>
      <c r="Q17" s="64">
        <v>9.5</v>
      </c>
      <c r="R17" s="198"/>
      <c r="S17" s="198"/>
      <c r="T17" s="198"/>
      <c r="U17" s="198"/>
    </row>
    <row r="18" spans="1:21" s="12" customFormat="1" x14ac:dyDescent="0.25">
      <c r="A18" s="214" t="s">
        <v>1409</v>
      </c>
      <c r="B18" s="64">
        <v>15.88</v>
      </c>
      <c r="C18" s="64">
        <v>24.69</v>
      </c>
      <c r="D18" s="64">
        <v>25.56</v>
      </c>
      <c r="E18" s="64">
        <v>0.35</v>
      </c>
      <c r="F18" s="64">
        <v>3.48</v>
      </c>
      <c r="G18" s="64">
        <v>43.95</v>
      </c>
      <c r="H18" s="64">
        <v>17.010000000000002</v>
      </c>
      <c r="I18" s="64">
        <v>6.23</v>
      </c>
      <c r="J18" s="64">
        <v>0.12</v>
      </c>
      <c r="K18" s="64">
        <v>284.66000000000003</v>
      </c>
      <c r="L18" s="64">
        <v>18.12</v>
      </c>
      <c r="M18" s="64">
        <v>97.9</v>
      </c>
      <c r="N18" s="64">
        <v>16.399999999999999</v>
      </c>
      <c r="O18" s="64">
        <v>0</v>
      </c>
      <c r="P18" s="64">
        <v>0.57999999999999996</v>
      </c>
      <c r="Q18" s="64">
        <v>9.4600000000000009</v>
      </c>
      <c r="R18" s="198"/>
      <c r="S18" s="198"/>
      <c r="T18" s="198"/>
      <c r="U18" s="198"/>
    </row>
    <row r="19" spans="1:21" s="12" customFormat="1" x14ac:dyDescent="0.25">
      <c r="A19" s="214" t="s">
        <v>1410</v>
      </c>
      <c r="B19" s="64">
        <v>16.12</v>
      </c>
      <c r="C19" s="64">
        <v>24.71</v>
      </c>
      <c r="D19" s="64">
        <v>25.76</v>
      </c>
      <c r="E19" s="64">
        <v>0.68</v>
      </c>
      <c r="F19" s="64">
        <v>3.48</v>
      </c>
      <c r="G19" s="64">
        <v>43.95</v>
      </c>
      <c r="H19" s="64">
        <v>17.010000000000002</v>
      </c>
      <c r="I19" s="64">
        <v>6.12</v>
      </c>
      <c r="J19" s="64">
        <v>0.14000000000000001</v>
      </c>
      <c r="K19" s="64">
        <v>1.87</v>
      </c>
      <c r="L19" s="64">
        <v>18.07</v>
      </c>
      <c r="M19" s="64">
        <v>97.95</v>
      </c>
      <c r="N19" s="64">
        <v>16.7</v>
      </c>
      <c r="O19" s="64">
        <v>0</v>
      </c>
      <c r="P19" s="64">
        <v>0.56999999999999995</v>
      </c>
      <c r="Q19" s="64">
        <v>9.4600000000000009</v>
      </c>
      <c r="R19" s="198"/>
      <c r="S19" s="198"/>
      <c r="T19" s="198"/>
      <c r="U19" s="198"/>
    </row>
    <row r="20" spans="1:21" s="12" customFormat="1" x14ac:dyDescent="0.25">
      <c r="A20" s="214" t="s">
        <v>1411</v>
      </c>
      <c r="B20" s="64">
        <v>16.16</v>
      </c>
      <c r="C20" s="64">
        <v>24.62</v>
      </c>
      <c r="D20" s="64">
        <v>25.74</v>
      </c>
      <c r="E20" s="64">
        <v>0.85</v>
      </c>
      <c r="F20" s="64">
        <v>3.03</v>
      </c>
      <c r="G20" s="64">
        <v>43.89</v>
      </c>
      <c r="H20" s="64">
        <v>17.02</v>
      </c>
      <c r="I20" s="64">
        <v>6</v>
      </c>
      <c r="J20" s="64">
        <v>0.09</v>
      </c>
      <c r="K20" s="64">
        <v>223.99</v>
      </c>
      <c r="L20" s="64">
        <v>18.09</v>
      </c>
      <c r="M20" s="64">
        <v>97.95</v>
      </c>
      <c r="N20" s="64">
        <v>16.3</v>
      </c>
      <c r="O20" s="64">
        <v>0</v>
      </c>
      <c r="P20" s="64">
        <v>0.56000000000000005</v>
      </c>
      <c r="Q20" s="64">
        <v>9.3800000000000008</v>
      </c>
      <c r="R20" s="198"/>
      <c r="S20" s="198"/>
      <c r="T20" s="198"/>
      <c r="U20" s="198"/>
    </row>
    <row r="21" spans="1:21" s="12" customFormat="1" x14ac:dyDescent="0.25">
      <c r="A21" s="214" t="s">
        <v>1412</v>
      </c>
      <c r="B21" s="64">
        <v>16.38</v>
      </c>
      <c r="C21" s="64">
        <v>24.4</v>
      </c>
      <c r="D21" s="64">
        <v>25.8</v>
      </c>
      <c r="E21" s="64">
        <v>0.85</v>
      </c>
      <c r="F21" s="64">
        <v>3.1</v>
      </c>
      <c r="G21" s="64">
        <v>43.02</v>
      </c>
      <c r="H21" s="64">
        <v>17.04</v>
      </c>
      <c r="I21" s="64">
        <v>5.92</v>
      </c>
      <c r="J21" s="64">
        <v>0.11</v>
      </c>
      <c r="K21" s="64">
        <v>248.44</v>
      </c>
      <c r="L21" s="64">
        <v>18.23</v>
      </c>
      <c r="M21" s="64">
        <v>97.95</v>
      </c>
      <c r="N21" s="64">
        <v>16.399999999999999</v>
      </c>
      <c r="O21" s="64">
        <v>0</v>
      </c>
      <c r="P21" s="64">
        <v>0.55000000000000004</v>
      </c>
      <c r="Q21" s="64">
        <v>9.4499999999999993</v>
      </c>
      <c r="R21" s="198"/>
      <c r="S21" s="198"/>
      <c r="T21" s="198"/>
      <c r="U21" s="198"/>
    </row>
    <row r="22" spans="1:21" s="12" customFormat="1" x14ac:dyDescent="0.25">
      <c r="A22" s="214" t="s">
        <v>1413</v>
      </c>
      <c r="B22" s="64">
        <v>16.899999999999999</v>
      </c>
      <c r="C22" s="64">
        <v>25.16</v>
      </c>
      <c r="D22" s="64">
        <v>26.62</v>
      </c>
      <c r="E22" s="64">
        <v>0.52</v>
      </c>
      <c r="F22" s="64">
        <v>3.56</v>
      </c>
      <c r="G22" s="64">
        <v>43.02</v>
      </c>
      <c r="H22" s="64">
        <v>17.04</v>
      </c>
      <c r="I22" s="64">
        <v>5.81</v>
      </c>
      <c r="J22" s="64">
        <v>0.2</v>
      </c>
      <c r="K22" s="64">
        <v>339.06</v>
      </c>
      <c r="L22" s="64">
        <v>18.21</v>
      </c>
      <c r="M22" s="64">
        <v>97.95</v>
      </c>
      <c r="N22" s="64">
        <v>16.7</v>
      </c>
      <c r="O22" s="64">
        <v>0</v>
      </c>
      <c r="P22" s="64">
        <v>0.54</v>
      </c>
      <c r="Q22" s="64">
        <v>9.4</v>
      </c>
      <c r="R22" s="198"/>
      <c r="S22" s="198"/>
      <c r="T22" s="198"/>
      <c r="U22" s="198"/>
    </row>
    <row r="23" spans="1:21" s="12" customFormat="1" x14ac:dyDescent="0.25">
      <c r="A23" s="214" t="s">
        <v>1414</v>
      </c>
      <c r="B23" s="64">
        <v>17.39</v>
      </c>
      <c r="C23" s="64">
        <v>26.38</v>
      </c>
      <c r="D23" s="64">
        <v>27.64</v>
      </c>
      <c r="E23" s="64">
        <v>0.47</v>
      </c>
      <c r="F23" s="64">
        <v>3.43</v>
      </c>
      <c r="G23" s="64">
        <v>43.02</v>
      </c>
      <c r="H23" s="64">
        <v>17.04</v>
      </c>
      <c r="I23" s="64">
        <v>5.71</v>
      </c>
      <c r="J23" s="64">
        <v>0.24</v>
      </c>
      <c r="K23" s="64">
        <v>68.959999999999994</v>
      </c>
      <c r="L23" s="64">
        <v>18.059999999999999</v>
      </c>
      <c r="M23" s="64">
        <v>97.95</v>
      </c>
      <c r="N23" s="64">
        <v>16.399999999999999</v>
      </c>
      <c r="O23" s="64">
        <v>0</v>
      </c>
      <c r="P23" s="64">
        <v>0.54</v>
      </c>
      <c r="Q23" s="64">
        <v>9.36</v>
      </c>
      <c r="R23" s="198"/>
      <c r="S23" s="198"/>
      <c r="T23" s="198"/>
      <c r="U23" s="198"/>
    </row>
    <row r="24" spans="1:21" s="12" customFormat="1" x14ac:dyDescent="0.25">
      <c r="A24" s="214" t="s">
        <v>1415</v>
      </c>
      <c r="B24" s="64">
        <v>17.75</v>
      </c>
      <c r="C24" s="64">
        <v>26.42</v>
      </c>
      <c r="D24" s="64">
        <v>27.96</v>
      </c>
      <c r="E24" s="64">
        <v>1.04</v>
      </c>
      <c r="F24" s="64">
        <v>3.38</v>
      </c>
      <c r="G24" s="64">
        <v>42.71</v>
      </c>
      <c r="H24" s="64">
        <v>17.059999999999999</v>
      </c>
      <c r="I24" s="64">
        <v>5.69</v>
      </c>
      <c r="J24" s="64">
        <v>0.32</v>
      </c>
      <c r="K24" s="64">
        <v>72.39</v>
      </c>
      <c r="L24" s="64">
        <v>18.59</v>
      </c>
      <c r="M24" s="64">
        <v>97.91</v>
      </c>
      <c r="N24" s="64">
        <v>15.5</v>
      </c>
      <c r="O24" s="64">
        <v>0</v>
      </c>
      <c r="P24" s="64">
        <v>0.54</v>
      </c>
      <c r="Q24" s="64">
        <v>9.3800000000000008</v>
      </c>
      <c r="R24" s="198"/>
      <c r="S24" s="198"/>
      <c r="T24" s="198"/>
      <c r="U24" s="198"/>
    </row>
    <row r="25" spans="1:21" s="12" customFormat="1" x14ac:dyDescent="0.25">
      <c r="A25" s="214" t="s">
        <v>1416</v>
      </c>
      <c r="B25" s="64">
        <v>17.920000000000002</v>
      </c>
      <c r="C25" s="64">
        <v>27.02</v>
      </c>
      <c r="D25" s="64">
        <v>28.4</v>
      </c>
      <c r="E25" s="64">
        <v>0.9</v>
      </c>
      <c r="F25" s="64">
        <v>3.21</v>
      </c>
      <c r="G25" s="64">
        <v>37.46</v>
      </c>
      <c r="H25" s="64">
        <v>17.39</v>
      </c>
      <c r="I25" s="64">
        <v>5.8</v>
      </c>
      <c r="J25" s="64">
        <v>0.34</v>
      </c>
      <c r="K25" s="64">
        <v>87.77</v>
      </c>
      <c r="L25" s="64">
        <v>19.02</v>
      </c>
      <c r="M25" s="64">
        <v>97.57</v>
      </c>
      <c r="N25" s="64">
        <v>15.2</v>
      </c>
      <c r="O25" s="64">
        <v>0</v>
      </c>
      <c r="P25" s="64">
        <v>0.53</v>
      </c>
      <c r="Q25" s="64">
        <v>9.23</v>
      </c>
      <c r="R25" s="198"/>
      <c r="S25" s="198"/>
      <c r="T25" s="198"/>
      <c r="U25" s="198"/>
    </row>
    <row r="26" spans="1:21" s="12" customFormat="1" x14ac:dyDescent="0.25">
      <c r="A26" s="214" t="s">
        <v>1417</v>
      </c>
      <c r="B26" s="64">
        <v>18.18</v>
      </c>
      <c r="C26" s="64">
        <v>26.68</v>
      </c>
      <c r="D26" s="64">
        <v>28.44</v>
      </c>
      <c r="E26" s="64">
        <v>1.36</v>
      </c>
      <c r="F26" s="64">
        <v>3.31</v>
      </c>
      <c r="G26" s="64">
        <v>37.46</v>
      </c>
      <c r="H26" s="64">
        <v>17.39</v>
      </c>
      <c r="I26" s="64">
        <v>5.93</v>
      </c>
      <c r="J26" s="64">
        <v>0.15</v>
      </c>
      <c r="K26" s="64">
        <v>260.76</v>
      </c>
      <c r="L26" s="64">
        <v>18.61</v>
      </c>
      <c r="M26" s="64">
        <v>97.9</v>
      </c>
      <c r="N26" s="64">
        <v>16.399999999999999</v>
      </c>
      <c r="O26" s="64">
        <v>0</v>
      </c>
      <c r="P26" s="64">
        <v>0.52</v>
      </c>
      <c r="Q26" s="64">
        <v>9.36</v>
      </c>
      <c r="R26" s="198"/>
      <c r="S26" s="198"/>
      <c r="T26" s="198"/>
      <c r="U26" s="198"/>
    </row>
    <row r="27" spans="1:21" s="12" customFormat="1" x14ac:dyDescent="0.25">
      <c r="A27" s="214" t="s">
        <v>1418</v>
      </c>
      <c r="B27" s="64">
        <v>18.670000000000002</v>
      </c>
      <c r="C27" s="64">
        <v>26.29</v>
      </c>
      <c r="D27" s="64">
        <v>28.62</v>
      </c>
      <c r="E27" s="64">
        <v>0.83</v>
      </c>
      <c r="F27" s="64">
        <v>3.39</v>
      </c>
      <c r="G27" s="64">
        <v>37.46</v>
      </c>
      <c r="H27" s="64">
        <v>17.39</v>
      </c>
      <c r="I27" s="64">
        <v>6.11</v>
      </c>
      <c r="J27" s="64">
        <v>0.16</v>
      </c>
      <c r="K27" s="64">
        <v>339.27</v>
      </c>
      <c r="L27" s="64">
        <v>18.22</v>
      </c>
      <c r="M27" s="64">
        <v>97.93</v>
      </c>
      <c r="N27" s="64">
        <v>16.600000000000001</v>
      </c>
      <c r="O27" s="64">
        <v>0</v>
      </c>
      <c r="P27" s="64">
        <v>0.52</v>
      </c>
      <c r="Q27" s="64">
        <v>9.5</v>
      </c>
      <c r="R27" s="198"/>
      <c r="S27" s="198"/>
      <c r="T27" s="198"/>
      <c r="U27" s="198"/>
    </row>
    <row r="28" spans="1:21" s="12" customFormat="1" x14ac:dyDescent="0.25">
      <c r="A28" s="214" t="s">
        <v>1419</v>
      </c>
      <c r="B28" s="64">
        <v>19.25</v>
      </c>
      <c r="C28" s="64">
        <v>26.39</v>
      </c>
      <c r="D28" s="64">
        <v>29.14</v>
      </c>
      <c r="E28" s="64">
        <v>1.05</v>
      </c>
      <c r="F28" s="64">
        <v>3.02</v>
      </c>
      <c r="G28" s="64">
        <v>37.380000000000003</v>
      </c>
      <c r="H28" s="64">
        <v>17.25</v>
      </c>
      <c r="I28" s="64">
        <v>6.15</v>
      </c>
      <c r="J28" s="64">
        <v>0.1</v>
      </c>
      <c r="K28" s="64">
        <v>24.84</v>
      </c>
      <c r="L28" s="64">
        <v>18.02</v>
      </c>
      <c r="M28" s="64">
        <v>97.93</v>
      </c>
      <c r="N28" s="64">
        <v>16.600000000000001</v>
      </c>
      <c r="O28" s="64">
        <v>0</v>
      </c>
      <c r="P28" s="64">
        <v>0.52</v>
      </c>
      <c r="Q28" s="64">
        <v>9.5299999999999994</v>
      </c>
      <c r="R28" s="198"/>
      <c r="S28" s="198"/>
      <c r="T28" s="198"/>
      <c r="U28" s="198"/>
    </row>
    <row r="29" spans="1:21" s="12" customFormat="1" x14ac:dyDescent="0.25">
      <c r="A29" s="214" t="s">
        <v>1420</v>
      </c>
      <c r="B29" s="64">
        <v>19.760000000000002</v>
      </c>
      <c r="C29" s="64">
        <v>24.9</v>
      </c>
      <c r="D29" s="64">
        <v>28.78</v>
      </c>
      <c r="E29" s="64">
        <v>1.18</v>
      </c>
      <c r="F29" s="64">
        <v>3.53</v>
      </c>
      <c r="G29" s="64">
        <v>36.06</v>
      </c>
      <c r="H29" s="64">
        <v>14.83</v>
      </c>
      <c r="I29" s="64">
        <v>6.21</v>
      </c>
      <c r="J29" s="64">
        <v>0.52</v>
      </c>
      <c r="K29" s="64">
        <v>326.58</v>
      </c>
      <c r="L29" s="64">
        <v>18.03</v>
      </c>
      <c r="M29" s="64">
        <v>97.93</v>
      </c>
      <c r="N29" s="64">
        <v>16</v>
      </c>
      <c r="O29" s="64">
        <v>0</v>
      </c>
      <c r="P29" s="64">
        <v>0.53</v>
      </c>
      <c r="Q29" s="64">
        <v>9.56</v>
      </c>
      <c r="R29" s="198"/>
      <c r="S29" s="198"/>
      <c r="T29" s="198"/>
      <c r="U29" s="198"/>
    </row>
    <row r="30" spans="1:21" s="12" customFormat="1" x14ac:dyDescent="0.25">
      <c r="A30" s="214" t="s">
        <v>1421</v>
      </c>
      <c r="B30" s="64">
        <v>19.7</v>
      </c>
      <c r="C30" s="64">
        <v>24.76</v>
      </c>
      <c r="D30" s="64">
        <v>28.65</v>
      </c>
      <c r="E30" s="64">
        <v>1.21</v>
      </c>
      <c r="F30" s="64">
        <v>3.23</v>
      </c>
      <c r="G30" s="64">
        <v>36.06</v>
      </c>
      <c r="H30" s="64">
        <v>14.83</v>
      </c>
      <c r="I30" s="64">
        <v>6.22</v>
      </c>
      <c r="J30" s="64">
        <v>0.56000000000000005</v>
      </c>
      <c r="K30" s="64">
        <v>5.04</v>
      </c>
      <c r="L30" s="64">
        <v>18.28</v>
      </c>
      <c r="M30" s="64">
        <v>97.94</v>
      </c>
      <c r="N30" s="64">
        <v>16.399999999999999</v>
      </c>
      <c r="O30" s="64">
        <v>0</v>
      </c>
      <c r="P30" s="64">
        <v>0.54</v>
      </c>
      <c r="Q30" s="64">
        <v>9.4700000000000006</v>
      </c>
      <c r="R30" s="198"/>
      <c r="S30" s="198"/>
      <c r="T30" s="198"/>
      <c r="U30" s="198"/>
    </row>
    <row r="31" spans="1:21" s="12" customFormat="1" x14ac:dyDescent="0.25">
      <c r="A31" s="214" t="s">
        <v>1422</v>
      </c>
      <c r="B31" s="64">
        <v>19.87</v>
      </c>
      <c r="C31" s="64">
        <v>24.33</v>
      </c>
      <c r="D31" s="64">
        <v>28.57</v>
      </c>
      <c r="E31" s="64">
        <v>1.61</v>
      </c>
      <c r="F31" s="64">
        <v>2.87</v>
      </c>
      <c r="G31" s="64">
        <v>36.06</v>
      </c>
      <c r="H31" s="64">
        <v>14.83</v>
      </c>
      <c r="I31" s="64">
        <v>6.26</v>
      </c>
      <c r="J31" s="64">
        <v>1.03</v>
      </c>
      <c r="K31" s="64">
        <v>1.32</v>
      </c>
      <c r="L31" s="64">
        <v>18.579999999999998</v>
      </c>
      <c r="M31" s="64">
        <v>97.93</v>
      </c>
      <c r="N31" s="64">
        <v>21.9</v>
      </c>
      <c r="O31" s="64">
        <v>0</v>
      </c>
      <c r="P31" s="64">
        <v>0.57999999999999996</v>
      </c>
      <c r="Q31" s="64">
        <v>9.51</v>
      </c>
      <c r="R31" s="198"/>
      <c r="S31" s="198"/>
      <c r="T31" s="198"/>
      <c r="U31" s="198"/>
    </row>
    <row r="32" spans="1:21" s="12" customFormat="1" x14ac:dyDescent="0.25">
      <c r="A32" s="214" t="s">
        <v>1423</v>
      </c>
      <c r="B32" s="64">
        <v>21.35</v>
      </c>
      <c r="C32" s="64">
        <v>24.56</v>
      </c>
      <c r="D32" s="64">
        <v>29.87</v>
      </c>
      <c r="E32" s="64">
        <v>1.45</v>
      </c>
      <c r="F32" s="64">
        <v>2.83</v>
      </c>
      <c r="G32" s="64">
        <v>43.22</v>
      </c>
      <c r="H32" s="64">
        <v>15.56</v>
      </c>
      <c r="I32" s="64">
        <v>6.28</v>
      </c>
      <c r="J32" s="64">
        <v>0.86</v>
      </c>
      <c r="K32" s="64">
        <v>358.38</v>
      </c>
      <c r="L32" s="64">
        <v>18.940000000000001</v>
      </c>
      <c r="M32" s="64">
        <v>97.92</v>
      </c>
      <c r="N32" s="64">
        <v>41.8</v>
      </c>
      <c r="O32" s="64">
        <v>0</v>
      </c>
      <c r="P32" s="64">
        <v>0.64</v>
      </c>
      <c r="Q32" s="64">
        <v>9.52</v>
      </c>
      <c r="R32" s="198"/>
      <c r="S32" s="198"/>
      <c r="T32" s="198"/>
      <c r="U32" s="198"/>
    </row>
    <row r="33" spans="1:21" s="12" customFormat="1" x14ac:dyDescent="0.25">
      <c r="A33" s="214" t="s">
        <v>1424</v>
      </c>
      <c r="B33" s="64">
        <v>22.83</v>
      </c>
      <c r="C33" s="64">
        <v>24.68</v>
      </c>
      <c r="D33" s="64">
        <v>31.12</v>
      </c>
      <c r="E33" s="64">
        <v>1.63</v>
      </c>
      <c r="F33" s="64">
        <v>3.07</v>
      </c>
      <c r="G33" s="64">
        <v>143.47999999999999</v>
      </c>
      <c r="H33" s="64">
        <v>25.79</v>
      </c>
      <c r="I33" s="64">
        <v>6.38</v>
      </c>
      <c r="J33" s="64">
        <v>0.31</v>
      </c>
      <c r="K33" s="64">
        <v>337.94</v>
      </c>
      <c r="L33" s="64">
        <v>19.36</v>
      </c>
      <c r="M33" s="64">
        <v>97.88</v>
      </c>
      <c r="N33" s="64">
        <v>65.7</v>
      </c>
      <c r="O33" s="64">
        <v>0</v>
      </c>
      <c r="P33" s="64">
        <v>0.67</v>
      </c>
      <c r="Q33" s="64">
        <v>9.5399999999999991</v>
      </c>
      <c r="R33" s="198"/>
      <c r="S33" s="198"/>
      <c r="T33" s="198"/>
      <c r="U33" s="198"/>
    </row>
    <row r="34" spans="1:21" s="12" customFormat="1" x14ac:dyDescent="0.25">
      <c r="A34" s="214" t="s">
        <v>1425</v>
      </c>
      <c r="B34" s="64">
        <v>23.69</v>
      </c>
      <c r="C34" s="64">
        <v>24.93</v>
      </c>
      <c r="D34" s="64">
        <v>31.94</v>
      </c>
      <c r="E34" s="64">
        <v>1.52</v>
      </c>
      <c r="F34" s="64">
        <v>3.51</v>
      </c>
      <c r="G34" s="64">
        <v>143.47999999999999</v>
      </c>
      <c r="H34" s="64">
        <v>25.79</v>
      </c>
      <c r="I34" s="64">
        <v>6.54</v>
      </c>
      <c r="J34" s="64">
        <v>0.14000000000000001</v>
      </c>
      <c r="K34" s="64">
        <v>238.96</v>
      </c>
      <c r="L34" s="64">
        <v>19.89</v>
      </c>
      <c r="M34" s="64">
        <v>97.82</v>
      </c>
      <c r="N34" s="64">
        <v>104.5</v>
      </c>
      <c r="O34" s="64">
        <v>0</v>
      </c>
      <c r="P34" s="64">
        <v>0.7</v>
      </c>
      <c r="Q34" s="64">
        <v>9.59</v>
      </c>
      <c r="R34" s="198"/>
      <c r="S34" s="198"/>
      <c r="T34" s="198"/>
      <c r="U34" s="198"/>
    </row>
    <row r="35" spans="1:21" s="12" customFormat="1" x14ac:dyDescent="0.25">
      <c r="A35" s="214" t="s">
        <v>1426</v>
      </c>
      <c r="B35" s="64">
        <v>24.19</v>
      </c>
      <c r="C35" s="64">
        <v>25.39</v>
      </c>
      <c r="D35" s="64">
        <v>32.58</v>
      </c>
      <c r="E35" s="64">
        <v>1.53</v>
      </c>
      <c r="F35" s="64">
        <v>2.78</v>
      </c>
      <c r="G35" s="64">
        <v>143.47999999999999</v>
      </c>
      <c r="H35" s="64">
        <v>25.79</v>
      </c>
      <c r="I35" s="64">
        <v>6.68</v>
      </c>
      <c r="J35" s="64">
        <v>0.56999999999999995</v>
      </c>
      <c r="K35" s="64">
        <v>177.22</v>
      </c>
      <c r="L35" s="64">
        <v>20.12</v>
      </c>
      <c r="M35" s="64">
        <v>97.32</v>
      </c>
      <c r="N35" s="64">
        <v>119.6</v>
      </c>
      <c r="O35" s="64">
        <v>0</v>
      </c>
      <c r="P35" s="64">
        <v>0.72</v>
      </c>
      <c r="Q35" s="64">
        <v>9.6</v>
      </c>
      <c r="R35" s="198"/>
      <c r="S35" s="198"/>
      <c r="T35" s="198"/>
      <c r="U35" s="198"/>
    </row>
    <row r="36" spans="1:21" s="12" customFormat="1" x14ac:dyDescent="0.25">
      <c r="A36" s="214" t="s">
        <v>1427</v>
      </c>
      <c r="B36" s="64">
        <v>24.37</v>
      </c>
      <c r="C36" s="64">
        <v>25.48</v>
      </c>
      <c r="D36" s="64">
        <v>32.770000000000003</v>
      </c>
      <c r="E36" s="64">
        <v>1.54</v>
      </c>
      <c r="F36" s="64">
        <v>3.23</v>
      </c>
      <c r="G36" s="64">
        <v>144.5</v>
      </c>
      <c r="H36" s="64">
        <v>26.66</v>
      </c>
      <c r="I36" s="64">
        <v>6.68</v>
      </c>
      <c r="J36" s="64">
        <v>0.08</v>
      </c>
      <c r="K36" s="64">
        <v>288.72000000000003</v>
      </c>
      <c r="L36" s="64">
        <v>20.37</v>
      </c>
      <c r="M36" s="64">
        <v>97.69</v>
      </c>
      <c r="N36" s="64">
        <v>159.80000000000001</v>
      </c>
      <c r="O36" s="64">
        <v>0</v>
      </c>
      <c r="P36" s="64">
        <v>0.76</v>
      </c>
      <c r="Q36" s="64">
        <v>9.49</v>
      </c>
      <c r="R36" s="198"/>
      <c r="S36" s="198"/>
      <c r="T36" s="198"/>
      <c r="U36" s="198"/>
    </row>
    <row r="37" spans="1:21" s="12" customFormat="1" x14ac:dyDescent="0.25">
      <c r="A37" s="214" t="s">
        <v>1428</v>
      </c>
      <c r="B37" s="64">
        <v>24.79</v>
      </c>
      <c r="C37" s="64">
        <v>26.06</v>
      </c>
      <c r="D37" s="64">
        <v>33.42</v>
      </c>
      <c r="E37" s="64">
        <v>1.62</v>
      </c>
      <c r="F37" s="64">
        <v>3.12</v>
      </c>
      <c r="G37" s="64">
        <v>158.76</v>
      </c>
      <c r="H37" s="64">
        <v>41.37</v>
      </c>
      <c r="I37" s="64">
        <v>6.76</v>
      </c>
      <c r="J37" s="64">
        <v>0.11</v>
      </c>
      <c r="K37" s="64">
        <v>274.77</v>
      </c>
      <c r="L37" s="64">
        <v>20.25</v>
      </c>
      <c r="M37" s="64">
        <v>97.44</v>
      </c>
      <c r="N37" s="64">
        <v>122.1</v>
      </c>
      <c r="O37" s="64">
        <v>0</v>
      </c>
      <c r="P37" s="64">
        <v>0.78</v>
      </c>
      <c r="Q37" s="64">
        <v>9.57</v>
      </c>
      <c r="R37" s="198"/>
      <c r="S37" s="198"/>
      <c r="T37" s="198"/>
      <c r="U37" s="198"/>
    </row>
    <row r="38" spans="1:21" s="12" customFormat="1" x14ac:dyDescent="0.25">
      <c r="A38" s="214" t="s">
        <v>1429</v>
      </c>
      <c r="B38" s="64">
        <v>25.39</v>
      </c>
      <c r="C38" s="64">
        <v>26.27</v>
      </c>
      <c r="D38" s="64">
        <v>34</v>
      </c>
      <c r="E38" s="64">
        <v>1.54</v>
      </c>
      <c r="F38" s="64">
        <v>3.25</v>
      </c>
      <c r="G38" s="64">
        <v>158.76</v>
      </c>
      <c r="H38" s="64">
        <v>41.37</v>
      </c>
      <c r="I38" s="64">
        <v>6.78</v>
      </c>
      <c r="J38" s="64">
        <v>0.49</v>
      </c>
      <c r="K38" s="64">
        <v>318.18</v>
      </c>
      <c r="L38" s="64">
        <v>21.31</v>
      </c>
      <c r="M38" s="64">
        <v>94.7</v>
      </c>
      <c r="N38" s="64">
        <v>174.7</v>
      </c>
      <c r="O38" s="64">
        <v>0</v>
      </c>
      <c r="P38" s="64">
        <v>0.82</v>
      </c>
      <c r="Q38" s="64">
        <v>9.6300000000000008</v>
      </c>
      <c r="R38" s="198"/>
      <c r="S38" s="198"/>
      <c r="T38" s="198"/>
      <c r="U38" s="198"/>
    </row>
    <row r="39" spans="1:21" s="12" customFormat="1" x14ac:dyDescent="0.25">
      <c r="A39" s="214" t="s">
        <v>1430</v>
      </c>
      <c r="B39" s="64">
        <v>25.99</v>
      </c>
      <c r="C39" s="64">
        <v>26.3</v>
      </c>
      <c r="D39" s="64">
        <v>34.5</v>
      </c>
      <c r="E39" s="64">
        <v>1.69</v>
      </c>
      <c r="F39" s="64">
        <v>2.95</v>
      </c>
      <c r="G39" s="64">
        <v>158.76</v>
      </c>
      <c r="H39" s="64">
        <v>41.37</v>
      </c>
      <c r="I39" s="64">
        <v>6.79</v>
      </c>
      <c r="J39" s="64">
        <v>0.89</v>
      </c>
      <c r="K39" s="64">
        <v>338.87</v>
      </c>
      <c r="L39" s="64">
        <v>22.15</v>
      </c>
      <c r="M39" s="64">
        <v>88.56</v>
      </c>
      <c r="N39" s="64">
        <v>168.7</v>
      </c>
      <c r="O39" s="64">
        <v>0</v>
      </c>
      <c r="P39" s="64">
        <v>0.84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14" t="s">
        <v>1431</v>
      </c>
      <c r="B40" s="64">
        <v>26.36</v>
      </c>
      <c r="C40" s="64">
        <v>27.27</v>
      </c>
      <c r="D40" s="64">
        <v>35.299999999999997</v>
      </c>
      <c r="E40" s="64">
        <v>2.87</v>
      </c>
      <c r="F40" s="64">
        <v>3.05</v>
      </c>
      <c r="G40" s="64">
        <v>156.4</v>
      </c>
      <c r="H40" s="64">
        <v>41.47</v>
      </c>
      <c r="I40" s="64">
        <v>6.69</v>
      </c>
      <c r="J40" s="64">
        <v>1.1000000000000001</v>
      </c>
      <c r="K40" s="64">
        <v>350.26</v>
      </c>
      <c r="L40" s="64">
        <v>22.32</v>
      </c>
      <c r="M40" s="64">
        <v>85.92</v>
      </c>
      <c r="N40" s="64">
        <v>165</v>
      </c>
      <c r="O40" s="64">
        <v>0</v>
      </c>
      <c r="P40" s="64">
        <v>0.85</v>
      </c>
      <c r="Q40" s="64">
        <v>9.5299999999999994</v>
      </c>
      <c r="R40" s="198"/>
      <c r="S40" s="198"/>
      <c r="T40" s="198"/>
      <c r="U40" s="198"/>
    </row>
    <row r="41" spans="1:21" s="12" customFormat="1" x14ac:dyDescent="0.25">
      <c r="A41" s="214" t="s">
        <v>1432</v>
      </c>
      <c r="B41" s="64">
        <v>26.87</v>
      </c>
      <c r="C41" s="64">
        <v>28.27</v>
      </c>
      <c r="D41" s="64">
        <v>36.24</v>
      </c>
      <c r="E41" s="64">
        <v>2.5299999999999998</v>
      </c>
      <c r="F41" s="64">
        <v>3.32</v>
      </c>
      <c r="G41" s="64">
        <v>123.27</v>
      </c>
      <c r="H41" s="64">
        <v>43.1</v>
      </c>
      <c r="I41" s="64">
        <v>6.39</v>
      </c>
      <c r="J41" s="64">
        <v>1.07</v>
      </c>
      <c r="K41" s="64">
        <v>358</v>
      </c>
      <c r="L41" s="64">
        <v>23.11</v>
      </c>
      <c r="M41" s="64">
        <v>80.87</v>
      </c>
      <c r="N41" s="64">
        <v>359.5</v>
      </c>
      <c r="O41" s="64">
        <v>0</v>
      </c>
      <c r="P41" s="64">
        <v>0.85</v>
      </c>
      <c r="Q41" s="64">
        <v>9.48</v>
      </c>
      <c r="R41" s="198"/>
      <c r="S41" s="198"/>
      <c r="T41" s="198"/>
      <c r="U41" s="198"/>
    </row>
    <row r="42" spans="1:21" s="12" customFormat="1" x14ac:dyDescent="0.25">
      <c r="A42" s="214" t="s">
        <v>1433</v>
      </c>
      <c r="B42" s="64">
        <v>27</v>
      </c>
      <c r="C42" s="64">
        <v>29.68</v>
      </c>
      <c r="D42" s="64">
        <v>37.08</v>
      </c>
      <c r="E42" s="64">
        <v>2.6</v>
      </c>
      <c r="F42" s="64">
        <v>3.34</v>
      </c>
      <c r="G42" s="64">
        <v>123.27</v>
      </c>
      <c r="H42" s="64">
        <v>43.1</v>
      </c>
      <c r="I42" s="64">
        <v>6.56</v>
      </c>
      <c r="J42" s="64">
        <v>0.44</v>
      </c>
      <c r="K42" s="64">
        <v>61.18</v>
      </c>
      <c r="L42" s="64">
        <v>24.55</v>
      </c>
      <c r="M42" s="64">
        <v>73.05</v>
      </c>
      <c r="N42" s="64">
        <v>389.1</v>
      </c>
      <c r="O42" s="64">
        <v>0</v>
      </c>
      <c r="P42" s="64">
        <v>0.87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4" t="s">
        <v>1434</v>
      </c>
      <c r="B43" s="64">
        <v>27.3</v>
      </c>
      <c r="C43" s="64">
        <v>30.01</v>
      </c>
      <c r="D43" s="64">
        <v>37.5</v>
      </c>
      <c r="E43" s="64">
        <v>2.34</v>
      </c>
      <c r="F43" s="64">
        <v>3.55</v>
      </c>
      <c r="G43" s="64">
        <v>123.27</v>
      </c>
      <c r="H43" s="64">
        <v>43.1</v>
      </c>
      <c r="I43" s="64">
        <v>7.2</v>
      </c>
      <c r="J43" s="64">
        <v>0.64</v>
      </c>
      <c r="K43" s="64">
        <v>96.23</v>
      </c>
      <c r="L43" s="64">
        <v>24.57</v>
      </c>
      <c r="M43" s="64">
        <v>73.53</v>
      </c>
      <c r="N43" s="64">
        <v>405.6</v>
      </c>
      <c r="O43" s="64">
        <v>0</v>
      </c>
      <c r="P43" s="64">
        <v>0.89</v>
      </c>
      <c r="Q43" s="64">
        <v>9.5299999999999994</v>
      </c>
      <c r="R43" s="198"/>
      <c r="S43" s="198"/>
      <c r="T43" s="198"/>
      <c r="U43" s="198"/>
    </row>
    <row r="44" spans="1:21" s="12" customFormat="1" x14ac:dyDescent="0.25">
      <c r="A44" s="214" t="s">
        <v>1435</v>
      </c>
      <c r="B44" s="64">
        <v>27.51</v>
      </c>
      <c r="C44" s="64">
        <v>30.56</v>
      </c>
      <c r="D44" s="64">
        <v>37.950000000000003</v>
      </c>
      <c r="E44" s="64">
        <v>2.04</v>
      </c>
      <c r="F44" s="64">
        <v>3.63</v>
      </c>
      <c r="G44" s="64">
        <v>124.99</v>
      </c>
      <c r="H44" s="64">
        <v>43.29</v>
      </c>
      <c r="I44" s="64">
        <v>7.55</v>
      </c>
      <c r="J44" s="64">
        <v>0.99</v>
      </c>
      <c r="K44" s="64">
        <v>102.97</v>
      </c>
      <c r="L44" s="64">
        <v>23.92</v>
      </c>
      <c r="M44" s="64">
        <v>75.47</v>
      </c>
      <c r="N44" s="64">
        <v>455.3</v>
      </c>
      <c r="O44" s="64">
        <v>0</v>
      </c>
      <c r="P44" s="64">
        <v>0.9</v>
      </c>
      <c r="Q44" s="64">
        <v>9.59</v>
      </c>
      <c r="R44" s="198"/>
      <c r="S44" s="198"/>
      <c r="T44" s="198"/>
      <c r="U44" s="198"/>
    </row>
    <row r="45" spans="1:21" s="12" customFormat="1" x14ac:dyDescent="0.25">
      <c r="A45" s="214" t="s">
        <v>1436</v>
      </c>
      <c r="B45" s="64">
        <v>27.35</v>
      </c>
      <c r="C45" s="64">
        <v>30.77</v>
      </c>
      <c r="D45" s="64">
        <v>37.93</v>
      </c>
      <c r="E45" s="64">
        <v>2.76</v>
      </c>
      <c r="F45" s="64">
        <v>3.88</v>
      </c>
      <c r="G45" s="64">
        <v>149.03</v>
      </c>
      <c r="H45" s="64">
        <v>45.99</v>
      </c>
      <c r="I45" s="64">
        <v>8.0399999999999991</v>
      </c>
      <c r="J45" s="64">
        <v>0.54</v>
      </c>
      <c r="K45" s="64">
        <v>94.17</v>
      </c>
      <c r="L45" s="64">
        <v>24.03</v>
      </c>
      <c r="M45" s="64">
        <v>73.75</v>
      </c>
      <c r="N45" s="64">
        <v>262.3</v>
      </c>
      <c r="O45" s="64">
        <v>0</v>
      </c>
      <c r="P45" s="64">
        <v>0.91</v>
      </c>
      <c r="Q45" s="64">
        <v>9.58</v>
      </c>
      <c r="R45" s="198"/>
      <c r="S45" s="198"/>
      <c r="T45" s="198"/>
      <c r="U45" s="198"/>
    </row>
    <row r="46" spans="1:21" s="12" customFormat="1" x14ac:dyDescent="0.25">
      <c r="A46" s="214" t="s">
        <v>1437</v>
      </c>
      <c r="B46" s="64">
        <v>26.85</v>
      </c>
      <c r="C46" s="64">
        <v>31.51</v>
      </c>
      <c r="D46" s="64">
        <v>37.92</v>
      </c>
      <c r="E46" s="64">
        <v>2.5299999999999998</v>
      </c>
      <c r="F46" s="64">
        <v>3.25</v>
      </c>
      <c r="G46" s="64">
        <v>149.03</v>
      </c>
      <c r="H46" s="64">
        <v>45.99</v>
      </c>
      <c r="I46" s="64">
        <v>8.84</v>
      </c>
      <c r="J46" s="64">
        <v>0.62</v>
      </c>
      <c r="K46" s="64">
        <v>145.58000000000001</v>
      </c>
      <c r="L46" s="64">
        <v>24.25</v>
      </c>
      <c r="M46" s="64">
        <v>72.19</v>
      </c>
      <c r="N46" s="64">
        <v>320.39999999999998</v>
      </c>
      <c r="O46" s="64">
        <v>0</v>
      </c>
      <c r="P46" s="64">
        <v>0.94</v>
      </c>
      <c r="Q46" s="64">
        <v>9.57</v>
      </c>
      <c r="R46" s="198"/>
      <c r="S46" s="198"/>
      <c r="T46" s="198"/>
      <c r="U46" s="198"/>
    </row>
    <row r="47" spans="1:21" s="12" customFormat="1" x14ac:dyDescent="0.25">
      <c r="A47" s="214" t="s">
        <v>1438</v>
      </c>
      <c r="B47" s="64">
        <v>25.98</v>
      </c>
      <c r="C47" s="64">
        <v>32.24</v>
      </c>
      <c r="D47" s="64">
        <v>37.6</v>
      </c>
      <c r="E47" s="64">
        <v>2.42</v>
      </c>
      <c r="F47" s="64">
        <v>3.55</v>
      </c>
      <c r="G47" s="64">
        <v>149.03</v>
      </c>
      <c r="H47" s="64">
        <v>45.99</v>
      </c>
      <c r="I47" s="64">
        <v>9.42</v>
      </c>
      <c r="J47" s="64">
        <v>0.49</v>
      </c>
      <c r="K47" s="64">
        <v>153.61000000000001</v>
      </c>
      <c r="L47" s="64">
        <v>24.87</v>
      </c>
      <c r="M47" s="64">
        <v>69.22</v>
      </c>
      <c r="N47" s="64">
        <v>357</v>
      </c>
      <c r="O47" s="64">
        <v>0</v>
      </c>
      <c r="P47" s="64">
        <v>0.95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14" t="s">
        <v>1439</v>
      </c>
      <c r="B48" s="64">
        <v>24.78</v>
      </c>
      <c r="C48" s="64">
        <v>33.01</v>
      </c>
      <c r="D48" s="64">
        <v>37.04</v>
      </c>
      <c r="E48" s="64">
        <v>2.6</v>
      </c>
      <c r="F48" s="64">
        <v>3.63</v>
      </c>
      <c r="G48" s="64">
        <v>150.15</v>
      </c>
      <c r="H48" s="64">
        <v>46.31</v>
      </c>
      <c r="I48" s="64">
        <v>9.8000000000000007</v>
      </c>
      <c r="J48" s="64">
        <v>0.63</v>
      </c>
      <c r="K48" s="64">
        <v>337.78</v>
      </c>
      <c r="L48" s="64">
        <v>26.65</v>
      </c>
      <c r="M48" s="64">
        <v>63.37</v>
      </c>
      <c r="N48" s="64">
        <v>350.8</v>
      </c>
      <c r="O48" s="64">
        <v>0</v>
      </c>
      <c r="P48" s="64">
        <v>0.99</v>
      </c>
      <c r="Q48" s="64">
        <v>9.56</v>
      </c>
      <c r="R48" s="198"/>
      <c r="S48" s="198"/>
      <c r="T48" s="198"/>
      <c r="U48" s="198"/>
    </row>
    <row r="49" spans="1:21" s="12" customFormat="1" x14ac:dyDescent="0.25">
      <c r="A49" s="214" t="s">
        <v>1440</v>
      </c>
      <c r="B49" s="64">
        <v>23.76</v>
      </c>
      <c r="C49" s="64">
        <v>33.46</v>
      </c>
      <c r="D49" s="64">
        <v>36.450000000000003</v>
      </c>
      <c r="E49" s="64">
        <v>2.41</v>
      </c>
      <c r="F49" s="64">
        <v>3.73</v>
      </c>
      <c r="G49" s="64">
        <v>165.74</v>
      </c>
      <c r="H49" s="64">
        <v>51.86</v>
      </c>
      <c r="I49" s="64">
        <v>9.86</v>
      </c>
      <c r="J49" s="64">
        <v>0.55000000000000004</v>
      </c>
      <c r="K49" s="64">
        <v>349.18</v>
      </c>
      <c r="L49" s="64">
        <v>27.93</v>
      </c>
      <c r="M49" s="64">
        <v>59.61</v>
      </c>
      <c r="N49" s="64">
        <v>412.7</v>
      </c>
      <c r="O49" s="64">
        <v>0</v>
      </c>
      <c r="P49" s="64">
        <v>1.04</v>
      </c>
      <c r="Q49" s="64">
        <v>9.66</v>
      </c>
      <c r="R49" s="198"/>
      <c r="S49" s="198"/>
      <c r="T49" s="198"/>
      <c r="U49" s="198"/>
    </row>
    <row r="50" spans="1:21" s="12" customFormat="1" x14ac:dyDescent="0.25">
      <c r="A50" s="214" t="s">
        <v>1441</v>
      </c>
      <c r="B50" s="64">
        <v>22.88</v>
      </c>
      <c r="C50" s="64">
        <v>34.58</v>
      </c>
      <c r="D50" s="64">
        <v>36.340000000000003</v>
      </c>
      <c r="E50" s="64">
        <v>2.62</v>
      </c>
      <c r="F50" s="64">
        <v>3.58</v>
      </c>
      <c r="G50" s="64">
        <v>165.74</v>
      </c>
      <c r="H50" s="64">
        <v>51.86</v>
      </c>
      <c r="I50" s="64">
        <v>9.82</v>
      </c>
      <c r="J50" s="64">
        <v>0.28999999999999998</v>
      </c>
      <c r="K50" s="64">
        <v>329.95</v>
      </c>
      <c r="L50" s="64">
        <v>28.21</v>
      </c>
      <c r="M50" s="64">
        <v>57.85</v>
      </c>
      <c r="N50" s="64">
        <v>397.7</v>
      </c>
      <c r="O50" s="64">
        <v>0</v>
      </c>
      <c r="P50" s="64">
        <v>1.1000000000000001</v>
      </c>
      <c r="Q50" s="64">
        <v>9.68</v>
      </c>
      <c r="R50" s="198"/>
      <c r="S50" s="198"/>
      <c r="T50" s="198"/>
      <c r="U50" s="198"/>
    </row>
    <row r="51" spans="1:21" s="12" customFormat="1" x14ac:dyDescent="0.25">
      <c r="A51" s="214" t="s">
        <v>1442</v>
      </c>
      <c r="B51" s="64">
        <v>21.79</v>
      </c>
      <c r="C51" s="64">
        <v>35.26</v>
      </c>
      <c r="D51" s="64">
        <v>35.81</v>
      </c>
      <c r="E51" s="64">
        <v>2.58</v>
      </c>
      <c r="F51" s="64">
        <v>3.69</v>
      </c>
      <c r="G51" s="64">
        <v>165.74</v>
      </c>
      <c r="H51" s="64">
        <v>51.86</v>
      </c>
      <c r="I51" s="64">
        <v>9.8800000000000008</v>
      </c>
      <c r="J51" s="64">
        <v>0.22</v>
      </c>
      <c r="K51" s="64">
        <v>312.79000000000002</v>
      </c>
      <c r="L51" s="64">
        <v>28.63</v>
      </c>
      <c r="M51" s="64">
        <v>56.31</v>
      </c>
      <c r="N51" s="64">
        <v>366.8</v>
      </c>
      <c r="O51" s="64">
        <v>0</v>
      </c>
      <c r="P51" s="64">
        <v>1.1499999999999999</v>
      </c>
      <c r="Q51" s="64">
        <v>9.57</v>
      </c>
      <c r="R51" s="198"/>
      <c r="S51" s="198"/>
      <c r="T51" s="198"/>
      <c r="U51" s="198"/>
    </row>
    <row r="52" spans="1:21" s="12" customFormat="1" x14ac:dyDescent="0.25">
      <c r="A52" s="214" t="s">
        <v>1443</v>
      </c>
      <c r="B52" s="64">
        <v>20.28</v>
      </c>
      <c r="C52" s="64">
        <v>36.51</v>
      </c>
      <c r="D52" s="64">
        <v>35.26</v>
      </c>
      <c r="E52" s="64">
        <v>2.61</v>
      </c>
      <c r="F52" s="64">
        <v>3.67</v>
      </c>
      <c r="G52" s="64">
        <v>163.96</v>
      </c>
      <c r="H52" s="64">
        <v>52.05</v>
      </c>
      <c r="I52" s="64">
        <v>9.91</v>
      </c>
      <c r="J52" s="64">
        <v>0.13</v>
      </c>
      <c r="K52" s="64">
        <v>256.33</v>
      </c>
      <c r="L52" s="64">
        <v>26.66</v>
      </c>
      <c r="M52" s="64">
        <v>61.08</v>
      </c>
      <c r="N52" s="64">
        <v>250.6</v>
      </c>
      <c r="O52" s="64">
        <v>0</v>
      </c>
      <c r="P52" s="64">
        <v>1.19</v>
      </c>
      <c r="Q52" s="64">
        <v>9.4499999999999993</v>
      </c>
      <c r="R52" s="198"/>
      <c r="S52" s="198"/>
      <c r="T52" s="198"/>
      <c r="U52" s="198"/>
    </row>
    <row r="53" spans="1:21" s="12" customFormat="1" x14ac:dyDescent="0.25">
      <c r="A53" s="214" t="s">
        <v>1444</v>
      </c>
      <c r="B53" s="64">
        <v>17.3</v>
      </c>
      <c r="C53" s="64">
        <v>39.39</v>
      </c>
      <c r="D53" s="64">
        <v>34.369999999999997</v>
      </c>
      <c r="E53" s="64">
        <v>2.4700000000000002</v>
      </c>
      <c r="F53" s="64">
        <v>3.8</v>
      </c>
      <c r="G53" s="64">
        <v>139.1</v>
      </c>
      <c r="H53" s="64">
        <v>54.72</v>
      </c>
      <c r="I53" s="64">
        <v>10.01</v>
      </c>
      <c r="J53" s="64">
        <v>0.08</v>
      </c>
      <c r="K53" s="64">
        <v>207.52</v>
      </c>
      <c r="L53" s="64">
        <v>25.75</v>
      </c>
      <c r="M53" s="64">
        <v>64.099999999999994</v>
      </c>
      <c r="N53" s="64">
        <v>262</v>
      </c>
      <c r="O53" s="64">
        <v>0</v>
      </c>
      <c r="P53" s="64">
        <v>1.22</v>
      </c>
      <c r="Q53" s="64">
        <v>9.4700000000000006</v>
      </c>
      <c r="R53" s="198"/>
      <c r="S53" s="198"/>
      <c r="T53" s="198"/>
      <c r="U53" s="198"/>
    </row>
    <row r="54" spans="1:21" s="12" customFormat="1" x14ac:dyDescent="0.25">
      <c r="A54" s="214" t="s">
        <v>1445</v>
      </c>
      <c r="B54" s="64">
        <v>13.56</v>
      </c>
      <c r="C54" s="64">
        <v>41.69</v>
      </c>
      <c r="D54" s="64">
        <v>32.58</v>
      </c>
      <c r="E54" s="64">
        <v>2.59</v>
      </c>
      <c r="F54" s="64">
        <v>3.93</v>
      </c>
      <c r="G54" s="64">
        <v>139.1</v>
      </c>
      <c r="H54" s="64">
        <v>54.72</v>
      </c>
      <c r="I54" s="64">
        <v>10.1</v>
      </c>
      <c r="J54" s="64">
        <v>0.21</v>
      </c>
      <c r="K54" s="64">
        <v>217.54</v>
      </c>
      <c r="L54" s="64">
        <v>25.46</v>
      </c>
      <c r="M54" s="64">
        <v>66.23</v>
      </c>
      <c r="N54" s="64">
        <v>280.10000000000002</v>
      </c>
      <c r="O54" s="64">
        <v>0</v>
      </c>
      <c r="P54" s="64">
        <v>1.22</v>
      </c>
      <c r="Q54" s="64">
        <v>9.4700000000000006</v>
      </c>
      <c r="R54" s="198"/>
      <c r="S54" s="198"/>
      <c r="T54" s="198"/>
      <c r="U54" s="198"/>
    </row>
    <row r="55" spans="1:21" s="12" customFormat="1" x14ac:dyDescent="0.25">
      <c r="A55" s="214" t="s">
        <v>1446</v>
      </c>
      <c r="B55" s="64">
        <v>10.119999999999999</v>
      </c>
      <c r="C55" s="64">
        <v>41.73</v>
      </c>
      <c r="D55" s="64">
        <v>29.84</v>
      </c>
      <c r="E55" s="64">
        <v>2.4700000000000002</v>
      </c>
      <c r="F55" s="64">
        <v>4.0599999999999996</v>
      </c>
      <c r="G55" s="64">
        <v>139.1</v>
      </c>
      <c r="H55" s="64">
        <v>54.72</v>
      </c>
      <c r="I55" s="64">
        <v>10.14</v>
      </c>
      <c r="J55" s="64">
        <v>0.37</v>
      </c>
      <c r="K55" s="64">
        <v>214.59</v>
      </c>
      <c r="L55" s="64">
        <v>25.1</v>
      </c>
      <c r="M55" s="64">
        <v>68.67</v>
      </c>
      <c r="N55" s="64">
        <v>318.2</v>
      </c>
      <c r="O55" s="64">
        <v>0</v>
      </c>
      <c r="P55" s="64">
        <v>1.18</v>
      </c>
      <c r="Q55" s="64">
        <v>9.4</v>
      </c>
      <c r="R55" s="198"/>
      <c r="S55" s="198"/>
      <c r="T55" s="198"/>
      <c r="U55" s="198"/>
    </row>
    <row r="56" spans="1:21" s="12" customFormat="1" x14ac:dyDescent="0.25">
      <c r="A56" s="214" t="s">
        <v>1447</v>
      </c>
      <c r="B56" s="64">
        <v>6.56</v>
      </c>
      <c r="C56" s="64">
        <v>41.39</v>
      </c>
      <c r="D56" s="64">
        <v>26.81</v>
      </c>
      <c r="E56" s="64">
        <v>2.38</v>
      </c>
      <c r="F56" s="64">
        <v>4.38</v>
      </c>
      <c r="G56" s="64">
        <v>135.76</v>
      </c>
      <c r="H56" s="64">
        <v>54.2</v>
      </c>
      <c r="I56" s="64">
        <v>9.7799999999999994</v>
      </c>
      <c r="J56" s="64">
        <v>0.18</v>
      </c>
      <c r="K56" s="64">
        <v>352.55</v>
      </c>
      <c r="L56" s="64">
        <v>25.21</v>
      </c>
      <c r="M56" s="64">
        <v>66.3</v>
      </c>
      <c r="N56" s="64">
        <v>305.8</v>
      </c>
      <c r="O56" s="64">
        <v>0</v>
      </c>
      <c r="P56" s="64">
        <v>1.1399999999999999</v>
      </c>
      <c r="Q56" s="64">
        <v>9.41</v>
      </c>
      <c r="R56" s="198"/>
      <c r="S56" s="198"/>
      <c r="T56" s="198"/>
      <c r="U56" s="198"/>
    </row>
    <row r="57" spans="1:21" s="12" customFormat="1" x14ac:dyDescent="0.25">
      <c r="A57" s="214" t="s">
        <v>1448</v>
      </c>
      <c r="B57" s="64">
        <v>3.26</v>
      </c>
      <c r="C57" s="64">
        <v>41.15</v>
      </c>
      <c r="D57" s="64">
        <v>24.04</v>
      </c>
      <c r="E57" s="64">
        <v>2.4</v>
      </c>
      <c r="F57" s="64">
        <v>4.8899999999999997</v>
      </c>
      <c r="G57" s="64">
        <v>89.01</v>
      </c>
      <c r="H57" s="64">
        <v>46.81</v>
      </c>
      <c r="I57" s="64">
        <v>9.48</v>
      </c>
      <c r="J57" s="64">
        <v>0.18</v>
      </c>
      <c r="K57" s="64">
        <v>306</v>
      </c>
      <c r="L57" s="64">
        <v>24.3</v>
      </c>
      <c r="M57" s="64">
        <v>67.72</v>
      </c>
      <c r="N57" s="64">
        <v>258.7</v>
      </c>
      <c r="O57" s="64">
        <v>0</v>
      </c>
      <c r="P57" s="64">
        <v>1.05</v>
      </c>
      <c r="Q57" s="64">
        <v>9.33</v>
      </c>
      <c r="R57" s="198"/>
      <c r="S57" s="198"/>
      <c r="T57" s="198"/>
      <c r="U57" s="198"/>
    </row>
    <row r="58" spans="1:21" s="12" customFormat="1" x14ac:dyDescent="0.25">
      <c r="A58" s="214" t="s">
        <v>1449</v>
      </c>
      <c r="B58" s="64">
        <v>0.59</v>
      </c>
      <c r="C58" s="64">
        <v>41.18</v>
      </c>
      <c r="D58" s="64">
        <v>21.91</v>
      </c>
      <c r="E58" s="64">
        <v>2.65</v>
      </c>
      <c r="F58" s="64">
        <v>5.28</v>
      </c>
      <c r="G58" s="64">
        <v>89.01</v>
      </c>
      <c r="H58" s="64">
        <v>46.81</v>
      </c>
      <c r="I58" s="64">
        <v>9.1199999999999992</v>
      </c>
      <c r="J58" s="64">
        <v>0.44</v>
      </c>
      <c r="K58" s="64">
        <v>323.17</v>
      </c>
      <c r="L58" s="64">
        <v>23.87</v>
      </c>
      <c r="M58" s="64">
        <v>69.680000000000007</v>
      </c>
      <c r="N58" s="64">
        <v>202.5</v>
      </c>
      <c r="O58" s="64">
        <v>0</v>
      </c>
      <c r="P58" s="64">
        <v>0.94</v>
      </c>
      <c r="Q58" s="64">
        <v>9.18</v>
      </c>
      <c r="R58" s="198"/>
      <c r="S58" s="198"/>
      <c r="T58" s="198"/>
      <c r="U58" s="198"/>
    </row>
    <row r="59" spans="1:21" s="12" customFormat="1" x14ac:dyDescent="0.25">
      <c r="A59" s="214" t="s">
        <v>1450</v>
      </c>
      <c r="B59" s="64">
        <v>0.1</v>
      </c>
      <c r="C59" s="64">
        <v>36.97</v>
      </c>
      <c r="D59" s="64">
        <v>19.32</v>
      </c>
      <c r="E59" s="64">
        <v>2.1800000000000002</v>
      </c>
      <c r="F59" s="64">
        <v>5.28</v>
      </c>
      <c r="G59" s="64">
        <v>89.01</v>
      </c>
      <c r="H59" s="64">
        <v>46.81</v>
      </c>
      <c r="I59" s="64">
        <v>8.42</v>
      </c>
      <c r="J59" s="64">
        <v>0.36</v>
      </c>
      <c r="K59" s="64">
        <v>336.2</v>
      </c>
      <c r="L59" s="64">
        <v>24.05</v>
      </c>
      <c r="M59" s="64">
        <v>68.97</v>
      </c>
      <c r="N59" s="64">
        <v>281</v>
      </c>
      <c r="O59" s="64">
        <v>0</v>
      </c>
      <c r="P59" s="64">
        <v>0.87</v>
      </c>
      <c r="Q59" s="64">
        <v>9.24</v>
      </c>
      <c r="R59" s="198"/>
      <c r="S59" s="198"/>
      <c r="T59" s="198"/>
      <c r="U59" s="198"/>
    </row>
    <row r="60" spans="1:21" s="12" customFormat="1" x14ac:dyDescent="0.25">
      <c r="A60" s="214" t="s">
        <v>1451</v>
      </c>
      <c r="B60" s="64">
        <v>0.1</v>
      </c>
      <c r="C60" s="64">
        <v>33.89</v>
      </c>
      <c r="D60" s="64">
        <v>17.7</v>
      </c>
      <c r="E60" s="64">
        <v>2.6</v>
      </c>
      <c r="F60" s="64">
        <v>5.54</v>
      </c>
      <c r="G60" s="64">
        <v>85.83</v>
      </c>
      <c r="H60" s="64">
        <v>46.16</v>
      </c>
      <c r="I60" s="64">
        <v>7.44</v>
      </c>
      <c r="J60" s="64">
        <v>0.34</v>
      </c>
      <c r="K60" s="64">
        <v>315.45999999999998</v>
      </c>
      <c r="L60" s="64">
        <v>24.29</v>
      </c>
      <c r="M60" s="64">
        <v>69.209999999999994</v>
      </c>
      <c r="N60" s="64">
        <v>406.8</v>
      </c>
      <c r="O60" s="64">
        <v>0</v>
      </c>
      <c r="P60" s="64">
        <v>0.8</v>
      </c>
      <c r="Q60" s="64">
        <v>9.24</v>
      </c>
      <c r="R60" s="198"/>
      <c r="S60" s="198"/>
      <c r="T60" s="198"/>
      <c r="U60" s="198"/>
    </row>
    <row r="61" spans="1:21" s="12" customFormat="1" x14ac:dyDescent="0.25">
      <c r="A61" s="214" t="s">
        <v>1452</v>
      </c>
      <c r="B61" s="64">
        <v>0.1</v>
      </c>
      <c r="C61" s="64">
        <v>32.119999999999997</v>
      </c>
      <c r="D61" s="64">
        <v>16.78</v>
      </c>
      <c r="E61" s="64">
        <v>2.11</v>
      </c>
      <c r="F61" s="64">
        <v>5.68</v>
      </c>
      <c r="G61" s="64">
        <v>41.36</v>
      </c>
      <c r="H61" s="64">
        <v>37</v>
      </c>
      <c r="I61" s="64">
        <v>6.66</v>
      </c>
      <c r="J61" s="64">
        <v>0.37</v>
      </c>
      <c r="K61" s="64">
        <v>293.89</v>
      </c>
      <c r="L61" s="64">
        <v>24.06</v>
      </c>
      <c r="M61" s="64">
        <v>70.040000000000006</v>
      </c>
      <c r="N61" s="64">
        <v>298.39999999999998</v>
      </c>
      <c r="O61" s="64">
        <v>0</v>
      </c>
      <c r="P61" s="64">
        <v>0.7</v>
      </c>
      <c r="Q61" s="64">
        <v>9.16</v>
      </c>
      <c r="R61" s="198"/>
      <c r="S61" s="198"/>
      <c r="T61" s="198"/>
      <c r="U61" s="198"/>
    </row>
    <row r="62" spans="1:21" s="12" customFormat="1" x14ac:dyDescent="0.25">
      <c r="A62" s="214" t="s">
        <v>1453</v>
      </c>
      <c r="B62" s="64">
        <v>0.1</v>
      </c>
      <c r="C62" s="64">
        <v>30.96</v>
      </c>
      <c r="D62" s="64">
        <v>16.18</v>
      </c>
      <c r="E62" s="64">
        <v>1.75</v>
      </c>
      <c r="F62" s="64">
        <v>5.1100000000000003</v>
      </c>
      <c r="G62" s="64">
        <v>41.36</v>
      </c>
      <c r="H62" s="64">
        <v>37</v>
      </c>
      <c r="I62" s="64">
        <v>6.04</v>
      </c>
      <c r="J62" s="64">
        <v>0.4</v>
      </c>
      <c r="K62" s="64">
        <v>318.38</v>
      </c>
      <c r="L62" s="64">
        <v>24.88</v>
      </c>
      <c r="M62" s="64">
        <v>67.489999999999995</v>
      </c>
      <c r="N62" s="64">
        <v>265.2</v>
      </c>
      <c r="O62" s="64">
        <v>0</v>
      </c>
      <c r="P62" s="64">
        <v>0.7</v>
      </c>
      <c r="Q62" s="64">
        <v>9.19</v>
      </c>
      <c r="R62" s="198"/>
      <c r="S62" s="198"/>
      <c r="T62" s="198"/>
      <c r="U62" s="198"/>
    </row>
    <row r="63" spans="1:21" s="12" customFormat="1" x14ac:dyDescent="0.25">
      <c r="A63" s="214" t="s">
        <v>1454</v>
      </c>
      <c r="B63" s="64">
        <v>0.1</v>
      </c>
      <c r="C63" s="64">
        <v>30.15</v>
      </c>
      <c r="D63" s="64">
        <v>15.75</v>
      </c>
      <c r="E63" s="64">
        <v>2.63</v>
      </c>
      <c r="F63" s="64">
        <v>5.36</v>
      </c>
      <c r="G63" s="64">
        <v>41.36</v>
      </c>
      <c r="H63" s="64">
        <v>37</v>
      </c>
      <c r="I63" s="64">
        <v>5.45</v>
      </c>
      <c r="J63" s="64">
        <v>0.31</v>
      </c>
      <c r="K63" s="64">
        <v>324.26</v>
      </c>
      <c r="L63" s="64">
        <v>24.77</v>
      </c>
      <c r="M63" s="64">
        <v>68.53</v>
      </c>
      <c r="N63" s="64">
        <v>385.4</v>
      </c>
      <c r="O63" s="64">
        <v>0</v>
      </c>
      <c r="P63" s="64">
        <v>0.66</v>
      </c>
      <c r="Q63" s="64">
        <v>9.1300000000000008</v>
      </c>
      <c r="R63" s="198"/>
      <c r="S63" s="198"/>
      <c r="T63" s="198"/>
      <c r="U63" s="198"/>
    </row>
    <row r="64" spans="1:21" s="12" customFormat="1" x14ac:dyDescent="0.25">
      <c r="A64" s="214" t="s">
        <v>1455</v>
      </c>
      <c r="B64" s="64">
        <v>0.1</v>
      </c>
      <c r="C64" s="64">
        <v>29.75</v>
      </c>
      <c r="D64" s="64">
        <v>15.55</v>
      </c>
      <c r="E64" s="64">
        <v>2.15</v>
      </c>
      <c r="F64" s="64">
        <v>4.28</v>
      </c>
      <c r="G64" s="64">
        <v>40.28</v>
      </c>
      <c r="H64" s="64">
        <v>36.11</v>
      </c>
      <c r="I64" s="64">
        <v>5.04</v>
      </c>
      <c r="J64" s="64">
        <v>0.36</v>
      </c>
      <c r="K64" s="64">
        <v>308.97000000000003</v>
      </c>
      <c r="L64" s="64">
        <v>26.09</v>
      </c>
      <c r="M64" s="64">
        <v>63.42</v>
      </c>
      <c r="N64" s="64">
        <v>410.3</v>
      </c>
      <c r="O64" s="64">
        <v>0</v>
      </c>
      <c r="P64" s="64">
        <v>0.64</v>
      </c>
      <c r="Q64" s="64">
        <v>9.1999999999999993</v>
      </c>
      <c r="R64" s="198"/>
      <c r="S64" s="198"/>
      <c r="T64" s="198"/>
      <c r="U64" s="198"/>
    </row>
    <row r="65" spans="1:21" s="12" customFormat="1" x14ac:dyDescent="0.25">
      <c r="A65" s="214" t="s">
        <v>1456</v>
      </c>
      <c r="B65" s="64">
        <v>0.1</v>
      </c>
      <c r="C65" s="64">
        <v>29.11</v>
      </c>
      <c r="D65" s="64">
        <v>15.21</v>
      </c>
      <c r="E65" s="64">
        <v>2.23</v>
      </c>
      <c r="F65" s="64">
        <v>4.57</v>
      </c>
      <c r="G65" s="64">
        <v>25.22</v>
      </c>
      <c r="H65" s="64">
        <v>23.61</v>
      </c>
      <c r="I65" s="64">
        <v>4.74</v>
      </c>
      <c r="J65" s="64">
        <v>0.54</v>
      </c>
      <c r="K65" s="64">
        <v>198.2</v>
      </c>
      <c r="L65" s="64">
        <v>24.98</v>
      </c>
      <c r="M65" s="64">
        <v>65.75</v>
      </c>
      <c r="N65" s="64">
        <v>513.5</v>
      </c>
      <c r="O65" s="64">
        <v>0</v>
      </c>
      <c r="P65" s="64">
        <v>0.62</v>
      </c>
      <c r="Q65" s="64">
        <v>9.1999999999999993</v>
      </c>
      <c r="R65" s="198"/>
      <c r="S65" s="198"/>
      <c r="T65" s="198"/>
      <c r="U65" s="198"/>
    </row>
    <row r="66" spans="1:21" s="12" customFormat="1" x14ac:dyDescent="0.25">
      <c r="A66" s="214" t="s">
        <v>1457</v>
      </c>
      <c r="B66" s="64">
        <v>0.1</v>
      </c>
      <c r="C66" s="64">
        <v>27.99</v>
      </c>
      <c r="D66" s="64">
        <v>14.62</v>
      </c>
      <c r="E66" s="64">
        <v>2.27</v>
      </c>
      <c r="F66" s="64">
        <v>4.51</v>
      </c>
      <c r="G66" s="64">
        <v>25.22</v>
      </c>
      <c r="H66" s="64">
        <v>23.61</v>
      </c>
      <c r="I66" s="64">
        <v>4.6100000000000003</v>
      </c>
      <c r="J66" s="64">
        <v>0.53</v>
      </c>
      <c r="K66" s="64">
        <v>180.53</v>
      </c>
      <c r="L66" s="64">
        <v>25</v>
      </c>
      <c r="M66" s="64">
        <v>66.17</v>
      </c>
      <c r="N66" s="64">
        <v>393.3</v>
      </c>
      <c r="O66" s="64">
        <v>0</v>
      </c>
      <c r="P66" s="64">
        <v>0.59</v>
      </c>
      <c r="Q66" s="64">
        <v>9.19</v>
      </c>
      <c r="R66" s="198"/>
      <c r="S66" s="198"/>
      <c r="T66" s="198"/>
      <c r="U66" s="198"/>
    </row>
    <row r="67" spans="1:21" s="12" customFormat="1" x14ac:dyDescent="0.25">
      <c r="A67" s="214" t="s">
        <v>1458</v>
      </c>
      <c r="B67" s="64">
        <v>0.1</v>
      </c>
      <c r="C67" s="64">
        <v>26.56</v>
      </c>
      <c r="D67" s="64">
        <v>13.88</v>
      </c>
      <c r="E67" s="64">
        <v>1.73</v>
      </c>
      <c r="F67" s="64">
        <v>4.1900000000000004</v>
      </c>
      <c r="G67" s="64">
        <v>25.22</v>
      </c>
      <c r="H67" s="64">
        <v>23.61</v>
      </c>
      <c r="I67" s="64">
        <v>4.5199999999999996</v>
      </c>
      <c r="J67" s="64">
        <v>0.72</v>
      </c>
      <c r="K67" s="64">
        <v>172.1</v>
      </c>
      <c r="L67" s="64">
        <v>24.73</v>
      </c>
      <c r="M67" s="64">
        <v>68.12</v>
      </c>
      <c r="N67" s="64">
        <v>293.5</v>
      </c>
      <c r="O67" s="64">
        <v>0</v>
      </c>
      <c r="P67" s="64">
        <v>0.56999999999999995</v>
      </c>
      <c r="Q67" s="64">
        <v>9.17</v>
      </c>
      <c r="R67" s="198"/>
      <c r="S67" s="198"/>
      <c r="T67" s="198"/>
      <c r="U67" s="198"/>
    </row>
    <row r="68" spans="1:21" s="12" customFormat="1" x14ac:dyDescent="0.25">
      <c r="A68" s="214" t="s">
        <v>1459</v>
      </c>
      <c r="B68" s="64">
        <v>0.1</v>
      </c>
      <c r="C68" s="64">
        <v>25.79</v>
      </c>
      <c r="D68" s="64">
        <v>13.47</v>
      </c>
      <c r="E68" s="64">
        <v>1.7</v>
      </c>
      <c r="F68" s="64">
        <v>4.17</v>
      </c>
      <c r="G68" s="64">
        <v>25.2</v>
      </c>
      <c r="H68" s="64">
        <v>23.31</v>
      </c>
      <c r="I68" s="64">
        <v>4.46</v>
      </c>
      <c r="J68" s="64">
        <v>0.98</v>
      </c>
      <c r="K68" s="64">
        <v>163.12</v>
      </c>
      <c r="L68" s="64">
        <v>24.17</v>
      </c>
      <c r="M68" s="64">
        <v>69.959999999999994</v>
      </c>
      <c r="N68" s="64">
        <v>303.5</v>
      </c>
      <c r="O68" s="64">
        <v>0</v>
      </c>
      <c r="P68" s="64">
        <v>0.55000000000000004</v>
      </c>
      <c r="Q68" s="64">
        <v>9.23</v>
      </c>
      <c r="R68" s="198"/>
      <c r="S68" s="198"/>
      <c r="T68" s="198"/>
      <c r="U68" s="198"/>
    </row>
    <row r="69" spans="1:21" s="12" customFormat="1" x14ac:dyDescent="0.25">
      <c r="A69" s="214" t="s">
        <v>1460</v>
      </c>
      <c r="B69" s="64">
        <v>0.1</v>
      </c>
      <c r="C69" s="64">
        <v>24.82</v>
      </c>
      <c r="D69" s="64">
        <v>12.97</v>
      </c>
      <c r="E69" s="64">
        <v>1.93</v>
      </c>
      <c r="F69" s="64">
        <v>3.99</v>
      </c>
      <c r="G69" s="64">
        <v>24.98</v>
      </c>
      <c r="H69" s="64">
        <v>19.11</v>
      </c>
      <c r="I69" s="64">
        <v>4.34</v>
      </c>
      <c r="J69" s="64">
        <v>0.74</v>
      </c>
      <c r="K69" s="64">
        <v>165.99</v>
      </c>
      <c r="L69" s="64">
        <v>24.53</v>
      </c>
      <c r="M69" s="64">
        <v>69.400000000000006</v>
      </c>
      <c r="N69" s="64">
        <v>373</v>
      </c>
      <c r="O69" s="64">
        <v>0</v>
      </c>
      <c r="P69" s="64">
        <v>0.53</v>
      </c>
      <c r="Q69" s="64">
        <v>9.1999999999999993</v>
      </c>
      <c r="R69" s="198"/>
      <c r="S69" s="198"/>
      <c r="T69" s="198"/>
      <c r="U69" s="198"/>
    </row>
    <row r="70" spans="1:21" s="12" customFormat="1" x14ac:dyDescent="0.25">
      <c r="A70" s="214" t="s">
        <v>1461</v>
      </c>
      <c r="B70" s="64">
        <v>0.1</v>
      </c>
      <c r="C70" s="64">
        <v>23.89</v>
      </c>
      <c r="D70" s="64">
        <v>12.48</v>
      </c>
      <c r="E70" s="64">
        <v>1.83</v>
      </c>
      <c r="F70" s="64">
        <v>4.4400000000000004</v>
      </c>
      <c r="G70" s="64">
        <v>24.98</v>
      </c>
      <c r="H70" s="64">
        <v>19.11</v>
      </c>
      <c r="I70" s="64">
        <v>4.25</v>
      </c>
      <c r="J70" s="64">
        <v>0.34</v>
      </c>
      <c r="K70" s="64">
        <v>192.24</v>
      </c>
      <c r="L70" s="64">
        <v>24.78</v>
      </c>
      <c r="M70" s="64">
        <v>67.819999999999993</v>
      </c>
      <c r="N70" s="64">
        <v>386.2</v>
      </c>
      <c r="O70" s="64">
        <v>0</v>
      </c>
      <c r="P70" s="64">
        <v>0.52</v>
      </c>
      <c r="Q70" s="64">
        <v>9.1999999999999993</v>
      </c>
      <c r="R70" s="198"/>
      <c r="S70" s="198"/>
      <c r="T70" s="198"/>
      <c r="U70" s="198"/>
    </row>
    <row r="71" spans="1:21" s="12" customFormat="1" x14ac:dyDescent="0.25">
      <c r="A71" s="214" t="s">
        <v>1462</v>
      </c>
      <c r="B71" s="64">
        <v>0.1</v>
      </c>
      <c r="C71" s="64">
        <v>22.89</v>
      </c>
      <c r="D71" s="64">
        <v>11.96</v>
      </c>
      <c r="E71" s="64">
        <v>2.09</v>
      </c>
      <c r="F71" s="64">
        <v>4.63</v>
      </c>
      <c r="G71" s="64">
        <v>24.98</v>
      </c>
      <c r="H71" s="64">
        <v>19.11</v>
      </c>
      <c r="I71" s="64">
        <v>4.16</v>
      </c>
      <c r="J71" s="64">
        <v>0.36</v>
      </c>
      <c r="K71" s="64">
        <v>167.73</v>
      </c>
      <c r="L71" s="64">
        <v>24.79</v>
      </c>
      <c r="M71" s="64">
        <v>66.06</v>
      </c>
      <c r="N71" s="64">
        <v>251</v>
      </c>
      <c r="O71" s="64">
        <v>0</v>
      </c>
      <c r="P71" s="64">
        <v>0.49</v>
      </c>
      <c r="Q71" s="64">
        <v>9.18</v>
      </c>
      <c r="R71" s="198"/>
      <c r="S71" s="198"/>
      <c r="T71" s="198"/>
      <c r="U71" s="198"/>
    </row>
    <row r="72" spans="1:21" s="12" customFormat="1" x14ac:dyDescent="0.25">
      <c r="A72" s="214" t="s">
        <v>1463</v>
      </c>
      <c r="B72" s="64">
        <v>0.1</v>
      </c>
      <c r="C72" s="64">
        <v>22.29</v>
      </c>
      <c r="D72" s="64">
        <v>11.65</v>
      </c>
      <c r="E72" s="64">
        <v>0.85</v>
      </c>
      <c r="F72" s="64">
        <v>4.43</v>
      </c>
      <c r="G72" s="64">
        <v>24.84</v>
      </c>
      <c r="H72" s="64">
        <v>18.89</v>
      </c>
      <c r="I72" s="64">
        <v>4.04</v>
      </c>
      <c r="J72" s="64">
        <v>0.89</v>
      </c>
      <c r="K72" s="64">
        <v>162.96</v>
      </c>
      <c r="L72" s="64">
        <v>24.73</v>
      </c>
      <c r="M72" s="64">
        <v>66.72</v>
      </c>
      <c r="N72" s="64">
        <v>185.9</v>
      </c>
      <c r="O72" s="64">
        <v>0</v>
      </c>
      <c r="P72" s="64">
        <v>0.48</v>
      </c>
      <c r="Q72" s="64">
        <v>9.1999999999999993</v>
      </c>
      <c r="R72" s="198"/>
      <c r="S72" s="198"/>
      <c r="T72" s="198"/>
      <c r="U72" s="198"/>
    </row>
    <row r="73" spans="1:21" s="12" customFormat="1" x14ac:dyDescent="0.25">
      <c r="A73" s="214" t="s">
        <v>1464</v>
      </c>
      <c r="B73" s="64">
        <v>0.1</v>
      </c>
      <c r="C73" s="64">
        <v>22.05</v>
      </c>
      <c r="D73" s="64">
        <v>11.52</v>
      </c>
      <c r="E73" s="64">
        <v>1.08</v>
      </c>
      <c r="F73" s="64">
        <v>4.21</v>
      </c>
      <c r="G73" s="64">
        <v>22.94</v>
      </c>
      <c r="H73" s="64">
        <v>15.72</v>
      </c>
      <c r="I73" s="64">
        <v>3.88</v>
      </c>
      <c r="J73" s="64">
        <v>0.45</v>
      </c>
      <c r="K73" s="64">
        <v>157.80000000000001</v>
      </c>
      <c r="L73" s="64">
        <v>24.69</v>
      </c>
      <c r="M73" s="64">
        <v>65.28</v>
      </c>
      <c r="N73" s="64">
        <v>171.7</v>
      </c>
      <c r="O73" s="64">
        <v>0</v>
      </c>
      <c r="P73" s="64">
        <v>0.46</v>
      </c>
      <c r="Q73" s="64">
        <v>9.19</v>
      </c>
      <c r="R73" s="198"/>
      <c r="S73" s="198"/>
      <c r="T73" s="198"/>
      <c r="U73" s="198"/>
    </row>
    <row r="74" spans="1:21" s="12" customFormat="1" x14ac:dyDescent="0.25">
      <c r="A74" s="214" t="s">
        <v>1465</v>
      </c>
      <c r="B74" s="64">
        <v>0.1</v>
      </c>
      <c r="C74" s="64">
        <v>21.84</v>
      </c>
      <c r="D74" s="64">
        <v>11.41</v>
      </c>
      <c r="E74" s="64">
        <v>1.35</v>
      </c>
      <c r="F74" s="64">
        <v>4.45</v>
      </c>
      <c r="G74" s="64">
        <v>22.94</v>
      </c>
      <c r="H74" s="64">
        <v>15.72</v>
      </c>
      <c r="I74" s="64">
        <v>3.86</v>
      </c>
      <c r="J74" s="64">
        <v>0.56000000000000005</v>
      </c>
      <c r="K74" s="64">
        <v>188.04</v>
      </c>
      <c r="L74" s="64">
        <v>24.46</v>
      </c>
      <c r="M74" s="64">
        <v>66.63</v>
      </c>
      <c r="N74" s="64">
        <v>159.6</v>
      </c>
      <c r="O74" s="64">
        <v>0</v>
      </c>
      <c r="P74" s="64">
        <v>0.45</v>
      </c>
      <c r="Q74" s="64">
        <v>9.19</v>
      </c>
      <c r="R74" s="198"/>
      <c r="S74" s="198"/>
      <c r="T74" s="198"/>
      <c r="U74" s="198"/>
    </row>
    <row r="75" spans="1:21" s="12" customFormat="1" x14ac:dyDescent="0.25">
      <c r="A75" s="214" t="s">
        <v>1466</v>
      </c>
      <c r="B75" s="64">
        <v>0.1</v>
      </c>
      <c r="C75" s="64">
        <v>21.47</v>
      </c>
      <c r="D75" s="64">
        <v>11.21</v>
      </c>
      <c r="E75" s="64">
        <v>1.21</v>
      </c>
      <c r="F75" s="64">
        <v>5.1100000000000003</v>
      </c>
      <c r="G75" s="64">
        <v>22.94</v>
      </c>
      <c r="H75" s="64">
        <v>15.72</v>
      </c>
      <c r="I75" s="64">
        <v>3.82</v>
      </c>
      <c r="J75" s="64">
        <v>0.71</v>
      </c>
      <c r="K75" s="64">
        <v>181.88</v>
      </c>
      <c r="L75" s="64">
        <v>24.21</v>
      </c>
      <c r="M75" s="64">
        <v>67.150000000000006</v>
      </c>
      <c r="N75" s="64">
        <v>85.2</v>
      </c>
      <c r="O75" s="64">
        <v>0</v>
      </c>
      <c r="P75" s="64">
        <v>0.43</v>
      </c>
      <c r="Q75" s="64">
        <v>9.1300000000000008</v>
      </c>
      <c r="R75" s="198"/>
      <c r="S75" s="198"/>
      <c r="T75" s="198"/>
      <c r="U75" s="198"/>
    </row>
    <row r="76" spans="1:21" s="12" customFormat="1" x14ac:dyDescent="0.25">
      <c r="A76" s="214" t="s">
        <v>1467</v>
      </c>
      <c r="B76" s="64">
        <v>0.1</v>
      </c>
      <c r="C76" s="64">
        <v>21.46</v>
      </c>
      <c r="D76" s="64">
        <v>11.21</v>
      </c>
      <c r="E76" s="64">
        <v>1.42</v>
      </c>
      <c r="F76" s="64">
        <v>4.9800000000000004</v>
      </c>
      <c r="G76" s="64">
        <v>23.26</v>
      </c>
      <c r="H76" s="64">
        <v>15.38</v>
      </c>
      <c r="I76" s="64">
        <v>3.67</v>
      </c>
      <c r="J76" s="64">
        <v>0.83</v>
      </c>
      <c r="K76" s="64">
        <v>202.13</v>
      </c>
      <c r="L76" s="64">
        <v>23.9</v>
      </c>
      <c r="M76" s="64">
        <v>68.62</v>
      </c>
      <c r="N76" s="64">
        <v>88.7</v>
      </c>
      <c r="O76" s="64">
        <v>0</v>
      </c>
      <c r="P76" s="64">
        <v>0.41</v>
      </c>
      <c r="Q76" s="64">
        <v>9.18</v>
      </c>
      <c r="R76" s="198"/>
      <c r="S76" s="198"/>
      <c r="T76" s="198"/>
      <c r="U76" s="198"/>
    </row>
    <row r="77" spans="1:21" s="12" customFormat="1" x14ac:dyDescent="0.25">
      <c r="A77" s="214" t="s">
        <v>1468</v>
      </c>
      <c r="B77" s="64">
        <v>0.1</v>
      </c>
      <c r="C77" s="64">
        <v>22.87</v>
      </c>
      <c r="D77" s="64">
        <v>11.95</v>
      </c>
      <c r="E77" s="64">
        <v>1.33</v>
      </c>
      <c r="F77" s="64">
        <v>4.9400000000000004</v>
      </c>
      <c r="G77" s="64">
        <v>27.86</v>
      </c>
      <c r="H77" s="64">
        <v>9.66</v>
      </c>
      <c r="I77" s="64">
        <v>3.45</v>
      </c>
      <c r="J77" s="64">
        <v>0.81</v>
      </c>
      <c r="K77" s="64">
        <v>198.31</v>
      </c>
      <c r="L77" s="64">
        <v>23.7</v>
      </c>
      <c r="M77" s="64">
        <v>70.61</v>
      </c>
      <c r="N77" s="64">
        <v>113.3</v>
      </c>
      <c r="O77" s="64">
        <v>0</v>
      </c>
      <c r="P77" s="64">
        <v>0.4</v>
      </c>
      <c r="Q77" s="64">
        <v>9.17</v>
      </c>
      <c r="R77" s="198"/>
      <c r="S77" s="198"/>
      <c r="T77" s="198"/>
      <c r="U77" s="198"/>
    </row>
    <row r="78" spans="1:21" s="12" customFormat="1" x14ac:dyDescent="0.25">
      <c r="A78" s="214" t="s">
        <v>1469</v>
      </c>
      <c r="B78" s="64">
        <v>0.1</v>
      </c>
      <c r="C78" s="64">
        <v>23.92</v>
      </c>
      <c r="D78" s="64">
        <v>12.5</v>
      </c>
      <c r="E78" s="64">
        <v>1.07</v>
      </c>
      <c r="F78" s="64">
        <v>5.14</v>
      </c>
      <c r="G78" s="64">
        <v>27.86</v>
      </c>
      <c r="H78" s="64">
        <v>9.66</v>
      </c>
      <c r="I78" s="64">
        <v>3.28</v>
      </c>
      <c r="J78" s="64">
        <v>1.03</v>
      </c>
      <c r="K78" s="64">
        <v>170.94</v>
      </c>
      <c r="L78" s="64">
        <v>23.27</v>
      </c>
      <c r="M78" s="64">
        <v>73.38</v>
      </c>
      <c r="N78" s="64">
        <v>51.5</v>
      </c>
      <c r="O78" s="64">
        <v>0</v>
      </c>
      <c r="P78" s="64">
        <v>0.38</v>
      </c>
      <c r="Q78" s="64">
        <v>9.17</v>
      </c>
      <c r="R78" s="198"/>
      <c r="S78" s="198"/>
      <c r="T78" s="198"/>
      <c r="U78" s="198"/>
    </row>
    <row r="79" spans="1:21" s="12" customFormat="1" x14ac:dyDescent="0.25">
      <c r="A79" s="214" t="s">
        <v>1470</v>
      </c>
      <c r="B79" s="64">
        <v>0.1</v>
      </c>
      <c r="C79" s="64">
        <v>24.3</v>
      </c>
      <c r="D79" s="64">
        <v>12.7</v>
      </c>
      <c r="E79" s="64">
        <v>1.66</v>
      </c>
      <c r="F79" s="64">
        <v>4.6500000000000004</v>
      </c>
      <c r="G79" s="64">
        <v>27.86</v>
      </c>
      <c r="H79" s="64">
        <v>9.66</v>
      </c>
      <c r="I79" s="64">
        <v>3.12</v>
      </c>
      <c r="J79" s="64">
        <v>0.71</v>
      </c>
      <c r="K79" s="64">
        <v>185.04</v>
      </c>
      <c r="L79" s="64">
        <v>23.11</v>
      </c>
      <c r="M79" s="64">
        <v>75.650000000000006</v>
      </c>
      <c r="N79" s="64">
        <v>35.1</v>
      </c>
      <c r="O79" s="64">
        <v>0</v>
      </c>
      <c r="P79" s="64">
        <v>0.37</v>
      </c>
      <c r="Q79" s="64">
        <v>9.15</v>
      </c>
      <c r="R79" s="198"/>
      <c r="S79" s="198"/>
      <c r="T79" s="198"/>
      <c r="U79" s="198"/>
    </row>
    <row r="80" spans="1:21" s="12" customFormat="1" x14ac:dyDescent="0.25">
      <c r="A80" s="214" t="s">
        <v>1471</v>
      </c>
      <c r="B80" s="64">
        <v>0.1</v>
      </c>
      <c r="C80" s="64">
        <v>24.48</v>
      </c>
      <c r="D80" s="64">
        <v>12.79</v>
      </c>
      <c r="E80" s="64">
        <v>1.3</v>
      </c>
      <c r="F80" s="64">
        <v>4.13</v>
      </c>
      <c r="G80" s="64">
        <v>27.45</v>
      </c>
      <c r="H80" s="64">
        <v>9.8000000000000007</v>
      </c>
      <c r="I80" s="64">
        <v>3.07</v>
      </c>
      <c r="J80" s="64">
        <v>0.64</v>
      </c>
      <c r="K80" s="64">
        <v>180.29</v>
      </c>
      <c r="L80" s="64">
        <v>22.88</v>
      </c>
      <c r="M80" s="64">
        <v>77.28</v>
      </c>
      <c r="N80" s="64">
        <v>31.3</v>
      </c>
      <c r="O80" s="64">
        <v>0</v>
      </c>
      <c r="P80" s="64">
        <v>0.36</v>
      </c>
      <c r="Q80" s="64">
        <v>9.17</v>
      </c>
      <c r="R80" s="198"/>
      <c r="S80" s="198"/>
      <c r="T80" s="198"/>
      <c r="U80" s="198"/>
    </row>
    <row r="81" spans="1:26" s="12" customFormat="1" x14ac:dyDescent="0.25">
      <c r="A81" s="214" t="s">
        <v>1472</v>
      </c>
      <c r="B81" s="64">
        <v>0.1</v>
      </c>
      <c r="C81" s="64">
        <v>25.5</v>
      </c>
      <c r="D81" s="64">
        <v>13.32</v>
      </c>
      <c r="E81" s="64">
        <v>1.03</v>
      </c>
      <c r="F81" s="64">
        <v>3.62</v>
      </c>
      <c r="G81" s="64">
        <v>21.74</v>
      </c>
      <c r="H81" s="64">
        <v>11.72</v>
      </c>
      <c r="I81" s="64">
        <v>3.07</v>
      </c>
      <c r="J81" s="64">
        <v>0.98</v>
      </c>
      <c r="K81" s="64">
        <v>166.21</v>
      </c>
      <c r="L81" s="64">
        <v>22.73</v>
      </c>
      <c r="M81" s="64">
        <v>77.25</v>
      </c>
      <c r="N81" s="64">
        <v>20.7</v>
      </c>
      <c r="O81" s="64">
        <v>0</v>
      </c>
      <c r="P81" s="64">
        <v>0.36</v>
      </c>
      <c r="Q81" s="64">
        <v>9.19</v>
      </c>
      <c r="R81" s="198"/>
      <c r="S81" s="198"/>
      <c r="T81" s="198"/>
      <c r="U81" s="198"/>
    </row>
    <row r="82" spans="1:26" s="12" customFormat="1" x14ac:dyDescent="0.25">
      <c r="A82" s="214" t="s">
        <v>1473</v>
      </c>
      <c r="B82" s="64">
        <v>0.1</v>
      </c>
      <c r="C82" s="64">
        <v>25.69</v>
      </c>
      <c r="D82" s="64">
        <v>13.42</v>
      </c>
      <c r="E82" s="64">
        <v>1.1399999999999999</v>
      </c>
      <c r="F82" s="64">
        <v>4.0199999999999996</v>
      </c>
      <c r="G82" s="64">
        <v>21.74</v>
      </c>
      <c r="H82" s="64">
        <v>11.72</v>
      </c>
      <c r="I82" s="64">
        <v>3.16</v>
      </c>
      <c r="J82" s="64">
        <v>0.56000000000000005</v>
      </c>
      <c r="K82" s="64">
        <v>186.93</v>
      </c>
      <c r="L82" s="64">
        <v>22.71</v>
      </c>
      <c r="M82" s="64">
        <v>75.150000000000006</v>
      </c>
      <c r="N82" s="64">
        <v>17</v>
      </c>
      <c r="O82" s="64">
        <v>0</v>
      </c>
      <c r="P82" s="64">
        <v>0.36</v>
      </c>
      <c r="Q82" s="64">
        <v>9.19</v>
      </c>
      <c r="R82" s="198"/>
      <c r="S82" s="198"/>
      <c r="T82" s="198"/>
      <c r="U82" s="198"/>
    </row>
    <row r="83" spans="1:26" s="12" customFormat="1" x14ac:dyDescent="0.25">
      <c r="A83" s="214" t="s">
        <v>1474</v>
      </c>
      <c r="B83" s="64">
        <v>0.1</v>
      </c>
      <c r="C83" s="64">
        <v>26.1</v>
      </c>
      <c r="D83" s="64">
        <v>13.64</v>
      </c>
      <c r="E83" s="64">
        <v>1.28</v>
      </c>
      <c r="F83" s="64">
        <v>3.86</v>
      </c>
      <c r="G83" s="64">
        <v>21.74</v>
      </c>
      <c r="H83" s="64">
        <v>11.72</v>
      </c>
      <c r="I83" s="64">
        <v>3.44</v>
      </c>
      <c r="J83" s="64">
        <v>0.53</v>
      </c>
      <c r="K83" s="64">
        <v>187.9</v>
      </c>
      <c r="L83" s="64">
        <v>22.54</v>
      </c>
      <c r="M83" s="64">
        <v>75.81</v>
      </c>
      <c r="N83" s="64">
        <v>16.5</v>
      </c>
      <c r="O83" s="64">
        <v>0</v>
      </c>
      <c r="P83" s="64">
        <v>0.36</v>
      </c>
      <c r="Q83" s="64">
        <v>9.19</v>
      </c>
      <c r="R83" s="198"/>
      <c r="S83" s="198"/>
      <c r="T83" s="198"/>
      <c r="U83" s="198"/>
    </row>
    <row r="84" spans="1:26" s="12" customFormat="1" x14ac:dyDescent="0.25">
      <c r="A84" s="214" t="s">
        <v>1475</v>
      </c>
      <c r="B84" s="64">
        <v>0.25</v>
      </c>
      <c r="C84" s="64">
        <v>27.3</v>
      </c>
      <c r="D84" s="64">
        <v>14.38</v>
      </c>
      <c r="E84" s="64">
        <v>0.95</v>
      </c>
      <c r="F84" s="64">
        <v>3.18</v>
      </c>
      <c r="G84" s="64">
        <v>21.68</v>
      </c>
      <c r="H84" s="64">
        <v>11.56</v>
      </c>
      <c r="I84" s="64">
        <v>3.54</v>
      </c>
      <c r="J84" s="64">
        <v>0.55000000000000004</v>
      </c>
      <c r="K84" s="64">
        <v>183.79</v>
      </c>
      <c r="L84" s="64">
        <v>22.42</v>
      </c>
      <c r="M84" s="64">
        <v>76.72</v>
      </c>
      <c r="N84" s="64">
        <v>16.399999999999999</v>
      </c>
      <c r="O84" s="64">
        <v>0</v>
      </c>
      <c r="P84" s="64">
        <v>0.37</v>
      </c>
      <c r="Q84" s="64">
        <v>9.15</v>
      </c>
      <c r="R84" s="198"/>
      <c r="S84" s="198"/>
      <c r="T84" s="198"/>
      <c r="U84" s="198"/>
    </row>
    <row r="85" spans="1:26" s="12" customFormat="1" x14ac:dyDescent="0.25">
      <c r="A85" s="214" t="s">
        <v>1476</v>
      </c>
      <c r="B85" s="64">
        <v>0.5</v>
      </c>
      <c r="C85" s="64">
        <v>26.42</v>
      </c>
      <c r="D85" s="64">
        <v>14.12</v>
      </c>
      <c r="E85" s="64">
        <v>1.25</v>
      </c>
      <c r="F85" s="64">
        <v>3.53</v>
      </c>
      <c r="G85" s="64">
        <v>20.83</v>
      </c>
      <c r="H85" s="64">
        <v>9.24</v>
      </c>
      <c r="I85" s="64">
        <v>3.56</v>
      </c>
      <c r="J85" s="64">
        <v>0.45</v>
      </c>
      <c r="K85" s="64">
        <v>179.9</v>
      </c>
      <c r="L85" s="64">
        <v>22.2</v>
      </c>
      <c r="M85" s="64">
        <v>78.290000000000006</v>
      </c>
      <c r="N85" s="64">
        <v>16.5</v>
      </c>
      <c r="O85" s="64">
        <v>0</v>
      </c>
      <c r="P85" s="64">
        <v>0.38</v>
      </c>
      <c r="Q85" s="64">
        <v>9.18</v>
      </c>
      <c r="R85" s="198"/>
      <c r="S85" s="198"/>
      <c r="T85" s="198"/>
      <c r="U85" s="198"/>
    </row>
    <row r="86" spans="1:26" s="12" customFormat="1" x14ac:dyDescent="0.25">
      <c r="A86" s="214" t="s">
        <v>1477</v>
      </c>
      <c r="B86" s="64">
        <v>0.73</v>
      </c>
      <c r="C86" s="64">
        <v>25.7</v>
      </c>
      <c r="D86" s="64">
        <v>13.93</v>
      </c>
      <c r="E86" s="64">
        <v>1.2</v>
      </c>
      <c r="F86" s="64">
        <v>3.5</v>
      </c>
      <c r="G86" s="64">
        <v>20.83</v>
      </c>
      <c r="H86" s="64">
        <v>9.24</v>
      </c>
      <c r="I86" s="64">
        <v>3.55</v>
      </c>
      <c r="J86" s="64">
        <v>0.27</v>
      </c>
      <c r="K86" s="64">
        <v>205.73</v>
      </c>
      <c r="L86" s="64">
        <v>21.81</v>
      </c>
      <c r="M86" s="64">
        <v>80.13</v>
      </c>
      <c r="N86" s="64">
        <v>16.5</v>
      </c>
      <c r="O86" s="64">
        <v>0</v>
      </c>
      <c r="P86" s="64">
        <v>0.43</v>
      </c>
      <c r="Q86" s="64">
        <v>9.2100000000000009</v>
      </c>
      <c r="R86" s="198"/>
      <c r="S86" s="198"/>
      <c r="T86" s="198"/>
      <c r="U86" s="198"/>
    </row>
    <row r="87" spans="1:26" s="12" customFormat="1" x14ac:dyDescent="0.25">
      <c r="A87" s="214" t="s">
        <v>1478</v>
      </c>
      <c r="B87" s="64">
        <v>0.95</v>
      </c>
      <c r="C87" s="64">
        <v>25.72</v>
      </c>
      <c r="D87" s="64">
        <v>14.12</v>
      </c>
      <c r="E87" s="64">
        <v>1.17</v>
      </c>
      <c r="F87" s="64">
        <v>3.47</v>
      </c>
      <c r="G87" s="64">
        <v>20.83</v>
      </c>
      <c r="H87" s="64">
        <v>9.24</v>
      </c>
      <c r="I87" s="64">
        <v>3.55</v>
      </c>
      <c r="J87" s="64">
        <v>0.53</v>
      </c>
      <c r="K87" s="64">
        <v>181.86</v>
      </c>
      <c r="L87" s="64">
        <v>21.86</v>
      </c>
      <c r="M87" s="64">
        <v>81.13</v>
      </c>
      <c r="N87" s="64">
        <v>16.100000000000001</v>
      </c>
      <c r="O87" s="64">
        <v>0</v>
      </c>
      <c r="P87" s="64">
        <v>0.43</v>
      </c>
      <c r="Q87" s="64">
        <v>9.18</v>
      </c>
      <c r="R87" s="198"/>
      <c r="S87" s="198"/>
      <c r="T87" s="198"/>
      <c r="U87" s="198"/>
    </row>
    <row r="88" spans="1:26" s="12" customFormat="1" x14ac:dyDescent="0.25">
      <c r="A88" s="214" t="s">
        <v>1479</v>
      </c>
      <c r="B88" s="64">
        <v>1.21</v>
      </c>
      <c r="C88" s="64">
        <v>25.34</v>
      </c>
      <c r="D88" s="64">
        <v>14.13</v>
      </c>
      <c r="E88" s="64">
        <v>0.87</v>
      </c>
      <c r="F88" s="64">
        <v>3.71</v>
      </c>
      <c r="G88" s="64">
        <v>21.71</v>
      </c>
      <c r="H88" s="64">
        <v>9.4499999999999993</v>
      </c>
      <c r="I88" s="64">
        <v>3.62</v>
      </c>
      <c r="J88" s="64">
        <v>1.02</v>
      </c>
      <c r="K88" s="64">
        <v>161.9</v>
      </c>
      <c r="L88" s="64">
        <v>21.65</v>
      </c>
      <c r="M88" s="64">
        <v>82.78</v>
      </c>
      <c r="N88" s="64">
        <v>16.100000000000001</v>
      </c>
      <c r="O88" s="64">
        <v>0</v>
      </c>
      <c r="P88" s="64">
        <v>0.44</v>
      </c>
      <c r="Q88" s="64">
        <v>9.2100000000000009</v>
      </c>
      <c r="R88" s="198"/>
      <c r="S88" s="198"/>
      <c r="T88" s="198"/>
      <c r="U88" s="198"/>
    </row>
    <row r="89" spans="1:26" s="12" customFormat="1" x14ac:dyDescent="0.25">
      <c r="A89" s="214" t="s">
        <v>1480</v>
      </c>
      <c r="B89" s="64">
        <v>1.47</v>
      </c>
      <c r="C89" s="64">
        <v>25.31</v>
      </c>
      <c r="D89" s="64">
        <v>14.32</v>
      </c>
      <c r="E89" s="64">
        <v>1.24</v>
      </c>
      <c r="F89" s="64">
        <v>3.28</v>
      </c>
      <c r="G89" s="64">
        <v>33.93</v>
      </c>
      <c r="H89" s="64">
        <v>12.4</v>
      </c>
      <c r="I89" s="64">
        <v>3.65</v>
      </c>
      <c r="J89" s="64">
        <v>0.48</v>
      </c>
      <c r="K89" s="64">
        <v>188.21</v>
      </c>
      <c r="L89" s="64">
        <v>21.71</v>
      </c>
      <c r="M89" s="64">
        <v>81.709999999999994</v>
      </c>
      <c r="N89" s="64">
        <v>16.3</v>
      </c>
      <c r="O89" s="64">
        <v>0</v>
      </c>
      <c r="P89" s="64">
        <v>0.44</v>
      </c>
      <c r="Q89" s="64">
        <v>9.19</v>
      </c>
      <c r="R89" s="198"/>
      <c r="S89" s="198"/>
      <c r="T89" s="198"/>
      <c r="U89" s="198"/>
    </row>
    <row r="90" spans="1:26" s="12" customFormat="1" x14ac:dyDescent="0.25">
      <c r="A90" s="214" t="s">
        <v>1481</v>
      </c>
      <c r="B90" s="64">
        <v>1.57</v>
      </c>
      <c r="C90" s="64">
        <v>25.13</v>
      </c>
      <c r="D90" s="64">
        <v>14.31</v>
      </c>
      <c r="E90" s="64">
        <v>1.27</v>
      </c>
      <c r="F90" s="64">
        <v>3.64</v>
      </c>
      <c r="G90" s="64">
        <v>33.93</v>
      </c>
      <c r="H90" s="64">
        <v>12.4</v>
      </c>
      <c r="I90" s="64">
        <v>3.64</v>
      </c>
      <c r="J90" s="64">
        <v>0.42</v>
      </c>
      <c r="K90" s="64">
        <v>181.53</v>
      </c>
      <c r="L90" s="64">
        <v>21.48</v>
      </c>
      <c r="M90" s="64">
        <v>83.08</v>
      </c>
      <c r="N90" s="64">
        <v>16.5</v>
      </c>
      <c r="O90" s="64">
        <v>0</v>
      </c>
      <c r="P90" s="64">
        <v>0.44</v>
      </c>
      <c r="Q90" s="64">
        <v>9.1999999999999993</v>
      </c>
      <c r="R90" s="198"/>
      <c r="S90" s="198"/>
      <c r="T90" s="198"/>
      <c r="U90" s="198"/>
    </row>
    <row r="91" spans="1:26" s="12" customFormat="1" x14ac:dyDescent="0.25">
      <c r="A91" s="214" t="s">
        <v>1482</v>
      </c>
      <c r="B91" s="64">
        <v>1.7</v>
      </c>
      <c r="C91" s="64">
        <v>25.24</v>
      </c>
      <c r="D91" s="64">
        <v>14.47</v>
      </c>
      <c r="E91" s="64">
        <v>1.2</v>
      </c>
      <c r="F91" s="64">
        <v>3.25</v>
      </c>
      <c r="G91" s="64">
        <v>33.93</v>
      </c>
      <c r="H91" s="64">
        <v>12.4</v>
      </c>
      <c r="I91" s="64">
        <v>3.71</v>
      </c>
      <c r="J91" s="64">
        <v>0.51</v>
      </c>
      <c r="K91" s="64">
        <v>177.62</v>
      </c>
      <c r="L91" s="64">
        <v>21.29</v>
      </c>
      <c r="M91" s="64">
        <v>85.5</v>
      </c>
      <c r="N91" s="64">
        <v>16.3</v>
      </c>
      <c r="O91" s="64">
        <v>0</v>
      </c>
      <c r="P91" s="64">
        <v>0.44</v>
      </c>
      <c r="Q91" s="64">
        <v>9.19</v>
      </c>
      <c r="R91" s="198"/>
      <c r="S91" s="198"/>
      <c r="T91" s="198"/>
      <c r="U91" s="198"/>
    </row>
    <row r="92" spans="1:26" s="12" customFormat="1" x14ac:dyDescent="0.25">
      <c r="A92" s="214" t="s">
        <v>1483</v>
      </c>
      <c r="B92" s="64">
        <v>2.4300000000000002</v>
      </c>
      <c r="C92" s="64">
        <v>25.6</v>
      </c>
      <c r="D92" s="64">
        <v>15.24</v>
      </c>
      <c r="E92" s="64">
        <v>1.02</v>
      </c>
      <c r="F92" s="64">
        <v>3.38</v>
      </c>
      <c r="G92" s="64">
        <v>33.85</v>
      </c>
      <c r="H92" s="64">
        <v>12.28</v>
      </c>
      <c r="I92" s="64">
        <v>3.72</v>
      </c>
      <c r="J92" s="64">
        <v>0.52</v>
      </c>
      <c r="K92" s="64">
        <v>162.30000000000001</v>
      </c>
      <c r="L92" s="64">
        <v>21.13</v>
      </c>
      <c r="M92" s="64">
        <v>85.96</v>
      </c>
      <c r="N92" s="64">
        <v>16.100000000000001</v>
      </c>
      <c r="O92" s="64">
        <v>0</v>
      </c>
      <c r="P92" s="64">
        <v>0.45</v>
      </c>
      <c r="Q92" s="64">
        <v>9.2200000000000006</v>
      </c>
      <c r="R92" s="198"/>
      <c r="S92" s="198"/>
      <c r="T92" s="198"/>
      <c r="U92" s="198"/>
    </row>
    <row r="93" spans="1:26" s="12" customFormat="1" x14ac:dyDescent="0.25">
      <c r="A93" s="214" t="s">
        <v>1484</v>
      </c>
      <c r="B93" s="64">
        <v>3.18</v>
      </c>
      <c r="C93" s="64">
        <v>25.69</v>
      </c>
      <c r="D93" s="64">
        <v>15.9</v>
      </c>
      <c r="E93" s="64">
        <v>1.17</v>
      </c>
      <c r="F93" s="64">
        <v>3.43</v>
      </c>
      <c r="G93" s="64">
        <v>32.61</v>
      </c>
      <c r="H93" s="64">
        <v>10.54</v>
      </c>
      <c r="I93" s="64">
        <v>3.71</v>
      </c>
      <c r="J93" s="64">
        <v>0.65</v>
      </c>
      <c r="K93" s="64">
        <v>158.43</v>
      </c>
      <c r="L93" s="64">
        <v>21.11</v>
      </c>
      <c r="M93" s="64">
        <v>86.54</v>
      </c>
      <c r="N93" s="64">
        <v>15.9</v>
      </c>
      <c r="O93" s="64">
        <v>0</v>
      </c>
      <c r="P93" s="64">
        <v>0.45</v>
      </c>
      <c r="Q93" s="64">
        <v>9.24</v>
      </c>
      <c r="R93" s="198"/>
      <c r="S93" s="198"/>
      <c r="T93" s="198"/>
      <c r="U93" s="198"/>
    </row>
    <row r="94" spans="1:26" s="12" customFormat="1" x14ac:dyDescent="0.25">
      <c r="A94" s="214" t="s">
        <v>1485</v>
      </c>
      <c r="B94" s="64">
        <v>3.55</v>
      </c>
      <c r="C94" s="64">
        <v>25.67</v>
      </c>
      <c r="D94" s="64">
        <v>16.18</v>
      </c>
      <c r="E94" s="64">
        <v>1.26</v>
      </c>
      <c r="F94" s="64">
        <v>3.38</v>
      </c>
      <c r="G94" s="64">
        <v>32.61</v>
      </c>
      <c r="H94" s="64">
        <v>10.54</v>
      </c>
      <c r="I94" s="64">
        <v>3.75</v>
      </c>
      <c r="J94" s="64">
        <v>0.33</v>
      </c>
      <c r="K94" s="64">
        <v>176.87</v>
      </c>
      <c r="L94" s="64">
        <v>20.89</v>
      </c>
      <c r="M94" s="64">
        <v>88.53</v>
      </c>
      <c r="N94" s="64">
        <v>16.3</v>
      </c>
      <c r="O94" s="64">
        <v>0</v>
      </c>
      <c r="P94" s="64">
        <v>0.46</v>
      </c>
      <c r="Q94" s="64">
        <v>9.17</v>
      </c>
      <c r="R94" s="198"/>
      <c r="S94" s="198"/>
      <c r="T94" s="198"/>
      <c r="U94" s="198"/>
    </row>
    <row r="95" spans="1:26" s="12" customFormat="1" x14ac:dyDescent="0.25">
      <c r="A95" s="214" t="s">
        <v>1486</v>
      </c>
      <c r="B95" s="64">
        <v>4.03</v>
      </c>
      <c r="C95" s="64">
        <v>27.13</v>
      </c>
      <c r="D95" s="64">
        <v>17.32</v>
      </c>
      <c r="E95" s="64">
        <v>1.24</v>
      </c>
      <c r="F95" s="64">
        <v>2.92</v>
      </c>
      <c r="G95" s="64">
        <v>32.61</v>
      </c>
      <c r="H95" s="64">
        <v>10.54</v>
      </c>
      <c r="I95" s="64">
        <v>3.75</v>
      </c>
      <c r="J95" s="64">
        <v>0.43</v>
      </c>
      <c r="K95" s="64">
        <v>149.62</v>
      </c>
      <c r="L95" s="64">
        <v>21.02</v>
      </c>
      <c r="M95" s="64">
        <v>88.34</v>
      </c>
      <c r="N95" s="64">
        <v>16.100000000000001</v>
      </c>
      <c r="O95" s="64">
        <v>0</v>
      </c>
      <c r="P95" s="64">
        <v>0.46</v>
      </c>
      <c r="Q95" s="64">
        <v>9.17</v>
      </c>
      <c r="R95" s="198"/>
      <c r="S95" s="198"/>
      <c r="T95" s="198"/>
      <c r="U95" s="198"/>
    </row>
    <row r="96" spans="1:26" s="12" customFormat="1" x14ac:dyDescent="0.25">
      <c r="A96" s="214" t="s">
        <v>1487</v>
      </c>
      <c r="B96" s="64">
        <v>4.6100000000000003</v>
      </c>
      <c r="C96" s="64">
        <v>28</v>
      </c>
      <c r="D96" s="64">
        <v>18.239999999999998</v>
      </c>
      <c r="E96" s="64">
        <v>1.26</v>
      </c>
      <c r="F96" s="64">
        <v>3.54</v>
      </c>
      <c r="G96" s="64">
        <v>32.25</v>
      </c>
      <c r="H96" s="64">
        <v>10.49</v>
      </c>
      <c r="I96" s="64">
        <v>3.81</v>
      </c>
      <c r="J96" s="64">
        <v>0.57999999999999996</v>
      </c>
      <c r="K96" s="64">
        <v>159.52000000000001</v>
      </c>
      <c r="L96" s="64">
        <v>20.85</v>
      </c>
      <c r="M96" s="64">
        <v>89.04</v>
      </c>
      <c r="N96" s="64">
        <v>16</v>
      </c>
      <c r="O96" s="64">
        <v>0</v>
      </c>
      <c r="P96" s="64">
        <v>0.46</v>
      </c>
      <c r="Q96" s="64">
        <v>9.23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1488</v>
      </c>
      <c r="B97" s="64">
        <v>5.28</v>
      </c>
      <c r="C97" s="64">
        <v>29.01</v>
      </c>
      <c r="D97" s="64">
        <v>19.309999999999999</v>
      </c>
      <c r="E97" s="64">
        <v>0.83</v>
      </c>
      <c r="F97" s="64">
        <v>3.37</v>
      </c>
      <c r="G97" s="64">
        <v>27.27</v>
      </c>
      <c r="H97" s="64">
        <v>9.9</v>
      </c>
      <c r="I97" s="64">
        <v>3.89</v>
      </c>
      <c r="J97" s="64">
        <v>0.18</v>
      </c>
      <c r="K97" s="64">
        <v>199.09</v>
      </c>
      <c r="L97" s="64">
        <v>20.75</v>
      </c>
      <c r="M97" s="64">
        <v>89.37</v>
      </c>
      <c r="N97" s="64">
        <v>16.399999999999999</v>
      </c>
      <c r="O97" s="64">
        <v>0</v>
      </c>
      <c r="P97" s="64">
        <v>0.46</v>
      </c>
      <c r="Q97" s="64">
        <v>9.2100000000000009</v>
      </c>
      <c r="R97" s="198"/>
      <c r="S97" s="198"/>
      <c r="T97" s="198"/>
      <c r="U97" s="198"/>
    </row>
    <row r="98" spans="1:33" s="12" customFormat="1" x14ac:dyDescent="0.25">
      <c r="A98" s="214" t="s">
        <v>1489</v>
      </c>
      <c r="B98" s="64">
        <v>5.91</v>
      </c>
      <c r="C98" s="64">
        <v>28.51</v>
      </c>
      <c r="D98" s="64">
        <v>19.55</v>
      </c>
      <c r="E98" s="64">
        <v>1.04</v>
      </c>
      <c r="F98" s="64">
        <v>3.57</v>
      </c>
      <c r="G98" s="64">
        <v>27.27</v>
      </c>
      <c r="H98" s="64">
        <v>9.9</v>
      </c>
      <c r="I98" s="64">
        <v>4.0999999999999996</v>
      </c>
      <c r="J98" s="64">
        <v>0.24</v>
      </c>
      <c r="K98" s="64">
        <v>150.29</v>
      </c>
      <c r="L98" s="64">
        <v>20.59</v>
      </c>
      <c r="M98" s="64">
        <v>89.62</v>
      </c>
      <c r="N98" s="64">
        <v>16.3</v>
      </c>
      <c r="O98" s="64">
        <v>0</v>
      </c>
      <c r="P98" s="64">
        <v>0.46</v>
      </c>
      <c r="Q98" s="64">
        <v>9.25</v>
      </c>
      <c r="R98" s="198"/>
      <c r="S98" s="198"/>
      <c r="T98" s="198"/>
      <c r="U98" s="198"/>
    </row>
    <row r="99" spans="1:33" s="12" customFormat="1" x14ac:dyDescent="0.25">
      <c r="A99" s="214" t="s">
        <v>1490</v>
      </c>
      <c r="B99" s="64">
        <v>6.48</v>
      </c>
      <c r="C99" s="64">
        <v>28.5</v>
      </c>
      <c r="D99" s="64">
        <v>20.010000000000002</v>
      </c>
      <c r="E99" s="64">
        <v>1.1499999999999999</v>
      </c>
      <c r="F99" s="64">
        <v>3.4</v>
      </c>
      <c r="G99" s="64">
        <v>27.27</v>
      </c>
      <c r="H99" s="64">
        <v>9.9</v>
      </c>
      <c r="I99" s="64">
        <v>4.2300000000000004</v>
      </c>
      <c r="J99" s="64">
        <v>0.3</v>
      </c>
      <c r="K99" s="64">
        <v>165.12</v>
      </c>
      <c r="L99" s="64">
        <v>20.7</v>
      </c>
      <c r="M99" s="64">
        <v>88.67</v>
      </c>
      <c r="N99" s="64">
        <v>16.100000000000001</v>
      </c>
      <c r="O99" s="64">
        <v>0</v>
      </c>
      <c r="P99" s="64">
        <v>0.47</v>
      </c>
      <c r="Q99" s="64">
        <v>9.3000000000000007</v>
      </c>
      <c r="R99" s="198"/>
      <c r="S99" s="198"/>
      <c r="T99" s="198"/>
      <c r="U99" s="198"/>
    </row>
    <row r="100" spans="1:33" s="12" customFormat="1" x14ac:dyDescent="0.25">
      <c r="A100" s="214" t="s">
        <v>1491</v>
      </c>
      <c r="B100" s="64">
        <v>6.98</v>
      </c>
      <c r="C100" s="64">
        <v>27.7</v>
      </c>
      <c r="D100" s="64">
        <v>19.989999999999998</v>
      </c>
      <c r="E100" s="64">
        <v>1.1000000000000001</v>
      </c>
      <c r="F100" s="64">
        <v>3.3</v>
      </c>
      <c r="G100" s="64">
        <v>27.52</v>
      </c>
      <c r="H100" s="64">
        <v>9.9600000000000009</v>
      </c>
      <c r="I100" s="64">
        <v>4.3600000000000003</v>
      </c>
      <c r="J100" s="64">
        <v>0.62</v>
      </c>
      <c r="K100" s="64">
        <v>171.36</v>
      </c>
      <c r="L100" s="64">
        <v>20.7</v>
      </c>
      <c r="M100" s="64">
        <v>88.32</v>
      </c>
      <c r="N100" s="64">
        <v>15.7</v>
      </c>
      <c r="O100" s="64">
        <v>0</v>
      </c>
      <c r="P100" s="64">
        <v>0.46</v>
      </c>
      <c r="Q100" s="64">
        <v>9.2799999999999994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1492</v>
      </c>
      <c r="B101" s="64">
        <v>7.31</v>
      </c>
      <c r="C101" s="64">
        <v>28.07</v>
      </c>
      <c r="D101" s="64">
        <v>20.45</v>
      </c>
      <c r="E101" s="64">
        <v>1.25</v>
      </c>
      <c r="F101" s="64">
        <v>3.24</v>
      </c>
      <c r="G101" s="64">
        <v>31.14</v>
      </c>
      <c r="H101" s="64">
        <v>10.72</v>
      </c>
      <c r="I101" s="64">
        <v>4.6100000000000003</v>
      </c>
      <c r="J101" s="64">
        <v>0.71</v>
      </c>
      <c r="K101" s="64">
        <v>165.2</v>
      </c>
      <c r="L101" s="64">
        <v>20.67</v>
      </c>
      <c r="M101" s="64">
        <v>87.71</v>
      </c>
      <c r="N101" s="64">
        <v>16</v>
      </c>
      <c r="O101" s="64">
        <v>0</v>
      </c>
      <c r="P101" s="64">
        <v>0.47</v>
      </c>
      <c r="Q101" s="64">
        <v>9.26</v>
      </c>
      <c r="R101" s="198"/>
      <c r="S101" s="198"/>
      <c r="T101" s="198"/>
      <c r="U101" s="198"/>
    </row>
    <row r="102" spans="1:33" s="12" customFormat="1" x14ac:dyDescent="0.25">
      <c r="A102" s="214" t="s">
        <v>1493</v>
      </c>
      <c r="B102" s="64">
        <v>7.45</v>
      </c>
      <c r="C102" s="64">
        <v>27.64</v>
      </c>
      <c r="D102" s="64">
        <v>20.34</v>
      </c>
      <c r="E102" s="64">
        <v>1.47</v>
      </c>
      <c r="F102" s="64">
        <v>3.74</v>
      </c>
      <c r="G102" s="64">
        <v>31.14</v>
      </c>
      <c r="H102" s="64">
        <v>10.72</v>
      </c>
      <c r="I102" s="64">
        <v>4.71</v>
      </c>
      <c r="J102" s="64">
        <v>0.71</v>
      </c>
      <c r="K102" s="64">
        <v>163.81</v>
      </c>
      <c r="L102" s="64">
        <v>20.64</v>
      </c>
      <c r="M102" s="64">
        <v>87.24</v>
      </c>
      <c r="N102" s="64">
        <v>16</v>
      </c>
      <c r="O102" s="64">
        <v>0</v>
      </c>
      <c r="P102" s="64">
        <v>0.46</v>
      </c>
      <c r="Q102" s="64">
        <v>9.32</v>
      </c>
      <c r="R102" s="198"/>
      <c r="S102" s="198"/>
      <c r="T102" s="198"/>
      <c r="U102" s="198"/>
    </row>
    <row r="103" spans="1:33" s="12" customFormat="1" x14ac:dyDescent="0.25">
      <c r="A103" s="214" t="s">
        <v>1494</v>
      </c>
      <c r="B103" s="64">
        <v>7.36</v>
      </c>
      <c r="C103" s="64">
        <v>27.28</v>
      </c>
      <c r="D103" s="64">
        <v>20.079999999999998</v>
      </c>
      <c r="E103" s="64">
        <v>1.1399999999999999</v>
      </c>
      <c r="F103" s="64">
        <v>3.14</v>
      </c>
      <c r="G103" s="64">
        <v>31.14</v>
      </c>
      <c r="H103" s="64">
        <v>10.72</v>
      </c>
      <c r="I103" s="64">
        <v>4.76</v>
      </c>
      <c r="J103" s="64">
        <v>0.46</v>
      </c>
      <c r="K103" s="64">
        <v>159.69</v>
      </c>
      <c r="L103" s="64">
        <v>20.51</v>
      </c>
      <c r="M103" s="64">
        <v>88.17</v>
      </c>
      <c r="N103" s="64">
        <v>16.399999999999999</v>
      </c>
      <c r="O103" s="64">
        <v>0</v>
      </c>
      <c r="P103" s="64">
        <v>0.46</v>
      </c>
      <c r="Q103" s="64">
        <v>9.3800000000000008</v>
      </c>
      <c r="R103" s="198"/>
      <c r="S103" s="198"/>
      <c r="T103" s="198"/>
      <c r="U103" s="198"/>
    </row>
    <row r="104" spans="1:33" s="12" customFormat="1" x14ac:dyDescent="0.25">
      <c r="A104" s="214" t="s">
        <v>1495</v>
      </c>
      <c r="B104" s="64">
        <v>7.08</v>
      </c>
      <c r="C104" s="64">
        <v>25.49</v>
      </c>
      <c r="D104" s="64">
        <v>18.91</v>
      </c>
      <c r="E104" s="64">
        <v>1.26</v>
      </c>
      <c r="F104" s="64">
        <v>3.46</v>
      </c>
      <c r="G104" s="64">
        <v>31.19</v>
      </c>
      <c r="H104" s="64">
        <v>10.8</v>
      </c>
      <c r="I104" s="64">
        <v>4.8099999999999996</v>
      </c>
      <c r="J104" s="64">
        <v>0.08</v>
      </c>
      <c r="K104" s="64">
        <v>265.7</v>
      </c>
      <c r="L104" s="64">
        <v>20.18</v>
      </c>
      <c r="M104" s="64">
        <v>90.8</v>
      </c>
      <c r="N104" s="64">
        <v>16.7</v>
      </c>
      <c r="O104" s="64">
        <v>0</v>
      </c>
      <c r="P104" s="64">
        <v>0.46</v>
      </c>
      <c r="Q104" s="64">
        <v>9.2899999999999991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21.46</v>
      </c>
      <c r="D106" s="67">
        <f t="shared" ref="D106:Q106" si="0">MIN(D9:D104)</f>
        <v>11.21</v>
      </c>
      <c r="E106" s="67">
        <f t="shared" si="0"/>
        <v>0.35</v>
      </c>
      <c r="F106" s="67">
        <f t="shared" si="0"/>
        <v>2.78</v>
      </c>
      <c r="G106" s="67">
        <f t="shared" si="0"/>
        <v>20.83</v>
      </c>
      <c r="H106" s="67">
        <f t="shared" si="0"/>
        <v>9.24</v>
      </c>
      <c r="I106" s="67">
        <f t="shared" si="0"/>
        <v>3.07</v>
      </c>
      <c r="J106" s="67">
        <f t="shared" si="0"/>
        <v>0.08</v>
      </c>
      <c r="K106" s="67">
        <f t="shared" si="0"/>
        <v>1.32</v>
      </c>
      <c r="L106" s="67">
        <f t="shared" si="0"/>
        <v>18.02</v>
      </c>
      <c r="M106" s="67">
        <f t="shared" si="0"/>
        <v>56.31</v>
      </c>
      <c r="N106" s="67">
        <f t="shared" si="0"/>
        <v>15.2</v>
      </c>
      <c r="O106" s="67">
        <f t="shared" si="0"/>
        <v>0</v>
      </c>
      <c r="P106" s="67">
        <f t="shared" si="0"/>
        <v>0.36</v>
      </c>
      <c r="Q106" s="67">
        <f t="shared" si="0"/>
        <v>9.1300000000000008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27.51</v>
      </c>
      <c r="C107" s="66">
        <f t="shared" ref="C107:Q107" si="1">MAX(C9:C104)</f>
        <v>41.73</v>
      </c>
      <c r="D107" s="66">
        <f t="shared" si="1"/>
        <v>37.950000000000003</v>
      </c>
      <c r="E107" s="66">
        <f t="shared" si="1"/>
        <v>2.87</v>
      </c>
      <c r="F107" s="66">
        <f t="shared" si="1"/>
        <v>5.68</v>
      </c>
      <c r="G107" s="66">
        <f t="shared" si="1"/>
        <v>165.74</v>
      </c>
      <c r="H107" s="66">
        <f t="shared" si="1"/>
        <v>54.72</v>
      </c>
      <c r="I107" s="66">
        <f t="shared" si="1"/>
        <v>10.14</v>
      </c>
      <c r="J107" s="66">
        <f t="shared" si="1"/>
        <v>1.1000000000000001</v>
      </c>
      <c r="K107" s="66">
        <f t="shared" si="1"/>
        <v>358.38</v>
      </c>
      <c r="L107" s="66">
        <f t="shared" si="1"/>
        <v>28.63</v>
      </c>
      <c r="M107" s="66">
        <f t="shared" si="1"/>
        <v>97.95</v>
      </c>
      <c r="N107" s="66">
        <f t="shared" si="1"/>
        <v>513.5</v>
      </c>
      <c r="O107" s="66">
        <f t="shared" si="1"/>
        <v>0</v>
      </c>
      <c r="P107" s="66">
        <f t="shared" si="1"/>
        <v>1.22</v>
      </c>
      <c r="Q107" s="66">
        <f t="shared" si="1"/>
        <v>9.68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10.937291666666669</v>
      </c>
      <c r="C108" s="67">
        <f t="shared" ref="C108:Q108" si="2">AVERAGE(C9:C104)</f>
        <v>27.863541666666666</v>
      </c>
      <c r="D108" s="67">
        <f t="shared" si="2"/>
        <v>23.248541666666668</v>
      </c>
      <c r="E108" s="67">
        <f t="shared" si="2"/>
        <v>1.5136458333333331</v>
      </c>
      <c r="F108" s="67">
        <f t="shared" si="2"/>
        <v>3.7492708333333327</v>
      </c>
      <c r="G108" s="67">
        <f t="shared" si="2"/>
        <v>63.737291666666664</v>
      </c>
      <c r="H108" s="67">
        <f t="shared" si="2"/>
        <v>24.309270833333311</v>
      </c>
      <c r="I108" s="67">
        <f t="shared" si="2"/>
        <v>5.8479166666666673</v>
      </c>
      <c r="J108" s="67">
        <f t="shared" si="2"/>
        <v>0.45166666666666661</v>
      </c>
      <c r="K108" s="67">
        <f t="shared" si="2"/>
        <v>212.3457291666667</v>
      </c>
      <c r="L108" s="67">
        <f t="shared" si="2"/>
        <v>22.039374999999996</v>
      </c>
      <c r="M108" s="67">
        <f t="shared" si="2"/>
        <v>81.838958333333323</v>
      </c>
      <c r="N108" s="67">
        <f t="shared" si="2"/>
        <v>138.94895833333337</v>
      </c>
      <c r="O108" s="67">
        <f t="shared" si="2"/>
        <v>0</v>
      </c>
      <c r="P108" s="67">
        <f t="shared" si="2"/>
        <v>0.63718749999999991</v>
      </c>
      <c r="Q108" s="67">
        <f t="shared" si="2"/>
        <v>9.3534375000000036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9.9756557868238662</v>
      </c>
      <c r="C109" s="67">
        <f t="shared" ref="C109:Q109" si="3">STDEV(C9:C104)</f>
        <v>4.6532582764896242</v>
      </c>
      <c r="D109" s="67">
        <f t="shared" si="3"/>
        <v>8.6601033151934548</v>
      </c>
      <c r="E109" s="67">
        <f t="shared" si="3"/>
        <v>0.67675871435552304</v>
      </c>
      <c r="F109" s="67">
        <f t="shared" si="3"/>
        <v>0.67972013558471711</v>
      </c>
      <c r="G109" s="67">
        <f t="shared" si="3"/>
        <v>50.278308673960389</v>
      </c>
      <c r="H109" s="67">
        <f t="shared" si="3"/>
        <v>14.768225154010981</v>
      </c>
      <c r="I109" s="67">
        <f t="shared" si="3"/>
        <v>2.0312774910420335</v>
      </c>
      <c r="J109" s="67">
        <f t="shared" si="3"/>
        <v>0.27450114242564189</v>
      </c>
      <c r="K109" s="67">
        <f t="shared" si="3"/>
        <v>92.409281964242666</v>
      </c>
      <c r="L109" s="67">
        <f t="shared" si="3"/>
        <v>2.7641238499558543</v>
      </c>
      <c r="M109" s="67">
        <f t="shared" si="3"/>
        <v>13.182663374309065</v>
      </c>
      <c r="N109" s="67">
        <f t="shared" si="3"/>
        <v>150.73230715396133</v>
      </c>
      <c r="O109" s="67">
        <f t="shared" si="3"/>
        <v>0</v>
      </c>
      <c r="P109" s="67">
        <f t="shared" si="3"/>
        <v>0.22944648785604396</v>
      </c>
      <c r="Q109" s="67">
        <f t="shared" si="3"/>
        <v>0.16366093399400328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1496</v>
      </c>
      <c r="B9" s="64">
        <v>6.95</v>
      </c>
      <c r="C9" s="64">
        <v>24.93</v>
      </c>
      <c r="D9" s="64">
        <v>18.52</v>
      </c>
      <c r="E9" s="64">
        <v>2.06</v>
      </c>
      <c r="F9" s="64">
        <v>2.76</v>
      </c>
      <c r="G9" s="64">
        <v>31.93</v>
      </c>
      <c r="H9" s="64">
        <v>11.81</v>
      </c>
      <c r="I9" s="64">
        <v>4.7699999999999996</v>
      </c>
      <c r="J9" s="64">
        <v>0.22</v>
      </c>
      <c r="K9" s="64">
        <v>216.24</v>
      </c>
      <c r="L9" s="64">
        <v>19.91</v>
      </c>
      <c r="M9" s="64">
        <v>93.11</v>
      </c>
      <c r="N9" s="64">
        <v>16.3</v>
      </c>
      <c r="O9" s="64">
        <v>0</v>
      </c>
      <c r="P9" s="64">
        <v>0.45</v>
      </c>
      <c r="Q9" s="64">
        <v>9.2100000000000009</v>
      </c>
      <c r="R9" s="198"/>
      <c r="S9" s="198"/>
      <c r="T9" s="198"/>
      <c r="U9" s="198"/>
    </row>
    <row r="10" spans="1:21" s="12" customFormat="1" x14ac:dyDescent="0.25">
      <c r="A10" s="214" t="s">
        <v>1497</v>
      </c>
      <c r="B10" s="64">
        <v>6.96</v>
      </c>
      <c r="C10" s="64">
        <v>24.14</v>
      </c>
      <c r="D10" s="64">
        <v>18.11</v>
      </c>
      <c r="E10" s="64">
        <v>1.89</v>
      </c>
      <c r="F10" s="64">
        <v>3.18</v>
      </c>
      <c r="G10" s="64">
        <v>31.93</v>
      </c>
      <c r="H10" s="64">
        <v>11.81</v>
      </c>
      <c r="I10" s="64">
        <v>4.75</v>
      </c>
      <c r="J10" s="64">
        <v>0.22</v>
      </c>
      <c r="K10" s="64">
        <v>338.22</v>
      </c>
      <c r="L10" s="64">
        <v>19.57</v>
      </c>
      <c r="M10" s="64">
        <v>95.02</v>
      </c>
      <c r="N10" s="64">
        <v>16.600000000000001</v>
      </c>
      <c r="O10" s="64">
        <v>0</v>
      </c>
      <c r="P10" s="64">
        <v>0.46</v>
      </c>
      <c r="Q10" s="64">
        <v>9.32</v>
      </c>
      <c r="R10" s="198"/>
      <c r="S10" s="198"/>
      <c r="T10" s="198"/>
      <c r="U10" s="198"/>
    </row>
    <row r="11" spans="1:21" s="12" customFormat="1" x14ac:dyDescent="0.25">
      <c r="A11" s="214" t="s">
        <v>1498</v>
      </c>
      <c r="B11" s="64">
        <v>7.2</v>
      </c>
      <c r="C11" s="64">
        <v>24.07</v>
      </c>
      <c r="D11" s="64">
        <v>18.27</v>
      </c>
      <c r="E11" s="64">
        <v>1.84</v>
      </c>
      <c r="F11" s="64">
        <v>3.31</v>
      </c>
      <c r="G11" s="64">
        <v>31.93</v>
      </c>
      <c r="H11" s="64">
        <v>11.81</v>
      </c>
      <c r="I11" s="64">
        <v>4.67</v>
      </c>
      <c r="J11" s="64">
        <v>0.14000000000000001</v>
      </c>
      <c r="K11" s="64">
        <v>334.87</v>
      </c>
      <c r="L11" s="64">
        <v>19.28</v>
      </c>
      <c r="M11" s="64">
        <v>96.48</v>
      </c>
      <c r="N11" s="64">
        <v>16.600000000000001</v>
      </c>
      <c r="O11" s="64">
        <v>0</v>
      </c>
      <c r="P11" s="64">
        <v>0.46</v>
      </c>
      <c r="Q11" s="64">
        <v>9.31</v>
      </c>
      <c r="R11" s="198"/>
      <c r="S11" s="198"/>
      <c r="T11" s="198"/>
      <c r="U11" s="198"/>
    </row>
    <row r="12" spans="1:21" s="12" customFormat="1" x14ac:dyDescent="0.25">
      <c r="A12" s="214" t="s">
        <v>1499</v>
      </c>
      <c r="B12" s="64">
        <v>7.54</v>
      </c>
      <c r="C12" s="64">
        <v>23.91</v>
      </c>
      <c r="D12" s="64">
        <v>18.46</v>
      </c>
      <c r="E12" s="64">
        <v>2.29</v>
      </c>
      <c r="F12" s="64">
        <v>3.15</v>
      </c>
      <c r="G12" s="64">
        <v>31.55</v>
      </c>
      <c r="H12" s="64">
        <v>11.62</v>
      </c>
      <c r="I12" s="64">
        <v>4.62</v>
      </c>
      <c r="J12" s="64">
        <v>0.13</v>
      </c>
      <c r="K12" s="64">
        <v>12.07</v>
      </c>
      <c r="L12" s="64">
        <v>19.14</v>
      </c>
      <c r="M12" s="64">
        <v>97.52</v>
      </c>
      <c r="N12" s="64">
        <v>16.3</v>
      </c>
      <c r="O12" s="64">
        <v>0</v>
      </c>
      <c r="P12" s="64">
        <v>0.46</v>
      </c>
      <c r="Q12" s="64">
        <v>9.33</v>
      </c>
      <c r="R12" s="198"/>
      <c r="S12" s="198"/>
      <c r="T12" s="198"/>
      <c r="U12" s="198"/>
    </row>
    <row r="13" spans="1:21" s="12" customFormat="1" x14ac:dyDescent="0.25">
      <c r="A13" s="214" t="s">
        <v>1500</v>
      </c>
      <c r="B13" s="64">
        <v>7.85</v>
      </c>
      <c r="C13" s="64">
        <v>23.81</v>
      </c>
      <c r="D13" s="64">
        <v>18.649999999999999</v>
      </c>
      <c r="E13" s="64">
        <v>2.2200000000000002</v>
      </c>
      <c r="F13" s="64">
        <v>3.19</v>
      </c>
      <c r="G13" s="64">
        <v>26.3</v>
      </c>
      <c r="H13" s="64">
        <v>8.9600000000000009</v>
      </c>
      <c r="I13" s="64">
        <v>4.54</v>
      </c>
      <c r="J13" s="64">
        <v>0.12</v>
      </c>
      <c r="K13" s="64">
        <v>286.77999999999997</v>
      </c>
      <c r="L13" s="64">
        <v>19.28</v>
      </c>
      <c r="M13" s="64">
        <v>96.64</v>
      </c>
      <c r="N13" s="64">
        <v>16.600000000000001</v>
      </c>
      <c r="O13" s="64">
        <v>0</v>
      </c>
      <c r="P13" s="64">
        <v>0.44</v>
      </c>
      <c r="Q13" s="64">
        <v>9.23</v>
      </c>
      <c r="R13" s="198"/>
      <c r="S13" s="198"/>
      <c r="T13" s="198"/>
      <c r="U13" s="198"/>
    </row>
    <row r="14" spans="1:21" s="12" customFormat="1" x14ac:dyDescent="0.25">
      <c r="A14" s="214" t="s">
        <v>1501</v>
      </c>
      <c r="B14" s="64">
        <v>8.25</v>
      </c>
      <c r="C14" s="64">
        <v>23.8</v>
      </c>
      <c r="D14" s="64">
        <v>18.97</v>
      </c>
      <c r="E14" s="64">
        <v>2.08</v>
      </c>
      <c r="F14" s="64">
        <v>3.09</v>
      </c>
      <c r="G14" s="64">
        <v>26.3</v>
      </c>
      <c r="H14" s="64">
        <v>8.9600000000000009</v>
      </c>
      <c r="I14" s="64">
        <v>4.5</v>
      </c>
      <c r="J14" s="64">
        <v>0.09</v>
      </c>
      <c r="K14" s="64">
        <v>9.68</v>
      </c>
      <c r="L14" s="64">
        <v>19.100000000000001</v>
      </c>
      <c r="M14" s="64">
        <v>97.9</v>
      </c>
      <c r="N14" s="64">
        <v>16.600000000000001</v>
      </c>
      <c r="O14" s="64">
        <v>0</v>
      </c>
      <c r="P14" s="64">
        <v>0.45</v>
      </c>
      <c r="Q14" s="64">
        <v>9.33</v>
      </c>
      <c r="R14" s="198"/>
      <c r="S14" s="198"/>
      <c r="T14" s="198"/>
      <c r="U14" s="198"/>
    </row>
    <row r="15" spans="1:21" s="12" customFormat="1" x14ac:dyDescent="0.25">
      <c r="A15" s="214" t="s">
        <v>1502</v>
      </c>
      <c r="B15" s="64">
        <v>8.8800000000000008</v>
      </c>
      <c r="C15" s="64">
        <v>23.86</v>
      </c>
      <c r="D15" s="64">
        <v>19.510000000000002</v>
      </c>
      <c r="E15" s="64">
        <v>2.33</v>
      </c>
      <c r="F15" s="64">
        <v>3.03</v>
      </c>
      <c r="G15" s="64">
        <v>26.3</v>
      </c>
      <c r="H15" s="64">
        <v>8.9600000000000009</v>
      </c>
      <c r="I15" s="64">
        <v>4.51</v>
      </c>
      <c r="J15" s="64">
        <v>0.06</v>
      </c>
      <c r="K15" s="64">
        <v>283.92</v>
      </c>
      <c r="L15" s="64">
        <v>19.02</v>
      </c>
      <c r="M15" s="64">
        <v>97.9</v>
      </c>
      <c r="N15" s="64">
        <v>16.5</v>
      </c>
      <c r="O15" s="64">
        <v>0</v>
      </c>
      <c r="P15" s="64">
        <v>0.45</v>
      </c>
      <c r="Q15" s="64">
        <v>9.34</v>
      </c>
      <c r="R15" s="198"/>
      <c r="S15" s="198"/>
      <c r="T15" s="198"/>
      <c r="U15" s="198"/>
    </row>
    <row r="16" spans="1:21" s="12" customFormat="1" x14ac:dyDescent="0.25">
      <c r="A16" s="214" t="s">
        <v>1503</v>
      </c>
      <c r="B16" s="64">
        <v>9.39</v>
      </c>
      <c r="C16" s="64">
        <v>23.95</v>
      </c>
      <c r="D16" s="64">
        <v>19.96</v>
      </c>
      <c r="E16" s="64">
        <v>2.33</v>
      </c>
      <c r="F16" s="64">
        <v>3.13</v>
      </c>
      <c r="G16" s="64">
        <v>27.47</v>
      </c>
      <c r="H16" s="64">
        <v>9.02</v>
      </c>
      <c r="I16" s="64">
        <v>4.45</v>
      </c>
      <c r="J16" s="64">
        <v>0.09</v>
      </c>
      <c r="K16" s="64">
        <v>206.78</v>
      </c>
      <c r="L16" s="64">
        <v>19.190000000000001</v>
      </c>
      <c r="M16" s="64">
        <v>97.81</v>
      </c>
      <c r="N16" s="64">
        <v>16.3</v>
      </c>
      <c r="O16" s="64">
        <v>0</v>
      </c>
      <c r="P16" s="64">
        <v>0.45</v>
      </c>
      <c r="Q16" s="64">
        <v>9.32</v>
      </c>
      <c r="R16" s="198"/>
      <c r="S16" s="198"/>
      <c r="T16" s="198"/>
      <c r="U16" s="198"/>
    </row>
    <row r="17" spans="1:21" s="12" customFormat="1" x14ac:dyDescent="0.25">
      <c r="A17" s="214" t="s">
        <v>1504</v>
      </c>
      <c r="B17" s="64">
        <v>9.84</v>
      </c>
      <c r="C17" s="64">
        <v>24.49</v>
      </c>
      <c r="D17" s="64">
        <v>20.6</v>
      </c>
      <c r="E17" s="64">
        <v>2.4</v>
      </c>
      <c r="F17" s="64">
        <v>3.12</v>
      </c>
      <c r="G17" s="64">
        <v>43.89</v>
      </c>
      <c r="H17" s="64">
        <v>10.14</v>
      </c>
      <c r="I17" s="64">
        <v>4.43</v>
      </c>
      <c r="J17" s="64">
        <v>0.15</v>
      </c>
      <c r="K17" s="64">
        <v>50.44</v>
      </c>
      <c r="L17" s="64">
        <v>19.309999999999999</v>
      </c>
      <c r="M17" s="64">
        <v>97.84</v>
      </c>
      <c r="N17" s="64">
        <v>16.600000000000001</v>
      </c>
      <c r="O17" s="64">
        <v>0</v>
      </c>
      <c r="P17" s="64">
        <v>0.44</v>
      </c>
      <c r="Q17" s="64">
        <v>9.31</v>
      </c>
      <c r="R17" s="198"/>
      <c r="S17" s="198"/>
      <c r="T17" s="198"/>
      <c r="U17" s="198"/>
    </row>
    <row r="18" spans="1:21" s="12" customFormat="1" x14ac:dyDescent="0.25">
      <c r="A18" s="214" t="s">
        <v>1505</v>
      </c>
      <c r="B18" s="64">
        <v>10.5</v>
      </c>
      <c r="C18" s="64">
        <v>23.22</v>
      </c>
      <c r="D18" s="64">
        <v>20.47</v>
      </c>
      <c r="E18" s="64">
        <v>2.1</v>
      </c>
      <c r="F18" s="64">
        <v>3.14</v>
      </c>
      <c r="G18" s="64">
        <v>43.89</v>
      </c>
      <c r="H18" s="64">
        <v>10.14</v>
      </c>
      <c r="I18" s="64">
        <v>4.4000000000000004</v>
      </c>
      <c r="J18" s="64">
        <v>0.14000000000000001</v>
      </c>
      <c r="K18" s="64">
        <v>218.95</v>
      </c>
      <c r="L18" s="64">
        <v>19.23</v>
      </c>
      <c r="M18" s="64">
        <v>97.87</v>
      </c>
      <c r="N18" s="64">
        <v>16.399999999999999</v>
      </c>
      <c r="O18" s="64">
        <v>0</v>
      </c>
      <c r="P18" s="64">
        <v>0.45</v>
      </c>
      <c r="Q18" s="64">
        <v>9.31</v>
      </c>
      <c r="R18" s="198"/>
      <c r="S18" s="198"/>
      <c r="T18" s="198"/>
      <c r="U18" s="198"/>
    </row>
    <row r="19" spans="1:21" s="12" customFormat="1" x14ac:dyDescent="0.25">
      <c r="A19" s="214" t="s">
        <v>1506</v>
      </c>
      <c r="B19" s="64">
        <v>11.12</v>
      </c>
      <c r="C19" s="64">
        <v>23.1</v>
      </c>
      <c r="D19" s="64">
        <v>20.91</v>
      </c>
      <c r="E19" s="64">
        <v>2.15</v>
      </c>
      <c r="F19" s="64">
        <v>3.25</v>
      </c>
      <c r="G19" s="64">
        <v>43.89</v>
      </c>
      <c r="H19" s="64">
        <v>10.14</v>
      </c>
      <c r="I19" s="64">
        <v>4.43</v>
      </c>
      <c r="J19" s="64">
        <v>0.15</v>
      </c>
      <c r="K19" s="64">
        <v>282.05</v>
      </c>
      <c r="L19" s="64">
        <v>19.02</v>
      </c>
      <c r="M19" s="64">
        <v>97.9</v>
      </c>
      <c r="N19" s="64">
        <v>16.5</v>
      </c>
      <c r="O19" s="64">
        <v>0</v>
      </c>
      <c r="P19" s="64">
        <v>0.45</v>
      </c>
      <c r="Q19" s="64">
        <v>9.33</v>
      </c>
      <c r="R19" s="198"/>
      <c r="S19" s="198"/>
      <c r="T19" s="198"/>
      <c r="U19" s="198"/>
    </row>
    <row r="20" spans="1:21" s="12" customFormat="1" x14ac:dyDescent="0.25">
      <c r="A20" s="214" t="s">
        <v>1507</v>
      </c>
      <c r="B20" s="64">
        <v>11.71</v>
      </c>
      <c r="C20" s="64">
        <v>23.39</v>
      </c>
      <c r="D20" s="64">
        <v>21.53</v>
      </c>
      <c r="E20" s="64">
        <v>2.41</v>
      </c>
      <c r="F20" s="64">
        <v>3.03</v>
      </c>
      <c r="G20" s="64">
        <v>43.74</v>
      </c>
      <c r="H20" s="64">
        <v>10.31</v>
      </c>
      <c r="I20" s="64">
        <v>4.57</v>
      </c>
      <c r="J20" s="64">
        <v>0.13</v>
      </c>
      <c r="K20" s="64">
        <v>307.11</v>
      </c>
      <c r="L20" s="64">
        <v>18.59</v>
      </c>
      <c r="M20" s="64">
        <v>97.91</v>
      </c>
      <c r="N20" s="64">
        <v>16.7</v>
      </c>
      <c r="O20" s="64">
        <v>0</v>
      </c>
      <c r="P20" s="64">
        <v>0.45</v>
      </c>
      <c r="Q20" s="64">
        <v>9.35</v>
      </c>
      <c r="R20" s="198"/>
      <c r="S20" s="198"/>
      <c r="T20" s="198"/>
      <c r="U20" s="198"/>
    </row>
    <row r="21" spans="1:21" s="12" customFormat="1" x14ac:dyDescent="0.25">
      <c r="A21" s="214" t="s">
        <v>1508</v>
      </c>
      <c r="B21" s="64">
        <v>12.36</v>
      </c>
      <c r="C21" s="64">
        <v>23.36</v>
      </c>
      <c r="D21" s="64">
        <v>22.04</v>
      </c>
      <c r="E21" s="64">
        <v>1.92</v>
      </c>
      <c r="F21" s="64">
        <v>3.41</v>
      </c>
      <c r="G21" s="64">
        <v>41.66</v>
      </c>
      <c r="H21" s="64">
        <v>13.27</v>
      </c>
      <c r="I21" s="64">
        <v>4.6500000000000004</v>
      </c>
      <c r="J21" s="64">
        <v>0.08</v>
      </c>
      <c r="K21" s="64">
        <v>298.39999999999998</v>
      </c>
      <c r="L21" s="64">
        <v>18.38</v>
      </c>
      <c r="M21" s="64">
        <v>97.93</v>
      </c>
      <c r="N21" s="64">
        <v>16.399999999999999</v>
      </c>
      <c r="O21" s="64">
        <v>0</v>
      </c>
      <c r="P21" s="64">
        <v>0.44</v>
      </c>
      <c r="Q21" s="64">
        <v>9.32</v>
      </c>
      <c r="R21" s="198"/>
      <c r="S21" s="198"/>
      <c r="T21" s="198"/>
      <c r="U21" s="198"/>
    </row>
    <row r="22" spans="1:21" s="12" customFormat="1" x14ac:dyDescent="0.25">
      <c r="A22" s="214" t="s">
        <v>1509</v>
      </c>
      <c r="B22" s="64">
        <v>12.96</v>
      </c>
      <c r="C22" s="64">
        <v>23.81</v>
      </c>
      <c r="D22" s="64">
        <v>22.76</v>
      </c>
      <c r="E22" s="64">
        <v>2.15</v>
      </c>
      <c r="F22" s="64">
        <v>3.26</v>
      </c>
      <c r="G22" s="64">
        <v>41.66</v>
      </c>
      <c r="H22" s="64">
        <v>13.27</v>
      </c>
      <c r="I22" s="64">
        <v>4.78</v>
      </c>
      <c r="J22" s="64">
        <v>0.08</v>
      </c>
      <c r="K22" s="64">
        <v>134.18</v>
      </c>
      <c r="L22" s="64">
        <v>18.48</v>
      </c>
      <c r="M22" s="64">
        <v>97.92</v>
      </c>
      <c r="N22" s="64">
        <v>16.100000000000001</v>
      </c>
      <c r="O22" s="64">
        <v>0</v>
      </c>
      <c r="P22" s="64">
        <v>0.44</v>
      </c>
      <c r="Q22" s="64">
        <v>9.35</v>
      </c>
      <c r="R22" s="198"/>
      <c r="S22" s="198"/>
      <c r="T22" s="198"/>
      <c r="U22" s="198"/>
    </row>
    <row r="23" spans="1:21" s="12" customFormat="1" x14ac:dyDescent="0.25">
      <c r="A23" s="214" t="s">
        <v>1510</v>
      </c>
      <c r="B23" s="64">
        <v>13.27</v>
      </c>
      <c r="C23" s="64">
        <v>23.7</v>
      </c>
      <c r="D23" s="64">
        <v>22.94</v>
      </c>
      <c r="E23" s="64">
        <v>1.94</v>
      </c>
      <c r="F23" s="64">
        <v>3.15</v>
      </c>
      <c r="G23" s="64">
        <v>41.66</v>
      </c>
      <c r="H23" s="64">
        <v>13.27</v>
      </c>
      <c r="I23" s="64">
        <v>4.88</v>
      </c>
      <c r="J23" s="64">
        <v>0.19</v>
      </c>
      <c r="K23" s="64">
        <v>241.9</v>
      </c>
      <c r="L23" s="64">
        <v>19.010000000000002</v>
      </c>
      <c r="M23" s="64">
        <v>97.9</v>
      </c>
      <c r="N23" s="64">
        <v>16.2</v>
      </c>
      <c r="O23" s="64">
        <v>0</v>
      </c>
      <c r="P23" s="64">
        <v>0.44</v>
      </c>
      <c r="Q23" s="64">
        <v>9.31</v>
      </c>
      <c r="R23" s="198"/>
      <c r="S23" s="198"/>
      <c r="T23" s="198"/>
      <c r="U23" s="198"/>
    </row>
    <row r="24" spans="1:21" s="12" customFormat="1" x14ac:dyDescent="0.25">
      <c r="A24" s="214" t="s">
        <v>1511</v>
      </c>
      <c r="B24" s="64">
        <v>13.51</v>
      </c>
      <c r="C24" s="64">
        <v>23.72</v>
      </c>
      <c r="D24" s="64">
        <v>23.14</v>
      </c>
      <c r="E24" s="64">
        <v>1.48</v>
      </c>
      <c r="F24" s="64">
        <v>3.18</v>
      </c>
      <c r="G24" s="64">
        <v>41.49</v>
      </c>
      <c r="H24" s="64">
        <v>13.32</v>
      </c>
      <c r="I24" s="64">
        <v>5.01</v>
      </c>
      <c r="J24" s="64">
        <v>7.0000000000000007E-2</v>
      </c>
      <c r="K24" s="64">
        <v>29.38</v>
      </c>
      <c r="L24" s="64">
        <v>19</v>
      </c>
      <c r="M24" s="64">
        <v>97.9</v>
      </c>
      <c r="N24" s="64">
        <v>16.600000000000001</v>
      </c>
      <c r="O24" s="64">
        <v>0</v>
      </c>
      <c r="P24" s="64">
        <v>0.43</v>
      </c>
      <c r="Q24" s="64">
        <v>9.2899999999999991</v>
      </c>
      <c r="R24" s="198"/>
      <c r="S24" s="198"/>
      <c r="T24" s="198"/>
      <c r="U24" s="198"/>
    </row>
    <row r="25" spans="1:21" s="12" customFormat="1" x14ac:dyDescent="0.25">
      <c r="A25" s="214" t="s">
        <v>1512</v>
      </c>
      <c r="B25" s="64">
        <v>14.39</v>
      </c>
      <c r="C25" s="64">
        <v>23.73</v>
      </c>
      <c r="D25" s="64">
        <v>23.85</v>
      </c>
      <c r="E25" s="64">
        <v>1.82</v>
      </c>
      <c r="F25" s="64">
        <v>3.36</v>
      </c>
      <c r="G25" s="64">
        <v>38.979999999999997</v>
      </c>
      <c r="H25" s="64">
        <v>14.11</v>
      </c>
      <c r="I25" s="64">
        <v>5.0199999999999996</v>
      </c>
      <c r="J25" s="64">
        <v>0.13</v>
      </c>
      <c r="K25" s="64">
        <v>24.49</v>
      </c>
      <c r="L25" s="64">
        <v>18.91</v>
      </c>
      <c r="M25" s="64">
        <v>97.9</v>
      </c>
      <c r="N25" s="64">
        <v>16.600000000000001</v>
      </c>
      <c r="O25" s="64">
        <v>0</v>
      </c>
      <c r="P25" s="64">
        <v>0.44</v>
      </c>
      <c r="Q25" s="64">
        <v>9.36</v>
      </c>
      <c r="R25" s="198"/>
      <c r="S25" s="198"/>
      <c r="T25" s="198"/>
      <c r="U25" s="198"/>
    </row>
    <row r="26" spans="1:21" s="12" customFormat="1" x14ac:dyDescent="0.25">
      <c r="A26" s="214" t="s">
        <v>1513</v>
      </c>
      <c r="B26" s="64">
        <v>15.66</v>
      </c>
      <c r="C26" s="64">
        <v>23.5</v>
      </c>
      <c r="D26" s="64">
        <v>24.76</v>
      </c>
      <c r="E26" s="64">
        <v>2.5299999999999998</v>
      </c>
      <c r="F26" s="64">
        <v>3.21</v>
      </c>
      <c r="G26" s="64">
        <v>38.979999999999997</v>
      </c>
      <c r="H26" s="64">
        <v>14.11</v>
      </c>
      <c r="I26" s="64">
        <v>5.18</v>
      </c>
      <c r="J26" s="64">
        <v>7.0000000000000007E-2</v>
      </c>
      <c r="K26" s="64">
        <v>292.31</v>
      </c>
      <c r="L26" s="64">
        <v>18.82</v>
      </c>
      <c r="M26" s="64">
        <v>97.9</v>
      </c>
      <c r="N26" s="64">
        <v>16.5</v>
      </c>
      <c r="O26" s="64">
        <v>0</v>
      </c>
      <c r="P26" s="64">
        <v>0.44</v>
      </c>
      <c r="Q26" s="64">
        <v>9.36</v>
      </c>
      <c r="R26" s="198"/>
      <c r="S26" s="198"/>
      <c r="T26" s="198"/>
      <c r="U26" s="198"/>
    </row>
    <row r="27" spans="1:21" s="12" customFormat="1" x14ac:dyDescent="0.25">
      <c r="A27" s="214" t="s">
        <v>1514</v>
      </c>
      <c r="B27" s="64">
        <v>16.72</v>
      </c>
      <c r="C27" s="64">
        <v>23.66</v>
      </c>
      <c r="D27" s="64">
        <v>25.69</v>
      </c>
      <c r="E27" s="64">
        <v>2.39</v>
      </c>
      <c r="F27" s="64">
        <v>2.92</v>
      </c>
      <c r="G27" s="64">
        <v>38.979999999999997</v>
      </c>
      <c r="H27" s="64">
        <v>14.11</v>
      </c>
      <c r="I27" s="64">
        <v>5.23</v>
      </c>
      <c r="J27" s="64">
        <v>0.13</v>
      </c>
      <c r="K27" s="64">
        <v>232.89</v>
      </c>
      <c r="L27" s="64">
        <v>18.88</v>
      </c>
      <c r="M27" s="64">
        <v>97.9</v>
      </c>
      <c r="N27" s="64">
        <v>16.3</v>
      </c>
      <c r="O27" s="64">
        <v>0</v>
      </c>
      <c r="P27" s="64">
        <v>0.45</v>
      </c>
      <c r="Q27" s="64">
        <v>9.4</v>
      </c>
      <c r="R27" s="198"/>
      <c r="S27" s="198"/>
      <c r="T27" s="198"/>
      <c r="U27" s="198"/>
    </row>
    <row r="28" spans="1:21" s="12" customFormat="1" x14ac:dyDescent="0.25">
      <c r="A28" s="214" t="s">
        <v>1515</v>
      </c>
      <c r="B28" s="64">
        <v>17.420000000000002</v>
      </c>
      <c r="C28" s="64">
        <v>23.66</v>
      </c>
      <c r="D28" s="64">
        <v>26.26</v>
      </c>
      <c r="E28" s="64">
        <v>2.15</v>
      </c>
      <c r="F28" s="64">
        <v>3.26</v>
      </c>
      <c r="G28" s="64">
        <v>39.299999999999997</v>
      </c>
      <c r="H28" s="64">
        <v>14.05</v>
      </c>
      <c r="I28" s="64">
        <v>5.25</v>
      </c>
      <c r="J28" s="64">
        <v>0.19</v>
      </c>
      <c r="K28" s="64">
        <v>25.31</v>
      </c>
      <c r="L28" s="64">
        <v>18.91</v>
      </c>
      <c r="M28" s="64">
        <v>97.9</v>
      </c>
      <c r="N28" s="64">
        <v>16.5</v>
      </c>
      <c r="O28" s="64">
        <v>0</v>
      </c>
      <c r="P28" s="64">
        <v>0.46</v>
      </c>
      <c r="Q28" s="64">
        <v>9.39</v>
      </c>
      <c r="R28" s="198"/>
      <c r="S28" s="198"/>
      <c r="T28" s="198"/>
      <c r="U28" s="198"/>
    </row>
    <row r="29" spans="1:21" s="12" customFormat="1" x14ac:dyDescent="0.25">
      <c r="A29" s="214" t="s">
        <v>1516</v>
      </c>
      <c r="B29" s="64">
        <v>17.93</v>
      </c>
      <c r="C29" s="64">
        <v>23.55</v>
      </c>
      <c r="D29" s="64">
        <v>26.6</v>
      </c>
      <c r="E29" s="64">
        <v>2.19</v>
      </c>
      <c r="F29" s="64">
        <v>3.25</v>
      </c>
      <c r="G29" s="64">
        <v>44.79</v>
      </c>
      <c r="H29" s="64">
        <v>12.92</v>
      </c>
      <c r="I29" s="64">
        <v>5.26</v>
      </c>
      <c r="J29" s="64">
        <v>0.09</v>
      </c>
      <c r="K29" s="64">
        <v>206.83</v>
      </c>
      <c r="L29" s="64">
        <v>19.079999999999998</v>
      </c>
      <c r="M29" s="64">
        <v>97.89</v>
      </c>
      <c r="N29" s="64">
        <v>16.399999999999999</v>
      </c>
      <c r="O29" s="64">
        <v>0</v>
      </c>
      <c r="P29" s="64">
        <v>0.46</v>
      </c>
      <c r="Q29" s="64">
        <v>9.3800000000000008</v>
      </c>
      <c r="R29" s="198"/>
      <c r="S29" s="198"/>
      <c r="T29" s="198"/>
      <c r="U29" s="198"/>
    </row>
    <row r="30" spans="1:21" s="12" customFormat="1" x14ac:dyDescent="0.25">
      <c r="A30" s="214" t="s">
        <v>1517</v>
      </c>
      <c r="B30" s="64">
        <v>18.55</v>
      </c>
      <c r="C30" s="64">
        <v>23.91</v>
      </c>
      <c r="D30" s="64">
        <v>27.29</v>
      </c>
      <c r="E30" s="64">
        <v>2.06</v>
      </c>
      <c r="F30" s="64">
        <v>3.34</v>
      </c>
      <c r="G30" s="64">
        <v>44.79</v>
      </c>
      <c r="H30" s="64">
        <v>12.92</v>
      </c>
      <c r="I30" s="64">
        <v>5.32</v>
      </c>
      <c r="J30" s="64">
        <v>0.09</v>
      </c>
      <c r="K30" s="64">
        <v>129.54</v>
      </c>
      <c r="L30" s="64">
        <v>19.32</v>
      </c>
      <c r="M30" s="64">
        <v>97.84</v>
      </c>
      <c r="N30" s="64">
        <v>16.8</v>
      </c>
      <c r="O30" s="64">
        <v>0</v>
      </c>
      <c r="P30" s="64">
        <v>0.47</v>
      </c>
      <c r="Q30" s="64">
        <v>9.42</v>
      </c>
      <c r="R30" s="198"/>
      <c r="S30" s="198"/>
      <c r="T30" s="198"/>
      <c r="U30" s="198"/>
    </row>
    <row r="31" spans="1:21" s="12" customFormat="1" x14ac:dyDescent="0.25">
      <c r="A31" s="214" t="s">
        <v>1518</v>
      </c>
      <c r="B31" s="64">
        <v>20.41</v>
      </c>
      <c r="C31" s="64">
        <v>24.38</v>
      </c>
      <c r="D31" s="64">
        <v>29.03</v>
      </c>
      <c r="E31" s="64">
        <v>2.09</v>
      </c>
      <c r="F31" s="64">
        <v>2.88</v>
      </c>
      <c r="G31" s="64">
        <v>44.79</v>
      </c>
      <c r="H31" s="64">
        <v>12.92</v>
      </c>
      <c r="I31" s="64">
        <v>5.32</v>
      </c>
      <c r="J31" s="64">
        <v>0.19</v>
      </c>
      <c r="K31" s="64">
        <v>252.79</v>
      </c>
      <c r="L31" s="64">
        <v>19.239999999999998</v>
      </c>
      <c r="M31" s="64">
        <v>96.85</v>
      </c>
      <c r="N31" s="64">
        <v>19.3</v>
      </c>
      <c r="O31" s="64">
        <v>0</v>
      </c>
      <c r="P31" s="64">
        <v>0.48</v>
      </c>
      <c r="Q31" s="64">
        <v>9.4600000000000009</v>
      </c>
      <c r="R31" s="198"/>
      <c r="S31" s="198"/>
      <c r="T31" s="198"/>
      <c r="U31" s="198"/>
    </row>
    <row r="32" spans="1:21" s="12" customFormat="1" x14ac:dyDescent="0.25">
      <c r="A32" s="214" t="s">
        <v>1519</v>
      </c>
      <c r="B32" s="64">
        <v>21.9</v>
      </c>
      <c r="C32" s="64">
        <v>24.62</v>
      </c>
      <c r="D32" s="64">
        <v>30.34</v>
      </c>
      <c r="E32" s="64">
        <v>2.31</v>
      </c>
      <c r="F32" s="64">
        <v>3.42</v>
      </c>
      <c r="G32" s="64">
        <v>45.02</v>
      </c>
      <c r="H32" s="64">
        <v>13.02</v>
      </c>
      <c r="I32" s="64">
        <v>5.36</v>
      </c>
      <c r="J32" s="64">
        <v>0.14000000000000001</v>
      </c>
      <c r="K32" s="64">
        <v>254.31</v>
      </c>
      <c r="L32" s="64">
        <v>19.28</v>
      </c>
      <c r="M32" s="64">
        <v>96.35</v>
      </c>
      <c r="N32" s="64">
        <v>25.3</v>
      </c>
      <c r="O32" s="64">
        <v>0</v>
      </c>
      <c r="P32" s="64">
        <v>0.49</v>
      </c>
      <c r="Q32" s="64">
        <v>9.4600000000000009</v>
      </c>
      <c r="R32" s="198"/>
      <c r="S32" s="198"/>
      <c r="T32" s="198"/>
      <c r="U32" s="198"/>
    </row>
    <row r="33" spans="1:21" s="12" customFormat="1" x14ac:dyDescent="0.25">
      <c r="A33" s="214" t="s">
        <v>1520</v>
      </c>
      <c r="B33" s="64">
        <v>22.53</v>
      </c>
      <c r="C33" s="64">
        <v>24.74</v>
      </c>
      <c r="D33" s="64">
        <v>30.91</v>
      </c>
      <c r="E33" s="64">
        <v>2.4700000000000002</v>
      </c>
      <c r="F33" s="64">
        <v>3.08</v>
      </c>
      <c r="G33" s="64">
        <v>48.95</v>
      </c>
      <c r="H33" s="64">
        <v>14.66</v>
      </c>
      <c r="I33" s="64">
        <v>5.47</v>
      </c>
      <c r="J33" s="64">
        <v>0.12</v>
      </c>
      <c r="K33" s="64">
        <v>247.92</v>
      </c>
      <c r="L33" s="64">
        <v>19.18</v>
      </c>
      <c r="M33" s="64">
        <v>97.68</v>
      </c>
      <c r="N33" s="64">
        <v>40.6</v>
      </c>
      <c r="O33" s="64">
        <v>0</v>
      </c>
      <c r="P33" s="64">
        <v>0.49</v>
      </c>
      <c r="Q33" s="64">
        <v>9.52</v>
      </c>
      <c r="R33" s="198"/>
      <c r="S33" s="198"/>
      <c r="T33" s="198"/>
      <c r="U33" s="198"/>
    </row>
    <row r="34" spans="1:21" s="12" customFormat="1" x14ac:dyDescent="0.25">
      <c r="A34" s="214" t="s">
        <v>1521</v>
      </c>
      <c r="B34" s="64">
        <v>22.47</v>
      </c>
      <c r="C34" s="64">
        <v>24.51</v>
      </c>
      <c r="D34" s="64">
        <v>30.75</v>
      </c>
      <c r="E34" s="64">
        <v>2.54</v>
      </c>
      <c r="F34" s="64">
        <v>3.29</v>
      </c>
      <c r="G34" s="64">
        <v>48.95</v>
      </c>
      <c r="H34" s="64">
        <v>14.66</v>
      </c>
      <c r="I34" s="64">
        <v>5.55</v>
      </c>
      <c r="J34" s="64">
        <v>0.17</v>
      </c>
      <c r="K34" s="64">
        <v>228.14</v>
      </c>
      <c r="L34" s="64">
        <v>19.260000000000002</v>
      </c>
      <c r="M34" s="64">
        <v>97.89</v>
      </c>
      <c r="N34" s="64">
        <v>61.2</v>
      </c>
      <c r="O34" s="64">
        <v>0</v>
      </c>
      <c r="P34" s="64">
        <v>0.49</v>
      </c>
      <c r="Q34" s="64">
        <v>9.44</v>
      </c>
      <c r="R34" s="198"/>
      <c r="S34" s="198"/>
      <c r="T34" s="198"/>
      <c r="U34" s="198"/>
    </row>
    <row r="35" spans="1:21" s="12" customFormat="1" x14ac:dyDescent="0.25">
      <c r="A35" s="214" t="s">
        <v>1522</v>
      </c>
      <c r="B35" s="64">
        <v>22.25</v>
      </c>
      <c r="C35" s="64">
        <v>24.46</v>
      </c>
      <c r="D35" s="64">
        <v>30.54</v>
      </c>
      <c r="E35" s="64">
        <v>2.08</v>
      </c>
      <c r="F35" s="64">
        <v>3.33</v>
      </c>
      <c r="G35" s="64">
        <v>48.95</v>
      </c>
      <c r="H35" s="64">
        <v>14.66</v>
      </c>
      <c r="I35" s="64">
        <v>5.56</v>
      </c>
      <c r="J35" s="64">
        <v>0.44</v>
      </c>
      <c r="K35" s="64">
        <v>175.92</v>
      </c>
      <c r="L35" s="64">
        <v>19.66</v>
      </c>
      <c r="M35" s="64">
        <v>96.16</v>
      </c>
      <c r="N35" s="64">
        <v>126.7</v>
      </c>
      <c r="O35" s="64">
        <v>0</v>
      </c>
      <c r="P35" s="64">
        <v>0.49</v>
      </c>
      <c r="Q35" s="64">
        <v>9.49</v>
      </c>
      <c r="R35" s="198"/>
      <c r="S35" s="198"/>
      <c r="T35" s="198"/>
      <c r="U35" s="198"/>
    </row>
    <row r="36" spans="1:21" s="12" customFormat="1" x14ac:dyDescent="0.25">
      <c r="A36" s="214" t="s">
        <v>1523</v>
      </c>
      <c r="B36" s="64">
        <v>22.19</v>
      </c>
      <c r="C36" s="64">
        <v>24.03</v>
      </c>
      <c r="D36" s="64">
        <v>30.27</v>
      </c>
      <c r="E36" s="64">
        <v>2.06</v>
      </c>
      <c r="F36" s="64">
        <v>3.33</v>
      </c>
      <c r="G36" s="64">
        <v>48.43</v>
      </c>
      <c r="H36" s="64">
        <v>14.74</v>
      </c>
      <c r="I36" s="64">
        <v>5.65</v>
      </c>
      <c r="J36" s="64">
        <v>0.24</v>
      </c>
      <c r="K36" s="64">
        <v>192.94</v>
      </c>
      <c r="L36" s="64">
        <v>20.45</v>
      </c>
      <c r="M36" s="64">
        <v>91.98</v>
      </c>
      <c r="N36" s="64">
        <v>139.19999999999999</v>
      </c>
      <c r="O36" s="64">
        <v>0</v>
      </c>
      <c r="P36" s="64">
        <v>0.49</v>
      </c>
      <c r="Q36" s="64">
        <v>9.4700000000000006</v>
      </c>
      <c r="R36" s="198"/>
      <c r="S36" s="198"/>
      <c r="T36" s="198"/>
      <c r="U36" s="198"/>
    </row>
    <row r="37" spans="1:21" s="12" customFormat="1" x14ac:dyDescent="0.25">
      <c r="A37" s="214" t="s">
        <v>1524</v>
      </c>
      <c r="B37" s="64">
        <v>22.03</v>
      </c>
      <c r="C37" s="64">
        <v>24.55</v>
      </c>
      <c r="D37" s="64">
        <v>30.42</v>
      </c>
      <c r="E37" s="64">
        <v>2.39</v>
      </c>
      <c r="F37" s="64">
        <v>3.76</v>
      </c>
      <c r="G37" s="64">
        <v>41.09</v>
      </c>
      <c r="H37" s="64">
        <v>16.22</v>
      </c>
      <c r="I37" s="64">
        <v>5.73</v>
      </c>
      <c r="J37" s="64">
        <v>0.35</v>
      </c>
      <c r="K37" s="64">
        <v>171.16</v>
      </c>
      <c r="L37" s="64">
        <v>20.73</v>
      </c>
      <c r="M37" s="64">
        <v>89.68</v>
      </c>
      <c r="N37" s="64">
        <v>136.19999999999999</v>
      </c>
      <c r="O37" s="64">
        <v>0</v>
      </c>
      <c r="P37" s="64">
        <v>0.46</v>
      </c>
      <c r="Q37" s="64">
        <v>9.48</v>
      </c>
      <c r="R37" s="198"/>
      <c r="S37" s="198"/>
      <c r="T37" s="198"/>
      <c r="U37" s="198"/>
    </row>
    <row r="38" spans="1:21" s="12" customFormat="1" x14ac:dyDescent="0.25">
      <c r="A38" s="214" t="s">
        <v>1525</v>
      </c>
      <c r="B38" s="64">
        <v>21.86</v>
      </c>
      <c r="C38" s="64">
        <v>25.27</v>
      </c>
      <c r="D38" s="64">
        <v>30.65</v>
      </c>
      <c r="E38" s="64">
        <v>2.27</v>
      </c>
      <c r="F38" s="64">
        <v>3.52</v>
      </c>
      <c r="G38" s="64">
        <v>41.09</v>
      </c>
      <c r="H38" s="64">
        <v>16.22</v>
      </c>
      <c r="I38" s="64">
        <v>5.87</v>
      </c>
      <c r="J38" s="64">
        <v>0.66</v>
      </c>
      <c r="K38" s="64">
        <v>151.97</v>
      </c>
      <c r="L38" s="64">
        <v>21.2</v>
      </c>
      <c r="M38" s="64">
        <v>87.12</v>
      </c>
      <c r="N38" s="64">
        <v>201.5</v>
      </c>
      <c r="O38" s="64">
        <v>0</v>
      </c>
      <c r="P38" s="64">
        <v>0.48</v>
      </c>
      <c r="Q38" s="64">
        <v>9.4700000000000006</v>
      </c>
      <c r="R38" s="198"/>
      <c r="S38" s="198"/>
      <c r="T38" s="198"/>
      <c r="U38" s="198"/>
    </row>
    <row r="39" spans="1:21" s="12" customFormat="1" x14ac:dyDescent="0.25">
      <c r="A39" s="214" t="s">
        <v>1526</v>
      </c>
      <c r="B39" s="64">
        <v>21.59</v>
      </c>
      <c r="C39" s="64">
        <v>25.51</v>
      </c>
      <c r="D39" s="64">
        <v>30.57</v>
      </c>
      <c r="E39" s="64">
        <v>2.41</v>
      </c>
      <c r="F39" s="64">
        <v>3.32</v>
      </c>
      <c r="G39" s="64">
        <v>41.09</v>
      </c>
      <c r="H39" s="64">
        <v>16.22</v>
      </c>
      <c r="I39" s="64">
        <v>5.94</v>
      </c>
      <c r="J39" s="64">
        <v>0.67</v>
      </c>
      <c r="K39" s="64">
        <v>172.43</v>
      </c>
      <c r="L39" s="64">
        <v>22.15</v>
      </c>
      <c r="M39" s="64">
        <v>81.900000000000006</v>
      </c>
      <c r="N39" s="64">
        <v>369.4</v>
      </c>
      <c r="O39" s="64">
        <v>0</v>
      </c>
      <c r="P39" s="64">
        <v>0.48</v>
      </c>
      <c r="Q39" s="64">
        <v>9.5</v>
      </c>
      <c r="R39" s="198"/>
      <c r="S39" s="198"/>
      <c r="T39" s="198"/>
      <c r="U39" s="198"/>
    </row>
    <row r="40" spans="1:21" s="12" customFormat="1" x14ac:dyDescent="0.25">
      <c r="A40" s="214" t="s">
        <v>1527</v>
      </c>
      <c r="B40" s="64">
        <v>20.89</v>
      </c>
      <c r="C40" s="64">
        <v>25.66</v>
      </c>
      <c r="D40" s="64">
        <v>30.08</v>
      </c>
      <c r="E40" s="64">
        <v>2.4500000000000002</v>
      </c>
      <c r="F40" s="64">
        <v>3.29</v>
      </c>
      <c r="G40" s="64">
        <v>40.89</v>
      </c>
      <c r="H40" s="64">
        <v>16.13</v>
      </c>
      <c r="I40" s="64">
        <v>6.04</v>
      </c>
      <c r="J40" s="64">
        <v>0.94</v>
      </c>
      <c r="K40" s="64">
        <v>168.93</v>
      </c>
      <c r="L40" s="64">
        <v>23.21</v>
      </c>
      <c r="M40" s="64">
        <v>76.17</v>
      </c>
      <c r="N40" s="64">
        <v>509.6</v>
      </c>
      <c r="O40" s="64">
        <v>0</v>
      </c>
      <c r="P40" s="64">
        <v>0.48</v>
      </c>
      <c r="Q40" s="64">
        <v>9.49</v>
      </c>
      <c r="R40" s="198"/>
      <c r="S40" s="198"/>
      <c r="T40" s="198"/>
      <c r="U40" s="198"/>
    </row>
    <row r="41" spans="1:21" s="12" customFormat="1" x14ac:dyDescent="0.25">
      <c r="A41" s="214" t="s">
        <v>1528</v>
      </c>
      <c r="B41" s="64">
        <v>19.71</v>
      </c>
      <c r="C41" s="64">
        <v>26.91</v>
      </c>
      <c r="D41" s="64">
        <v>29.79</v>
      </c>
      <c r="E41" s="64">
        <v>2.44</v>
      </c>
      <c r="F41" s="64">
        <v>3.08</v>
      </c>
      <c r="G41" s="64">
        <v>37.49</v>
      </c>
      <c r="H41" s="64">
        <v>14.68</v>
      </c>
      <c r="I41" s="64">
        <v>6.16</v>
      </c>
      <c r="J41" s="64">
        <v>0.52</v>
      </c>
      <c r="K41" s="64">
        <v>166.89</v>
      </c>
      <c r="L41" s="64">
        <v>23.66</v>
      </c>
      <c r="M41" s="64">
        <v>74.989999999999995</v>
      </c>
      <c r="N41" s="64">
        <v>348.8</v>
      </c>
      <c r="O41" s="64">
        <v>0</v>
      </c>
      <c r="P41" s="64">
        <v>0.47</v>
      </c>
      <c r="Q41" s="64">
        <v>9.43</v>
      </c>
      <c r="R41" s="198"/>
      <c r="S41" s="198"/>
      <c r="T41" s="198"/>
      <c r="U41" s="198"/>
    </row>
    <row r="42" spans="1:21" s="12" customFormat="1" x14ac:dyDescent="0.25">
      <c r="A42" s="214" t="s">
        <v>1529</v>
      </c>
      <c r="B42" s="64">
        <v>18.61</v>
      </c>
      <c r="C42" s="64">
        <v>26.82</v>
      </c>
      <c r="D42" s="64">
        <v>28.85</v>
      </c>
      <c r="E42" s="64">
        <v>2.4</v>
      </c>
      <c r="F42" s="64">
        <v>3.68</v>
      </c>
      <c r="G42" s="64">
        <v>37.49</v>
      </c>
      <c r="H42" s="64">
        <v>14.68</v>
      </c>
      <c r="I42" s="64">
        <v>6.23</v>
      </c>
      <c r="J42" s="64">
        <v>0.12</v>
      </c>
      <c r="K42" s="64">
        <v>229.38</v>
      </c>
      <c r="L42" s="64">
        <v>24.39</v>
      </c>
      <c r="M42" s="64">
        <v>71.849999999999994</v>
      </c>
      <c r="N42" s="64">
        <v>399</v>
      </c>
      <c r="O42" s="64">
        <v>0</v>
      </c>
      <c r="P42" s="64">
        <v>0.47</v>
      </c>
      <c r="Q42" s="64">
        <v>9.44</v>
      </c>
      <c r="R42" s="198"/>
      <c r="S42" s="198"/>
      <c r="T42" s="198"/>
      <c r="U42" s="198"/>
    </row>
    <row r="43" spans="1:21" s="12" customFormat="1" x14ac:dyDescent="0.25">
      <c r="A43" s="214" t="s">
        <v>1530</v>
      </c>
      <c r="B43" s="64">
        <v>17.600000000000001</v>
      </c>
      <c r="C43" s="64">
        <v>27.67</v>
      </c>
      <c r="D43" s="64">
        <v>28.49</v>
      </c>
      <c r="E43" s="64">
        <v>2.2599999999999998</v>
      </c>
      <c r="F43" s="64">
        <v>3.24</v>
      </c>
      <c r="G43" s="64">
        <v>37.49</v>
      </c>
      <c r="H43" s="64">
        <v>14.68</v>
      </c>
      <c r="I43" s="64">
        <v>6.29</v>
      </c>
      <c r="J43" s="64">
        <v>0.35</v>
      </c>
      <c r="K43" s="64">
        <v>164.23</v>
      </c>
      <c r="L43" s="64">
        <v>25.66</v>
      </c>
      <c r="M43" s="64">
        <v>68.84</v>
      </c>
      <c r="N43" s="64">
        <v>522.70000000000005</v>
      </c>
      <c r="O43" s="64">
        <v>0</v>
      </c>
      <c r="P43" s="64">
        <v>0.46</v>
      </c>
      <c r="Q43" s="64">
        <v>9.4600000000000009</v>
      </c>
      <c r="R43" s="198"/>
      <c r="S43" s="198"/>
      <c r="T43" s="198"/>
      <c r="U43" s="198"/>
    </row>
    <row r="44" spans="1:21" s="12" customFormat="1" x14ac:dyDescent="0.25">
      <c r="A44" s="214" t="s">
        <v>1531</v>
      </c>
      <c r="B44" s="64">
        <v>16.329999999999998</v>
      </c>
      <c r="C44" s="64">
        <v>28.31</v>
      </c>
      <c r="D44" s="64">
        <v>27.81</v>
      </c>
      <c r="E44" s="64">
        <v>2.13</v>
      </c>
      <c r="F44" s="64">
        <v>4.04</v>
      </c>
      <c r="G44" s="64">
        <v>37.130000000000003</v>
      </c>
      <c r="H44" s="64">
        <v>14.88</v>
      </c>
      <c r="I44" s="64">
        <v>6.28</v>
      </c>
      <c r="J44" s="64">
        <v>0.11</v>
      </c>
      <c r="K44" s="64">
        <v>175.95</v>
      </c>
      <c r="L44" s="64">
        <v>27.06</v>
      </c>
      <c r="M44" s="64">
        <v>62.31</v>
      </c>
      <c r="N44" s="64">
        <v>633.6</v>
      </c>
      <c r="O44" s="64">
        <v>0</v>
      </c>
      <c r="P44" s="64">
        <v>0.46</v>
      </c>
      <c r="Q44" s="64">
        <v>9.4</v>
      </c>
      <c r="R44" s="198"/>
      <c r="S44" s="198"/>
      <c r="T44" s="198"/>
      <c r="U44" s="198"/>
    </row>
    <row r="45" spans="1:21" s="12" customFormat="1" x14ac:dyDescent="0.25">
      <c r="A45" s="214" t="s">
        <v>1532</v>
      </c>
      <c r="B45" s="64">
        <v>14.72</v>
      </c>
      <c r="C45" s="64">
        <v>28.6</v>
      </c>
      <c r="D45" s="64">
        <v>26.66</v>
      </c>
      <c r="E45" s="64">
        <v>2.09</v>
      </c>
      <c r="F45" s="64">
        <v>3.94</v>
      </c>
      <c r="G45" s="64">
        <v>32</v>
      </c>
      <c r="H45" s="64">
        <v>17.739999999999998</v>
      </c>
      <c r="I45" s="64">
        <v>6.16</v>
      </c>
      <c r="J45" s="64">
        <v>0.69</v>
      </c>
      <c r="K45" s="64">
        <v>154.75</v>
      </c>
      <c r="L45" s="64">
        <v>27.59</v>
      </c>
      <c r="M45" s="64">
        <v>59.26</v>
      </c>
      <c r="N45" s="64">
        <v>678.1</v>
      </c>
      <c r="O45" s="64">
        <v>0</v>
      </c>
      <c r="P45" s="64">
        <v>0.46</v>
      </c>
      <c r="Q45" s="64">
        <v>9.4</v>
      </c>
      <c r="R45" s="198"/>
      <c r="S45" s="198"/>
      <c r="T45" s="198"/>
      <c r="U45" s="198"/>
    </row>
    <row r="46" spans="1:21" s="12" customFormat="1" x14ac:dyDescent="0.25">
      <c r="A46" s="214" t="s">
        <v>1533</v>
      </c>
      <c r="B46" s="64">
        <v>13</v>
      </c>
      <c r="C46" s="64">
        <v>28.28</v>
      </c>
      <c r="D46" s="64">
        <v>25.12</v>
      </c>
      <c r="E46" s="64">
        <v>2.1</v>
      </c>
      <c r="F46" s="64">
        <v>3.61</v>
      </c>
      <c r="G46" s="64">
        <v>32</v>
      </c>
      <c r="H46" s="64">
        <v>17.739999999999998</v>
      </c>
      <c r="I46" s="64">
        <v>5.98</v>
      </c>
      <c r="J46" s="64">
        <v>0.57999999999999996</v>
      </c>
      <c r="K46" s="64">
        <v>155.18</v>
      </c>
      <c r="L46" s="64">
        <v>27.8</v>
      </c>
      <c r="M46" s="64">
        <v>57.26</v>
      </c>
      <c r="N46" s="64">
        <v>716</v>
      </c>
      <c r="O46" s="64">
        <v>0</v>
      </c>
      <c r="P46" s="64">
        <v>0.45</v>
      </c>
      <c r="Q46" s="64">
        <v>9.34</v>
      </c>
      <c r="R46" s="198"/>
      <c r="S46" s="198"/>
      <c r="T46" s="198"/>
      <c r="U46" s="198"/>
    </row>
    <row r="47" spans="1:21" s="12" customFormat="1" x14ac:dyDescent="0.25">
      <c r="A47" s="214" t="s">
        <v>1534</v>
      </c>
      <c r="B47" s="64">
        <v>11.27</v>
      </c>
      <c r="C47" s="64">
        <v>28.12</v>
      </c>
      <c r="D47" s="64">
        <v>23.65</v>
      </c>
      <c r="E47" s="64">
        <v>1.98</v>
      </c>
      <c r="F47" s="64">
        <v>2.92</v>
      </c>
      <c r="G47" s="64">
        <v>32</v>
      </c>
      <c r="H47" s="64">
        <v>17.739999999999998</v>
      </c>
      <c r="I47" s="64">
        <v>5.89</v>
      </c>
      <c r="J47" s="64">
        <v>0.37</v>
      </c>
      <c r="K47" s="64">
        <v>192.39</v>
      </c>
      <c r="L47" s="64">
        <v>28.04</v>
      </c>
      <c r="M47" s="64">
        <v>55.01</v>
      </c>
      <c r="N47" s="64">
        <v>751.7</v>
      </c>
      <c r="O47" s="64">
        <v>0</v>
      </c>
      <c r="P47" s="64">
        <v>0.44</v>
      </c>
      <c r="Q47" s="64">
        <v>9.3800000000000008</v>
      </c>
      <c r="R47" s="198"/>
      <c r="S47" s="198"/>
      <c r="T47" s="198"/>
      <c r="U47" s="198"/>
    </row>
    <row r="48" spans="1:21" s="12" customFormat="1" x14ac:dyDescent="0.25">
      <c r="A48" s="214" t="s">
        <v>1535</v>
      </c>
      <c r="B48" s="64">
        <v>9.14</v>
      </c>
      <c r="C48" s="64">
        <v>27.86</v>
      </c>
      <c r="D48" s="64">
        <v>21.81</v>
      </c>
      <c r="E48" s="64">
        <v>1.97</v>
      </c>
      <c r="F48" s="64">
        <v>3.67</v>
      </c>
      <c r="G48" s="64">
        <v>31.82</v>
      </c>
      <c r="H48" s="64">
        <v>17.690000000000001</v>
      </c>
      <c r="I48" s="64">
        <v>5.81</v>
      </c>
      <c r="J48" s="64">
        <v>0.52</v>
      </c>
      <c r="K48" s="64">
        <v>164.72</v>
      </c>
      <c r="L48" s="64">
        <v>28.35</v>
      </c>
      <c r="M48" s="64">
        <v>53.44</v>
      </c>
      <c r="N48" s="64">
        <v>794.1</v>
      </c>
      <c r="O48" s="64">
        <v>0</v>
      </c>
      <c r="P48" s="64">
        <v>0.43</v>
      </c>
      <c r="Q48" s="64">
        <v>9.35</v>
      </c>
      <c r="R48" s="198"/>
      <c r="S48" s="198"/>
      <c r="T48" s="198"/>
      <c r="U48" s="198"/>
    </row>
    <row r="49" spans="1:21" s="12" customFormat="1" x14ac:dyDescent="0.25">
      <c r="A49" s="214" t="s">
        <v>1536</v>
      </c>
      <c r="B49" s="64">
        <v>7.11</v>
      </c>
      <c r="C49" s="64">
        <v>27.46</v>
      </c>
      <c r="D49" s="64">
        <v>19.96</v>
      </c>
      <c r="E49" s="64">
        <v>2.2200000000000002</v>
      </c>
      <c r="F49" s="64">
        <v>4.2</v>
      </c>
      <c r="G49" s="64">
        <v>29.32</v>
      </c>
      <c r="H49" s="64">
        <v>16.850000000000001</v>
      </c>
      <c r="I49" s="64">
        <v>5.62</v>
      </c>
      <c r="J49" s="64">
        <v>0.22</v>
      </c>
      <c r="K49" s="64">
        <v>220.18</v>
      </c>
      <c r="L49" s="64">
        <v>29.16</v>
      </c>
      <c r="M49" s="64">
        <v>47.86</v>
      </c>
      <c r="N49" s="64">
        <v>835.5</v>
      </c>
      <c r="O49" s="64">
        <v>0</v>
      </c>
      <c r="P49" s="64">
        <v>0.42</v>
      </c>
      <c r="Q49" s="64">
        <v>9.31</v>
      </c>
      <c r="R49" s="198"/>
      <c r="S49" s="198"/>
      <c r="T49" s="198"/>
      <c r="U49" s="198"/>
    </row>
    <row r="50" spans="1:21" s="12" customFormat="1" x14ac:dyDescent="0.25">
      <c r="A50" s="214" t="s">
        <v>1537</v>
      </c>
      <c r="B50" s="64">
        <v>5.38</v>
      </c>
      <c r="C50" s="64">
        <v>27.53</v>
      </c>
      <c r="D50" s="64">
        <v>18.61</v>
      </c>
      <c r="E50" s="64">
        <v>2.2599999999999998</v>
      </c>
      <c r="F50" s="64">
        <v>3.51</v>
      </c>
      <c r="G50" s="64">
        <v>29.32</v>
      </c>
      <c r="H50" s="64">
        <v>16.850000000000001</v>
      </c>
      <c r="I50" s="64">
        <v>5.4</v>
      </c>
      <c r="J50" s="64">
        <v>0.54</v>
      </c>
      <c r="K50" s="64">
        <v>171.42</v>
      </c>
      <c r="L50" s="64">
        <v>29.28</v>
      </c>
      <c r="M50" s="64">
        <v>49.07</v>
      </c>
      <c r="N50" s="64">
        <v>856.2</v>
      </c>
      <c r="O50" s="64">
        <v>0</v>
      </c>
      <c r="P50" s="64">
        <v>0.41</v>
      </c>
      <c r="Q50" s="64">
        <v>9.2799999999999994</v>
      </c>
      <c r="R50" s="198"/>
      <c r="S50" s="198"/>
      <c r="T50" s="198"/>
      <c r="U50" s="198"/>
    </row>
    <row r="51" spans="1:21" s="12" customFormat="1" x14ac:dyDescent="0.25">
      <c r="A51" s="214" t="s">
        <v>1538</v>
      </c>
      <c r="B51" s="64">
        <v>3.8</v>
      </c>
      <c r="C51" s="64">
        <v>27.32</v>
      </c>
      <c r="D51" s="64">
        <v>17.239999999999998</v>
      </c>
      <c r="E51" s="64">
        <v>2.11</v>
      </c>
      <c r="F51" s="64">
        <v>3.47</v>
      </c>
      <c r="G51" s="64">
        <v>29.32</v>
      </c>
      <c r="H51" s="64">
        <v>16.850000000000001</v>
      </c>
      <c r="I51" s="64">
        <v>5.12</v>
      </c>
      <c r="J51" s="64">
        <v>0.4</v>
      </c>
      <c r="K51" s="64">
        <v>144.31</v>
      </c>
      <c r="L51" s="64">
        <v>30.51</v>
      </c>
      <c r="M51" s="64">
        <v>48.09</v>
      </c>
      <c r="N51" s="64">
        <v>884.5</v>
      </c>
      <c r="O51" s="64">
        <v>0</v>
      </c>
      <c r="P51" s="64">
        <v>0.4</v>
      </c>
      <c r="Q51" s="64">
        <v>9.25</v>
      </c>
      <c r="R51" s="198"/>
      <c r="S51" s="198"/>
      <c r="T51" s="198"/>
      <c r="U51" s="198"/>
    </row>
    <row r="52" spans="1:21" s="12" customFormat="1" x14ac:dyDescent="0.25">
      <c r="A52" s="214" t="s">
        <v>1539</v>
      </c>
      <c r="B52" s="64">
        <v>2.89</v>
      </c>
      <c r="C52" s="64">
        <v>26.96</v>
      </c>
      <c r="D52" s="64">
        <v>16.32</v>
      </c>
      <c r="E52" s="64">
        <v>2.21</v>
      </c>
      <c r="F52" s="64">
        <v>3.91</v>
      </c>
      <c r="G52" s="64">
        <v>29.28</v>
      </c>
      <c r="H52" s="64">
        <v>16.46</v>
      </c>
      <c r="I52" s="64">
        <v>4.9000000000000004</v>
      </c>
      <c r="J52" s="64">
        <v>0.95</v>
      </c>
      <c r="K52" s="64">
        <v>151.05000000000001</v>
      </c>
      <c r="L52" s="64">
        <v>30.26</v>
      </c>
      <c r="M52" s="64">
        <v>49.06</v>
      </c>
      <c r="N52" s="64">
        <v>913.3</v>
      </c>
      <c r="O52" s="64">
        <v>0</v>
      </c>
      <c r="P52" s="64">
        <v>0.4</v>
      </c>
      <c r="Q52" s="64">
        <v>9.24</v>
      </c>
      <c r="R52" s="198"/>
      <c r="S52" s="198"/>
      <c r="T52" s="198"/>
      <c r="U52" s="198"/>
    </row>
    <row r="53" spans="1:21" s="12" customFormat="1" x14ac:dyDescent="0.25">
      <c r="A53" s="214" t="s">
        <v>1540</v>
      </c>
      <c r="B53" s="64">
        <v>2.12</v>
      </c>
      <c r="C53" s="64">
        <v>26.36</v>
      </c>
      <c r="D53" s="64">
        <v>15.39</v>
      </c>
      <c r="E53" s="64">
        <v>1.95</v>
      </c>
      <c r="F53" s="64">
        <v>4.12</v>
      </c>
      <c r="G53" s="64">
        <v>28.65</v>
      </c>
      <c r="H53" s="64">
        <v>10.95</v>
      </c>
      <c r="I53" s="64">
        <v>4.84</v>
      </c>
      <c r="J53" s="64">
        <v>0.47</v>
      </c>
      <c r="K53" s="64">
        <v>157.91</v>
      </c>
      <c r="L53" s="64">
        <v>30.48</v>
      </c>
      <c r="M53" s="64">
        <v>47.7</v>
      </c>
      <c r="N53" s="64">
        <v>931.4</v>
      </c>
      <c r="O53" s="64">
        <v>0</v>
      </c>
      <c r="P53" s="64">
        <v>0.4</v>
      </c>
      <c r="Q53" s="64">
        <v>9.26</v>
      </c>
      <c r="R53" s="198"/>
      <c r="S53" s="198"/>
      <c r="T53" s="198"/>
      <c r="U53" s="198"/>
    </row>
    <row r="54" spans="1:21" s="12" customFormat="1" x14ac:dyDescent="0.25">
      <c r="A54" s="214" t="s">
        <v>1541</v>
      </c>
      <c r="B54" s="64">
        <v>1.28</v>
      </c>
      <c r="C54" s="64">
        <v>28.21</v>
      </c>
      <c r="D54" s="64">
        <v>15.69</v>
      </c>
      <c r="E54" s="64">
        <v>2.0099999999999998</v>
      </c>
      <c r="F54" s="64">
        <v>4.22</v>
      </c>
      <c r="G54" s="64">
        <v>28.65</v>
      </c>
      <c r="H54" s="64">
        <v>10.95</v>
      </c>
      <c r="I54" s="64">
        <v>4.9400000000000004</v>
      </c>
      <c r="J54" s="64">
        <v>0.15</v>
      </c>
      <c r="K54" s="64">
        <v>168.35</v>
      </c>
      <c r="L54" s="64">
        <v>31.83</v>
      </c>
      <c r="M54" s="64">
        <v>42.96</v>
      </c>
      <c r="N54" s="64">
        <v>938.8</v>
      </c>
      <c r="O54" s="64">
        <v>0</v>
      </c>
      <c r="P54" s="64">
        <v>0.39</v>
      </c>
      <c r="Q54" s="64">
        <v>9.27</v>
      </c>
      <c r="R54" s="198"/>
      <c r="S54" s="198"/>
      <c r="T54" s="198"/>
      <c r="U54" s="198"/>
    </row>
    <row r="55" spans="1:21" s="12" customFormat="1" x14ac:dyDescent="0.25">
      <c r="A55" s="214" t="s">
        <v>1542</v>
      </c>
      <c r="B55" s="64">
        <v>0.62</v>
      </c>
      <c r="C55" s="64">
        <v>26.99</v>
      </c>
      <c r="D55" s="64">
        <v>14.52</v>
      </c>
      <c r="E55" s="64">
        <v>1.81</v>
      </c>
      <c r="F55" s="64">
        <v>4.51</v>
      </c>
      <c r="G55" s="64">
        <v>28.65</v>
      </c>
      <c r="H55" s="64">
        <v>10.95</v>
      </c>
      <c r="I55" s="64">
        <v>4.9800000000000004</v>
      </c>
      <c r="J55" s="64">
        <v>0.39</v>
      </c>
      <c r="K55" s="64">
        <v>153.38</v>
      </c>
      <c r="L55" s="64">
        <v>31.46</v>
      </c>
      <c r="M55" s="64">
        <v>37.85</v>
      </c>
      <c r="N55" s="64">
        <v>956.5</v>
      </c>
      <c r="O55" s="64">
        <v>0</v>
      </c>
      <c r="P55" s="64">
        <v>0.39</v>
      </c>
      <c r="Q55" s="64">
        <v>9.19</v>
      </c>
      <c r="R55" s="198"/>
      <c r="S55" s="198"/>
      <c r="T55" s="198"/>
      <c r="U55" s="198"/>
    </row>
    <row r="56" spans="1:21" s="12" customFormat="1" x14ac:dyDescent="0.25">
      <c r="A56" s="214" t="s">
        <v>1543</v>
      </c>
      <c r="B56" s="64">
        <v>0.12</v>
      </c>
      <c r="C56" s="64">
        <v>26.28</v>
      </c>
      <c r="D56" s="64">
        <v>13.74</v>
      </c>
      <c r="E56" s="64">
        <v>1.92</v>
      </c>
      <c r="F56" s="64">
        <v>5.26</v>
      </c>
      <c r="G56" s="64">
        <v>28.39</v>
      </c>
      <c r="H56" s="64">
        <v>10.87</v>
      </c>
      <c r="I56" s="64">
        <v>4.95</v>
      </c>
      <c r="J56" s="64">
        <v>0.79</v>
      </c>
      <c r="K56" s="64">
        <v>159.81</v>
      </c>
      <c r="L56" s="64">
        <v>31.56</v>
      </c>
      <c r="M56" s="64">
        <v>33.78</v>
      </c>
      <c r="N56" s="64">
        <v>961</v>
      </c>
      <c r="O56" s="64">
        <v>0</v>
      </c>
      <c r="P56" s="64">
        <v>0.38</v>
      </c>
      <c r="Q56" s="64">
        <v>9.18</v>
      </c>
      <c r="R56" s="198"/>
      <c r="S56" s="198"/>
      <c r="T56" s="198"/>
      <c r="U56" s="198"/>
    </row>
    <row r="57" spans="1:21" s="12" customFormat="1" x14ac:dyDescent="0.25">
      <c r="A57" s="214" t="s">
        <v>1544</v>
      </c>
      <c r="B57" s="64">
        <v>0.1</v>
      </c>
      <c r="C57" s="64">
        <v>25.6</v>
      </c>
      <c r="D57" s="64">
        <v>13.38</v>
      </c>
      <c r="E57" s="64">
        <v>1.97</v>
      </c>
      <c r="F57" s="64">
        <v>4.79</v>
      </c>
      <c r="G57" s="64">
        <v>24.72</v>
      </c>
      <c r="H57" s="64">
        <v>9.4499999999999993</v>
      </c>
      <c r="I57" s="64">
        <v>4.91</v>
      </c>
      <c r="J57" s="64">
        <v>1.58</v>
      </c>
      <c r="K57" s="64">
        <v>155.11000000000001</v>
      </c>
      <c r="L57" s="64">
        <v>31.53</v>
      </c>
      <c r="M57" s="64">
        <v>35.15</v>
      </c>
      <c r="N57" s="64">
        <v>956.3</v>
      </c>
      <c r="O57" s="64">
        <v>0</v>
      </c>
      <c r="P57" s="64">
        <v>0.37</v>
      </c>
      <c r="Q57" s="64">
        <v>9.18</v>
      </c>
      <c r="R57" s="198"/>
      <c r="S57" s="198"/>
      <c r="T57" s="198"/>
      <c r="U57" s="198"/>
    </row>
    <row r="58" spans="1:21" s="12" customFormat="1" x14ac:dyDescent="0.25">
      <c r="A58" s="214" t="s">
        <v>1545</v>
      </c>
      <c r="B58" s="64">
        <v>0.1</v>
      </c>
      <c r="C58" s="64">
        <v>25.14</v>
      </c>
      <c r="D58" s="64">
        <v>13.14</v>
      </c>
      <c r="E58" s="64">
        <v>2.0499999999999998</v>
      </c>
      <c r="F58" s="64">
        <v>4.54</v>
      </c>
      <c r="G58" s="64">
        <v>24.72</v>
      </c>
      <c r="H58" s="64">
        <v>9.4499999999999993</v>
      </c>
      <c r="I58" s="64">
        <v>4.79</v>
      </c>
      <c r="J58" s="64">
        <v>1.32</v>
      </c>
      <c r="K58" s="64">
        <v>156.63</v>
      </c>
      <c r="L58" s="64">
        <v>31.43</v>
      </c>
      <c r="M58" s="64">
        <v>35.97</v>
      </c>
      <c r="N58" s="64">
        <v>936.2</v>
      </c>
      <c r="O58" s="64">
        <v>0</v>
      </c>
      <c r="P58" s="64">
        <v>0.36</v>
      </c>
      <c r="Q58" s="64">
        <v>9.1999999999999993</v>
      </c>
      <c r="R58" s="198"/>
      <c r="S58" s="198"/>
      <c r="T58" s="198"/>
      <c r="U58" s="198"/>
    </row>
    <row r="59" spans="1:21" s="12" customFormat="1" x14ac:dyDescent="0.25">
      <c r="A59" s="214" t="s">
        <v>1546</v>
      </c>
      <c r="B59" s="64">
        <v>0.1</v>
      </c>
      <c r="C59" s="64">
        <v>24.32</v>
      </c>
      <c r="D59" s="64">
        <v>12.7</v>
      </c>
      <c r="E59" s="64">
        <v>2.04</v>
      </c>
      <c r="F59" s="64">
        <v>5.01</v>
      </c>
      <c r="G59" s="64">
        <v>24.72</v>
      </c>
      <c r="H59" s="64">
        <v>9.4499999999999993</v>
      </c>
      <c r="I59" s="64">
        <v>4.91</v>
      </c>
      <c r="J59" s="64">
        <v>0.67</v>
      </c>
      <c r="K59" s="64">
        <v>171.79</v>
      </c>
      <c r="L59" s="64">
        <v>31.62</v>
      </c>
      <c r="M59" s="64">
        <v>36.630000000000003</v>
      </c>
      <c r="N59" s="64">
        <v>919.9</v>
      </c>
      <c r="O59" s="64">
        <v>0</v>
      </c>
      <c r="P59" s="64">
        <v>0.36</v>
      </c>
      <c r="Q59" s="64">
        <v>9.18</v>
      </c>
      <c r="R59" s="198"/>
      <c r="S59" s="198"/>
      <c r="T59" s="198"/>
      <c r="U59" s="198"/>
    </row>
    <row r="60" spans="1:21" s="12" customFormat="1" x14ac:dyDescent="0.25">
      <c r="A60" s="214" t="s">
        <v>1547</v>
      </c>
      <c r="B60" s="64">
        <v>0.1</v>
      </c>
      <c r="C60" s="64">
        <v>23.37</v>
      </c>
      <c r="D60" s="64">
        <v>12.21</v>
      </c>
      <c r="E60" s="64">
        <v>2.4700000000000002</v>
      </c>
      <c r="F60" s="64">
        <v>5.67</v>
      </c>
      <c r="G60" s="64">
        <v>24.83</v>
      </c>
      <c r="H60" s="64">
        <v>10.44</v>
      </c>
      <c r="I60" s="64">
        <v>4.97</v>
      </c>
      <c r="J60" s="64">
        <v>1.08</v>
      </c>
      <c r="K60" s="64">
        <v>169.93</v>
      </c>
      <c r="L60" s="64">
        <v>31.79</v>
      </c>
      <c r="M60" s="64">
        <v>36.380000000000003</v>
      </c>
      <c r="N60" s="64">
        <v>896.9</v>
      </c>
      <c r="O60" s="64">
        <v>0</v>
      </c>
      <c r="P60" s="64">
        <v>0.35</v>
      </c>
      <c r="Q60" s="64">
        <v>9.2100000000000009</v>
      </c>
      <c r="R60" s="198"/>
      <c r="S60" s="198"/>
      <c r="T60" s="198"/>
      <c r="U60" s="198"/>
    </row>
    <row r="61" spans="1:21" s="12" customFormat="1" x14ac:dyDescent="0.25">
      <c r="A61" s="214" t="s">
        <v>1548</v>
      </c>
      <c r="B61" s="64">
        <v>0.1</v>
      </c>
      <c r="C61" s="64">
        <v>23.21</v>
      </c>
      <c r="D61" s="64">
        <v>12.13</v>
      </c>
      <c r="E61" s="64">
        <v>2.2000000000000002</v>
      </c>
      <c r="F61" s="64">
        <v>5.13</v>
      </c>
      <c r="G61" s="64">
        <v>26.33</v>
      </c>
      <c r="H61" s="64">
        <v>24.32</v>
      </c>
      <c r="I61" s="64">
        <v>4.92</v>
      </c>
      <c r="J61" s="64">
        <v>1.06</v>
      </c>
      <c r="K61" s="64">
        <v>157.66</v>
      </c>
      <c r="L61" s="64">
        <v>31.75</v>
      </c>
      <c r="M61" s="64">
        <v>37.630000000000003</v>
      </c>
      <c r="N61" s="64">
        <v>863.1</v>
      </c>
      <c r="O61" s="64">
        <v>0</v>
      </c>
      <c r="P61" s="64">
        <v>0.34</v>
      </c>
      <c r="Q61" s="64">
        <v>9.2100000000000009</v>
      </c>
      <c r="R61" s="198"/>
      <c r="S61" s="198"/>
      <c r="T61" s="198"/>
      <c r="U61" s="198"/>
    </row>
    <row r="62" spans="1:21" s="12" customFormat="1" x14ac:dyDescent="0.25">
      <c r="A62" s="214" t="s">
        <v>1549</v>
      </c>
      <c r="B62" s="64">
        <v>0.1</v>
      </c>
      <c r="C62" s="64">
        <v>23.24</v>
      </c>
      <c r="D62" s="64">
        <v>12.14</v>
      </c>
      <c r="E62" s="64">
        <v>2.33</v>
      </c>
      <c r="F62" s="64">
        <v>5.88</v>
      </c>
      <c r="G62" s="64">
        <v>26.33</v>
      </c>
      <c r="H62" s="64">
        <v>24.32</v>
      </c>
      <c r="I62" s="64">
        <v>4.8499999999999996</v>
      </c>
      <c r="J62" s="64">
        <v>0.87</v>
      </c>
      <c r="K62" s="64">
        <v>177.37</v>
      </c>
      <c r="L62" s="64">
        <v>31.93</v>
      </c>
      <c r="M62" s="64">
        <v>37.53</v>
      </c>
      <c r="N62" s="64">
        <v>810.4</v>
      </c>
      <c r="O62" s="64">
        <v>0</v>
      </c>
      <c r="P62" s="64">
        <v>0.37</v>
      </c>
      <c r="Q62" s="64">
        <v>9.2200000000000006</v>
      </c>
      <c r="R62" s="198"/>
      <c r="S62" s="198"/>
      <c r="T62" s="198"/>
      <c r="U62" s="198"/>
    </row>
    <row r="63" spans="1:21" s="12" customFormat="1" x14ac:dyDescent="0.25">
      <c r="A63" s="214" t="s">
        <v>1550</v>
      </c>
      <c r="B63" s="64">
        <v>0.1</v>
      </c>
      <c r="C63" s="64">
        <v>23.03</v>
      </c>
      <c r="D63" s="64">
        <v>12.03</v>
      </c>
      <c r="E63" s="64">
        <v>2.38</v>
      </c>
      <c r="F63" s="64">
        <v>6.77</v>
      </c>
      <c r="G63" s="64">
        <v>26.33</v>
      </c>
      <c r="H63" s="64">
        <v>24.32</v>
      </c>
      <c r="I63" s="64">
        <v>4.8899999999999997</v>
      </c>
      <c r="J63" s="64">
        <v>0.67</v>
      </c>
      <c r="K63" s="64">
        <v>168.66</v>
      </c>
      <c r="L63" s="64">
        <v>32.28</v>
      </c>
      <c r="M63" s="64">
        <v>38.229999999999997</v>
      </c>
      <c r="N63" s="64">
        <v>792.9</v>
      </c>
      <c r="O63" s="64">
        <v>0</v>
      </c>
      <c r="P63" s="64">
        <v>0.37</v>
      </c>
      <c r="Q63" s="64">
        <v>9.23</v>
      </c>
      <c r="R63" s="198"/>
      <c r="S63" s="198"/>
      <c r="T63" s="198"/>
      <c r="U63" s="198"/>
    </row>
    <row r="64" spans="1:21" s="12" customFormat="1" x14ac:dyDescent="0.25">
      <c r="A64" s="214" t="s">
        <v>1551</v>
      </c>
      <c r="B64" s="64">
        <v>0.1</v>
      </c>
      <c r="C64" s="64">
        <v>26.13</v>
      </c>
      <c r="D64" s="64">
        <v>13.65</v>
      </c>
      <c r="E64" s="64">
        <v>2.4</v>
      </c>
      <c r="F64" s="64">
        <v>6.34</v>
      </c>
      <c r="G64" s="64">
        <v>26.32</v>
      </c>
      <c r="H64" s="64">
        <v>24.04</v>
      </c>
      <c r="I64" s="64">
        <v>4.82</v>
      </c>
      <c r="J64" s="64">
        <v>0.44</v>
      </c>
      <c r="K64" s="64">
        <v>209.59</v>
      </c>
      <c r="L64" s="64">
        <v>32.270000000000003</v>
      </c>
      <c r="M64" s="64">
        <v>35.89</v>
      </c>
      <c r="N64" s="64">
        <v>776.7</v>
      </c>
      <c r="O64" s="64">
        <v>0</v>
      </c>
      <c r="P64" s="64">
        <v>0.37</v>
      </c>
      <c r="Q64" s="64">
        <v>9.18</v>
      </c>
      <c r="R64" s="198"/>
      <c r="S64" s="198"/>
      <c r="T64" s="198"/>
      <c r="U64" s="198"/>
    </row>
    <row r="65" spans="1:21" s="12" customFormat="1" x14ac:dyDescent="0.25">
      <c r="A65" s="214" t="s">
        <v>1552</v>
      </c>
      <c r="B65" s="64">
        <v>0.1</v>
      </c>
      <c r="C65" s="64">
        <v>26.8</v>
      </c>
      <c r="D65" s="64">
        <v>14</v>
      </c>
      <c r="E65" s="64">
        <v>2.4500000000000002</v>
      </c>
      <c r="F65" s="64">
        <v>6.24</v>
      </c>
      <c r="G65" s="64">
        <v>26.11</v>
      </c>
      <c r="H65" s="64">
        <v>20.03</v>
      </c>
      <c r="I65" s="64">
        <v>4.57</v>
      </c>
      <c r="J65" s="64">
        <v>0.54</v>
      </c>
      <c r="K65" s="64">
        <v>300.83999999999997</v>
      </c>
      <c r="L65" s="64">
        <v>33.99</v>
      </c>
      <c r="M65" s="64">
        <v>34.42</v>
      </c>
      <c r="N65" s="64">
        <v>723</v>
      </c>
      <c r="O65" s="64">
        <v>0</v>
      </c>
      <c r="P65" s="64">
        <v>0.37</v>
      </c>
      <c r="Q65" s="64">
        <v>9.16</v>
      </c>
      <c r="R65" s="198"/>
      <c r="S65" s="198"/>
      <c r="T65" s="198"/>
      <c r="U65" s="198"/>
    </row>
    <row r="66" spans="1:21" s="12" customFormat="1" x14ac:dyDescent="0.25">
      <c r="A66" s="214" t="s">
        <v>1553</v>
      </c>
      <c r="B66" s="64">
        <v>0.1</v>
      </c>
      <c r="C66" s="64">
        <v>28.08</v>
      </c>
      <c r="D66" s="64">
        <v>14.67</v>
      </c>
      <c r="E66" s="64">
        <v>2.14</v>
      </c>
      <c r="F66" s="64">
        <v>5.68</v>
      </c>
      <c r="G66" s="64">
        <v>26.11</v>
      </c>
      <c r="H66" s="64">
        <v>20.03</v>
      </c>
      <c r="I66" s="64">
        <v>4.28</v>
      </c>
      <c r="J66" s="64">
        <v>0.5</v>
      </c>
      <c r="K66" s="64">
        <v>311.69</v>
      </c>
      <c r="L66" s="64">
        <v>34.090000000000003</v>
      </c>
      <c r="M66" s="64">
        <v>34.42</v>
      </c>
      <c r="N66" s="64">
        <v>670.1</v>
      </c>
      <c r="O66" s="64">
        <v>0</v>
      </c>
      <c r="P66" s="64">
        <v>0.39</v>
      </c>
      <c r="Q66" s="64">
        <v>9.15</v>
      </c>
      <c r="R66" s="198"/>
      <c r="S66" s="198"/>
      <c r="T66" s="198"/>
      <c r="U66" s="198"/>
    </row>
    <row r="67" spans="1:21" s="12" customFormat="1" x14ac:dyDescent="0.25">
      <c r="A67" s="214" t="s">
        <v>1554</v>
      </c>
      <c r="B67" s="64">
        <v>0.1</v>
      </c>
      <c r="C67" s="64">
        <v>27.71</v>
      </c>
      <c r="D67" s="64">
        <v>14.48</v>
      </c>
      <c r="E67" s="64">
        <v>1.81</v>
      </c>
      <c r="F67" s="64">
        <v>5.19</v>
      </c>
      <c r="G67" s="64">
        <v>26.11</v>
      </c>
      <c r="H67" s="64">
        <v>20.03</v>
      </c>
      <c r="I67" s="64">
        <v>4.12</v>
      </c>
      <c r="J67" s="64">
        <v>0.05</v>
      </c>
      <c r="K67" s="64">
        <v>201.54</v>
      </c>
      <c r="L67" s="64">
        <v>33.81</v>
      </c>
      <c r="M67" s="64">
        <v>34.06</v>
      </c>
      <c r="N67" s="64">
        <v>564.4</v>
      </c>
      <c r="O67" s="64">
        <v>0</v>
      </c>
      <c r="P67" s="64">
        <v>0.41</v>
      </c>
      <c r="Q67" s="64">
        <v>9.17</v>
      </c>
      <c r="R67" s="198"/>
      <c r="S67" s="198"/>
      <c r="T67" s="198"/>
      <c r="U67" s="198"/>
    </row>
    <row r="68" spans="1:21" s="12" customFormat="1" x14ac:dyDescent="0.25">
      <c r="A68" s="214" t="s">
        <v>1555</v>
      </c>
      <c r="B68" s="64">
        <v>0.1</v>
      </c>
      <c r="C68" s="64">
        <v>25.45</v>
      </c>
      <c r="D68" s="64">
        <v>13.3</v>
      </c>
      <c r="E68" s="64">
        <v>2.21</v>
      </c>
      <c r="F68" s="64">
        <v>6.16</v>
      </c>
      <c r="G68" s="64">
        <v>26.44</v>
      </c>
      <c r="H68" s="64">
        <v>19.95</v>
      </c>
      <c r="I68" s="64">
        <v>4.03</v>
      </c>
      <c r="J68" s="64">
        <v>0.17</v>
      </c>
      <c r="K68" s="64">
        <v>245.77</v>
      </c>
      <c r="L68" s="64">
        <v>32.93</v>
      </c>
      <c r="M68" s="64">
        <v>35.18</v>
      </c>
      <c r="N68" s="64">
        <v>422.5</v>
      </c>
      <c r="O68" s="64">
        <v>0</v>
      </c>
      <c r="P68" s="64">
        <v>0.42</v>
      </c>
      <c r="Q68" s="64">
        <v>9.17</v>
      </c>
      <c r="R68" s="198"/>
      <c r="S68" s="198"/>
      <c r="T68" s="198"/>
      <c r="U68" s="198"/>
    </row>
    <row r="69" spans="1:21" s="12" customFormat="1" x14ac:dyDescent="0.25">
      <c r="A69" s="214" t="s">
        <v>1556</v>
      </c>
      <c r="B69" s="64">
        <v>0.1</v>
      </c>
      <c r="C69" s="64">
        <v>24.33</v>
      </c>
      <c r="D69" s="64">
        <v>12.71</v>
      </c>
      <c r="E69" s="64">
        <v>2.1800000000000002</v>
      </c>
      <c r="F69" s="64">
        <v>5.69</v>
      </c>
      <c r="G69" s="64">
        <v>31.05</v>
      </c>
      <c r="H69" s="64">
        <v>18.420000000000002</v>
      </c>
      <c r="I69" s="64">
        <v>4.01</v>
      </c>
      <c r="J69" s="64">
        <v>0.19</v>
      </c>
      <c r="K69" s="64">
        <v>285.55</v>
      </c>
      <c r="L69" s="64">
        <v>32.92</v>
      </c>
      <c r="M69" s="64">
        <v>35.83</v>
      </c>
      <c r="N69" s="64">
        <v>430.4</v>
      </c>
      <c r="O69" s="64">
        <v>0</v>
      </c>
      <c r="P69" s="64">
        <v>0.43</v>
      </c>
      <c r="Q69" s="64">
        <v>9.18</v>
      </c>
      <c r="R69" s="198"/>
      <c r="S69" s="198"/>
      <c r="T69" s="198"/>
      <c r="U69" s="198"/>
    </row>
    <row r="70" spans="1:21" s="12" customFormat="1" x14ac:dyDescent="0.25">
      <c r="A70" s="214" t="s">
        <v>1557</v>
      </c>
      <c r="B70" s="64">
        <v>0.1</v>
      </c>
      <c r="C70" s="64">
        <v>22.8</v>
      </c>
      <c r="D70" s="64">
        <v>11.91</v>
      </c>
      <c r="E70" s="64">
        <v>1.89</v>
      </c>
      <c r="F70" s="64">
        <v>6.14</v>
      </c>
      <c r="G70" s="64">
        <v>31.05</v>
      </c>
      <c r="H70" s="64">
        <v>18.420000000000002</v>
      </c>
      <c r="I70" s="64">
        <v>4.05</v>
      </c>
      <c r="J70" s="64">
        <v>0.67</v>
      </c>
      <c r="K70" s="64">
        <v>171.42</v>
      </c>
      <c r="L70" s="64">
        <v>32.51</v>
      </c>
      <c r="M70" s="64">
        <v>36.29</v>
      </c>
      <c r="N70" s="64">
        <v>279.8</v>
      </c>
      <c r="O70" s="64">
        <v>0</v>
      </c>
      <c r="P70" s="64">
        <v>0.43</v>
      </c>
      <c r="Q70" s="64">
        <v>9.1300000000000008</v>
      </c>
      <c r="R70" s="198"/>
      <c r="S70" s="198"/>
      <c r="T70" s="198"/>
      <c r="U70" s="198"/>
    </row>
    <row r="71" spans="1:21" s="12" customFormat="1" x14ac:dyDescent="0.25">
      <c r="A71" s="214" t="s">
        <v>1558</v>
      </c>
      <c r="B71" s="64">
        <v>0.1</v>
      </c>
      <c r="C71" s="64">
        <v>22.46</v>
      </c>
      <c r="D71" s="64">
        <v>11.73</v>
      </c>
      <c r="E71" s="64">
        <v>2.16</v>
      </c>
      <c r="F71" s="64">
        <v>6.42</v>
      </c>
      <c r="G71" s="64">
        <v>31.05</v>
      </c>
      <c r="H71" s="64">
        <v>18.420000000000002</v>
      </c>
      <c r="I71" s="64">
        <v>4.1100000000000003</v>
      </c>
      <c r="J71" s="64">
        <v>0.27</v>
      </c>
      <c r="K71" s="64">
        <v>229.15</v>
      </c>
      <c r="L71" s="64">
        <v>32.270000000000003</v>
      </c>
      <c r="M71" s="64">
        <v>36.19</v>
      </c>
      <c r="N71" s="64">
        <v>172</v>
      </c>
      <c r="O71" s="64">
        <v>0</v>
      </c>
      <c r="P71" s="64">
        <v>0.43</v>
      </c>
      <c r="Q71" s="64">
        <v>9.1999999999999993</v>
      </c>
      <c r="R71" s="198"/>
      <c r="S71" s="198"/>
      <c r="T71" s="198"/>
      <c r="U71" s="198"/>
    </row>
    <row r="72" spans="1:21" s="12" customFormat="1" x14ac:dyDescent="0.25">
      <c r="A72" s="214" t="s">
        <v>1559</v>
      </c>
      <c r="B72" s="64">
        <v>0.1</v>
      </c>
      <c r="C72" s="64">
        <v>23.86</v>
      </c>
      <c r="D72" s="64">
        <v>12.47</v>
      </c>
      <c r="E72" s="64">
        <v>0.61</v>
      </c>
      <c r="F72" s="64">
        <v>5.83</v>
      </c>
      <c r="G72" s="64">
        <v>31.17</v>
      </c>
      <c r="H72" s="64">
        <v>18.46</v>
      </c>
      <c r="I72" s="64">
        <v>4.04</v>
      </c>
      <c r="J72" s="64">
        <v>0.21</v>
      </c>
      <c r="K72" s="64">
        <v>273.87</v>
      </c>
      <c r="L72" s="64">
        <v>32.549999999999997</v>
      </c>
      <c r="M72" s="64">
        <v>35.19</v>
      </c>
      <c r="N72" s="64">
        <v>210.1</v>
      </c>
      <c r="O72" s="64">
        <v>0</v>
      </c>
      <c r="P72" s="64">
        <v>0.45</v>
      </c>
      <c r="Q72" s="64">
        <v>9.19</v>
      </c>
      <c r="R72" s="198"/>
      <c r="S72" s="198"/>
      <c r="T72" s="198"/>
      <c r="U72" s="198"/>
    </row>
    <row r="73" spans="1:21" s="12" customFormat="1" x14ac:dyDescent="0.25">
      <c r="A73" s="214" t="s">
        <v>1560</v>
      </c>
      <c r="B73" s="64">
        <v>0.1</v>
      </c>
      <c r="C73" s="64">
        <v>24.7</v>
      </c>
      <c r="D73" s="64">
        <v>12.91</v>
      </c>
      <c r="E73" s="64">
        <v>1.1599999999999999</v>
      </c>
      <c r="F73" s="64">
        <v>5.86</v>
      </c>
      <c r="G73" s="64">
        <v>32.82</v>
      </c>
      <c r="H73" s="64">
        <v>19.02</v>
      </c>
      <c r="I73" s="64">
        <v>4.0199999999999996</v>
      </c>
      <c r="J73" s="64">
        <v>0.13</v>
      </c>
      <c r="K73" s="64">
        <v>234.97</v>
      </c>
      <c r="L73" s="64">
        <v>32.119999999999997</v>
      </c>
      <c r="M73" s="64">
        <v>36.36</v>
      </c>
      <c r="N73" s="64">
        <v>152.5</v>
      </c>
      <c r="O73" s="64">
        <v>0</v>
      </c>
      <c r="P73" s="64">
        <v>0.47</v>
      </c>
      <c r="Q73" s="64">
        <v>9.14</v>
      </c>
      <c r="R73" s="198"/>
      <c r="S73" s="198"/>
      <c r="T73" s="198"/>
      <c r="U73" s="198"/>
    </row>
    <row r="74" spans="1:21" s="12" customFormat="1" x14ac:dyDescent="0.25">
      <c r="A74" s="214" t="s">
        <v>1561</v>
      </c>
      <c r="B74" s="64">
        <v>0.1</v>
      </c>
      <c r="C74" s="64">
        <v>25.57</v>
      </c>
      <c r="D74" s="64">
        <v>13.36</v>
      </c>
      <c r="E74" s="64">
        <v>1.02</v>
      </c>
      <c r="F74" s="64">
        <v>5.22</v>
      </c>
      <c r="G74" s="64">
        <v>32.82</v>
      </c>
      <c r="H74" s="64">
        <v>19.02</v>
      </c>
      <c r="I74" s="64">
        <v>3.9</v>
      </c>
      <c r="J74" s="64">
        <v>0.19</v>
      </c>
      <c r="K74" s="64">
        <v>326.94</v>
      </c>
      <c r="L74" s="64">
        <v>32.119999999999997</v>
      </c>
      <c r="M74" s="64">
        <v>36</v>
      </c>
      <c r="N74" s="64">
        <v>137</v>
      </c>
      <c r="O74" s="64">
        <v>0</v>
      </c>
      <c r="P74" s="64">
        <v>0.47</v>
      </c>
      <c r="Q74" s="64">
        <v>9.18</v>
      </c>
      <c r="R74" s="198"/>
      <c r="S74" s="198"/>
      <c r="T74" s="198"/>
      <c r="U74" s="198"/>
    </row>
    <row r="75" spans="1:21" s="12" customFormat="1" x14ac:dyDescent="0.25">
      <c r="A75" s="214" t="s">
        <v>1562</v>
      </c>
      <c r="B75" s="64">
        <v>0.1</v>
      </c>
      <c r="C75" s="64">
        <v>27.28</v>
      </c>
      <c r="D75" s="64">
        <v>14.25</v>
      </c>
      <c r="E75" s="64">
        <v>0.9</v>
      </c>
      <c r="F75" s="64">
        <v>5.07</v>
      </c>
      <c r="G75" s="64">
        <v>32.82</v>
      </c>
      <c r="H75" s="64">
        <v>19.02</v>
      </c>
      <c r="I75" s="64">
        <v>3.78</v>
      </c>
      <c r="J75" s="64">
        <v>0.18</v>
      </c>
      <c r="K75" s="64">
        <v>334.07</v>
      </c>
      <c r="L75" s="64">
        <v>32.299999999999997</v>
      </c>
      <c r="M75" s="64">
        <v>35.67</v>
      </c>
      <c r="N75" s="64">
        <v>102.6</v>
      </c>
      <c r="O75" s="64">
        <v>0</v>
      </c>
      <c r="P75" s="64">
        <v>0.48</v>
      </c>
      <c r="Q75" s="64">
        <v>9.2100000000000009</v>
      </c>
      <c r="R75" s="198"/>
      <c r="S75" s="198"/>
      <c r="T75" s="198"/>
      <c r="U75" s="198"/>
    </row>
    <row r="76" spans="1:21" s="12" customFormat="1" x14ac:dyDescent="0.25">
      <c r="A76" s="214" t="s">
        <v>1563</v>
      </c>
      <c r="B76" s="64">
        <v>0.1</v>
      </c>
      <c r="C76" s="64">
        <v>27.84</v>
      </c>
      <c r="D76" s="64">
        <v>14.54</v>
      </c>
      <c r="E76" s="64">
        <v>0.74</v>
      </c>
      <c r="F76" s="64">
        <v>4.8499999999999996</v>
      </c>
      <c r="G76" s="64">
        <v>33.35</v>
      </c>
      <c r="H76" s="64">
        <v>19.09</v>
      </c>
      <c r="I76" s="64">
        <v>4.26</v>
      </c>
      <c r="J76" s="64">
        <v>0.11</v>
      </c>
      <c r="K76" s="64">
        <v>205.8</v>
      </c>
      <c r="L76" s="64">
        <v>32.020000000000003</v>
      </c>
      <c r="M76" s="64">
        <v>35.78</v>
      </c>
      <c r="N76" s="64">
        <v>96.4</v>
      </c>
      <c r="O76" s="64">
        <v>0</v>
      </c>
      <c r="P76" s="64">
        <v>0.5</v>
      </c>
      <c r="Q76" s="64">
        <v>9.18</v>
      </c>
      <c r="R76" s="198"/>
      <c r="S76" s="198"/>
      <c r="T76" s="198"/>
      <c r="U76" s="198"/>
    </row>
    <row r="77" spans="1:21" s="12" customFormat="1" x14ac:dyDescent="0.25">
      <c r="A77" s="214" t="s">
        <v>1564</v>
      </c>
      <c r="B77" s="64">
        <v>0.1</v>
      </c>
      <c r="C77" s="64">
        <v>27.87</v>
      </c>
      <c r="D77" s="64">
        <v>14.56</v>
      </c>
      <c r="E77" s="64">
        <v>1.1000000000000001</v>
      </c>
      <c r="F77" s="64">
        <v>4.57</v>
      </c>
      <c r="G77" s="64">
        <v>40.71</v>
      </c>
      <c r="H77" s="64">
        <v>19.98</v>
      </c>
      <c r="I77" s="64">
        <v>4.34</v>
      </c>
      <c r="J77" s="64">
        <v>0.52</v>
      </c>
      <c r="K77" s="64">
        <v>177.22</v>
      </c>
      <c r="L77" s="64">
        <v>31.61</v>
      </c>
      <c r="M77" s="64">
        <v>36.340000000000003</v>
      </c>
      <c r="N77" s="64">
        <v>85</v>
      </c>
      <c r="O77" s="64">
        <v>0</v>
      </c>
      <c r="P77" s="64">
        <v>0.5</v>
      </c>
      <c r="Q77" s="64">
        <v>9.19</v>
      </c>
      <c r="R77" s="198"/>
      <c r="S77" s="198"/>
      <c r="T77" s="198"/>
      <c r="U77" s="198"/>
    </row>
    <row r="78" spans="1:21" s="12" customFormat="1" x14ac:dyDescent="0.25">
      <c r="A78" s="214" t="s">
        <v>1565</v>
      </c>
      <c r="B78" s="64">
        <v>0.1</v>
      </c>
      <c r="C78" s="64">
        <v>27.59</v>
      </c>
      <c r="D78" s="64">
        <v>14.41</v>
      </c>
      <c r="E78" s="64">
        <v>1.02</v>
      </c>
      <c r="F78" s="64">
        <v>4.4400000000000004</v>
      </c>
      <c r="G78" s="64">
        <v>40.71</v>
      </c>
      <c r="H78" s="64">
        <v>19.98</v>
      </c>
      <c r="I78" s="64">
        <v>4.5</v>
      </c>
      <c r="J78" s="64">
        <v>0.91</v>
      </c>
      <c r="K78" s="64">
        <v>149.82</v>
      </c>
      <c r="L78" s="64">
        <v>31.05</v>
      </c>
      <c r="M78" s="64">
        <v>39.99</v>
      </c>
      <c r="N78" s="64">
        <v>64.599999999999994</v>
      </c>
      <c r="O78" s="64">
        <v>0</v>
      </c>
      <c r="P78" s="64">
        <v>0.51</v>
      </c>
      <c r="Q78" s="64">
        <v>9.1300000000000008</v>
      </c>
      <c r="R78" s="198"/>
      <c r="S78" s="198"/>
      <c r="T78" s="198"/>
      <c r="U78" s="198"/>
    </row>
    <row r="79" spans="1:21" s="12" customFormat="1" x14ac:dyDescent="0.25">
      <c r="A79" s="214" t="s">
        <v>1566</v>
      </c>
      <c r="B79" s="64">
        <v>0.1</v>
      </c>
      <c r="C79" s="64">
        <v>27.34</v>
      </c>
      <c r="D79" s="64">
        <v>14.28</v>
      </c>
      <c r="E79" s="64">
        <v>0.74</v>
      </c>
      <c r="F79" s="64">
        <v>4.5</v>
      </c>
      <c r="G79" s="64">
        <v>40.71</v>
      </c>
      <c r="H79" s="64">
        <v>19.98</v>
      </c>
      <c r="I79" s="64">
        <v>4.7</v>
      </c>
      <c r="J79" s="64">
        <v>0.43</v>
      </c>
      <c r="K79" s="64">
        <v>157.75</v>
      </c>
      <c r="L79" s="64">
        <v>30.51</v>
      </c>
      <c r="M79" s="64">
        <v>42.72</v>
      </c>
      <c r="N79" s="64">
        <v>49</v>
      </c>
      <c r="O79" s="64">
        <v>0</v>
      </c>
      <c r="P79" s="64">
        <v>0.5</v>
      </c>
      <c r="Q79" s="64">
        <v>9.17</v>
      </c>
      <c r="R79" s="198"/>
      <c r="S79" s="198"/>
      <c r="T79" s="198"/>
      <c r="U79" s="198"/>
    </row>
    <row r="80" spans="1:21" s="12" customFormat="1" x14ac:dyDescent="0.25">
      <c r="A80" s="214" t="s">
        <v>1567</v>
      </c>
      <c r="B80" s="64">
        <v>0.1</v>
      </c>
      <c r="C80" s="64">
        <v>27.7</v>
      </c>
      <c r="D80" s="64">
        <v>14.47</v>
      </c>
      <c r="E80" s="64">
        <v>0.81</v>
      </c>
      <c r="F80" s="64">
        <v>4.09</v>
      </c>
      <c r="G80" s="64">
        <v>40.380000000000003</v>
      </c>
      <c r="H80" s="64">
        <v>19.72</v>
      </c>
      <c r="I80" s="64">
        <v>4.96</v>
      </c>
      <c r="J80" s="64">
        <v>0.06</v>
      </c>
      <c r="K80" s="64">
        <v>211.44</v>
      </c>
      <c r="L80" s="64">
        <v>29.93</v>
      </c>
      <c r="M80" s="64">
        <v>45.03</v>
      </c>
      <c r="N80" s="64">
        <v>35.6</v>
      </c>
      <c r="O80" s="64">
        <v>0</v>
      </c>
      <c r="P80" s="64">
        <v>0.5</v>
      </c>
      <c r="Q80" s="64">
        <v>9.17</v>
      </c>
      <c r="R80" s="198"/>
      <c r="S80" s="198"/>
      <c r="T80" s="198"/>
      <c r="U80" s="198"/>
    </row>
    <row r="81" spans="1:26" s="12" customFormat="1" x14ac:dyDescent="0.25">
      <c r="A81" s="214" t="s">
        <v>1568</v>
      </c>
      <c r="B81" s="64">
        <v>0.1</v>
      </c>
      <c r="C81" s="64">
        <v>28.46</v>
      </c>
      <c r="D81" s="64">
        <v>14.87</v>
      </c>
      <c r="E81" s="64">
        <v>1.24</v>
      </c>
      <c r="F81" s="64">
        <v>3.67</v>
      </c>
      <c r="G81" s="64">
        <v>35.75</v>
      </c>
      <c r="H81" s="64">
        <v>16.12</v>
      </c>
      <c r="I81" s="64">
        <v>5.25</v>
      </c>
      <c r="J81" s="64">
        <v>0.2</v>
      </c>
      <c r="K81" s="64">
        <v>285.74</v>
      </c>
      <c r="L81" s="64">
        <v>28.77</v>
      </c>
      <c r="M81" s="64">
        <v>54.34</v>
      </c>
      <c r="N81" s="64">
        <v>22.6</v>
      </c>
      <c r="O81" s="64">
        <v>0</v>
      </c>
      <c r="P81" s="64">
        <v>0.5</v>
      </c>
      <c r="Q81" s="64">
        <v>9.19</v>
      </c>
      <c r="R81" s="198"/>
      <c r="S81" s="198"/>
      <c r="T81" s="198"/>
      <c r="U81" s="198"/>
    </row>
    <row r="82" spans="1:26" s="12" customFormat="1" x14ac:dyDescent="0.25">
      <c r="A82" s="214" t="s">
        <v>1569</v>
      </c>
      <c r="B82" s="64">
        <v>0.14000000000000001</v>
      </c>
      <c r="C82" s="64">
        <v>29.73</v>
      </c>
      <c r="D82" s="64">
        <v>15.56</v>
      </c>
      <c r="E82" s="64">
        <v>1.42</v>
      </c>
      <c r="F82" s="64">
        <v>3.72</v>
      </c>
      <c r="G82" s="64">
        <v>35.75</v>
      </c>
      <c r="H82" s="64">
        <v>16.12</v>
      </c>
      <c r="I82" s="64">
        <v>5.38</v>
      </c>
      <c r="J82" s="64">
        <v>0.17</v>
      </c>
      <c r="K82" s="64">
        <v>312.89999999999998</v>
      </c>
      <c r="L82" s="64">
        <v>28.15</v>
      </c>
      <c r="M82" s="64">
        <v>57.48</v>
      </c>
      <c r="N82" s="64">
        <v>18.100000000000001</v>
      </c>
      <c r="O82" s="64">
        <v>0</v>
      </c>
      <c r="P82" s="64">
        <v>0.52</v>
      </c>
      <c r="Q82" s="64">
        <v>9.24</v>
      </c>
      <c r="R82" s="198"/>
      <c r="S82" s="198"/>
      <c r="T82" s="198"/>
      <c r="U82" s="198"/>
    </row>
    <row r="83" spans="1:26" s="12" customFormat="1" x14ac:dyDescent="0.25">
      <c r="A83" s="214" t="s">
        <v>1570</v>
      </c>
      <c r="B83" s="64">
        <v>0.46</v>
      </c>
      <c r="C83" s="64">
        <v>30.99</v>
      </c>
      <c r="D83" s="64">
        <v>16.48</v>
      </c>
      <c r="E83" s="64">
        <v>1.33</v>
      </c>
      <c r="F83" s="64">
        <v>3.98</v>
      </c>
      <c r="G83" s="64">
        <v>35.75</v>
      </c>
      <c r="H83" s="64">
        <v>16.12</v>
      </c>
      <c r="I83" s="64">
        <v>5.32</v>
      </c>
      <c r="J83" s="64">
        <v>0.24</v>
      </c>
      <c r="K83" s="64">
        <v>232.89</v>
      </c>
      <c r="L83" s="64">
        <v>28.45</v>
      </c>
      <c r="M83" s="64">
        <v>52.91</v>
      </c>
      <c r="N83" s="64">
        <v>16.7</v>
      </c>
      <c r="O83" s="64">
        <v>0</v>
      </c>
      <c r="P83" s="64">
        <v>0.53</v>
      </c>
      <c r="Q83" s="64">
        <v>9.1999999999999993</v>
      </c>
      <c r="R83" s="198"/>
      <c r="S83" s="198"/>
      <c r="T83" s="198"/>
      <c r="U83" s="198"/>
    </row>
    <row r="84" spans="1:26" s="12" customFormat="1" x14ac:dyDescent="0.25">
      <c r="A84" s="214" t="s">
        <v>1571</v>
      </c>
      <c r="B84" s="64">
        <v>0.62</v>
      </c>
      <c r="C84" s="64">
        <v>31.04</v>
      </c>
      <c r="D84" s="64">
        <v>16.63</v>
      </c>
      <c r="E84" s="64">
        <v>1.17</v>
      </c>
      <c r="F84" s="64">
        <v>4.07</v>
      </c>
      <c r="G84" s="64">
        <v>36.06</v>
      </c>
      <c r="H84" s="64">
        <v>16.2</v>
      </c>
      <c r="I84" s="64">
        <v>5.51</v>
      </c>
      <c r="J84" s="64">
        <v>0.27</v>
      </c>
      <c r="K84" s="64">
        <v>224.78</v>
      </c>
      <c r="L84" s="64">
        <v>29.1</v>
      </c>
      <c r="M84" s="64">
        <v>48.98</v>
      </c>
      <c r="N84" s="64">
        <v>16.8</v>
      </c>
      <c r="O84" s="64">
        <v>0</v>
      </c>
      <c r="P84" s="64">
        <v>0.53</v>
      </c>
      <c r="Q84" s="64">
        <v>9.2899999999999991</v>
      </c>
      <c r="R84" s="198"/>
      <c r="S84" s="198"/>
      <c r="T84" s="198"/>
      <c r="U84" s="198"/>
    </row>
    <row r="85" spans="1:26" s="12" customFormat="1" x14ac:dyDescent="0.25">
      <c r="A85" s="214" t="s">
        <v>1572</v>
      </c>
      <c r="B85" s="64">
        <v>0.65</v>
      </c>
      <c r="C85" s="64">
        <v>30.9</v>
      </c>
      <c r="D85" s="64">
        <v>16.59</v>
      </c>
      <c r="E85" s="64">
        <v>1.08</v>
      </c>
      <c r="F85" s="64">
        <v>3.77</v>
      </c>
      <c r="G85" s="64">
        <v>40.39</v>
      </c>
      <c r="H85" s="64">
        <v>17.28</v>
      </c>
      <c r="I85" s="64">
        <v>5.61</v>
      </c>
      <c r="J85" s="64">
        <v>0.41</v>
      </c>
      <c r="K85" s="64">
        <v>165.44</v>
      </c>
      <c r="L85" s="64">
        <v>28.7</v>
      </c>
      <c r="M85" s="64">
        <v>50.54</v>
      </c>
      <c r="N85" s="64">
        <v>16.8</v>
      </c>
      <c r="O85" s="64">
        <v>0</v>
      </c>
      <c r="P85" s="64">
        <v>0.52</v>
      </c>
      <c r="Q85" s="64">
        <v>9.24</v>
      </c>
      <c r="R85" s="198"/>
      <c r="S85" s="198"/>
      <c r="T85" s="198"/>
      <c r="U85" s="198"/>
    </row>
    <row r="86" spans="1:26" s="12" customFormat="1" x14ac:dyDescent="0.25">
      <c r="A86" s="214" t="s">
        <v>1573</v>
      </c>
      <c r="B86" s="64">
        <v>0.84</v>
      </c>
      <c r="C86" s="64">
        <v>32.33</v>
      </c>
      <c r="D86" s="64">
        <v>17.489999999999998</v>
      </c>
      <c r="E86" s="64">
        <v>1.2</v>
      </c>
      <c r="F86" s="64">
        <v>3.8</v>
      </c>
      <c r="G86" s="64">
        <v>40.39</v>
      </c>
      <c r="H86" s="64">
        <v>17.28</v>
      </c>
      <c r="I86" s="64">
        <v>5.54</v>
      </c>
      <c r="J86" s="64">
        <v>0.35</v>
      </c>
      <c r="K86" s="64">
        <v>167.53</v>
      </c>
      <c r="L86" s="64">
        <v>28.36</v>
      </c>
      <c r="M86" s="64">
        <v>53.02</v>
      </c>
      <c r="N86" s="64">
        <v>17</v>
      </c>
      <c r="O86" s="64">
        <v>0</v>
      </c>
      <c r="P86" s="64">
        <v>0.54</v>
      </c>
      <c r="Q86" s="64">
        <v>9.16</v>
      </c>
      <c r="R86" s="198"/>
      <c r="S86" s="198"/>
      <c r="T86" s="198"/>
      <c r="U86" s="198"/>
    </row>
    <row r="87" spans="1:26" s="12" customFormat="1" x14ac:dyDescent="0.25">
      <c r="A87" s="214" t="s">
        <v>1574</v>
      </c>
      <c r="B87" s="64">
        <v>1.24</v>
      </c>
      <c r="C87" s="64">
        <v>33.44</v>
      </c>
      <c r="D87" s="64">
        <v>18.38</v>
      </c>
      <c r="E87" s="64">
        <v>1.22</v>
      </c>
      <c r="F87" s="64">
        <v>3.42</v>
      </c>
      <c r="G87" s="64">
        <v>40.39</v>
      </c>
      <c r="H87" s="64">
        <v>17.28</v>
      </c>
      <c r="I87" s="64">
        <v>5.48</v>
      </c>
      <c r="J87" s="64">
        <v>0.24</v>
      </c>
      <c r="K87" s="64">
        <v>175.58</v>
      </c>
      <c r="L87" s="64">
        <v>28.09</v>
      </c>
      <c r="M87" s="64">
        <v>54.36</v>
      </c>
      <c r="N87" s="64">
        <v>17.100000000000001</v>
      </c>
      <c r="O87" s="64">
        <v>0</v>
      </c>
      <c r="P87" s="64">
        <v>0.56000000000000005</v>
      </c>
      <c r="Q87" s="64">
        <v>9.17</v>
      </c>
      <c r="R87" s="198"/>
      <c r="S87" s="198"/>
      <c r="T87" s="198"/>
      <c r="U87" s="198"/>
    </row>
    <row r="88" spans="1:26" s="12" customFormat="1" x14ac:dyDescent="0.25">
      <c r="A88" s="214" t="s">
        <v>1575</v>
      </c>
      <c r="B88" s="64">
        <v>2.0299999999999998</v>
      </c>
      <c r="C88" s="64">
        <v>35.119999999999997</v>
      </c>
      <c r="D88" s="64">
        <v>19.89</v>
      </c>
      <c r="E88" s="64">
        <v>0.28000000000000003</v>
      </c>
      <c r="F88" s="64">
        <v>4.29</v>
      </c>
      <c r="G88" s="64">
        <v>40.76</v>
      </c>
      <c r="H88" s="64">
        <v>17.36</v>
      </c>
      <c r="I88" s="64">
        <v>5.59</v>
      </c>
      <c r="J88" s="64">
        <v>0.16</v>
      </c>
      <c r="K88" s="64">
        <v>296.18</v>
      </c>
      <c r="L88" s="64">
        <v>27.68</v>
      </c>
      <c r="M88" s="64">
        <v>57.17</v>
      </c>
      <c r="N88" s="64">
        <v>17.2</v>
      </c>
      <c r="O88" s="64">
        <v>0</v>
      </c>
      <c r="P88" s="64">
        <v>0.57999999999999996</v>
      </c>
      <c r="Q88" s="64">
        <v>9.1999999999999993</v>
      </c>
      <c r="R88" s="198"/>
      <c r="S88" s="198"/>
      <c r="T88" s="198"/>
      <c r="U88" s="198"/>
    </row>
    <row r="89" spans="1:26" s="12" customFormat="1" x14ac:dyDescent="0.25">
      <c r="A89" s="214" t="s">
        <v>1576</v>
      </c>
      <c r="B89" s="64">
        <v>5.37</v>
      </c>
      <c r="C89" s="64">
        <v>35.090000000000003</v>
      </c>
      <c r="D89" s="64">
        <v>22.57</v>
      </c>
      <c r="E89" s="64">
        <v>1</v>
      </c>
      <c r="F89" s="64">
        <v>3.28</v>
      </c>
      <c r="G89" s="64">
        <v>45.89</v>
      </c>
      <c r="H89" s="64">
        <v>18.55</v>
      </c>
      <c r="I89" s="64">
        <v>5.67</v>
      </c>
      <c r="J89" s="64">
        <v>0.18</v>
      </c>
      <c r="K89" s="64">
        <v>6.66</v>
      </c>
      <c r="L89" s="64">
        <v>27.12</v>
      </c>
      <c r="M89" s="64">
        <v>62.51</v>
      </c>
      <c r="N89" s="64">
        <v>17.399999999999999</v>
      </c>
      <c r="O89" s="64">
        <v>0</v>
      </c>
      <c r="P89" s="64">
        <v>0.66</v>
      </c>
      <c r="Q89" s="64">
        <v>9.2200000000000006</v>
      </c>
      <c r="R89" s="198"/>
      <c r="S89" s="198"/>
      <c r="T89" s="198"/>
      <c r="U89" s="198"/>
    </row>
    <row r="90" spans="1:26" s="12" customFormat="1" x14ac:dyDescent="0.25">
      <c r="A90" s="214" t="s">
        <v>1577</v>
      </c>
      <c r="B90" s="64">
        <v>5.37</v>
      </c>
      <c r="C90" s="64">
        <v>35.090000000000003</v>
      </c>
      <c r="D90" s="64">
        <v>22.57</v>
      </c>
      <c r="E90" s="64">
        <v>1</v>
      </c>
      <c r="F90" s="64">
        <v>3.28</v>
      </c>
      <c r="G90" s="64">
        <v>45.89</v>
      </c>
      <c r="H90" s="64">
        <v>18.55</v>
      </c>
      <c r="I90" s="64">
        <v>5.67</v>
      </c>
      <c r="J90" s="64">
        <v>0.18</v>
      </c>
      <c r="K90" s="64">
        <v>6.66</v>
      </c>
      <c r="L90" s="64">
        <v>27.12</v>
      </c>
      <c r="M90" s="64">
        <v>62.51</v>
      </c>
      <c r="N90" s="64">
        <v>17.399999999999999</v>
      </c>
      <c r="O90" s="64">
        <v>0</v>
      </c>
      <c r="P90" s="64">
        <v>0.66</v>
      </c>
      <c r="Q90" s="64">
        <v>9.2200000000000006</v>
      </c>
      <c r="R90" s="198"/>
      <c r="S90" s="198"/>
      <c r="T90" s="198"/>
      <c r="U90" s="198"/>
    </row>
    <row r="91" spans="1:26" s="12" customFormat="1" x14ac:dyDescent="0.25">
      <c r="A91" s="214" t="s">
        <v>1578</v>
      </c>
      <c r="B91" s="64">
        <v>13.45</v>
      </c>
      <c r="C91" s="64">
        <v>33.700000000000003</v>
      </c>
      <c r="D91" s="64">
        <v>28.31</v>
      </c>
      <c r="E91" s="64">
        <v>0.59</v>
      </c>
      <c r="F91" s="64">
        <v>3.25</v>
      </c>
      <c r="G91" s="64">
        <v>45.89</v>
      </c>
      <c r="H91" s="64">
        <v>18.55</v>
      </c>
      <c r="I91" s="64">
        <v>5.97</v>
      </c>
      <c r="J91" s="64">
        <v>0.05</v>
      </c>
      <c r="K91" s="64">
        <v>35.72</v>
      </c>
      <c r="L91" s="64">
        <v>26.49</v>
      </c>
      <c r="M91" s="64">
        <v>64.89</v>
      </c>
      <c r="N91" s="64">
        <v>17.2</v>
      </c>
      <c r="O91" s="64">
        <v>0</v>
      </c>
      <c r="P91" s="64">
        <v>0.84</v>
      </c>
      <c r="Q91" s="64">
        <v>9.35</v>
      </c>
      <c r="R91" s="198"/>
      <c r="S91" s="198"/>
      <c r="T91" s="198"/>
      <c r="U91" s="198"/>
    </row>
    <row r="92" spans="1:26" s="12" customFormat="1" x14ac:dyDescent="0.25">
      <c r="A92" s="214" t="s">
        <v>1579</v>
      </c>
      <c r="B92" s="64">
        <v>21.32</v>
      </c>
      <c r="C92" s="64">
        <v>30.25</v>
      </c>
      <c r="D92" s="64">
        <v>32.82</v>
      </c>
      <c r="E92" s="64">
        <v>0.55000000000000004</v>
      </c>
      <c r="F92" s="64">
        <v>3.24</v>
      </c>
      <c r="G92" s="64">
        <v>47.88</v>
      </c>
      <c r="H92" s="64">
        <v>18.739999999999998</v>
      </c>
      <c r="I92" s="64">
        <v>6.84</v>
      </c>
      <c r="J92" s="64">
        <v>0.18</v>
      </c>
      <c r="K92" s="64">
        <v>21.36</v>
      </c>
      <c r="L92" s="64">
        <v>26.16</v>
      </c>
      <c r="M92" s="64">
        <v>67.290000000000006</v>
      </c>
      <c r="N92" s="64">
        <v>17</v>
      </c>
      <c r="O92" s="64">
        <v>0</v>
      </c>
      <c r="P92" s="64">
        <v>0.96</v>
      </c>
      <c r="Q92" s="64">
        <v>0</v>
      </c>
      <c r="R92" s="198"/>
      <c r="S92" s="198"/>
      <c r="T92" s="198"/>
      <c r="U92" s="198"/>
    </row>
    <row r="93" spans="1:26" s="12" customFormat="1" x14ac:dyDescent="0.25">
      <c r="A93" s="214" t="s">
        <v>1580</v>
      </c>
      <c r="B93" s="64">
        <v>24.91</v>
      </c>
      <c r="C93" s="64">
        <v>30.61</v>
      </c>
      <c r="D93" s="64">
        <v>35.89</v>
      </c>
      <c r="E93" s="64">
        <v>1.1399999999999999</v>
      </c>
      <c r="F93" s="64">
        <v>3.28</v>
      </c>
      <c r="G93" s="64">
        <v>68.040000000000006</v>
      </c>
      <c r="H93" s="64">
        <v>21.14</v>
      </c>
      <c r="I93" s="64">
        <v>7.45</v>
      </c>
      <c r="J93" s="64">
        <v>0.11</v>
      </c>
      <c r="K93" s="64">
        <v>262.63</v>
      </c>
      <c r="L93" s="64">
        <v>25.88</v>
      </c>
      <c r="M93" s="64">
        <v>66.680000000000007</v>
      </c>
      <c r="N93" s="64">
        <v>17.3</v>
      </c>
      <c r="O93" s="64">
        <v>0</v>
      </c>
      <c r="P93" s="64">
        <v>0.97</v>
      </c>
      <c r="Q93" s="64">
        <v>9.42</v>
      </c>
      <c r="R93" s="198"/>
      <c r="S93" s="198"/>
      <c r="T93" s="198"/>
      <c r="U93" s="198"/>
    </row>
    <row r="94" spans="1:26" s="12" customFormat="1" x14ac:dyDescent="0.25">
      <c r="A94" s="214" t="s">
        <v>1581</v>
      </c>
      <c r="B94" s="64">
        <v>27.92</v>
      </c>
      <c r="C94" s="64">
        <v>31.49</v>
      </c>
      <c r="D94" s="64">
        <v>38.770000000000003</v>
      </c>
      <c r="E94" s="64">
        <v>0.77</v>
      </c>
      <c r="F94" s="64">
        <v>3.33</v>
      </c>
      <c r="G94" s="64">
        <v>68.040000000000006</v>
      </c>
      <c r="H94" s="64">
        <v>21.14</v>
      </c>
      <c r="I94" s="64">
        <v>6.8</v>
      </c>
      <c r="J94" s="64">
        <v>0.18</v>
      </c>
      <c r="K94" s="64">
        <v>343.09</v>
      </c>
      <c r="L94" s="64">
        <v>25.57</v>
      </c>
      <c r="M94" s="64">
        <v>73.040000000000006</v>
      </c>
      <c r="N94" s="64">
        <v>17.2</v>
      </c>
      <c r="O94" s="64">
        <v>0</v>
      </c>
      <c r="P94" s="64">
        <v>1.1000000000000001</v>
      </c>
      <c r="Q94" s="64">
        <v>9.5399999999999991</v>
      </c>
      <c r="R94" s="198"/>
      <c r="S94" s="198"/>
      <c r="T94" s="198"/>
      <c r="U94" s="198"/>
    </row>
    <row r="95" spans="1:26" s="12" customFormat="1" x14ac:dyDescent="0.25">
      <c r="A95" s="214" t="s">
        <v>1582</v>
      </c>
      <c r="B95" s="64">
        <v>32.049999999999997</v>
      </c>
      <c r="C95" s="64">
        <v>32.130000000000003</v>
      </c>
      <c r="D95" s="64">
        <v>42.41</v>
      </c>
      <c r="E95" s="64">
        <v>0.96</v>
      </c>
      <c r="F95" s="64">
        <v>3.5</v>
      </c>
      <c r="G95" s="64">
        <v>68.040000000000006</v>
      </c>
      <c r="H95" s="64">
        <v>21.14</v>
      </c>
      <c r="I95" s="64">
        <v>7.53</v>
      </c>
      <c r="J95" s="64">
        <v>0.17</v>
      </c>
      <c r="K95" s="64">
        <v>327.35000000000002</v>
      </c>
      <c r="L95" s="64">
        <v>25.29</v>
      </c>
      <c r="M95" s="64">
        <v>72.95</v>
      </c>
      <c r="N95" s="64">
        <v>17</v>
      </c>
      <c r="O95" s="64">
        <v>0</v>
      </c>
      <c r="P95" s="64">
        <v>1.22</v>
      </c>
      <c r="Q95" s="64">
        <v>9.6</v>
      </c>
      <c r="R95" s="198"/>
      <c r="S95" s="198"/>
      <c r="T95" s="198"/>
      <c r="U95" s="198"/>
    </row>
    <row r="96" spans="1:26" s="12" customFormat="1" x14ac:dyDescent="0.25">
      <c r="A96" s="214" t="s">
        <v>1583</v>
      </c>
      <c r="B96" s="64">
        <v>35.97</v>
      </c>
      <c r="C96" s="64">
        <v>32.32</v>
      </c>
      <c r="D96" s="64">
        <v>45.65</v>
      </c>
      <c r="E96" s="64">
        <v>1.19</v>
      </c>
      <c r="F96" s="64">
        <v>3.25</v>
      </c>
      <c r="G96" s="64">
        <v>68.5</v>
      </c>
      <c r="H96" s="64">
        <v>21.45</v>
      </c>
      <c r="I96" s="64">
        <v>8.01</v>
      </c>
      <c r="J96" s="64">
        <v>0.18</v>
      </c>
      <c r="K96" s="64">
        <v>204.68</v>
      </c>
      <c r="L96" s="64">
        <v>25.48</v>
      </c>
      <c r="M96" s="64">
        <v>71.36</v>
      </c>
      <c r="N96" s="64">
        <v>16.899999999999999</v>
      </c>
      <c r="O96" s="64">
        <v>0</v>
      </c>
      <c r="P96" s="64">
        <v>1.23</v>
      </c>
      <c r="Q96" s="64">
        <v>9.6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1584</v>
      </c>
      <c r="B97" s="64">
        <v>39.26</v>
      </c>
      <c r="C97" s="64">
        <v>32.56</v>
      </c>
      <c r="D97" s="64">
        <v>48.42</v>
      </c>
      <c r="E97" s="64">
        <v>0.89</v>
      </c>
      <c r="F97" s="64">
        <v>3.35</v>
      </c>
      <c r="G97" s="64">
        <v>76.22</v>
      </c>
      <c r="H97" s="64">
        <v>26.72</v>
      </c>
      <c r="I97" s="64">
        <v>8.43</v>
      </c>
      <c r="J97" s="64">
        <v>0.16</v>
      </c>
      <c r="K97" s="64">
        <v>306.43</v>
      </c>
      <c r="L97" s="64">
        <v>25.8</v>
      </c>
      <c r="M97" s="64">
        <v>71.489999999999995</v>
      </c>
      <c r="N97" s="64">
        <v>17</v>
      </c>
      <c r="O97" s="64">
        <v>0</v>
      </c>
      <c r="P97" s="64">
        <v>1.25</v>
      </c>
      <c r="Q97" s="64">
        <v>9.61</v>
      </c>
      <c r="R97" s="198"/>
      <c r="S97" s="198"/>
      <c r="T97" s="198"/>
      <c r="U97" s="198"/>
    </row>
    <row r="98" spans="1:33" s="12" customFormat="1" x14ac:dyDescent="0.25">
      <c r="A98" s="214" t="s">
        <v>1585</v>
      </c>
      <c r="B98" s="64">
        <v>42.98</v>
      </c>
      <c r="C98" s="64">
        <v>34.01</v>
      </c>
      <c r="D98" s="64">
        <v>52.15</v>
      </c>
      <c r="E98" s="64">
        <v>0.92</v>
      </c>
      <c r="F98" s="64">
        <v>3.42</v>
      </c>
      <c r="G98" s="64">
        <v>76.22</v>
      </c>
      <c r="H98" s="64">
        <v>26.72</v>
      </c>
      <c r="I98" s="64">
        <v>8.35</v>
      </c>
      <c r="J98" s="64">
        <v>0.19</v>
      </c>
      <c r="K98" s="64">
        <v>242.1</v>
      </c>
      <c r="L98" s="64">
        <v>25.61</v>
      </c>
      <c r="M98" s="64">
        <v>69.13</v>
      </c>
      <c r="N98" s="64">
        <v>16.7</v>
      </c>
      <c r="O98" s="64">
        <v>0</v>
      </c>
      <c r="P98" s="64">
        <v>1.24</v>
      </c>
      <c r="Q98" s="64">
        <v>9.6</v>
      </c>
      <c r="R98" s="198"/>
      <c r="S98" s="198"/>
      <c r="T98" s="198"/>
      <c r="U98" s="198"/>
    </row>
    <row r="99" spans="1:33" s="12" customFormat="1" x14ac:dyDescent="0.25">
      <c r="A99" s="214" t="s">
        <v>1586</v>
      </c>
      <c r="B99" s="64">
        <v>45.25</v>
      </c>
      <c r="C99" s="64">
        <v>36.6</v>
      </c>
      <c r="D99" s="64">
        <v>55.33</v>
      </c>
      <c r="E99" s="64">
        <v>1</v>
      </c>
      <c r="F99" s="64">
        <v>3.48</v>
      </c>
      <c r="G99" s="64">
        <v>76.22</v>
      </c>
      <c r="H99" s="64">
        <v>26.72</v>
      </c>
      <c r="I99" s="64">
        <v>8.3699999999999992</v>
      </c>
      <c r="J99" s="64">
        <v>0.15</v>
      </c>
      <c r="K99" s="64">
        <v>248.4</v>
      </c>
      <c r="L99" s="64">
        <v>26.02</v>
      </c>
      <c r="M99" s="64">
        <v>64.09</v>
      </c>
      <c r="N99" s="64">
        <v>17</v>
      </c>
      <c r="O99" s="64">
        <v>0</v>
      </c>
      <c r="P99" s="64">
        <v>1.23</v>
      </c>
      <c r="Q99" s="64">
        <v>9.67</v>
      </c>
      <c r="R99" s="198"/>
      <c r="S99" s="198"/>
      <c r="T99" s="198"/>
      <c r="U99" s="198"/>
    </row>
    <row r="100" spans="1:33" s="12" customFormat="1" x14ac:dyDescent="0.25">
      <c r="A100" s="214" t="s">
        <v>1587</v>
      </c>
      <c r="B100" s="64">
        <v>44.75</v>
      </c>
      <c r="C100" s="64">
        <v>36.369999999999997</v>
      </c>
      <c r="D100" s="64">
        <v>54.81</v>
      </c>
      <c r="E100" s="64">
        <v>1.27</v>
      </c>
      <c r="F100" s="64">
        <v>3.34</v>
      </c>
      <c r="G100" s="64">
        <v>76.91</v>
      </c>
      <c r="H100" s="64">
        <v>26.64</v>
      </c>
      <c r="I100" s="64">
        <v>8.99</v>
      </c>
      <c r="J100" s="64">
        <v>0.06</v>
      </c>
      <c r="K100" s="64">
        <v>341.84</v>
      </c>
      <c r="L100" s="64">
        <v>25.38</v>
      </c>
      <c r="M100" s="64">
        <v>68.97</v>
      </c>
      <c r="N100" s="64">
        <v>17.3</v>
      </c>
      <c r="O100" s="64">
        <v>0</v>
      </c>
      <c r="P100" s="64">
        <v>1.22</v>
      </c>
      <c r="Q100" s="64">
        <v>9.7799999999999994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1588</v>
      </c>
      <c r="B101" s="64">
        <v>45.07</v>
      </c>
      <c r="C101" s="64">
        <v>35.47</v>
      </c>
      <c r="D101" s="64">
        <v>54.6</v>
      </c>
      <c r="E101" s="64">
        <v>1.07</v>
      </c>
      <c r="F101" s="64">
        <v>3.48</v>
      </c>
      <c r="G101" s="64">
        <v>86.69</v>
      </c>
      <c r="H101" s="64">
        <v>25.26</v>
      </c>
      <c r="I101" s="64">
        <v>8.93</v>
      </c>
      <c r="J101" s="64">
        <v>0.06</v>
      </c>
      <c r="K101" s="64">
        <v>60.86</v>
      </c>
      <c r="L101" s="64">
        <v>24.97</v>
      </c>
      <c r="M101" s="64">
        <v>71.680000000000007</v>
      </c>
      <c r="N101" s="64">
        <v>17</v>
      </c>
      <c r="O101" s="64">
        <v>0</v>
      </c>
      <c r="P101" s="64">
        <v>1.22</v>
      </c>
      <c r="Q101" s="64">
        <v>9.83</v>
      </c>
      <c r="R101" s="198"/>
      <c r="S101" s="198"/>
      <c r="T101" s="198"/>
      <c r="U101" s="198"/>
    </row>
    <row r="102" spans="1:33" s="12" customFormat="1" x14ac:dyDescent="0.25">
      <c r="A102" s="214" t="s">
        <v>1589</v>
      </c>
      <c r="B102" s="64">
        <v>46.74</v>
      </c>
      <c r="C102" s="64">
        <v>34.840000000000003</v>
      </c>
      <c r="D102" s="64">
        <v>55.6</v>
      </c>
      <c r="E102" s="64">
        <v>0.91</v>
      </c>
      <c r="F102" s="64">
        <v>3.47</v>
      </c>
      <c r="G102" s="64">
        <v>86.69</v>
      </c>
      <c r="H102" s="64">
        <v>25.26</v>
      </c>
      <c r="I102" s="64">
        <v>8.89</v>
      </c>
      <c r="J102" s="64">
        <v>0.17</v>
      </c>
      <c r="K102" s="64">
        <v>340.58</v>
      </c>
      <c r="L102" s="64">
        <v>24.39</v>
      </c>
      <c r="M102" s="64">
        <v>78.81</v>
      </c>
      <c r="N102" s="64">
        <v>17.3</v>
      </c>
      <c r="O102" s="64">
        <v>0</v>
      </c>
      <c r="P102" s="64">
        <v>1.22</v>
      </c>
      <c r="Q102" s="64">
        <v>9.75</v>
      </c>
      <c r="R102" s="198"/>
      <c r="S102" s="198"/>
      <c r="T102" s="198"/>
      <c r="U102" s="198"/>
    </row>
    <row r="103" spans="1:33" s="12" customFormat="1" x14ac:dyDescent="0.25">
      <c r="A103" s="214" t="s">
        <v>1590</v>
      </c>
      <c r="B103" s="64">
        <v>48.22</v>
      </c>
      <c r="C103" s="64">
        <v>34.43</v>
      </c>
      <c r="D103" s="64">
        <v>56.57</v>
      </c>
      <c r="E103" s="64">
        <v>1.07</v>
      </c>
      <c r="F103" s="64">
        <v>3.6</v>
      </c>
      <c r="G103" s="64">
        <v>86.69</v>
      </c>
      <c r="H103" s="64">
        <v>25.26</v>
      </c>
      <c r="I103" s="64">
        <v>8.82</v>
      </c>
      <c r="J103" s="64">
        <v>0.18</v>
      </c>
      <c r="K103" s="64">
        <v>214.85</v>
      </c>
      <c r="L103" s="64">
        <v>24.32</v>
      </c>
      <c r="M103" s="64">
        <v>78.180000000000007</v>
      </c>
      <c r="N103" s="64">
        <v>16.8</v>
      </c>
      <c r="O103" s="64">
        <v>0</v>
      </c>
      <c r="P103" s="64">
        <v>1.23</v>
      </c>
      <c r="Q103" s="64">
        <v>9.7899999999999991</v>
      </c>
      <c r="R103" s="198"/>
      <c r="S103" s="198"/>
      <c r="T103" s="198"/>
      <c r="U103" s="198"/>
    </row>
    <row r="104" spans="1:33" s="12" customFormat="1" x14ac:dyDescent="0.25">
      <c r="A104" s="214" t="s">
        <v>1591</v>
      </c>
      <c r="B104" s="64">
        <v>49.54</v>
      </c>
      <c r="C104" s="64">
        <v>33.94</v>
      </c>
      <c r="D104" s="64">
        <v>57.37</v>
      </c>
      <c r="E104" s="64">
        <v>1.4</v>
      </c>
      <c r="F104" s="64">
        <v>3.2</v>
      </c>
      <c r="G104" s="64">
        <v>86.42</v>
      </c>
      <c r="H104" s="64">
        <v>25.25</v>
      </c>
      <c r="I104" s="64">
        <v>8.84</v>
      </c>
      <c r="J104" s="64">
        <v>0.09</v>
      </c>
      <c r="K104" s="64">
        <v>284.48</v>
      </c>
      <c r="L104" s="64">
        <v>24.21</v>
      </c>
      <c r="M104" s="64">
        <v>77.17</v>
      </c>
      <c r="N104" s="64">
        <v>17</v>
      </c>
      <c r="O104" s="64">
        <v>0</v>
      </c>
      <c r="P104" s="64">
        <v>1.22</v>
      </c>
      <c r="Q104" s="64">
        <v>9.7100000000000009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22.46</v>
      </c>
      <c r="D106" s="67">
        <f t="shared" ref="D106:Q106" si="0">MIN(D9:D104)</f>
        <v>11.73</v>
      </c>
      <c r="E106" s="67">
        <f t="shared" si="0"/>
        <v>0.28000000000000003</v>
      </c>
      <c r="F106" s="67">
        <f t="shared" si="0"/>
        <v>2.76</v>
      </c>
      <c r="G106" s="67">
        <f t="shared" si="0"/>
        <v>24.72</v>
      </c>
      <c r="H106" s="67">
        <f t="shared" si="0"/>
        <v>8.9600000000000009</v>
      </c>
      <c r="I106" s="67">
        <f t="shared" si="0"/>
        <v>3.78</v>
      </c>
      <c r="J106" s="67">
        <f t="shared" si="0"/>
        <v>0.05</v>
      </c>
      <c r="K106" s="67">
        <f t="shared" si="0"/>
        <v>6.66</v>
      </c>
      <c r="L106" s="67">
        <f t="shared" si="0"/>
        <v>18.38</v>
      </c>
      <c r="M106" s="67">
        <f t="shared" si="0"/>
        <v>33.78</v>
      </c>
      <c r="N106" s="67">
        <f t="shared" si="0"/>
        <v>16.100000000000001</v>
      </c>
      <c r="O106" s="67">
        <f t="shared" si="0"/>
        <v>0</v>
      </c>
      <c r="P106" s="67">
        <f t="shared" si="0"/>
        <v>0.34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49.54</v>
      </c>
      <c r="C107" s="66">
        <f t="shared" ref="C107:Q107" si="1">MAX(C9:C104)</f>
        <v>36.6</v>
      </c>
      <c r="D107" s="66">
        <f t="shared" si="1"/>
        <v>57.37</v>
      </c>
      <c r="E107" s="66">
        <f t="shared" si="1"/>
        <v>2.54</v>
      </c>
      <c r="F107" s="66">
        <f t="shared" si="1"/>
        <v>6.77</v>
      </c>
      <c r="G107" s="66">
        <f t="shared" si="1"/>
        <v>86.69</v>
      </c>
      <c r="H107" s="66">
        <f t="shared" si="1"/>
        <v>26.72</v>
      </c>
      <c r="I107" s="66">
        <f t="shared" si="1"/>
        <v>8.99</v>
      </c>
      <c r="J107" s="66">
        <f t="shared" si="1"/>
        <v>1.58</v>
      </c>
      <c r="K107" s="66">
        <f t="shared" si="1"/>
        <v>343.09</v>
      </c>
      <c r="L107" s="66">
        <f t="shared" si="1"/>
        <v>34.090000000000003</v>
      </c>
      <c r="M107" s="66">
        <f t="shared" si="1"/>
        <v>97.93</v>
      </c>
      <c r="N107" s="66">
        <f t="shared" si="1"/>
        <v>961</v>
      </c>
      <c r="O107" s="66">
        <f t="shared" si="1"/>
        <v>0</v>
      </c>
      <c r="P107" s="66">
        <f t="shared" si="1"/>
        <v>1.25</v>
      </c>
      <c r="Q107" s="66">
        <f t="shared" si="1"/>
        <v>9.83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12.056562500000007</v>
      </c>
      <c r="C108" s="67">
        <f t="shared" ref="C108:Q108" si="2">AVERAGE(C9:C104)</f>
        <v>27.218854166666659</v>
      </c>
      <c r="D108" s="67">
        <f t="shared" si="2"/>
        <v>23.80895833333334</v>
      </c>
      <c r="E108" s="67">
        <f t="shared" si="2"/>
        <v>1.7615625000000004</v>
      </c>
      <c r="F108" s="67">
        <f t="shared" si="2"/>
        <v>3.9465625000000002</v>
      </c>
      <c r="G108" s="67">
        <f t="shared" si="2"/>
        <v>40.862916666666663</v>
      </c>
      <c r="H108" s="67">
        <f t="shared" si="2"/>
        <v>16.617187500000004</v>
      </c>
      <c r="I108" s="67">
        <f t="shared" si="2"/>
        <v>5.4711458333333338</v>
      </c>
      <c r="J108" s="67">
        <f t="shared" si="2"/>
        <v>0.32291666666666669</v>
      </c>
      <c r="K108" s="67">
        <f t="shared" si="2"/>
        <v>200.02145833333336</v>
      </c>
      <c r="L108" s="67">
        <f t="shared" si="2"/>
        <v>25.930416666666659</v>
      </c>
      <c r="M108" s="67">
        <f t="shared" si="2"/>
        <v>66.108541666666682</v>
      </c>
      <c r="N108" s="67">
        <f t="shared" si="2"/>
        <v>267.45625000000001</v>
      </c>
      <c r="O108" s="67">
        <f t="shared" si="2"/>
        <v>0</v>
      </c>
      <c r="P108" s="67">
        <f t="shared" si="2"/>
        <v>0.55666666666666675</v>
      </c>
      <c r="Q108" s="67">
        <f t="shared" si="2"/>
        <v>9.2389583333333309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13.388792628882202</v>
      </c>
      <c r="C109" s="67">
        <f t="shared" ref="C109:Q109" si="3">STDEV(C9:C104)</f>
        <v>3.8296263029980024</v>
      </c>
      <c r="D109" s="67">
        <f t="shared" si="3"/>
        <v>11.770413352234316</v>
      </c>
      <c r="E109" s="67">
        <f t="shared" si="3"/>
        <v>0.60388972176435196</v>
      </c>
      <c r="F109" s="67">
        <f t="shared" si="3"/>
        <v>0.99588926474361694</v>
      </c>
      <c r="G109" s="67">
        <f t="shared" si="3"/>
        <v>15.567647553528332</v>
      </c>
      <c r="H109" s="67">
        <f t="shared" si="3"/>
        <v>4.7483889130669006</v>
      </c>
      <c r="I109" s="67">
        <f t="shared" si="3"/>
        <v>1.2568790669889791</v>
      </c>
      <c r="J109" s="67">
        <f t="shared" si="3"/>
        <v>0.30020314759269479</v>
      </c>
      <c r="K109" s="67">
        <f t="shared" si="3"/>
        <v>85.896347866473647</v>
      </c>
      <c r="L109" s="67">
        <f t="shared" si="3"/>
        <v>5.2057961455259054</v>
      </c>
      <c r="M109" s="67">
        <f t="shared" si="3"/>
        <v>24.196749976594429</v>
      </c>
      <c r="N109" s="67">
        <f t="shared" si="3"/>
        <v>345.80120081752477</v>
      </c>
      <c r="O109" s="67">
        <f t="shared" si="3"/>
        <v>0</v>
      </c>
      <c r="P109" s="67">
        <f t="shared" si="3"/>
        <v>0.25848410993273724</v>
      </c>
      <c r="Q109" s="67">
        <f t="shared" si="3"/>
        <v>0.96681623918450865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20" sqref="F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1592</v>
      </c>
      <c r="B9" s="64">
        <v>49.86</v>
      </c>
      <c r="C9" s="64">
        <v>33.54</v>
      </c>
      <c r="D9" s="64">
        <v>57.43</v>
      </c>
      <c r="E9" s="64">
        <v>1.54</v>
      </c>
      <c r="F9" s="64">
        <v>3.31</v>
      </c>
      <c r="G9" s="64">
        <v>82.64</v>
      </c>
      <c r="H9" s="64">
        <v>25.14</v>
      </c>
      <c r="I9" s="64">
        <v>8.74</v>
      </c>
      <c r="J9" s="64">
        <v>0.15</v>
      </c>
      <c r="K9" s="64">
        <v>258.02</v>
      </c>
      <c r="L9" s="64">
        <v>24.17</v>
      </c>
      <c r="M9" s="64">
        <v>75.319999999999993</v>
      </c>
      <c r="N9" s="64">
        <v>16.899999999999999</v>
      </c>
      <c r="O9" s="64">
        <v>0</v>
      </c>
      <c r="P9" s="64">
        <v>1.19</v>
      </c>
      <c r="Q9" s="64">
        <v>9.74</v>
      </c>
      <c r="R9" s="198"/>
      <c r="S9" s="198"/>
      <c r="T9" s="198"/>
      <c r="U9" s="198"/>
    </row>
    <row r="10" spans="1:21" s="12" customFormat="1" x14ac:dyDescent="0.25">
      <c r="A10" s="214" t="s">
        <v>1593</v>
      </c>
      <c r="B10" s="64">
        <v>48.7</v>
      </c>
      <c r="C10" s="64">
        <v>33.130000000000003</v>
      </c>
      <c r="D10" s="64">
        <v>56.28</v>
      </c>
      <c r="E10" s="64">
        <v>1.02</v>
      </c>
      <c r="F10" s="64">
        <v>3.62</v>
      </c>
      <c r="G10" s="64">
        <v>82.64</v>
      </c>
      <c r="H10" s="64">
        <v>25.14</v>
      </c>
      <c r="I10" s="64">
        <v>8.61</v>
      </c>
      <c r="J10" s="64">
        <v>0.17</v>
      </c>
      <c r="K10" s="64">
        <v>308.42</v>
      </c>
      <c r="L10" s="64">
        <v>23.99</v>
      </c>
      <c r="M10" s="64">
        <v>78.319999999999993</v>
      </c>
      <c r="N10" s="64">
        <v>17.2</v>
      </c>
      <c r="O10" s="64">
        <v>0</v>
      </c>
      <c r="P10" s="64">
        <v>1.17</v>
      </c>
      <c r="Q10" s="64">
        <v>9.73</v>
      </c>
      <c r="R10" s="198"/>
      <c r="S10" s="198"/>
      <c r="T10" s="198"/>
      <c r="U10" s="198"/>
    </row>
    <row r="11" spans="1:21" s="12" customFormat="1" x14ac:dyDescent="0.25">
      <c r="A11" s="214" t="s">
        <v>1594</v>
      </c>
      <c r="B11" s="64">
        <v>47.19</v>
      </c>
      <c r="C11" s="64">
        <v>32.11</v>
      </c>
      <c r="D11" s="64">
        <v>54.54</v>
      </c>
      <c r="E11" s="64">
        <v>1.59</v>
      </c>
      <c r="F11" s="64">
        <v>3.89</v>
      </c>
      <c r="G11" s="64">
        <v>82.64</v>
      </c>
      <c r="H11" s="64">
        <v>25.14</v>
      </c>
      <c r="I11" s="64">
        <v>8.4</v>
      </c>
      <c r="J11" s="64">
        <v>0.36</v>
      </c>
      <c r="K11" s="64">
        <v>175.71</v>
      </c>
      <c r="L11" s="64">
        <v>24.27</v>
      </c>
      <c r="M11" s="64">
        <v>73.73</v>
      </c>
      <c r="N11" s="64">
        <v>16</v>
      </c>
      <c r="O11" s="64">
        <v>0</v>
      </c>
      <c r="P11" s="64">
        <v>1.1399999999999999</v>
      </c>
      <c r="Q11" s="64">
        <v>9.6300000000000008</v>
      </c>
      <c r="R11" s="198"/>
      <c r="S11" s="198"/>
      <c r="T11" s="198"/>
      <c r="U11" s="198"/>
    </row>
    <row r="12" spans="1:21" s="12" customFormat="1" x14ac:dyDescent="0.25">
      <c r="A12" s="214" t="s">
        <v>1595</v>
      </c>
      <c r="B12" s="64">
        <v>44.8</v>
      </c>
      <c r="C12" s="64">
        <v>31.38</v>
      </c>
      <c r="D12" s="64">
        <v>52.24</v>
      </c>
      <c r="E12" s="64">
        <v>1.43</v>
      </c>
      <c r="F12" s="64">
        <v>3.32</v>
      </c>
      <c r="G12" s="64">
        <v>81.760000000000005</v>
      </c>
      <c r="H12" s="64">
        <v>25.11</v>
      </c>
      <c r="I12" s="64">
        <v>8.3699999999999992</v>
      </c>
      <c r="J12" s="64">
        <v>0.32</v>
      </c>
      <c r="K12" s="64">
        <v>162.18</v>
      </c>
      <c r="L12" s="64">
        <v>24.54</v>
      </c>
      <c r="M12" s="64">
        <v>72.260000000000005</v>
      </c>
      <c r="N12" s="64">
        <v>16.399999999999999</v>
      </c>
      <c r="O12" s="64">
        <v>0</v>
      </c>
      <c r="P12" s="64">
        <v>1.1000000000000001</v>
      </c>
      <c r="Q12" s="64">
        <v>9.7100000000000009</v>
      </c>
      <c r="R12" s="198"/>
      <c r="S12" s="198"/>
      <c r="T12" s="198"/>
      <c r="U12" s="198"/>
    </row>
    <row r="13" spans="1:21" s="12" customFormat="1" x14ac:dyDescent="0.25">
      <c r="A13" s="214" t="s">
        <v>1596</v>
      </c>
      <c r="B13" s="64">
        <v>42.12</v>
      </c>
      <c r="C13" s="64">
        <v>31.99</v>
      </c>
      <c r="D13" s="64">
        <v>50.41</v>
      </c>
      <c r="E13" s="64">
        <v>1.47</v>
      </c>
      <c r="F13" s="64">
        <v>3.04</v>
      </c>
      <c r="G13" s="64">
        <v>66.94</v>
      </c>
      <c r="H13" s="64">
        <v>24.45</v>
      </c>
      <c r="I13" s="64">
        <v>8.31</v>
      </c>
      <c r="J13" s="64">
        <v>0.84</v>
      </c>
      <c r="K13" s="64">
        <v>171.12</v>
      </c>
      <c r="L13" s="64">
        <v>24.8</v>
      </c>
      <c r="M13" s="64">
        <v>70</v>
      </c>
      <c r="N13" s="64">
        <v>15.9</v>
      </c>
      <c r="O13" s="64">
        <v>0</v>
      </c>
      <c r="P13" s="64">
        <v>0.92</v>
      </c>
      <c r="Q13" s="64">
        <v>9.59</v>
      </c>
      <c r="R13" s="198"/>
      <c r="S13" s="198"/>
      <c r="T13" s="198"/>
      <c r="U13" s="198"/>
    </row>
    <row r="14" spans="1:21" s="12" customFormat="1" x14ac:dyDescent="0.25">
      <c r="A14" s="214" t="s">
        <v>1597</v>
      </c>
      <c r="B14" s="64">
        <v>40.049999999999997</v>
      </c>
      <c r="C14" s="64">
        <v>30.09</v>
      </c>
      <c r="D14" s="64">
        <v>47.76</v>
      </c>
      <c r="E14" s="64">
        <v>1.06</v>
      </c>
      <c r="F14" s="64">
        <v>3.05</v>
      </c>
      <c r="G14" s="64">
        <v>66.94</v>
      </c>
      <c r="H14" s="64">
        <v>24.45</v>
      </c>
      <c r="I14" s="64">
        <v>8.1999999999999993</v>
      </c>
      <c r="J14" s="64">
        <v>0.05</v>
      </c>
      <c r="K14" s="64">
        <v>100.76</v>
      </c>
      <c r="L14" s="64">
        <v>24.56</v>
      </c>
      <c r="M14" s="64">
        <v>71.7</v>
      </c>
      <c r="N14" s="64">
        <v>17.3</v>
      </c>
      <c r="O14" s="64">
        <v>0</v>
      </c>
      <c r="P14" s="64">
        <v>0.93</v>
      </c>
      <c r="Q14" s="64">
        <v>9.7200000000000006</v>
      </c>
      <c r="R14" s="198"/>
      <c r="S14" s="198"/>
      <c r="T14" s="198"/>
      <c r="U14" s="198"/>
    </row>
    <row r="15" spans="1:21" s="12" customFormat="1" x14ac:dyDescent="0.25">
      <c r="A15" s="214" t="s">
        <v>1598</v>
      </c>
      <c r="B15" s="64">
        <v>38.53</v>
      </c>
      <c r="C15" s="64">
        <v>29.5</v>
      </c>
      <c r="D15" s="64">
        <v>46.23</v>
      </c>
      <c r="E15" s="64">
        <v>0.92</v>
      </c>
      <c r="F15" s="64">
        <v>2.74</v>
      </c>
      <c r="G15" s="64">
        <v>66.94</v>
      </c>
      <c r="H15" s="64">
        <v>24.45</v>
      </c>
      <c r="I15" s="64">
        <v>7.87</v>
      </c>
      <c r="J15" s="64">
        <v>0.14000000000000001</v>
      </c>
      <c r="K15" s="64">
        <v>312.98</v>
      </c>
      <c r="L15" s="64">
        <v>23.78</v>
      </c>
      <c r="M15" s="64">
        <v>77.7</v>
      </c>
      <c r="N15" s="64">
        <v>17.600000000000001</v>
      </c>
      <c r="O15" s="64">
        <v>0</v>
      </c>
      <c r="P15" s="64">
        <v>0.89</v>
      </c>
      <c r="Q15" s="64">
        <v>9.66</v>
      </c>
      <c r="R15" s="198"/>
      <c r="S15" s="198"/>
      <c r="T15" s="198"/>
      <c r="U15" s="198"/>
    </row>
    <row r="16" spans="1:21" s="12" customFormat="1" x14ac:dyDescent="0.25">
      <c r="A16" s="214" t="s">
        <v>1599</v>
      </c>
      <c r="B16" s="64">
        <v>37.39</v>
      </c>
      <c r="C16" s="64">
        <v>28.93</v>
      </c>
      <c r="D16" s="64">
        <v>45.02</v>
      </c>
      <c r="E16" s="64">
        <v>1.42</v>
      </c>
      <c r="F16" s="64">
        <v>3.51</v>
      </c>
      <c r="G16" s="64">
        <v>66.459999999999994</v>
      </c>
      <c r="H16" s="64">
        <v>24.24</v>
      </c>
      <c r="I16" s="64">
        <v>6.95</v>
      </c>
      <c r="J16" s="64">
        <v>0.18</v>
      </c>
      <c r="K16" s="64">
        <v>147.28</v>
      </c>
      <c r="L16" s="64">
        <v>23.21</v>
      </c>
      <c r="M16" s="64">
        <v>80.709999999999994</v>
      </c>
      <c r="N16" s="64">
        <v>17.100000000000001</v>
      </c>
      <c r="O16" s="64">
        <v>0</v>
      </c>
      <c r="P16" s="64">
        <v>0.88</v>
      </c>
      <c r="Q16" s="64">
        <v>9.66</v>
      </c>
      <c r="R16" s="198"/>
      <c r="S16" s="198"/>
      <c r="T16" s="198"/>
      <c r="U16" s="198"/>
    </row>
    <row r="17" spans="1:21" s="12" customFormat="1" x14ac:dyDescent="0.25">
      <c r="A17" s="214" t="s">
        <v>1600</v>
      </c>
      <c r="B17" s="64">
        <v>36.44</v>
      </c>
      <c r="C17" s="64">
        <v>28.48</v>
      </c>
      <c r="D17" s="64">
        <v>44.02</v>
      </c>
      <c r="E17" s="64">
        <v>1.01</v>
      </c>
      <c r="F17" s="64">
        <v>3.21</v>
      </c>
      <c r="G17" s="64">
        <v>59.74</v>
      </c>
      <c r="H17" s="64">
        <v>20.63</v>
      </c>
      <c r="I17" s="64">
        <v>6.71</v>
      </c>
      <c r="J17" s="64">
        <v>0.09</v>
      </c>
      <c r="K17" s="64">
        <v>232.7</v>
      </c>
      <c r="L17" s="64">
        <v>23.56</v>
      </c>
      <c r="M17" s="64">
        <v>78.72</v>
      </c>
      <c r="N17" s="64">
        <v>16.8</v>
      </c>
      <c r="O17" s="64">
        <v>0</v>
      </c>
      <c r="P17" s="64">
        <v>0.87</v>
      </c>
      <c r="Q17" s="64">
        <v>9.7200000000000006</v>
      </c>
      <c r="R17" s="198"/>
      <c r="S17" s="198"/>
      <c r="T17" s="198"/>
      <c r="U17" s="198"/>
    </row>
    <row r="18" spans="1:21" s="12" customFormat="1" x14ac:dyDescent="0.25">
      <c r="A18" s="214" t="s">
        <v>1601</v>
      </c>
      <c r="B18" s="64">
        <v>35.450000000000003</v>
      </c>
      <c r="C18" s="64">
        <v>27.8</v>
      </c>
      <c r="D18" s="64">
        <v>42.87</v>
      </c>
      <c r="E18" s="64">
        <v>1.05</v>
      </c>
      <c r="F18" s="64">
        <v>3.37</v>
      </c>
      <c r="G18" s="64">
        <v>59.74</v>
      </c>
      <c r="H18" s="64">
        <v>20.63</v>
      </c>
      <c r="I18" s="64">
        <v>7.35</v>
      </c>
      <c r="J18" s="64">
        <v>0.24</v>
      </c>
      <c r="K18" s="64">
        <v>348.49</v>
      </c>
      <c r="L18" s="64">
        <v>23.1</v>
      </c>
      <c r="M18" s="64">
        <v>82.76</v>
      </c>
      <c r="N18" s="64">
        <v>17.2</v>
      </c>
      <c r="O18" s="64">
        <v>0</v>
      </c>
      <c r="P18" s="64">
        <v>0.84</v>
      </c>
      <c r="Q18" s="64">
        <v>9.69</v>
      </c>
      <c r="R18" s="198"/>
      <c r="S18" s="198"/>
      <c r="T18" s="198"/>
      <c r="U18" s="198"/>
    </row>
    <row r="19" spans="1:21" s="12" customFormat="1" x14ac:dyDescent="0.25">
      <c r="A19" s="214" t="s">
        <v>1602</v>
      </c>
      <c r="B19" s="64">
        <v>34.53</v>
      </c>
      <c r="C19" s="64">
        <v>27.17</v>
      </c>
      <c r="D19" s="64">
        <v>41.8</v>
      </c>
      <c r="E19" s="64">
        <v>1.01</v>
      </c>
      <c r="F19" s="64">
        <v>3.39</v>
      </c>
      <c r="G19" s="64">
        <v>59.74</v>
      </c>
      <c r="H19" s="64">
        <v>20.63</v>
      </c>
      <c r="I19" s="64">
        <v>7.48</v>
      </c>
      <c r="J19" s="64">
        <v>0.18</v>
      </c>
      <c r="K19" s="64">
        <v>315.77999999999997</v>
      </c>
      <c r="L19" s="64">
        <v>22.7</v>
      </c>
      <c r="M19" s="64">
        <v>84.12</v>
      </c>
      <c r="N19" s="64">
        <v>17.100000000000001</v>
      </c>
      <c r="O19" s="64">
        <v>0</v>
      </c>
      <c r="P19" s="64">
        <v>0.82</v>
      </c>
      <c r="Q19" s="64">
        <v>9.5500000000000007</v>
      </c>
      <c r="R19" s="198"/>
      <c r="S19" s="198"/>
      <c r="T19" s="198"/>
      <c r="U19" s="198"/>
    </row>
    <row r="20" spans="1:21" s="12" customFormat="1" x14ac:dyDescent="0.25">
      <c r="A20" s="214" t="s">
        <v>1603</v>
      </c>
      <c r="B20" s="64">
        <v>33.53</v>
      </c>
      <c r="C20" s="64">
        <v>26.84</v>
      </c>
      <c r="D20" s="64">
        <v>40.83</v>
      </c>
      <c r="E20" s="64">
        <v>1</v>
      </c>
      <c r="F20" s="64">
        <v>3.78</v>
      </c>
      <c r="G20" s="64">
        <v>59.17</v>
      </c>
      <c r="H20" s="64">
        <v>20.51</v>
      </c>
      <c r="I20" s="64">
        <v>7.14</v>
      </c>
      <c r="J20" s="64">
        <v>0.18</v>
      </c>
      <c r="K20" s="64">
        <v>298.07</v>
      </c>
      <c r="L20" s="64">
        <v>22.8</v>
      </c>
      <c r="M20" s="64">
        <v>81.599999999999994</v>
      </c>
      <c r="N20" s="64">
        <v>16.899999999999999</v>
      </c>
      <c r="O20" s="64">
        <v>0</v>
      </c>
      <c r="P20" s="64">
        <v>0.8</v>
      </c>
      <c r="Q20" s="64">
        <v>9.57</v>
      </c>
      <c r="R20" s="198"/>
      <c r="S20" s="198"/>
      <c r="T20" s="198"/>
      <c r="U20" s="198"/>
    </row>
    <row r="21" spans="1:21" s="12" customFormat="1" x14ac:dyDescent="0.25">
      <c r="A21" s="214" t="s">
        <v>1604</v>
      </c>
      <c r="B21" s="64">
        <v>32.11</v>
      </c>
      <c r="C21" s="64">
        <v>26.88</v>
      </c>
      <c r="D21" s="64">
        <v>39.71</v>
      </c>
      <c r="E21" s="64">
        <v>0.78</v>
      </c>
      <c r="F21" s="64">
        <v>3.37</v>
      </c>
      <c r="G21" s="64">
        <v>51.13</v>
      </c>
      <c r="H21" s="64">
        <v>18.38</v>
      </c>
      <c r="I21" s="64">
        <v>7.37</v>
      </c>
      <c r="J21" s="64">
        <v>0.19</v>
      </c>
      <c r="K21" s="64">
        <v>338.95</v>
      </c>
      <c r="L21" s="64">
        <v>22.89</v>
      </c>
      <c r="M21" s="64">
        <v>82.69</v>
      </c>
      <c r="N21" s="64">
        <v>17</v>
      </c>
      <c r="O21" s="64">
        <v>0</v>
      </c>
      <c r="P21" s="64">
        <v>0.79</v>
      </c>
      <c r="Q21" s="64">
        <v>9.51</v>
      </c>
      <c r="R21" s="198"/>
      <c r="S21" s="198"/>
      <c r="T21" s="198"/>
      <c r="U21" s="198"/>
    </row>
    <row r="22" spans="1:21" s="12" customFormat="1" x14ac:dyDescent="0.25">
      <c r="A22" s="214" t="s">
        <v>1605</v>
      </c>
      <c r="B22" s="64">
        <v>30.61</v>
      </c>
      <c r="C22" s="64">
        <v>26.52</v>
      </c>
      <c r="D22" s="64">
        <v>38.33</v>
      </c>
      <c r="E22" s="64">
        <v>0.71</v>
      </c>
      <c r="F22" s="64">
        <v>3.63</v>
      </c>
      <c r="G22" s="64">
        <v>51.13</v>
      </c>
      <c r="H22" s="64">
        <v>18.38</v>
      </c>
      <c r="I22" s="64">
        <v>7.77</v>
      </c>
      <c r="J22" s="64">
        <v>0.15</v>
      </c>
      <c r="K22" s="64">
        <v>348.95</v>
      </c>
      <c r="L22" s="64">
        <v>22.56</v>
      </c>
      <c r="M22" s="64">
        <v>83.69</v>
      </c>
      <c r="N22" s="64">
        <v>17</v>
      </c>
      <c r="O22" s="64">
        <v>0</v>
      </c>
      <c r="P22" s="64">
        <v>0.77</v>
      </c>
      <c r="Q22" s="64">
        <v>9.5299999999999994</v>
      </c>
      <c r="R22" s="198"/>
      <c r="S22" s="198"/>
      <c r="T22" s="198"/>
      <c r="U22" s="198"/>
    </row>
    <row r="23" spans="1:21" s="12" customFormat="1" x14ac:dyDescent="0.25">
      <c r="A23" s="214" t="s">
        <v>1606</v>
      </c>
      <c r="B23" s="64">
        <v>29.45</v>
      </c>
      <c r="C23" s="64">
        <v>26.25</v>
      </c>
      <c r="D23" s="64">
        <v>37.25</v>
      </c>
      <c r="E23" s="64">
        <v>1.46</v>
      </c>
      <c r="F23" s="64">
        <v>3.24</v>
      </c>
      <c r="G23" s="64">
        <v>51.13</v>
      </c>
      <c r="H23" s="64">
        <v>18.38</v>
      </c>
      <c r="I23" s="64">
        <v>8.27</v>
      </c>
      <c r="J23" s="64">
        <v>0.13</v>
      </c>
      <c r="K23" s="64">
        <v>85.68</v>
      </c>
      <c r="L23" s="64">
        <v>22.43</v>
      </c>
      <c r="M23" s="64">
        <v>84.06</v>
      </c>
      <c r="N23" s="64">
        <v>17</v>
      </c>
      <c r="O23" s="64">
        <v>0</v>
      </c>
      <c r="P23" s="64">
        <v>0.75</v>
      </c>
      <c r="Q23" s="64">
        <v>9.61</v>
      </c>
      <c r="R23" s="198"/>
      <c r="S23" s="198"/>
      <c r="T23" s="198"/>
      <c r="U23" s="198"/>
    </row>
    <row r="24" spans="1:21" s="12" customFormat="1" x14ac:dyDescent="0.25">
      <c r="A24" s="214" t="s">
        <v>1607</v>
      </c>
      <c r="B24" s="64">
        <v>28.89</v>
      </c>
      <c r="C24" s="64">
        <v>25.74</v>
      </c>
      <c r="D24" s="64">
        <v>36.54</v>
      </c>
      <c r="E24" s="64">
        <v>1.37</v>
      </c>
      <c r="F24" s="64">
        <v>3.29</v>
      </c>
      <c r="G24" s="64">
        <v>51.32</v>
      </c>
      <c r="H24" s="64">
        <v>18.37</v>
      </c>
      <c r="I24" s="64">
        <v>8.27</v>
      </c>
      <c r="J24" s="64">
        <v>7.0000000000000007E-2</v>
      </c>
      <c r="K24" s="64">
        <v>321.19</v>
      </c>
      <c r="L24" s="64">
        <v>22.29</v>
      </c>
      <c r="M24" s="64">
        <v>84.91</v>
      </c>
      <c r="N24" s="64">
        <v>17</v>
      </c>
      <c r="O24" s="64">
        <v>0</v>
      </c>
      <c r="P24" s="64">
        <v>0.73</v>
      </c>
      <c r="Q24" s="64">
        <v>9.59</v>
      </c>
      <c r="R24" s="198"/>
      <c r="S24" s="198"/>
      <c r="T24" s="198"/>
      <c r="U24" s="198"/>
    </row>
    <row r="25" spans="1:21" s="12" customFormat="1" x14ac:dyDescent="0.25">
      <c r="A25" s="214" t="s">
        <v>1608</v>
      </c>
      <c r="B25" s="64">
        <v>28.82</v>
      </c>
      <c r="C25" s="64">
        <v>25.98</v>
      </c>
      <c r="D25" s="64">
        <v>36.6</v>
      </c>
      <c r="E25" s="64">
        <v>1.6</v>
      </c>
      <c r="F25" s="64">
        <v>3.35</v>
      </c>
      <c r="G25" s="64">
        <v>54.56</v>
      </c>
      <c r="H25" s="64">
        <v>18.260000000000002</v>
      </c>
      <c r="I25" s="64">
        <v>8.07</v>
      </c>
      <c r="J25" s="64">
        <v>0.15</v>
      </c>
      <c r="K25" s="64">
        <v>351.62</v>
      </c>
      <c r="L25" s="64">
        <v>22.23</v>
      </c>
      <c r="M25" s="64">
        <v>88.13</v>
      </c>
      <c r="N25" s="64">
        <v>17</v>
      </c>
      <c r="O25" s="64">
        <v>0</v>
      </c>
      <c r="P25" s="64">
        <v>0.72</v>
      </c>
      <c r="Q25" s="64">
        <v>9.61</v>
      </c>
      <c r="R25" s="198"/>
      <c r="S25" s="198"/>
      <c r="T25" s="198"/>
      <c r="U25" s="198"/>
    </row>
    <row r="26" spans="1:21" s="12" customFormat="1" x14ac:dyDescent="0.25">
      <c r="A26" s="214" t="s">
        <v>1609</v>
      </c>
      <c r="B26" s="64">
        <v>29.23</v>
      </c>
      <c r="C26" s="64">
        <v>26.38</v>
      </c>
      <c r="D26" s="64">
        <v>37.14</v>
      </c>
      <c r="E26" s="64">
        <v>1.26</v>
      </c>
      <c r="F26" s="64">
        <v>3.23</v>
      </c>
      <c r="G26" s="64">
        <v>54.56</v>
      </c>
      <c r="H26" s="64">
        <v>18.260000000000002</v>
      </c>
      <c r="I26" s="64">
        <v>7.95</v>
      </c>
      <c r="J26" s="64">
        <v>0.06</v>
      </c>
      <c r="K26" s="64">
        <v>38.020000000000003</v>
      </c>
      <c r="L26" s="64">
        <v>21.98</v>
      </c>
      <c r="M26" s="64">
        <v>87.07</v>
      </c>
      <c r="N26" s="64">
        <v>17</v>
      </c>
      <c r="O26" s="64">
        <v>0</v>
      </c>
      <c r="P26" s="64">
        <v>0.71</v>
      </c>
      <c r="Q26" s="64">
        <v>9.5500000000000007</v>
      </c>
      <c r="R26" s="198"/>
      <c r="S26" s="198"/>
      <c r="T26" s="198"/>
      <c r="U26" s="198"/>
    </row>
    <row r="27" spans="1:21" s="12" customFormat="1" x14ac:dyDescent="0.25">
      <c r="A27" s="214" t="s">
        <v>1610</v>
      </c>
      <c r="B27" s="64">
        <v>28.97</v>
      </c>
      <c r="C27" s="64">
        <v>26.2</v>
      </c>
      <c r="D27" s="64">
        <v>36.83</v>
      </c>
      <c r="E27" s="64">
        <v>1.4</v>
      </c>
      <c r="F27" s="64">
        <v>2.77</v>
      </c>
      <c r="G27" s="64">
        <v>54.56</v>
      </c>
      <c r="H27" s="64">
        <v>18.260000000000002</v>
      </c>
      <c r="I27" s="64">
        <v>7.86</v>
      </c>
      <c r="J27" s="64">
        <v>0.09</v>
      </c>
      <c r="K27" s="64">
        <v>266.51</v>
      </c>
      <c r="L27" s="64">
        <v>22.23</v>
      </c>
      <c r="M27" s="64">
        <v>85.64</v>
      </c>
      <c r="N27" s="64">
        <v>16.8</v>
      </c>
      <c r="O27" s="64">
        <v>0</v>
      </c>
      <c r="P27" s="64">
        <v>0.7</v>
      </c>
      <c r="Q27" s="64">
        <v>9.5399999999999991</v>
      </c>
      <c r="R27" s="198"/>
      <c r="S27" s="198"/>
      <c r="T27" s="198"/>
      <c r="U27" s="198"/>
    </row>
    <row r="28" spans="1:21" s="12" customFormat="1" x14ac:dyDescent="0.25">
      <c r="A28" s="214" t="s">
        <v>1611</v>
      </c>
      <c r="B28" s="64">
        <v>28.72</v>
      </c>
      <c r="C28" s="64">
        <v>25.83</v>
      </c>
      <c r="D28" s="64">
        <v>36.450000000000003</v>
      </c>
      <c r="E28" s="64">
        <v>1.69</v>
      </c>
      <c r="F28" s="64">
        <v>3.07</v>
      </c>
      <c r="G28" s="64">
        <v>54.53</v>
      </c>
      <c r="H28" s="64">
        <v>18.079999999999998</v>
      </c>
      <c r="I28" s="64">
        <v>7.69</v>
      </c>
      <c r="J28" s="64">
        <v>0.24</v>
      </c>
      <c r="K28" s="64">
        <v>73.319999999999993</v>
      </c>
      <c r="L28" s="64">
        <v>22.33</v>
      </c>
      <c r="M28" s="64">
        <v>84.12</v>
      </c>
      <c r="N28" s="64">
        <v>16.7</v>
      </c>
      <c r="O28" s="64">
        <v>0</v>
      </c>
      <c r="P28" s="64">
        <v>0.69</v>
      </c>
      <c r="Q28" s="64">
        <v>9.57</v>
      </c>
      <c r="R28" s="198"/>
      <c r="S28" s="198"/>
      <c r="T28" s="198"/>
      <c r="U28" s="198"/>
    </row>
    <row r="29" spans="1:21" s="12" customFormat="1" x14ac:dyDescent="0.25">
      <c r="A29" s="214" t="s">
        <v>1612</v>
      </c>
      <c r="B29" s="64">
        <v>28.44</v>
      </c>
      <c r="C29" s="64">
        <v>25.64</v>
      </c>
      <c r="D29" s="64">
        <v>36.119999999999997</v>
      </c>
      <c r="E29" s="64">
        <v>1.78</v>
      </c>
      <c r="F29" s="64">
        <v>3.2</v>
      </c>
      <c r="G29" s="64">
        <v>54.15</v>
      </c>
      <c r="H29" s="64">
        <v>15.01</v>
      </c>
      <c r="I29" s="64">
        <v>7.59</v>
      </c>
      <c r="J29" s="64">
        <v>0.11</v>
      </c>
      <c r="K29" s="64">
        <v>217.4</v>
      </c>
      <c r="L29" s="64">
        <v>22.3</v>
      </c>
      <c r="M29" s="64">
        <v>82.98</v>
      </c>
      <c r="N29" s="64">
        <v>16.899999999999999</v>
      </c>
      <c r="O29" s="64">
        <v>0</v>
      </c>
      <c r="P29" s="64">
        <v>0.68</v>
      </c>
      <c r="Q29" s="64">
        <v>9.43</v>
      </c>
      <c r="R29" s="198"/>
      <c r="S29" s="198"/>
      <c r="T29" s="198"/>
      <c r="U29" s="198"/>
    </row>
    <row r="30" spans="1:21" s="12" customFormat="1" x14ac:dyDescent="0.25">
      <c r="A30" s="214" t="s">
        <v>1613</v>
      </c>
      <c r="B30" s="64">
        <v>28.53</v>
      </c>
      <c r="C30" s="64">
        <v>25.96</v>
      </c>
      <c r="D30" s="64">
        <v>36.36</v>
      </c>
      <c r="E30" s="64">
        <v>1.81</v>
      </c>
      <c r="F30" s="64">
        <v>3.65</v>
      </c>
      <c r="G30" s="64">
        <v>54.15</v>
      </c>
      <c r="H30" s="64">
        <v>15.01</v>
      </c>
      <c r="I30" s="64">
        <v>7.47</v>
      </c>
      <c r="J30" s="64">
        <v>0.04</v>
      </c>
      <c r="K30" s="64">
        <v>200.27</v>
      </c>
      <c r="L30" s="64">
        <v>22.24</v>
      </c>
      <c r="M30" s="64">
        <v>84.99</v>
      </c>
      <c r="N30" s="64">
        <v>17.600000000000001</v>
      </c>
      <c r="O30" s="64">
        <v>0</v>
      </c>
      <c r="P30" s="64">
        <v>0.67</v>
      </c>
      <c r="Q30" s="64">
        <v>9.57</v>
      </c>
      <c r="R30" s="198"/>
      <c r="S30" s="198"/>
      <c r="T30" s="198"/>
      <c r="U30" s="198"/>
    </row>
    <row r="31" spans="1:21" s="12" customFormat="1" x14ac:dyDescent="0.25">
      <c r="A31" s="214" t="s">
        <v>1614</v>
      </c>
      <c r="B31" s="64">
        <v>32.39</v>
      </c>
      <c r="C31" s="64">
        <v>27.84</v>
      </c>
      <c r="D31" s="64">
        <v>40.44</v>
      </c>
      <c r="E31" s="64">
        <v>1.52</v>
      </c>
      <c r="F31" s="64">
        <v>3.72</v>
      </c>
      <c r="G31" s="64">
        <v>54.15</v>
      </c>
      <c r="H31" s="64">
        <v>15.01</v>
      </c>
      <c r="I31" s="64">
        <v>7.37</v>
      </c>
      <c r="J31" s="64">
        <v>0.14000000000000001</v>
      </c>
      <c r="K31" s="64">
        <v>290.72000000000003</v>
      </c>
      <c r="L31" s="64">
        <v>22.28</v>
      </c>
      <c r="M31" s="64">
        <v>86.71</v>
      </c>
      <c r="N31" s="64">
        <v>22.2</v>
      </c>
      <c r="O31" s="64">
        <v>0</v>
      </c>
      <c r="P31" s="64">
        <v>0.68</v>
      </c>
      <c r="Q31" s="64">
        <v>9.49</v>
      </c>
      <c r="R31" s="198"/>
      <c r="S31" s="198"/>
      <c r="T31" s="198"/>
      <c r="U31" s="198"/>
    </row>
    <row r="32" spans="1:21" s="12" customFormat="1" x14ac:dyDescent="0.25">
      <c r="A32" s="214" t="s">
        <v>1615</v>
      </c>
      <c r="B32" s="64">
        <v>37.65</v>
      </c>
      <c r="C32" s="64">
        <v>29.73</v>
      </c>
      <c r="D32" s="64">
        <v>45.65</v>
      </c>
      <c r="E32" s="64">
        <v>1.61</v>
      </c>
      <c r="F32" s="64">
        <v>3.68</v>
      </c>
      <c r="G32" s="64">
        <v>55.2</v>
      </c>
      <c r="H32" s="64">
        <v>14.95</v>
      </c>
      <c r="I32" s="64">
        <v>7.26</v>
      </c>
      <c r="J32" s="64">
        <v>0.14000000000000001</v>
      </c>
      <c r="K32" s="64">
        <v>75.459999999999994</v>
      </c>
      <c r="L32" s="64">
        <v>22.12</v>
      </c>
      <c r="M32" s="64">
        <v>88</v>
      </c>
      <c r="N32" s="64">
        <v>36</v>
      </c>
      <c r="O32" s="64">
        <v>0</v>
      </c>
      <c r="P32" s="64">
        <v>0.69</v>
      </c>
      <c r="Q32" s="64">
        <v>9.43</v>
      </c>
      <c r="R32" s="198"/>
      <c r="S32" s="198"/>
      <c r="T32" s="198"/>
      <c r="U32" s="198"/>
    </row>
    <row r="33" spans="1:21" s="12" customFormat="1" x14ac:dyDescent="0.25">
      <c r="A33" s="214" t="s">
        <v>1616</v>
      </c>
      <c r="B33" s="64">
        <v>41.85</v>
      </c>
      <c r="C33" s="64">
        <v>30.67</v>
      </c>
      <c r="D33" s="64">
        <v>49.5</v>
      </c>
      <c r="E33" s="64">
        <v>1.66</v>
      </c>
      <c r="F33" s="64">
        <v>3.63</v>
      </c>
      <c r="G33" s="64">
        <v>69.97</v>
      </c>
      <c r="H33" s="64">
        <v>14.19</v>
      </c>
      <c r="I33" s="64">
        <v>7.13</v>
      </c>
      <c r="J33" s="64">
        <v>0.16</v>
      </c>
      <c r="K33" s="64">
        <v>229.81</v>
      </c>
      <c r="L33" s="64">
        <v>22.82</v>
      </c>
      <c r="M33" s="64">
        <v>84.18</v>
      </c>
      <c r="N33" s="64">
        <v>60.9</v>
      </c>
      <c r="O33" s="64">
        <v>0</v>
      </c>
      <c r="P33" s="64">
        <v>0.69</v>
      </c>
      <c r="Q33" s="64">
        <v>9.68</v>
      </c>
      <c r="R33" s="198"/>
      <c r="S33" s="198"/>
      <c r="T33" s="198"/>
      <c r="U33" s="198"/>
    </row>
    <row r="34" spans="1:21" s="12" customFormat="1" x14ac:dyDescent="0.25">
      <c r="A34" s="214" t="s">
        <v>1617</v>
      </c>
      <c r="B34" s="64">
        <v>45.55</v>
      </c>
      <c r="C34" s="64">
        <v>31.45</v>
      </c>
      <c r="D34" s="64">
        <v>52.88</v>
      </c>
      <c r="E34" s="64">
        <v>1.58</v>
      </c>
      <c r="F34" s="64">
        <v>2.99</v>
      </c>
      <c r="G34" s="64">
        <v>69.97</v>
      </c>
      <c r="H34" s="64">
        <v>14.19</v>
      </c>
      <c r="I34" s="64">
        <v>7.29</v>
      </c>
      <c r="J34" s="64">
        <v>0.31</v>
      </c>
      <c r="K34" s="64">
        <v>207.49</v>
      </c>
      <c r="L34" s="64">
        <v>23.78</v>
      </c>
      <c r="M34" s="64">
        <v>80.02</v>
      </c>
      <c r="N34" s="64">
        <v>97.5</v>
      </c>
      <c r="O34" s="64">
        <v>0</v>
      </c>
      <c r="P34" s="64">
        <v>0.7</v>
      </c>
      <c r="Q34" s="64">
        <v>9.5500000000000007</v>
      </c>
      <c r="R34" s="198"/>
      <c r="S34" s="198"/>
      <c r="T34" s="198"/>
      <c r="U34" s="198"/>
    </row>
    <row r="35" spans="1:21" s="12" customFormat="1" x14ac:dyDescent="0.25">
      <c r="A35" s="214" t="s">
        <v>1618</v>
      </c>
      <c r="B35" s="64">
        <v>47.43</v>
      </c>
      <c r="C35" s="64">
        <v>31.3</v>
      </c>
      <c r="D35" s="64">
        <v>54.3</v>
      </c>
      <c r="E35" s="64">
        <v>2.13</v>
      </c>
      <c r="F35" s="64">
        <v>2.94</v>
      </c>
      <c r="G35" s="64">
        <v>69.97</v>
      </c>
      <c r="H35" s="64">
        <v>14.19</v>
      </c>
      <c r="I35" s="64">
        <v>7.38</v>
      </c>
      <c r="J35" s="64">
        <v>0.03</v>
      </c>
      <c r="K35" s="64">
        <v>306.08999999999997</v>
      </c>
      <c r="L35" s="64">
        <v>24.95</v>
      </c>
      <c r="M35" s="64">
        <v>71.37</v>
      </c>
      <c r="N35" s="64">
        <v>126.2</v>
      </c>
      <c r="O35" s="64">
        <v>0</v>
      </c>
      <c r="P35" s="64">
        <v>0.69</v>
      </c>
      <c r="Q35" s="64">
        <v>9.67</v>
      </c>
      <c r="R35" s="198"/>
      <c r="S35" s="198"/>
      <c r="T35" s="198"/>
      <c r="U35" s="198"/>
    </row>
    <row r="36" spans="1:21" s="12" customFormat="1" x14ac:dyDescent="0.25">
      <c r="A36" s="214" t="s">
        <v>1619</v>
      </c>
      <c r="B36" s="64">
        <v>47.33</v>
      </c>
      <c r="C36" s="64">
        <v>30.67</v>
      </c>
      <c r="D36" s="64">
        <v>53.9</v>
      </c>
      <c r="E36" s="64">
        <v>1.74</v>
      </c>
      <c r="F36" s="64">
        <v>3.15</v>
      </c>
      <c r="G36" s="64">
        <v>69.989999999999995</v>
      </c>
      <c r="H36" s="64">
        <v>14.18</v>
      </c>
      <c r="I36" s="64">
        <v>7.58</v>
      </c>
      <c r="J36" s="64">
        <v>0.2</v>
      </c>
      <c r="K36" s="64">
        <v>333.55</v>
      </c>
      <c r="L36" s="64">
        <v>26.48</v>
      </c>
      <c r="M36" s="64">
        <v>66.22</v>
      </c>
      <c r="N36" s="64">
        <v>149.69999999999999</v>
      </c>
      <c r="O36" s="64">
        <v>0</v>
      </c>
      <c r="P36" s="64">
        <v>0.68</v>
      </c>
      <c r="Q36" s="64">
        <v>9.7799999999999994</v>
      </c>
      <c r="R36" s="198"/>
      <c r="S36" s="198"/>
      <c r="T36" s="198"/>
      <c r="U36" s="198"/>
    </row>
    <row r="37" spans="1:21" s="12" customFormat="1" x14ac:dyDescent="0.25">
      <c r="A37" s="214" t="s">
        <v>1620</v>
      </c>
      <c r="B37" s="64">
        <v>47.15</v>
      </c>
      <c r="C37" s="64">
        <v>30.66</v>
      </c>
      <c r="D37" s="64">
        <v>53.74</v>
      </c>
      <c r="E37" s="64">
        <v>1.81</v>
      </c>
      <c r="F37" s="64">
        <v>3.03</v>
      </c>
      <c r="G37" s="64">
        <v>70.22</v>
      </c>
      <c r="H37" s="64">
        <v>13.96</v>
      </c>
      <c r="I37" s="64">
        <v>7.55</v>
      </c>
      <c r="J37" s="64">
        <v>0.28000000000000003</v>
      </c>
      <c r="K37" s="64">
        <v>324.32</v>
      </c>
      <c r="L37" s="64">
        <v>28.45</v>
      </c>
      <c r="M37" s="64">
        <v>59.21</v>
      </c>
      <c r="N37" s="64">
        <v>247.4</v>
      </c>
      <c r="O37" s="64">
        <v>0</v>
      </c>
      <c r="P37" s="64">
        <v>0.72</v>
      </c>
      <c r="Q37" s="64">
        <v>9.7899999999999991</v>
      </c>
      <c r="R37" s="198"/>
      <c r="S37" s="198"/>
      <c r="T37" s="198"/>
      <c r="U37" s="198"/>
    </row>
    <row r="38" spans="1:21" s="12" customFormat="1" x14ac:dyDescent="0.25">
      <c r="A38" s="214" t="s">
        <v>1621</v>
      </c>
      <c r="B38" s="64">
        <v>46.84</v>
      </c>
      <c r="C38" s="64">
        <v>29.52</v>
      </c>
      <c r="D38" s="64">
        <v>52.91</v>
      </c>
      <c r="E38" s="64">
        <v>2.0699999999999998</v>
      </c>
      <c r="F38" s="64">
        <v>3.36</v>
      </c>
      <c r="G38" s="64">
        <v>70.22</v>
      </c>
      <c r="H38" s="64">
        <v>13.96</v>
      </c>
      <c r="I38" s="64">
        <v>7.38</v>
      </c>
      <c r="J38" s="64">
        <v>0.2</v>
      </c>
      <c r="K38" s="64">
        <v>297.08999999999997</v>
      </c>
      <c r="L38" s="64">
        <v>29.72</v>
      </c>
      <c r="M38" s="64">
        <v>53.64</v>
      </c>
      <c r="N38" s="64">
        <v>305</v>
      </c>
      <c r="O38" s="64">
        <v>0</v>
      </c>
      <c r="P38" s="64">
        <v>0.75</v>
      </c>
      <c r="Q38" s="64">
        <v>9.7799999999999994</v>
      </c>
      <c r="R38" s="198"/>
      <c r="S38" s="198"/>
      <c r="T38" s="198"/>
      <c r="U38" s="198"/>
    </row>
    <row r="39" spans="1:21" s="12" customFormat="1" x14ac:dyDescent="0.25">
      <c r="A39" s="214" t="s">
        <v>1622</v>
      </c>
      <c r="B39" s="64">
        <v>45.64</v>
      </c>
      <c r="C39" s="64">
        <v>28.81</v>
      </c>
      <c r="D39" s="64">
        <v>51.57</v>
      </c>
      <c r="E39" s="64">
        <v>2.0699999999999998</v>
      </c>
      <c r="F39" s="64">
        <v>3.24</v>
      </c>
      <c r="G39" s="64">
        <v>70.22</v>
      </c>
      <c r="H39" s="64">
        <v>13.96</v>
      </c>
      <c r="I39" s="64">
        <v>8.39</v>
      </c>
      <c r="J39" s="64">
        <v>0.34</v>
      </c>
      <c r="K39" s="64">
        <v>291.86</v>
      </c>
      <c r="L39" s="64">
        <v>31.1</v>
      </c>
      <c r="M39" s="64">
        <v>49.99</v>
      </c>
      <c r="N39" s="64">
        <v>360.9</v>
      </c>
      <c r="O39" s="64">
        <v>0</v>
      </c>
      <c r="P39" s="64">
        <v>0.75</v>
      </c>
      <c r="Q39" s="64">
        <v>9.7200000000000006</v>
      </c>
      <c r="R39" s="198"/>
      <c r="S39" s="198"/>
      <c r="T39" s="198"/>
      <c r="U39" s="198"/>
    </row>
    <row r="40" spans="1:21" s="12" customFormat="1" x14ac:dyDescent="0.25">
      <c r="A40" s="214" t="s">
        <v>1623</v>
      </c>
      <c r="B40" s="64">
        <v>43.75</v>
      </c>
      <c r="C40" s="64">
        <v>28.71</v>
      </c>
      <c r="D40" s="64">
        <v>50</v>
      </c>
      <c r="E40" s="64">
        <v>1.48</v>
      </c>
      <c r="F40" s="64">
        <v>3.54</v>
      </c>
      <c r="G40" s="64">
        <v>70.08</v>
      </c>
      <c r="H40" s="64">
        <v>14.6</v>
      </c>
      <c r="I40" s="64">
        <v>8.48</v>
      </c>
      <c r="J40" s="64">
        <v>0.17</v>
      </c>
      <c r="K40" s="64">
        <v>281.12</v>
      </c>
      <c r="L40" s="64">
        <v>31.35</v>
      </c>
      <c r="M40" s="64">
        <v>48.67</v>
      </c>
      <c r="N40" s="64">
        <v>414.2</v>
      </c>
      <c r="O40" s="64">
        <v>0</v>
      </c>
      <c r="P40" s="64">
        <v>0.76</v>
      </c>
      <c r="Q40" s="64">
        <v>9.68</v>
      </c>
      <c r="R40" s="198"/>
      <c r="S40" s="198"/>
      <c r="T40" s="198"/>
      <c r="U40" s="198"/>
    </row>
    <row r="41" spans="1:21" s="12" customFormat="1" x14ac:dyDescent="0.25">
      <c r="A41" s="214" t="s">
        <v>1624</v>
      </c>
      <c r="B41" s="64">
        <v>41.68</v>
      </c>
      <c r="C41" s="64">
        <v>29.6</v>
      </c>
      <c r="D41" s="64">
        <v>48.8</v>
      </c>
      <c r="E41" s="64">
        <v>1.06</v>
      </c>
      <c r="F41" s="64">
        <v>3.39</v>
      </c>
      <c r="G41" s="64">
        <v>68.069999999999993</v>
      </c>
      <c r="H41" s="64">
        <v>23.58</v>
      </c>
      <c r="I41" s="64">
        <v>8.75</v>
      </c>
      <c r="J41" s="64">
        <v>0.5</v>
      </c>
      <c r="K41" s="64">
        <v>164.57</v>
      </c>
      <c r="L41" s="64">
        <v>30.81</v>
      </c>
      <c r="M41" s="64">
        <v>50.68</v>
      </c>
      <c r="N41" s="64">
        <v>472.3</v>
      </c>
      <c r="O41" s="64">
        <v>0</v>
      </c>
      <c r="P41" s="64">
        <v>0.77</v>
      </c>
      <c r="Q41" s="64">
        <v>9.76</v>
      </c>
      <c r="R41" s="198"/>
      <c r="S41" s="198"/>
      <c r="T41" s="198"/>
      <c r="U41" s="198"/>
    </row>
    <row r="42" spans="1:21" s="12" customFormat="1" x14ac:dyDescent="0.25">
      <c r="A42" s="214" t="s">
        <v>1625</v>
      </c>
      <c r="B42" s="64">
        <v>38.44</v>
      </c>
      <c r="C42" s="64">
        <v>30.37</v>
      </c>
      <c r="D42" s="64">
        <v>46.62</v>
      </c>
      <c r="E42" s="64">
        <v>0.96</v>
      </c>
      <c r="F42" s="64">
        <v>3.56</v>
      </c>
      <c r="G42" s="64">
        <v>68.069999999999993</v>
      </c>
      <c r="H42" s="64">
        <v>23.58</v>
      </c>
      <c r="I42" s="64">
        <v>8.5500000000000007</v>
      </c>
      <c r="J42" s="64">
        <v>0.82</v>
      </c>
      <c r="K42" s="64">
        <v>181.33</v>
      </c>
      <c r="L42" s="64">
        <v>28.56</v>
      </c>
      <c r="M42" s="64">
        <v>60.91</v>
      </c>
      <c r="N42" s="64">
        <v>523.6</v>
      </c>
      <c r="O42" s="64">
        <v>0</v>
      </c>
      <c r="P42" s="64">
        <v>0.75</v>
      </c>
      <c r="Q42" s="64">
        <v>9.74</v>
      </c>
      <c r="R42" s="198"/>
      <c r="S42" s="198"/>
      <c r="T42" s="198"/>
      <c r="U42" s="198"/>
    </row>
    <row r="43" spans="1:21" s="12" customFormat="1" x14ac:dyDescent="0.25">
      <c r="A43" s="214" t="s">
        <v>1626</v>
      </c>
      <c r="B43" s="64">
        <v>33.409999999999997</v>
      </c>
      <c r="C43" s="64">
        <v>31.06</v>
      </c>
      <c r="D43" s="64">
        <v>42.94</v>
      </c>
      <c r="E43" s="64">
        <v>0.8</v>
      </c>
      <c r="F43" s="64">
        <v>3.3</v>
      </c>
      <c r="G43" s="64">
        <v>68.069999999999993</v>
      </c>
      <c r="H43" s="64">
        <v>23.58</v>
      </c>
      <c r="I43" s="64">
        <v>8.5</v>
      </c>
      <c r="J43" s="64">
        <v>0.65</v>
      </c>
      <c r="K43" s="64">
        <v>185.44</v>
      </c>
      <c r="L43" s="64">
        <v>27.99</v>
      </c>
      <c r="M43" s="64">
        <v>62.27</v>
      </c>
      <c r="N43" s="64">
        <v>578</v>
      </c>
      <c r="O43" s="64">
        <v>0</v>
      </c>
      <c r="P43" s="64">
        <v>0.71</v>
      </c>
      <c r="Q43" s="64">
        <v>9.66</v>
      </c>
      <c r="R43" s="198"/>
      <c r="S43" s="198"/>
      <c r="T43" s="198"/>
      <c r="U43" s="198"/>
    </row>
    <row r="44" spans="1:21" s="12" customFormat="1" x14ac:dyDescent="0.25">
      <c r="A44" s="214" t="s">
        <v>1627</v>
      </c>
      <c r="B44" s="64">
        <v>28.24</v>
      </c>
      <c r="C44" s="64">
        <v>31.52</v>
      </c>
      <c r="D44" s="64">
        <v>39.03</v>
      </c>
      <c r="E44" s="64">
        <v>0.92</v>
      </c>
      <c r="F44" s="64">
        <v>3.07</v>
      </c>
      <c r="G44" s="64">
        <v>67.14</v>
      </c>
      <c r="H44" s="64">
        <v>24.22</v>
      </c>
      <c r="I44" s="64">
        <v>8.24</v>
      </c>
      <c r="J44" s="64">
        <v>0.12</v>
      </c>
      <c r="K44" s="64">
        <v>250.26</v>
      </c>
      <c r="L44" s="64">
        <v>29.13</v>
      </c>
      <c r="M44" s="64">
        <v>59.88</v>
      </c>
      <c r="N44" s="64">
        <v>620.1</v>
      </c>
      <c r="O44" s="64">
        <v>0</v>
      </c>
      <c r="P44" s="64">
        <v>0.69</v>
      </c>
      <c r="Q44" s="64">
        <v>9.4499999999999993</v>
      </c>
      <c r="R44" s="198"/>
      <c r="S44" s="198"/>
      <c r="T44" s="198"/>
      <c r="U44" s="198"/>
    </row>
    <row r="45" spans="1:21" s="12" customFormat="1" x14ac:dyDescent="0.25">
      <c r="A45" s="214" t="s">
        <v>1628</v>
      </c>
      <c r="B45" s="64">
        <v>22.9</v>
      </c>
      <c r="C45" s="64">
        <v>32.630000000000003</v>
      </c>
      <c r="D45" s="64">
        <v>35.340000000000003</v>
      </c>
      <c r="E45" s="64">
        <v>0.76</v>
      </c>
      <c r="F45" s="64">
        <v>3.82</v>
      </c>
      <c r="G45" s="64">
        <v>54.22</v>
      </c>
      <c r="H45" s="64">
        <v>33.15</v>
      </c>
      <c r="I45" s="64">
        <v>7.77</v>
      </c>
      <c r="J45" s="64">
        <v>0.18</v>
      </c>
      <c r="K45" s="64">
        <v>219.17</v>
      </c>
      <c r="L45" s="64">
        <v>29.73</v>
      </c>
      <c r="M45" s="64">
        <v>53</v>
      </c>
      <c r="N45" s="64">
        <v>674.5</v>
      </c>
      <c r="O45" s="64">
        <v>0</v>
      </c>
      <c r="P45" s="64">
        <v>0.66</v>
      </c>
      <c r="Q45" s="64">
        <v>9.36</v>
      </c>
      <c r="R45" s="198"/>
      <c r="S45" s="198"/>
      <c r="T45" s="198"/>
      <c r="U45" s="198"/>
    </row>
    <row r="46" spans="1:21" s="12" customFormat="1" x14ac:dyDescent="0.25">
      <c r="A46" s="214" t="s">
        <v>1629</v>
      </c>
      <c r="B46" s="64">
        <v>17.579999999999998</v>
      </c>
      <c r="C46" s="64">
        <v>33.85</v>
      </c>
      <c r="D46" s="64">
        <v>31.7</v>
      </c>
      <c r="E46" s="64">
        <v>0.57999999999999996</v>
      </c>
      <c r="F46" s="64">
        <v>3.47</v>
      </c>
      <c r="G46" s="64">
        <v>54.22</v>
      </c>
      <c r="H46" s="64">
        <v>33.15</v>
      </c>
      <c r="I46" s="64">
        <v>7.35</v>
      </c>
      <c r="J46" s="64">
        <v>0.32</v>
      </c>
      <c r="K46" s="64">
        <v>220.63</v>
      </c>
      <c r="L46" s="64">
        <v>30.33</v>
      </c>
      <c r="M46" s="64">
        <v>50.92</v>
      </c>
      <c r="N46" s="64">
        <v>713.7</v>
      </c>
      <c r="O46" s="64">
        <v>0</v>
      </c>
      <c r="P46" s="64">
        <v>0.63</v>
      </c>
      <c r="Q46" s="64">
        <v>9.3699999999999992</v>
      </c>
      <c r="R46" s="198"/>
      <c r="S46" s="198"/>
      <c r="T46" s="198"/>
      <c r="U46" s="198"/>
    </row>
    <row r="47" spans="1:21" s="12" customFormat="1" x14ac:dyDescent="0.25">
      <c r="A47" s="214" t="s">
        <v>1630</v>
      </c>
      <c r="B47" s="64">
        <v>13.62</v>
      </c>
      <c r="C47" s="64">
        <v>34.340000000000003</v>
      </c>
      <c r="D47" s="64">
        <v>28.79</v>
      </c>
      <c r="E47" s="64">
        <v>0.63</v>
      </c>
      <c r="F47" s="64">
        <v>4.1399999999999997</v>
      </c>
      <c r="G47" s="64">
        <v>54.22</v>
      </c>
      <c r="H47" s="64">
        <v>33.15</v>
      </c>
      <c r="I47" s="64">
        <v>6.95</v>
      </c>
      <c r="J47" s="64">
        <v>0.32</v>
      </c>
      <c r="K47" s="64">
        <v>208.2</v>
      </c>
      <c r="L47" s="64">
        <v>31.93</v>
      </c>
      <c r="M47" s="64">
        <v>43.96</v>
      </c>
      <c r="N47" s="64">
        <v>742.9</v>
      </c>
      <c r="O47" s="64">
        <v>0</v>
      </c>
      <c r="P47" s="64">
        <v>0.62</v>
      </c>
      <c r="Q47" s="64">
        <v>9.39</v>
      </c>
      <c r="R47" s="198"/>
      <c r="S47" s="198"/>
      <c r="T47" s="198"/>
      <c r="U47" s="198"/>
    </row>
    <row r="48" spans="1:21" s="12" customFormat="1" x14ac:dyDescent="0.25">
      <c r="A48" s="214" t="s">
        <v>1631</v>
      </c>
      <c r="B48" s="64">
        <v>9.9600000000000009</v>
      </c>
      <c r="C48" s="64">
        <v>34.840000000000003</v>
      </c>
      <c r="D48" s="64">
        <v>26.11</v>
      </c>
      <c r="E48" s="64">
        <v>0.77</v>
      </c>
      <c r="F48" s="64">
        <v>4.3099999999999996</v>
      </c>
      <c r="G48" s="64">
        <v>53.8</v>
      </c>
      <c r="H48" s="64">
        <v>32.32</v>
      </c>
      <c r="I48" s="64">
        <v>6.53</v>
      </c>
      <c r="J48" s="64">
        <v>0.23</v>
      </c>
      <c r="K48" s="64">
        <v>235.11</v>
      </c>
      <c r="L48" s="64">
        <v>32.25</v>
      </c>
      <c r="M48" s="64">
        <v>42.87</v>
      </c>
      <c r="N48" s="64">
        <v>765.8</v>
      </c>
      <c r="O48" s="64">
        <v>0</v>
      </c>
      <c r="P48" s="64">
        <v>0.61</v>
      </c>
      <c r="Q48" s="64">
        <v>9.34</v>
      </c>
      <c r="R48" s="198"/>
      <c r="S48" s="198"/>
      <c r="T48" s="198"/>
      <c r="U48" s="198"/>
    </row>
    <row r="49" spans="1:21" s="12" customFormat="1" x14ac:dyDescent="0.25">
      <c r="A49" s="214" t="s">
        <v>1632</v>
      </c>
      <c r="B49" s="64">
        <v>6.76</v>
      </c>
      <c r="C49" s="64">
        <v>36.020000000000003</v>
      </c>
      <c r="D49" s="64">
        <v>24.16</v>
      </c>
      <c r="E49" s="64">
        <v>0.68</v>
      </c>
      <c r="F49" s="64">
        <v>3.99</v>
      </c>
      <c r="G49" s="64">
        <v>47.9</v>
      </c>
      <c r="H49" s="64">
        <v>18.23</v>
      </c>
      <c r="I49" s="64">
        <v>6.31</v>
      </c>
      <c r="J49" s="64">
        <v>0.3</v>
      </c>
      <c r="K49" s="64">
        <v>289.47000000000003</v>
      </c>
      <c r="L49" s="64">
        <v>33.700000000000003</v>
      </c>
      <c r="M49" s="64">
        <v>40.869999999999997</v>
      </c>
      <c r="N49" s="64">
        <v>800.5</v>
      </c>
      <c r="O49" s="64">
        <v>0</v>
      </c>
      <c r="P49" s="64">
        <v>0.61</v>
      </c>
      <c r="Q49" s="64">
        <v>9.2799999999999994</v>
      </c>
      <c r="R49" s="198"/>
      <c r="S49" s="198"/>
      <c r="T49" s="198"/>
      <c r="U49" s="198"/>
    </row>
    <row r="50" spans="1:21" s="12" customFormat="1" x14ac:dyDescent="0.25">
      <c r="A50" s="214" t="s">
        <v>1633</v>
      </c>
      <c r="B50" s="64">
        <v>4.83</v>
      </c>
      <c r="C50" s="64">
        <v>39.46</v>
      </c>
      <c r="D50" s="64">
        <v>24.41</v>
      </c>
      <c r="E50" s="64">
        <v>0.38</v>
      </c>
      <c r="F50" s="64">
        <v>5.4</v>
      </c>
      <c r="G50" s="64">
        <v>47.9</v>
      </c>
      <c r="H50" s="64">
        <v>18.23</v>
      </c>
      <c r="I50" s="64">
        <v>6.05</v>
      </c>
      <c r="J50" s="64">
        <v>0.24</v>
      </c>
      <c r="K50" s="64">
        <v>262.68</v>
      </c>
      <c r="L50" s="64">
        <v>34.549999999999997</v>
      </c>
      <c r="M50" s="64">
        <v>38.090000000000003</v>
      </c>
      <c r="N50" s="64">
        <v>827.2</v>
      </c>
      <c r="O50" s="64">
        <v>0</v>
      </c>
      <c r="P50" s="64">
        <v>0.64</v>
      </c>
      <c r="Q50" s="64">
        <v>9.24</v>
      </c>
      <c r="R50" s="198"/>
      <c r="S50" s="198"/>
      <c r="T50" s="198"/>
      <c r="U50" s="198"/>
    </row>
    <row r="51" spans="1:21" s="12" customFormat="1" x14ac:dyDescent="0.25">
      <c r="A51" s="214" t="s">
        <v>1634</v>
      </c>
      <c r="B51" s="64">
        <v>3.22</v>
      </c>
      <c r="C51" s="64">
        <v>46.18</v>
      </c>
      <c r="D51" s="64">
        <v>26.63</v>
      </c>
      <c r="E51" s="64">
        <v>0.53</v>
      </c>
      <c r="F51" s="64">
        <v>6.25</v>
      </c>
      <c r="G51" s="64">
        <v>47.9</v>
      </c>
      <c r="H51" s="64">
        <v>18.23</v>
      </c>
      <c r="I51" s="64">
        <v>5.93</v>
      </c>
      <c r="J51" s="64">
        <v>0.16</v>
      </c>
      <c r="K51" s="64">
        <v>259.86</v>
      </c>
      <c r="L51" s="64">
        <v>34.93</v>
      </c>
      <c r="M51" s="64">
        <v>36.21</v>
      </c>
      <c r="N51" s="64">
        <v>850.2</v>
      </c>
      <c r="O51" s="64">
        <v>0</v>
      </c>
      <c r="P51" s="64">
        <v>0.74</v>
      </c>
      <c r="Q51" s="64">
        <v>9.2100000000000009</v>
      </c>
      <c r="R51" s="198"/>
      <c r="S51" s="198"/>
      <c r="T51" s="198"/>
      <c r="U51" s="198"/>
    </row>
    <row r="52" spans="1:21" s="12" customFormat="1" x14ac:dyDescent="0.25">
      <c r="A52" s="214" t="s">
        <v>1635</v>
      </c>
      <c r="B52" s="64">
        <v>0.67</v>
      </c>
      <c r="C52" s="64">
        <v>44.7</v>
      </c>
      <c r="D52" s="64">
        <v>23.81</v>
      </c>
      <c r="E52" s="64">
        <v>0.44</v>
      </c>
      <c r="F52" s="64">
        <v>5.91</v>
      </c>
      <c r="G52" s="64">
        <v>47.75</v>
      </c>
      <c r="H52" s="64">
        <v>17.62</v>
      </c>
      <c r="I52" s="64">
        <v>5.9</v>
      </c>
      <c r="J52" s="64">
        <v>0.31</v>
      </c>
      <c r="K52" s="64">
        <v>182.64</v>
      </c>
      <c r="L52" s="64">
        <v>33.380000000000003</v>
      </c>
      <c r="M52" s="64">
        <v>37.86</v>
      </c>
      <c r="N52" s="64">
        <v>896</v>
      </c>
      <c r="O52" s="64">
        <v>0</v>
      </c>
      <c r="P52" s="64">
        <v>0.75</v>
      </c>
      <c r="Q52" s="64">
        <v>9.16</v>
      </c>
      <c r="R52" s="198"/>
      <c r="S52" s="198"/>
      <c r="T52" s="198"/>
      <c r="U52" s="198"/>
    </row>
    <row r="53" spans="1:21" s="12" customFormat="1" x14ac:dyDescent="0.25">
      <c r="A53" s="214" t="s">
        <v>1636</v>
      </c>
      <c r="B53" s="64">
        <v>0.1</v>
      </c>
      <c r="C53" s="64">
        <v>38.72</v>
      </c>
      <c r="D53" s="64">
        <v>20.23</v>
      </c>
      <c r="E53" s="64">
        <v>0.46</v>
      </c>
      <c r="F53" s="64">
        <v>5.69</v>
      </c>
      <c r="G53" s="64">
        <v>45.19</v>
      </c>
      <c r="H53" s="64">
        <v>9.1199999999999992</v>
      </c>
      <c r="I53" s="64">
        <v>5.86</v>
      </c>
      <c r="J53" s="64">
        <v>0.55000000000000004</v>
      </c>
      <c r="K53" s="64">
        <v>189.02</v>
      </c>
      <c r="L53" s="64">
        <v>33.39</v>
      </c>
      <c r="M53" s="64">
        <v>37.049999999999997</v>
      </c>
      <c r="N53" s="64">
        <v>925</v>
      </c>
      <c r="O53" s="64">
        <v>0</v>
      </c>
      <c r="P53" s="64">
        <v>0.71</v>
      </c>
      <c r="Q53" s="64">
        <v>9.23</v>
      </c>
      <c r="R53" s="198"/>
      <c r="S53" s="198"/>
      <c r="T53" s="198"/>
      <c r="U53" s="198"/>
    </row>
    <row r="54" spans="1:21" s="12" customFormat="1" x14ac:dyDescent="0.25">
      <c r="A54" s="214" t="s">
        <v>1637</v>
      </c>
      <c r="B54" s="64">
        <v>0.1</v>
      </c>
      <c r="C54" s="64">
        <v>33.200000000000003</v>
      </c>
      <c r="D54" s="64">
        <v>17.34</v>
      </c>
      <c r="E54" s="64">
        <v>0.22</v>
      </c>
      <c r="F54" s="64">
        <v>5.85</v>
      </c>
      <c r="G54" s="64">
        <v>45.19</v>
      </c>
      <c r="H54" s="64">
        <v>9.1199999999999992</v>
      </c>
      <c r="I54" s="64">
        <v>5.86</v>
      </c>
      <c r="J54" s="64">
        <v>0.53</v>
      </c>
      <c r="K54" s="64">
        <v>192.05</v>
      </c>
      <c r="L54" s="64">
        <v>33.229999999999997</v>
      </c>
      <c r="M54" s="64">
        <v>36.770000000000003</v>
      </c>
      <c r="N54" s="64">
        <v>925.8</v>
      </c>
      <c r="O54" s="64">
        <v>0</v>
      </c>
      <c r="P54" s="64">
        <v>0.67</v>
      </c>
      <c r="Q54" s="64">
        <v>9.1999999999999993</v>
      </c>
      <c r="R54" s="198"/>
      <c r="S54" s="198"/>
      <c r="T54" s="198"/>
      <c r="U54" s="198"/>
    </row>
    <row r="55" spans="1:21" s="12" customFormat="1" x14ac:dyDescent="0.25">
      <c r="A55" s="214" t="s">
        <v>1638</v>
      </c>
      <c r="B55" s="64">
        <v>0.1</v>
      </c>
      <c r="C55" s="64">
        <v>28.3</v>
      </c>
      <c r="D55" s="64">
        <v>14.79</v>
      </c>
      <c r="E55" s="64">
        <v>0.36</v>
      </c>
      <c r="F55" s="64">
        <v>10.41</v>
      </c>
      <c r="G55" s="64">
        <v>45.19</v>
      </c>
      <c r="H55" s="64">
        <v>9.1199999999999992</v>
      </c>
      <c r="I55" s="64">
        <v>5.74</v>
      </c>
      <c r="J55" s="64">
        <v>0.89</v>
      </c>
      <c r="K55" s="64">
        <v>160.18</v>
      </c>
      <c r="L55" s="64">
        <v>33.43</v>
      </c>
      <c r="M55" s="64">
        <v>37.549999999999997</v>
      </c>
      <c r="N55" s="64">
        <v>938.4</v>
      </c>
      <c r="O55" s="64">
        <v>0</v>
      </c>
      <c r="P55" s="64">
        <v>0.59</v>
      </c>
      <c r="Q55" s="64">
        <v>9.18</v>
      </c>
      <c r="R55" s="198"/>
      <c r="S55" s="198"/>
      <c r="T55" s="198"/>
      <c r="U55" s="198"/>
    </row>
    <row r="56" spans="1:21" s="12" customFormat="1" x14ac:dyDescent="0.25">
      <c r="A56" s="214" t="s">
        <v>1639</v>
      </c>
      <c r="B56" s="64">
        <v>0.1</v>
      </c>
      <c r="C56" s="64">
        <v>25.91</v>
      </c>
      <c r="D56" s="64">
        <v>13.54</v>
      </c>
      <c r="E56" s="64">
        <v>1.64</v>
      </c>
      <c r="F56" s="64">
        <v>11.92</v>
      </c>
      <c r="G56" s="64">
        <v>45</v>
      </c>
      <c r="H56" s="64">
        <v>9.25</v>
      </c>
      <c r="I56" s="64">
        <v>5.44</v>
      </c>
      <c r="J56" s="64">
        <v>0.26</v>
      </c>
      <c r="K56" s="64">
        <v>207.87</v>
      </c>
      <c r="L56" s="64">
        <v>33.89</v>
      </c>
      <c r="M56" s="64">
        <v>37.33</v>
      </c>
      <c r="N56" s="64">
        <v>912</v>
      </c>
      <c r="O56" s="64">
        <v>0</v>
      </c>
      <c r="P56" s="64">
        <v>0.51</v>
      </c>
      <c r="Q56" s="64">
        <v>9.14</v>
      </c>
      <c r="R56" s="198"/>
      <c r="S56" s="198"/>
      <c r="T56" s="198"/>
      <c r="U56" s="198"/>
    </row>
    <row r="57" spans="1:21" s="12" customFormat="1" x14ac:dyDescent="0.25">
      <c r="A57" s="214" t="s">
        <v>1640</v>
      </c>
      <c r="B57" s="64">
        <v>0.1</v>
      </c>
      <c r="C57" s="64">
        <v>25.66</v>
      </c>
      <c r="D57" s="64">
        <v>13.41</v>
      </c>
      <c r="E57" s="64">
        <v>0.95</v>
      </c>
      <c r="F57" s="64">
        <v>8.9600000000000009</v>
      </c>
      <c r="G57" s="64">
        <v>42.36</v>
      </c>
      <c r="H57" s="64">
        <v>11.06</v>
      </c>
      <c r="I57" s="64">
        <v>4.96</v>
      </c>
      <c r="J57" s="64">
        <v>0.17</v>
      </c>
      <c r="K57" s="64">
        <v>245.49</v>
      </c>
      <c r="L57" s="64">
        <v>34.47</v>
      </c>
      <c r="M57" s="64">
        <v>36.14</v>
      </c>
      <c r="N57" s="64">
        <v>893.6</v>
      </c>
      <c r="O57" s="64">
        <v>0</v>
      </c>
      <c r="P57" s="64">
        <v>0.49</v>
      </c>
      <c r="Q57" s="64">
        <v>9.11</v>
      </c>
      <c r="R57" s="198"/>
      <c r="S57" s="198"/>
      <c r="T57" s="198"/>
      <c r="U57" s="198"/>
    </row>
    <row r="58" spans="1:21" s="12" customFormat="1" x14ac:dyDescent="0.25">
      <c r="A58" s="214" t="s">
        <v>1641</v>
      </c>
      <c r="B58" s="64">
        <v>0.1</v>
      </c>
      <c r="C58" s="64">
        <v>26.11</v>
      </c>
      <c r="D58" s="64">
        <v>13.64</v>
      </c>
      <c r="E58" s="64">
        <v>0.94</v>
      </c>
      <c r="F58" s="64">
        <v>6.76</v>
      </c>
      <c r="G58" s="64">
        <v>42.36</v>
      </c>
      <c r="H58" s="64">
        <v>11.06</v>
      </c>
      <c r="I58" s="64">
        <v>4.57</v>
      </c>
      <c r="J58" s="64">
        <v>0.22</v>
      </c>
      <c r="K58" s="64">
        <v>279.58</v>
      </c>
      <c r="L58" s="64">
        <v>36.06</v>
      </c>
      <c r="M58" s="64">
        <v>32.46</v>
      </c>
      <c r="N58" s="64">
        <v>891.8</v>
      </c>
      <c r="O58" s="64">
        <v>0</v>
      </c>
      <c r="P58" s="64">
        <v>0.51</v>
      </c>
      <c r="Q58" s="64">
        <v>9.1199999999999992</v>
      </c>
      <c r="R58" s="198"/>
      <c r="S58" s="198"/>
      <c r="T58" s="198"/>
      <c r="U58" s="198"/>
    </row>
    <row r="59" spans="1:21" s="12" customFormat="1" x14ac:dyDescent="0.25">
      <c r="A59" s="214" t="s">
        <v>1642</v>
      </c>
      <c r="B59" s="64">
        <v>0.1</v>
      </c>
      <c r="C59" s="64">
        <v>27.11</v>
      </c>
      <c r="D59" s="64">
        <v>14.16</v>
      </c>
      <c r="E59" s="64">
        <v>1.2</v>
      </c>
      <c r="F59" s="64">
        <v>6.92</v>
      </c>
      <c r="G59" s="64">
        <v>42.36</v>
      </c>
      <c r="H59" s="64">
        <v>11.06</v>
      </c>
      <c r="I59" s="64">
        <v>4.6500000000000004</v>
      </c>
      <c r="J59" s="64">
        <v>0.16</v>
      </c>
      <c r="K59" s="64">
        <v>356.83</v>
      </c>
      <c r="L59" s="64">
        <v>35.409999999999997</v>
      </c>
      <c r="M59" s="64">
        <v>32.950000000000003</v>
      </c>
      <c r="N59" s="64">
        <v>880.9</v>
      </c>
      <c r="O59" s="64">
        <v>0</v>
      </c>
      <c r="P59" s="64">
        <v>0.52</v>
      </c>
      <c r="Q59" s="64">
        <v>9.1300000000000008</v>
      </c>
      <c r="R59" s="198"/>
      <c r="S59" s="198"/>
      <c r="T59" s="198"/>
      <c r="U59" s="198"/>
    </row>
    <row r="60" spans="1:21" s="12" customFormat="1" x14ac:dyDescent="0.25">
      <c r="A60" s="214" t="s">
        <v>1643</v>
      </c>
      <c r="B60" s="64">
        <v>0.1</v>
      </c>
      <c r="C60" s="64">
        <v>29.15</v>
      </c>
      <c r="D60" s="64">
        <v>15.23</v>
      </c>
      <c r="E60" s="64">
        <v>1.1299999999999999</v>
      </c>
      <c r="F60" s="64">
        <v>9.36</v>
      </c>
      <c r="G60" s="64">
        <v>42.41</v>
      </c>
      <c r="H60" s="64">
        <v>12.05</v>
      </c>
      <c r="I60" s="64">
        <v>4.8</v>
      </c>
      <c r="J60" s="64">
        <v>0.15</v>
      </c>
      <c r="K60" s="64">
        <v>239.57</v>
      </c>
      <c r="L60" s="64">
        <v>35.72</v>
      </c>
      <c r="M60" s="64">
        <v>32.03</v>
      </c>
      <c r="N60" s="64">
        <v>854</v>
      </c>
      <c r="O60" s="64">
        <v>0</v>
      </c>
      <c r="P60" s="64">
        <v>0.55000000000000004</v>
      </c>
      <c r="Q60" s="64">
        <v>9.14</v>
      </c>
      <c r="R60" s="198"/>
      <c r="S60" s="198"/>
      <c r="T60" s="198"/>
      <c r="U60" s="198"/>
    </row>
    <row r="61" spans="1:21" s="12" customFormat="1" x14ac:dyDescent="0.25">
      <c r="A61" s="214" t="s">
        <v>1644</v>
      </c>
      <c r="B61" s="64">
        <v>0.1</v>
      </c>
      <c r="C61" s="64">
        <v>27.99</v>
      </c>
      <c r="D61" s="64">
        <v>14.62</v>
      </c>
      <c r="E61" s="64">
        <v>1.1399999999999999</v>
      </c>
      <c r="F61" s="64">
        <v>11.29</v>
      </c>
      <c r="G61" s="64">
        <v>43.11</v>
      </c>
      <c r="H61" s="64">
        <v>25.96</v>
      </c>
      <c r="I61" s="64">
        <v>4.78</v>
      </c>
      <c r="J61" s="64">
        <v>0.22</v>
      </c>
      <c r="K61" s="64">
        <v>206.85</v>
      </c>
      <c r="L61" s="64">
        <v>34.78</v>
      </c>
      <c r="M61" s="64">
        <v>32.08</v>
      </c>
      <c r="N61" s="64">
        <v>841.6</v>
      </c>
      <c r="O61" s="64">
        <v>0</v>
      </c>
      <c r="P61" s="64">
        <v>0.52</v>
      </c>
      <c r="Q61" s="64">
        <v>9.15</v>
      </c>
      <c r="R61" s="198"/>
      <c r="S61" s="198"/>
      <c r="T61" s="198"/>
      <c r="U61" s="198"/>
    </row>
    <row r="62" spans="1:21" s="12" customFormat="1" x14ac:dyDescent="0.25">
      <c r="A62" s="214" t="s">
        <v>1645</v>
      </c>
      <c r="B62" s="64">
        <v>0.1</v>
      </c>
      <c r="C62" s="64">
        <v>24.6</v>
      </c>
      <c r="D62" s="64">
        <v>12.85</v>
      </c>
      <c r="E62" s="64">
        <v>2.0099999999999998</v>
      </c>
      <c r="F62" s="64">
        <v>13.64</v>
      </c>
      <c r="G62" s="64">
        <v>43.11</v>
      </c>
      <c r="H62" s="64">
        <v>25.96</v>
      </c>
      <c r="I62" s="64">
        <v>4.76</v>
      </c>
      <c r="J62" s="64">
        <v>0.67</v>
      </c>
      <c r="K62" s="64">
        <v>163.15</v>
      </c>
      <c r="L62" s="64">
        <v>34.630000000000003</v>
      </c>
      <c r="M62" s="64">
        <v>32.81</v>
      </c>
      <c r="N62" s="64">
        <v>807.1</v>
      </c>
      <c r="O62" s="64">
        <v>0</v>
      </c>
      <c r="P62" s="64">
        <v>0.5</v>
      </c>
      <c r="Q62" s="64">
        <v>9.14</v>
      </c>
      <c r="R62" s="198"/>
      <c r="S62" s="198"/>
      <c r="T62" s="198"/>
      <c r="U62" s="198"/>
    </row>
    <row r="63" spans="1:21" s="12" customFormat="1" x14ac:dyDescent="0.25">
      <c r="A63" s="214" t="s">
        <v>1646</v>
      </c>
      <c r="B63" s="64">
        <v>0.1</v>
      </c>
      <c r="C63" s="64">
        <v>22.62</v>
      </c>
      <c r="D63" s="64">
        <v>11.82</v>
      </c>
      <c r="E63" s="64">
        <v>2.34</v>
      </c>
      <c r="F63" s="64">
        <v>10.06</v>
      </c>
      <c r="G63" s="64">
        <v>43.11</v>
      </c>
      <c r="H63" s="64">
        <v>25.96</v>
      </c>
      <c r="I63" s="64">
        <v>4.3600000000000003</v>
      </c>
      <c r="J63" s="64">
        <v>0.23</v>
      </c>
      <c r="K63" s="64">
        <v>271.81</v>
      </c>
      <c r="L63" s="64">
        <v>35.51</v>
      </c>
      <c r="M63" s="64">
        <v>31.37</v>
      </c>
      <c r="N63" s="64">
        <v>753.3</v>
      </c>
      <c r="O63" s="64">
        <v>0</v>
      </c>
      <c r="P63" s="64">
        <v>0.49</v>
      </c>
      <c r="Q63" s="64">
        <v>9.14</v>
      </c>
      <c r="R63" s="198"/>
      <c r="S63" s="198"/>
      <c r="T63" s="198"/>
      <c r="U63" s="198"/>
    </row>
    <row r="64" spans="1:21" s="12" customFormat="1" x14ac:dyDescent="0.25">
      <c r="A64" s="214" t="s">
        <v>1647</v>
      </c>
      <c r="B64" s="64">
        <v>0.1</v>
      </c>
      <c r="C64" s="64">
        <v>21.11</v>
      </c>
      <c r="D64" s="64">
        <v>11.03</v>
      </c>
      <c r="E64" s="64">
        <v>1.38</v>
      </c>
      <c r="F64" s="64">
        <v>11.91</v>
      </c>
      <c r="G64" s="64">
        <v>43.07</v>
      </c>
      <c r="H64" s="64">
        <v>26.01</v>
      </c>
      <c r="I64" s="64">
        <v>4.17</v>
      </c>
      <c r="J64" s="64">
        <v>0.36</v>
      </c>
      <c r="K64" s="64">
        <v>189.65</v>
      </c>
      <c r="L64" s="64">
        <v>35.549999999999997</v>
      </c>
      <c r="M64" s="64">
        <v>31.71</v>
      </c>
      <c r="N64" s="64">
        <v>566.20000000000005</v>
      </c>
      <c r="O64" s="64">
        <v>0</v>
      </c>
      <c r="P64" s="64">
        <v>0.49</v>
      </c>
      <c r="Q64" s="64">
        <v>9.1199999999999992</v>
      </c>
      <c r="R64" s="198"/>
      <c r="S64" s="198"/>
      <c r="T64" s="198"/>
      <c r="U64" s="198"/>
    </row>
    <row r="65" spans="1:21" s="12" customFormat="1" x14ac:dyDescent="0.25">
      <c r="A65" s="214" t="s">
        <v>1648</v>
      </c>
      <c r="B65" s="64">
        <v>0.1</v>
      </c>
      <c r="C65" s="64">
        <v>19.940000000000001</v>
      </c>
      <c r="D65" s="64">
        <v>10.42</v>
      </c>
      <c r="E65" s="64">
        <v>1.23</v>
      </c>
      <c r="F65" s="64">
        <v>8.65</v>
      </c>
      <c r="G65" s="64">
        <v>42.58</v>
      </c>
      <c r="H65" s="64">
        <v>26.69</v>
      </c>
      <c r="I65" s="64">
        <v>4.2300000000000004</v>
      </c>
      <c r="J65" s="64">
        <v>0.56999999999999995</v>
      </c>
      <c r="K65" s="64">
        <v>151.18</v>
      </c>
      <c r="L65" s="64">
        <v>34.76</v>
      </c>
      <c r="M65" s="64">
        <v>30.8</v>
      </c>
      <c r="N65" s="64">
        <v>524.9</v>
      </c>
      <c r="O65" s="64">
        <v>0</v>
      </c>
      <c r="P65" s="64">
        <v>0.47</v>
      </c>
      <c r="Q65" s="64">
        <v>9.09</v>
      </c>
      <c r="R65" s="198"/>
      <c r="S65" s="198"/>
      <c r="T65" s="198"/>
      <c r="U65" s="198"/>
    </row>
    <row r="66" spans="1:21" s="12" customFormat="1" x14ac:dyDescent="0.25">
      <c r="A66" s="214" t="s">
        <v>1649</v>
      </c>
      <c r="B66" s="64">
        <v>0.1</v>
      </c>
      <c r="C66" s="64">
        <v>19.079999999999998</v>
      </c>
      <c r="D66" s="64">
        <v>9.9700000000000006</v>
      </c>
      <c r="E66" s="64">
        <v>1.1000000000000001</v>
      </c>
      <c r="F66" s="64">
        <v>8.39</v>
      </c>
      <c r="G66" s="64">
        <v>42.58</v>
      </c>
      <c r="H66" s="64">
        <v>26.69</v>
      </c>
      <c r="I66" s="64">
        <v>4.16</v>
      </c>
      <c r="J66" s="64">
        <v>0.11</v>
      </c>
      <c r="K66" s="64">
        <v>249.4</v>
      </c>
      <c r="L66" s="64">
        <v>35.020000000000003</v>
      </c>
      <c r="M66" s="64">
        <v>31.65</v>
      </c>
      <c r="N66" s="64">
        <v>498.5</v>
      </c>
      <c r="O66" s="64">
        <v>0</v>
      </c>
      <c r="P66" s="64">
        <v>0.46</v>
      </c>
      <c r="Q66" s="64">
        <v>9.1300000000000008</v>
      </c>
      <c r="R66" s="198"/>
      <c r="S66" s="198"/>
      <c r="T66" s="198"/>
      <c r="U66" s="198"/>
    </row>
    <row r="67" spans="1:21" s="12" customFormat="1" x14ac:dyDescent="0.25">
      <c r="A67" s="214" t="s">
        <v>1650</v>
      </c>
      <c r="B67" s="64">
        <v>0.1</v>
      </c>
      <c r="C67" s="64">
        <v>19.43</v>
      </c>
      <c r="D67" s="64">
        <v>10.15</v>
      </c>
      <c r="E67" s="64">
        <v>0.95</v>
      </c>
      <c r="F67" s="64">
        <v>6.45</v>
      </c>
      <c r="G67" s="64">
        <v>42.58</v>
      </c>
      <c r="H67" s="64">
        <v>26.69</v>
      </c>
      <c r="I67" s="64">
        <v>4.0999999999999996</v>
      </c>
      <c r="J67" s="64">
        <v>0.34</v>
      </c>
      <c r="K67" s="64">
        <v>259.35000000000002</v>
      </c>
      <c r="L67" s="64">
        <v>35.729999999999997</v>
      </c>
      <c r="M67" s="64">
        <v>31.12</v>
      </c>
      <c r="N67" s="64">
        <v>251.1</v>
      </c>
      <c r="O67" s="64">
        <v>0</v>
      </c>
      <c r="P67" s="64">
        <v>0.47</v>
      </c>
      <c r="Q67" s="64">
        <v>9.1300000000000008</v>
      </c>
      <c r="R67" s="198"/>
      <c r="S67" s="198"/>
      <c r="T67" s="198"/>
      <c r="U67" s="198"/>
    </row>
    <row r="68" spans="1:21" s="12" customFormat="1" x14ac:dyDescent="0.25">
      <c r="A68" s="214" t="s">
        <v>1651</v>
      </c>
      <c r="B68" s="64">
        <v>0.1</v>
      </c>
      <c r="C68" s="64">
        <v>21.34</v>
      </c>
      <c r="D68" s="64">
        <v>11.15</v>
      </c>
      <c r="E68" s="64">
        <v>0.79</v>
      </c>
      <c r="F68" s="64">
        <v>6.83</v>
      </c>
      <c r="G68" s="64">
        <v>42.54</v>
      </c>
      <c r="H68" s="64">
        <v>26.72</v>
      </c>
      <c r="I68" s="64">
        <v>4.17</v>
      </c>
      <c r="J68" s="64">
        <v>1.1599999999999999</v>
      </c>
      <c r="K68" s="64">
        <v>159.66</v>
      </c>
      <c r="L68" s="64">
        <v>33.380000000000003</v>
      </c>
      <c r="M68" s="64">
        <v>35.07</v>
      </c>
      <c r="N68" s="64">
        <v>172.9</v>
      </c>
      <c r="O68" s="64">
        <v>0</v>
      </c>
      <c r="P68" s="64">
        <v>0.47</v>
      </c>
      <c r="Q68" s="64">
        <v>9.11</v>
      </c>
      <c r="R68" s="198"/>
      <c r="S68" s="198"/>
      <c r="T68" s="198"/>
      <c r="U68" s="198"/>
    </row>
    <row r="69" spans="1:21" s="12" customFormat="1" x14ac:dyDescent="0.25">
      <c r="A69" s="214" t="s">
        <v>1652</v>
      </c>
      <c r="B69" s="64">
        <v>0.1</v>
      </c>
      <c r="C69" s="64">
        <v>21.45</v>
      </c>
      <c r="D69" s="64">
        <v>11.21</v>
      </c>
      <c r="E69" s="64">
        <v>0.87</v>
      </c>
      <c r="F69" s="64">
        <v>6.27</v>
      </c>
      <c r="G69" s="64">
        <v>42.03</v>
      </c>
      <c r="H69" s="64">
        <v>27.11</v>
      </c>
      <c r="I69" s="64">
        <v>4.24</v>
      </c>
      <c r="J69" s="64">
        <v>0.78</v>
      </c>
      <c r="K69" s="64">
        <v>157.78</v>
      </c>
      <c r="L69" s="64">
        <v>32.880000000000003</v>
      </c>
      <c r="M69" s="64">
        <v>34.979999999999997</v>
      </c>
      <c r="N69" s="64">
        <v>104.3</v>
      </c>
      <c r="O69" s="64">
        <v>0</v>
      </c>
      <c r="P69" s="64">
        <v>0.45</v>
      </c>
      <c r="Q69" s="64">
        <v>9.1199999999999992</v>
      </c>
      <c r="R69" s="198"/>
      <c r="S69" s="198"/>
      <c r="T69" s="198"/>
      <c r="U69" s="198"/>
    </row>
    <row r="70" spans="1:21" s="12" customFormat="1" x14ac:dyDescent="0.25">
      <c r="A70" s="214" t="s">
        <v>1653</v>
      </c>
      <c r="B70" s="64">
        <v>0.1</v>
      </c>
      <c r="C70" s="64">
        <v>21.47</v>
      </c>
      <c r="D70" s="64">
        <v>11.22</v>
      </c>
      <c r="E70" s="64">
        <v>0.9</v>
      </c>
      <c r="F70" s="64">
        <v>6.02</v>
      </c>
      <c r="G70" s="64">
        <v>42.03</v>
      </c>
      <c r="H70" s="64">
        <v>27.11</v>
      </c>
      <c r="I70" s="64">
        <v>4.26</v>
      </c>
      <c r="J70" s="64">
        <v>0.14000000000000001</v>
      </c>
      <c r="K70" s="64">
        <v>331.27</v>
      </c>
      <c r="L70" s="64">
        <v>32.22</v>
      </c>
      <c r="M70" s="64">
        <v>41.36</v>
      </c>
      <c r="N70" s="64">
        <v>67.3</v>
      </c>
      <c r="O70" s="64">
        <v>1</v>
      </c>
      <c r="P70" s="64">
        <v>0.44</v>
      </c>
      <c r="Q70" s="64">
        <v>9.16</v>
      </c>
      <c r="R70" s="198"/>
      <c r="S70" s="198"/>
      <c r="T70" s="198"/>
      <c r="U70" s="198"/>
    </row>
    <row r="71" spans="1:21" s="12" customFormat="1" x14ac:dyDescent="0.25">
      <c r="A71" s="214" t="s">
        <v>1654</v>
      </c>
      <c r="B71" s="64">
        <v>0.1</v>
      </c>
      <c r="C71" s="64">
        <v>20.16</v>
      </c>
      <c r="D71" s="64">
        <v>10.53</v>
      </c>
      <c r="E71" s="64">
        <v>1.3</v>
      </c>
      <c r="F71" s="64">
        <v>10.18</v>
      </c>
      <c r="G71" s="64">
        <v>42.03</v>
      </c>
      <c r="H71" s="64">
        <v>27.11</v>
      </c>
      <c r="I71" s="64">
        <v>4.55</v>
      </c>
      <c r="J71" s="64">
        <v>1.49</v>
      </c>
      <c r="K71" s="64">
        <v>10.050000000000001</v>
      </c>
      <c r="L71" s="64">
        <v>25.42</v>
      </c>
      <c r="M71" s="64">
        <v>83.83</v>
      </c>
      <c r="N71" s="64">
        <v>48.9</v>
      </c>
      <c r="O71" s="64">
        <v>2.8</v>
      </c>
      <c r="P71" s="64">
        <v>0.41</v>
      </c>
      <c r="Q71" s="64">
        <v>9.15</v>
      </c>
      <c r="R71" s="198"/>
      <c r="S71" s="198"/>
      <c r="T71" s="198"/>
      <c r="U71" s="198"/>
    </row>
    <row r="72" spans="1:21" s="12" customFormat="1" x14ac:dyDescent="0.25">
      <c r="A72" s="214" t="s">
        <v>1655</v>
      </c>
      <c r="B72" s="64">
        <v>0.1</v>
      </c>
      <c r="C72" s="64">
        <v>21.37</v>
      </c>
      <c r="D72" s="64">
        <v>11.16</v>
      </c>
      <c r="E72" s="64">
        <v>2.12</v>
      </c>
      <c r="F72" s="64">
        <v>10.25</v>
      </c>
      <c r="G72" s="64">
        <v>41.22</v>
      </c>
      <c r="H72" s="64">
        <v>26.91</v>
      </c>
      <c r="I72" s="64">
        <v>4.87</v>
      </c>
      <c r="J72" s="64">
        <v>2.2999999999999998</v>
      </c>
      <c r="K72" s="64">
        <v>9.09</v>
      </c>
      <c r="L72" s="64">
        <v>23.01</v>
      </c>
      <c r="M72" s="64">
        <v>93.66</v>
      </c>
      <c r="N72" s="64">
        <v>47.1</v>
      </c>
      <c r="O72" s="64">
        <v>0</v>
      </c>
      <c r="P72" s="64">
        <v>0.4</v>
      </c>
      <c r="Q72" s="64">
        <v>9.14</v>
      </c>
      <c r="R72" s="198"/>
      <c r="S72" s="198"/>
      <c r="T72" s="198"/>
      <c r="U72" s="198"/>
    </row>
    <row r="73" spans="1:21" s="12" customFormat="1" x14ac:dyDescent="0.25">
      <c r="A73" s="214" t="s">
        <v>1656</v>
      </c>
      <c r="B73" s="64">
        <v>0.1</v>
      </c>
      <c r="C73" s="64">
        <v>22.25</v>
      </c>
      <c r="D73" s="64">
        <v>11.63</v>
      </c>
      <c r="E73" s="64">
        <v>1.84</v>
      </c>
      <c r="F73" s="64">
        <v>8.44</v>
      </c>
      <c r="G73" s="64">
        <v>29.88</v>
      </c>
      <c r="H73" s="64">
        <v>24.12</v>
      </c>
      <c r="I73" s="64">
        <v>4.67</v>
      </c>
      <c r="J73" s="64">
        <v>1.67</v>
      </c>
      <c r="K73" s="64">
        <v>16.829999999999998</v>
      </c>
      <c r="L73" s="64">
        <v>23.51</v>
      </c>
      <c r="M73" s="64">
        <v>75.25</v>
      </c>
      <c r="N73" s="64">
        <v>65.099999999999994</v>
      </c>
      <c r="O73" s="64">
        <v>0</v>
      </c>
      <c r="P73" s="64">
        <v>0.39</v>
      </c>
      <c r="Q73" s="64">
        <v>9.1300000000000008</v>
      </c>
      <c r="R73" s="198"/>
      <c r="S73" s="198"/>
      <c r="T73" s="198"/>
      <c r="U73" s="198"/>
    </row>
    <row r="74" spans="1:21" s="12" customFormat="1" x14ac:dyDescent="0.25">
      <c r="A74" s="214" t="s">
        <v>1657</v>
      </c>
      <c r="B74" s="64">
        <v>0.1</v>
      </c>
      <c r="C74" s="64">
        <v>22.87</v>
      </c>
      <c r="D74" s="64">
        <v>11.95</v>
      </c>
      <c r="E74" s="64">
        <v>1.35</v>
      </c>
      <c r="F74" s="64">
        <v>6.31</v>
      </c>
      <c r="G74" s="64">
        <v>29.88</v>
      </c>
      <c r="H74" s="64">
        <v>24.12</v>
      </c>
      <c r="I74" s="64">
        <v>4.71</v>
      </c>
      <c r="J74" s="64">
        <v>1.19</v>
      </c>
      <c r="K74" s="64">
        <v>66.790000000000006</v>
      </c>
      <c r="L74" s="64">
        <v>24.8</v>
      </c>
      <c r="M74" s="64">
        <v>55.89</v>
      </c>
      <c r="N74" s="64">
        <v>33.1</v>
      </c>
      <c r="O74" s="64">
        <v>0</v>
      </c>
      <c r="P74" s="64">
        <v>0.38</v>
      </c>
      <c r="Q74" s="64">
        <v>9.1300000000000008</v>
      </c>
      <c r="R74" s="198"/>
      <c r="S74" s="198"/>
      <c r="T74" s="198"/>
      <c r="U74" s="198"/>
    </row>
    <row r="75" spans="1:21" s="12" customFormat="1" x14ac:dyDescent="0.25">
      <c r="A75" s="214" t="s">
        <v>1658</v>
      </c>
      <c r="B75" s="64">
        <v>0.1</v>
      </c>
      <c r="C75" s="64">
        <v>23.34</v>
      </c>
      <c r="D75" s="64">
        <v>12.19</v>
      </c>
      <c r="E75" s="64">
        <v>1.1399999999999999</v>
      </c>
      <c r="F75" s="64">
        <v>5.29</v>
      </c>
      <c r="G75" s="64">
        <v>29.88</v>
      </c>
      <c r="H75" s="64">
        <v>24.12</v>
      </c>
      <c r="I75" s="64">
        <v>4.7699999999999996</v>
      </c>
      <c r="J75" s="64">
        <v>0.89</v>
      </c>
      <c r="K75" s="64">
        <v>125.52</v>
      </c>
      <c r="L75" s="64">
        <v>24.66</v>
      </c>
      <c r="M75" s="64">
        <v>57.53</v>
      </c>
      <c r="N75" s="64">
        <v>51.7</v>
      </c>
      <c r="O75" s="64">
        <v>0.2</v>
      </c>
      <c r="P75" s="64">
        <v>0.37</v>
      </c>
      <c r="Q75" s="64">
        <v>9.16</v>
      </c>
      <c r="R75" s="198"/>
      <c r="S75" s="198"/>
      <c r="T75" s="198"/>
      <c r="U75" s="198"/>
    </row>
    <row r="76" spans="1:21" s="12" customFormat="1" x14ac:dyDescent="0.25">
      <c r="A76" s="214" t="s">
        <v>1659</v>
      </c>
      <c r="B76" s="64">
        <v>0.1</v>
      </c>
      <c r="C76" s="64">
        <v>23.75</v>
      </c>
      <c r="D76" s="64">
        <v>12.41</v>
      </c>
      <c r="E76" s="64">
        <v>1.54</v>
      </c>
      <c r="F76" s="64">
        <v>5.45</v>
      </c>
      <c r="G76" s="64">
        <v>29.08</v>
      </c>
      <c r="H76" s="64">
        <v>23.78</v>
      </c>
      <c r="I76" s="64">
        <v>4.88</v>
      </c>
      <c r="J76" s="64">
        <v>0.67</v>
      </c>
      <c r="K76" s="64">
        <v>152.79</v>
      </c>
      <c r="L76" s="64">
        <v>24.46</v>
      </c>
      <c r="M76" s="64">
        <v>61.39</v>
      </c>
      <c r="N76" s="64">
        <v>82.4</v>
      </c>
      <c r="O76" s="64">
        <v>0</v>
      </c>
      <c r="P76" s="64">
        <v>0.36</v>
      </c>
      <c r="Q76" s="64">
        <v>9.14</v>
      </c>
      <c r="R76" s="198"/>
      <c r="S76" s="198"/>
      <c r="T76" s="198"/>
      <c r="U76" s="198"/>
    </row>
    <row r="77" spans="1:21" s="12" customFormat="1" x14ac:dyDescent="0.25">
      <c r="A77" s="214" t="s">
        <v>1660</v>
      </c>
      <c r="B77" s="64">
        <v>0.1</v>
      </c>
      <c r="C77" s="64">
        <v>22.28</v>
      </c>
      <c r="D77" s="64">
        <v>11.64</v>
      </c>
      <c r="E77" s="64">
        <v>1.62</v>
      </c>
      <c r="F77" s="64">
        <v>6.36</v>
      </c>
      <c r="G77" s="64">
        <v>17.93</v>
      </c>
      <c r="H77" s="64">
        <v>18.14</v>
      </c>
      <c r="I77" s="64">
        <v>4.84</v>
      </c>
      <c r="J77" s="64">
        <v>0.59</v>
      </c>
      <c r="K77" s="64">
        <v>183.01</v>
      </c>
      <c r="L77" s="64">
        <v>24.86</v>
      </c>
      <c r="M77" s="64">
        <v>59.34</v>
      </c>
      <c r="N77" s="64">
        <v>67.099999999999994</v>
      </c>
      <c r="O77" s="64">
        <v>0</v>
      </c>
      <c r="P77" s="64">
        <v>0.33</v>
      </c>
      <c r="Q77" s="64">
        <v>9.11</v>
      </c>
      <c r="R77" s="198"/>
      <c r="S77" s="198"/>
      <c r="T77" s="198"/>
      <c r="U77" s="198"/>
    </row>
    <row r="78" spans="1:21" s="12" customFormat="1" x14ac:dyDescent="0.25">
      <c r="A78" s="214" t="s">
        <v>1661</v>
      </c>
      <c r="B78" s="64">
        <v>0.1</v>
      </c>
      <c r="C78" s="64">
        <v>21.3</v>
      </c>
      <c r="D78" s="64">
        <v>11.13</v>
      </c>
      <c r="E78" s="64">
        <v>1.56</v>
      </c>
      <c r="F78" s="64">
        <v>5.62</v>
      </c>
      <c r="G78" s="64">
        <v>17.93</v>
      </c>
      <c r="H78" s="64">
        <v>18.14</v>
      </c>
      <c r="I78" s="64">
        <v>4.62</v>
      </c>
      <c r="J78" s="64">
        <v>0.8</v>
      </c>
      <c r="K78" s="64">
        <v>172.2</v>
      </c>
      <c r="L78" s="64">
        <v>24.87</v>
      </c>
      <c r="M78" s="64">
        <v>62.05</v>
      </c>
      <c r="N78" s="64">
        <v>76.3</v>
      </c>
      <c r="O78" s="64">
        <v>0</v>
      </c>
      <c r="P78" s="64">
        <v>0.33</v>
      </c>
      <c r="Q78" s="64">
        <v>9.16</v>
      </c>
      <c r="R78" s="198"/>
      <c r="S78" s="198"/>
      <c r="T78" s="198"/>
      <c r="U78" s="198"/>
    </row>
    <row r="79" spans="1:21" s="12" customFormat="1" x14ac:dyDescent="0.25">
      <c r="A79" s="214" t="s">
        <v>1662</v>
      </c>
      <c r="B79" s="64">
        <v>0.1</v>
      </c>
      <c r="C79" s="64">
        <v>21.1</v>
      </c>
      <c r="D79" s="64">
        <v>11.03</v>
      </c>
      <c r="E79" s="64">
        <v>1.58</v>
      </c>
      <c r="F79" s="64">
        <v>4.54</v>
      </c>
      <c r="G79" s="64">
        <v>17.93</v>
      </c>
      <c r="H79" s="64">
        <v>18.14</v>
      </c>
      <c r="I79" s="64">
        <v>4.26</v>
      </c>
      <c r="J79" s="64">
        <v>0.54</v>
      </c>
      <c r="K79" s="64">
        <v>191.83</v>
      </c>
      <c r="L79" s="64">
        <v>25.14</v>
      </c>
      <c r="M79" s="64">
        <v>62.23</v>
      </c>
      <c r="N79" s="64">
        <v>55.5</v>
      </c>
      <c r="O79" s="64">
        <v>0</v>
      </c>
      <c r="P79" s="64">
        <v>0.32</v>
      </c>
      <c r="Q79" s="64">
        <v>9.14</v>
      </c>
      <c r="R79" s="198"/>
      <c r="S79" s="198"/>
      <c r="T79" s="198"/>
      <c r="U79" s="198"/>
    </row>
    <row r="80" spans="1:21" s="12" customFormat="1" x14ac:dyDescent="0.25">
      <c r="A80" s="214" t="s">
        <v>1663</v>
      </c>
      <c r="B80" s="64">
        <v>0.1</v>
      </c>
      <c r="C80" s="64">
        <v>20.99</v>
      </c>
      <c r="D80" s="64">
        <v>10.96</v>
      </c>
      <c r="E80" s="64">
        <v>1.36</v>
      </c>
      <c r="F80" s="64">
        <v>4.1100000000000003</v>
      </c>
      <c r="G80" s="64">
        <v>19.03</v>
      </c>
      <c r="H80" s="64">
        <v>17.91</v>
      </c>
      <c r="I80" s="64">
        <v>4.1399999999999997</v>
      </c>
      <c r="J80" s="64">
        <v>0.48</v>
      </c>
      <c r="K80" s="64">
        <v>195.15</v>
      </c>
      <c r="L80" s="64">
        <v>24.58</v>
      </c>
      <c r="M80" s="64">
        <v>64.569999999999993</v>
      </c>
      <c r="N80" s="64">
        <v>27.6</v>
      </c>
      <c r="O80" s="64">
        <v>0</v>
      </c>
      <c r="P80" s="64">
        <v>0.33</v>
      </c>
      <c r="Q80" s="64">
        <v>9.15</v>
      </c>
      <c r="R80" s="198"/>
      <c r="S80" s="198"/>
      <c r="T80" s="198"/>
      <c r="U80" s="198"/>
    </row>
    <row r="81" spans="1:26" s="12" customFormat="1" x14ac:dyDescent="0.25">
      <c r="A81" s="214" t="s">
        <v>1664</v>
      </c>
      <c r="B81" s="64">
        <v>0.1</v>
      </c>
      <c r="C81" s="64">
        <v>20.71</v>
      </c>
      <c r="D81" s="64">
        <v>10.82</v>
      </c>
      <c r="E81" s="64">
        <v>1.08</v>
      </c>
      <c r="F81" s="64">
        <v>4.09</v>
      </c>
      <c r="G81" s="64">
        <v>34.49</v>
      </c>
      <c r="H81" s="64">
        <v>14.81</v>
      </c>
      <c r="I81" s="64">
        <v>4.01</v>
      </c>
      <c r="J81" s="64">
        <v>0.51</v>
      </c>
      <c r="K81" s="64">
        <v>205.76</v>
      </c>
      <c r="L81" s="64">
        <v>24.02</v>
      </c>
      <c r="M81" s="64">
        <v>69.38</v>
      </c>
      <c r="N81" s="64">
        <v>19.2</v>
      </c>
      <c r="O81" s="64">
        <v>0</v>
      </c>
      <c r="P81" s="64">
        <v>0.32</v>
      </c>
      <c r="Q81" s="64">
        <v>9.14</v>
      </c>
      <c r="R81" s="198"/>
      <c r="S81" s="198"/>
      <c r="T81" s="198"/>
      <c r="U81" s="198"/>
    </row>
    <row r="82" spans="1:26" s="12" customFormat="1" x14ac:dyDescent="0.25">
      <c r="A82" s="214" t="s">
        <v>1665</v>
      </c>
      <c r="B82" s="64">
        <v>0.1</v>
      </c>
      <c r="C82" s="64">
        <v>20.309999999999999</v>
      </c>
      <c r="D82" s="64">
        <v>10.61</v>
      </c>
      <c r="E82" s="64">
        <v>1.1299999999999999</v>
      </c>
      <c r="F82" s="64">
        <v>4.2300000000000004</v>
      </c>
      <c r="G82" s="64">
        <v>34.49</v>
      </c>
      <c r="H82" s="64">
        <v>14.81</v>
      </c>
      <c r="I82" s="64">
        <v>3.97</v>
      </c>
      <c r="J82" s="64">
        <v>0.48</v>
      </c>
      <c r="K82" s="64">
        <v>160.37</v>
      </c>
      <c r="L82" s="64">
        <v>23.97</v>
      </c>
      <c r="M82" s="64">
        <v>71.25</v>
      </c>
      <c r="N82" s="64">
        <v>15.9</v>
      </c>
      <c r="O82" s="64">
        <v>0</v>
      </c>
      <c r="P82" s="64">
        <v>0.32</v>
      </c>
      <c r="Q82" s="64">
        <v>9.17</v>
      </c>
      <c r="R82" s="198"/>
      <c r="S82" s="198"/>
      <c r="T82" s="198"/>
      <c r="U82" s="198"/>
    </row>
    <row r="83" spans="1:26" s="12" customFormat="1" x14ac:dyDescent="0.25">
      <c r="A83" s="214" t="s">
        <v>1666</v>
      </c>
      <c r="B83" s="64">
        <v>0.1</v>
      </c>
      <c r="C83" s="64">
        <v>20.65</v>
      </c>
      <c r="D83" s="64">
        <v>10.79</v>
      </c>
      <c r="E83" s="64">
        <v>1.18</v>
      </c>
      <c r="F83" s="64">
        <v>3.88</v>
      </c>
      <c r="G83" s="64">
        <v>34.49</v>
      </c>
      <c r="H83" s="64">
        <v>14.81</v>
      </c>
      <c r="I83" s="64">
        <v>3.9</v>
      </c>
      <c r="J83" s="64">
        <v>0.04</v>
      </c>
      <c r="K83" s="64">
        <v>221.8</v>
      </c>
      <c r="L83" s="64">
        <v>23.79</v>
      </c>
      <c r="M83" s="64">
        <v>74.94</v>
      </c>
      <c r="N83" s="64">
        <v>15.6</v>
      </c>
      <c r="O83" s="64">
        <v>0</v>
      </c>
      <c r="P83" s="64">
        <v>0.33</v>
      </c>
      <c r="Q83" s="64">
        <v>9.1199999999999992</v>
      </c>
      <c r="R83" s="198"/>
      <c r="S83" s="198"/>
      <c r="T83" s="198"/>
      <c r="U83" s="198"/>
    </row>
    <row r="84" spans="1:26" s="12" customFormat="1" x14ac:dyDescent="0.25">
      <c r="A84" s="214" t="s">
        <v>1667</v>
      </c>
      <c r="B84" s="64">
        <v>0.1</v>
      </c>
      <c r="C84" s="64">
        <v>21.93</v>
      </c>
      <c r="D84" s="64">
        <v>11.46</v>
      </c>
      <c r="E84" s="64">
        <v>1.33</v>
      </c>
      <c r="F84" s="64">
        <v>3.69</v>
      </c>
      <c r="G84" s="64">
        <v>34.67</v>
      </c>
      <c r="H84" s="64">
        <v>14.92</v>
      </c>
      <c r="I84" s="64">
        <v>3.83</v>
      </c>
      <c r="J84" s="64">
        <v>0.02</v>
      </c>
      <c r="K84" s="64">
        <v>266</v>
      </c>
      <c r="L84" s="64">
        <v>23.75</v>
      </c>
      <c r="M84" s="64">
        <v>76.930000000000007</v>
      </c>
      <c r="N84" s="64">
        <v>15.4</v>
      </c>
      <c r="O84" s="64">
        <v>0</v>
      </c>
      <c r="P84" s="64">
        <v>0.34</v>
      </c>
      <c r="Q84" s="64">
        <v>9.17</v>
      </c>
      <c r="R84" s="198"/>
      <c r="S84" s="198"/>
      <c r="T84" s="198"/>
      <c r="U84" s="198"/>
    </row>
    <row r="85" spans="1:26" s="12" customFormat="1" x14ac:dyDescent="0.25">
      <c r="A85" s="214" t="s">
        <v>1668</v>
      </c>
      <c r="B85" s="64">
        <v>0.61</v>
      </c>
      <c r="C85" s="64">
        <v>23.66</v>
      </c>
      <c r="D85" s="64">
        <v>12.77</v>
      </c>
      <c r="E85" s="64">
        <v>1.51</v>
      </c>
      <c r="F85" s="64">
        <v>3.59</v>
      </c>
      <c r="G85" s="64">
        <v>37.22</v>
      </c>
      <c r="H85" s="64">
        <v>16.41</v>
      </c>
      <c r="I85" s="64">
        <v>3.85</v>
      </c>
      <c r="J85" s="64">
        <v>0.26</v>
      </c>
      <c r="K85" s="64">
        <v>345.8</v>
      </c>
      <c r="L85" s="64">
        <v>23.7</v>
      </c>
      <c r="M85" s="64">
        <v>81.150000000000006</v>
      </c>
      <c r="N85" s="64">
        <v>15.5</v>
      </c>
      <c r="O85" s="64">
        <v>0</v>
      </c>
      <c r="P85" s="64">
        <v>0.38</v>
      </c>
      <c r="Q85" s="64">
        <v>9.1300000000000008</v>
      </c>
      <c r="R85" s="198"/>
      <c r="S85" s="198"/>
      <c r="T85" s="198"/>
      <c r="U85" s="198"/>
    </row>
    <row r="86" spans="1:26" s="12" customFormat="1" x14ac:dyDescent="0.25">
      <c r="A86" s="214" t="s">
        <v>1669</v>
      </c>
      <c r="B86" s="64">
        <v>2.98</v>
      </c>
      <c r="C86" s="64">
        <v>25.15</v>
      </c>
      <c r="D86" s="64">
        <v>15.45</v>
      </c>
      <c r="E86" s="64">
        <v>1.24</v>
      </c>
      <c r="F86" s="64">
        <v>3.57</v>
      </c>
      <c r="G86" s="64">
        <v>37.22</v>
      </c>
      <c r="H86" s="64">
        <v>16.41</v>
      </c>
      <c r="I86" s="64">
        <v>3.8</v>
      </c>
      <c r="J86" s="64">
        <v>0.15</v>
      </c>
      <c r="K86" s="64">
        <v>357.94</v>
      </c>
      <c r="L86" s="64">
        <v>23.55</v>
      </c>
      <c r="M86" s="64">
        <v>81.84</v>
      </c>
      <c r="N86" s="64">
        <v>15.4</v>
      </c>
      <c r="O86" s="64">
        <v>0</v>
      </c>
      <c r="P86" s="64">
        <v>0.46</v>
      </c>
      <c r="Q86" s="64">
        <v>9.1199999999999992</v>
      </c>
      <c r="R86" s="198"/>
      <c r="S86" s="198"/>
      <c r="T86" s="198"/>
      <c r="U86" s="198"/>
    </row>
    <row r="87" spans="1:26" s="12" customFormat="1" x14ac:dyDescent="0.25">
      <c r="A87" s="214" t="s">
        <v>1670</v>
      </c>
      <c r="B87" s="64">
        <v>5.8</v>
      </c>
      <c r="C87" s="64">
        <v>25.65</v>
      </c>
      <c r="D87" s="64">
        <v>17.97</v>
      </c>
      <c r="E87" s="64">
        <v>1.39</v>
      </c>
      <c r="F87" s="64">
        <v>3.35</v>
      </c>
      <c r="G87" s="64">
        <v>37.22</v>
      </c>
      <c r="H87" s="64">
        <v>16.41</v>
      </c>
      <c r="I87" s="64">
        <v>3.97</v>
      </c>
      <c r="J87" s="64">
        <v>0.17</v>
      </c>
      <c r="K87" s="64">
        <v>17.7</v>
      </c>
      <c r="L87" s="64">
        <v>23.42</v>
      </c>
      <c r="M87" s="64">
        <v>82.65</v>
      </c>
      <c r="N87" s="64">
        <v>15.4</v>
      </c>
      <c r="O87" s="64">
        <v>0</v>
      </c>
      <c r="P87" s="64">
        <v>0.5</v>
      </c>
      <c r="Q87" s="64">
        <v>9.19</v>
      </c>
      <c r="R87" s="198"/>
      <c r="S87" s="198"/>
      <c r="T87" s="198"/>
      <c r="U87" s="198"/>
    </row>
    <row r="88" spans="1:26" s="12" customFormat="1" x14ac:dyDescent="0.25">
      <c r="A88" s="214" t="s">
        <v>1671</v>
      </c>
      <c r="B88" s="64">
        <v>8.16</v>
      </c>
      <c r="C88" s="64">
        <v>25.84</v>
      </c>
      <c r="D88" s="64">
        <v>19.97</v>
      </c>
      <c r="E88" s="64">
        <v>0.36</v>
      </c>
      <c r="F88" s="64">
        <v>3.46</v>
      </c>
      <c r="G88" s="64">
        <v>38.979999999999997</v>
      </c>
      <c r="H88" s="64">
        <v>16.670000000000002</v>
      </c>
      <c r="I88" s="64">
        <v>4.16</v>
      </c>
      <c r="J88" s="64">
        <v>0.2</v>
      </c>
      <c r="K88" s="64">
        <v>22.38</v>
      </c>
      <c r="L88" s="64">
        <v>23.49</v>
      </c>
      <c r="M88" s="64">
        <v>82.33</v>
      </c>
      <c r="N88" s="64">
        <v>15.2</v>
      </c>
      <c r="O88" s="64">
        <v>0</v>
      </c>
      <c r="P88" s="64">
        <v>0.56000000000000005</v>
      </c>
      <c r="Q88" s="64">
        <v>9.25</v>
      </c>
      <c r="R88" s="198"/>
      <c r="S88" s="198"/>
      <c r="T88" s="198"/>
      <c r="U88" s="198"/>
    </row>
    <row r="89" spans="1:26" s="12" customFormat="1" x14ac:dyDescent="0.25">
      <c r="A89" s="214" t="s">
        <v>1672</v>
      </c>
      <c r="B89" s="64">
        <v>10.19</v>
      </c>
      <c r="C89" s="64">
        <v>26.06</v>
      </c>
      <c r="D89" s="64">
        <v>21.71</v>
      </c>
      <c r="E89" s="64">
        <v>0.68</v>
      </c>
      <c r="F89" s="64">
        <v>3.54</v>
      </c>
      <c r="G89" s="64">
        <v>63.6</v>
      </c>
      <c r="H89" s="64">
        <v>20.239999999999998</v>
      </c>
      <c r="I89" s="64">
        <v>4.55</v>
      </c>
      <c r="J89" s="64">
        <v>0.15</v>
      </c>
      <c r="K89" s="64">
        <v>75.66</v>
      </c>
      <c r="L89" s="64">
        <v>24.1</v>
      </c>
      <c r="M89" s="64">
        <v>78.52</v>
      </c>
      <c r="N89" s="64">
        <v>14.9</v>
      </c>
      <c r="O89" s="64">
        <v>0</v>
      </c>
      <c r="P89" s="64">
        <v>0.63</v>
      </c>
      <c r="Q89" s="64">
        <v>9.19</v>
      </c>
      <c r="R89" s="198"/>
      <c r="S89" s="198"/>
      <c r="T89" s="198"/>
      <c r="U89" s="198"/>
    </row>
    <row r="90" spans="1:26" s="12" customFormat="1" x14ac:dyDescent="0.25">
      <c r="A90" s="214" t="s">
        <v>1673</v>
      </c>
      <c r="B90" s="64">
        <v>12.09</v>
      </c>
      <c r="C90" s="64">
        <v>25.88</v>
      </c>
      <c r="D90" s="64">
        <v>23.14</v>
      </c>
      <c r="E90" s="64">
        <v>0.79</v>
      </c>
      <c r="F90" s="64">
        <v>3.28</v>
      </c>
      <c r="G90" s="64">
        <v>63.6</v>
      </c>
      <c r="H90" s="64">
        <v>20.239999999999998</v>
      </c>
      <c r="I90" s="64">
        <v>5.0999999999999996</v>
      </c>
      <c r="J90" s="64">
        <v>0.12</v>
      </c>
      <c r="K90" s="64">
        <v>133.37</v>
      </c>
      <c r="L90" s="64">
        <v>24.39</v>
      </c>
      <c r="M90" s="64">
        <v>79.17</v>
      </c>
      <c r="N90" s="64">
        <v>15.1</v>
      </c>
      <c r="O90" s="64">
        <v>0</v>
      </c>
      <c r="P90" s="64">
        <v>0.68</v>
      </c>
      <c r="Q90" s="64">
        <v>9.19</v>
      </c>
      <c r="R90" s="198"/>
      <c r="S90" s="198"/>
      <c r="T90" s="198"/>
      <c r="U90" s="198"/>
    </row>
    <row r="91" spans="1:26" s="12" customFormat="1" x14ac:dyDescent="0.25">
      <c r="A91" s="214" t="s">
        <v>1674</v>
      </c>
      <c r="B91" s="64">
        <v>14.53</v>
      </c>
      <c r="C91" s="64">
        <v>25.76</v>
      </c>
      <c r="D91" s="64">
        <v>25.03</v>
      </c>
      <c r="E91" s="64">
        <v>1.01</v>
      </c>
      <c r="F91" s="64">
        <v>3.26</v>
      </c>
      <c r="G91" s="64">
        <v>63.6</v>
      </c>
      <c r="H91" s="64">
        <v>20.239999999999998</v>
      </c>
      <c r="I91" s="64">
        <v>5.71</v>
      </c>
      <c r="J91" s="64">
        <v>0.12</v>
      </c>
      <c r="K91" s="64">
        <v>302.08</v>
      </c>
      <c r="L91" s="64">
        <v>24.63</v>
      </c>
      <c r="M91" s="64">
        <v>84.97</v>
      </c>
      <c r="N91" s="64">
        <v>15.4</v>
      </c>
      <c r="O91" s="64">
        <v>0</v>
      </c>
      <c r="P91" s="64">
        <v>0.75</v>
      </c>
      <c r="Q91" s="64">
        <v>9.26</v>
      </c>
      <c r="R91" s="198"/>
      <c r="S91" s="198"/>
      <c r="T91" s="198"/>
      <c r="U91" s="198"/>
    </row>
    <row r="92" spans="1:26" s="12" customFormat="1" x14ac:dyDescent="0.25">
      <c r="A92" s="214" t="s">
        <v>1675</v>
      </c>
      <c r="B92" s="64">
        <v>18.760000000000002</v>
      </c>
      <c r="C92" s="64">
        <v>25.96</v>
      </c>
      <c r="D92" s="64">
        <v>28.53</v>
      </c>
      <c r="E92" s="64">
        <v>1.0900000000000001</v>
      </c>
      <c r="F92" s="64">
        <v>3.23</v>
      </c>
      <c r="G92" s="64">
        <v>65.17</v>
      </c>
      <c r="H92" s="64">
        <v>20.47</v>
      </c>
      <c r="I92" s="64">
        <v>6.04</v>
      </c>
      <c r="J92" s="64">
        <v>0.15</v>
      </c>
      <c r="K92" s="64">
        <v>79.91</v>
      </c>
      <c r="L92" s="64">
        <v>24.43</v>
      </c>
      <c r="M92" s="64">
        <v>85.37</v>
      </c>
      <c r="N92" s="64">
        <v>15.5</v>
      </c>
      <c r="O92" s="64">
        <v>0</v>
      </c>
      <c r="P92" s="64">
        <v>0.84</v>
      </c>
      <c r="Q92" s="64">
        <v>9.3000000000000007</v>
      </c>
      <c r="R92" s="198"/>
      <c r="S92" s="198"/>
      <c r="T92" s="198"/>
      <c r="U92" s="198"/>
    </row>
    <row r="93" spans="1:26" s="12" customFormat="1" x14ac:dyDescent="0.25">
      <c r="A93" s="214" t="s">
        <v>1676</v>
      </c>
      <c r="B93" s="64">
        <v>22.17</v>
      </c>
      <c r="C93" s="64">
        <v>25.79</v>
      </c>
      <c r="D93" s="64">
        <v>31.17</v>
      </c>
      <c r="E93" s="64">
        <v>1.27</v>
      </c>
      <c r="F93" s="64">
        <v>3.81</v>
      </c>
      <c r="G93" s="64">
        <v>87.06</v>
      </c>
      <c r="H93" s="64">
        <v>23.73</v>
      </c>
      <c r="I93" s="64">
        <v>6.49</v>
      </c>
      <c r="J93" s="64">
        <v>0.28000000000000003</v>
      </c>
      <c r="K93" s="64">
        <v>239.57</v>
      </c>
      <c r="L93" s="64">
        <v>24.31</v>
      </c>
      <c r="M93" s="64">
        <v>85.37</v>
      </c>
      <c r="N93" s="64">
        <v>15.5</v>
      </c>
      <c r="O93" s="64">
        <v>0</v>
      </c>
      <c r="P93" s="64">
        <v>0.93</v>
      </c>
      <c r="Q93" s="64">
        <v>9.31</v>
      </c>
      <c r="R93" s="198"/>
      <c r="S93" s="198"/>
      <c r="T93" s="198"/>
      <c r="U93" s="198"/>
    </row>
    <row r="94" spans="1:26" s="12" customFormat="1" x14ac:dyDescent="0.25">
      <c r="A94" s="214" t="s">
        <v>1677</v>
      </c>
      <c r="B94" s="64">
        <v>25.31</v>
      </c>
      <c r="C94" s="64">
        <v>25.73</v>
      </c>
      <c r="D94" s="64">
        <v>33.659999999999997</v>
      </c>
      <c r="E94" s="64">
        <v>1.23</v>
      </c>
      <c r="F94" s="64">
        <v>3.26</v>
      </c>
      <c r="G94" s="64">
        <v>87.06</v>
      </c>
      <c r="H94" s="64">
        <v>23.73</v>
      </c>
      <c r="I94" s="64">
        <v>7.01</v>
      </c>
      <c r="J94" s="64">
        <v>0.11</v>
      </c>
      <c r="K94" s="64">
        <v>55.46</v>
      </c>
      <c r="L94" s="64">
        <v>24.13</v>
      </c>
      <c r="M94" s="64">
        <v>82.43</v>
      </c>
      <c r="N94" s="64">
        <v>15.5</v>
      </c>
      <c r="O94" s="64">
        <v>0</v>
      </c>
      <c r="P94" s="64">
        <v>1</v>
      </c>
      <c r="Q94" s="64">
        <v>9.4</v>
      </c>
      <c r="R94" s="198"/>
      <c r="S94" s="198"/>
      <c r="T94" s="198"/>
      <c r="U94" s="198"/>
    </row>
    <row r="95" spans="1:26" s="12" customFormat="1" x14ac:dyDescent="0.25">
      <c r="A95" s="214" t="s">
        <v>1678</v>
      </c>
      <c r="B95" s="64">
        <v>30.46</v>
      </c>
      <c r="C95" s="64">
        <v>25.88</v>
      </c>
      <c r="D95" s="64">
        <v>37.869999999999997</v>
      </c>
      <c r="E95" s="64">
        <v>1.46</v>
      </c>
      <c r="F95" s="64">
        <v>3.46</v>
      </c>
      <c r="G95" s="64">
        <v>87.06</v>
      </c>
      <c r="H95" s="64">
        <v>23.73</v>
      </c>
      <c r="I95" s="64">
        <v>7.52</v>
      </c>
      <c r="J95" s="64">
        <v>0.12</v>
      </c>
      <c r="K95" s="64">
        <v>38.68</v>
      </c>
      <c r="L95" s="64">
        <v>23.84</v>
      </c>
      <c r="M95" s="64">
        <v>89.03</v>
      </c>
      <c r="N95" s="64">
        <v>15.7</v>
      </c>
      <c r="O95" s="64">
        <v>0</v>
      </c>
      <c r="P95" s="64">
        <v>1.1399999999999999</v>
      </c>
      <c r="Q95" s="64">
        <v>9.43</v>
      </c>
      <c r="R95" s="198"/>
      <c r="S95" s="198"/>
      <c r="T95" s="198"/>
      <c r="U95" s="198"/>
    </row>
    <row r="96" spans="1:26" s="12" customFormat="1" x14ac:dyDescent="0.25">
      <c r="A96" s="214" t="s">
        <v>1679</v>
      </c>
      <c r="B96" s="64">
        <v>35.090000000000003</v>
      </c>
      <c r="C96" s="64">
        <v>26.48</v>
      </c>
      <c r="D96" s="64">
        <v>41.9</v>
      </c>
      <c r="E96" s="64">
        <v>1.7</v>
      </c>
      <c r="F96" s="64">
        <v>3.85</v>
      </c>
      <c r="G96" s="64">
        <v>87.82</v>
      </c>
      <c r="H96" s="64">
        <v>23.89</v>
      </c>
      <c r="I96" s="64">
        <v>7.78</v>
      </c>
      <c r="J96" s="64">
        <v>0.23</v>
      </c>
      <c r="K96" s="64">
        <v>333.31</v>
      </c>
      <c r="L96" s="64">
        <v>23.89</v>
      </c>
      <c r="M96" s="64">
        <v>88.59</v>
      </c>
      <c r="N96" s="64">
        <v>14.9</v>
      </c>
      <c r="O96" s="64">
        <v>0</v>
      </c>
      <c r="P96" s="64">
        <v>1.27</v>
      </c>
      <c r="Q96" s="64">
        <v>9.41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1680</v>
      </c>
      <c r="B97" s="64">
        <v>36.94</v>
      </c>
      <c r="C97" s="64">
        <v>26.69</v>
      </c>
      <c r="D97" s="64">
        <v>43.49</v>
      </c>
      <c r="E97" s="64">
        <v>1.57</v>
      </c>
      <c r="F97" s="64">
        <v>3.65</v>
      </c>
      <c r="G97" s="64">
        <v>98.47</v>
      </c>
      <c r="H97" s="64">
        <v>26.22</v>
      </c>
      <c r="I97" s="64">
        <v>8.18</v>
      </c>
      <c r="J97" s="64">
        <v>0.5</v>
      </c>
      <c r="K97" s="64">
        <v>311.98</v>
      </c>
      <c r="L97" s="64">
        <v>23.85</v>
      </c>
      <c r="M97" s="64">
        <v>81.290000000000006</v>
      </c>
      <c r="N97" s="64">
        <v>14.6</v>
      </c>
      <c r="O97" s="64">
        <v>0</v>
      </c>
      <c r="P97" s="64">
        <v>1.32</v>
      </c>
      <c r="Q97" s="64">
        <v>9.4700000000000006</v>
      </c>
      <c r="R97" s="198"/>
      <c r="S97" s="198"/>
      <c r="T97" s="198"/>
      <c r="U97" s="198"/>
    </row>
    <row r="98" spans="1:33" s="12" customFormat="1" x14ac:dyDescent="0.25">
      <c r="A98" s="214" t="s">
        <v>1681</v>
      </c>
      <c r="B98" s="64">
        <v>36.729999999999997</v>
      </c>
      <c r="C98" s="64">
        <v>26.98</v>
      </c>
      <c r="D98" s="64">
        <v>43.47</v>
      </c>
      <c r="E98" s="64">
        <v>1.4</v>
      </c>
      <c r="F98" s="64">
        <v>3.48</v>
      </c>
      <c r="G98" s="64">
        <v>98.47</v>
      </c>
      <c r="H98" s="64">
        <v>26.22</v>
      </c>
      <c r="I98" s="64">
        <v>8.5299999999999994</v>
      </c>
      <c r="J98" s="64">
        <v>0.38</v>
      </c>
      <c r="K98" s="64">
        <v>309.98</v>
      </c>
      <c r="L98" s="64">
        <v>23.75</v>
      </c>
      <c r="M98" s="64">
        <v>81.98</v>
      </c>
      <c r="N98" s="64">
        <v>15.2</v>
      </c>
      <c r="O98" s="64">
        <v>0</v>
      </c>
      <c r="P98" s="64">
        <v>1.35</v>
      </c>
      <c r="Q98" s="64">
        <v>9.4600000000000009</v>
      </c>
      <c r="R98" s="198"/>
      <c r="S98" s="198"/>
      <c r="T98" s="198"/>
      <c r="U98" s="198"/>
    </row>
    <row r="99" spans="1:33" s="12" customFormat="1" x14ac:dyDescent="0.25">
      <c r="A99" s="214" t="s">
        <v>1682</v>
      </c>
      <c r="B99" s="64">
        <v>36.090000000000003</v>
      </c>
      <c r="C99" s="64">
        <v>27</v>
      </c>
      <c r="D99" s="64">
        <v>42.97</v>
      </c>
      <c r="E99" s="64">
        <v>1.59</v>
      </c>
      <c r="F99" s="64">
        <v>3.79</v>
      </c>
      <c r="G99" s="64">
        <v>98.47</v>
      </c>
      <c r="H99" s="64">
        <v>26.22</v>
      </c>
      <c r="I99" s="64">
        <v>8.69</v>
      </c>
      <c r="J99" s="64">
        <v>0.12</v>
      </c>
      <c r="K99" s="64">
        <v>305.69</v>
      </c>
      <c r="L99" s="64">
        <v>23.71</v>
      </c>
      <c r="M99" s="64">
        <v>80.42</v>
      </c>
      <c r="N99" s="64">
        <v>15.6</v>
      </c>
      <c r="O99" s="64">
        <v>0</v>
      </c>
      <c r="P99" s="64">
        <v>1.36</v>
      </c>
      <c r="Q99" s="64">
        <v>9.5299999999999994</v>
      </c>
      <c r="R99" s="198"/>
      <c r="S99" s="198"/>
      <c r="T99" s="198"/>
      <c r="U99" s="198"/>
    </row>
    <row r="100" spans="1:33" s="12" customFormat="1" x14ac:dyDescent="0.25">
      <c r="A100" s="214" t="s">
        <v>1683</v>
      </c>
      <c r="B100" s="64">
        <v>35.78</v>
      </c>
      <c r="C100" s="64">
        <v>26.81</v>
      </c>
      <c r="D100" s="64">
        <v>42.62</v>
      </c>
      <c r="E100" s="64">
        <v>1.51</v>
      </c>
      <c r="F100" s="64">
        <v>3.54</v>
      </c>
      <c r="G100" s="64">
        <v>97.3</v>
      </c>
      <c r="H100" s="64">
        <v>26.1</v>
      </c>
      <c r="I100" s="64">
        <v>8.8000000000000007</v>
      </c>
      <c r="J100" s="64">
        <v>0.13</v>
      </c>
      <c r="K100" s="64">
        <v>233.21</v>
      </c>
      <c r="L100" s="64">
        <v>23.58</v>
      </c>
      <c r="M100" s="64">
        <v>80.319999999999993</v>
      </c>
      <c r="N100" s="64">
        <v>15.6</v>
      </c>
      <c r="O100" s="64">
        <v>0</v>
      </c>
      <c r="P100" s="64">
        <v>1.37</v>
      </c>
      <c r="Q100" s="64">
        <v>9.4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1684</v>
      </c>
      <c r="B101" s="64">
        <v>35.479999999999997</v>
      </c>
      <c r="C101" s="64">
        <v>26.62</v>
      </c>
      <c r="D101" s="64">
        <v>42.28</v>
      </c>
      <c r="E101" s="64">
        <v>1.3</v>
      </c>
      <c r="F101" s="64">
        <v>3.11</v>
      </c>
      <c r="G101" s="64">
        <v>80.849999999999994</v>
      </c>
      <c r="H101" s="64">
        <v>24.4</v>
      </c>
      <c r="I101" s="64">
        <v>8.9499999999999993</v>
      </c>
      <c r="J101" s="64">
        <v>0.32</v>
      </c>
      <c r="K101" s="64">
        <v>335.13</v>
      </c>
      <c r="L101" s="64">
        <v>23.45</v>
      </c>
      <c r="M101" s="64">
        <v>83.66</v>
      </c>
      <c r="N101" s="64">
        <v>15.3</v>
      </c>
      <c r="O101" s="64">
        <v>0</v>
      </c>
      <c r="P101" s="64">
        <v>1.36</v>
      </c>
      <c r="Q101" s="64">
        <v>9.5399999999999991</v>
      </c>
      <c r="R101" s="198"/>
      <c r="S101" s="198"/>
      <c r="T101" s="198"/>
      <c r="U101" s="198"/>
    </row>
    <row r="102" spans="1:33" s="12" customFormat="1" x14ac:dyDescent="0.25">
      <c r="A102" s="214" t="s">
        <v>1685</v>
      </c>
      <c r="B102" s="64">
        <v>35.24</v>
      </c>
      <c r="C102" s="64">
        <v>26.06</v>
      </c>
      <c r="D102" s="64">
        <v>41.8</v>
      </c>
      <c r="E102" s="64">
        <v>1.49</v>
      </c>
      <c r="F102" s="64">
        <v>3.28</v>
      </c>
      <c r="G102" s="64">
        <v>80.849999999999994</v>
      </c>
      <c r="H102" s="64">
        <v>24.4</v>
      </c>
      <c r="I102" s="64">
        <v>9.1</v>
      </c>
      <c r="J102" s="64">
        <v>0.14000000000000001</v>
      </c>
      <c r="K102" s="64">
        <v>237.42</v>
      </c>
      <c r="L102" s="64">
        <v>23.32</v>
      </c>
      <c r="M102" s="64">
        <v>83.5</v>
      </c>
      <c r="N102" s="64">
        <v>15.4</v>
      </c>
      <c r="O102" s="64">
        <v>0</v>
      </c>
      <c r="P102" s="64">
        <v>1.35</v>
      </c>
      <c r="Q102" s="64">
        <v>9.4499999999999993</v>
      </c>
      <c r="R102" s="198"/>
      <c r="S102" s="198"/>
      <c r="T102" s="198"/>
      <c r="U102" s="198"/>
    </row>
    <row r="103" spans="1:33" s="12" customFormat="1" x14ac:dyDescent="0.25">
      <c r="A103" s="214" t="s">
        <v>1686</v>
      </c>
      <c r="B103" s="64">
        <v>34.39</v>
      </c>
      <c r="C103" s="64">
        <v>25.68</v>
      </c>
      <c r="D103" s="64">
        <v>40.92</v>
      </c>
      <c r="E103" s="64">
        <v>1.25</v>
      </c>
      <c r="F103" s="64">
        <v>3.75</v>
      </c>
      <c r="G103" s="64">
        <v>80.849999999999994</v>
      </c>
      <c r="H103" s="64">
        <v>24.4</v>
      </c>
      <c r="I103" s="64">
        <v>9.2899999999999991</v>
      </c>
      <c r="J103" s="64">
        <v>0.14000000000000001</v>
      </c>
      <c r="K103" s="64">
        <v>162.01</v>
      </c>
      <c r="L103" s="64">
        <v>23.32</v>
      </c>
      <c r="M103" s="64">
        <v>84.76</v>
      </c>
      <c r="N103" s="64">
        <v>15.4</v>
      </c>
      <c r="O103" s="64">
        <v>0</v>
      </c>
      <c r="P103" s="64">
        <v>1.33</v>
      </c>
      <c r="Q103" s="64">
        <v>9.4600000000000009</v>
      </c>
      <c r="R103" s="198"/>
      <c r="S103" s="198"/>
      <c r="T103" s="198"/>
      <c r="U103" s="198"/>
    </row>
    <row r="104" spans="1:33" s="12" customFormat="1" x14ac:dyDescent="0.25">
      <c r="A104" s="214" t="s">
        <v>1687</v>
      </c>
      <c r="B104" s="64">
        <v>33.71</v>
      </c>
      <c r="C104" s="64">
        <v>25.79</v>
      </c>
      <c r="D104" s="64">
        <v>40.43</v>
      </c>
      <c r="E104" s="64">
        <v>1.81</v>
      </c>
      <c r="F104" s="64">
        <v>3.73</v>
      </c>
      <c r="G104" s="64">
        <v>81</v>
      </c>
      <c r="H104" s="64">
        <v>24.49</v>
      </c>
      <c r="I104" s="64">
        <v>9.3800000000000008</v>
      </c>
      <c r="J104" s="64">
        <v>0</v>
      </c>
      <c r="K104" s="64">
        <v>263.14</v>
      </c>
      <c r="L104" s="64">
        <v>23.13</v>
      </c>
      <c r="M104" s="64">
        <v>88.89</v>
      </c>
      <c r="N104" s="64">
        <v>15.5</v>
      </c>
      <c r="O104" s="64">
        <v>0</v>
      </c>
      <c r="P104" s="64">
        <v>1.31</v>
      </c>
      <c r="Q104" s="64">
        <v>9.4499999999999993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19.079999999999998</v>
      </c>
      <c r="D106" s="67">
        <f t="shared" ref="D106:Q106" si="0">MIN(D9:D104)</f>
        <v>9.9700000000000006</v>
      </c>
      <c r="E106" s="67">
        <f t="shared" si="0"/>
        <v>0.22</v>
      </c>
      <c r="F106" s="67">
        <f t="shared" si="0"/>
        <v>2.74</v>
      </c>
      <c r="G106" s="67">
        <f t="shared" si="0"/>
        <v>17.93</v>
      </c>
      <c r="H106" s="67">
        <f t="shared" si="0"/>
        <v>9.1199999999999992</v>
      </c>
      <c r="I106" s="67">
        <f t="shared" si="0"/>
        <v>3.8</v>
      </c>
      <c r="J106" s="67">
        <f t="shared" si="0"/>
        <v>0</v>
      </c>
      <c r="K106" s="67">
        <f t="shared" si="0"/>
        <v>9.09</v>
      </c>
      <c r="L106" s="67">
        <f t="shared" si="0"/>
        <v>21.98</v>
      </c>
      <c r="M106" s="67">
        <f t="shared" si="0"/>
        <v>30.8</v>
      </c>
      <c r="N106" s="67">
        <f t="shared" si="0"/>
        <v>14.6</v>
      </c>
      <c r="O106" s="67">
        <f t="shared" si="0"/>
        <v>0</v>
      </c>
      <c r="P106" s="67">
        <f t="shared" si="0"/>
        <v>0.32</v>
      </c>
      <c r="Q106" s="67">
        <f t="shared" si="0"/>
        <v>9.09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49.86</v>
      </c>
      <c r="C107" s="66">
        <f t="shared" ref="C107:Q107" si="1">MAX(C9:C104)</f>
        <v>46.18</v>
      </c>
      <c r="D107" s="66">
        <f t="shared" si="1"/>
        <v>57.43</v>
      </c>
      <c r="E107" s="66">
        <f t="shared" si="1"/>
        <v>2.34</v>
      </c>
      <c r="F107" s="66">
        <f t="shared" si="1"/>
        <v>13.64</v>
      </c>
      <c r="G107" s="66">
        <f t="shared" si="1"/>
        <v>98.47</v>
      </c>
      <c r="H107" s="66">
        <f t="shared" si="1"/>
        <v>33.15</v>
      </c>
      <c r="I107" s="66">
        <f t="shared" si="1"/>
        <v>9.3800000000000008</v>
      </c>
      <c r="J107" s="66">
        <f t="shared" si="1"/>
        <v>2.2999999999999998</v>
      </c>
      <c r="K107" s="66">
        <f t="shared" si="1"/>
        <v>357.94</v>
      </c>
      <c r="L107" s="66">
        <f t="shared" si="1"/>
        <v>36.06</v>
      </c>
      <c r="M107" s="66">
        <f t="shared" si="1"/>
        <v>93.66</v>
      </c>
      <c r="N107" s="66">
        <f t="shared" si="1"/>
        <v>938.4</v>
      </c>
      <c r="O107" s="66">
        <f t="shared" si="1"/>
        <v>2.8</v>
      </c>
      <c r="P107" s="66">
        <f t="shared" si="1"/>
        <v>1.37</v>
      </c>
      <c r="Q107" s="66">
        <f t="shared" si="1"/>
        <v>9.7899999999999991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19.926666666666637</v>
      </c>
      <c r="C108" s="67">
        <f t="shared" ref="C108:Q108" si="2">AVERAGE(C9:C104)</f>
        <v>27.311874999999997</v>
      </c>
      <c r="D108" s="67">
        <f t="shared" si="2"/>
        <v>30.169062499999995</v>
      </c>
      <c r="E108" s="67">
        <f t="shared" si="2"/>
        <v>1.2494791666666674</v>
      </c>
      <c r="F108" s="67">
        <f t="shared" si="2"/>
        <v>4.8409374999999999</v>
      </c>
      <c r="G108" s="67">
        <f t="shared" si="2"/>
        <v>56.014791666666703</v>
      </c>
      <c r="H108" s="67">
        <f t="shared" si="2"/>
        <v>20.545208333333342</v>
      </c>
      <c r="I108" s="67">
        <f t="shared" si="2"/>
        <v>6.4490625000000001</v>
      </c>
      <c r="J108" s="67">
        <f t="shared" si="2"/>
        <v>0.3460416666666668</v>
      </c>
      <c r="K108" s="67">
        <f t="shared" si="2"/>
        <v>213.73531249999999</v>
      </c>
      <c r="L108" s="67">
        <f t="shared" si="2"/>
        <v>26.939479166666672</v>
      </c>
      <c r="M108" s="67">
        <f t="shared" si="2"/>
        <v>65.525624999999991</v>
      </c>
      <c r="N108" s="67">
        <f t="shared" si="2"/>
        <v>243.68125000000001</v>
      </c>
      <c r="O108" s="67">
        <f t="shared" si="2"/>
        <v>4.1666666666666664E-2</v>
      </c>
      <c r="P108" s="67">
        <f t="shared" si="2"/>
        <v>0.71020833333333355</v>
      </c>
      <c r="Q108" s="67">
        <f t="shared" si="2"/>
        <v>9.3802083333333304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17.956066071718826</v>
      </c>
      <c r="C109" s="67">
        <f t="shared" ref="C109:Q109" si="3">STDEV(C9:C104)</f>
        <v>5.0240095777021159</v>
      </c>
      <c r="D109" s="67">
        <f t="shared" si="3"/>
        <v>15.478963386896917</v>
      </c>
      <c r="E109" s="67">
        <f t="shared" si="3"/>
        <v>0.44361047349333499</v>
      </c>
      <c r="F109" s="67">
        <f t="shared" si="3"/>
        <v>2.4541218080372862</v>
      </c>
      <c r="G109" s="67">
        <f t="shared" si="3"/>
        <v>19.109853836184811</v>
      </c>
      <c r="H109" s="67">
        <f t="shared" si="3"/>
        <v>5.7262736995759971</v>
      </c>
      <c r="I109" s="67">
        <f t="shared" si="3"/>
        <v>1.7326214262148993</v>
      </c>
      <c r="J109" s="67">
        <f t="shared" si="3"/>
        <v>0.36762245841328078</v>
      </c>
      <c r="K109" s="67">
        <f t="shared" si="3"/>
        <v>93.007881284082217</v>
      </c>
      <c r="L109" s="67">
        <f t="shared" si="3"/>
        <v>4.7032050370585718</v>
      </c>
      <c r="M109" s="67">
        <f t="shared" si="3"/>
        <v>20.150165041116033</v>
      </c>
      <c r="N109" s="67">
        <f t="shared" si="3"/>
        <v>331.31424272767163</v>
      </c>
      <c r="O109" s="67">
        <f t="shared" si="3"/>
        <v>0.30285194112901775</v>
      </c>
      <c r="P109" s="67">
        <f t="shared" si="3"/>
        <v>0.28554280411604788</v>
      </c>
      <c r="Q109" s="67">
        <f t="shared" si="3"/>
        <v>0.22735078005800297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1688</v>
      </c>
      <c r="B9" s="64">
        <v>33.76</v>
      </c>
      <c r="C9" s="64">
        <v>26.67</v>
      </c>
      <c r="D9" s="64">
        <v>40.93</v>
      </c>
      <c r="E9" s="64">
        <v>1.95</v>
      </c>
      <c r="F9" s="64">
        <v>3.44</v>
      </c>
      <c r="G9" s="64">
        <v>82.99</v>
      </c>
      <c r="H9" s="64">
        <v>25.71</v>
      </c>
      <c r="I9" s="64">
        <v>9.2899999999999991</v>
      </c>
      <c r="J9" s="64">
        <v>0.12</v>
      </c>
      <c r="K9" s="64">
        <v>175.79</v>
      </c>
      <c r="L9" s="64">
        <v>22.82</v>
      </c>
      <c r="M9" s="64">
        <v>93.13</v>
      </c>
      <c r="N9" s="64">
        <v>15.4</v>
      </c>
      <c r="O9" s="64">
        <v>0</v>
      </c>
      <c r="P9" s="64">
        <v>1.3</v>
      </c>
      <c r="Q9" s="64">
        <v>9.41</v>
      </c>
      <c r="R9" s="198"/>
      <c r="S9" s="198"/>
      <c r="T9" s="198"/>
      <c r="U9" s="198"/>
    </row>
    <row r="10" spans="1:21" s="12" customFormat="1" x14ac:dyDescent="0.25">
      <c r="A10" s="214" t="s">
        <v>1689</v>
      </c>
      <c r="B10" s="64">
        <v>33.869999999999997</v>
      </c>
      <c r="C10" s="64">
        <v>25.66</v>
      </c>
      <c r="D10" s="64">
        <v>40.49</v>
      </c>
      <c r="E10" s="64">
        <v>1.98</v>
      </c>
      <c r="F10" s="64">
        <v>3.16</v>
      </c>
      <c r="G10" s="64">
        <v>82.99</v>
      </c>
      <c r="H10" s="64">
        <v>25.71</v>
      </c>
      <c r="I10" s="64">
        <v>9.19</v>
      </c>
      <c r="J10" s="64">
        <v>0.2</v>
      </c>
      <c r="K10" s="64">
        <v>218.54</v>
      </c>
      <c r="L10" s="64">
        <v>22.82</v>
      </c>
      <c r="M10" s="64">
        <v>91.99</v>
      </c>
      <c r="N10" s="64">
        <v>15.1</v>
      </c>
      <c r="O10" s="64">
        <v>0</v>
      </c>
      <c r="P10" s="64">
        <v>1.28</v>
      </c>
      <c r="Q10" s="64">
        <v>9.43</v>
      </c>
      <c r="R10" s="198"/>
      <c r="S10" s="198"/>
      <c r="T10" s="198"/>
      <c r="U10" s="198"/>
    </row>
    <row r="11" spans="1:21" s="12" customFormat="1" x14ac:dyDescent="0.25">
      <c r="A11" s="214" t="s">
        <v>1690</v>
      </c>
      <c r="B11" s="64">
        <v>33.69</v>
      </c>
      <c r="C11" s="64">
        <v>25.13</v>
      </c>
      <c r="D11" s="64">
        <v>40.07</v>
      </c>
      <c r="E11" s="64">
        <v>1.85</v>
      </c>
      <c r="F11" s="64">
        <v>2.88</v>
      </c>
      <c r="G11" s="64">
        <v>82.99</v>
      </c>
      <c r="H11" s="64">
        <v>25.71</v>
      </c>
      <c r="I11" s="64">
        <v>9.83</v>
      </c>
      <c r="J11" s="64">
        <v>0.34</v>
      </c>
      <c r="K11" s="64">
        <v>210.02</v>
      </c>
      <c r="L11" s="64">
        <v>23.02</v>
      </c>
      <c r="M11" s="64">
        <v>88.45</v>
      </c>
      <c r="N11" s="64">
        <v>14.9</v>
      </c>
      <c r="O11" s="64">
        <v>0</v>
      </c>
      <c r="P11" s="64">
        <v>1.27</v>
      </c>
      <c r="Q11" s="64">
        <v>9.44</v>
      </c>
      <c r="R11" s="198"/>
      <c r="S11" s="198"/>
      <c r="T11" s="198"/>
      <c r="U11" s="198"/>
    </row>
    <row r="12" spans="1:21" s="12" customFormat="1" x14ac:dyDescent="0.25">
      <c r="A12" s="214" t="s">
        <v>1691</v>
      </c>
      <c r="B12" s="64">
        <v>33.19</v>
      </c>
      <c r="C12" s="64">
        <v>24.26</v>
      </c>
      <c r="D12" s="64">
        <v>39.21</v>
      </c>
      <c r="E12" s="64">
        <v>1.63</v>
      </c>
      <c r="F12" s="64">
        <v>3.34</v>
      </c>
      <c r="G12" s="64">
        <v>82.72</v>
      </c>
      <c r="H12" s="64">
        <v>25.86</v>
      </c>
      <c r="I12" s="64">
        <v>10.06</v>
      </c>
      <c r="J12" s="64">
        <v>0.16</v>
      </c>
      <c r="K12" s="64">
        <v>219.24</v>
      </c>
      <c r="L12" s="64">
        <v>22.88</v>
      </c>
      <c r="M12" s="64">
        <v>88.09</v>
      </c>
      <c r="N12" s="64">
        <v>15.5</v>
      </c>
      <c r="O12" s="64">
        <v>0</v>
      </c>
      <c r="P12" s="64">
        <v>1.26</v>
      </c>
      <c r="Q12" s="64">
        <v>9.39</v>
      </c>
      <c r="R12" s="198"/>
      <c r="S12" s="198"/>
      <c r="T12" s="198"/>
      <c r="U12" s="198"/>
    </row>
    <row r="13" spans="1:21" s="12" customFormat="1" x14ac:dyDescent="0.25">
      <c r="A13" s="214" t="s">
        <v>1692</v>
      </c>
      <c r="B13" s="64">
        <v>32.729999999999997</v>
      </c>
      <c r="C13" s="64">
        <v>23.74</v>
      </c>
      <c r="D13" s="64">
        <v>38.57</v>
      </c>
      <c r="E13" s="64">
        <v>1.63</v>
      </c>
      <c r="F13" s="64">
        <v>3.33</v>
      </c>
      <c r="G13" s="64">
        <v>78.900000000000006</v>
      </c>
      <c r="H13" s="64">
        <v>27.89</v>
      </c>
      <c r="I13" s="64">
        <v>10.27</v>
      </c>
      <c r="J13" s="64">
        <v>7.0000000000000007E-2</v>
      </c>
      <c r="K13" s="64">
        <v>138.41999999999999</v>
      </c>
      <c r="L13" s="64">
        <v>22.64</v>
      </c>
      <c r="M13" s="64">
        <v>89.67</v>
      </c>
      <c r="N13" s="64">
        <v>15.3</v>
      </c>
      <c r="O13" s="64">
        <v>0</v>
      </c>
      <c r="P13" s="64">
        <v>1.08</v>
      </c>
      <c r="Q13" s="64">
        <v>9.48</v>
      </c>
      <c r="R13" s="198"/>
      <c r="S13" s="198"/>
      <c r="T13" s="198"/>
      <c r="U13" s="198"/>
    </row>
    <row r="14" spans="1:21" s="12" customFormat="1" x14ac:dyDescent="0.25">
      <c r="A14" s="214" t="s">
        <v>1693</v>
      </c>
      <c r="B14" s="64">
        <v>32.25</v>
      </c>
      <c r="C14" s="64">
        <v>22.86</v>
      </c>
      <c r="D14" s="64">
        <v>37.729999999999997</v>
      </c>
      <c r="E14" s="64">
        <v>1.94</v>
      </c>
      <c r="F14" s="64">
        <v>3.48</v>
      </c>
      <c r="G14" s="64">
        <v>78.900000000000006</v>
      </c>
      <c r="H14" s="64">
        <v>27.89</v>
      </c>
      <c r="I14" s="64">
        <v>10.54</v>
      </c>
      <c r="J14" s="64">
        <v>0.28000000000000003</v>
      </c>
      <c r="K14" s="64">
        <v>208.62</v>
      </c>
      <c r="L14" s="64">
        <v>22.66</v>
      </c>
      <c r="M14" s="64">
        <v>91.58</v>
      </c>
      <c r="N14" s="64">
        <v>14.9</v>
      </c>
      <c r="O14" s="64">
        <v>0</v>
      </c>
      <c r="P14" s="64">
        <v>1.1200000000000001</v>
      </c>
      <c r="Q14" s="64">
        <v>9.43</v>
      </c>
      <c r="R14" s="198"/>
      <c r="S14" s="198"/>
      <c r="T14" s="198"/>
      <c r="U14" s="198"/>
    </row>
    <row r="15" spans="1:21" s="12" customFormat="1" x14ac:dyDescent="0.25">
      <c r="A15" s="214" t="s">
        <v>1694</v>
      </c>
      <c r="B15" s="64">
        <v>31.8</v>
      </c>
      <c r="C15" s="64">
        <v>22.49</v>
      </c>
      <c r="D15" s="64">
        <v>37.17</v>
      </c>
      <c r="E15" s="64">
        <v>1.85</v>
      </c>
      <c r="F15" s="64">
        <v>3.08</v>
      </c>
      <c r="G15" s="64">
        <v>78.900000000000006</v>
      </c>
      <c r="H15" s="64">
        <v>27.89</v>
      </c>
      <c r="I15" s="64">
        <v>10.97</v>
      </c>
      <c r="J15" s="64">
        <v>0.22</v>
      </c>
      <c r="K15" s="64">
        <v>340.29</v>
      </c>
      <c r="L15" s="64">
        <v>22.51</v>
      </c>
      <c r="M15" s="64">
        <v>92.55</v>
      </c>
      <c r="N15" s="64">
        <v>15.4</v>
      </c>
      <c r="O15" s="64">
        <v>0</v>
      </c>
      <c r="P15" s="64">
        <v>1.1100000000000001</v>
      </c>
      <c r="Q15" s="64">
        <v>9.3699999999999992</v>
      </c>
      <c r="R15" s="198"/>
      <c r="S15" s="198"/>
      <c r="T15" s="198"/>
      <c r="U15" s="198"/>
    </row>
    <row r="16" spans="1:21" s="12" customFormat="1" x14ac:dyDescent="0.25">
      <c r="A16" s="214" t="s">
        <v>1695</v>
      </c>
      <c r="B16" s="64">
        <v>31.42</v>
      </c>
      <c r="C16" s="64">
        <v>21.55</v>
      </c>
      <c r="D16" s="64">
        <v>36.369999999999997</v>
      </c>
      <c r="E16" s="64">
        <v>1.68</v>
      </c>
      <c r="F16" s="64">
        <v>3.67</v>
      </c>
      <c r="G16" s="64">
        <v>78.260000000000005</v>
      </c>
      <c r="H16" s="64">
        <v>27.82</v>
      </c>
      <c r="I16" s="64">
        <v>11.2</v>
      </c>
      <c r="J16" s="64">
        <v>0.15</v>
      </c>
      <c r="K16" s="64">
        <v>305.18</v>
      </c>
      <c r="L16" s="64">
        <v>22.04</v>
      </c>
      <c r="M16" s="64">
        <v>96.51</v>
      </c>
      <c r="N16" s="64">
        <v>15.5</v>
      </c>
      <c r="O16" s="64">
        <v>0</v>
      </c>
      <c r="P16" s="64">
        <v>1.1000000000000001</v>
      </c>
      <c r="Q16" s="64">
        <v>9.44</v>
      </c>
      <c r="R16" s="198"/>
      <c r="S16" s="198"/>
      <c r="T16" s="198"/>
      <c r="U16" s="198"/>
    </row>
    <row r="17" spans="1:21" s="12" customFormat="1" x14ac:dyDescent="0.25">
      <c r="A17" s="214" t="s">
        <v>1696</v>
      </c>
      <c r="B17" s="64">
        <v>30.71</v>
      </c>
      <c r="C17" s="64">
        <v>20.38</v>
      </c>
      <c r="D17" s="64">
        <v>35.19</v>
      </c>
      <c r="E17" s="64">
        <v>1.9</v>
      </c>
      <c r="F17" s="64">
        <v>3.24</v>
      </c>
      <c r="G17" s="64">
        <v>67.38</v>
      </c>
      <c r="H17" s="64">
        <v>26.6</v>
      </c>
      <c r="I17" s="64">
        <v>11.57</v>
      </c>
      <c r="J17" s="64">
        <v>0.19</v>
      </c>
      <c r="K17" s="64">
        <v>62.11</v>
      </c>
      <c r="L17" s="64">
        <v>21.77</v>
      </c>
      <c r="M17" s="64">
        <v>97.83</v>
      </c>
      <c r="N17" s="64">
        <v>15.3</v>
      </c>
      <c r="O17" s="64">
        <v>0</v>
      </c>
      <c r="P17" s="64">
        <v>1.08</v>
      </c>
      <c r="Q17" s="64">
        <v>9.3800000000000008</v>
      </c>
      <c r="R17" s="198"/>
      <c r="S17" s="198"/>
      <c r="T17" s="198"/>
      <c r="U17" s="198"/>
    </row>
    <row r="18" spans="1:21" s="12" customFormat="1" x14ac:dyDescent="0.25">
      <c r="A18" s="214" t="s">
        <v>1697</v>
      </c>
      <c r="B18" s="64">
        <v>29.92</v>
      </c>
      <c r="C18" s="64">
        <v>19.739999999999998</v>
      </c>
      <c r="D18" s="64">
        <v>34.229999999999997</v>
      </c>
      <c r="E18" s="64">
        <v>1.67</v>
      </c>
      <c r="F18" s="64">
        <v>3.09</v>
      </c>
      <c r="G18" s="64">
        <v>67.38</v>
      </c>
      <c r="H18" s="64">
        <v>26.6</v>
      </c>
      <c r="I18" s="64">
        <v>11.81</v>
      </c>
      <c r="J18" s="64">
        <v>0.09</v>
      </c>
      <c r="K18" s="64">
        <v>231.49</v>
      </c>
      <c r="L18" s="64">
        <v>21.8</v>
      </c>
      <c r="M18" s="64">
        <v>97.85</v>
      </c>
      <c r="N18" s="64">
        <v>15.3</v>
      </c>
      <c r="O18" s="64">
        <v>0</v>
      </c>
      <c r="P18" s="64">
        <v>1.06</v>
      </c>
      <c r="Q18" s="64">
        <v>9.49</v>
      </c>
      <c r="R18" s="198"/>
      <c r="S18" s="198"/>
      <c r="T18" s="198"/>
      <c r="U18" s="198"/>
    </row>
    <row r="19" spans="1:21" s="12" customFormat="1" x14ac:dyDescent="0.25">
      <c r="A19" s="214" t="s">
        <v>1698</v>
      </c>
      <c r="B19" s="64">
        <v>29.62</v>
      </c>
      <c r="C19" s="64">
        <v>19.68</v>
      </c>
      <c r="D19" s="64">
        <v>33.96</v>
      </c>
      <c r="E19" s="64">
        <v>1.71</v>
      </c>
      <c r="F19" s="64">
        <v>3.41</v>
      </c>
      <c r="G19" s="64">
        <v>67.38</v>
      </c>
      <c r="H19" s="64">
        <v>26.6</v>
      </c>
      <c r="I19" s="64">
        <v>11.86</v>
      </c>
      <c r="J19" s="64">
        <v>0.22</v>
      </c>
      <c r="K19" s="64">
        <v>235.31</v>
      </c>
      <c r="L19" s="64">
        <v>21.97</v>
      </c>
      <c r="M19" s="64">
        <v>97.76</v>
      </c>
      <c r="N19" s="64">
        <v>14.9</v>
      </c>
      <c r="O19" s="64">
        <v>0</v>
      </c>
      <c r="P19" s="64">
        <v>1.04</v>
      </c>
      <c r="Q19" s="64">
        <v>9.4499999999999993</v>
      </c>
      <c r="R19" s="198"/>
      <c r="S19" s="198"/>
      <c r="T19" s="198"/>
      <c r="U19" s="198"/>
    </row>
    <row r="20" spans="1:21" s="12" customFormat="1" x14ac:dyDescent="0.25">
      <c r="A20" s="214" t="s">
        <v>1699</v>
      </c>
      <c r="B20" s="64">
        <v>29.36</v>
      </c>
      <c r="C20" s="64">
        <v>19.420000000000002</v>
      </c>
      <c r="D20" s="64">
        <v>33.61</v>
      </c>
      <c r="E20" s="64">
        <v>1.64</v>
      </c>
      <c r="F20" s="64">
        <v>3.48</v>
      </c>
      <c r="G20" s="64">
        <v>67.25</v>
      </c>
      <c r="H20" s="64">
        <v>26.58</v>
      </c>
      <c r="I20" s="64">
        <v>11.93</v>
      </c>
      <c r="J20" s="64">
        <v>0.12</v>
      </c>
      <c r="K20" s="64">
        <v>22.7</v>
      </c>
      <c r="L20" s="64">
        <v>21.92</v>
      </c>
      <c r="M20" s="64">
        <v>97.87</v>
      </c>
      <c r="N20" s="64">
        <v>15.2</v>
      </c>
      <c r="O20" s="64">
        <v>0</v>
      </c>
      <c r="P20" s="64">
        <v>1.01</v>
      </c>
      <c r="Q20" s="64">
        <v>9.41</v>
      </c>
      <c r="R20" s="198"/>
      <c r="S20" s="198"/>
      <c r="T20" s="198"/>
      <c r="U20" s="198"/>
    </row>
    <row r="21" spans="1:21" s="12" customFormat="1" x14ac:dyDescent="0.25">
      <c r="A21" s="214" t="s">
        <v>1700</v>
      </c>
      <c r="B21" s="64">
        <v>29</v>
      </c>
      <c r="C21" s="64">
        <v>19.149999999999999</v>
      </c>
      <c r="D21" s="64">
        <v>33.18</v>
      </c>
      <c r="E21" s="64">
        <v>1.91</v>
      </c>
      <c r="F21" s="64">
        <v>4.01</v>
      </c>
      <c r="G21" s="64">
        <v>65.41</v>
      </c>
      <c r="H21" s="64">
        <v>26.09</v>
      </c>
      <c r="I21" s="64">
        <v>11.94</v>
      </c>
      <c r="J21" s="64">
        <v>0.16</v>
      </c>
      <c r="K21" s="64">
        <v>40.65</v>
      </c>
      <c r="L21" s="64">
        <v>21.87</v>
      </c>
      <c r="M21" s="64">
        <v>97.49</v>
      </c>
      <c r="N21" s="64">
        <v>15.4</v>
      </c>
      <c r="O21" s="64">
        <v>0</v>
      </c>
      <c r="P21" s="64">
        <v>0.98</v>
      </c>
      <c r="Q21" s="64">
        <v>9.3800000000000008</v>
      </c>
      <c r="R21" s="198"/>
      <c r="S21" s="198"/>
      <c r="T21" s="198"/>
      <c r="U21" s="198"/>
    </row>
    <row r="22" spans="1:21" s="12" customFormat="1" x14ac:dyDescent="0.25">
      <c r="A22" s="214" t="s">
        <v>1701</v>
      </c>
      <c r="B22" s="64">
        <v>28.39</v>
      </c>
      <c r="C22" s="64">
        <v>19.38</v>
      </c>
      <c r="D22" s="64">
        <v>32.81</v>
      </c>
      <c r="E22" s="64">
        <v>1.78</v>
      </c>
      <c r="F22" s="64">
        <v>3.46</v>
      </c>
      <c r="G22" s="64">
        <v>65.41</v>
      </c>
      <c r="H22" s="64">
        <v>26.09</v>
      </c>
      <c r="I22" s="64">
        <v>11.96</v>
      </c>
      <c r="J22" s="64">
        <v>0.15</v>
      </c>
      <c r="K22" s="64">
        <v>216.11</v>
      </c>
      <c r="L22" s="64">
        <v>21.95</v>
      </c>
      <c r="M22" s="64">
        <v>97.5</v>
      </c>
      <c r="N22" s="64">
        <v>15.1</v>
      </c>
      <c r="O22" s="64">
        <v>0</v>
      </c>
      <c r="P22" s="64">
        <v>0.96</v>
      </c>
      <c r="Q22" s="64">
        <v>9.39</v>
      </c>
      <c r="R22" s="198"/>
      <c r="S22" s="198"/>
      <c r="T22" s="198"/>
      <c r="U22" s="198"/>
    </row>
    <row r="23" spans="1:21" s="12" customFormat="1" x14ac:dyDescent="0.25">
      <c r="A23" s="214" t="s">
        <v>1702</v>
      </c>
      <c r="B23" s="64">
        <v>27.71</v>
      </c>
      <c r="C23" s="64">
        <v>19.579999999999998</v>
      </c>
      <c r="D23" s="64">
        <v>32.369999999999997</v>
      </c>
      <c r="E23" s="64">
        <v>1.78</v>
      </c>
      <c r="F23" s="64">
        <v>3.02</v>
      </c>
      <c r="G23" s="64">
        <v>65.41</v>
      </c>
      <c r="H23" s="64">
        <v>26.09</v>
      </c>
      <c r="I23" s="64">
        <v>11.9</v>
      </c>
      <c r="J23" s="64">
        <v>0.68</v>
      </c>
      <c r="K23" s="64">
        <v>181.19</v>
      </c>
      <c r="L23" s="64">
        <v>22.22</v>
      </c>
      <c r="M23" s="64">
        <v>96.99</v>
      </c>
      <c r="N23" s="64">
        <v>14.3</v>
      </c>
      <c r="O23" s="64">
        <v>0</v>
      </c>
      <c r="P23" s="64">
        <v>0.94</v>
      </c>
      <c r="Q23" s="64">
        <v>9.42</v>
      </c>
      <c r="R23" s="198"/>
      <c r="S23" s="198"/>
      <c r="T23" s="198"/>
      <c r="U23" s="198"/>
    </row>
    <row r="24" spans="1:21" s="12" customFormat="1" x14ac:dyDescent="0.25">
      <c r="A24" s="214" t="s">
        <v>1703</v>
      </c>
      <c r="B24" s="64">
        <v>27.1</v>
      </c>
      <c r="C24" s="64">
        <v>19.52</v>
      </c>
      <c r="D24" s="64">
        <v>31.85</v>
      </c>
      <c r="E24" s="64">
        <v>1.81</v>
      </c>
      <c r="F24" s="64">
        <v>3.19</v>
      </c>
      <c r="G24" s="64">
        <v>65.27</v>
      </c>
      <c r="H24" s="64">
        <v>26.06</v>
      </c>
      <c r="I24" s="64">
        <v>11.82</v>
      </c>
      <c r="J24" s="64">
        <v>0.23</v>
      </c>
      <c r="K24" s="64">
        <v>204.98</v>
      </c>
      <c r="L24" s="64">
        <v>22.08</v>
      </c>
      <c r="M24" s="64">
        <v>97.42</v>
      </c>
      <c r="N24" s="64">
        <v>15.4</v>
      </c>
      <c r="O24" s="64">
        <v>0</v>
      </c>
      <c r="P24" s="64">
        <v>0.91</v>
      </c>
      <c r="Q24" s="64">
        <v>9.33</v>
      </c>
      <c r="R24" s="198"/>
      <c r="S24" s="198"/>
      <c r="T24" s="198"/>
      <c r="U24" s="198"/>
    </row>
    <row r="25" spans="1:21" s="12" customFormat="1" x14ac:dyDescent="0.25">
      <c r="A25" s="214" t="s">
        <v>1704</v>
      </c>
      <c r="B25" s="64">
        <v>26.4</v>
      </c>
      <c r="C25" s="64">
        <v>19.13</v>
      </c>
      <c r="D25" s="64">
        <v>31.09</v>
      </c>
      <c r="E25" s="64">
        <v>2.14</v>
      </c>
      <c r="F25" s="64">
        <v>3.71</v>
      </c>
      <c r="G25" s="64">
        <v>62.82</v>
      </c>
      <c r="H25" s="64">
        <v>25.53</v>
      </c>
      <c r="I25" s="64">
        <v>11.63</v>
      </c>
      <c r="J25" s="64">
        <v>0.09</v>
      </c>
      <c r="K25" s="64">
        <v>268.88</v>
      </c>
      <c r="L25" s="64">
        <v>21.85</v>
      </c>
      <c r="M25" s="64">
        <v>97.85</v>
      </c>
      <c r="N25" s="64">
        <v>15.4</v>
      </c>
      <c r="O25" s="64">
        <v>0</v>
      </c>
      <c r="P25" s="64">
        <v>0.89</v>
      </c>
      <c r="Q25" s="64">
        <v>9.3699999999999992</v>
      </c>
      <c r="R25" s="198"/>
      <c r="S25" s="198"/>
      <c r="T25" s="198"/>
      <c r="U25" s="198"/>
    </row>
    <row r="26" spans="1:21" s="12" customFormat="1" x14ac:dyDescent="0.25">
      <c r="A26" s="214" t="s">
        <v>1705</v>
      </c>
      <c r="B26" s="64">
        <v>25.55</v>
      </c>
      <c r="C26" s="64">
        <v>19.09</v>
      </c>
      <c r="D26" s="64">
        <v>30.38</v>
      </c>
      <c r="E26" s="64">
        <v>2.12</v>
      </c>
      <c r="F26" s="64">
        <v>3.66</v>
      </c>
      <c r="G26" s="64">
        <v>62.82</v>
      </c>
      <c r="H26" s="64">
        <v>25.53</v>
      </c>
      <c r="I26" s="64">
        <v>11.06</v>
      </c>
      <c r="J26" s="64">
        <v>0.23</v>
      </c>
      <c r="K26" s="64">
        <v>163.38</v>
      </c>
      <c r="L26" s="64">
        <v>21.64</v>
      </c>
      <c r="M26" s="64">
        <v>97.88</v>
      </c>
      <c r="N26" s="64">
        <v>15.2</v>
      </c>
      <c r="O26" s="64">
        <v>0</v>
      </c>
      <c r="P26" s="64">
        <v>0.87</v>
      </c>
      <c r="Q26" s="64">
        <v>9.39</v>
      </c>
      <c r="R26" s="198"/>
      <c r="S26" s="198"/>
      <c r="T26" s="198"/>
      <c r="U26" s="198"/>
    </row>
    <row r="27" spans="1:21" s="12" customFormat="1" x14ac:dyDescent="0.25">
      <c r="A27" s="214" t="s">
        <v>1706</v>
      </c>
      <c r="B27" s="64">
        <v>25</v>
      </c>
      <c r="C27" s="64">
        <v>20.93</v>
      </c>
      <c r="D27" s="64">
        <v>30.9</v>
      </c>
      <c r="E27" s="64">
        <v>2.17</v>
      </c>
      <c r="F27" s="64">
        <v>3.54</v>
      </c>
      <c r="G27" s="64">
        <v>62.82</v>
      </c>
      <c r="H27" s="64">
        <v>25.53</v>
      </c>
      <c r="I27" s="64">
        <v>10.92</v>
      </c>
      <c r="J27" s="64">
        <v>0.38</v>
      </c>
      <c r="K27" s="64">
        <v>172.6</v>
      </c>
      <c r="L27" s="64">
        <v>21.73</v>
      </c>
      <c r="M27" s="64">
        <v>97.88</v>
      </c>
      <c r="N27" s="64">
        <v>14.8</v>
      </c>
      <c r="O27" s="64">
        <v>0</v>
      </c>
      <c r="P27" s="64">
        <v>0.84</v>
      </c>
      <c r="Q27" s="64">
        <v>9.35</v>
      </c>
      <c r="R27" s="198"/>
      <c r="S27" s="198"/>
      <c r="T27" s="198"/>
      <c r="U27" s="198"/>
    </row>
    <row r="28" spans="1:21" s="12" customFormat="1" x14ac:dyDescent="0.25">
      <c r="A28" s="214" t="s">
        <v>1707</v>
      </c>
      <c r="B28" s="64">
        <v>24.81</v>
      </c>
      <c r="C28" s="64">
        <v>21.86</v>
      </c>
      <c r="D28" s="64">
        <v>31.24</v>
      </c>
      <c r="E28" s="64">
        <v>2.04</v>
      </c>
      <c r="F28" s="64">
        <v>3.63</v>
      </c>
      <c r="G28" s="64">
        <v>62.42</v>
      </c>
      <c r="H28" s="64">
        <v>25.16</v>
      </c>
      <c r="I28" s="64">
        <v>10.95</v>
      </c>
      <c r="J28" s="64">
        <v>0.13</v>
      </c>
      <c r="K28" s="64">
        <v>330.59</v>
      </c>
      <c r="L28" s="64">
        <v>21.66</v>
      </c>
      <c r="M28" s="64">
        <v>97.88</v>
      </c>
      <c r="N28" s="64">
        <v>15.4</v>
      </c>
      <c r="O28" s="64">
        <v>0</v>
      </c>
      <c r="P28" s="64">
        <v>0.82</v>
      </c>
      <c r="Q28" s="64">
        <v>9.39</v>
      </c>
      <c r="R28" s="198"/>
      <c r="S28" s="198"/>
      <c r="T28" s="198"/>
      <c r="U28" s="198"/>
    </row>
    <row r="29" spans="1:21" s="12" customFormat="1" x14ac:dyDescent="0.25">
      <c r="A29" s="214" t="s">
        <v>1708</v>
      </c>
      <c r="B29" s="64">
        <v>24.96</v>
      </c>
      <c r="C29" s="64">
        <v>22.56</v>
      </c>
      <c r="D29" s="64">
        <v>31.72</v>
      </c>
      <c r="E29" s="64">
        <v>1.82</v>
      </c>
      <c r="F29" s="64">
        <v>3.17</v>
      </c>
      <c r="G29" s="64">
        <v>56.7</v>
      </c>
      <c r="H29" s="64">
        <v>18.8</v>
      </c>
      <c r="I29" s="64">
        <v>11.26</v>
      </c>
      <c r="J29" s="64">
        <v>0.04</v>
      </c>
      <c r="K29" s="64">
        <v>345.81</v>
      </c>
      <c r="L29" s="64">
        <v>21.48</v>
      </c>
      <c r="M29" s="64">
        <v>97.91</v>
      </c>
      <c r="N29" s="64">
        <v>15.2</v>
      </c>
      <c r="O29" s="64">
        <v>0</v>
      </c>
      <c r="P29" s="64">
        <v>0.82</v>
      </c>
      <c r="Q29" s="64">
        <v>9.3699999999999992</v>
      </c>
      <c r="R29" s="198"/>
      <c r="S29" s="198"/>
      <c r="T29" s="198"/>
      <c r="U29" s="198"/>
    </row>
    <row r="30" spans="1:21" s="12" customFormat="1" x14ac:dyDescent="0.25">
      <c r="A30" s="214" t="s">
        <v>1709</v>
      </c>
      <c r="B30" s="64">
        <v>25.42</v>
      </c>
      <c r="C30" s="64">
        <v>21.97</v>
      </c>
      <c r="D30" s="64">
        <v>31.78</v>
      </c>
      <c r="E30" s="64">
        <v>1.87</v>
      </c>
      <c r="F30" s="64">
        <v>3.52</v>
      </c>
      <c r="G30" s="64">
        <v>56.7</v>
      </c>
      <c r="H30" s="64">
        <v>18.8</v>
      </c>
      <c r="I30" s="64">
        <v>11.29</v>
      </c>
      <c r="J30" s="64">
        <v>0.06</v>
      </c>
      <c r="K30" s="64">
        <v>253.77</v>
      </c>
      <c r="L30" s="64">
        <v>21.46</v>
      </c>
      <c r="M30" s="64">
        <v>97.9</v>
      </c>
      <c r="N30" s="64">
        <v>16</v>
      </c>
      <c r="O30" s="64">
        <v>0</v>
      </c>
      <c r="P30" s="64">
        <v>0.81</v>
      </c>
      <c r="Q30" s="64">
        <v>9.3800000000000008</v>
      </c>
      <c r="R30" s="198"/>
      <c r="S30" s="198"/>
      <c r="T30" s="198"/>
      <c r="U30" s="198"/>
    </row>
    <row r="31" spans="1:21" s="12" customFormat="1" x14ac:dyDescent="0.25">
      <c r="A31" s="214" t="s">
        <v>1710</v>
      </c>
      <c r="B31" s="64">
        <v>25.9</v>
      </c>
      <c r="C31" s="64">
        <v>21.35</v>
      </c>
      <c r="D31" s="64">
        <v>31.84</v>
      </c>
      <c r="E31" s="64">
        <v>2.2200000000000002</v>
      </c>
      <c r="F31" s="64">
        <v>3.56</v>
      </c>
      <c r="G31" s="64">
        <v>56.7</v>
      </c>
      <c r="H31" s="64">
        <v>18.8</v>
      </c>
      <c r="I31" s="64">
        <v>11.41</v>
      </c>
      <c r="J31" s="64">
        <v>0.12</v>
      </c>
      <c r="K31" s="64">
        <v>229.33</v>
      </c>
      <c r="L31" s="64">
        <v>21.59</v>
      </c>
      <c r="M31" s="64">
        <v>97.9</v>
      </c>
      <c r="N31" s="64">
        <v>20.6</v>
      </c>
      <c r="O31" s="64">
        <v>0</v>
      </c>
      <c r="P31" s="64">
        <v>0.8</v>
      </c>
      <c r="Q31" s="64">
        <v>9.4</v>
      </c>
      <c r="R31" s="198"/>
      <c r="S31" s="198"/>
      <c r="T31" s="198"/>
      <c r="U31" s="198"/>
    </row>
    <row r="32" spans="1:21" s="12" customFormat="1" x14ac:dyDescent="0.25">
      <c r="A32" s="214" t="s">
        <v>1711</v>
      </c>
      <c r="B32" s="64">
        <v>26</v>
      </c>
      <c r="C32" s="64">
        <v>21.41</v>
      </c>
      <c r="D32" s="64">
        <v>31.96</v>
      </c>
      <c r="E32" s="64">
        <v>2.19</v>
      </c>
      <c r="F32" s="64">
        <v>3.17</v>
      </c>
      <c r="G32" s="64">
        <v>56.8</v>
      </c>
      <c r="H32" s="64">
        <v>19.04</v>
      </c>
      <c r="I32" s="64">
        <v>11.45</v>
      </c>
      <c r="J32" s="64">
        <v>0.06</v>
      </c>
      <c r="K32" s="64">
        <v>309.23</v>
      </c>
      <c r="L32" s="64">
        <v>21.65</v>
      </c>
      <c r="M32" s="64">
        <v>97.88</v>
      </c>
      <c r="N32" s="64">
        <v>34.9</v>
      </c>
      <c r="O32" s="64">
        <v>0</v>
      </c>
      <c r="P32" s="64">
        <v>0.78</v>
      </c>
      <c r="Q32" s="64">
        <v>9.42</v>
      </c>
      <c r="R32" s="198"/>
      <c r="S32" s="198"/>
      <c r="T32" s="198"/>
      <c r="U32" s="198"/>
    </row>
    <row r="33" spans="1:21" s="12" customFormat="1" x14ac:dyDescent="0.25">
      <c r="A33" s="214" t="s">
        <v>1712</v>
      </c>
      <c r="B33" s="64">
        <v>25.98</v>
      </c>
      <c r="C33" s="64">
        <v>20.9</v>
      </c>
      <c r="D33" s="64">
        <v>31.68</v>
      </c>
      <c r="E33" s="64">
        <v>2.41</v>
      </c>
      <c r="F33" s="64">
        <v>3.24</v>
      </c>
      <c r="G33" s="64">
        <v>58.63</v>
      </c>
      <c r="H33" s="64">
        <v>23.04</v>
      </c>
      <c r="I33" s="64">
        <v>11.46</v>
      </c>
      <c r="J33" s="64">
        <v>0.12</v>
      </c>
      <c r="K33" s="64">
        <v>201.23</v>
      </c>
      <c r="L33" s="64">
        <v>22.24</v>
      </c>
      <c r="M33" s="64">
        <v>97.08</v>
      </c>
      <c r="N33" s="64">
        <v>60.3</v>
      </c>
      <c r="O33" s="64">
        <v>0</v>
      </c>
      <c r="P33" s="64">
        <v>0.77</v>
      </c>
      <c r="Q33" s="64">
        <v>9.39</v>
      </c>
      <c r="R33" s="198"/>
      <c r="S33" s="198"/>
      <c r="T33" s="198"/>
      <c r="U33" s="198"/>
    </row>
    <row r="34" spans="1:21" s="12" customFormat="1" x14ac:dyDescent="0.25">
      <c r="A34" s="214" t="s">
        <v>1713</v>
      </c>
      <c r="B34" s="64">
        <v>26.15</v>
      </c>
      <c r="C34" s="64">
        <v>20.57</v>
      </c>
      <c r="D34" s="64">
        <v>31.64</v>
      </c>
      <c r="E34" s="64">
        <v>2.13</v>
      </c>
      <c r="F34" s="64">
        <v>3</v>
      </c>
      <c r="G34" s="64">
        <v>58.63</v>
      </c>
      <c r="H34" s="64">
        <v>23.04</v>
      </c>
      <c r="I34" s="64">
        <v>11.41</v>
      </c>
      <c r="J34" s="64">
        <v>0.06</v>
      </c>
      <c r="K34" s="64">
        <v>9.3699999999999992</v>
      </c>
      <c r="L34" s="64">
        <v>23.31</v>
      </c>
      <c r="M34" s="64">
        <v>93.78</v>
      </c>
      <c r="N34" s="64">
        <v>95.8</v>
      </c>
      <c r="O34" s="64">
        <v>0</v>
      </c>
      <c r="P34" s="64">
        <v>0.77</v>
      </c>
      <c r="Q34" s="64">
        <v>9.36</v>
      </c>
      <c r="R34" s="198"/>
      <c r="S34" s="198"/>
      <c r="T34" s="198"/>
      <c r="U34" s="198"/>
    </row>
    <row r="35" spans="1:21" s="12" customFormat="1" x14ac:dyDescent="0.25">
      <c r="A35" s="214" t="s">
        <v>1714</v>
      </c>
      <c r="B35" s="64">
        <v>28.14</v>
      </c>
      <c r="C35" s="64">
        <v>19.79</v>
      </c>
      <c r="D35" s="64">
        <v>32.83</v>
      </c>
      <c r="E35" s="64">
        <v>2.3199999999999998</v>
      </c>
      <c r="F35" s="64">
        <v>3.27</v>
      </c>
      <c r="G35" s="64">
        <v>58.63</v>
      </c>
      <c r="H35" s="64">
        <v>23.04</v>
      </c>
      <c r="I35" s="64">
        <v>11.33</v>
      </c>
      <c r="J35" s="64">
        <v>0.1</v>
      </c>
      <c r="K35" s="64">
        <v>4.1900000000000004</v>
      </c>
      <c r="L35" s="64">
        <v>24.65</v>
      </c>
      <c r="M35" s="64">
        <v>86.39</v>
      </c>
      <c r="N35" s="64">
        <v>133.6</v>
      </c>
      <c r="O35" s="64">
        <v>0</v>
      </c>
      <c r="P35" s="64">
        <v>0.79</v>
      </c>
      <c r="Q35" s="64">
        <v>9.32</v>
      </c>
      <c r="R35" s="198"/>
      <c r="S35" s="198"/>
      <c r="T35" s="198"/>
      <c r="U35" s="198"/>
    </row>
    <row r="36" spans="1:21" s="12" customFormat="1" x14ac:dyDescent="0.25">
      <c r="A36" s="214" t="s">
        <v>1715</v>
      </c>
      <c r="B36" s="64">
        <v>29.78</v>
      </c>
      <c r="C36" s="64">
        <v>19.82</v>
      </c>
      <c r="D36" s="64">
        <v>34.159999999999997</v>
      </c>
      <c r="E36" s="64">
        <v>2.33</v>
      </c>
      <c r="F36" s="64">
        <v>2.86</v>
      </c>
      <c r="G36" s="64">
        <v>58.83</v>
      </c>
      <c r="H36" s="64">
        <v>23.11</v>
      </c>
      <c r="I36" s="64">
        <v>11.35</v>
      </c>
      <c r="J36" s="64">
        <v>0.11</v>
      </c>
      <c r="K36" s="64">
        <v>323.70999999999998</v>
      </c>
      <c r="L36" s="64">
        <v>25.57</v>
      </c>
      <c r="M36" s="64">
        <v>79.099999999999994</v>
      </c>
      <c r="N36" s="64">
        <v>126.2</v>
      </c>
      <c r="O36" s="64">
        <v>0</v>
      </c>
      <c r="P36" s="64">
        <v>0.8</v>
      </c>
      <c r="Q36" s="64">
        <v>9.4600000000000009</v>
      </c>
      <c r="R36" s="198"/>
      <c r="S36" s="198"/>
      <c r="T36" s="198"/>
      <c r="U36" s="198"/>
    </row>
    <row r="37" spans="1:21" s="12" customFormat="1" x14ac:dyDescent="0.25">
      <c r="A37" s="214" t="s">
        <v>1716</v>
      </c>
      <c r="B37" s="64">
        <v>30.5</v>
      </c>
      <c r="C37" s="64">
        <v>20.329999999999998</v>
      </c>
      <c r="D37" s="64">
        <v>35</v>
      </c>
      <c r="E37" s="64">
        <v>2.2200000000000002</v>
      </c>
      <c r="F37" s="64">
        <v>2.91</v>
      </c>
      <c r="G37" s="64">
        <v>62.28</v>
      </c>
      <c r="H37" s="64">
        <v>24.09</v>
      </c>
      <c r="I37" s="64">
        <v>11.42</v>
      </c>
      <c r="J37" s="64">
        <v>0.11</v>
      </c>
      <c r="K37" s="64">
        <v>295.20999999999998</v>
      </c>
      <c r="L37" s="64">
        <v>27.09</v>
      </c>
      <c r="M37" s="64">
        <v>71.95</v>
      </c>
      <c r="N37" s="64">
        <v>218.5</v>
      </c>
      <c r="O37" s="64">
        <v>0</v>
      </c>
      <c r="P37" s="64">
        <v>0.81</v>
      </c>
      <c r="Q37" s="64">
        <v>9.4600000000000009</v>
      </c>
      <c r="R37" s="198"/>
      <c r="S37" s="198"/>
      <c r="T37" s="198"/>
      <c r="U37" s="198"/>
    </row>
    <row r="38" spans="1:21" s="12" customFormat="1" x14ac:dyDescent="0.25">
      <c r="A38" s="214" t="s">
        <v>1717</v>
      </c>
      <c r="B38" s="64">
        <v>30.76</v>
      </c>
      <c r="C38" s="64">
        <v>21.11</v>
      </c>
      <c r="D38" s="64">
        <v>35.619999999999997</v>
      </c>
      <c r="E38" s="64">
        <v>2.2400000000000002</v>
      </c>
      <c r="F38" s="64">
        <v>3.45</v>
      </c>
      <c r="G38" s="64">
        <v>62.28</v>
      </c>
      <c r="H38" s="64">
        <v>24.09</v>
      </c>
      <c r="I38" s="64">
        <v>11.27</v>
      </c>
      <c r="J38" s="64">
        <v>0.2</v>
      </c>
      <c r="K38" s="64">
        <v>317.19</v>
      </c>
      <c r="L38" s="64">
        <v>28.74</v>
      </c>
      <c r="M38" s="64">
        <v>64.790000000000006</v>
      </c>
      <c r="N38" s="64">
        <v>290.3</v>
      </c>
      <c r="O38" s="64">
        <v>0</v>
      </c>
      <c r="P38" s="64">
        <v>0.86</v>
      </c>
      <c r="Q38" s="64">
        <v>9.3699999999999992</v>
      </c>
      <c r="R38" s="198"/>
      <c r="S38" s="198"/>
      <c r="T38" s="198"/>
      <c r="U38" s="198"/>
    </row>
    <row r="39" spans="1:21" s="12" customFormat="1" x14ac:dyDescent="0.25">
      <c r="A39" s="214" t="s">
        <v>1718</v>
      </c>
      <c r="B39" s="64">
        <v>30.27</v>
      </c>
      <c r="C39" s="64">
        <v>21.87</v>
      </c>
      <c r="D39" s="64">
        <v>35.619999999999997</v>
      </c>
      <c r="E39" s="64">
        <v>2.15</v>
      </c>
      <c r="F39" s="64">
        <v>3.74</v>
      </c>
      <c r="G39" s="64">
        <v>62.28</v>
      </c>
      <c r="H39" s="64">
        <v>24.09</v>
      </c>
      <c r="I39" s="64">
        <v>11.12</v>
      </c>
      <c r="J39" s="64">
        <v>0.14000000000000001</v>
      </c>
      <c r="K39" s="64">
        <v>338.75</v>
      </c>
      <c r="L39" s="64">
        <v>28.93</v>
      </c>
      <c r="M39" s="64">
        <v>63.64</v>
      </c>
      <c r="N39" s="64">
        <v>346.7</v>
      </c>
      <c r="O39" s="64">
        <v>0</v>
      </c>
      <c r="P39" s="64">
        <v>0.86</v>
      </c>
      <c r="Q39" s="64">
        <v>9.3699999999999992</v>
      </c>
      <c r="R39" s="198"/>
      <c r="S39" s="198"/>
      <c r="T39" s="198"/>
      <c r="U39" s="198"/>
    </row>
    <row r="40" spans="1:21" s="12" customFormat="1" x14ac:dyDescent="0.25">
      <c r="A40" s="214" t="s">
        <v>1719</v>
      </c>
      <c r="B40" s="64">
        <v>28.71</v>
      </c>
      <c r="C40" s="64">
        <v>22.75</v>
      </c>
      <c r="D40" s="64">
        <v>34.83</v>
      </c>
      <c r="E40" s="64">
        <v>1.79</v>
      </c>
      <c r="F40" s="64">
        <v>3.32</v>
      </c>
      <c r="G40" s="64">
        <v>62.6</v>
      </c>
      <c r="H40" s="64">
        <v>24.05</v>
      </c>
      <c r="I40" s="64">
        <v>10.95</v>
      </c>
      <c r="J40" s="64">
        <v>0.15</v>
      </c>
      <c r="K40" s="64">
        <v>358.19</v>
      </c>
      <c r="L40" s="64">
        <v>29.19</v>
      </c>
      <c r="M40" s="64">
        <v>63.65</v>
      </c>
      <c r="N40" s="64">
        <v>402.4</v>
      </c>
      <c r="O40" s="64">
        <v>0</v>
      </c>
      <c r="P40" s="64">
        <v>0.85</v>
      </c>
      <c r="Q40" s="64">
        <v>9.3800000000000008</v>
      </c>
      <c r="R40" s="198"/>
      <c r="S40" s="198"/>
      <c r="T40" s="198"/>
      <c r="U40" s="198"/>
    </row>
    <row r="41" spans="1:21" s="12" customFormat="1" x14ac:dyDescent="0.25">
      <c r="A41" s="214" t="s">
        <v>1720</v>
      </c>
      <c r="B41" s="64">
        <v>26.92</v>
      </c>
      <c r="C41" s="64">
        <v>23.39</v>
      </c>
      <c r="D41" s="64">
        <v>33.729999999999997</v>
      </c>
      <c r="E41" s="64">
        <v>2.2599999999999998</v>
      </c>
      <c r="F41" s="64">
        <v>3.51</v>
      </c>
      <c r="G41" s="64">
        <v>68.13</v>
      </c>
      <c r="H41" s="64">
        <v>23.46</v>
      </c>
      <c r="I41" s="64">
        <v>10.67</v>
      </c>
      <c r="J41" s="64">
        <v>0.17</v>
      </c>
      <c r="K41" s="64">
        <v>205.23</v>
      </c>
      <c r="L41" s="64">
        <v>29.12</v>
      </c>
      <c r="M41" s="64">
        <v>64.02</v>
      </c>
      <c r="N41" s="64">
        <v>458.6</v>
      </c>
      <c r="O41" s="64">
        <v>0</v>
      </c>
      <c r="P41" s="64">
        <v>0.82</v>
      </c>
      <c r="Q41" s="64">
        <v>9.36</v>
      </c>
      <c r="R41" s="198"/>
      <c r="S41" s="198"/>
      <c r="T41" s="198"/>
      <c r="U41" s="198"/>
    </row>
    <row r="42" spans="1:21" s="12" customFormat="1" x14ac:dyDescent="0.25">
      <c r="A42" s="214" t="s">
        <v>1721</v>
      </c>
      <c r="B42" s="64">
        <v>24.92</v>
      </c>
      <c r="C42" s="64">
        <v>23.91</v>
      </c>
      <c r="D42" s="64">
        <v>32.4</v>
      </c>
      <c r="E42" s="64">
        <v>2.1800000000000002</v>
      </c>
      <c r="F42" s="64">
        <v>3.38</v>
      </c>
      <c r="G42" s="64">
        <v>68.13</v>
      </c>
      <c r="H42" s="64">
        <v>23.46</v>
      </c>
      <c r="I42" s="64">
        <v>10.31</v>
      </c>
      <c r="J42" s="64">
        <v>0.59</v>
      </c>
      <c r="K42" s="64">
        <v>182.06</v>
      </c>
      <c r="L42" s="64">
        <v>28.36</v>
      </c>
      <c r="M42" s="64">
        <v>64.8</v>
      </c>
      <c r="N42" s="64">
        <v>520</v>
      </c>
      <c r="O42" s="64">
        <v>0</v>
      </c>
      <c r="P42" s="64">
        <v>0.81</v>
      </c>
      <c r="Q42" s="64">
        <v>9.2899999999999991</v>
      </c>
      <c r="R42" s="198"/>
      <c r="S42" s="198"/>
      <c r="T42" s="198"/>
      <c r="U42" s="198"/>
    </row>
    <row r="43" spans="1:21" s="12" customFormat="1" x14ac:dyDescent="0.25">
      <c r="A43" s="214" t="s">
        <v>1722</v>
      </c>
      <c r="B43" s="64">
        <v>22.79</v>
      </c>
      <c r="C43" s="64">
        <v>24.12</v>
      </c>
      <c r="D43" s="64">
        <v>30.79</v>
      </c>
      <c r="E43" s="64">
        <v>2.34</v>
      </c>
      <c r="F43" s="64">
        <v>3.92</v>
      </c>
      <c r="G43" s="64">
        <v>68.13</v>
      </c>
      <c r="H43" s="64">
        <v>23.46</v>
      </c>
      <c r="I43" s="64">
        <v>10.09</v>
      </c>
      <c r="J43" s="64">
        <v>0.52</v>
      </c>
      <c r="K43" s="64">
        <v>174.51</v>
      </c>
      <c r="L43" s="64">
        <v>28.97</v>
      </c>
      <c r="M43" s="64">
        <v>61.93</v>
      </c>
      <c r="N43" s="64">
        <v>565.1</v>
      </c>
      <c r="O43" s="64">
        <v>0</v>
      </c>
      <c r="P43" s="64">
        <v>0.79</v>
      </c>
      <c r="Q43" s="64">
        <v>9.33</v>
      </c>
      <c r="R43" s="198"/>
      <c r="S43" s="198"/>
      <c r="T43" s="198"/>
      <c r="U43" s="198"/>
    </row>
    <row r="44" spans="1:21" s="12" customFormat="1" x14ac:dyDescent="0.25">
      <c r="A44" s="214" t="s">
        <v>1723</v>
      </c>
      <c r="B44" s="64">
        <v>20.62</v>
      </c>
      <c r="C44" s="64">
        <v>24.31</v>
      </c>
      <c r="D44" s="64">
        <v>29.15</v>
      </c>
      <c r="E44" s="64">
        <v>2.23</v>
      </c>
      <c r="F44" s="64">
        <v>3.57</v>
      </c>
      <c r="G44" s="64">
        <v>67.7</v>
      </c>
      <c r="H44" s="64">
        <v>23.43</v>
      </c>
      <c r="I44" s="64">
        <v>9.91</v>
      </c>
      <c r="J44" s="64">
        <v>0.45</v>
      </c>
      <c r="K44" s="64">
        <v>166.05</v>
      </c>
      <c r="L44" s="64">
        <v>29.7</v>
      </c>
      <c r="M44" s="64">
        <v>61.9</v>
      </c>
      <c r="N44" s="64">
        <v>609.6</v>
      </c>
      <c r="O44" s="64">
        <v>0</v>
      </c>
      <c r="P44" s="64">
        <v>0.76</v>
      </c>
      <c r="Q44" s="64">
        <v>9.25</v>
      </c>
      <c r="R44" s="198"/>
      <c r="S44" s="198"/>
      <c r="T44" s="198"/>
      <c r="U44" s="198"/>
    </row>
    <row r="45" spans="1:21" s="12" customFormat="1" x14ac:dyDescent="0.25">
      <c r="A45" s="214" t="s">
        <v>1724</v>
      </c>
      <c r="B45" s="64">
        <v>18.38</v>
      </c>
      <c r="C45" s="64">
        <v>25.98</v>
      </c>
      <c r="D45" s="64">
        <v>28.24</v>
      </c>
      <c r="E45" s="64">
        <v>2.0299999999999998</v>
      </c>
      <c r="F45" s="64">
        <v>3.27</v>
      </c>
      <c r="G45" s="64">
        <v>60.52</v>
      </c>
      <c r="H45" s="64">
        <v>22.97</v>
      </c>
      <c r="I45" s="64">
        <v>9.7100000000000009</v>
      </c>
      <c r="J45" s="64">
        <v>0.34</v>
      </c>
      <c r="K45" s="64">
        <v>188.72</v>
      </c>
      <c r="L45" s="64">
        <v>30.17</v>
      </c>
      <c r="M45" s="64">
        <v>56.84</v>
      </c>
      <c r="N45" s="64">
        <v>661.5</v>
      </c>
      <c r="O45" s="64">
        <v>0</v>
      </c>
      <c r="P45" s="64">
        <v>0.75</v>
      </c>
      <c r="Q45" s="64">
        <v>9.26</v>
      </c>
      <c r="R45" s="198"/>
      <c r="S45" s="198"/>
      <c r="T45" s="198"/>
      <c r="U45" s="198"/>
    </row>
    <row r="46" spans="1:21" s="12" customFormat="1" x14ac:dyDescent="0.25">
      <c r="A46" s="214" t="s">
        <v>1725</v>
      </c>
      <c r="B46" s="64">
        <v>16.059999999999999</v>
      </c>
      <c r="C46" s="64">
        <v>27.02</v>
      </c>
      <c r="D46" s="64">
        <v>26.92</v>
      </c>
      <c r="E46" s="64">
        <v>2.0699999999999998</v>
      </c>
      <c r="F46" s="64">
        <v>3.9</v>
      </c>
      <c r="G46" s="64">
        <v>60.52</v>
      </c>
      <c r="H46" s="64">
        <v>22.97</v>
      </c>
      <c r="I46" s="64">
        <v>9.58</v>
      </c>
      <c r="J46" s="64">
        <v>0.04</v>
      </c>
      <c r="K46" s="64">
        <v>105.15</v>
      </c>
      <c r="L46" s="64">
        <v>31.26</v>
      </c>
      <c r="M46" s="64">
        <v>55.67</v>
      </c>
      <c r="N46" s="64">
        <v>701.5</v>
      </c>
      <c r="O46" s="64">
        <v>0</v>
      </c>
      <c r="P46" s="64">
        <v>0.73</v>
      </c>
      <c r="Q46" s="64">
        <v>9.2799999999999994</v>
      </c>
      <c r="R46" s="198"/>
      <c r="S46" s="198"/>
      <c r="T46" s="198"/>
      <c r="U46" s="198"/>
    </row>
    <row r="47" spans="1:21" s="12" customFormat="1" x14ac:dyDescent="0.25">
      <c r="A47" s="214" t="s">
        <v>1726</v>
      </c>
      <c r="B47" s="64">
        <v>14.65</v>
      </c>
      <c r="C47" s="64">
        <v>27.12</v>
      </c>
      <c r="D47" s="64">
        <v>25.84</v>
      </c>
      <c r="E47" s="64">
        <v>1.6</v>
      </c>
      <c r="F47" s="64">
        <v>3.92</v>
      </c>
      <c r="G47" s="64">
        <v>60.52</v>
      </c>
      <c r="H47" s="64">
        <v>22.97</v>
      </c>
      <c r="I47" s="64">
        <v>9.51</v>
      </c>
      <c r="J47" s="64">
        <v>0.16</v>
      </c>
      <c r="K47" s="64">
        <v>196.77</v>
      </c>
      <c r="L47" s="64">
        <v>32.57</v>
      </c>
      <c r="M47" s="64">
        <v>47</v>
      </c>
      <c r="N47" s="64">
        <v>747.8</v>
      </c>
      <c r="O47" s="64">
        <v>0</v>
      </c>
      <c r="P47" s="64">
        <v>0.72</v>
      </c>
      <c r="Q47" s="64">
        <v>9.31</v>
      </c>
      <c r="R47" s="198"/>
      <c r="S47" s="198"/>
      <c r="T47" s="198"/>
      <c r="U47" s="198"/>
    </row>
    <row r="48" spans="1:21" s="12" customFormat="1" x14ac:dyDescent="0.25">
      <c r="A48" s="214" t="s">
        <v>1727</v>
      </c>
      <c r="B48" s="64">
        <v>13.13</v>
      </c>
      <c r="C48" s="64">
        <v>27.11</v>
      </c>
      <c r="D48" s="64">
        <v>24.61</v>
      </c>
      <c r="E48" s="64">
        <v>1.88</v>
      </c>
      <c r="F48" s="64">
        <v>3.87</v>
      </c>
      <c r="G48" s="64">
        <v>60.19</v>
      </c>
      <c r="H48" s="64">
        <v>22.5</v>
      </c>
      <c r="I48" s="64">
        <v>9.4700000000000006</v>
      </c>
      <c r="J48" s="64">
        <v>0.37</v>
      </c>
      <c r="K48" s="64">
        <v>183.81</v>
      </c>
      <c r="L48" s="64">
        <v>32.58</v>
      </c>
      <c r="M48" s="64">
        <v>44.71</v>
      </c>
      <c r="N48" s="64">
        <v>790.5</v>
      </c>
      <c r="O48" s="64">
        <v>0</v>
      </c>
      <c r="P48" s="64">
        <v>0.7</v>
      </c>
      <c r="Q48" s="64">
        <v>9.26</v>
      </c>
      <c r="R48" s="198"/>
      <c r="S48" s="198"/>
      <c r="T48" s="198"/>
      <c r="U48" s="198"/>
    </row>
    <row r="49" spans="1:21" s="12" customFormat="1" x14ac:dyDescent="0.25">
      <c r="A49" s="214" t="s">
        <v>1728</v>
      </c>
      <c r="B49" s="64">
        <v>11.27</v>
      </c>
      <c r="C49" s="64">
        <v>27.58</v>
      </c>
      <c r="D49" s="64">
        <v>23.37</v>
      </c>
      <c r="E49" s="64">
        <v>1.69</v>
      </c>
      <c r="F49" s="64">
        <v>3.95</v>
      </c>
      <c r="G49" s="64">
        <v>55.46</v>
      </c>
      <c r="H49" s="64">
        <v>15.87</v>
      </c>
      <c r="I49" s="64">
        <v>9.73</v>
      </c>
      <c r="J49" s="64">
        <v>0.72</v>
      </c>
      <c r="K49" s="64">
        <v>162.26</v>
      </c>
      <c r="L49" s="64">
        <v>32.22</v>
      </c>
      <c r="M49" s="64">
        <v>48.91</v>
      </c>
      <c r="N49" s="64">
        <v>827.5</v>
      </c>
      <c r="O49" s="64">
        <v>0</v>
      </c>
      <c r="P49" s="64">
        <v>0.7</v>
      </c>
      <c r="Q49" s="64">
        <v>9.24</v>
      </c>
      <c r="R49" s="198"/>
      <c r="S49" s="198"/>
      <c r="T49" s="198"/>
      <c r="U49" s="198"/>
    </row>
    <row r="50" spans="1:21" s="12" customFormat="1" x14ac:dyDescent="0.25">
      <c r="A50" s="214" t="s">
        <v>1729</v>
      </c>
      <c r="B50" s="64">
        <v>9.27</v>
      </c>
      <c r="C50" s="64">
        <v>27.59</v>
      </c>
      <c r="D50" s="64">
        <v>21.77</v>
      </c>
      <c r="E50" s="64">
        <v>1.84</v>
      </c>
      <c r="F50" s="64">
        <v>3.79</v>
      </c>
      <c r="G50" s="64">
        <v>55.46</v>
      </c>
      <c r="H50" s="64">
        <v>15.87</v>
      </c>
      <c r="I50" s="64">
        <v>9.8000000000000007</v>
      </c>
      <c r="J50" s="64">
        <v>1.07</v>
      </c>
      <c r="K50" s="64">
        <v>163.11000000000001</v>
      </c>
      <c r="L50" s="64">
        <v>32.049999999999997</v>
      </c>
      <c r="M50" s="64">
        <v>47.98</v>
      </c>
      <c r="N50" s="64">
        <v>855.9</v>
      </c>
      <c r="O50" s="64">
        <v>0</v>
      </c>
      <c r="P50" s="64">
        <v>0.68</v>
      </c>
      <c r="Q50" s="64">
        <v>9.23</v>
      </c>
      <c r="R50" s="198"/>
      <c r="S50" s="198"/>
      <c r="T50" s="198"/>
      <c r="U50" s="198"/>
    </row>
    <row r="51" spans="1:21" s="12" customFormat="1" x14ac:dyDescent="0.25">
      <c r="A51" s="214" t="s">
        <v>1730</v>
      </c>
      <c r="B51" s="64">
        <v>7.29</v>
      </c>
      <c r="C51" s="64">
        <v>27.63</v>
      </c>
      <c r="D51" s="64">
        <v>20.2</v>
      </c>
      <c r="E51" s="64">
        <v>1.85</v>
      </c>
      <c r="F51" s="64">
        <v>4.16</v>
      </c>
      <c r="G51" s="64">
        <v>55.46</v>
      </c>
      <c r="H51" s="64">
        <v>15.87</v>
      </c>
      <c r="I51" s="64">
        <v>10.01</v>
      </c>
      <c r="J51" s="64">
        <v>0.9</v>
      </c>
      <c r="K51" s="64">
        <v>151.01</v>
      </c>
      <c r="L51" s="64">
        <v>32.549999999999997</v>
      </c>
      <c r="M51" s="64">
        <v>45.47</v>
      </c>
      <c r="N51" s="64">
        <v>878.2</v>
      </c>
      <c r="O51" s="64">
        <v>0</v>
      </c>
      <c r="P51" s="64">
        <v>0.66</v>
      </c>
      <c r="Q51" s="64">
        <v>9.16</v>
      </c>
      <c r="R51" s="198"/>
      <c r="S51" s="198"/>
      <c r="T51" s="198"/>
      <c r="U51" s="198"/>
    </row>
    <row r="52" spans="1:21" s="12" customFormat="1" x14ac:dyDescent="0.25">
      <c r="A52" s="214" t="s">
        <v>1731</v>
      </c>
      <c r="B52" s="64">
        <v>5.54</v>
      </c>
      <c r="C52" s="64">
        <v>27.78</v>
      </c>
      <c r="D52" s="64">
        <v>18.88</v>
      </c>
      <c r="E52" s="64">
        <v>2.0099999999999998</v>
      </c>
      <c r="F52" s="64">
        <v>4.24</v>
      </c>
      <c r="G52" s="64">
        <v>55.15</v>
      </c>
      <c r="H52" s="64">
        <v>15.86</v>
      </c>
      <c r="I52" s="64">
        <v>10.19</v>
      </c>
      <c r="J52" s="64">
        <v>0.65</v>
      </c>
      <c r="K52" s="64">
        <v>158.19999999999999</v>
      </c>
      <c r="L52" s="64">
        <v>33.130000000000003</v>
      </c>
      <c r="M52" s="64">
        <v>43.03</v>
      </c>
      <c r="N52" s="64">
        <v>897</v>
      </c>
      <c r="O52" s="64">
        <v>0</v>
      </c>
      <c r="P52" s="64">
        <v>0.64</v>
      </c>
      <c r="Q52" s="64">
        <v>9.18</v>
      </c>
      <c r="R52" s="198"/>
      <c r="S52" s="198"/>
      <c r="T52" s="198"/>
      <c r="U52" s="198"/>
    </row>
    <row r="53" spans="1:21" s="12" customFormat="1" x14ac:dyDescent="0.25">
      <c r="A53" s="214" t="s">
        <v>1732</v>
      </c>
      <c r="B53" s="64">
        <v>3.8</v>
      </c>
      <c r="C53" s="64">
        <v>28.2</v>
      </c>
      <c r="D53" s="64">
        <v>17.7</v>
      </c>
      <c r="E53" s="64">
        <v>1.68</v>
      </c>
      <c r="F53" s="64">
        <v>4.3899999999999997</v>
      </c>
      <c r="G53" s="64">
        <v>50.81</v>
      </c>
      <c r="H53" s="64">
        <v>15.75</v>
      </c>
      <c r="I53" s="64">
        <v>10.37</v>
      </c>
      <c r="J53" s="64">
        <v>0.34</v>
      </c>
      <c r="K53" s="64">
        <v>194.36</v>
      </c>
      <c r="L53" s="64">
        <v>33.71</v>
      </c>
      <c r="M53" s="64">
        <v>41.71</v>
      </c>
      <c r="N53" s="64">
        <v>914.1</v>
      </c>
      <c r="O53" s="64">
        <v>0</v>
      </c>
      <c r="P53" s="64">
        <v>0.62</v>
      </c>
      <c r="Q53" s="64">
        <v>9.1999999999999993</v>
      </c>
      <c r="R53" s="198"/>
      <c r="S53" s="198"/>
      <c r="T53" s="198"/>
      <c r="U53" s="198"/>
    </row>
    <row r="54" spans="1:21" s="12" customFormat="1" x14ac:dyDescent="0.25">
      <c r="A54" s="214" t="s">
        <v>1733</v>
      </c>
      <c r="B54" s="64">
        <v>2.09</v>
      </c>
      <c r="C54" s="64">
        <v>29.42</v>
      </c>
      <c r="D54" s="64">
        <v>16.97</v>
      </c>
      <c r="E54" s="64">
        <v>1.84</v>
      </c>
      <c r="F54" s="64">
        <v>5.51</v>
      </c>
      <c r="G54" s="64">
        <v>50.81</v>
      </c>
      <c r="H54" s="64">
        <v>15.75</v>
      </c>
      <c r="I54" s="64">
        <v>10.46</v>
      </c>
      <c r="J54" s="64">
        <v>0.42</v>
      </c>
      <c r="K54" s="64">
        <v>155.03</v>
      </c>
      <c r="L54" s="64">
        <v>33.950000000000003</v>
      </c>
      <c r="M54" s="64">
        <v>37.1</v>
      </c>
      <c r="N54" s="64">
        <v>925.8</v>
      </c>
      <c r="O54" s="64">
        <v>0</v>
      </c>
      <c r="P54" s="64">
        <v>0.61</v>
      </c>
      <c r="Q54" s="64">
        <v>9.15</v>
      </c>
      <c r="R54" s="198"/>
      <c r="S54" s="198"/>
      <c r="T54" s="198"/>
      <c r="U54" s="198"/>
    </row>
    <row r="55" spans="1:21" s="12" customFormat="1" x14ac:dyDescent="0.25">
      <c r="A55" s="214" t="s">
        <v>1734</v>
      </c>
      <c r="B55" s="64">
        <v>0.91</v>
      </c>
      <c r="C55" s="64">
        <v>31.71</v>
      </c>
      <c r="D55" s="64">
        <v>17.22</v>
      </c>
      <c r="E55" s="64">
        <v>1.92</v>
      </c>
      <c r="F55" s="64">
        <v>6.02</v>
      </c>
      <c r="G55" s="64">
        <v>50.81</v>
      </c>
      <c r="H55" s="64">
        <v>15.75</v>
      </c>
      <c r="I55" s="64">
        <v>10.199999999999999</v>
      </c>
      <c r="J55" s="64">
        <v>0.28999999999999998</v>
      </c>
      <c r="K55" s="64">
        <v>126.71</v>
      </c>
      <c r="L55" s="64">
        <v>34.520000000000003</v>
      </c>
      <c r="M55" s="64">
        <v>36.35</v>
      </c>
      <c r="N55" s="64">
        <v>924.3</v>
      </c>
      <c r="O55" s="64">
        <v>0</v>
      </c>
      <c r="P55" s="64">
        <v>0.61</v>
      </c>
      <c r="Q55" s="64">
        <v>9.1300000000000008</v>
      </c>
      <c r="R55" s="198"/>
      <c r="S55" s="198"/>
      <c r="T55" s="198"/>
      <c r="U55" s="198"/>
    </row>
    <row r="56" spans="1:21" s="12" customFormat="1" x14ac:dyDescent="0.25">
      <c r="A56" s="214" t="s">
        <v>1735</v>
      </c>
      <c r="B56" s="64">
        <v>0.21</v>
      </c>
      <c r="C56" s="64">
        <v>30.4</v>
      </c>
      <c r="D56" s="64">
        <v>15.97</v>
      </c>
      <c r="E56" s="64">
        <v>0.77</v>
      </c>
      <c r="F56" s="64">
        <v>6.63</v>
      </c>
      <c r="G56" s="64">
        <v>50.53</v>
      </c>
      <c r="H56" s="64">
        <v>15.93</v>
      </c>
      <c r="I56" s="64">
        <v>9.91</v>
      </c>
      <c r="J56" s="64">
        <v>0.14000000000000001</v>
      </c>
      <c r="K56" s="64">
        <v>44.7</v>
      </c>
      <c r="L56" s="64">
        <v>35.229999999999997</v>
      </c>
      <c r="M56" s="64">
        <v>34.57</v>
      </c>
      <c r="N56" s="64">
        <v>908.5</v>
      </c>
      <c r="O56" s="64">
        <v>0</v>
      </c>
      <c r="P56" s="64">
        <v>0.6</v>
      </c>
      <c r="Q56" s="64">
        <v>9.1199999999999992</v>
      </c>
      <c r="R56" s="198"/>
      <c r="S56" s="198"/>
      <c r="T56" s="198"/>
      <c r="U56" s="198"/>
    </row>
    <row r="57" spans="1:21" s="12" customFormat="1" x14ac:dyDescent="0.25">
      <c r="A57" s="214" t="s">
        <v>1736</v>
      </c>
      <c r="B57" s="64">
        <v>0.1</v>
      </c>
      <c r="C57" s="64">
        <v>27.99</v>
      </c>
      <c r="D57" s="64">
        <v>14.63</v>
      </c>
      <c r="E57" s="64">
        <v>1.19</v>
      </c>
      <c r="F57" s="64">
        <v>4.2699999999999996</v>
      </c>
      <c r="G57" s="64">
        <v>46.64</v>
      </c>
      <c r="H57" s="64">
        <v>19.16</v>
      </c>
      <c r="I57" s="64">
        <v>9.75</v>
      </c>
      <c r="J57" s="64">
        <v>0.74</v>
      </c>
      <c r="K57" s="64">
        <v>334.46</v>
      </c>
      <c r="L57" s="64">
        <v>37.61</v>
      </c>
      <c r="M57" s="64">
        <v>26.99</v>
      </c>
      <c r="N57" s="64">
        <v>931.5</v>
      </c>
      <c r="O57" s="64">
        <v>0</v>
      </c>
      <c r="P57" s="64">
        <v>0.59</v>
      </c>
      <c r="Q57" s="64">
        <v>9.1199999999999992</v>
      </c>
      <c r="R57" s="198"/>
      <c r="S57" s="198"/>
      <c r="T57" s="198"/>
      <c r="U57" s="198"/>
    </row>
    <row r="58" spans="1:21" s="12" customFormat="1" x14ac:dyDescent="0.25">
      <c r="A58" s="214" t="s">
        <v>1737</v>
      </c>
      <c r="B58" s="64">
        <v>0.1</v>
      </c>
      <c r="C58" s="64">
        <v>27.55</v>
      </c>
      <c r="D58" s="64">
        <v>14.39</v>
      </c>
      <c r="E58" s="64">
        <v>1.1299999999999999</v>
      </c>
      <c r="F58" s="64">
        <v>4.79</v>
      </c>
      <c r="G58" s="64">
        <v>46.64</v>
      </c>
      <c r="H58" s="64">
        <v>19.16</v>
      </c>
      <c r="I58" s="64">
        <v>9.64</v>
      </c>
      <c r="J58" s="64">
        <v>0.95</v>
      </c>
      <c r="K58" s="64">
        <v>335.04</v>
      </c>
      <c r="L58" s="64">
        <v>38.93</v>
      </c>
      <c r="M58" s="64">
        <v>24.67</v>
      </c>
      <c r="N58" s="64">
        <v>927.7</v>
      </c>
      <c r="O58" s="64">
        <v>0</v>
      </c>
      <c r="P58" s="64">
        <v>0.57999999999999996</v>
      </c>
      <c r="Q58" s="64">
        <v>9.1199999999999992</v>
      </c>
      <c r="R58" s="198"/>
      <c r="S58" s="198"/>
      <c r="T58" s="198"/>
      <c r="U58" s="198"/>
    </row>
    <row r="59" spans="1:21" s="12" customFormat="1" x14ac:dyDescent="0.25">
      <c r="A59" s="214" t="s">
        <v>1738</v>
      </c>
      <c r="B59" s="64">
        <v>0.1</v>
      </c>
      <c r="C59" s="64">
        <v>28.94</v>
      </c>
      <c r="D59" s="64">
        <v>15.12</v>
      </c>
      <c r="E59" s="64">
        <v>1.46</v>
      </c>
      <c r="F59" s="64">
        <v>4.6500000000000004</v>
      </c>
      <c r="G59" s="64">
        <v>46.64</v>
      </c>
      <c r="H59" s="64">
        <v>19.16</v>
      </c>
      <c r="I59" s="64">
        <v>9.39</v>
      </c>
      <c r="J59" s="64">
        <v>1.08</v>
      </c>
      <c r="K59" s="64">
        <v>353.35</v>
      </c>
      <c r="L59" s="64">
        <v>39.44</v>
      </c>
      <c r="M59" s="64">
        <v>22.49</v>
      </c>
      <c r="N59" s="64">
        <v>915.1</v>
      </c>
      <c r="O59" s="64">
        <v>0</v>
      </c>
      <c r="P59" s="64">
        <v>0.57999999999999996</v>
      </c>
      <c r="Q59" s="64">
        <v>9.14</v>
      </c>
      <c r="R59" s="198"/>
      <c r="S59" s="198"/>
      <c r="T59" s="198"/>
      <c r="U59" s="198"/>
    </row>
    <row r="60" spans="1:21" s="12" customFormat="1" x14ac:dyDescent="0.25">
      <c r="A60" s="214" t="s">
        <v>1739</v>
      </c>
      <c r="B60" s="64">
        <v>0.1</v>
      </c>
      <c r="C60" s="64">
        <v>27.89</v>
      </c>
      <c r="D60" s="64">
        <v>14.57</v>
      </c>
      <c r="E60" s="64">
        <v>0.97</v>
      </c>
      <c r="F60" s="64">
        <v>4.72</v>
      </c>
      <c r="G60" s="64">
        <v>46.38</v>
      </c>
      <c r="H60" s="64">
        <v>18.96</v>
      </c>
      <c r="I60" s="64">
        <v>9.1</v>
      </c>
      <c r="J60" s="64">
        <v>0.67</v>
      </c>
      <c r="K60" s="64">
        <v>345.37</v>
      </c>
      <c r="L60" s="64">
        <v>38.159999999999997</v>
      </c>
      <c r="M60" s="64">
        <v>24.85</v>
      </c>
      <c r="N60" s="64">
        <v>895.8</v>
      </c>
      <c r="O60" s="64">
        <v>0</v>
      </c>
      <c r="P60" s="64">
        <v>0.56999999999999995</v>
      </c>
      <c r="Q60" s="64">
        <v>9.1199999999999992</v>
      </c>
      <c r="R60" s="198"/>
      <c r="S60" s="198"/>
      <c r="T60" s="198"/>
      <c r="U60" s="198"/>
    </row>
    <row r="61" spans="1:21" s="12" customFormat="1" x14ac:dyDescent="0.25">
      <c r="A61" s="214" t="s">
        <v>1740</v>
      </c>
      <c r="B61" s="64">
        <v>0.1</v>
      </c>
      <c r="C61" s="64">
        <v>27.02</v>
      </c>
      <c r="D61" s="64">
        <v>14.12</v>
      </c>
      <c r="E61" s="64">
        <v>0.98</v>
      </c>
      <c r="F61" s="64">
        <v>4.75</v>
      </c>
      <c r="G61" s="64">
        <v>42.66</v>
      </c>
      <c r="H61" s="64">
        <v>15.57</v>
      </c>
      <c r="I61" s="64">
        <v>8.81</v>
      </c>
      <c r="J61" s="64">
        <v>0.69</v>
      </c>
      <c r="K61" s="64">
        <v>344.32</v>
      </c>
      <c r="L61" s="64">
        <v>37.97</v>
      </c>
      <c r="M61" s="64">
        <v>26.79</v>
      </c>
      <c r="N61" s="64">
        <v>874.7</v>
      </c>
      <c r="O61" s="64">
        <v>0</v>
      </c>
      <c r="P61" s="64">
        <v>0.54</v>
      </c>
      <c r="Q61" s="64">
        <v>9.09</v>
      </c>
      <c r="R61" s="198"/>
      <c r="S61" s="198"/>
      <c r="T61" s="198"/>
      <c r="U61" s="198"/>
    </row>
    <row r="62" spans="1:21" s="12" customFormat="1" x14ac:dyDescent="0.25">
      <c r="A62" s="214" t="s">
        <v>1741</v>
      </c>
      <c r="B62" s="64">
        <v>0.1</v>
      </c>
      <c r="C62" s="64">
        <v>27.32</v>
      </c>
      <c r="D62" s="64">
        <v>14.27</v>
      </c>
      <c r="E62" s="64">
        <v>0.8</v>
      </c>
      <c r="F62" s="64">
        <v>4.99</v>
      </c>
      <c r="G62" s="64">
        <v>42.66</v>
      </c>
      <c r="H62" s="64">
        <v>15.57</v>
      </c>
      <c r="I62" s="64">
        <v>8.5</v>
      </c>
      <c r="J62" s="64">
        <v>0.4</v>
      </c>
      <c r="K62" s="64">
        <v>26.62</v>
      </c>
      <c r="L62" s="64">
        <v>38.03</v>
      </c>
      <c r="M62" s="64">
        <v>25.18</v>
      </c>
      <c r="N62" s="64">
        <v>854.4</v>
      </c>
      <c r="O62" s="64">
        <v>0</v>
      </c>
      <c r="P62" s="64">
        <v>0.54</v>
      </c>
      <c r="Q62" s="64">
        <v>9.14</v>
      </c>
      <c r="R62" s="198"/>
      <c r="S62" s="198"/>
      <c r="T62" s="198"/>
      <c r="U62" s="198"/>
    </row>
    <row r="63" spans="1:21" s="12" customFormat="1" x14ac:dyDescent="0.25">
      <c r="A63" s="214" t="s">
        <v>1742</v>
      </c>
      <c r="B63" s="64">
        <v>0.1</v>
      </c>
      <c r="C63" s="64">
        <v>27.86</v>
      </c>
      <c r="D63" s="64">
        <v>14.55</v>
      </c>
      <c r="E63" s="64">
        <v>1.24</v>
      </c>
      <c r="F63" s="64">
        <v>5.09</v>
      </c>
      <c r="G63" s="64">
        <v>42.66</v>
      </c>
      <c r="H63" s="64">
        <v>15.57</v>
      </c>
      <c r="I63" s="64">
        <v>8.2899999999999991</v>
      </c>
      <c r="J63" s="64">
        <v>0.36</v>
      </c>
      <c r="K63" s="64">
        <v>68.48</v>
      </c>
      <c r="L63" s="64">
        <v>36.42</v>
      </c>
      <c r="M63" s="64">
        <v>24.85</v>
      </c>
      <c r="N63" s="64">
        <v>814.3</v>
      </c>
      <c r="O63" s="64">
        <v>0</v>
      </c>
      <c r="P63" s="64">
        <v>0.53</v>
      </c>
      <c r="Q63" s="64">
        <v>9.15</v>
      </c>
      <c r="R63" s="198"/>
      <c r="S63" s="198"/>
      <c r="T63" s="198"/>
      <c r="U63" s="198"/>
    </row>
    <row r="64" spans="1:21" s="12" customFormat="1" x14ac:dyDescent="0.25">
      <c r="A64" s="214" t="s">
        <v>1743</v>
      </c>
      <c r="B64" s="64">
        <v>0.1</v>
      </c>
      <c r="C64" s="64">
        <v>28.73</v>
      </c>
      <c r="D64" s="64">
        <v>15.01</v>
      </c>
      <c r="E64" s="64">
        <v>0.72</v>
      </c>
      <c r="F64" s="64">
        <v>5.01</v>
      </c>
      <c r="G64" s="64">
        <v>42.62</v>
      </c>
      <c r="H64" s="64">
        <v>16.420000000000002</v>
      </c>
      <c r="I64" s="64">
        <v>8.15</v>
      </c>
      <c r="J64" s="64">
        <v>0.66</v>
      </c>
      <c r="K64" s="64">
        <v>338.5</v>
      </c>
      <c r="L64" s="64">
        <v>38.06</v>
      </c>
      <c r="M64" s="64">
        <v>24.15</v>
      </c>
      <c r="N64" s="64">
        <v>767.4</v>
      </c>
      <c r="O64" s="64">
        <v>0</v>
      </c>
      <c r="P64" s="64">
        <v>0.52</v>
      </c>
      <c r="Q64" s="64">
        <v>9.1300000000000008</v>
      </c>
      <c r="R64" s="198"/>
      <c r="S64" s="198"/>
      <c r="T64" s="198"/>
      <c r="U64" s="198"/>
    </row>
    <row r="65" spans="1:21" s="12" customFormat="1" x14ac:dyDescent="0.25">
      <c r="A65" s="214" t="s">
        <v>1744</v>
      </c>
      <c r="B65" s="64">
        <v>0.1</v>
      </c>
      <c r="C65" s="64">
        <v>29.61</v>
      </c>
      <c r="D65" s="64">
        <v>15.47</v>
      </c>
      <c r="E65" s="64">
        <v>0.89</v>
      </c>
      <c r="F65" s="64">
        <v>4.9800000000000004</v>
      </c>
      <c r="G65" s="64">
        <v>42.03</v>
      </c>
      <c r="H65" s="64">
        <v>28.27</v>
      </c>
      <c r="I65" s="64">
        <v>8.1199999999999992</v>
      </c>
      <c r="J65" s="64">
        <v>0.35</v>
      </c>
      <c r="K65" s="64">
        <v>61.75</v>
      </c>
      <c r="L65" s="64">
        <v>37.76</v>
      </c>
      <c r="M65" s="64">
        <v>23.02</v>
      </c>
      <c r="N65" s="64">
        <v>648.20000000000005</v>
      </c>
      <c r="O65" s="64">
        <v>0</v>
      </c>
      <c r="P65" s="64">
        <v>0.51</v>
      </c>
      <c r="Q65" s="64">
        <v>9.15</v>
      </c>
      <c r="R65" s="198"/>
      <c r="S65" s="198"/>
      <c r="T65" s="198"/>
      <c r="U65" s="198"/>
    </row>
    <row r="66" spans="1:21" s="12" customFormat="1" x14ac:dyDescent="0.25">
      <c r="A66" s="214" t="s">
        <v>1745</v>
      </c>
      <c r="B66" s="64">
        <v>0.1</v>
      </c>
      <c r="C66" s="64">
        <v>29.09</v>
      </c>
      <c r="D66" s="64">
        <v>15.2</v>
      </c>
      <c r="E66" s="64">
        <v>0.95</v>
      </c>
      <c r="F66" s="64">
        <v>4.0199999999999996</v>
      </c>
      <c r="G66" s="64">
        <v>42.03</v>
      </c>
      <c r="H66" s="64">
        <v>28.27</v>
      </c>
      <c r="I66" s="64">
        <v>8.1</v>
      </c>
      <c r="J66" s="64">
        <v>0.33</v>
      </c>
      <c r="K66" s="64">
        <v>335.37</v>
      </c>
      <c r="L66" s="64">
        <v>37.159999999999997</v>
      </c>
      <c r="M66" s="64">
        <v>25.86</v>
      </c>
      <c r="N66" s="64">
        <v>561.5</v>
      </c>
      <c r="O66" s="64">
        <v>0</v>
      </c>
      <c r="P66" s="64">
        <v>0.5</v>
      </c>
      <c r="Q66" s="64">
        <v>9.17</v>
      </c>
      <c r="R66" s="198"/>
      <c r="S66" s="198"/>
      <c r="T66" s="198"/>
      <c r="U66" s="198"/>
    </row>
    <row r="67" spans="1:21" s="12" customFormat="1" x14ac:dyDescent="0.25">
      <c r="A67" s="214" t="s">
        <v>1746</v>
      </c>
      <c r="B67" s="64">
        <v>0.1</v>
      </c>
      <c r="C67" s="64">
        <v>25.54</v>
      </c>
      <c r="D67" s="64">
        <v>13.34</v>
      </c>
      <c r="E67" s="64">
        <v>0.95</v>
      </c>
      <c r="F67" s="64">
        <v>5.32</v>
      </c>
      <c r="G67" s="64">
        <v>42.03</v>
      </c>
      <c r="H67" s="64">
        <v>28.27</v>
      </c>
      <c r="I67" s="64">
        <v>8.23</v>
      </c>
      <c r="J67" s="64">
        <v>0.36</v>
      </c>
      <c r="K67" s="64">
        <v>308.56</v>
      </c>
      <c r="L67" s="64">
        <v>37.78</v>
      </c>
      <c r="M67" s="64">
        <v>26.34</v>
      </c>
      <c r="N67" s="64">
        <v>479.3</v>
      </c>
      <c r="O67" s="64">
        <v>0</v>
      </c>
      <c r="P67" s="64">
        <v>0.49</v>
      </c>
      <c r="Q67" s="64">
        <v>9.14</v>
      </c>
      <c r="R67" s="198"/>
      <c r="S67" s="198"/>
      <c r="T67" s="198"/>
      <c r="U67" s="198"/>
    </row>
    <row r="68" spans="1:21" s="12" customFormat="1" x14ac:dyDescent="0.25">
      <c r="A68" s="214" t="s">
        <v>1747</v>
      </c>
      <c r="B68" s="64">
        <v>0.1</v>
      </c>
      <c r="C68" s="64">
        <v>25.12</v>
      </c>
      <c r="D68" s="64">
        <v>13.13</v>
      </c>
      <c r="E68" s="64">
        <v>0.54</v>
      </c>
      <c r="F68" s="64">
        <v>5.33</v>
      </c>
      <c r="G68" s="64">
        <v>42.14</v>
      </c>
      <c r="H68" s="64">
        <v>27.64</v>
      </c>
      <c r="I68" s="64">
        <v>8.31</v>
      </c>
      <c r="J68" s="64">
        <v>0.65</v>
      </c>
      <c r="K68" s="64">
        <v>160.72</v>
      </c>
      <c r="L68" s="64">
        <v>36.64</v>
      </c>
      <c r="M68" s="64">
        <v>29.06</v>
      </c>
      <c r="N68" s="64">
        <v>391.1</v>
      </c>
      <c r="O68" s="64">
        <v>0</v>
      </c>
      <c r="P68" s="64">
        <v>0.49</v>
      </c>
      <c r="Q68" s="64">
        <v>9.1</v>
      </c>
      <c r="R68" s="198"/>
      <c r="S68" s="198"/>
      <c r="T68" s="198"/>
      <c r="U68" s="198"/>
    </row>
    <row r="69" spans="1:21" s="12" customFormat="1" x14ac:dyDescent="0.25">
      <c r="A69" s="214" t="s">
        <v>1748</v>
      </c>
      <c r="B69" s="64">
        <v>0.1</v>
      </c>
      <c r="C69" s="64">
        <v>24.6</v>
      </c>
      <c r="D69" s="64">
        <v>12.85</v>
      </c>
      <c r="E69" s="64">
        <v>0.67</v>
      </c>
      <c r="F69" s="64">
        <v>5.68</v>
      </c>
      <c r="G69" s="64">
        <v>43.65</v>
      </c>
      <c r="H69" s="64">
        <v>18.79</v>
      </c>
      <c r="I69" s="64">
        <v>8.09</v>
      </c>
      <c r="J69" s="64">
        <v>1.1599999999999999</v>
      </c>
      <c r="K69" s="64">
        <v>160.75</v>
      </c>
      <c r="L69" s="64">
        <v>34.630000000000003</v>
      </c>
      <c r="M69" s="64">
        <v>30.8</v>
      </c>
      <c r="N69" s="64">
        <v>232.4</v>
      </c>
      <c r="O69" s="64">
        <v>0</v>
      </c>
      <c r="P69" s="64">
        <v>0.48</v>
      </c>
      <c r="Q69" s="64">
        <v>9.1300000000000008</v>
      </c>
      <c r="R69" s="198"/>
      <c r="S69" s="198"/>
      <c r="T69" s="198"/>
      <c r="U69" s="198"/>
    </row>
    <row r="70" spans="1:21" s="12" customFormat="1" x14ac:dyDescent="0.25">
      <c r="A70" s="214" t="s">
        <v>1749</v>
      </c>
      <c r="B70" s="64">
        <v>0.1</v>
      </c>
      <c r="C70" s="64">
        <v>23.84</v>
      </c>
      <c r="D70" s="64">
        <v>12.45</v>
      </c>
      <c r="E70" s="64">
        <v>0.87</v>
      </c>
      <c r="F70" s="64">
        <v>6.19</v>
      </c>
      <c r="G70" s="64">
        <v>43.65</v>
      </c>
      <c r="H70" s="64">
        <v>18.79</v>
      </c>
      <c r="I70" s="64">
        <v>8.1199999999999992</v>
      </c>
      <c r="J70" s="64">
        <v>1.1200000000000001</v>
      </c>
      <c r="K70" s="64">
        <v>157.15</v>
      </c>
      <c r="L70" s="64">
        <v>34</v>
      </c>
      <c r="M70" s="64">
        <v>32.369999999999997</v>
      </c>
      <c r="N70" s="64">
        <v>176.3</v>
      </c>
      <c r="O70" s="64">
        <v>0</v>
      </c>
      <c r="P70" s="64">
        <v>0.48</v>
      </c>
      <c r="Q70" s="64">
        <v>9.1300000000000008</v>
      </c>
      <c r="R70" s="198"/>
      <c r="S70" s="198"/>
      <c r="T70" s="198"/>
      <c r="U70" s="198"/>
    </row>
    <row r="71" spans="1:21" s="12" customFormat="1" x14ac:dyDescent="0.25">
      <c r="A71" s="214" t="s">
        <v>1750</v>
      </c>
      <c r="B71" s="64">
        <v>0.1</v>
      </c>
      <c r="C71" s="64">
        <v>23.52</v>
      </c>
      <c r="D71" s="64">
        <v>12.29</v>
      </c>
      <c r="E71" s="64">
        <v>1.21</v>
      </c>
      <c r="F71" s="64">
        <v>5.95</v>
      </c>
      <c r="G71" s="64">
        <v>43.65</v>
      </c>
      <c r="H71" s="64">
        <v>18.79</v>
      </c>
      <c r="I71" s="64">
        <v>8.4700000000000006</v>
      </c>
      <c r="J71" s="64">
        <v>0.42</v>
      </c>
      <c r="K71" s="64">
        <v>202.12</v>
      </c>
      <c r="L71" s="64">
        <v>33.75</v>
      </c>
      <c r="M71" s="64">
        <v>32.65</v>
      </c>
      <c r="N71" s="64">
        <v>120.2</v>
      </c>
      <c r="O71" s="64">
        <v>0</v>
      </c>
      <c r="P71" s="64">
        <v>0.47</v>
      </c>
      <c r="Q71" s="64">
        <v>9.16</v>
      </c>
      <c r="R71" s="198"/>
      <c r="S71" s="198"/>
      <c r="T71" s="198"/>
      <c r="U71" s="198"/>
    </row>
    <row r="72" spans="1:21" s="12" customFormat="1" x14ac:dyDescent="0.25">
      <c r="A72" s="214" t="s">
        <v>1751</v>
      </c>
      <c r="B72" s="64">
        <v>0.1</v>
      </c>
      <c r="C72" s="64">
        <v>22.38</v>
      </c>
      <c r="D72" s="64">
        <v>11.7</v>
      </c>
      <c r="E72" s="64">
        <v>1.0900000000000001</v>
      </c>
      <c r="F72" s="64">
        <v>6.53</v>
      </c>
      <c r="G72" s="64">
        <v>43.71</v>
      </c>
      <c r="H72" s="64">
        <v>19.38</v>
      </c>
      <c r="I72" s="64">
        <v>8.69</v>
      </c>
      <c r="J72" s="64">
        <v>0.26</v>
      </c>
      <c r="K72" s="64">
        <v>217.42</v>
      </c>
      <c r="L72" s="64">
        <v>33.619999999999997</v>
      </c>
      <c r="M72" s="64">
        <v>33.14</v>
      </c>
      <c r="N72" s="64">
        <v>115.8</v>
      </c>
      <c r="O72" s="64">
        <v>0</v>
      </c>
      <c r="P72" s="64">
        <v>0.48</v>
      </c>
      <c r="Q72" s="64">
        <v>9.15</v>
      </c>
      <c r="R72" s="198"/>
      <c r="S72" s="198"/>
      <c r="T72" s="198"/>
      <c r="U72" s="198"/>
    </row>
    <row r="73" spans="1:21" s="12" customFormat="1" x14ac:dyDescent="0.25">
      <c r="A73" s="214" t="s">
        <v>1752</v>
      </c>
      <c r="B73" s="64">
        <v>0.1</v>
      </c>
      <c r="C73" s="64">
        <v>21.49</v>
      </c>
      <c r="D73" s="64">
        <v>11.23</v>
      </c>
      <c r="E73" s="64">
        <v>1.58</v>
      </c>
      <c r="F73" s="64">
        <v>6.45</v>
      </c>
      <c r="G73" s="64">
        <v>44.53</v>
      </c>
      <c r="H73" s="64">
        <v>27.64</v>
      </c>
      <c r="I73" s="64">
        <v>8.8000000000000007</v>
      </c>
      <c r="J73" s="64">
        <v>0.11</v>
      </c>
      <c r="K73" s="64">
        <v>254.57</v>
      </c>
      <c r="L73" s="64">
        <v>33.65</v>
      </c>
      <c r="M73" s="64">
        <v>33.04</v>
      </c>
      <c r="N73" s="64">
        <v>124</v>
      </c>
      <c r="O73" s="64">
        <v>0</v>
      </c>
      <c r="P73" s="64">
        <v>0.49</v>
      </c>
      <c r="Q73" s="64">
        <v>9.17</v>
      </c>
      <c r="R73" s="198"/>
      <c r="S73" s="198"/>
      <c r="T73" s="198"/>
      <c r="U73" s="198"/>
    </row>
    <row r="74" spans="1:21" s="12" customFormat="1" x14ac:dyDescent="0.25">
      <c r="A74" s="214" t="s">
        <v>1753</v>
      </c>
      <c r="B74" s="64">
        <v>0.1</v>
      </c>
      <c r="C74" s="64">
        <v>21.74</v>
      </c>
      <c r="D74" s="64">
        <v>11.36</v>
      </c>
      <c r="E74" s="64">
        <v>1.2</v>
      </c>
      <c r="F74" s="64">
        <v>6.34</v>
      </c>
      <c r="G74" s="64">
        <v>44.53</v>
      </c>
      <c r="H74" s="64">
        <v>27.64</v>
      </c>
      <c r="I74" s="64">
        <v>8.59</v>
      </c>
      <c r="J74" s="64">
        <v>0.33</v>
      </c>
      <c r="K74" s="64">
        <v>205.39</v>
      </c>
      <c r="L74" s="64">
        <v>33.5</v>
      </c>
      <c r="M74" s="64">
        <v>33.4</v>
      </c>
      <c r="N74" s="64">
        <v>102.5</v>
      </c>
      <c r="O74" s="64">
        <v>0</v>
      </c>
      <c r="P74" s="64">
        <v>0.5</v>
      </c>
      <c r="Q74" s="64">
        <v>9.14</v>
      </c>
      <c r="R74" s="198"/>
      <c r="S74" s="198"/>
      <c r="T74" s="198"/>
      <c r="U74" s="198"/>
    </row>
    <row r="75" spans="1:21" s="12" customFormat="1" x14ac:dyDescent="0.25">
      <c r="A75" s="214" t="s">
        <v>1754</v>
      </c>
      <c r="B75" s="64">
        <v>0.1</v>
      </c>
      <c r="C75" s="64">
        <v>21.54</v>
      </c>
      <c r="D75" s="64">
        <v>11.26</v>
      </c>
      <c r="E75" s="64">
        <v>1.36</v>
      </c>
      <c r="F75" s="64">
        <v>6.12</v>
      </c>
      <c r="G75" s="64">
        <v>44.53</v>
      </c>
      <c r="H75" s="64">
        <v>27.64</v>
      </c>
      <c r="I75" s="64">
        <v>8.44</v>
      </c>
      <c r="J75" s="64">
        <v>0.16</v>
      </c>
      <c r="K75" s="64">
        <v>222.48</v>
      </c>
      <c r="L75" s="64">
        <v>33.380000000000003</v>
      </c>
      <c r="M75" s="64">
        <v>33.340000000000003</v>
      </c>
      <c r="N75" s="64">
        <v>100.2</v>
      </c>
      <c r="O75" s="64">
        <v>0</v>
      </c>
      <c r="P75" s="64">
        <v>0.51</v>
      </c>
      <c r="Q75" s="64">
        <v>9.16</v>
      </c>
      <c r="R75" s="198"/>
      <c r="S75" s="198"/>
      <c r="T75" s="198"/>
      <c r="U75" s="198"/>
    </row>
    <row r="76" spans="1:21" s="12" customFormat="1" x14ac:dyDescent="0.25">
      <c r="A76" s="214" t="s">
        <v>1755</v>
      </c>
      <c r="B76" s="64">
        <v>0.1</v>
      </c>
      <c r="C76" s="64">
        <v>21.19</v>
      </c>
      <c r="D76" s="64">
        <v>11.07</v>
      </c>
      <c r="E76" s="64">
        <v>1.1399999999999999</v>
      </c>
      <c r="F76" s="64">
        <v>6.24</v>
      </c>
      <c r="G76" s="64">
        <v>44.58</v>
      </c>
      <c r="H76" s="64">
        <v>27.57</v>
      </c>
      <c r="I76" s="64">
        <v>8.41</v>
      </c>
      <c r="J76" s="64">
        <v>0.28999999999999998</v>
      </c>
      <c r="K76" s="64">
        <v>208.52</v>
      </c>
      <c r="L76" s="64">
        <v>32.82</v>
      </c>
      <c r="M76" s="64">
        <v>35.46</v>
      </c>
      <c r="N76" s="64">
        <v>56.6</v>
      </c>
      <c r="O76" s="64">
        <v>0</v>
      </c>
      <c r="P76" s="64">
        <v>0.5</v>
      </c>
      <c r="Q76" s="64">
        <v>9.16</v>
      </c>
      <c r="R76" s="198"/>
      <c r="S76" s="198"/>
      <c r="T76" s="198"/>
      <c r="U76" s="198"/>
    </row>
    <row r="77" spans="1:21" s="12" customFormat="1" x14ac:dyDescent="0.25">
      <c r="A77" s="214" t="s">
        <v>1756</v>
      </c>
      <c r="B77" s="64">
        <v>0.1</v>
      </c>
      <c r="C77" s="64">
        <v>21.04</v>
      </c>
      <c r="D77" s="64">
        <v>10.99</v>
      </c>
      <c r="E77" s="64">
        <v>1.33</v>
      </c>
      <c r="F77" s="64">
        <v>6.19</v>
      </c>
      <c r="G77" s="64">
        <v>45.35</v>
      </c>
      <c r="H77" s="64">
        <v>26.54</v>
      </c>
      <c r="I77" s="64">
        <v>8.23</v>
      </c>
      <c r="J77" s="64">
        <v>0.24</v>
      </c>
      <c r="K77" s="64">
        <v>340.72</v>
      </c>
      <c r="L77" s="64">
        <v>32.67</v>
      </c>
      <c r="M77" s="64">
        <v>37.380000000000003</v>
      </c>
      <c r="N77" s="64">
        <v>60.6</v>
      </c>
      <c r="O77" s="64">
        <v>0</v>
      </c>
      <c r="P77" s="64">
        <v>0.51</v>
      </c>
      <c r="Q77" s="64">
        <v>9.16</v>
      </c>
      <c r="R77" s="198"/>
      <c r="S77" s="198"/>
      <c r="T77" s="198"/>
      <c r="U77" s="198"/>
    </row>
    <row r="78" spans="1:21" s="12" customFormat="1" x14ac:dyDescent="0.25">
      <c r="A78" s="214" t="s">
        <v>1757</v>
      </c>
      <c r="B78" s="64">
        <v>0.1</v>
      </c>
      <c r="C78" s="64">
        <v>23.2</v>
      </c>
      <c r="D78" s="64">
        <v>12.12</v>
      </c>
      <c r="E78" s="64">
        <v>1.44</v>
      </c>
      <c r="F78" s="64">
        <v>5.35</v>
      </c>
      <c r="G78" s="64">
        <v>45.35</v>
      </c>
      <c r="H78" s="64">
        <v>26.54</v>
      </c>
      <c r="I78" s="64">
        <v>8.19</v>
      </c>
      <c r="J78" s="64">
        <v>0.59</v>
      </c>
      <c r="K78" s="64">
        <v>341.93</v>
      </c>
      <c r="L78" s="64">
        <v>32.19</v>
      </c>
      <c r="M78" s="64">
        <v>39.39</v>
      </c>
      <c r="N78" s="64">
        <v>61.1</v>
      </c>
      <c r="O78" s="64">
        <v>0</v>
      </c>
      <c r="P78" s="64">
        <v>0.55000000000000004</v>
      </c>
      <c r="Q78" s="64">
        <v>9.1199999999999992</v>
      </c>
      <c r="R78" s="198"/>
      <c r="S78" s="198"/>
      <c r="T78" s="198"/>
      <c r="U78" s="198"/>
    </row>
    <row r="79" spans="1:21" s="12" customFormat="1" x14ac:dyDescent="0.25">
      <c r="A79" s="214" t="s">
        <v>1758</v>
      </c>
      <c r="B79" s="64">
        <v>0.25</v>
      </c>
      <c r="C79" s="64">
        <v>27.54</v>
      </c>
      <c r="D79" s="64">
        <v>14.51</v>
      </c>
      <c r="E79" s="64">
        <v>1.1599999999999999</v>
      </c>
      <c r="F79" s="64">
        <v>4.5199999999999996</v>
      </c>
      <c r="G79" s="64">
        <v>45.35</v>
      </c>
      <c r="H79" s="64">
        <v>26.54</v>
      </c>
      <c r="I79" s="64">
        <v>8.1199999999999992</v>
      </c>
      <c r="J79" s="64">
        <v>0.27</v>
      </c>
      <c r="K79" s="64">
        <v>356.13</v>
      </c>
      <c r="L79" s="64">
        <v>31.66</v>
      </c>
      <c r="M79" s="64">
        <v>39.880000000000003</v>
      </c>
      <c r="N79" s="64">
        <v>56</v>
      </c>
      <c r="O79" s="64">
        <v>0</v>
      </c>
      <c r="P79" s="64">
        <v>0.6</v>
      </c>
      <c r="Q79" s="64">
        <v>9.1300000000000008</v>
      </c>
      <c r="R79" s="198"/>
      <c r="S79" s="198"/>
      <c r="T79" s="198"/>
      <c r="U79" s="198"/>
    </row>
    <row r="80" spans="1:21" s="12" customFormat="1" x14ac:dyDescent="0.25">
      <c r="A80" s="214" t="s">
        <v>1759</v>
      </c>
      <c r="B80" s="64">
        <v>1.44</v>
      </c>
      <c r="C80" s="64">
        <v>30.22</v>
      </c>
      <c r="D80" s="64">
        <v>16.86</v>
      </c>
      <c r="E80" s="64">
        <v>1.05</v>
      </c>
      <c r="F80" s="64">
        <v>3.99</v>
      </c>
      <c r="G80" s="64">
        <v>45.96</v>
      </c>
      <c r="H80" s="64">
        <v>26.41</v>
      </c>
      <c r="I80" s="64">
        <v>8.0500000000000007</v>
      </c>
      <c r="J80" s="64">
        <v>0.24</v>
      </c>
      <c r="K80" s="64">
        <v>14.98</v>
      </c>
      <c r="L80" s="64">
        <v>30.16</v>
      </c>
      <c r="M80" s="64">
        <v>49.35</v>
      </c>
      <c r="N80" s="64">
        <v>42.4</v>
      </c>
      <c r="O80" s="64">
        <v>0</v>
      </c>
      <c r="P80" s="64">
        <v>0.67</v>
      </c>
      <c r="Q80" s="64">
        <v>9.1199999999999992</v>
      </c>
      <c r="R80" s="198"/>
      <c r="S80" s="198"/>
      <c r="T80" s="198"/>
      <c r="U80" s="198"/>
    </row>
    <row r="81" spans="1:26" s="12" customFormat="1" x14ac:dyDescent="0.25">
      <c r="A81" s="214" t="s">
        <v>1760</v>
      </c>
      <c r="B81" s="64">
        <v>2.96</v>
      </c>
      <c r="C81" s="64">
        <v>32.159999999999997</v>
      </c>
      <c r="D81" s="64">
        <v>19.100000000000001</v>
      </c>
      <c r="E81" s="64">
        <v>1.29</v>
      </c>
      <c r="F81" s="64">
        <v>3.69</v>
      </c>
      <c r="G81" s="64">
        <v>54.43</v>
      </c>
      <c r="H81" s="64">
        <v>24.19</v>
      </c>
      <c r="I81" s="64">
        <v>7.99</v>
      </c>
      <c r="J81" s="64">
        <v>0.36</v>
      </c>
      <c r="K81" s="64">
        <v>67.680000000000007</v>
      </c>
      <c r="L81" s="64">
        <v>29.52</v>
      </c>
      <c r="M81" s="64">
        <v>51.34</v>
      </c>
      <c r="N81" s="64">
        <v>26.5</v>
      </c>
      <c r="O81" s="64">
        <v>0</v>
      </c>
      <c r="P81" s="64">
        <v>0.72</v>
      </c>
      <c r="Q81" s="64">
        <v>9.15</v>
      </c>
      <c r="R81" s="198"/>
      <c r="S81" s="198"/>
      <c r="T81" s="198"/>
      <c r="U81" s="198"/>
    </row>
    <row r="82" spans="1:26" s="12" customFormat="1" x14ac:dyDescent="0.25">
      <c r="A82" s="214" t="s">
        <v>1761</v>
      </c>
      <c r="B82" s="64">
        <v>3.71</v>
      </c>
      <c r="C82" s="64">
        <v>34.76</v>
      </c>
      <c r="D82" s="64">
        <v>21.05</v>
      </c>
      <c r="E82" s="64">
        <v>1.1599999999999999</v>
      </c>
      <c r="F82" s="64">
        <v>3.4</v>
      </c>
      <c r="G82" s="64">
        <v>54.43</v>
      </c>
      <c r="H82" s="64">
        <v>24.19</v>
      </c>
      <c r="I82" s="64">
        <v>8.06</v>
      </c>
      <c r="J82" s="64">
        <v>0.28000000000000003</v>
      </c>
      <c r="K82" s="64">
        <v>49.31</v>
      </c>
      <c r="L82" s="64">
        <v>29.16</v>
      </c>
      <c r="M82" s="64">
        <v>57.23</v>
      </c>
      <c r="N82" s="64">
        <v>19.5</v>
      </c>
      <c r="O82" s="64">
        <v>0</v>
      </c>
      <c r="P82" s="64">
        <v>0.74</v>
      </c>
      <c r="Q82" s="64">
        <v>9.15</v>
      </c>
      <c r="R82" s="198"/>
      <c r="S82" s="198"/>
      <c r="T82" s="198"/>
      <c r="U82" s="198"/>
    </row>
    <row r="83" spans="1:26" s="12" customFormat="1" x14ac:dyDescent="0.25">
      <c r="A83" s="214" t="s">
        <v>1762</v>
      </c>
      <c r="B83" s="64">
        <v>5.0599999999999996</v>
      </c>
      <c r="C83" s="64">
        <v>34.43</v>
      </c>
      <c r="D83" s="64">
        <v>21.97</v>
      </c>
      <c r="E83" s="64">
        <v>1.29</v>
      </c>
      <c r="F83" s="64">
        <v>3.74</v>
      </c>
      <c r="G83" s="64">
        <v>54.43</v>
      </c>
      <c r="H83" s="64">
        <v>24.19</v>
      </c>
      <c r="I83" s="64">
        <v>8.32</v>
      </c>
      <c r="J83" s="64">
        <v>0.79</v>
      </c>
      <c r="K83" s="64">
        <v>0.79</v>
      </c>
      <c r="L83" s="64">
        <v>28.43</v>
      </c>
      <c r="M83" s="64">
        <v>61.63</v>
      </c>
      <c r="N83" s="64">
        <v>17.2</v>
      </c>
      <c r="O83" s="64">
        <v>0</v>
      </c>
      <c r="P83" s="64">
        <v>0.77</v>
      </c>
      <c r="Q83" s="64">
        <v>9.14</v>
      </c>
      <c r="R83" s="198"/>
      <c r="S83" s="198"/>
      <c r="T83" s="198"/>
      <c r="U83" s="198"/>
    </row>
    <row r="84" spans="1:26" s="12" customFormat="1" x14ac:dyDescent="0.25">
      <c r="A84" s="214" t="s">
        <v>1763</v>
      </c>
      <c r="B84" s="64">
        <v>6.93</v>
      </c>
      <c r="C84" s="64">
        <v>35.159999999999997</v>
      </c>
      <c r="D84" s="64">
        <v>23.84</v>
      </c>
      <c r="E84" s="64">
        <v>1.51</v>
      </c>
      <c r="F84" s="64">
        <v>3.68</v>
      </c>
      <c r="G84" s="64">
        <v>55.37</v>
      </c>
      <c r="H84" s="64">
        <v>24.39</v>
      </c>
      <c r="I84" s="64">
        <v>8.35</v>
      </c>
      <c r="J84" s="64">
        <v>1.49</v>
      </c>
      <c r="K84" s="64">
        <v>5.58</v>
      </c>
      <c r="L84" s="64">
        <v>29.19</v>
      </c>
      <c r="M84" s="64">
        <v>45.93</v>
      </c>
      <c r="N84" s="64">
        <v>17.399999999999999</v>
      </c>
      <c r="O84" s="64">
        <v>0</v>
      </c>
      <c r="P84" s="64">
        <v>0.83</v>
      </c>
      <c r="Q84" s="64">
        <v>9.1199999999999992</v>
      </c>
      <c r="R84" s="198"/>
      <c r="S84" s="198"/>
      <c r="T84" s="198"/>
      <c r="U84" s="198"/>
    </row>
    <row r="85" spans="1:26" s="12" customFormat="1" x14ac:dyDescent="0.25">
      <c r="A85" s="214" t="s">
        <v>1764</v>
      </c>
      <c r="B85" s="64">
        <v>6.97</v>
      </c>
      <c r="C85" s="64">
        <v>36.01</v>
      </c>
      <c r="D85" s="64">
        <v>24.33</v>
      </c>
      <c r="E85" s="64">
        <v>1.44</v>
      </c>
      <c r="F85" s="64">
        <v>3.78</v>
      </c>
      <c r="G85" s="64">
        <v>68.44</v>
      </c>
      <c r="H85" s="64">
        <v>27.08</v>
      </c>
      <c r="I85" s="64">
        <v>8.94</v>
      </c>
      <c r="J85" s="64">
        <v>1.34</v>
      </c>
      <c r="K85" s="64">
        <v>359.64</v>
      </c>
      <c r="L85" s="64">
        <v>28.88</v>
      </c>
      <c r="M85" s="64">
        <v>46.78</v>
      </c>
      <c r="N85" s="64">
        <v>18.100000000000001</v>
      </c>
      <c r="O85" s="64">
        <v>0</v>
      </c>
      <c r="P85" s="64">
        <v>0.81</v>
      </c>
      <c r="Q85" s="64">
        <v>9.1</v>
      </c>
      <c r="R85" s="198"/>
      <c r="S85" s="198"/>
      <c r="T85" s="198"/>
      <c r="U85" s="198"/>
    </row>
    <row r="86" spans="1:26" s="12" customFormat="1" x14ac:dyDescent="0.25">
      <c r="A86" s="214" t="s">
        <v>1765</v>
      </c>
      <c r="B86" s="64">
        <v>6.88</v>
      </c>
      <c r="C86" s="64">
        <v>35.43</v>
      </c>
      <c r="D86" s="64">
        <v>23.95</v>
      </c>
      <c r="E86" s="64">
        <v>1.46</v>
      </c>
      <c r="F86" s="64">
        <v>3.68</v>
      </c>
      <c r="G86" s="64">
        <v>68.44</v>
      </c>
      <c r="H86" s="64">
        <v>27.08</v>
      </c>
      <c r="I86" s="64">
        <v>9.4600000000000009</v>
      </c>
      <c r="J86" s="64">
        <v>0.69</v>
      </c>
      <c r="K86" s="64">
        <v>355.39</v>
      </c>
      <c r="L86" s="64">
        <v>28.4</v>
      </c>
      <c r="M86" s="64">
        <v>49.73</v>
      </c>
      <c r="N86" s="64">
        <v>17.899999999999999</v>
      </c>
      <c r="O86" s="64">
        <v>0</v>
      </c>
      <c r="P86" s="64">
        <v>0.84</v>
      </c>
      <c r="Q86" s="64">
        <v>9.24</v>
      </c>
      <c r="R86" s="198"/>
      <c r="S86" s="198"/>
      <c r="T86" s="198"/>
      <c r="U86" s="198"/>
    </row>
    <row r="87" spans="1:26" s="12" customFormat="1" x14ac:dyDescent="0.25">
      <c r="A87" s="214" t="s">
        <v>1766</v>
      </c>
      <c r="B87" s="64">
        <v>7.46</v>
      </c>
      <c r="C87" s="64">
        <v>34.19</v>
      </c>
      <c r="D87" s="64">
        <v>23.77</v>
      </c>
      <c r="E87" s="64">
        <v>1.63</v>
      </c>
      <c r="F87" s="64">
        <v>3.37</v>
      </c>
      <c r="G87" s="64">
        <v>68.44</v>
      </c>
      <c r="H87" s="64">
        <v>27.08</v>
      </c>
      <c r="I87" s="64">
        <v>9.31</v>
      </c>
      <c r="J87" s="64">
        <v>0.25</v>
      </c>
      <c r="K87" s="64">
        <v>16.72</v>
      </c>
      <c r="L87" s="64">
        <v>27.86</v>
      </c>
      <c r="M87" s="64">
        <v>51.82</v>
      </c>
      <c r="N87" s="64">
        <v>17.7</v>
      </c>
      <c r="O87" s="64">
        <v>0</v>
      </c>
      <c r="P87" s="64">
        <v>0.87</v>
      </c>
      <c r="Q87" s="64">
        <v>9.14</v>
      </c>
      <c r="R87" s="198"/>
      <c r="S87" s="198"/>
      <c r="T87" s="198"/>
      <c r="U87" s="198"/>
    </row>
    <row r="88" spans="1:26" s="12" customFormat="1" x14ac:dyDescent="0.25">
      <c r="A88" s="214" t="s">
        <v>1767</v>
      </c>
      <c r="B88" s="64">
        <v>8.1199999999999992</v>
      </c>
      <c r="C88" s="64">
        <v>33.29</v>
      </c>
      <c r="D88" s="64">
        <v>23.82</v>
      </c>
      <c r="E88" s="64">
        <v>0.28999999999999998</v>
      </c>
      <c r="F88" s="64">
        <v>3.24</v>
      </c>
      <c r="G88" s="64">
        <v>69.13</v>
      </c>
      <c r="H88" s="64">
        <v>26.77</v>
      </c>
      <c r="I88" s="64">
        <v>8.93</v>
      </c>
      <c r="J88" s="64">
        <v>0.12</v>
      </c>
      <c r="K88" s="64">
        <v>73.37</v>
      </c>
      <c r="L88" s="64">
        <v>27.62</v>
      </c>
      <c r="M88" s="64">
        <v>49.27</v>
      </c>
      <c r="N88" s="64">
        <v>17.399999999999999</v>
      </c>
      <c r="O88" s="64">
        <v>0</v>
      </c>
      <c r="P88" s="64">
        <v>0.89</v>
      </c>
      <c r="Q88" s="64">
        <v>9.19</v>
      </c>
      <c r="R88" s="198"/>
      <c r="S88" s="198"/>
      <c r="T88" s="198"/>
      <c r="U88" s="198"/>
    </row>
    <row r="89" spans="1:26" s="12" customFormat="1" x14ac:dyDescent="0.25">
      <c r="A89" s="214" t="s">
        <v>1768</v>
      </c>
      <c r="B89" s="64">
        <v>8.58</v>
      </c>
      <c r="C89" s="64">
        <v>32.67</v>
      </c>
      <c r="D89" s="64">
        <v>23.87</v>
      </c>
      <c r="E89" s="64">
        <v>0.49</v>
      </c>
      <c r="F89" s="64">
        <v>3.52</v>
      </c>
      <c r="G89" s="64">
        <v>78.72</v>
      </c>
      <c r="H89" s="64">
        <v>21.56</v>
      </c>
      <c r="I89" s="64">
        <v>8.64</v>
      </c>
      <c r="J89" s="64">
        <v>0.13</v>
      </c>
      <c r="K89" s="64">
        <v>291.74</v>
      </c>
      <c r="L89" s="64">
        <v>27.53</v>
      </c>
      <c r="M89" s="64">
        <v>54.44</v>
      </c>
      <c r="N89" s="64">
        <v>17.600000000000001</v>
      </c>
      <c r="O89" s="64">
        <v>0</v>
      </c>
      <c r="P89" s="64">
        <v>0.9</v>
      </c>
      <c r="Q89" s="64">
        <v>9.2200000000000006</v>
      </c>
      <c r="R89" s="198"/>
      <c r="S89" s="198"/>
      <c r="T89" s="198"/>
      <c r="U89" s="198"/>
    </row>
    <row r="90" spans="1:26" s="12" customFormat="1" x14ac:dyDescent="0.25">
      <c r="A90" s="214" t="s">
        <v>1769</v>
      </c>
      <c r="B90" s="64">
        <v>10.75</v>
      </c>
      <c r="C90" s="64">
        <v>31.3</v>
      </c>
      <c r="D90" s="64">
        <v>24.89</v>
      </c>
      <c r="E90" s="64">
        <v>0.47</v>
      </c>
      <c r="F90" s="64">
        <v>3.52</v>
      </c>
      <c r="G90" s="64">
        <v>78.72</v>
      </c>
      <c r="H90" s="64">
        <v>21.56</v>
      </c>
      <c r="I90" s="64">
        <v>8.59</v>
      </c>
      <c r="J90" s="64">
        <v>0.2</v>
      </c>
      <c r="K90" s="64">
        <v>222.26</v>
      </c>
      <c r="L90" s="64">
        <v>26.97</v>
      </c>
      <c r="M90" s="64">
        <v>55.88</v>
      </c>
      <c r="N90" s="64">
        <v>17.2</v>
      </c>
      <c r="O90" s="64">
        <v>0</v>
      </c>
      <c r="P90" s="64">
        <v>0.96</v>
      </c>
      <c r="Q90" s="64">
        <v>9.26</v>
      </c>
      <c r="R90" s="198"/>
      <c r="S90" s="198"/>
      <c r="T90" s="198"/>
      <c r="U90" s="198"/>
    </row>
    <row r="91" spans="1:26" s="12" customFormat="1" x14ac:dyDescent="0.25">
      <c r="A91" s="214" t="s">
        <v>1770</v>
      </c>
      <c r="B91" s="64">
        <v>13.2</v>
      </c>
      <c r="C91" s="64">
        <v>30.75</v>
      </c>
      <c r="D91" s="64">
        <v>26.57</v>
      </c>
      <c r="E91" s="64">
        <v>0.61</v>
      </c>
      <c r="F91" s="64">
        <v>3.32</v>
      </c>
      <c r="G91" s="64">
        <v>78.72</v>
      </c>
      <c r="H91" s="64">
        <v>21.56</v>
      </c>
      <c r="I91" s="64">
        <v>8.7100000000000009</v>
      </c>
      <c r="J91" s="64">
        <v>0.3</v>
      </c>
      <c r="K91" s="64">
        <v>170.67</v>
      </c>
      <c r="L91" s="64">
        <v>26.85</v>
      </c>
      <c r="M91" s="64">
        <v>55.31</v>
      </c>
      <c r="N91" s="64">
        <v>16.600000000000001</v>
      </c>
      <c r="O91" s="64">
        <v>0</v>
      </c>
      <c r="P91" s="64">
        <v>1.01</v>
      </c>
      <c r="Q91" s="64">
        <v>9.25</v>
      </c>
      <c r="R91" s="198"/>
      <c r="S91" s="198"/>
      <c r="T91" s="198"/>
      <c r="U91" s="198"/>
    </row>
    <row r="92" spans="1:26" s="12" customFormat="1" x14ac:dyDescent="0.25">
      <c r="A92" s="214" t="s">
        <v>1771</v>
      </c>
      <c r="B92" s="64">
        <v>16</v>
      </c>
      <c r="C92" s="64">
        <v>30.69</v>
      </c>
      <c r="D92" s="64">
        <v>28.78</v>
      </c>
      <c r="E92" s="64">
        <v>0.72</v>
      </c>
      <c r="F92" s="64">
        <v>3.36</v>
      </c>
      <c r="G92" s="64">
        <v>79.67</v>
      </c>
      <c r="H92" s="64">
        <v>21.26</v>
      </c>
      <c r="I92" s="64">
        <v>9.3800000000000008</v>
      </c>
      <c r="J92" s="64">
        <v>0.41</v>
      </c>
      <c r="K92" s="64">
        <v>167.75</v>
      </c>
      <c r="L92" s="64">
        <v>27.21</v>
      </c>
      <c r="M92" s="64">
        <v>55.48</v>
      </c>
      <c r="N92" s="64">
        <v>16.8</v>
      </c>
      <c r="O92" s="64">
        <v>0</v>
      </c>
      <c r="P92" s="64">
        <v>1.03</v>
      </c>
      <c r="Q92" s="64">
        <v>9.27</v>
      </c>
      <c r="R92" s="198"/>
      <c r="S92" s="198"/>
      <c r="T92" s="198"/>
      <c r="U92" s="198"/>
    </row>
    <row r="93" spans="1:26" s="12" customFormat="1" x14ac:dyDescent="0.25">
      <c r="A93" s="214" t="s">
        <v>1772</v>
      </c>
      <c r="B93" s="64">
        <v>17.190000000000001</v>
      </c>
      <c r="C93" s="64">
        <v>30.64</v>
      </c>
      <c r="D93" s="64">
        <v>29.71</v>
      </c>
      <c r="E93" s="64">
        <v>0.39</v>
      </c>
      <c r="F93" s="64">
        <v>3.15</v>
      </c>
      <c r="G93" s="64">
        <v>93.09</v>
      </c>
      <c r="H93" s="64">
        <v>17.04</v>
      </c>
      <c r="I93" s="64">
        <v>9.43</v>
      </c>
      <c r="J93" s="64">
        <v>0.18</v>
      </c>
      <c r="K93" s="64">
        <v>331.46</v>
      </c>
      <c r="L93" s="64">
        <v>26.64</v>
      </c>
      <c r="M93" s="64">
        <v>61.25</v>
      </c>
      <c r="N93" s="64">
        <v>17.8</v>
      </c>
      <c r="O93" s="64">
        <v>0</v>
      </c>
      <c r="P93" s="64">
        <v>1.04</v>
      </c>
      <c r="Q93" s="64">
        <v>9.27</v>
      </c>
      <c r="R93" s="198"/>
      <c r="S93" s="198"/>
      <c r="T93" s="198"/>
      <c r="U93" s="198"/>
    </row>
    <row r="94" spans="1:26" s="12" customFormat="1" x14ac:dyDescent="0.25">
      <c r="A94" s="214" t="s">
        <v>1773</v>
      </c>
      <c r="B94" s="64">
        <v>19.03</v>
      </c>
      <c r="C94" s="64">
        <v>30.33</v>
      </c>
      <c r="D94" s="64">
        <v>31.02</v>
      </c>
      <c r="E94" s="64">
        <v>0.84</v>
      </c>
      <c r="F94" s="64">
        <v>3.47</v>
      </c>
      <c r="G94" s="64">
        <v>93.09</v>
      </c>
      <c r="H94" s="64">
        <v>17.04</v>
      </c>
      <c r="I94" s="64">
        <v>9.5299999999999994</v>
      </c>
      <c r="J94" s="64">
        <v>0</v>
      </c>
      <c r="K94" s="64">
        <v>159.87</v>
      </c>
      <c r="L94" s="64">
        <v>26.24</v>
      </c>
      <c r="M94" s="64">
        <v>63.74</v>
      </c>
      <c r="N94" s="64">
        <v>17.2</v>
      </c>
      <c r="O94" s="64">
        <v>0</v>
      </c>
      <c r="P94" s="64">
        <v>1.08</v>
      </c>
      <c r="Q94" s="64">
        <v>9.2899999999999991</v>
      </c>
      <c r="R94" s="198"/>
      <c r="S94" s="198"/>
      <c r="T94" s="198"/>
      <c r="U94" s="198"/>
    </row>
    <row r="95" spans="1:26" s="12" customFormat="1" x14ac:dyDescent="0.25">
      <c r="A95" s="214" t="s">
        <v>1774</v>
      </c>
      <c r="B95" s="64">
        <v>22.59</v>
      </c>
      <c r="C95" s="64">
        <v>30.08</v>
      </c>
      <c r="D95" s="64">
        <v>33.75</v>
      </c>
      <c r="E95" s="64">
        <v>0.65</v>
      </c>
      <c r="F95" s="64">
        <v>3.84</v>
      </c>
      <c r="G95" s="64">
        <v>93.09</v>
      </c>
      <c r="H95" s="64">
        <v>17.04</v>
      </c>
      <c r="I95" s="64">
        <v>9.27</v>
      </c>
      <c r="J95" s="64">
        <v>0.2</v>
      </c>
      <c r="K95" s="64">
        <v>350.07</v>
      </c>
      <c r="L95" s="64">
        <v>25.94</v>
      </c>
      <c r="M95" s="64">
        <v>66.430000000000007</v>
      </c>
      <c r="N95" s="64">
        <v>17.399999999999999</v>
      </c>
      <c r="O95" s="64">
        <v>0</v>
      </c>
      <c r="P95" s="64">
        <v>1.1499999999999999</v>
      </c>
      <c r="Q95" s="64">
        <v>9.32</v>
      </c>
      <c r="R95" s="198"/>
      <c r="S95" s="198"/>
      <c r="T95" s="198"/>
      <c r="U95" s="198"/>
    </row>
    <row r="96" spans="1:26" s="12" customFormat="1" x14ac:dyDescent="0.25">
      <c r="A96" s="214" t="s">
        <v>1775</v>
      </c>
      <c r="B96" s="64">
        <v>26.66</v>
      </c>
      <c r="C96" s="64">
        <v>29.69</v>
      </c>
      <c r="D96" s="64">
        <v>36.81</v>
      </c>
      <c r="E96" s="64">
        <v>0.74</v>
      </c>
      <c r="F96" s="64">
        <v>3.66</v>
      </c>
      <c r="G96" s="64">
        <v>94.5</v>
      </c>
      <c r="H96" s="64">
        <v>16.78</v>
      </c>
      <c r="I96" s="64">
        <v>9.44</v>
      </c>
      <c r="J96" s="64">
        <v>0.18</v>
      </c>
      <c r="K96" s="64">
        <v>332.08</v>
      </c>
      <c r="L96" s="64">
        <v>25.6</v>
      </c>
      <c r="M96" s="64">
        <v>66.83</v>
      </c>
      <c r="N96" s="64">
        <v>17.5</v>
      </c>
      <c r="O96" s="64">
        <v>0</v>
      </c>
      <c r="P96" s="64">
        <v>1.22</v>
      </c>
      <c r="Q96" s="64">
        <v>9.35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1776</v>
      </c>
      <c r="B97" s="64">
        <v>28.97</v>
      </c>
      <c r="C97" s="64">
        <v>29.16</v>
      </c>
      <c r="D97" s="64">
        <v>38.380000000000003</v>
      </c>
      <c r="E97" s="64">
        <v>0.94</v>
      </c>
      <c r="F97" s="64">
        <v>3.4</v>
      </c>
      <c r="G97" s="64">
        <v>114.35</v>
      </c>
      <c r="H97" s="64">
        <v>13.16</v>
      </c>
      <c r="I97" s="64">
        <v>9.49</v>
      </c>
      <c r="J97" s="64">
        <v>0.18</v>
      </c>
      <c r="K97" s="64">
        <v>235.2</v>
      </c>
      <c r="L97" s="64">
        <v>25.97</v>
      </c>
      <c r="M97" s="64">
        <v>61.5</v>
      </c>
      <c r="N97" s="64">
        <v>16.8</v>
      </c>
      <c r="O97" s="64">
        <v>0</v>
      </c>
      <c r="P97" s="64">
        <v>1.24</v>
      </c>
      <c r="Q97" s="64">
        <v>9.36</v>
      </c>
      <c r="R97" s="198"/>
      <c r="S97" s="198"/>
      <c r="T97" s="198"/>
      <c r="U97" s="198"/>
    </row>
    <row r="98" spans="1:33" s="12" customFormat="1" x14ac:dyDescent="0.25">
      <c r="A98" s="214" t="s">
        <v>1777</v>
      </c>
      <c r="B98" s="64">
        <v>28.74</v>
      </c>
      <c r="C98" s="64">
        <v>28.68</v>
      </c>
      <c r="D98" s="64">
        <v>37.950000000000003</v>
      </c>
      <c r="E98" s="64">
        <v>0.94</v>
      </c>
      <c r="F98" s="64">
        <v>3.28</v>
      </c>
      <c r="G98" s="64">
        <v>114.35</v>
      </c>
      <c r="H98" s="64">
        <v>13.16</v>
      </c>
      <c r="I98" s="64">
        <v>9.4700000000000006</v>
      </c>
      <c r="J98" s="64">
        <v>7.0000000000000007E-2</v>
      </c>
      <c r="K98" s="64">
        <v>312.64</v>
      </c>
      <c r="L98" s="64">
        <v>26.02</v>
      </c>
      <c r="M98" s="64">
        <v>62.44</v>
      </c>
      <c r="N98" s="64">
        <v>17.2</v>
      </c>
      <c r="O98" s="64">
        <v>0</v>
      </c>
      <c r="P98" s="64">
        <v>1.21</v>
      </c>
      <c r="Q98" s="64">
        <v>9.35</v>
      </c>
      <c r="R98" s="198"/>
      <c r="S98" s="198"/>
      <c r="T98" s="198"/>
      <c r="U98" s="198"/>
    </row>
    <row r="99" spans="1:33" s="12" customFormat="1" x14ac:dyDescent="0.25">
      <c r="A99" s="214" t="s">
        <v>1778</v>
      </c>
      <c r="B99" s="64">
        <v>28.41</v>
      </c>
      <c r="C99" s="64">
        <v>28.26</v>
      </c>
      <c r="D99" s="64">
        <v>37.47</v>
      </c>
      <c r="E99" s="64">
        <v>0.76</v>
      </c>
      <c r="F99" s="64">
        <v>3.36</v>
      </c>
      <c r="G99" s="64">
        <v>114.35</v>
      </c>
      <c r="H99" s="64">
        <v>13.16</v>
      </c>
      <c r="I99" s="64">
        <v>9.36</v>
      </c>
      <c r="J99" s="64">
        <v>0.13</v>
      </c>
      <c r="K99" s="64">
        <v>359.83</v>
      </c>
      <c r="L99" s="64">
        <v>25.62</v>
      </c>
      <c r="M99" s="64">
        <v>65.88</v>
      </c>
      <c r="N99" s="64">
        <v>17.399999999999999</v>
      </c>
      <c r="O99" s="64">
        <v>0</v>
      </c>
      <c r="P99" s="64">
        <v>1.2</v>
      </c>
      <c r="Q99" s="64">
        <v>9.34</v>
      </c>
      <c r="R99" s="198"/>
      <c r="S99" s="198"/>
      <c r="T99" s="198"/>
      <c r="U99" s="198"/>
    </row>
    <row r="100" spans="1:33" s="12" customFormat="1" x14ac:dyDescent="0.25">
      <c r="A100" s="214" t="s">
        <v>1779</v>
      </c>
      <c r="B100" s="64">
        <v>29.89</v>
      </c>
      <c r="C100" s="64">
        <v>29.25</v>
      </c>
      <c r="D100" s="64">
        <v>39.17</v>
      </c>
      <c r="E100" s="64">
        <v>0.91</v>
      </c>
      <c r="F100" s="64">
        <v>3.61</v>
      </c>
      <c r="G100" s="64">
        <v>113.96</v>
      </c>
      <c r="H100" s="64">
        <v>18.149999999999999</v>
      </c>
      <c r="I100" s="64">
        <v>9.27</v>
      </c>
      <c r="J100" s="64">
        <v>0.12</v>
      </c>
      <c r="K100" s="64">
        <v>327.41000000000003</v>
      </c>
      <c r="L100" s="64">
        <v>25.1</v>
      </c>
      <c r="M100" s="64">
        <v>70.930000000000007</v>
      </c>
      <c r="N100" s="64">
        <v>17.399999999999999</v>
      </c>
      <c r="O100" s="64">
        <v>0</v>
      </c>
      <c r="P100" s="64">
        <v>1.21</v>
      </c>
      <c r="Q100" s="64">
        <v>9.39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1780</v>
      </c>
      <c r="B101" s="64">
        <v>31.43</v>
      </c>
      <c r="C101" s="64">
        <v>30.03</v>
      </c>
      <c r="D101" s="64">
        <v>40.82</v>
      </c>
      <c r="E101" s="64">
        <v>0.51</v>
      </c>
      <c r="F101" s="64">
        <v>3.72</v>
      </c>
      <c r="G101" s="64">
        <v>108.59</v>
      </c>
      <c r="H101" s="64">
        <v>88</v>
      </c>
      <c r="I101" s="64">
        <v>9.1300000000000008</v>
      </c>
      <c r="J101" s="64">
        <v>0.13</v>
      </c>
      <c r="K101" s="64">
        <v>223.42</v>
      </c>
      <c r="L101" s="64">
        <v>25.15</v>
      </c>
      <c r="M101" s="64">
        <v>69.61</v>
      </c>
      <c r="N101" s="64">
        <v>16.8</v>
      </c>
      <c r="O101" s="64">
        <v>0</v>
      </c>
      <c r="P101" s="64">
        <v>1.2</v>
      </c>
      <c r="Q101" s="64">
        <v>9.4</v>
      </c>
      <c r="R101" s="198"/>
      <c r="S101" s="198"/>
      <c r="T101" s="198"/>
      <c r="U101" s="198"/>
    </row>
    <row r="102" spans="1:33" s="12" customFormat="1" x14ac:dyDescent="0.25">
      <c r="A102" s="214" t="s">
        <v>1781</v>
      </c>
      <c r="B102" s="64">
        <v>32.9</v>
      </c>
      <c r="C102" s="64">
        <v>29.96</v>
      </c>
      <c r="D102" s="64">
        <v>41.96</v>
      </c>
      <c r="E102" s="64">
        <v>0.52</v>
      </c>
      <c r="F102" s="64">
        <v>3.7</v>
      </c>
      <c r="G102" s="64">
        <v>108.59</v>
      </c>
      <c r="H102" s="64">
        <v>88</v>
      </c>
      <c r="I102" s="64">
        <v>8.93</v>
      </c>
      <c r="J102" s="64">
        <v>0.08</v>
      </c>
      <c r="K102" s="64">
        <v>34.33</v>
      </c>
      <c r="L102" s="64">
        <v>25.19</v>
      </c>
      <c r="M102" s="64">
        <v>70.05</v>
      </c>
      <c r="N102" s="64">
        <v>17.399999999999999</v>
      </c>
      <c r="O102" s="64">
        <v>0</v>
      </c>
      <c r="P102" s="64">
        <v>1.21</v>
      </c>
      <c r="Q102" s="64">
        <v>9.39</v>
      </c>
      <c r="R102" s="198"/>
      <c r="S102" s="198"/>
      <c r="T102" s="198"/>
      <c r="U102" s="198"/>
    </row>
    <row r="103" spans="1:33" s="12" customFormat="1" x14ac:dyDescent="0.25">
      <c r="A103" s="214" t="s">
        <v>1782</v>
      </c>
      <c r="B103" s="64">
        <v>35.729999999999997</v>
      </c>
      <c r="C103" s="64">
        <v>29.62</v>
      </c>
      <c r="D103" s="64">
        <v>44.05</v>
      </c>
      <c r="E103" s="64">
        <v>0.77</v>
      </c>
      <c r="F103" s="64">
        <v>3.82</v>
      </c>
      <c r="G103" s="64">
        <v>108.59</v>
      </c>
      <c r="H103" s="64">
        <v>88</v>
      </c>
      <c r="I103" s="64">
        <v>8.61</v>
      </c>
      <c r="J103" s="64">
        <v>0.15</v>
      </c>
      <c r="K103" s="64">
        <v>267.55</v>
      </c>
      <c r="L103" s="64">
        <v>24.6</v>
      </c>
      <c r="M103" s="64">
        <v>76.25</v>
      </c>
      <c r="N103" s="64">
        <v>17.3</v>
      </c>
      <c r="O103" s="64">
        <v>0</v>
      </c>
      <c r="P103" s="64">
        <v>1.2</v>
      </c>
      <c r="Q103" s="64">
        <v>9.3800000000000008</v>
      </c>
      <c r="R103" s="198"/>
      <c r="S103" s="198"/>
      <c r="T103" s="198"/>
      <c r="U103" s="198"/>
    </row>
    <row r="104" spans="1:33" s="12" customFormat="1" x14ac:dyDescent="0.25">
      <c r="A104" s="214" t="s">
        <v>1783</v>
      </c>
      <c r="B104" s="64">
        <v>37.69</v>
      </c>
      <c r="C104" s="64">
        <v>29.13</v>
      </c>
      <c r="D104" s="64">
        <v>45.36</v>
      </c>
      <c r="E104" s="64">
        <v>0.85</v>
      </c>
      <c r="F104" s="64">
        <v>3.67</v>
      </c>
      <c r="G104" s="64">
        <v>108.5</v>
      </c>
      <c r="H104" s="64">
        <v>84.88</v>
      </c>
      <c r="I104" s="64">
        <v>8.57</v>
      </c>
      <c r="J104" s="64">
        <v>0.14000000000000001</v>
      </c>
      <c r="K104" s="64">
        <v>278.35000000000002</v>
      </c>
      <c r="L104" s="64">
        <v>24.57</v>
      </c>
      <c r="M104" s="64">
        <v>77.650000000000006</v>
      </c>
      <c r="N104" s="64">
        <v>17.100000000000001</v>
      </c>
      <c r="O104" s="64">
        <v>0</v>
      </c>
      <c r="P104" s="64">
        <v>1.2</v>
      </c>
      <c r="Q104" s="64">
        <v>9.51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19.09</v>
      </c>
      <c r="D106" s="67">
        <f t="shared" ref="D106:Q106" si="0">MIN(D9:D104)</f>
        <v>10.99</v>
      </c>
      <c r="E106" s="67">
        <f t="shared" si="0"/>
        <v>0.28999999999999998</v>
      </c>
      <c r="F106" s="67">
        <f t="shared" si="0"/>
        <v>2.86</v>
      </c>
      <c r="G106" s="67">
        <f t="shared" si="0"/>
        <v>42.03</v>
      </c>
      <c r="H106" s="67">
        <f t="shared" si="0"/>
        <v>13.16</v>
      </c>
      <c r="I106" s="67">
        <f t="shared" si="0"/>
        <v>7.99</v>
      </c>
      <c r="J106" s="67">
        <f t="shared" si="0"/>
        <v>0</v>
      </c>
      <c r="K106" s="67">
        <f t="shared" si="0"/>
        <v>0.79</v>
      </c>
      <c r="L106" s="67">
        <f t="shared" si="0"/>
        <v>21.46</v>
      </c>
      <c r="M106" s="67">
        <f t="shared" si="0"/>
        <v>22.49</v>
      </c>
      <c r="N106" s="67">
        <f t="shared" si="0"/>
        <v>14.3</v>
      </c>
      <c r="O106" s="67">
        <f t="shared" si="0"/>
        <v>0</v>
      </c>
      <c r="P106" s="67">
        <f t="shared" si="0"/>
        <v>0.47</v>
      </c>
      <c r="Q106" s="67">
        <f t="shared" si="0"/>
        <v>9.09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37.69</v>
      </c>
      <c r="C107" s="66">
        <f t="shared" ref="C107:Q107" si="1">MAX(C9:C104)</f>
        <v>36.01</v>
      </c>
      <c r="D107" s="66">
        <f t="shared" si="1"/>
        <v>45.36</v>
      </c>
      <c r="E107" s="66">
        <f t="shared" si="1"/>
        <v>2.41</v>
      </c>
      <c r="F107" s="66">
        <f t="shared" si="1"/>
        <v>6.63</v>
      </c>
      <c r="G107" s="66">
        <f t="shared" si="1"/>
        <v>114.35</v>
      </c>
      <c r="H107" s="66">
        <f t="shared" si="1"/>
        <v>88</v>
      </c>
      <c r="I107" s="66">
        <f t="shared" si="1"/>
        <v>11.96</v>
      </c>
      <c r="J107" s="66">
        <f t="shared" si="1"/>
        <v>1.49</v>
      </c>
      <c r="K107" s="66">
        <f t="shared" si="1"/>
        <v>359.83</v>
      </c>
      <c r="L107" s="66">
        <f t="shared" si="1"/>
        <v>39.44</v>
      </c>
      <c r="M107" s="66">
        <f t="shared" si="1"/>
        <v>97.91</v>
      </c>
      <c r="N107" s="66">
        <f t="shared" si="1"/>
        <v>931.5</v>
      </c>
      <c r="O107" s="66">
        <f t="shared" si="1"/>
        <v>0</v>
      </c>
      <c r="P107" s="66">
        <f t="shared" si="1"/>
        <v>1.3</v>
      </c>
      <c r="Q107" s="66">
        <f t="shared" si="1"/>
        <v>9.51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16.317083333333319</v>
      </c>
      <c r="C108" s="67">
        <f t="shared" ref="C108:Q108" si="2">AVERAGE(C9:C104)</f>
        <v>25.922395833333336</v>
      </c>
      <c r="D108" s="67">
        <f t="shared" si="2"/>
        <v>26.548645833333328</v>
      </c>
      <c r="E108" s="67">
        <f t="shared" si="2"/>
        <v>1.46</v>
      </c>
      <c r="F108" s="67">
        <f t="shared" si="2"/>
        <v>4.0365624999999987</v>
      </c>
      <c r="G108" s="67">
        <f t="shared" si="2"/>
        <v>64.705937500000033</v>
      </c>
      <c r="H108" s="67">
        <f t="shared" si="2"/>
        <v>25.129270833333337</v>
      </c>
      <c r="I108" s="67">
        <f t="shared" si="2"/>
        <v>9.7511458333333341</v>
      </c>
      <c r="J108" s="67">
        <f t="shared" si="2"/>
        <v>0.34374999999999994</v>
      </c>
      <c r="K108" s="67">
        <f t="shared" si="2"/>
        <v>210.18291666666664</v>
      </c>
      <c r="L108" s="67">
        <f t="shared" si="2"/>
        <v>28.584270833333335</v>
      </c>
      <c r="M108" s="67">
        <f t="shared" si="2"/>
        <v>61.353958333333331</v>
      </c>
      <c r="N108" s="67">
        <f t="shared" si="2"/>
        <v>260.27500000000003</v>
      </c>
      <c r="O108" s="67">
        <f t="shared" si="2"/>
        <v>0</v>
      </c>
      <c r="P108" s="67">
        <f t="shared" si="2"/>
        <v>0.82343749999999982</v>
      </c>
      <c r="Q108" s="67">
        <f t="shared" si="2"/>
        <v>9.2755208333333297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13.057779928711716</v>
      </c>
      <c r="C109" s="67">
        <f t="shared" ref="C109:Q109" si="3">STDEV(C9:C104)</f>
        <v>4.5583426685333253</v>
      </c>
      <c r="D109" s="67">
        <f t="shared" si="3"/>
        <v>9.7606291449283624</v>
      </c>
      <c r="E109" s="67">
        <f t="shared" si="3"/>
        <v>0.57269630052199394</v>
      </c>
      <c r="F109" s="67">
        <f t="shared" si="3"/>
        <v>0.98648960634213534</v>
      </c>
      <c r="G109" s="67">
        <f t="shared" si="3"/>
        <v>19.496730715315383</v>
      </c>
      <c r="H109" s="67">
        <f t="shared" si="3"/>
        <v>13.72944904363121</v>
      </c>
      <c r="I109" s="67">
        <f t="shared" si="3"/>
        <v>1.2252800923970593</v>
      </c>
      <c r="J109" s="67">
        <f t="shared" si="3"/>
        <v>0.30938053556982809</v>
      </c>
      <c r="K109" s="67">
        <f t="shared" si="3"/>
        <v>106.55597357768235</v>
      </c>
      <c r="L109" s="67">
        <f t="shared" si="3"/>
        <v>5.394680956332234</v>
      </c>
      <c r="M109" s="67">
        <f t="shared" si="3"/>
        <v>25.397223490152825</v>
      </c>
      <c r="N109" s="67">
        <f t="shared" si="3"/>
        <v>340.59770713447733</v>
      </c>
      <c r="O109" s="67">
        <f t="shared" si="3"/>
        <v>0</v>
      </c>
      <c r="P109" s="67">
        <f t="shared" si="3"/>
        <v>0.24258618924111608</v>
      </c>
      <c r="Q109" s="67">
        <f t="shared" si="3"/>
        <v>0.12111647105742269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4" sqref="G13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1784</v>
      </c>
      <c r="B9" s="64">
        <v>38.93</v>
      </c>
      <c r="C9" s="64">
        <v>28.78</v>
      </c>
      <c r="D9" s="64">
        <v>46.17</v>
      </c>
      <c r="E9" s="64">
        <v>1.58</v>
      </c>
      <c r="F9" s="64">
        <v>3.15</v>
      </c>
      <c r="G9" s="64">
        <v>107.3</v>
      </c>
      <c r="H9" s="64">
        <v>31.83</v>
      </c>
      <c r="I9" s="64">
        <v>8.99</v>
      </c>
      <c r="J9" s="64">
        <v>0.18</v>
      </c>
      <c r="K9" s="64">
        <v>233.97</v>
      </c>
      <c r="L9" s="64">
        <v>24.72</v>
      </c>
      <c r="M9" s="64">
        <v>73.12</v>
      </c>
      <c r="N9" s="64">
        <v>16.7</v>
      </c>
      <c r="O9" s="64">
        <v>0</v>
      </c>
      <c r="P9" s="64">
        <v>1.18</v>
      </c>
      <c r="Q9" s="64">
        <v>9.4499999999999993</v>
      </c>
      <c r="R9" s="198"/>
      <c r="S9" s="198"/>
      <c r="T9" s="198"/>
      <c r="U9" s="198"/>
    </row>
    <row r="10" spans="1:21" s="12" customFormat="1" x14ac:dyDescent="0.25">
      <c r="A10" s="214" t="s">
        <v>1785</v>
      </c>
      <c r="B10" s="64">
        <v>39.26</v>
      </c>
      <c r="C10" s="64">
        <v>27.82</v>
      </c>
      <c r="D10" s="64">
        <v>45.94</v>
      </c>
      <c r="E10" s="64">
        <v>1.49</v>
      </c>
      <c r="F10" s="64">
        <v>3.61</v>
      </c>
      <c r="G10" s="64">
        <v>107.3</v>
      </c>
      <c r="H10" s="64">
        <v>31.83</v>
      </c>
      <c r="I10" s="64">
        <v>9.32</v>
      </c>
      <c r="J10" s="64">
        <v>0.24</v>
      </c>
      <c r="K10" s="64">
        <v>351.91</v>
      </c>
      <c r="L10" s="64">
        <v>24.51</v>
      </c>
      <c r="M10" s="64">
        <v>74.25</v>
      </c>
      <c r="N10" s="64">
        <v>17.399999999999999</v>
      </c>
      <c r="O10" s="64">
        <v>0</v>
      </c>
      <c r="P10" s="64">
        <v>1.1499999999999999</v>
      </c>
      <c r="Q10" s="64">
        <v>9.5399999999999991</v>
      </c>
      <c r="R10" s="198"/>
      <c r="S10" s="198"/>
      <c r="T10" s="198"/>
      <c r="U10" s="198"/>
    </row>
    <row r="11" spans="1:21" s="12" customFormat="1" x14ac:dyDescent="0.25">
      <c r="A11" s="214" t="s">
        <v>1786</v>
      </c>
      <c r="B11" s="64">
        <v>39.229999999999997</v>
      </c>
      <c r="C11" s="64">
        <v>26.9</v>
      </c>
      <c r="D11" s="64">
        <v>45.43</v>
      </c>
      <c r="E11" s="64">
        <v>1.7</v>
      </c>
      <c r="F11" s="64">
        <v>3.85</v>
      </c>
      <c r="G11" s="64">
        <v>107.3</v>
      </c>
      <c r="H11" s="64">
        <v>31.83</v>
      </c>
      <c r="I11" s="64">
        <v>9.14</v>
      </c>
      <c r="J11" s="64">
        <v>0.51</v>
      </c>
      <c r="K11" s="64">
        <v>342.55</v>
      </c>
      <c r="L11" s="64">
        <v>24.06</v>
      </c>
      <c r="M11" s="64">
        <v>76.91</v>
      </c>
      <c r="N11" s="64">
        <v>16.899999999999999</v>
      </c>
      <c r="O11" s="64">
        <v>0</v>
      </c>
      <c r="P11" s="64">
        <v>1.1499999999999999</v>
      </c>
      <c r="Q11" s="64">
        <v>9.43</v>
      </c>
      <c r="R11" s="198"/>
      <c r="S11" s="198"/>
      <c r="T11" s="198"/>
      <c r="U11" s="198"/>
    </row>
    <row r="12" spans="1:21" s="12" customFormat="1" x14ac:dyDescent="0.25">
      <c r="A12" s="214" t="s">
        <v>1787</v>
      </c>
      <c r="B12" s="64">
        <v>38.83</v>
      </c>
      <c r="C12" s="64">
        <v>26</v>
      </c>
      <c r="D12" s="64">
        <v>44.64</v>
      </c>
      <c r="E12" s="64">
        <v>1.66</v>
      </c>
      <c r="F12" s="64">
        <v>3.38</v>
      </c>
      <c r="G12" s="64">
        <v>107.33</v>
      </c>
      <c r="H12" s="64">
        <v>31.47</v>
      </c>
      <c r="I12" s="64">
        <v>8.81</v>
      </c>
      <c r="J12" s="64">
        <v>0.24</v>
      </c>
      <c r="K12" s="64">
        <v>222.88</v>
      </c>
      <c r="L12" s="64">
        <v>24.18</v>
      </c>
      <c r="M12" s="64">
        <v>75.650000000000006</v>
      </c>
      <c r="N12" s="64">
        <v>17</v>
      </c>
      <c r="O12" s="64">
        <v>0</v>
      </c>
      <c r="P12" s="64">
        <v>1.1499999999999999</v>
      </c>
      <c r="Q12" s="64">
        <v>9.5500000000000007</v>
      </c>
      <c r="R12" s="198"/>
      <c r="S12" s="198"/>
      <c r="T12" s="198"/>
      <c r="U12" s="198"/>
    </row>
    <row r="13" spans="1:21" s="12" customFormat="1" x14ac:dyDescent="0.25">
      <c r="A13" s="214" t="s">
        <v>1788</v>
      </c>
      <c r="B13" s="64">
        <v>38.22</v>
      </c>
      <c r="C13" s="64">
        <v>24.59</v>
      </c>
      <c r="D13" s="64">
        <v>43.42</v>
      </c>
      <c r="E13" s="64">
        <v>1.85</v>
      </c>
      <c r="F13" s="64">
        <v>3.12</v>
      </c>
      <c r="G13" s="64">
        <v>107.78</v>
      </c>
      <c r="H13" s="64">
        <v>26.49</v>
      </c>
      <c r="I13" s="64">
        <v>9.5399999999999991</v>
      </c>
      <c r="J13" s="64">
        <v>0.2</v>
      </c>
      <c r="K13" s="64">
        <v>9.59</v>
      </c>
      <c r="L13" s="64">
        <v>24.22</v>
      </c>
      <c r="M13" s="64">
        <v>77.78</v>
      </c>
      <c r="N13" s="64">
        <v>17.600000000000001</v>
      </c>
      <c r="O13" s="64">
        <v>0</v>
      </c>
      <c r="P13" s="64">
        <v>1.1200000000000001</v>
      </c>
      <c r="Q13" s="64">
        <v>9.5399999999999991</v>
      </c>
      <c r="R13" s="198"/>
      <c r="S13" s="198"/>
      <c r="T13" s="198"/>
      <c r="U13" s="198"/>
    </row>
    <row r="14" spans="1:21" s="12" customFormat="1" x14ac:dyDescent="0.25">
      <c r="A14" s="214" t="s">
        <v>1789</v>
      </c>
      <c r="B14" s="64">
        <v>37.770000000000003</v>
      </c>
      <c r="C14" s="64">
        <v>23.87</v>
      </c>
      <c r="D14" s="64">
        <v>42.68</v>
      </c>
      <c r="E14" s="64">
        <v>1.58</v>
      </c>
      <c r="F14" s="64">
        <v>3.05</v>
      </c>
      <c r="G14" s="64">
        <v>107.78</v>
      </c>
      <c r="H14" s="64">
        <v>26.49</v>
      </c>
      <c r="I14" s="64">
        <v>10.32</v>
      </c>
      <c r="J14" s="64">
        <v>7.0000000000000007E-2</v>
      </c>
      <c r="K14" s="64">
        <v>224.45</v>
      </c>
      <c r="L14" s="64">
        <v>23.78</v>
      </c>
      <c r="M14" s="64">
        <v>78.75</v>
      </c>
      <c r="N14" s="64">
        <v>17.2</v>
      </c>
      <c r="O14" s="64">
        <v>0</v>
      </c>
      <c r="P14" s="64">
        <v>1.1399999999999999</v>
      </c>
      <c r="Q14" s="64">
        <v>9.43</v>
      </c>
      <c r="R14" s="198"/>
      <c r="S14" s="198"/>
      <c r="T14" s="198"/>
      <c r="U14" s="198"/>
    </row>
    <row r="15" spans="1:21" s="12" customFormat="1" x14ac:dyDescent="0.25">
      <c r="A15" s="214" t="s">
        <v>1790</v>
      </c>
      <c r="B15" s="64">
        <v>37.1</v>
      </c>
      <c r="C15" s="64">
        <v>23.53</v>
      </c>
      <c r="D15" s="64">
        <v>41.97</v>
      </c>
      <c r="E15" s="64">
        <v>1.82</v>
      </c>
      <c r="F15" s="64">
        <v>3.41</v>
      </c>
      <c r="G15" s="64">
        <v>107.78</v>
      </c>
      <c r="H15" s="64">
        <v>26.49</v>
      </c>
      <c r="I15" s="64">
        <v>10.37</v>
      </c>
      <c r="J15" s="64">
        <v>0.03</v>
      </c>
      <c r="K15" s="64">
        <v>67.430000000000007</v>
      </c>
      <c r="L15" s="64">
        <v>23.77</v>
      </c>
      <c r="M15" s="64">
        <v>79.8</v>
      </c>
      <c r="N15" s="64">
        <v>17.2</v>
      </c>
      <c r="O15" s="64">
        <v>0</v>
      </c>
      <c r="P15" s="64">
        <v>1.1499999999999999</v>
      </c>
      <c r="Q15" s="64">
        <v>9.5299999999999994</v>
      </c>
      <c r="R15" s="198"/>
      <c r="S15" s="198"/>
      <c r="T15" s="198"/>
      <c r="U15" s="198"/>
    </row>
    <row r="16" spans="1:21" s="12" customFormat="1" x14ac:dyDescent="0.25">
      <c r="A16" s="214" t="s">
        <v>1791</v>
      </c>
      <c r="B16" s="64">
        <v>36.32</v>
      </c>
      <c r="C16" s="64">
        <v>23.37</v>
      </c>
      <c r="D16" s="64">
        <v>41.26</v>
      </c>
      <c r="E16" s="64">
        <v>1.94</v>
      </c>
      <c r="F16" s="64">
        <v>3.56</v>
      </c>
      <c r="G16" s="64">
        <v>109.18</v>
      </c>
      <c r="H16" s="64">
        <v>28.47</v>
      </c>
      <c r="I16" s="64">
        <v>10.23</v>
      </c>
      <c r="J16" s="64">
        <v>0.08</v>
      </c>
      <c r="K16" s="64">
        <v>145.19</v>
      </c>
      <c r="L16" s="64">
        <v>23.6</v>
      </c>
      <c r="M16" s="64">
        <v>79.48</v>
      </c>
      <c r="N16" s="64">
        <v>17.3</v>
      </c>
      <c r="O16" s="64">
        <v>0</v>
      </c>
      <c r="P16" s="64">
        <v>1.1499999999999999</v>
      </c>
      <c r="Q16" s="64">
        <v>9.49</v>
      </c>
      <c r="R16" s="198"/>
      <c r="S16" s="198"/>
      <c r="T16" s="198"/>
      <c r="U16" s="198"/>
    </row>
    <row r="17" spans="1:21" s="12" customFormat="1" x14ac:dyDescent="0.25">
      <c r="A17" s="214" t="s">
        <v>1792</v>
      </c>
      <c r="B17" s="64">
        <v>35.57</v>
      </c>
      <c r="C17" s="64">
        <v>23.11</v>
      </c>
      <c r="D17" s="64">
        <v>40.520000000000003</v>
      </c>
      <c r="E17" s="64">
        <v>1.63</v>
      </c>
      <c r="F17" s="64">
        <v>3.38</v>
      </c>
      <c r="G17" s="64">
        <v>132.85</v>
      </c>
      <c r="H17" s="64">
        <v>62.07</v>
      </c>
      <c r="I17" s="64">
        <v>10.130000000000001</v>
      </c>
      <c r="J17" s="64">
        <v>0.22</v>
      </c>
      <c r="K17" s="64">
        <v>216.01</v>
      </c>
      <c r="L17" s="64">
        <v>23.65</v>
      </c>
      <c r="M17" s="64">
        <v>80.92</v>
      </c>
      <c r="N17" s="64">
        <v>16.8</v>
      </c>
      <c r="O17" s="64">
        <v>0</v>
      </c>
      <c r="P17" s="64">
        <v>1.1299999999999999</v>
      </c>
      <c r="Q17" s="64">
        <v>9.4</v>
      </c>
      <c r="R17" s="198"/>
      <c r="S17" s="198"/>
      <c r="T17" s="198"/>
      <c r="U17" s="198"/>
    </row>
    <row r="18" spans="1:21" s="12" customFormat="1" x14ac:dyDescent="0.25">
      <c r="A18" s="214" t="s">
        <v>1793</v>
      </c>
      <c r="B18" s="64">
        <v>35.409999999999997</v>
      </c>
      <c r="C18" s="64">
        <v>22.82</v>
      </c>
      <c r="D18" s="64">
        <v>40.24</v>
      </c>
      <c r="E18" s="64">
        <v>1.51</v>
      </c>
      <c r="F18" s="64">
        <v>3.6</v>
      </c>
      <c r="G18" s="64">
        <v>132.85</v>
      </c>
      <c r="H18" s="64">
        <v>62.07</v>
      </c>
      <c r="I18" s="64">
        <v>10.08</v>
      </c>
      <c r="J18" s="64">
        <v>0.05</v>
      </c>
      <c r="K18" s="64">
        <v>306.73</v>
      </c>
      <c r="L18" s="64">
        <v>23.44</v>
      </c>
      <c r="M18" s="64">
        <v>85.65</v>
      </c>
      <c r="N18" s="64">
        <v>17.100000000000001</v>
      </c>
      <c r="O18" s="64">
        <v>0</v>
      </c>
      <c r="P18" s="64">
        <v>1.1200000000000001</v>
      </c>
      <c r="Q18" s="64">
        <v>9.5</v>
      </c>
      <c r="R18" s="198"/>
      <c r="S18" s="198"/>
      <c r="T18" s="198"/>
      <c r="U18" s="198"/>
    </row>
    <row r="19" spans="1:21" s="12" customFormat="1" x14ac:dyDescent="0.25">
      <c r="A19" s="214" t="s">
        <v>1794</v>
      </c>
      <c r="B19" s="64">
        <v>35.56</v>
      </c>
      <c r="C19" s="64">
        <v>22.61</v>
      </c>
      <c r="D19" s="64">
        <v>40.25</v>
      </c>
      <c r="E19" s="64">
        <v>1.72</v>
      </c>
      <c r="F19" s="64">
        <v>3.28</v>
      </c>
      <c r="G19" s="64">
        <v>132.85</v>
      </c>
      <c r="H19" s="64">
        <v>62.07</v>
      </c>
      <c r="I19" s="64">
        <v>10</v>
      </c>
      <c r="J19" s="64">
        <v>0.15</v>
      </c>
      <c r="K19" s="64">
        <v>317.10000000000002</v>
      </c>
      <c r="L19" s="64">
        <v>23.51</v>
      </c>
      <c r="M19" s="64">
        <v>84.78</v>
      </c>
      <c r="N19" s="64">
        <v>17.100000000000001</v>
      </c>
      <c r="O19" s="64">
        <v>0</v>
      </c>
      <c r="P19" s="64">
        <v>1.1000000000000001</v>
      </c>
      <c r="Q19" s="64">
        <v>9.4700000000000006</v>
      </c>
      <c r="R19" s="198"/>
      <c r="S19" s="198"/>
      <c r="T19" s="198"/>
      <c r="U19" s="198"/>
    </row>
    <row r="20" spans="1:21" s="12" customFormat="1" x14ac:dyDescent="0.25">
      <c r="A20" s="214" t="s">
        <v>1795</v>
      </c>
      <c r="B20" s="64">
        <v>35.53</v>
      </c>
      <c r="C20" s="64">
        <v>22.23</v>
      </c>
      <c r="D20" s="64">
        <v>40.03</v>
      </c>
      <c r="E20" s="64">
        <v>1.95</v>
      </c>
      <c r="F20" s="64">
        <v>3.19</v>
      </c>
      <c r="G20" s="64">
        <v>132.21</v>
      </c>
      <c r="H20" s="64">
        <v>61.56</v>
      </c>
      <c r="I20" s="64">
        <v>9.92</v>
      </c>
      <c r="J20" s="64">
        <v>7.0000000000000007E-2</v>
      </c>
      <c r="K20" s="64">
        <v>77.239999999999995</v>
      </c>
      <c r="L20" s="64">
        <v>23.11</v>
      </c>
      <c r="M20" s="64">
        <v>87.98</v>
      </c>
      <c r="N20" s="64">
        <v>17.2</v>
      </c>
      <c r="O20" s="64">
        <v>0</v>
      </c>
      <c r="P20" s="64">
        <v>1.08</v>
      </c>
      <c r="Q20" s="64">
        <v>9.4600000000000009</v>
      </c>
      <c r="R20" s="198"/>
      <c r="S20" s="198"/>
      <c r="T20" s="198"/>
      <c r="U20" s="198"/>
    </row>
    <row r="21" spans="1:21" s="12" customFormat="1" x14ac:dyDescent="0.25">
      <c r="A21" s="214" t="s">
        <v>1796</v>
      </c>
      <c r="B21" s="64">
        <v>35.75</v>
      </c>
      <c r="C21" s="64">
        <v>21.88</v>
      </c>
      <c r="D21" s="64">
        <v>40.020000000000003</v>
      </c>
      <c r="E21" s="64">
        <v>1.69</v>
      </c>
      <c r="F21" s="64">
        <v>3.37</v>
      </c>
      <c r="G21" s="64">
        <v>123.19</v>
      </c>
      <c r="H21" s="64">
        <v>54.44</v>
      </c>
      <c r="I21" s="64">
        <v>9.82</v>
      </c>
      <c r="J21" s="64">
        <v>0.12</v>
      </c>
      <c r="K21" s="64">
        <v>248.14</v>
      </c>
      <c r="L21" s="64">
        <v>23.13</v>
      </c>
      <c r="M21" s="64">
        <v>88.65</v>
      </c>
      <c r="N21" s="64">
        <v>16.899999999999999</v>
      </c>
      <c r="O21" s="64">
        <v>0</v>
      </c>
      <c r="P21" s="64">
        <v>1.06</v>
      </c>
      <c r="Q21" s="64">
        <v>9.4600000000000009</v>
      </c>
      <c r="R21" s="198"/>
      <c r="S21" s="198"/>
      <c r="T21" s="198"/>
      <c r="U21" s="198"/>
    </row>
    <row r="22" spans="1:21" s="12" customFormat="1" x14ac:dyDescent="0.25">
      <c r="A22" s="214" t="s">
        <v>1797</v>
      </c>
      <c r="B22" s="64">
        <v>36.159999999999997</v>
      </c>
      <c r="C22" s="64">
        <v>21.93</v>
      </c>
      <c r="D22" s="64">
        <v>40.380000000000003</v>
      </c>
      <c r="E22" s="64">
        <v>1.89</v>
      </c>
      <c r="F22" s="64">
        <v>2.77</v>
      </c>
      <c r="G22" s="64">
        <v>123.19</v>
      </c>
      <c r="H22" s="64">
        <v>54.44</v>
      </c>
      <c r="I22" s="64">
        <v>9.74</v>
      </c>
      <c r="J22" s="64">
        <v>0.15</v>
      </c>
      <c r="K22" s="64">
        <v>28.91</v>
      </c>
      <c r="L22" s="64">
        <v>22.89</v>
      </c>
      <c r="M22" s="64">
        <v>91.09</v>
      </c>
      <c r="N22" s="64">
        <v>17.3</v>
      </c>
      <c r="O22" s="64">
        <v>0</v>
      </c>
      <c r="P22" s="64">
        <v>1.04</v>
      </c>
      <c r="Q22" s="64">
        <v>9.5299999999999994</v>
      </c>
      <c r="R22" s="198"/>
      <c r="S22" s="198"/>
      <c r="T22" s="198"/>
      <c r="U22" s="198"/>
    </row>
    <row r="23" spans="1:21" s="12" customFormat="1" x14ac:dyDescent="0.25">
      <c r="A23" s="214" t="s">
        <v>1798</v>
      </c>
      <c r="B23" s="64">
        <v>36.85</v>
      </c>
      <c r="C23" s="64">
        <v>23.45</v>
      </c>
      <c r="D23" s="64">
        <v>41.72</v>
      </c>
      <c r="E23" s="64">
        <v>1.61</v>
      </c>
      <c r="F23" s="64">
        <v>3.01</v>
      </c>
      <c r="G23" s="64">
        <v>123.19</v>
      </c>
      <c r="H23" s="64">
        <v>54.44</v>
      </c>
      <c r="I23" s="64">
        <v>9.75</v>
      </c>
      <c r="J23" s="64">
        <v>0.12</v>
      </c>
      <c r="K23" s="64">
        <v>139.72</v>
      </c>
      <c r="L23" s="64">
        <v>22.77</v>
      </c>
      <c r="M23" s="64">
        <v>89.51</v>
      </c>
      <c r="N23" s="64">
        <v>17.100000000000001</v>
      </c>
      <c r="O23" s="64">
        <v>0</v>
      </c>
      <c r="P23" s="64">
        <v>1.02</v>
      </c>
      <c r="Q23" s="64">
        <v>9.44</v>
      </c>
      <c r="R23" s="198"/>
      <c r="S23" s="198"/>
      <c r="T23" s="198"/>
      <c r="U23" s="198"/>
    </row>
    <row r="24" spans="1:21" s="12" customFormat="1" x14ac:dyDescent="0.25">
      <c r="A24" s="214" t="s">
        <v>1799</v>
      </c>
      <c r="B24" s="64">
        <v>37.01</v>
      </c>
      <c r="C24" s="64">
        <v>23.91</v>
      </c>
      <c r="D24" s="64">
        <v>42.09</v>
      </c>
      <c r="E24" s="64">
        <v>2.08</v>
      </c>
      <c r="F24" s="64">
        <v>3.69</v>
      </c>
      <c r="G24" s="64">
        <v>122.56</v>
      </c>
      <c r="H24" s="64">
        <v>53.57</v>
      </c>
      <c r="I24" s="64">
        <v>9.5399999999999991</v>
      </c>
      <c r="J24" s="64">
        <v>0.18</v>
      </c>
      <c r="K24" s="64">
        <v>259.33999999999997</v>
      </c>
      <c r="L24" s="64">
        <v>22.86</v>
      </c>
      <c r="M24" s="64">
        <v>90.48</v>
      </c>
      <c r="N24" s="64">
        <v>16.899999999999999</v>
      </c>
      <c r="O24" s="64">
        <v>0</v>
      </c>
      <c r="P24" s="64">
        <v>1</v>
      </c>
      <c r="Q24" s="64">
        <v>9.5299999999999994</v>
      </c>
      <c r="R24" s="198"/>
      <c r="S24" s="198"/>
      <c r="T24" s="198"/>
      <c r="U24" s="198"/>
    </row>
    <row r="25" spans="1:21" s="12" customFormat="1" x14ac:dyDescent="0.25">
      <c r="A25" s="214" t="s">
        <v>1800</v>
      </c>
      <c r="B25" s="64">
        <v>37.58</v>
      </c>
      <c r="C25" s="64">
        <v>24.74</v>
      </c>
      <c r="D25" s="64">
        <v>42.98</v>
      </c>
      <c r="E25" s="64">
        <v>2.97</v>
      </c>
      <c r="F25" s="64">
        <v>3.43</v>
      </c>
      <c r="G25" s="64">
        <v>113.71</v>
      </c>
      <c r="H25" s="64">
        <v>38.770000000000003</v>
      </c>
      <c r="I25" s="64">
        <v>9.17</v>
      </c>
      <c r="J25" s="64">
        <v>0.12</v>
      </c>
      <c r="K25" s="64">
        <v>344.56</v>
      </c>
      <c r="L25" s="64">
        <v>22.61</v>
      </c>
      <c r="M25" s="64">
        <v>92.41</v>
      </c>
      <c r="N25" s="64">
        <v>17.3</v>
      </c>
      <c r="O25" s="64">
        <v>0</v>
      </c>
      <c r="P25" s="64">
        <v>0.99</v>
      </c>
      <c r="Q25" s="64">
        <v>9.5299999999999994</v>
      </c>
      <c r="R25" s="198"/>
      <c r="S25" s="198"/>
      <c r="T25" s="198"/>
      <c r="U25" s="198"/>
    </row>
    <row r="26" spans="1:21" s="12" customFormat="1" x14ac:dyDescent="0.25">
      <c r="A26" s="214" t="s">
        <v>1801</v>
      </c>
      <c r="B26" s="64">
        <v>38.700000000000003</v>
      </c>
      <c r="C26" s="64">
        <v>24.46</v>
      </c>
      <c r="D26" s="64">
        <v>43.73</v>
      </c>
      <c r="E26" s="64">
        <v>3.5</v>
      </c>
      <c r="F26" s="64">
        <v>3.28</v>
      </c>
      <c r="G26" s="64">
        <v>113.71</v>
      </c>
      <c r="H26" s="64">
        <v>38.770000000000003</v>
      </c>
      <c r="I26" s="64">
        <v>9.6</v>
      </c>
      <c r="J26" s="64">
        <v>0.23</v>
      </c>
      <c r="K26" s="64">
        <v>240.85</v>
      </c>
      <c r="L26" s="64">
        <v>22.64</v>
      </c>
      <c r="M26" s="64">
        <v>91.68</v>
      </c>
      <c r="N26" s="64">
        <v>16.8</v>
      </c>
      <c r="O26" s="64">
        <v>0</v>
      </c>
      <c r="P26" s="64">
        <v>0.99</v>
      </c>
      <c r="Q26" s="64">
        <v>9.49</v>
      </c>
      <c r="R26" s="198"/>
      <c r="S26" s="198"/>
      <c r="T26" s="198"/>
      <c r="U26" s="198"/>
    </row>
    <row r="27" spans="1:21" s="12" customFormat="1" x14ac:dyDescent="0.25">
      <c r="A27" s="214" t="s">
        <v>1802</v>
      </c>
      <c r="B27" s="64">
        <v>39.85</v>
      </c>
      <c r="C27" s="64">
        <v>24.37</v>
      </c>
      <c r="D27" s="64">
        <v>44.61</v>
      </c>
      <c r="E27" s="64">
        <v>3.12</v>
      </c>
      <c r="F27" s="64">
        <v>3.08</v>
      </c>
      <c r="G27" s="64">
        <v>113.71</v>
      </c>
      <c r="H27" s="64">
        <v>38.770000000000003</v>
      </c>
      <c r="I27" s="64">
        <v>9.6999999999999993</v>
      </c>
      <c r="J27" s="64">
        <v>0.14000000000000001</v>
      </c>
      <c r="K27" s="64">
        <v>275.83</v>
      </c>
      <c r="L27" s="64">
        <v>22.62</v>
      </c>
      <c r="M27" s="64">
        <v>88.42</v>
      </c>
      <c r="N27" s="64">
        <v>17.2</v>
      </c>
      <c r="O27" s="64">
        <v>0</v>
      </c>
      <c r="P27" s="64">
        <v>0.98</v>
      </c>
      <c r="Q27" s="64">
        <v>9.5399999999999991</v>
      </c>
      <c r="R27" s="198"/>
      <c r="S27" s="198"/>
      <c r="T27" s="198"/>
      <c r="U27" s="198"/>
    </row>
    <row r="28" spans="1:21" s="12" customFormat="1" x14ac:dyDescent="0.25">
      <c r="A28" s="214" t="s">
        <v>1803</v>
      </c>
      <c r="B28" s="64">
        <v>41.14</v>
      </c>
      <c r="C28" s="64">
        <v>23.87</v>
      </c>
      <c r="D28" s="64">
        <v>45.38</v>
      </c>
      <c r="E28" s="64">
        <v>3.34</v>
      </c>
      <c r="F28" s="64">
        <v>3.58</v>
      </c>
      <c r="G28" s="64">
        <v>113.89</v>
      </c>
      <c r="H28" s="64">
        <v>37.67</v>
      </c>
      <c r="I28" s="64">
        <v>10</v>
      </c>
      <c r="J28" s="64">
        <v>0.23</v>
      </c>
      <c r="K28" s="64">
        <v>246.81</v>
      </c>
      <c r="L28" s="64">
        <v>22.92</v>
      </c>
      <c r="M28" s="64">
        <v>83.85</v>
      </c>
      <c r="N28" s="64">
        <v>16.8</v>
      </c>
      <c r="O28" s="64">
        <v>0</v>
      </c>
      <c r="P28" s="64">
        <v>0.97</v>
      </c>
      <c r="Q28" s="64">
        <v>9.5299999999999994</v>
      </c>
      <c r="R28" s="198"/>
      <c r="S28" s="198"/>
      <c r="T28" s="198"/>
      <c r="U28" s="198"/>
    </row>
    <row r="29" spans="1:21" s="12" customFormat="1" x14ac:dyDescent="0.25">
      <c r="A29" s="214" t="s">
        <v>1804</v>
      </c>
      <c r="B29" s="64">
        <v>42.18</v>
      </c>
      <c r="C29" s="64">
        <v>24.39</v>
      </c>
      <c r="D29" s="64">
        <v>46.49</v>
      </c>
      <c r="E29" s="64">
        <v>3.35</v>
      </c>
      <c r="F29" s="64">
        <v>2.79</v>
      </c>
      <c r="G29" s="64">
        <v>116.94</v>
      </c>
      <c r="H29" s="64">
        <v>18.86</v>
      </c>
      <c r="I29" s="64">
        <v>10.18</v>
      </c>
      <c r="J29" s="64">
        <v>0.18</v>
      </c>
      <c r="K29" s="64">
        <v>248.64</v>
      </c>
      <c r="L29" s="64">
        <v>22.93</v>
      </c>
      <c r="M29" s="64">
        <v>84.86</v>
      </c>
      <c r="N29" s="64">
        <v>17.100000000000001</v>
      </c>
      <c r="O29" s="64">
        <v>0</v>
      </c>
      <c r="P29" s="64">
        <v>0.97</v>
      </c>
      <c r="Q29" s="64">
        <v>9.66</v>
      </c>
      <c r="R29" s="198"/>
      <c r="S29" s="198"/>
      <c r="T29" s="198"/>
      <c r="U29" s="198"/>
    </row>
    <row r="30" spans="1:21" s="12" customFormat="1" x14ac:dyDescent="0.25">
      <c r="A30" s="214" t="s">
        <v>1805</v>
      </c>
      <c r="B30" s="64">
        <v>42.24</v>
      </c>
      <c r="C30" s="64">
        <v>23.28</v>
      </c>
      <c r="D30" s="64">
        <v>45.96</v>
      </c>
      <c r="E30" s="64">
        <v>3.46</v>
      </c>
      <c r="F30" s="64">
        <v>3.36</v>
      </c>
      <c r="G30" s="64">
        <v>116.94</v>
      </c>
      <c r="H30" s="64">
        <v>18.86</v>
      </c>
      <c r="I30" s="64">
        <v>10.46</v>
      </c>
      <c r="J30" s="64">
        <v>0.19</v>
      </c>
      <c r="K30" s="64">
        <v>246.13</v>
      </c>
      <c r="L30" s="64">
        <v>22.82</v>
      </c>
      <c r="M30" s="64">
        <v>85.58</v>
      </c>
      <c r="N30" s="64">
        <v>18</v>
      </c>
      <c r="O30" s="64">
        <v>0</v>
      </c>
      <c r="P30" s="64">
        <v>0.96</v>
      </c>
      <c r="Q30" s="64">
        <v>9.6</v>
      </c>
      <c r="R30" s="198"/>
      <c r="S30" s="198"/>
      <c r="T30" s="198"/>
      <c r="U30" s="198"/>
    </row>
    <row r="31" spans="1:21" s="12" customFormat="1" x14ac:dyDescent="0.25">
      <c r="A31" s="214" t="s">
        <v>1806</v>
      </c>
      <c r="B31" s="64">
        <v>41.39</v>
      </c>
      <c r="C31" s="64">
        <v>21.37</v>
      </c>
      <c r="D31" s="64">
        <v>44.28</v>
      </c>
      <c r="E31" s="64">
        <v>3.14</v>
      </c>
      <c r="F31" s="64">
        <v>3.27</v>
      </c>
      <c r="G31" s="64">
        <v>116.94</v>
      </c>
      <c r="H31" s="64">
        <v>18.86</v>
      </c>
      <c r="I31" s="64">
        <v>10.82</v>
      </c>
      <c r="J31" s="64">
        <v>0.17</v>
      </c>
      <c r="K31" s="64">
        <v>245.77</v>
      </c>
      <c r="L31" s="64">
        <v>22.74</v>
      </c>
      <c r="M31" s="64">
        <v>87.85</v>
      </c>
      <c r="N31" s="64">
        <v>23.3</v>
      </c>
      <c r="O31" s="64">
        <v>0</v>
      </c>
      <c r="P31" s="64">
        <v>0.94</v>
      </c>
      <c r="Q31" s="64">
        <v>9.64</v>
      </c>
      <c r="R31" s="198"/>
      <c r="S31" s="198"/>
      <c r="T31" s="198"/>
      <c r="U31" s="198"/>
    </row>
    <row r="32" spans="1:21" s="12" customFormat="1" x14ac:dyDescent="0.25">
      <c r="A32" s="214" t="s">
        <v>1807</v>
      </c>
      <c r="B32" s="64">
        <v>40.270000000000003</v>
      </c>
      <c r="C32" s="64">
        <v>20.55</v>
      </c>
      <c r="D32" s="64">
        <v>42.95</v>
      </c>
      <c r="E32" s="64">
        <v>2.94</v>
      </c>
      <c r="F32" s="64">
        <v>3.07</v>
      </c>
      <c r="G32" s="64">
        <v>115.98</v>
      </c>
      <c r="H32" s="64">
        <v>19.190000000000001</v>
      </c>
      <c r="I32" s="64">
        <v>11.15</v>
      </c>
      <c r="J32" s="64">
        <v>0.18</v>
      </c>
      <c r="K32" s="64">
        <v>239.16</v>
      </c>
      <c r="L32" s="64">
        <v>22.83</v>
      </c>
      <c r="M32" s="64">
        <v>85.98</v>
      </c>
      <c r="N32" s="64">
        <v>37.5</v>
      </c>
      <c r="O32" s="64">
        <v>0</v>
      </c>
      <c r="P32" s="64">
        <v>0.92</v>
      </c>
      <c r="Q32" s="64">
        <v>9.59</v>
      </c>
      <c r="R32" s="198"/>
      <c r="S32" s="198"/>
      <c r="T32" s="198"/>
      <c r="U32" s="198"/>
    </row>
    <row r="33" spans="1:21" s="12" customFormat="1" x14ac:dyDescent="0.25">
      <c r="A33" s="214" t="s">
        <v>1808</v>
      </c>
      <c r="B33" s="64">
        <v>39.369999999999997</v>
      </c>
      <c r="C33" s="64">
        <v>20.46</v>
      </c>
      <c r="D33" s="64">
        <v>42.19</v>
      </c>
      <c r="E33" s="64">
        <v>3.41</v>
      </c>
      <c r="F33" s="64">
        <v>3.22</v>
      </c>
      <c r="G33" s="64">
        <v>99.55</v>
      </c>
      <c r="H33" s="64">
        <v>24.88</v>
      </c>
      <c r="I33" s="64">
        <v>11.11</v>
      </c>
      <c r="J33" s="64">
        <v>0.28999999999999998</v>
      </c>
      <c r="K33" s="64">
        <v>221.73</v>
      </c>
      <c r="L33" s="64">
        <v>23.42</v>
      </c>
      <c r="M33" s="64">
        <v>82.27</v>
      </c>
      <c r="N33" s="64">
        <v>65.2</v>
      </c>
      <c r="O33" s="64">
        <v>0</v>
      </c>
      <c r="P33" s="64">
        <v>0.9</v>
      </c>
      <c r="Q33" s="64">
        <v>9.51</v>
      </c>
      <c r="R33" s="198"/>
      <c r="S33" s="198"/>
      <c r="T33" s="198"/>
      <c r="U33" s="198"/>
    </row>
    <row r="34" spans="1:21" s="12" customFormat="1" x14ac:dyDescent="0.25">
      <c r="A34" s="214" t="s">
        <v>1809</v>
      </c>
      <c r="B34" s="64">
        <v>38.700000000000003</v>
      </c>
      <c r="C34" s="64">
        <v>20.52</v>
      </c>
      <c r="D34" s="64">
        <v>41.68</v>
      </c>
      <c r="E34" s="64">
        <v>3.26</v>
      </c>
      <c r="F34" s="64">
        <v>3.43</v>
      </c>
      <c r="G34" s="64">
        <v>99.55</v>
      </c>
      <c r="H34" s="64">
        <v>24.88</v>
      </c>
      <c r="I34" s="64">
        <v>10.88</v>
      </c>
      <c r="J34" s="64">
        <v>0.1</v>
      </c>
      <c r="K34" s="64">
        <v>238.81</v>
      </c>
      <c r="L34" s="64">
        <v>24.35</v>
      </c>
      <c r="M34" s="64">
        <v>78.7</v>
      </c>
      <c r="N34" s="64">
        <v>103.8</v>
      </c>
      <c r="O34" s="64">
        <v>0</v>
      </c>
      <c r="P34" s="64">
        <v>0.88</v>
      </c>
      <c r="Q34" s="64">
        <v>9.4600000000000009</v>
      </c>
      <c r="R34" s="198"/>
      <c r="S34" s="198"/>
      <c r="T34" s="198"/>
      <c r="U34" s="198"/>
    </row>
    <row r="35" spans="1:21" s="12" customFormat="1" x14ac:dyDescent="0.25">
      <c r="A35" s="214" t="s">
        <v>1810</v>
      </c>
      <c r="B35" s="64">
        <v>37.880000000000003</v>
      </c>
      <c r="C35" s="64">
        <v>20.59</v>
      </c>
      <c r="D35" s="64">
        <v>41.06</v>
      </c>
      <c r="E35" s="64">
        <v>3.06</v>
      </c>
      <c r="F35" s="64">
        <v>3.06</v>
      </c>
      <c r="G35" s="64">
        <v>99.55</v>
      </c>
      <c r="H35" s="64">
        <v>24.88</v>
      </c>
      <c r="I35" s="64">
        <v>10.67</v>
      </c>
      <c r="J35" s="64">
        <v>0.1</v>
      </c>
      <c r="K35" s="64">
        <v>183.31</v>
      </c>
      <c r="L35" s="64">
        <v>25.66</v>
      </c>
      <c r="M35" s="64">
        <v>75.13</v>
      </c>
      <c r="N35" s="64">
        <v>148.69999999999999</v>
      </c>
      <c r="O35" s="64">
        <v>0</v>
      </c>
      <c r="P35" s="64">
        <v>0.87</v>
      </c>
      <c r="Q35" s="64">
        <v>9.4</v>
      </c>
      <c r="R35" s="198"/>
      <c r="S35" s="198"/>
      <c r="T35" s="198"/>
      <c r="U35" s="198"/>
    </row>
    <row r="36" spans="1:21" s="12" customFormat="1" x14ac:dyDescent="0.25">
      <c r="A36" s="214" t="s">
        <v>1811</v>
      </c>
      <c r="B36" s="64">
        <v>37.85</v>
      </c>
      <c r="C36" s="64">
        <v>20.73</v>
      </c>
      <c r="D36" s="64">
        <v>41.1</v>
      </c>
      <c r="E36" s="64">
        <v>3.15</v>
      </c>
      <c r="F36" s="64">
        <v>3.34</v>
      </c>
      <c r="G36" s="64">
        <v>99.52</v>
      </c>
      <c r="H36" s="64">
        <v>24.86</v>
      </c>
      <c r="I36" s="64">
        <v>10.46</v>
      </c>
      <c r="J36" s="64">
        <v>7.0000000000000007E-2</v>
      </c>
      <c r="K36" s="64">
        <v>5.39</v>
      </c>
      <c r="L36" s="64">
        <v>27.23</v>
      </c>
      <c r="M36" s="64">
        <v>69.7</v>
      </c>
      <c r="N36" s="64">
        <v>129.9</v>
      </c>
      <c r="O36" s="64">
        <v>0</v>
      </c>
      <c r="P36" s="64">
        <v>0.87</v>
      </c>
      <c r="Q36" s="64">
        <v>9.4700000000000006</v>
      </c>
      <c r="R36" s="198"/>
      <c r="S36" s="198"/>
      <c r="T36" s="198"/>
      <c r="U36" s="198"/>
    </row>
    <row r="37" spans="1:21" s="12" customFormat="1" x14ac:dyDescent="0.25">
      <c r="A37" s="214" t="s">
        <v>1812</v>
      </c>
      <c r="B37" s="64">
        <v>38.130000000000003</v>
      </c>
      <c r="C37" s="64">
        <v>21.29</v>
      </c>
      <c r="D37" s="64">
        <v>41.62</v>
      </c>
      <c r="E37" s="64">
        <v>3.11</v>
      </c>
      <c r="F37" s="64">
        <v>3.54</v>
      </c>
      <c r="G37" s="64">
        <v>99.03</v>
      </c>
      <c r="H37" s="64">
        <v>24.6</v>
      </c>
      <c r="I37" s="64">
        <v>10.28</v>
      </c>
      <c r="J37" s="64">
        <v>0.25</v>
      </c>
      <c r="K37" s="64">
        <v>156.75</v>
      </c>
      <c r="L37" s="64">
        <v>26.95</v>
      </c>
      <c r="M37" s="64">
        <v>69.08</v>
      </c>
      <c r="N37" s="64">
        <v>206</v>
      </c>
      <c r="O37" s="64">
        <v>0</v>
      </c>
      <c r="P37" s="64">
        <v>0.84</v>
      </c>
      <c r="Q37" s="64">
        <v>9.58</v>
      </c>
      <c r="R37" s="198"/>
      <c r="S37" s="198"/>
      <c r="T37" s="198"/>
      <c r="U37" s="198"/>
    </row>
    <row r="38" spans="1:21" s="12" customFormat="1" x14ac:dyDescent="0.25">
      <c r="A38" s="214" t="s">
        <v>1813</v>
      </c>
      <c r="B38" s="64">
        <v>37.07</v>
      </c>
      <c r="C38" s="64">
        <v>21.74</v>
      </c>
      <c r="D38" s="64">
        <v>41</v>
      </c>
      <c r="E38" s="64">
        <v>3.09</v>
      </c>
      <c r="F38" s="64">
        <v>3.24</v>
      </c>
      <c r="G38" s="64">
        <v>99.03</v>
      </c>
      <c r="H38" s="64">
        <v>24.6</v>
      </c>
      <c r="I38" s="64">
        <v>10.25</v>
      </c>
      <c r="J38" s="64">
        <v>0.76</v>
      </c>
      <c r="K38" s="64">
        <v>151.41999999999999</v>
      </c>
      <c r="L38" s="64">
        <v>27.51</v>
      </c>
      <c r="M38" s="64">
        <v>67.489999999999995</v>
      </c>
      <c r="N38" s="64">
        <v>318.10000000000002</v>
      </c>
      <c r="O38" s="64">
        <v>0</v>
      </c>
      <c r="P38" s="64">
        <v>0.86</v>
      </c>
      <c r="Q38" s="64">
        <v>9.58</v>
      </c>
      <c r="R38" s="198"/>
      <c r="S38" s="198"/>
      <c r="T38" s="198"/>
      <c r="U38" s="198"/>
    </row>
    <row r="39" spans="1:21" s="12" customFormat="1" x14ac:dyDescent="0.25">
      <c r="A39" s="214" t="s">
        <v>1814</v>
      </c>
      <c r="B39" s="64">
        <v>35.4</v>
      </c>
      <c r="C39" s="64">
        <v>22.22</v>
      </c>
      <c r="D39" s="64">
        <v>39.92</v>
      </c>
      <c r="E39" s="64">
        <v>3.12</v>
      </c>
      <c r="F39" s="64">
        <v>3.59</v>
      </c>
      <c r="G39" s="64">
        <v>99.03</v>
      </c>
      <c r="H39" s="64">
        <v>24.6</v>
      </c>
      <c r="I39" s="64">
        <v>10.26</v>
      </c>
      <c r="J39" s="64">
        <v>0.68</v>
      </c>
      <c r="K39" s="64">
        <v>170.33</v>
      </c>
      <c r="L39" s="64">
        <v>27.73</v>
      </c>
      <c r="M39" s="64">
        <v>65.55</v>
      </c>
      <c r="N39" s="64">
        <v>380.5</v>
      </c>
      <c r="O39" s="64">
        <v>0</v>
      </c>
      <c r="P39" s="64">
        <v>0.84</v>
      </c>
      <c r="Q39" s="64">
        <v>9.4600000000000009</v>
      </c>
      <c r="R39" s="198"/>
      <c r="S39" s="198"/>
      <c r="T39" s="198"/>
      <c r="U39" s="198"/>
    </row>
    <row r="40" spans="1:21" s="12" customFormat="1" x14ac:dyDescent="0.25">
      <c r="A40" s="214" t="s">
        <v>1815</v>
      </c>
      <c r="B40" s="64">
        <v>33.14</v>
      </c>
      <c r="C40" s="64">
        <v>22.88</v>
      </c>
      <c r="D40" s="64">
        <v>38.450000000000003</v>
      </c>
      <c r="E40" s="64">
        <v>0.5</v>
      </c>
      <c r="F40" s="64">
        <v>3.34</v>
      </c>
      <c r="G40" s="64">
        <v>98.39</v>
      </c>
      <c r="H40" s="64">
        <v>24.97</v>
      </c>
      <c r="I40" s="64">
        <v>10.19</v>
      </c>
      <c r="J40" s="64">
        <v>1.18</v>
      </c>
      <c r="K40" s="64">
        <v>151.86000000000001</v>
      </c>
      <c r="L40" s="64">
        <v>28.22</v>
      </c>
      <c r="M40" s="64">
        <v>64.400000000000006</v>
      </c>
      <c r="N40" s="64">
        <v>439.3</v>
      </c>
      <c r="O40" s="64">
        <v>0</v>
      </c>
      <c r="P40" s="64">
        <v>0.82</v>
      </c>
      <c r="Q40" s="64">
        <v>9.39</v>
      </c>
      <c r="R40" s="198"/>
      <c r="S40" s="198"/>
      <c r="T40" s="198"/>
      <c r="U40" s="198"/>
    </row>
    <row r="41" spans="1:21" s="12" customFormat="1" x14ac:dyDescent="0.25">
      <c r="A41" s="214" t="s">
        <v>1816</v>
      </c>
      <c r="B41" s="64">
        <v>31.02</v>
      </c>
      <c r="C41" s="64">
        <v>24.67</v>
      </c>
      <c r="D41" s="64">
        <v>37.68</v>
      </c>
      <c r="E41" s="64">
        <v>1.06</v>
      </c>
      <c r="F41" s="64">
        <v>3.16</v>
      </c>
      <c r="G41" s="64">
        <v>89.43</v>
      </c>
      <c r="H41" s="64">
        <v>31.25</v>
      </c>
      <c r="I41" s="64">
        <v>10.17</v>
      </c>
      <c r="J41" s="64">
        <v>0.51</v>
      </c>
      <c r="K41" s="64">
        <v>144.44999999999999</v>
      </c>
      <c r="L41" s="64">
        <v>29.09</v>
      </c>
      <c r="M41" s="64">
        <v>61.23</v>
      </c>
      <c r="N41" s="64">
        <v>494.5</v>
      </c>
      <c r="O41" s="64">
        <v>0</v>
      </c>
      <c r="P41" s="64">
        <v>0.81</v>
      </c>
      <c r="Q41" s="64">
        <v>9.3699999999999992</v>
      </c>
      <c r="R41" s="198"/>
      <c r="S41" s="198"/>
      <c r="T41" s="198"/>
      <c r="U41" s="198"/>
    </row>
    <row r="42" spans="1:21" s="12" customFormat="1" x14ac:dyDescent="0.25">
      <c r="A42" s="214" t="s">
        <v>1817</v>
      </c>
      <c r="B42" s="64">
        <v>28.42</v>
      </c>
      <c r="C42" s="64">
        <v>24.96</v>
      </c>
      <c r="D42" s="64">
        <v>35.75</v>
      </c>
      <c r="E42" s="64">
        <v>1.24</v>
      </c>
      <c r="F42" s="64">
        <v>3.52</v>
      </c>
      <c r="G42" s="64">
        <v>89.43</v>
      </c>
      <c r="H42" s="64">
        <v>31.25</v>
      </c>
      <c r="I42" s="64">
        <v>10.19</v>
      </c>
      <c r="J42" s="64">
        <v>0.38</v>
      </c>
      <c r="K42" s="64">
        <v>186.39</v>
      </c>
      <c r="L42" s="64">
        <v>29.29</v>
      </c>
      <c r="M42" s="64">
        <v>59.39</v>
      </c>
      <c r="N42" s="64">
        <v>555.79999999999995</v>
      </c>
      <c r="O42" s="64">
        <v>0</v>
      </c>
      <c r="P42" s="64">
        <v>0.79</v>
      </c>
      <c r="Q42" s="64">
        <v>9.3800000000000008</v>
      </c>
      <c r="R42" s="198"/>
      <c r="S42" s="198"/>
      <c r="T42" s="198"/>
      <c r="U42" s="198"/>
    </row>
    <row r="43" spans="1:21" s="12" customFormat="1" x14ac:dyDescent="0.25">
      <c r="A43" s="214" t="s">
        <v>1818</v>
      </c>
      <c r="B43" s="64">
        <v>25.65</v>
      </c>
      <c r="C43" s="64">
        <v>26.16</v>
      </c>
      <c r="D43" s="64">
        <v>34.15</v>
      </c>
      <c r="E43" s="64">
        <v>0.96</v>
      </c>
      <c r="F43" s="64">
        <v>3.75</v>
      </c>
      <c r="G43" s="64">
        <v>89.43</v>
      </c>
      <c r="H43" s="64">
        <v>31.25</v>
      </c>
      <c r="I43" s="64">
        <v>10.3</v>
      </c>
      <c r="J43" s="64">
        <v>0.27</v>
      </c>
      <c r="K43" s="64">
        <v>206.51</v>
      </c>
      <c r="L43" s="64">
        <v>30.2</v>
      </c>
      <c r="M43" s="64">
        <v>55.55</v>
      </c>
      <c r="N43" s="64">
        <v>610.9</v>
      </c>
      <c r="O43" s="64">
        <v>0</v>
      </c>
      <c r="P43" s="64">
        <v>0.76</v>
      </c>
      <c r="Q43" s="64">
        <v>9.32</v>
      </c>
      <c r="R43" s="198"/>
      <c r="S43" s="198"/>
      <c r="T43" s="198"/>
      <c r="U43" s="198"/>
    </row>
    <row r="44" spans="1:21" s="12" customFormat="1" x14ac:dyDescent="0.25">
      <c r="A44" s="214" t="s">
        <v>1819</v>
      </c>
      <c r="B44" s="64">
        <v>23.29</v>
      </c>
      <c r="C44" s="64">
        <v>26.61</v>
      </c>
      <c r="D44" s="64">
        <v>32.5</v>
      </c>
      <c r="E44" s="64">
        <v>1.19</v>
      </c>
      <c r="F44" s="64">
        <v>3.49</v>
      </c>
      <c r="G44" s="64">
        <v>88.23</v>
      </c>
      <c r="H44" s="64">
        <v>29.98</v>
      </c>
      <c r="I44" s="64">
        <v>10.26</v>
      </c>
      <c r="J44" s="64">
        <v>0.19</v>
      </c>
      <c r="K44" s="64">
        <v>134.16</v>
      </c>
      <c r="L44" s="64">
        <v>31.75</v>
      </c>
      <c r="M44" s="64">
        <v>48.47</v>
      </c>
      <c r="N44" s="64">
        <v>646.6</v>
      </c>
      <c r="O44" s="64">
        <v>0</v>
      </c>
      <c r="P44" s="64">
        <v>0.74</v>
      </c>
      <c r="Q44" s="64">
        <v>9.35</v>
      </c>
      <c r="R44" s="198"/>
      <c r="S44" s="198"/>
      <c r="T44" s="198"/>
      <c r="U44" s="198"/>
    </row>
    <row r="45" spans="1:21" s="12" customFormat="1" x14ac:dyDescent="0.25">
      <c r="A45" s="214" t="s">
        <v>1820</v>
      </c>
      <c r="B45" s="64">
        <v>21.3</v>
      </c>
      <c r="C45" s="64">
        <v>27.2</v>
      </c>
      <c r="D45" s="64">
        <v>31.22</v>
      </c>
      <c r="E45" s="64">
        <v>1.1299999999999999</v>
      </c>
      <c r="F45" s="64">
        <v>3.53</v>
      </c>
      <c r="G45" s="64">
        <v>71.319999999999993</v>
      </c>
      <c r="H45" s="64">
        <v>8.4</v>
      </c>
      <c r="I45" s="64">
        <v>10.130000000000001</v>
      </c>
      <c r="J45" s="64">
        <v>0.11</v>
      </c>
      <c r="K45" s="64">
        <v>291.24</v>
      </c>
      <c r="L45" s="64">
        <v>33.909999999999997</v>
      </c>
      <c r="M45" s="64">
        <v>42.54</v>
      </c>
      <c r="N45" s="64">
        <v>687.8</v>
      </c>
      <c r="O45" s="64">
        <v>0</v>
      </c>
      <c r="P45" s="64">
        <v>0.74</v>
      </c>
      <c r="Q45" s="64">
        <v>9.25</v>
      </c>
      <c r="R45" s="198"/>
      <c r="S45" s="198"/>
      <c r="T45" s="198"/>
      <c r="U45" s="198"/>
    </row>
    <row r="46" spans="1:21" s="12" customFormat="1" x14ac:dyDescent="0.25">
      <c r="A46" s="214" t="s">
        <v>1821</v>
      </c>
      <c r="B46" s="64">
        <v>19.25</v>
      </c>
      <c r="C46" s="64">
        <v>27.82</v>
      </c>
      <c r="D46" s="64">
        <v>29.89</v>
      </c>
      <c r="E46" s="64">
        <v>1.06</v>
      </c>
      <c r="F46" s="64">
        <v>3.6</v>
      </c>
      <c r="G46" s="64">
        <v>71.319999999999993</v>
      </c>
      <c r="H46" s="64">
        <v>8.4</v>
      </c>
      <c r="I46" s="64">
        <v>10.14</v>
      </c>
      <c r="J46" s="64">
        <v>0.17</v>
      </c>
      <c r="K46" s="64">
        <v>314.60000000000002</v>
      </c>
      <c r="L46" s="64">
        <v>34.869999999999997</v>
      </c>
      <c r="M46" s="64">
        <v>39.5</v>
      </c>
      <c r="N46" s="64">
        <v>721.2</v>
      </c>
      <c r="O46" s="64">
        <v>0</v>
      </c>
      <c r="P46" s="64">
        <v>0.73</v>
      </c>
      <c r="Q46" s="64">
        <v>9.36</v>
      </c>
      <c r="R46" s="198"/>
      <c r="S46" s="198"/>
      <c r="T46" s="198"/>
      <c r="U46" s="198"/>
    </row>
    <row r="47" spans="1:21" s="12" customFormat="1" x14ac:dyDescent="0.25">
      <c r="A47" s="214" t="s">
        <v>1822</v>
      </c>
      <c r="B47" s="64">
        <v>16.829999999999998</v>
      </c>
      <c r="C47" s="64">
        <v>28.83</v>
      </c>
      <c r="D47" s="64">
        <v>28.48</v>
      </c>
      <c r="E47" s="64">
        <v>1.1299999999999999</v>
      </c>
      <c r="F47" s="64">
        <v>3.86</v>
      </c>
      <c r="G47" s="64">
        <v>71.319999999999993</v>
      </c>
      <c r="H47" s="64">
        <v>8.4</v>
      </c>
      <c r="I47" s="64">
        <v>10.53</v>
      </c>
      <c r="J47" s="64">
        <v>0.18</v>
      </c>
      <c r="K47" s="64">
        <v>340.78</v>
      </c>
      <c r="L47" s="64">
        <v>35.08</v>
      </c>
      <c r="M47" s="64">
        <v>37.4</v>
      </c>
      <c r="N47" s="64">
        <v>760.5</v>
      </c>
      <c r="O47" s="64">
        <v>0</v>
      </c>
      <c r="P47" s="64">
        <v>0.72</v>
      </c>
      <c r="Q47" s="64">
        <v>9.26</v>
      </c>
      <c r="R47" s="198"/>
      <c r="S47" s="198"/>
      <c r="T47" s="198"/>
      <c r="U47" s="198"/>
    </row>
    <row r="48" spans="1:21" s="12" customFormat="1" x14ac:dyDescent="0.25">
      <c r="A48" s="214" t="s">
        <v>1823</v>
      </c>
      <c r="B48" s="64">
        <v>14.27</v>
      </c>
      <c r="C48" s="64">
        <v>30.1</v>
      </c>
      <c r="D48" s="64">
        <v>27.09</v>
      </c>
      <c r="E48" s="64">
        <v>1</v>
      </c>
      <c r="F48" s="64">
        <v>3.8</v>
      </c>
      <c r="G48" s="64">
        <v>70.959999999999994</v>
      </c>
      <c r="H48" s="64">
        <v>8.76</v>
      </c>
      <c r="I48" s="64">
        <v>10.63</v>
      </c>
      <c r="J48" s="64">
        <v>0.13</v>
      </c>
      <c r="K48" s="64">
        <v>346.64</v>
      </c>
      <c r="L48" s="64">
        <v>36.020000000000003</v>
      </c>
      <c r="M48" s="64">
        <v>33.659999999999997</v>
      </c>
      <c r="N48" s="64">
        <v>799.3</v>
      </c>
      <c r="O48" s="64">
        <v>0</v>
      </c>
      <c r="P48" s="64">
        <v>0.72</v>
      </c>
      <c r="Q48" s="64">
        <v>9.2799999999999994</v>
      </c>
      <c r="R48" s="198"/>
      <c r="S48" s="198"/>
      <c r="T48" s="198"/>
      <c r="U48" s="198"/>
    </row>
    <row r="49" spans="1:21" s="12" customFormat="1" x14ac:dyDescent="0.25">
      <c r="A49" s="214" t="s">
        <v>1824</v>
      </c>
      <c r="B49" s="64">
        <v>11.4</v>
      </c>
      <c r="C49" s="64">
        <v>31.55</v>
      </c>
      <c r="D49" s="64">
        <v>25.55</v>
      </c>
      <c r="E49" s="64">
        <v>1.04</v>
      </c>
      <c r="F49" s="64">
        <v>3.99</v>
      </c>
      <c r="G49" s="64">
        <v>64.819999999999993</v>
      </c>
      <c r="H49" s="64">
        <v>14.86</v>
      </c>
      <c r="I49" s="64">
        <v>10.61</v>
      </c>
      <c r="J49" s="64">
        <v>0.18</v>
      </c>
      <c r="K49" s="64">
        <v>356.01</v>
      </c>
      <c r="L49" s="64">
        <v>35.67</v>
      </c>
      <c r="M49" s="64">
        <v>34.56</v>
      </c>
      <c r="N49" s="64">
        <v>827.6</v>
      </c>
      <c r="O49" s="64">
        <v>0</v>
      </c>
      <c r="P49" s="64">
        <v>0.71</v>
      </c>
      <c r="Q49" s="64">
        <v>9.16</v>
      </c>
      <c r="R49" s="198"/>
      <c r="S49" s="198"/>
      <c r="T49" s="198"/>
      <c r="U49" s="198"/>
    </row>
    <row r="50" spans="1:21" s="12" customFormat="1" x14ac:dyDescent="0.25">
      <c r="A50" s="214" t="s">
        <v>1825</v>
      </c>
      <c r="B50" s="64">
        <v>8.15</v>
      </c>
      <c r="C50" s="64">
        <v>33.950000000000003</v>
      </c>
      <c r="D50" s="64">
        <v>24.19</v>
      </c>
      <c r="E50" s="64">
        <v>1.07</v>
      </c>
      <c r="F50" s="64">
        <v>4.3</v>
      </c>
      <c r="G50" s="64">
        <v>64.819999999999993</v>
      </c>
      <c r="H50" s="64">
        <v>14.86</v>
      </c>
      <c r="I50" s="64">
        <v>10.72</v>
      </c>
      <c r="J50" s="64">
        <v>0.38</v>
      </c>
      <c r="K50" s="64">
        <v>340.49</v>
      </c>
      <c r="L50" s="64">
        <v>37.299999999999997</v>
      </c>
      <c r="M50" s="64">
        <v>31.25</v>
      </c>
      <c r="N50" s="64">
        <v>858.7</v>
      </c>
      <c r="O50" s="64">
        <v>0</v>
      </c>
      <c r="P50" s="64">
        <v>0.72</v>
      </c>
      <c r="Q50" s="64">
        <v>9.24</v>
      </c>
      <c r="R50" s="198"/>
      <c r="S50" s="198"/>
      <c r="T50" s="198"/>
      <c r="U50" s="198"/>
    </row>
    <row r="51" spans="1:21" s="12" customFormat="1" x14ac:dyDescent="0.25">
      <c r="A51" s="214" t="s">
        <v>1826</v>
      </c>
      <c r="B51" s="64">
        <v>5.69</v>
      </c>
      <c r="C51" s="64">
        <v>36.29</v>
      </c>
      <c r="D51" s="64">
        <v>23.44</v>
      </c>
      <c r="E51" s="64">
        <v>1.17</v>
      </c>
      <c r="F51" s="64">
        <v>4.5</v>
      </c>
      <c r="G51" s="64">
        <v>64.819999999999993</v>
      </c>
      <c r="H51" s="64">
        <v>14.86</v>
      </c>
      <c r="I51" s="64">
        <v>10.61</v>
      </c>
      <c r="J51" s="64">
        <v>0.72</v>
      </c>
      <c r="K51" s="64">
        <v>355.61</v>
      </c>
      <c r="L51" s="64">
        <v>38.11</v>
      </c>
      <c r="M51" s="64">
        <v>26.29</v>
      </c>
      <c r="N51" s="64">
        <v>887</v>
      </c>
      <c r="O51" s="64">
        <v>0</v>
      </c>
      <c r="P51" s="64">
        <v>0.72</v>
      </c>
      <c r="Q51" s="64">
        <v>9.2100000000000009</v>
      </c>
      <c r="R51" s="198"/>
      <c r="S51" s="198"/>
      <c r="T51" s="198"/>
      <c r="U51" s="198"/>
    </row>
    <row r="52" spans="1:21" s="12" customFormat="1" x14ac:dyDescent="0.25">
      <c r="A52" s="214" t="s">
        <v>1827</v>
      </c>
      <c r="B52" s="64">
        <v>3.7</v>
      </c>
      <c r="C52" s="64">
        <v>41.18</v>
      </c>
      <c r="D52" s="64">
        <v>24.4</v>
      </c>
      <c r="E52" s="64">
        <v>1.1599999999999999</v>
      </c>
      <c r="F52" s="64">
        <v>5.31</v>
      </c>
      <c r="G52" s="64">
        <v>64.44</v>
      </c>
      <c r="H52" s="64">
        <v>16.850000000000001</v>
      </c>
      <c r="I52" s="64">
        <v>10.45</v>
      </c>
      <c r="J52" s="64">
        <v>0.65</v>
      </c>
      <c r="K52" s="64">
        <v>344.38</v>
      </c>
      <c r="L52" s="64">
        <v>39.35</v>
      </c>
      <c r="M52" s="64">
        <v>24.88</v>
      </c>
      <c r="N52" s="64">
        <v>904</v>
      </c>
      <c r="O52" s="64">
        <v>0</v>
      </c>
      <c r="P52" s="64">
        <v>0.74</v>
      </c>
      <c r="Q52" s="64">
        <v>9.1999999999999993</v>
      </c>
      <c r="R52" s="198"/>
      <c r="S52" s="198"/>
      <c r="T52" s="198"/>
      <c r="U52" s="198"/>
    </row>
    <row r="53" spans="1:21" s="12" customFormat="1" x14ac:dyDescent="0.25">
      <c r="A53" s="214" t="s">
        <v>1828</v>
      </c>
      <c r="B53" s="64">
        <v>1.6</v>
      </c>
      <c r="C53" s="64">
        <v>44.62</v>
      </c>
      <c r="D53" s="64">
        <v>24.52</v>
      </c>
      <c r="E53" s="64">
        <v>1.59</v>
      </c>
      <c r="F53" s="64">
        <v>5.29</v>
      </c>
      <c r="G53" s="64">
        <v>59.13</v>
      </c>
      <c r="H53" s="64">
        <v>44.66</v>
      </c>
      <c r="I53" s="64">
        <v>10.210000000000001</v>
      </c>
      <c r="J53" s="64">
        <v>0.54</v>
      </c>
      <c r="K53" s="64">
        <v>100.7</v>
      </c>
      <c r="L53" s="64">
        <v>36.93</v>
      </c>
      <c r="M53" s="64">
        <v>28.41</v>
      </c>
      <c r="N53" s="64">
        <v>912.6</v>
      </c>
      <c r="O53" s="64">
        <v>0</v>
      </c>
      <c r="P53" s="64">
        <v>0.75</v>
      </c>
      <c r="Q53" s="64">
        <v>9.15</v>
      </c>
      <c r="R53" s="198"/>
      <c r="S53" s="198"/>
      <c r="T53" s="198"/>
      <c r="U53" s="198"/>
    </row>
    <row r="54" spans="1:21" s="12" customFormat="1" x14ac:dyDescent="0.25">
      <c r="A54" s="214" t="s">
        <v>1829</v>
      </c>
      <c r="B54" s="64">
        <v>0.24</v>
      </c>
      <c r="C54" s="64">
        <v>42.64</v>
      </c>
      <c r="D54" s="64">
        <v>22.4</v>
      </c>
      <c r="E54" s="64">
        <v>1.47</v>
      </c>
      <c r="F54" s="64">
        <v>5.66</v>
      </c>
      <c r="G54" s="64">
        <v>59.13</v>
      </c>
      <c r="H54" s="64">
        <v>44.66</v>
      </c>
      <c r="I54" s="64">
        <v>9.74</v>
      </c>
      <c r="J54" s="64">
        <v>0.83</v>
      </c>
      <c r="K54" s="64">
        <v>104.16</v>
      </c>
      <c r="L54" s="64">
        <v>34.94</v>
      </c>
      <c r="M54" s="64">
        <v>30.42</v>
      </c>
      <c r="N54" s="64">
        <v>915.7</v>
      </c>
      <c r="O54" s="64">
        <v>0</v>
      </c>
      <c r="P54" s="64">
        <v>0.73</v>
      </c>
      <c r="Q54" s="64">
        <v>9.16</v>
      </c>
      <c r="R54" s="198"/>
      <c r="S54" s="198"/>
      <c r="T54" s="198"/>
      <c r="U54" s="198"/>
    </row>
    <row r="55" spans="1:21" s="12" customFormat="1" x14ac:dyDescent="0.25">
      <c r="A55" s="214" t="s">
        <v>1830</v>
      </c>
      <c r="B55" s="64">
        <v>0.1</v>
      </c>
      <c r="C55" s="64">
        <v>37.08</v>
      </c>
      <c r="D55" s="64">
        <v>19.37</v>
      </c>
      <c r="E55" s="64">
        <v>0.83</v>
      </c>
      <c r="F55" s="64">
        <v>5.39</v>
      </c>
      <c r="G55" s="64">
        <v>59.13</v>
      </c>
      <c r="H55" s="64">
        <v>44.66</v>
      </c>
      <c r="I55" s="64">
        <v>9.3000000000000007</v>
      </c>
      <c r="J55" s="64">
        <v>1.1599999999999999</v>
      </c>
      <c r="K55" s="64">
        <v>97.3</v>
      </c>
      <c r="L55" s="64">
        <v>34.44</v>
      </c>
      <c r="M55" s="64">
        <v>30.3</v>
      </c>
      <c r="N55" s="64">
        <v>945.3</v>
      </c>
      <c r="O55" s="64">
        <v>0</v>
      </c>
      <c r="P55" s="64">
        <v>0.71</v>
      </c>
      <c r="Q55" s="64">
        <v>9.16</v>
      </c>
      <c r="R55" s="198"/>
      <c r="S55" s="198"/>
      <c r="T55" s="198"/>
      <c r="U55" s="198"/>
    </row>
    <row r="56" spans="1:21" s="12" customFormat="1" x14ac:dyDescent="0.25">
      <c r="A56" s="214" t="s">
        <v>1831</v>
      </c>
      <c r="B56" s="64">
        <v>0.1</v>
      </c>
      <c r="C56" s="64">
        <v>31.97</v>
      </c>
      <c r="D56" s="64">
        <v>16.7</v>
      </c>
      <c r="E56" s="64">
        <v>0.94</v>
      </c>
      <c r="F56" s="64">
        <v>7.85</v>
      </c>
      <c r="G56" s="64">
        <v>59.71</v>
      </c>
      <c r="H56" s="64">
        <v>42.46</v>
      </c>
      <c r="I56" s="64">
        <v>9.41</v>
      </c>
      <c r="J56" s="64">
        <v>0.96</v>
      </c>
      <c r="K56" s="64">
        <v>108.87</v>
      </c>
      <c r="L56" s="64">
        <v>34.82</v>
      </c>
      <c r="M56" s="64">
        <v>28.7</v>
      </c>
      <c r="N56" s="64">
        <v>955.3</v>
      </c>
      <c r="O56" s="64">
        <v>0</v>
      </c>
      <c r="P56" s="64">
        <v>0.65</v>
      </c>
      <c r="Q56" s="64">
        <v>9.1199999999999992</v>
      </c>
      <c r="R56" s="198"/>
      <c r="S56" s="198"/>
      <c r="T56" s="198"/>
      <c r="U56" s="198"/>
    </row>
    <row r="57" spans="1:21" s="12" customFormat="1" x14ac:dyDescent="0.25">
      <c r="A57" s="214" t="s">
        <v>1832</v>
      </c>
      <c r="B57" s="64">
        <v>0.1</v>
      </c>
      <c r="C57" s="64">
        <v>28.69</v>
      </c>
      <c r="D57" s="64">
        <v>14.99</v>
      </c>
      <c r="E57" s="64">
        <v>1.43</v>
      </c>
      <c r="F57" s="64">
        <v>6.68</v>
      </c>
      <c r="G57" s="64">
        <v>67.819999999999993</v>
      </c>
      <c r="H57" s="64">
        <v>11.61</v>
      </c>
      <c r="I57" s="64">
        <v>9.6300000000000008</v>
      </c>
      <c r="J57" s="64">
        <v>0.56000000000000005</v>
      </c>
      <c r="K57" s="64">
        <v>140.5</v>
      </c>
      <c r="L57" s="64">
        <v>35.17</v>
      </c>
      <c r="M57" s="64">
        <v>27.16</v>
      </c>
      <c r="N57" s="64">
        <v>934.8</v>
      </c>
      <c r="O57" s="64">
        <v>0</v>
      </c>
      <c r="P57" s="64">
        <v>0.63</v>
      </c>
      <c r="Q57" s="64">
        <v>9.1300000000000008</v>
      </c>
      <c r="R57" s="198"/>
      <c r="S57" s="198"/>
      <c r="T57" s="198"/>
      <c r="U57" s="198"/>
    </row>
    <row r="58" spans="1:21" s="12" customFormat="1" x14ac:dyDescent="0.25">
      <c r="A58" s="214" t="s">
        <v>1833</v>
      </c>
      <c r="B58" s="64">
        <v>0.1</v>
      </c>
      <c r="C58" s="64">
        <v>26.59</v>
      </c>
      <c r="D58" s="64">
        <v>13.89</v>
      </c>
      <c r="E58" s="64">
        <v>1.1200000000000001</v>
      </c>
      <c r="F58" s="64">
        <v>6.79</v>
      </c>
      <c r="G58" s="64">
        <v>67.819999999999993</v>
      </c>
      <c r="H58" s="64">
        <v>11.61</v>
      </c>
      <c r="I58" s="64">
        <v>9.4</v>
      </c>
      <c r="J58" s="64">
        <v>0.81</v>
      </c>
      <c r="K58" s="64">
        <v>119.61</v>
      </c>
      <c r="L58" s="64">
        <v>35.96</v>
      </c>
      <c r="M58" s="64">
        <v>26.58</v>
      </c>
      <c r="N58" s="64">
        <v>909.7</v>
      </c>
      <c r="O58" s="64">
        <v>0</v>
      </c>
      <c r="P58" s="64">
        <v>0.6</v>
      </c>
      <c r="Q58" s="64">
        <v>9.11</v>
      </c>
      <c r="R58" s="198"/>
      <c r="S58" s="198"/>
      <c r="T58" s="198"/>
      <c r="U58" s="198"/>
    </row>
    <row r="59" spans="1:21" s="12" customFormat="1" x14ac:dyDescent="0.25">
      <c r="A59" s="214" t="s">
        <v>1834</v>
      </c>
      <c r="B59" s="64">
        <v>0.1</v>
      </c>
      <c r="C59" s="64">
        <v>26.49</v>
      </c>
      <c r="D59" s="64">
        <v>13.84</v>
      </c>
      <c r="E59" s="64">
        <v>1.2</v>
      </c>
      <c r="F59" s="64">
        <v>6.11</v>
      </c>
      <c r="G59" s="64">
        <v>67.819999999999993</v>
      </c>
      <c r="H59" s="64">
        <v>11.61</v>
      </c>
      <c r="I59" s="64">
        <v>9.68</v>
      </c>
      <c r="J59" s="64">
        <v>0.64</v>
      </c>
      <c r="K59" s="64">
        <v>118.29</v>
      </c>
      <c r="L59" s="64">
        <v>35.369999999999997</v>
      </c>
      <c r="M59" s="64">
        <v>28.42</v>
      </c>
      <c r="N59" s="64">
        <v>866.5</v>
      </c>
      <c r="O59" s="64">
        <v>0</v>
      </c>
      <c r="P59" s="64">
        <v>0.59</v>
      </c>
      <c r="Q59" s="64">
        <v>9.09</v>
      </c>
      <c r="R59" s="198"/>
      <c r="S59" s="198"/>
      <c r="T59" s="198"/>
      <c r="U59" s="198"/>
    </row>
    <row r="60" spans="1:21" s="12" customFormat="1" x14ac:dyDescent="0.25">
      <c r="A60" s="214" t="s">
        <v>1835</v>
      </c>
      <c r="B60" s="64">
        <v>0.1</v>
      </c>
      <c r="C60" s="64">
        <v>25.27</v>
      </c>
      <c r="D60" s="64">
        <v>13.21</v>
      </c>
      <c r="E60" s="64">
        <v>1.45</v>
      </c>
      <c r="F60" s="64">
        <v>8.6</v>
      </c>
      <c r="G60" s="64">
        <v>67.61</v>
      </c>
      <c r="H60" s="64">
        <v>13.9</v>
      </c>
      <c r="I60" s="64">
        <v>9.4499999999999993</v>
      </c>
      <c r="J60" s="64">
        <v>0.92</v>
      </c>
      <c r="K60" s="64">
        <v>99.25</v>
      </c>
      <c r="L60" s="64">
        <v>35.54</v>
      </c>
      <c r="M60" s="64">
        <v>29.49</v>
      </c>
      <c r="N60" s="64">
        <v>839</v>
      </c>
      <c r="O60" s="64">
        <v>0</v>
      </c>
      <c r="P60" s="64">
        <v>0.56000000000000005</v>
      </c>
      <c r="Q60" s="64">
        <v>9.11</v>
      </c>
      <c r="R60" s="198"/>
      <c r="S60" s="198"/>
      <c r="T60" s="198"/>
      <c r="U60" s="198"/>
    </row>
    <row r="61" spans="1:21" s="12" customFormat="1" x14ac:dyDescent="0.25">
      <c r="A61" s="214" t="s">
        <v>1836</v>
      </c>
      <c r="B61" s="64">
        <v>0.1</v>
      </c>
      <c r="C61" s="64">
        <v>27.19</v>
      </c>
      <c r="D61" s="64">
        <v>14.21</v>
      </c>
      <c r="E61" s="64">
        <v>1.36</v>
      </c>
      <c r="F61" s="64">
        <v>8.3000000000000007</v>
      </c>
      <c r="G61" s="64">
        <v>64.63</v>
      </c>
      <c r="H61" s="64">
        <v>52.77</v>
      </c>
      <c r="I61" s="64">
        <v>9.56</v>
      </c>
      <c r="J61" s="64">
        <v>0.16</v>
      </c>
      <c r="K61" s="64">
        <v>358.32</v>
      </c>
      <c r="L61" s="64">
        <v>37.15</v>
      </c>
      <c r="M61" s="64">
        <v>26.25</v>
      </c>
      <c r="N61" s="64">
        <v>844</v>
      </c>
      <c r="O61" s="64">
        <v>0</v>
      </c>
      <c r="P61" s="64">
        <v>0.55000000000000004</v>
      </c>
      <c r="Q61" s="64">
        <v>9.1</v>
      </c>
      <c r="R61" s="198"/>
      <c r="S61" s="198"/>
      <c r="T61" s="198"/>
      <c r="U61" s="198"/>
    </row>
    <row r="62" spans="1:21" s="12" customFormat="1" x14ac:dyDescent="0.25">
      <c r="A62" s="214" t="s">
        <v>1837</v>
      </c>
      <c r="B62" s="64">
        <v>0.1</v>
      </c>
      <c r="C62" s="64">
        <v>28.19</v>
      </c>
      <c r="D62" s="64">
        <v>14.73</v>
      </c>
      <c r="E62" s="64">
        <v>1.07</v>
      </c>
      <c r="F62" s="64">
        <v>9.51</v>
      </c>
      <c r="G62" s="64">
        <v>64.63</v>
      </c>
      <c r="H62" s="64">
        <v>52.77</v>
      </c>
      <c r="I62" s="64">
        <v>9.5500000000000007</v>
      </c>
      <c r="J62" s="64">
        <v>1.34</v>
      </c>
      <c r="K62" s="64">
        <v>338.09</v>
      </c>
      <c r="L62" s="64">
        <v>39.42</v>
      </c>
      <c r="M62" s="64">
        <v>21.14</v>
      </c>
      <c r="N62" s="64">
        <v>888.8</v>
      </c>
      <c r="O62" s="64">
        <v>0</v>
      </c>
      <c r="P62" s="64">
        <v>0.53</v>
      </c>
      <c r="Q62" s="64">
        <v>9.16</v>
      </c>
      <c r="R62" s="198"/>
      <c r="S62" s="198"/>
      <c r="T62" s="198"/>
      <c r="U62" s="198"/>
    </row>
    <row r="63" spans="1:21" s="12" customFormat="1" x14ac:dyDescent="0.25">
      <c r="A63" s="214" t="s">
        <v>1838</v>
      </c>
      <c r="B63" s="64">
        <v>0.1</v>
      </c>
      <c r="C63" s="64">
        <v>27.24</v>
      </c>
      <c r="D63" s="64">
        <v>14.23</v>
      </c>
      <c r="E63" s="64">
        <v>1.5</v>
      </c>
      <c r="F63" s="64">
        <v>10.29</v>
      </c>
      <c r="G63" s="64">
        <v>64.63</v>
      </c>
      <c r="H63" s="64">
        <v>52.77</v>
      </c>
      <c r="I63" s="64">
        <v>9.24</v>
      </c>
      <c r="J63" s="64">
        <v>0.91</v>
      </c>
      <c r="K63" s="64">
        <v>347.12</v>
      </c>
      <c r="L63" s="64">
        <v>40.340000000000003</v>
      </c>
      <c r="M63" s="64">
        <v>19.829999999999998</v>
      </c>
      <c r="N63" s="64">
        <v>844.6</v>
      </c>
      <c r="O63" s="64">
        <v>0</v>
      </c>
      <c r="P63" s="64">
        <v>0.48</v>
      </c>
      <c r="Q63" s="64">
        <v>9.1199999999999992</v>
      </c>
      <c r="R63" s="198"/>
      <c r="S63" s="198"/>
      <c r="T63" s="198"/>
      <c r="U63" s="198"/>
    </row>
    <row r="64" spans="1:21" s="12" customFormat="1" x14ac:dyDescent="0.25">
      <c r="A64" s="214" t="s">
        <v>1839</v>
      </c>
      <c r="B64" s="64">
        <v>0.1</v>
      </c>
      <c r="C64" s="64">
        <v>26.93</v>
      </c>
      <c r="D64" s="64">
        <v>14.07</v>
      </c>
      <c r="E64" s="64">
        <v>1.1299999999999999</v>
      </c>
      <c r="F64" s="64">
        <v>5.34</v>
      </c>
      <c r="G64" s="64">
        <v>63.87</v>
      </c>
      <c r="H64" s="64">
        <v>51.24</v>
      </c>
      <c r="I64" s="64">
        <v>8.4700000000000006</v>
      </c>
      <c r="J64" s="64">
        <v>1.1399999999999999</v>
      </c>
      <c r="K64" s="64">
        <v>333.8</v>
      </c>
      <c r="L64" s="64">
        <v>40.06</v>
      </c>
      <c r="M64" s="64">
        <v>21.26</v>
      </c>
      <c r="N64" s="64">
        <v>803</v>
      </c>
      <c r="O64" s="64">
        <v>0</v>
      </c>
      <c r="P64" s="64">
        <v>0.48</v>
      </c>
      <c r="Q64" s="64">
        <v>9.14</v>
      </c>
      <c r="R64" s="198"/>
      <c r="S64" s="198"/>
      <c r="T64" s="198"/>
      <c r="U64" s="198"/>
    </row>
    <row r="65" spans="1:21" s="12" customFormat="1" x14ac:dyDescent="0.25">
      <c r="A65" s="214" t="s">
        <v>1840</v>
      </c>
      <c r="B65" s="64">
        <v>0.1</v>
      </c>
      <c r="C65" s="64">
        <v>25.86</v>
      </c>
      <c r="D65" s="64">
        <v>13.51</v>
      </c>
      <c r="E65" s="64">
        <v>1.19</v>
      </c>
      <c r="F65" s="64">
        <v>4.54</v>
      </c>
      <c r="G65" s="64">
        <v>53.19</v>
      </c>
      <c r="H65" s="64">
        <v>25.28</v>
      </c>
      <c r="I65" s="64">
        <v>7.52</v>
      </c>
      <c r="J65" s="64">
        <v>0.35</v>
      </c>
      <c r="K65" s="64">
        <v>112.88</v>
      </c>
      <c r="L65" s="64">
        <v>38.369999999999997</v>
      </c>
      <c r="M65" s="64">
        <v>21.55</v>
      </c>
      <c r="N65" s="64">
        <v>555.29999999999995</v>
      </c>
      <c r="O65" s="64">
        <v>0</v>
      </c>
      <c r="P65" s="64">
        <v>0.47</v>
      </c>
      <c r="Q65" s="64">
        <v>9.1199999999999992</v>
      </c>
      <c r="R65" s="198"/>
      <c r="S65" s="198"/>
      <c r="T65" s="198"/>
      <c r="U65" s="198"/>
    </row>
    <row r="66" spans="1:21" s="12" customFormat="1" x14ac:dyDescent="0.25">
      <c r="A66" s="214" t="s">
        <v>1841</v>
      </c>
      <c r="B66" s="64">
        <v>0.1</v>
      </c>
      <c r="C66" s="64">
        <v>25.27</v>
      </c>
      <c r="D66" s="64">
        <v>13.2</v>
      </c>
      <c r="E66" s="64">
        <v>1.0900000000000001</v>
      </c>
      <c r="F66" s="64">
        <v>5.45</v>
      </c>
      <c r="G66" s="64">
        <v>53.19</v>
      </c>
      <c r="H66" s="64">
        <v>25.28</v>
      </c>
      <c r="I66" s="64">
        <v>7.45</v>
      </c>
      <c r="J66" s="64">
        <v>0.2</v>
      </c>
      <c r="K66" s="64">
        <v>270.14</v>
      </c>
      <c r="L66" s="64">
        <v>38.07</v>
      </c>
      <c r="M66" s="64">
        <v>22.19</v>
      </c>
      <c r="N66" s="64">
        <v>615.4</v>
      </c>
      <c r="O66" s="64">
        <v>0</v>
      </c>
      <c r="P66" s="64">
        <v>0.46</v>
      </c>
      <c r="Q66" s="64">
        <v>9.14</v>
      </c>
      <c r="R66" s="198"/>
      <c r="S66" s="198"/>
      <c r="T66" s="198"/>
      <c r="U66" s="198"/>
    </row>
    <row r="67" spans="1:21" s="12" customFormat="1" x14ac:dyDescent="0.25">
      <c r="A67" s="214" t="s">
        <v>1842</v>
      </c>
      <c r="B67" s="64">
        <v>0.1</v>
      </c>
      <c r="C67" s="64">
        <v>24.44</v>
      </c>
      <c r="D67" s="64">
        <v>12.77</v>
      </c>
      <c r="E67" s="64">
        <v>0.92</v>
      </c>
      <c r="F67" s="64">
        <v>8.82</v>
      </c>
      <c r="G67" s="64">
        <v>53.19</v>
      </c>
      <c r="H67" s="64">
        <v>25.28</v>
      </c>
      <c r="I67" s="64">
        <v>7.4</v>
      </c>
      <c r="J67" s="64">
        <v>0.37</v>
      </c>
      <c r="K67" s="64">
        <v>156.69999999999999</v>
      </c>
      <c r="L67" s="64">
        <v>36.880000000000003</v>
      </c>
      <c r="M67" s="64">
        <v>22.91</v>
      </c>
      <c r="N67" s="64">
        <v>343.5</v>
      </c>
      <c r="O67" s="64">
        <v>0</v>
      </c>
      <c r="P67" s="64">
        <v>0.42</v>
      </c>
      <c r="Q67" s="64">
        <v>9.14</v>
      </c>
      <c r="R67" s="198"/>
      <c r="S67" s="198"/>
      <c r="T67" s="198"/>
      <c r="U67" s="198"/>
    </row>
    <row r="68" spans="1:21" s="12" customFormat="1" x14ac:dyDescent="0.25">
      <c r="A68" s="214" t="s">
        <v>1843</v>
      </c>
      <c r="B68" s="64">
        <v>0.1</v>
      </c>
      <c r="C68" s="64">
        <v>23.57</v>
      </c>
      <c r="D68" s="64">
        <v>12.32</v>
      </c>
      <c r="E68" s="64">
        <v>1.36</v>
      </c>
      <c r="F68" s="64">
        <v>8.4499999999999993</v>
      </c>
      <c r="G68" s="64">
        <v>52.55</v>
      </c>
      <c r="H68" s="64">
        <v>25.22</v>
      </c>
      <c r="I68" s="64">
        <v>7.25</v>
      </c>
      <c r="J68" s="64">
        <v>0.32</v>
      </c>
      <c r="K68" s="64">
        <v>341.2</v>
      </c>
      <c r="L68" s="64">
        <v>36.9</v>
      </c>
      <c r="M68" s="64">
        <v>25.47</v>
      </c>
      <c r="N68" s="64">
        <v>252.2</v>
      </c>
      <c r="O68" s="64">
        <v>0</v>
      </c>
      <c r="P68" s="64">
        <v>0.39</v>
      </c>
      <c r="Q68" s="64">
        <v>9.1300000000000008</v>
      </c>
      <c r="R68" s="198"/>
      <c r="S68" s="198"/>
      <c r="T68" s="198"/>
      <c r="U68" s="198"/>
    </row>
    <row r="69" spans="1:21" s="12" customFormat="1" x14ac:dyDescent="0.25">
      <c r="A69" s="214" t="s">
        <v>1844</v>
      </c>
      <c r="B69" s="64">
        <v>0.1</v>
      </c>
      <c r="C69" s="64">
        <v>23.25</v>
      </c>
      <c r="D69" s="64">
        <v>12.15</v>
      </c>
      <c r="E69" s="64">
        <v>1.1100000000000001</v>
      </c>
      <c r="F69" s="64">
        <v>6.65</v>
      </c>
      <c r="G69" s="64">
        <v>43.64</v>
      </c>
      <c r="H69" s="64">
        <v>24.41</v>
      </c>
      <c r="I69" s="64">
        <v>6.62</v>
      </c>
      <c r="J69" s="64">
        <v>0.81</v>
      </c>
      <c r="K69" s="64">
        <v>320.02999999999997</v>
      </c>
      <c r="L69" s="64">
        <v>37.270000000000003</v>
      </c>
      <c r="M69" s="64">
        <v>22.23</v>
      </c>
      <c r="N69" s="64">
        <v>389.6</v>
      </c>
      <c r="O69" s="64">
        <v>0</v>
      </c>
      <c r="P69" s="64">
        <v>0.38</v>
      </c>
      <c r="Q69" s="64">
        <v>9.1300000000000008</v>
      </c>
      <c r="R69" s="198"/>
      <c r="S69" s="198"/>
      <c r="T69" s="198"/>
      <c r="U69" s="198"/>
    </row>
    <row r="70" spans="1:21" s="12" customFormat="1" x14ac:dyDescent="0.25">
      <c r="A70" s="214" t="s">
        <v>1845</v>
      </c>
      <c r="B70" s="64">
        <v>0.1</v>
      </c>
      <c r="C70" s="64">
        <v>22.65</v>
      </c>
      <c r="D70" s="64">
        <v>11.84</v>
      </c>
      <c r="E70" s="64">
        <v>1.3</v>
      </c>
      <c r="F70" s="64">
        <v>11.04</v>
      </c>
      <c r="G70" s="64">
        <v>43.64</v>
      </c>
      <c r="H70" s="64">
        <v>24.41</v>
      </c>
      <c r="I70" s="64">
        <v>6.31</v>
      </c>
      <c r="J70" s="64">
        <v>0.82</v>
      </c>
      <c r="K70" s="64">
        <v>322.86</v>
      </c>
      <c r="L70" s="64">
        <v>37.25</v>
      </c>
      <c r="M70" s="64">
        <v>21.56</v>
      </c>
      <c r="N70" s="64">
        <v>235.5</v>
      </c>
      <c r="O70" s="64">
        <v>0</v>
      </c>
      <c r="P70" s="64">
        <v>0.34</v>
      </c>
      <c r="Q70" s="64">
        <v>9.1300000000000008</v>
      </c>
      <c r="R70" s="198"/>
      <c r="S70" s="198"/>
      <c r="T70" s="198"/>
      <c r="U70" s="198"/>
    </row>
    <row r="71" spans="1:21" s="12" customFormat="1" x14ac:dyDescent="0.25">
      <c r="A71" s="214" t="s">
        <v>1846</v>
      </c>
      <c r="B71" s="64">
        <v>0.1</v>
      </c>
      <c r="C71" s="64">
        <v>22.23</v>
      </c>
      <c r="D71" s="64">
        <v>11.61</v>
      </c>
      <c r="E71" s="64">
        <v>1.38</v>
      </c>
      <c r="F71" s="64">
        <v>7.9</v>
      </c>
      <c r="G71" s="64">
        <v>43.64</v>
      </c>
      <c r="H71" s="64">
        <v>24.41</v>
      </c>
      <c r="I71" s="64">
        <v>5.84</v>
      </c>
      <c r="J71" s="64">
        <v>1</v>
      </c>
      <c r="K71" s="64">
        <v>317.68</v>
      </c>
      <c r="L71" s="64">
        <v>36.94</v>
      </c>
      <c r="M71" s="64">
        <v>22.79</v>
      </c>
      <c r="N71" s="64">
        <v>224.3</v>
      </c>
      <c r="O71" s="64">
        <v>0</v>
      </c>
      <c r="P71" s="64">
        <v>0.33</v>
      </c>
      <c r="Q71" s="64">
        <v>9.1</v>
      </c>
      <c r="R71" s="198"/>
      <c r="S71" s="198"/>
      <c r="T71" s="198"/>
      <c r="U71" s="198"/>
    </row>
    <row r="72" spans="1:21" s="12" customFormat="1" x14ac:dyDescent="0.25">
      <c r="A72" s="214" t="s">
        <v>1847</v>
      </c>
      <c r="B72" s="64">
        <v>0.1</v>
      </c>
      <c r="C72" s="64">
        <v>21.77</v>
      </c>
      <c r="D72" s="64">
        <v>11.37</v>
      </c>
      <c r="E72" s="64">
        <v>1.36</v>
      </c>
      <c r="F72" s="64">
        <v>6</v>
      </c>
      <c r="G72" s="64">
        <v>43.52</v>
      </c>
      <c r="H72" s="64">
        <v>24.28</v>
      </c>
      <c r="I72" s="64">
        <v>4.9000000000000004</v>
      </c>
      <c r="J72" s="64">
        <v>0.5</v>
      </c>
      <c r="K72" s="64">
        <v>317.27</v>
      </c>
      <c r="L72" s="64">
        <v>36.61</v>
      </c>
      <c r="M72" s="64">
        <v>23.02</v>
      </c>
      <c r="N72" s="64">
        <v>225.5</v>
      </c>
      <c r="O72" s="64">
        <v>0</v>
      </c>
      <c r="P72" s="64">
        <v>0.33</v>
      </c>
      <c r="Q72" s="64">
        <v>9.11</v>
      </c>
      <c r="R72" s="198"/>
      <c r="S72" s="198"/>
      <c r="T72" s="198"/>
      <c r="U72" s="198"/>
    </row>
    <row r="73" spans="1:21" s="12" customFormat="1" x14ac:dyDescent="0.25">
      <c r="A73" s="214" t="s">
        <v>1848</v>
      </c>
      <c r="B73" s="64">
        <v>0.1</v>
      </c>
      <c r="C73" s="64">
        <v>21.53</v>
      </c>
      <c r="D73" s="64">
        <v>11.25</v>
      </c>
      <c r="E73" s="64">
        <v>1.75</v>
      </c>
      <c r="F73" s="64">
        <v>5.58</v>
      </c>
      <c r="G73" s="64">
        <v>41.89</v>
      </c>
      <c r="H73" s="64">
        <v>22.42</v>
      </c>
      <c r="I73" s="64">
        <v>4.57</v>
      </c>
      <c r="J73" s="64">
        <v>0.14000000000000001</v>
      </c>
      <c r="K73" s="64">
        <v>279.02</v>
      </c>
      <c r="L73" s="64">
        <v>36.35</v>
      </c>
      <c r="M73" s="64">
        <v>23.44</v>
      </c>
      <c r="N73" s="64">
        <v>153.4</v>
      </c>
      <c r="O73" s="64">
        <v>0</v>
      </c>
      <c r="P73" s="64">
        <v>0.32</v>
      </c>
      <c r="Q73" s="64">
        <v>9.1199999999999992</v>
      </c>
      <c r="R73" s="198"/>
      <c r="S73" s="198"/>
      <c r="T73" s="198"/>
      <c r="U73" s="198"/>
    </row>
    <row r="74" spans="1:21" s="12" customFormat="1" x14ac:dyDescent="0.25">
      <c r="A74" s="214" t="s">
        <v>1849</v>
      </c>
      <c r="B74" s="64">
        <v>0.1</v>
      </c>
      <c r="C74" s="64">
        <v>21.62</v>
      </c>
      <c r="D74" s="64">
        <v>11.3</v>
      </c>
      <c r="E74" s="64">
        <v>1.61</v>
      </c>
      <c r="F74" s="64">
        <v>6.46</v>
      </c>
      <c r="G74" s="64">
        <v>41.89</v>
      </c>
      <c r="H74" s="64">
        <v>22.42</v>
      </c>
      <c r="I74" s="64">
        <v>4.4000000000000004</v>
      </c>
      <c r="J74" s="64">
        <v>0.38</v>
      </c>
      <c r="K74" s="64">
        <v>327.26</v>
      </c>
      <c r="L74" s="64">
        <v>35.93</v>
      </c>
      <c r="M74" s="64">
        <v>23.98</v>
      </c>
      <c r="N74" s="64">
        <v>125.8</v>
      </c>
      <c r="O74" s="64">
        <v>0</v>
      </c>
      <c r="P74" s="64">
        <v>0.32</v>
      </c>
      <c r="Q74" s="64">
        <v>9.1199999999999992</v>
      </c>
      <c r="R74" s="198"/>
      <c r="S74" s="198"/>
      <c r="T74" s="198"/>
      <c r="U74" s="198"/>
    </row>
    <row r="75" spans="1:21" s="12" customFormat="1" x14ac:dyDescent="0.25">
      <c r="A75" s="214" t="s">
        <v>1850</v>
      </c>
      <c r="B75" s="64">
        <v>0.1</v>
      </c>
      <c r="C75" s="64">
        <v>27.68</v>
      </c>
      <c r="D75" s="64">
        <v>14.46</v>
      </c>
      <c r="E75" s="64">
        <v>1.91</v>
      </c>
      <c r="F75" s="64">
        <v>12.6</v>
      </c>
      <c r="G75" s="64">
        <v>41.89</v>
      </c>
      <c r="H75" s="64">
        <v>22.42</v>
      </c>
      <c r="I75" s="64">
        <v>4.32</v>
      </c>
      <c r="J75" s="64">
        <v>0.46</v>
      </c>
      <c r="K75" s="64">
        <v>305.14999999999998</v>
      </c>
      <c r="L75" s="64">
        <v>35.64</v>
      </c>
      <c r="M75" s="64">
        <v>25.72</v>
      </c>
      <c r="N75" s="64">
        <v>89.5</v>
      </c>
      <c r="O75" s="64">
        <v>0</v>
      </c>
      <c r="P75" s="64">
        <v>0.36</v>
      </c>
      <c r="Q75" s="64">
        <v>9.1199999999999992</v>
      </c>
      <c r="R75" s="198"/>
      <c r="S75" s="198"/>
      <c r="T75" s="198"/>
      <c r="U75" s="198"/>
    </row>
    <row r="76" spans="1:21" s="12" customFormat="1" x14ac:dyDescent="0.25">
      <c r="A76" s="214" t="s">
        <v>1851</v>
      </c>
      <c r="B76" s="64">
        <v>0.1</v>
      </c>
      <c r="C76" s="64">
        <v>32.159999999999997</v>
      </c>
      <c r="D76" s="64">
        <v>16.8</v>
      </c>
      <c r="E76" s="64">
        <v>1.87</v>
      </c>
      <c r="F76" s="64">
        <v>7.81</v>
      </c>
      <c r="G76" s="64">
        <v>41.65</v>
      </c>
      <c r="H76" s="64">
        <v>21.67</v>
      </c>
      <c r="I76" s="64">
        <v>4.0999999999999996</v>
      </c>
      <c r="J76" s="64">
        <v>0.08</v>
      </c>
      <c r="K76" s="64">
        <v>340.65</v>
      </c>
      <c r="L76" s="64">
        <v>35.49</v>
      </c>
      <c r="M76" s="64">
        <v>24.8</v>
      </c>
      <c r="N76" s="64">
        <v>83.3</v>
      </c>
      <c r="O76" s="64">
        <v>0</v>
      </c>
      <c r="P76" s="64">
        <v>0.39</v>
      </c>
      <c r="Q76" s="64">
        <v>9.1300000000000008</v>
      </c>
      <c r="R76" s="198"/>
      <c r="S76" s="198"/>
      <c r="T76" s="198"/>
      <c r="U76" s="198"/>
    </row>
    <row r="77" spans="1:21" s="12" customFormat="1" x14ac:dyDescent="0.25">
      <c r="A77" s="214" t="s">
        <v>1852</v>
      </c>
      <c r="B77" s="64">
        <v>0.1</v>
      </c>
      <c r="C77" s="64">
        <v>31.48</v>
      </c>
      <c r="D77" s="64">
        <v>16.45</v>
      </c>
      <c r="E77" s="64">
        <v>1.84</v>
      </c>
      <c r="F77" s="64">
        <v>6.01</v>
      </c>
      <c r="G77" s="64">
        <v>38.33</v>
      </c>
      <c r="H77" s="64">
        <v>11.1</v>
      </c>
      <c r="I77" s="64">
        <v>3.67</v>
      </c>
      <c r="J77" s="64">
        <v>7.0000000000000007E-2</v>
      </c>
      <c r="K77" s="64">
        <v>335.53</v>
      </c>
      <c r="L77" s="64">
        <v>35.32</v>
      </c>
      <c r="M77" s="64">
        <v>25.56</v>
      </c>
      <c r="N77" s="64">
        <v>74.400000000000006</v>
      </c>
      <c r="O77" s="64">
        <v>0</v>
      </c>
      <c r="P77" s="64">
        <v>0.4</v>
      </c>
      <c r="Q77" s="64">
        <v>9.09</v>
      </c>
      <c r="R77" s="198"/>
      <c r="S77" s="198"/>
      <c r="T77" s="198"/>
      <c r="U77" s="198"/>
    </row>
    <row r="78" spans="1:21" s="12" customFormat="1" x14ac:dyDescent="0.25">
      <c r="A78" s="214" t="s">
        <v>1853</v>
      </c>
      <c r="B78" s="64">
        <v>0.1</v>
      </c>
      <c r="C78" s="64">
        <v>31.22</v>
      </c>
      <c r="D78" s="64">
        <v>16.309999999999999</v>
      </c>
      <c r="E78" s="64">
        <v>1.61</v>
      </c>
      <c r="F78" s="64">
        <v>6.11</v>
      </c>
      <c r="G78" s="64">
        <v>38.33</v>
      </c>
      <c r="H78" s="64">
        <v>11.1</v>
      </c>
      <c r="I78" s="64">
        <v>3.62</v>
      </c>
      <c r="J78" s="64">
        <v>0.05</v>
      </c>
      <c r="K78" s="64">
        <v>266.27</v>
      </c>
      <c r="L78" s="64">
        <v>35.090000000000003</v>
      </c>
      <c r="M78" s="64">
        <v>26.58</v>
      </c>
      <c r="N78" s="64">
        <v>58.6</v>
      </c>
      <c r="O78" s="64">
        <v>0</v>
      </c>
      <c r="P78" s="64">
        <v>0.41</v>
      </c>
      <c r="Q78" s="64">
        <v>9.1300000000000008</v>
      </c>
      <c r="R78" s="198"/>
      <c r="S78" s="198"/>
      <c r="T78" s="198"/>
      <c r="U78" s="198"/>
    </row>
    <row r="79" spans="1:21" s="12" customFormat="1" x14ac:dyDescent="0.25">
      <c r="A79" s="214" t="s">
        <v>1854</v>
      </c>
      <c r="B79" s="64">
        <v>0.1</v>
      </c>
      <c r="C79" s="64">
        <v>32.03</v>
      </c>
      <c r="D79" s="64">
        <v>16.73</v>
      </c>
      <c r="E79" s="64">
        <v>2.2599999999999998</v>
      </c>
      <c r="F79" s="64">
        <v>9.67</v>
      </c>
      <c r="G79" s="64">
        <v>38.33</v>
      </c>
      <c r="H79" s="64">
        <v>11.1</v>
      </c>
      <c r="I79" s="64">
        <v>3.74</v>
      </c>
      <c r="J79" s="64">
        <v>0.09</v>
      </c>
      <c r="K79" s="64">
        <v>161.24</v>
      </c>
      <c r="L79" s="64">
        <v>34.619999999999997</v>
      </c>
      <c r="M79" s="64">
        <v>28.38</v>
      </c>
      <c r="N79" s="64">
        <v>45.6</v>
      </c>
      <c r="O79" s="64">
        <v>0</v>
      </c>
      <c r="P79" s="64">
        <v>0.44</v>
      </c>
      <c r="Q79" s="64">
        <v>9.11</v>
      </c>
      <c r="R79" s="198"/>
      <c r="S79" s="198"/>
      <c r="T79" s="198"/>
      <c r="U79" s="198"/>
    </row>
    <row r="80" spans="1:21" s="12" customFormat="1" x14ac:dyDescent="0.25">
      <c r="A80" s="214" t="s">
        <v>1855</v>
      </c>
      <c r="B80" s="64">
        <v>0.1</v>
      </c>
      <c r="C80" s="64">
        <v>32.54</v>
      </c>
      <c r="D80" s="64">
        <v>17</v>
      </c>
      <c r="E80" s="64">
        <v>1.97</v>
      </c>
      <c r="F80" s="64">
        <v>9.68</v>
      </c>
      <c r="G80" s="64">
        <v>37.92</v>
      </c>
      <c r="H80" s="64">
        <v>11.48</v>
      </c>
      <c r="I80" s="64">
        <v>3.96</v>
      </c>
      <c r="J80" s="64">
        <v>0.38</v>
      </c>
      <c r="K80" s="64">
        <v>202.53</v>
      </c>
      <c r="L80" s="64">
        <v>33.950000000000003</v>
      </c>
      <c r="M80" s="64">
        <v>31.97</v>
      </c>
      <c r="N80" s="64">
        <v>33.200000000000003</v>
      </c>
      <c r="O80" s="64">
        <v>0</v>
      </c>
      <c r="P80" s="64">
        <v>0.46</v>
      </c>
      <c r="Q80" s="64">
        <v>9.09</v>
      </c>
      <c r="R80" s="198"/>
      <c r="S80" s="198"/>
      <c r="T80" s="198"/>
      <c r="U80" s="198"/>
    </row>
    <row r="81" spans="1:26" s="12" customFormat="1" x14ac:dyDescent="0.25">
      <c r="A81" s="214" t="s">
        <v>1856</v>
      </c>
      <c r="B81" s="64">
        <v>0.1</v>
      </c>
      <c r="C81" s="64">
        <v>31.39</v>
      </c>
      <c r="D81" s="64">
        <v>16.399999999999999</v>
      </c>
      <c r="E81" s="64">
        <v>1.92</v>
      </c>
      <c r="F81" s="64">
        <v>6.41</v>
      </c>
      <c r="G81" s="64">
        <v>32.11</v>
      </c>
      <c r="H81" s="64">
        <v>16.8</v>
      </c>
      <c r="I81" s="64">
        <v>4.28</v>
      </c>
      <c r="J81" s="64">
        <v>0.38</v>
      </c>
      <c r="K81" s="64">
        <v>217.32</v>
      </c>
      <c r="L81" s="64">
        <v>33.51</v>
      </c>
      <c r="M81" s="64">
        <v>33.06</v>
      </c>
      <c r="N81" s="64">
        <v>22.4</v>
      </c>
      <c r="O81" s="64">
        <v>0</v>
      </c>
      <c r="P81" s="64">
        <v>0.46</v>
      </c>
      <c r="Q81" s="64">
        <v>9.1999999999999993</v>
      </c>
      <c r="R81" s="198"/>
      <c r="S81" s="198"/>
      <c r="T81" s="198"/>
      <c r="U81" s="198"/>
    </row>
    <row r="82" spans="1:26" s="12" customFormat="1" x14ac:dyDescent="0.25">
      <c r="A82" s="214" t="s">
        <v>1857</v>
      </c>
      <c r="B82" s="64">
        <v>0.1</v>
      </c>
      <c r="C82" s="64">
        <v>30.36</v>
      </c>
      <c r="D82" s="64">
        <v>15.86</v>
      </c>
      <c r="E82" s="64">
        <v>1.46</v>
      </c>
      <c r="F82" s="64">
        <v>3.79</v>
      </c>
      <c r="G82" s="64">
        <v>32.11</v>
      </c>
      <c r="H82" s="64">
        <v>16.8</v>
      </c>
      <c r="I82" s="64">
        <v>4.5</v>
      </c>
      <c r="J82" s="64">
        <v>0.16</v>
      </c>
      <c r="K82" s="64">
        <v>312.93</v>
      </c>
      <c r="L82" s="64">
        <v>32</v>
      </c>
      <c r="M82" s="64">
        <v>41.76</v>
      </c>
      <c r="N82" s="64">
        <v>18.3</v>
      </c>
      <c r="O82" s="64">
        <v>0</v>
      </c>
      <c r="P82" s="64">
        <v>0.48</v>
      </c>
      <c r="Q82" s="64">
        <v>9.18</v>
      </c>
      <c r="R82" s="198"/>
      <c r="S82" s="198"/>
      <c r="T82" s="198"/>
      <c r="U82" s="198"/>
    </row>
    <row r="83" spans="1:26" s="12" customFormat="1" x14ac:dyDescent="0.25">
      <c r="A83" s="214" t="s">
        <v>1858</v>
      </c>
      <c r="B83" s="64">
        <v>0.1</v>
      </c>
      <c r="C83" s="64">
        <v>30.12</v>
      </c>
      <c r="D83" s="64">
        <v>15.74</v>
      </c>
      <c r="E83" s="64">
        <v>1.79</v>
      </c>
      <c r="F83" s="64">
        <v>4.34</v>
      </c>
      <c r="G83" s="64">
        <v>32.11</v>
      </c>
      <c r="H83" s="64">
        <v>16.8</v>
      </c>
      <c r="I83" s="64">
        <v>5.21</v>
      </c>
      <c r="J83" s="64">
        <v>0.22</v>
      </c>
      <c r="K83" s="64">
        <v>315.66000000000003</v>
      </c>
      <c r="L83" s="64">
        <v>30.56</v>
      </c>
      <c r="M83" s="64">
        <v>50.81</v>
      </c>
      <c r="N83" s="64">
        <v>17.600000000000001</v>
      </c>
      <c r="O83" s="64">
        <v>0</v>
      </c>
      <c r="P83" s="64">
        <v>0.56000000000000005</v>
      </c>
      <c r="Q83" s="64">
        <v>9.15</v>
      </c>
      <c r="R83" s="198"/>
      <c r="S83" s="198"/>
      <c r="T83" s="198"/>
      <c r="U83" s="198"/>
    </row>
    <row r="84" spans="1:26" s="12" customFormat="1" x14ac:dyDescent="0.25">
      <c r="A84" s="214" t="s">
        <v>1859</v>
      </c>
      <c r="B84" s="64">
        <v>1.36</v>
      </c>
      <c r="C84" s="64">
        <v>32.04</v>
      </c>
      <c r="D84" s="64">
        <v>17.75</v>
      </c>
      <c r="E84" s="64">
        <v>2.0699999999999998</v>
      </c>
      <c r="F84" s="64">
        <v>3.6</v>
      </c>
      <c r="G84" s="64">
        <v>37.68</v>
      </c>
      <c r="H84" s="64">
        <v>17.47</v>
      </c>
      <c r="I84" s="64">
        <v>5.66</v>
      </c>
      <c r="J84" s="64">
        <v>0.2</v>
      </c>
      <c r="K84" s="64">
        <v>331.37</v>
      </c>
      <c r="L84" s="64">
        <v>30.52</v>
      </c>
      <c r="M84" s="64">
        <v>44.69</v>
      </c>
      <c r="N84" s="64">
        <v>16.8</v>
      </c>
      <c r="O84" s="64">
        <v>0</v>
      </c>
      <c r="P84" s="64">
        <v>0.69</v>
      </c>
      <c r="Q84" s="64">
        <v>9.16</v>
      </c>
      <c r="R84" s="198"/>
      <c r="S84" s="198"/>
      <c r="T84" s="198"/>
      <c r="U84" s="198"/>
    </row>
    <row r="85" spans="1:26" s="12" customFormat="1" x14ac:dyDescent="0.25">
      <c r="A85" s="214" t="s">
        <v>1860</v>
      </c>
      <c r="B85" s="64">
        <v>3.03</v>
      </c>
      <c r="C85" s="64">
        <v>33.6</v>
      </c>
      <c r="D85" s="64">
        <v>19.91</v>
      </c>
      <c r="E85" s="64">
        <v>1.98</v>
      </c>
      <c r="F85" s="64">
        <v>3.71</v>
      </c>
      <c r="G85" s="64">
        <v>115.68</v>
      </c>
      <c r="H85" s="64">
        <v>26.93</v>
      </c>
      <c r="I85" s="64">
        <v>6.57</v>
      </c>
      <c r="J85" s="64">
        <v>0.21</v>
      </c>
      <c r="K85" s="64">
        <v>325.52</v>
      </c>
      <c r="L85" s="64">
        <v>31.7</v>
      </c>
      <c r="M85" s="64">
        <v>33.22</v>
      </c>
      <c r="N85" s="64">
        <v>16.3</v>
      </c>
      <c r="O85" s="64">
        <v>0</v>
      </c>
      <c r="P85" s="64">
        <v>0.68</v>
      </c>
      <c r="Q85" s="64">
        <v>9.18</v>
      </c>
      <c r="R85" s="198"/>
      <c r="S85" s="198"/>
      <c r="T85" s="198"/>
      <c r="U85" s="198"/>
    </row>
    <row r="86" spans="1:26" s="12" customFormat="1" x14ac:dyDescent="0.25">
      <c r="A86" s="214" t="s">
        <v>1861</v>
      </c>
      <c r="B86" s="64">
        <v>3.63</v>
      </c>
      <c r="C86" s="64">
        <v>34.130000000000003</v>
      </c>
      <c r="D86" s="64">
        <v>20.66</v>
      </c>
      <c r="E86" s="64">
        <v>1.94</v>
      </c>
      <c r="F86" s="64">
        <v>3.78</v>
      </c>
      <c r="G86" s="64">
        <v>115.68</v>
      </c>
      <c r="H86" s="64">
        <v>26.93</v>
      </c>
      <c r="I86" s="64">
        <v>7.67</v>
      </c>
      <c r="J86" s="64">
        <v>0.18</v>
      </c>
      <c r="K86" s="64">
        <v>326.43</v>
      </c>
      <c r="L86" s="64">
        <v>31.7</v>
      </c>
      <c r="M86" s="64">
        <v>31.18</v>
      </c>
      <c r="N86" s="64">
        <v>16.7</v>
      </c>
      <c r="O86" s="64">
        <v>0</v>
      </c>
      <c r="P86" s="64">
        <v>0.72</v>
      </c>
      <c r="Q86" s="64">
        <v>9.14</v>
      </c>
      <c r="R86" s="198"/>
      <c r="S86" s="198"/>
      <c r="T86" s="198"/>
      <c r="U86" s="198"/>
    </row>
    <row r="87" spans="1:26" s="12" customFormat="1" x14ac:dyDescent="0.25">
      <c r="A87" s="214" t="s">
        <v>1862</v>
      </c>
      <c r="B87" s="64">
        <v>4.7</v>
      </c>
      <c r="C87" s="64">
        <v>34.42</v>
      </c>
      <c r="D87" s="64">
        <v>21.67</v>
      </c>
      <c r="E87" s="64">
        <v>1.65</v>
      </c>
      <c r="F87" s="64">
        <v>3.64</v>
      </c>
      <c r="G87" s="64">
        <v>115.68</v>
      </c>
      <c r="H87" s="64">
        <v>26.93</v>
      </c>
      <c r="I87" s="64">
        <v>7.31</v>
      </c>
      <c r="J87" s="64">
        <v>0.17</v>
      </c>
      <c r="K87" s="64">
        <v>316.95999999999998</v>
      </c>
      <c r="L87" s="64">
        <v>31.42</v>
      </c>
      <c r="M87" s="64">
        <v>32.36</v>
      </c>
      <c r="N87" s="64">
        <v>17</v>
      </c>
      <c r="O87" s="64">
        <v>0</v>
      </c>
      <c r="P87" s="64">
        <v>0.79</v>
      </c>
      <c r="Q87" s="64">
        <v>9.17</v>
      </c>
      <c r="R87" s="198"/>
      <c r="S87" s="198"/>
      <c r="T87" s="198"/>
      <c r="U87" s="198"/>
    </row>
    <row r="88" spans="1:26" s="12" customFormat="1" x14ac:dyDescent="0.25">
      <c r="A88" s="214" t="s">
        <v>1863</v>
      </c>
      <c r="B88" s="64">
        <v>6.53</v>
      </c>
      <c r="C88" s="64">
        <v>34.81</v>
      </c>
      <c r="D88" s="64">
        <v>23.34</v>
      </c>
      <c r="E88" s="64">
        <v>1.58</v>
      </c>
      <c r="F88" s="64">
        <v>3.56</v>
      </c>
      <c r="G88" s="64">
        <v>111.2</v>
      </c>
      <c r="H88" s="64">
        <v>26.61</v>
      </c>
      <c r="I88" s="64">
        <v>7.13</v>
      </c>
      <c r="J88" s="64">
        <v>0.1</v>
      </c>
      <c r="K88" s="64">
        <v>306.27999999999997</v>
      </c>
      <c r="L88" s="64">
        <v>30.7</v>
      </c>
      <c r="M88" s="64">
        <v>34.33</v>
      </c>
      <c r="N88" s="64">
        <v>17.2</v>
      </c>
      <c r="O88" s="64">
        <v>0</v>
      </c>
      <c r="P88" s="64">
        <v>0.87</v>
      </c>
      <c r="Q88" s="64">
        <v>9.15</v>
      </c>
      <c r="R88" s="198"/>
      <c r="S88" s="198"/>
      <c r="T88" s="198"/>
      <c r="U88" s="198"/>
    </row>
    <row r="89" spans="1:26" s="12" customFormat="1" x14ac:dyDescent="0.25">
      <c r="A89" s="214" t="s">
        <v>1864</v>
      </c>
      <c r="B89" s="64">
        <v>8.84</v>
      </c>
      <c r="C89" s="64">
        <v>34.6</v>
      </c>
      <c r="D89" s="64">
        <v>25.08</v>
      </c>
      <c r="E89" s="64">
        <v>1.73</v>
      </c>
      <c r="F89" s="64">
        <v>3.59</v>
      </c>
      <c r="G89" s="64">
        <v>48.44</v>
      </c>
      <c r="H89" s="64">
        <v>22.08</v>
      </c>
      <c r="I89" s="64">
        <v>6.98</v>
      </c>
      <c r="J89" s="64">
        <v>0.06</v>
      </c>
      <c r="K89" s="64">
        <v>309.89</v>
      </c>
      <c r="L89" s="64">
        <v>30.14</v>
      </c>
      <c r="M89" s="64">
        <v>34.9</v>
      </c>
      <c r="N89" s="64">
        <v>17</v>
      </c>
      <c r="O89" s="64">
        <v>0</v>
      </c>
      <c r="P89" s="64">
        <v>0.94</v>
      </c>
      <c r="Q89" s="64">
        <v>9.24</v>
      </c>
      <c r="R89" s="198"/>
      <c r="S89" s="198"/>
      <c r="T89" s="198"/>
      <c r="U89" s="198"/>
    </row>
    <row r="90" spans="1:26" s="12" customFormat="1" x14ac:dyDescent="0.25">
      <c r="A90" s="214" t="s">
        <v>1865</v>
      </c>
      <c r="B90" s="64">
        <v>11.3</v>
      </c>
      <c r="C90" s="64">
        <v>34.75</v>
      </c>
      <c r="D90" s="64">
        <v>27.14</v>
      </c>
      <c r="E90" s="64">
        <v>1.95</v>
      </c>
      <c r="F90" s="64">
        <v>3.49</v>
      </c>
      <c r="G90" s="64">
        <v>48.44</v>
      </c>
      <c r="H90" s="64">
        <v>22.08</v>
      </c>
      <c r="I90" s="64">
        <v>7.28</v>
      </c>
      <c r="J90" s="64">
        <v>0.24</v>
      </c>
      <c r="K90" s="64">
        <v>347.89</v>
      </c>
      <c r="L90" s="64">
        <v>29.85</v>
      </c>
      <c r="M90" s="64">
        <v>35.96</v>
      </c>
      <c r="N90" s="64">
        <v>16.600000000000001</v>
      </c>
      <c r="O90" s="64">
        <v>0</v>
      </c>
      <c r="P90" s="64">
        <v>1</v>
      </c>
      <c r="Q90" s="64">
        <v>9.1999999999999993</v>
      </c>
      <c r="R90" s="198"/>
      <c r="S90" s="198"/>
      <c r="T90" s="198"/>
      <c r="U90" s="198"/>
    </row>
    <row r="91" spans="1:26" s="12" customFormat="1" x14ac:dyDescent="0.25">
      <c r="A91" s="214" t="s">
        <v>1866</v>
      </c>
      <c r="B91" s="64">
        <v>14.54</v>
      </c>
      <c r="C91" s="64">
        <v>34.840000000000003</v>
      </c>
      <c r="D91" s="64">
        <v>29.78</v>
      </c>
      <c r="E91" s="64">
        <v>2.04</v>
      </c>
      <c r="F91" s="64">
        <v>3.63</v>
      </c>
      <c r="G91" s="64">
        <v>48.44</v>
      </c>
      <c r="H91" s="64">
        <v>22.08</v>
      </c>
      <c r="I91" s="64">
        <v>7.35</v>
      </c>
      <c r="J91" s="64">
        <v>0.22</v>
      </c>
      <c r="K91" s="64">
        <v>8.26</v>
      </c>
      <c r="L91" s="64">
        <v>29.71</v>
      </c>
      <c r="M91" s="64">
        <v>35.53</v>
      </c>
      <c r="N91" s="64">
        <v>17.100000000000001</v>
      </c>
      <c r="O91" s="64">
        <v>0</v>
      </c>
      <c r="P91" s="64">
        <v>1.07</v>
      </c>
      <c r="Q91" s="64">
        <v>9.2899999999999991</v>
      </c>
      <c r="R91" s="198"/>
      <c r="S91" s="198"/>
      <c r="T91" s="198"/>
      <c r="U91" s="198"/>
    </row>
    <row r="92" spans="1:26" s="12" customFormat="1" x14ac:dyDescent="0.25">
      <c r="A92" s="214" t="s">
        <v>1867</v>
      </c>
      <c r="B92" s="64">
        <v>19.010000000000002</v>
      </c>
      <c r="C92" s="64">
        <v>35.020000000000003</v>
      </c>
      <c r="D92" s="64">
        <v>33.46</v>
      </c>
      <c r="E92" s="64">
        <v>1.81</v>
      </c>
      <c r="F92" s="64">
        <v>3.63</v>
      </c>
      <c r="G92" s="64">
        <v>50.11</v>
      </c>
      <c r="H92" s="64">
        <v>22.06</v>
      </c>
      <c r="I92" s="64">
        <v>7.59</v>
      </c>
      <c r="J92" s="64">
        <v>0.37</v>
      </c>
      <c r="K92" s="64">
        <v>2.36</v>
      </c>
      <c r="L92" s="64">
        <v>29.17</v>
      </c>
      <c r="M92" s="64">
        <v>40.72</v>
      </c>
      <c r="N92" s="64">
        <v>16.899999999999999</v>
      </c>
      <c r="O92" s="64">
        <v>0</v>
      </c>
      <c r="P92" s="64">
        <v>1.1599999999999999</v>
      </c>
      <c r="Q92" s="64">
        <v>9.23</v>
      </c>
      <c r="R92" s="198"/>
      <c r="S92" s="198"/>
      <c r="T92" s="198"/>
      <c r="U92" s="198"/>
    </row>
    <row r="93" spans="1:26" s="12" customFormat="1" x14ac:dyDescent="0.25">
      <c r="A93" s="214" t="s">
        <v>1868</v>
      </c>
      <c r="B93" s="64">
        <v>22.55</v>
      </c>
      <c r="C93" s="64">
        <v>35.03</v>
      </c>
      <c r="D93" s="64">
        <v>36.31</v>
      </c>
      <c r="E93" s="64">
        <v>1.91</v>
      </c>
      <c r="F93" s="64">
        <v>3.64</v>
      </c>
      <c r="G93" s="64">
        <v>78.67</v>
      </c>
      <c r="H93" s="64">
        <v>21.74</v>
      </c>
      <c r="I93" s="64">
        <v>7.92</v>
      </c>
      <c r="J93" s="64">
        <v>0.47</v>
      </c>
      <c r="K93" s="64">
        <v>339.12</v>
      </c>
      <c r="L93" s="64">
        <v>28.91</v>
      </c>
      <c r="M93" s="64">
        <v>40.93</v>
      </c>
      <c r="N93" s="64">
        <v>16.2</v>
      </c>
      <c r="O93" s="64">
        <v>0</v>
      </c>
      <c r="P93" s="64">
        <v>1.22</v>
      </c>
      <c r="Q93" s="64">
        <v>9.3000000000000007</v>
      </c>
      <c r="R93" s="198"/>
      <c r="S93" s="198"/>
      <c r="T93" s="198"/>
      <c r="U93" s="198"/>
    </row>
    <row r="94" spans="1:26" s="12" customFormat="1" x14ac:dyDescent="0.25">
      <c r="A94" s="214" t="s">
        <v>1869</v>
      </c>
      <c r="B94" s="64">
        <v>24.29</v>
      </c>
      <c r="C94" s="64">
        <v>34.83</v>
      </c>
      <c r="D94" s="64">
        <v>37.6</v>
      </c>
      <c r="E94" s="64">
        <v>2.23</v>
      </c>
      <c r="F94" s="64">
        <v>3.57</v>
      </c>
      <c r="G94" s="64">
        <v>78.67</v>
      </c>
      <c r="H94" s="64">
        <v>21.74</v>
      </c>
      <c r="I94" s="64">
        <v>8.23</v>
      </c>
      <c r="J94" s="64">
        <v>0.31</v>
      </c>
      <c r="K94" s="64">
        <v>329.86</v>
      </c>
      <c r="L94" s="64">
        <v>28.68</v>
      </c>
      <c r="M94" s="64">
        <v>39.229999999999997</v>
      </c>
      <c r="N94" s="64">
        <v>16.7</v>
      </c>
      <c r="O94" s="64">
        <v>0</v>
      </c>
      <c r="P94" s="64">
        <v>1.26</v>
      </c>
      <c r="Q94" s="64">
        <v>9.33</v>
      </c>
      <c r="R94" s="198"/>
      <c r="S94" s="198"/>
      <c r="T94" s="198"/>
      <c r="U94" s="198"/>
    </row>
    <row r="95" spans="1:26" s="12" customFormat="1" x14ac:dyDescent="0.25">
      <c r="A95" s="214" t="s">
        <v>1870</v>
      </c>
      <c r="B95" s="64">
        <v>25.04</v>
      </c>
      <c r="C95" s="64">
        <v>34.47</v>
      </c>
      <c r="D95" s="64">
        <v>38.01</v>
      </c>
      <c r="E95" s="64">
        <v>2.25</v>
      </c>
      <c r="F95" s="64">
        <v>3.72</v>
      </c>
      <c r="G95" s="64">
        <v>78.67</v>
      </c>
      <c r="H95" s="64">
        <v>21.74</v>
      </c>
      <c r="I95" s="64">
        <v>8.27</v>
      </c>
      <c r="J95" s="64">
        <v>0.48</v>
      </c>
      <c r="K95" s="64">
        <v>346.74</v>
      </c>
      <c r="L95" s="64">
        <v>28.6</v>
      </c>
      <c r="M95" s="64">
        <v>39.76</v>
      </c>
      <c r="N95" s="64">
        <v>16.600000000000001</v>
      </c>
      <c r="O95" s="64">
        <v>0</v>
      </c>
      <c r="P95" s="64">
        <v>1.28</v>
      </c>
      <c r="Q95" s="64">
        <v>9.2899999999999991</v>
      </c>
      <c r="R95" s="198"/>
      <c r="S95" s="198"/>
      <c r="T95" s="198"/>
      <c r="U95" s="198"/>
    </row>
    <row r="96" spans="1:26" s="12" customFormat="1" x14ac:dyDescent="0.25">
      <c r="A96" s="214" t="s">
        <v>1871</v>
      </c>
      <c r="B96" s="64">
        <v>25.79</v>
      </c>
      <c r="C96" s="64">
        <v>34.840000000000003</v>
      </c>
      <c r="D96" s="64">
        <v>38.81</v>
      </c>
      <c r="E96" s="64">
        <v>2.0499999999999998</v>
      </c>
      <c r="F96" s="64">
        <v>3.77</v>
      </c>
      <c r="G96" s="64">
        <v>78.92</v>
      </c>
      <c r="H96" s="64">
        <v>21.72</v>
      </c>
      <c r="I96" s="64">
        <v>8.27</v>
      </c>
      <c r="J96" s="64">
        <v>0.24</v>
      </c>
      <c r="K96" s="64">
        <v>341.7</v>
      </c>
      <c r="L96" s="64">
        <v>28.26</v>
      </c>
      <c r="M96" s="64">
        <v>40.08</v>
      </c>
      <c r="N96" s="64">
        <v>17.100000000000001</v>
      </c>
      <c r="O96" s="64">
        <v>0</v>
      </c>
      <c r="P96" s="64">
        <v>1.32</v>
      </c>
      <c r="Q96" s="64">
        <v>9.4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1872</v>
      </c>
      <c r="B97" s="64">
        <v>26.3</v>
      </c>
      <c r="C97" s="64">
        <v>34.020000000000003</v>
      </c>
      <c r="D97" s="64">
        <v>38.79</v>
      </c>
      <c r="E97" s="64">
        <v>1.89</v>
      </c>
      <c r="F97" s="64">
        <v>3.72</v>
      </c>
      <c r="G97" s="64">
        <v>82.42</v>
      </c>
      <c r="H97" s="64">
        <v>21.41</v>
      </c>
      <c r="I97" s="64">
        <v>8.16</v>
      </c>
      <c r="J97" s="64">
        <v>7.0000000000000007E-2</v>
      </c>
      <c r="K97" s="64">
        <v>79.12</v>
      </c>
      <c r="L97" s="64">
        <v>28.16</v>
      </c>
      <c r="M97" s="64">
        <v>40.46</v>
      </c>
      <c r="N97" s="64">
        <v>17.100000000000001</v>
      </c>
      <c r="O97" s="64">
        <v>0</v>
      </c>
      <c r="P97" s="64">
        <v>1.33</v>
      </c>
      <c r="Q97" s="64">
        <v>9.4</v>
      </c>
      <c r="R97" s="198"/>
      <c r="S97" s="198"/>
      <c r="T97" s="198"/>
      <c r="U97" s="198"/>
    </row>
    <row r="98" spans="1:33" s="12" customFormat="1" x14ac:dyDescent="0.25">
      <c r="A98" s="214" t="s">
        <v>1873</v>
      </c>
      <c r="B98" s="64">
        <v>27.96</v>
      </c>
      <c r="C98" s="64">
        <v>33.19</v>
      </c>
      <c r="D98" s="64">
        <v>39.68</v>
      </c>
      <c r="E98" s="64">
        <v>1.83</v>
      </c>
      <c r="F98" s="64">
        <v>4.1100000000000003</v>
      </c>
      <c r="G98" s="64">
        <v>82.42</v>
      </c>
      <c r="H98" s="64">
        <v>21.41</v>
      </c>
      <c r="I98" s="64">
        <v>7.6</v>
      </c>
      <c r="J98" s="64">
        <v>0.3</v>
      </c>
      <c r="K98" s="64">
        <v>325.36</v>
      </c>
      <c r="L98" s="64">
        <v>27.68</v>
      </c>
      <c r="M98" s="64">
        <v>44.41</v>
      </c>
      <c r="N98" s="64">
        <v>16.600000000000001</v>
      </c>
      <c r="O98" s="64">
        <v>0</v>
      </c>
      <c r="P98" s="64">
        <v>1.37</v>
      </c>
      <c r="Q98" s="64">
        <v>9.36</v>
      </c>
      <c r="R98" s="198"/>
      <c r="S98" s="198"/>
      <c r="T98" s="198"/>
      <c r="U98" s="198"/>
    </row>
    <row r="99" spans="1:33" s="12" customFormat="1" x14ac:dyDescent="0.25">
      <c r="A99" s="214" t="s">
        <v>1874</v>
      </c>
      <c r="B99" s="64">
        <v>29.59</v>
      </c>
      <c r="C99" s="64">
        <v>32.75</v>
      </c>
      <c r="D99" s="64">
        <v>40.76</v>
      </c>
      <c r="E99" s="64">
        <v>2.17</v>
      </c>
      <c r="F99" s="64">
        <v>3.08</v>
      </c>
      <c r="G99" s="64">
        <v>82.42</v>
      </c>
      <c r="H99" s="64">
        <v>21.41</v>
      </c>
      <c r="I99" s="64">
        <v>7.59</v>
      </c>
      <c r="J99" s="64">
        <v>0.62</v>
      </c>
      <c r="K99" s="64">
        <v>343.52</v>
      </c>
      <c r="L99" s="64">
        <v>27.64</v>
      </c>
      <c r="M99" s="64">
        <v>42.82</v>
      </c>
      <c r="N99" s="64">
        <v>15.9</v>
      </c>
      <c r="O99" s="64">
        <v>0</v>
      </c>
      <c r="P99" s="64">
        <v>1.35</v>
      </c>
      <c r="Q99" s="64">
        <v>9.2899999999999991</v>
      </c>
      <c r="R99" s="198"/>
      <c r="S99" s="198"/>
      <c r="T99" s="198"/>
      <c r="U99" s="198"/>
    </row>
    <row r="100" spans="1:33" s="12" customFormat="1" x14ac:dyDescent="0.25">
      <c r="A100" s="214" t="s">
        <v>1875</v>
      </c>
      <c r="B100" s="64">
        <v>29.77</v>
      </c>
      <c r="C100" s="64">
        <v>32.28</v>
      </c>
      <c r="D100" s="64">
        <v>40.659999999999997</v>
      </c>
      <c r="E100" s="64">
        <v>2.3199999999999998</v>
      </c>
      <c r="F100" s="64">
        <v>3.49</v>
      </c>
      <c r="G100" s="64">
        <v>80.52</v>
      </c>
      <c r="H100" s="64">
        <v>21.26</v>
      </c>
      <c r="I100" s="64">
        <v>8.08</v>
      </c>
      <c r="J100" s="64">
        <v>0.43</v>
      </c>
      <c r="K100" s="64">
        <v>322.36</v>
      </c>
      <c r="L100" s="64">
        <v>27.58</v>
      </c>
      <c r="M100" s="64">
        <v>41.67</v>
      </c>
      <c r="N100" s="64">
        <v>16.399999999999999</v>
      </c>
      <c r="O100" s="64">
        <v>0</v>
      </c>
      <c r="P100" s="64">
        <v>1.31</v>
      </c>
      <c r="Q100" s="64">
        <v>9.35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1876</v>
      </c>
      <c r="B101" s="64">
        <v>29.3</v>
      </c>
      <c r="C101" s="64">
        <v>31.79</v>
      </c>
      <c r="D101" s="64">
        <v>40.03</v>
      </c>
      <c r="E101" s="64">
        <v>2.15</v>
      </c>
      <c r="F101" s="64">
        <v>3.44</v>
      </c>
      <c r="G101" s="64">
        <v>53.96</v>
      </c>
      <c r="H101" s="64">
        <v>19.260000000000002</v>
      </c>
      <c r="I101" s="64">
        <v>8.41</v>
      </c>
      <c r="J101" s="64">
        <v>0.42</v>
      </c>
      <c r="K101" s="64">
        <v>327.01</v>
      </c>
      <c r="L101" s="64">
        <v>27.46</v>
      </c>
      <c r="M101" s="64">
        <v>42.64</v>
      </c>
      <c r="N101" s="64">
        <v>16.7</v>
      </c>
      <c r="O101" s="64">
        <v>0</v>
      </c>
      <c r="P101" s="64">
        <v>1.29</v>
      </c>
      <c r="Q101" s="64">
        <v>9.4499999999999993</v>
      </c>
      <c r="R101" s="198"/>
      <c r="S101" s="198"/>
      <c r="T101" s="198"/>
      <c r="U101" s="198"/>
    </row>
    <row r="102" spans="1:33" s="12" customFormat="1" x14ac:dyDescent="0.25">
      <c r="A102" s="214" t="s">
        <v>1877</v>
      </c>
      <c r="B102" s="64">
        <v>28.64</v>
      </c>
      <c r="C102" s="64">
        <v>31.35</v>
      </c>
      <c r="D102" s="64">
        <v>39.26</v>
      </c>
      <c r="E102" s="64">
        <v>1.95</v>
      </c>
      <c r="F102" s="64">
        <v>3.56</v>
      </c>
      <c r="G102" s="64">
        <v>53.96</v>
      </c>
      <c r="H102" s="64">
        <v>19.260000000000002</v>
      </c>
      <c r="I102" s="64">
        <v>8.06</v>
      </c>
      <c r="J102" s="64">
        <v>0.12</v>
      </c>
      <c r="K102" s="64">
        <v>29.05</v>
      </c>
      <c r="L102" s="64">
        <v>27.29</v>
      </c>
      <c r="M102" s="64">
        <v>41.86</v>
      </c>
      <c r="N102" s="64">
        <v>17.2</v>
      </c>
      <c r="O102" s="64">
        <v>0</v>
      </c>
      <c r="P102" s="64">
        <v>1.26</v>
      </c>
      <c r="Q102" s="64">
        <v>9.48</v>
      </c>
      <c r="R102" s="198"/>
      <c r="S102" s="198"/>
      <c r="T102" s="198"/>
      <c r="U102" s="198"/>
    </row>
    <row r="103" spans="1:33" s="12" customFormat="1" x14ac:dyDescent="0.25">
      <c r="A103" s="214" t="s">
        <v>1878</v>
      </c>
      <c r="B103" s="64">
        <v>28.17</v>
      </c>
      <c r="C103" s="64">
        <v>31.21</v>
      </c>
      <c r="D103" s="64">
        <v>38.82</v>
      </c>
      <c r="E103" s="64">
        <v>2.0499999999999998</v>
      </c>
      <c r="F103" s="64">
        <v>3.81</v>
      </c>
      <c r="G103" s="64">
        <v>53.96</v>
      </c>
      <c r="H103" s="64">
        <v>19.260000000000002</v>
      </c>
      <c r="I103" s="64">
        <v>8.09</v>
      </c>
      <c r="J103" s="64">
        <v>0.53</v>
      </c>
      <c r="K103" s="64">
        <v>359.42</v>
      </c>
      <c r="L103" s="64">
        <v>27.29</v>
      </c>
      <c r="M103" s="64">
        <v>42.6</v>
      </c>
      <c r="N103" s="64">
        <v>16.3</v>
      </c>
      <c r="O103" s="64">
        <v>0</v>
      </c>
      <c r="P103" s="64">
        <v>1.25</v>
      </c>
      <c r="Q103" s="64">
        <v>9.4</v>
      </c>
      <c r="R103" s="198"/>
      <c r="S103" s="198"/>
      <c r="T103" s="198"/>
      <c r="U103" s="198"/>
    </row>
    <row r="104" spans="1:33" s="12" customFormat="1" x14ac:dyDescent="0.25">
      <c r="A104" s="214" t="s">
        <v>1879</v>
      </c>
      <c r="B104" s="64">
        <v>27.12</v>
      </c>
      <c r="C104" s="64">
        <v>30.23</v>
      </c>
      <c r="D104" s="64">
        <v>37.47</v>
      </c>
      <c r="E104" s="64">
        <v>0.94</v>
      </c>
      <c r="F104" s="64">
        <v>3.81</v>
      </c>
      <c r="G104" s="64">
        <v>54.97</v>
      </c>
      <c r="H104" s="64">
        <v>18.63</v>
      </c>
      <c r="I104" s="64">
        <v>7.83</v>
      </c>
      <c r="J104" s="64">
        <v>0.38</v>
      </c>
      <c r="K104" s="64">
        <v>322.54000000000002</v>
      </c>
      <c r="L104" s="64">
        <v>27</v>
      </c>
      <c r="M104" s="64">
        <v>41.61</v>
      </c>
      <c r="N104" s="64">
        <v>16.5</v>
      </c>
      <c r="O104" s="64">
        <v>0</v>
      </c>
      <c r="P104" s="64">
        <v>1.22</v>
      </c>
      <c r="Q104" s="64">
        <v>9.42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20.46</v>
      </c>
      <c r="D106" s="67">
        <f t="shared" ref="D106:Q106" si="0">MIN(D9:D104)</f>
        <v>11.25</v>
      </c>
      <c r="E106" s="67">
        <f t="shared" si="0"/>
        <v>0.5</v>
      </c>
      <c r="F106" s="67">
        <f t="shared" si="0"/>
        <v>2.77</v>
      </c>
      <c r="G106" s="67">
        <f t="shared" si="0"/>
        <v>32.11</v>
      </c>
      <c r="H106" s="67">
        <f t="shared" si="0"/>
        <v>8.4</v>
      </c>
      <c r="I106" s="67">
        <f t="shared" si="0"/>
        <v>3.62</v>
      </c>
      <c r="J106" s="67">
        <f t="shared" si="0"/>
        <v>0.03</v>
      </c>
      <c r="K106" s="67">
        <f t="shared" si="0"/>
        <v>2.36</v>
      </c>
      <c r="L106" s="67">
        <f t="shared" si="0"/>
        <v>22.61</v>
      </c>
      <c r="M106" s="67">
        <f t="shared" si="0"/>
        <v>19.829999999999998</v>
      </c>
      <c r="N106" s="67">
        <f t="shared" si="0"/>
        <v>15.9</v>
      </c>
      <c r="O106" s="67">
        <f t="shared" si="0"/>
        <v>0</v>
      </c>
      <c r="P106" s="67">
        <f t="shared" si="0"/>
        <v>0.32</v>
      </c>
      <c r="Q106" s="67">
        <f t="shared" si="0"/>
        <v>9.09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42.24</v>
      </c>
      <c r="C107" s="66">
        <f t="shared" ref="C107:Q107" si="1">MAX(C9:C104)</f>
        <v>44.62</v>
      </c>
      <c r="D107" s="66">
        <f t="shared" si="1"/>
        <v>46.49</v>
      </c>
      <c r="E107" s="66">
        <f t="shared" si="1"/>
        <v>3.5</v>
      </c>
      <c r="F107" s="66">
        <f t="shared" si="1"/>
        <v>12.6</v>
      </c>
      <c r="G107" s="66">
        <f t="shared" si="1"/>
        <v>132.85</v>
      </c>
      <c r="H107" s="66">
        <f t="shared" si="1"/>
        <v>62.07</v>
      </c>
      <c r="I107" s="66">
        <f t="shared" si="1"/>
        <v>11.15</v>
      </c>
      <c r="J107" s="66">
        <f t="shared" si="1"/>
        <v>1.34</v>
      </c>
      <c r="K107" s="66">
        <f t="shared" si="1"/>
        <v>359.42</v>
      </c>
      <c r="L107" s="66">
        <f t="shared" si="1"/>
        <v>40.340000000000003</v>
      </c>
      <c r="M107" s="66">
        <f t="shared" si="1"/>
        <v>92.41</v>
      </c>
      <c r="N107" s="66">
        <f t="shared" si="1"/>
        <v>955.3</v>
      </c>
      <c r="O107" s="66">
        <f t="shared" si="1"/>
        <v>0</v>
      </c>
      <c r="P107" s="66">
        <f t="shared" si="1"/>
        <v>1.37</v>
      </c>
      <c r="Q107" s="66">
        <f t="shared" si="1"/>
        <v>9.66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19.016249999999975</v>
      </c>
      <c r="C108" s="67">
        <f t="shared" ref="C108:Q108" si="2">AVERAGE(C9:C104)</f>
        <v>28.040104166666669</v>
      </c>
      <c r="D108" s="67">
        <f t="shared" si="2"/>
        <v>29.820000000000004</v>
      </c>
      <c r="E108" s="67">
        <f t="shared" si="2"/>
        <v>1.8198958333333326</v>
      </c>
      <c r="F108" s="67">
        <f t="shared" si="2"/>
        <v>4.711666666666666</v>
      </c>
      <c r="G108" s="67">
        <f t="shared" si="2"/>
        <v>79.379270833333322</v>
      </c>
      <c r="H108" s="67">
        <f t="shared" si="2"/>
        <v>27.355312499999993</v>
      </c>
      <c r="I108" s="67">
        <f t="shared" si="2"/>
        <v>8.5309374999999985</v>
      </c>
      <c r="J108" s="67">
        <f t="shared" si="2"/>
        <v>0.35645833333333332</v>
      </c>
      <c r="K108" s="67">
        <f t="shared" si="2"/>
        <v>241.13395833333334</v>
      </c>
      <c r="L108" s="67">
        <f t="shared" si="2"/>
        <v>30.295520833333324</v>
      </c>
      <c r="M108" s="67">
        <f t="shared" si="2"/>
        <v>49.366354166666646</v>
      </c>
      <c r="N108" s="67">
        <f t="shared" si="2"/>
        <v>266.21562499999993</v>
      </c>
      <c r="O108" s="67">
        <f t="shared" si="2"/>
        <v>0</v>
      </c>
      <c r="P108" s="67">
        <f t="shared" si="2"/>
        <v>0.82916666666666661</v>
      </c>
      <c r="Q108" s="67">
        <f t="shared" si="2"/>
        <v>9.3102083333333319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16.461079087861883</v>
      </c>
      <c r="C109" s="67">
        <f t="shared" ref="C109:Q109" si="3">STDEV(C9:C104)</f>
        <v>5.4430762383419973</v>
      </c>
      <c r="D109" s="67">
        <f t="shared" si="3"/>
        <v>12.213940611578135</v>
      </c>
      <c r="E109" s="67">
        <f t="shared" si="3"/>
        <v>0.70850991864938917</v>
      </c>
      <c r="F109" s="67">
        <f t="shared" si="3"/>
        <v>2.1144697813258899</v>
      </c>
      <c r="G109" s="67">
        <f t="shared" si="3"/>
        <v>29.634589862267799</v>
      </c>
      <c r="H109" s="67">
        <f t="shared" si="3"/>
        <v>13.569146577758135</v>
      </c>
      <c r="I109" s="67">
        <f t="shared" si="3"/>
        <v>2.062729452946428</v>
      </c>
      <c r="J109" s="67">
        <f t="shared" si="3"/>
        <v>0.29857549223170271</v>
      </c>
      <c r="K109" s="67">
        <f t="shared" si="3"/>
        <v>103.72391919726294</v>
      </c>
      <c r="L109" s="67">
        <f t="shared" si="3"/>
        <v>5.4855682179010934</v>
      </c>
      <c r="M109" s="67">
        <f t="shared" si="3"/>
        <v>24.182361084489159</v>
      </c>
      <c r="N109" s="67">
        <f t="shared" si="3"/>
        <v>341.30330524965933</v>
      </c>
      <c r="O109" s="67">
        <f t="shared" si="3"/>
        <v>0</v>
      </c>
      <c r="P109" s="67">
        <f t="shared" si="3"/>
        <v>0.30003391621147346</v>
      </c>
      <c r="Q109" s="67">
        <f t="shared" si="3"/>
        <v>0.16869766894883861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8" sqref="G12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1880</v>
      </c>
      <c r="B9" s="64">
        <v>25.43</v>
      </c>
      <c r="C9" s="64">
        <v>28.84</v>
      </c>
      <c r="D9" s="64">
        <v>35.380000000000003</v>
      </c>
      <c r="E9" s="64">
        <v>1.39</v>
      </c>
      <c r="F9" s="64">
        <v>3.59</v>
      </c>
      <c r="G9" s="64">
        <v>69.099999999999994</v>
      </c>
      <c r="H9" s="64">
        <v>9.85</v>
      </c>
      <c r="I9" s="64">
        <v>8.3000000000000007</v>
      </c>
      <c r="J9" s="64">
        <v>0.36</v>
      </c>
      <c r="K9" s="64">
        <v>309.12</v>
      </c>
      <c r="L9" s="64">
        <v>26.52</v>
      </c>
      <c r="M9" s="64">
        <v>43.84</v>
      </c>
      <c r="N9" s="64">
        <v>16.600000000000001</v>
      </c>
      <c r="O9" s="64">
        <v>0</v>
      </c>
      <c r="P9" s="64">
        <v>1.17</v>
      </c>
      <c r="Q9" s="64">
        <v>9.39</v>
      </c>
      <c r="R9" s="198"/>
      <c r="S9" s="198"/>
      <c r="T9" s="198"/>
      <c r="U9" s="198"/>
    </row>
    <row r="10" spans="1:21" s="12" customFormat="1" x14ac:dyDescent="0.25">
      <c r="A10" s="214" t="s">
        <v>1881</v>
      </c>
      <c r="B10" s="64">
        <v>23.85</v>
      </c>
      <c r="C10" s="64">
        <v>28.34</v>
      </c>
      <c r="D10" s="64">
        <v>33.86</v>
      </c>
      <c r="E10" s="64">
        <v>1.34</v>
      </c>
      <c r="F10" s="64">
        <v>3.37</v>
      </c>
      <c r="G10" s="64">
        <v>69.099999999999994</v>
      </c>
      <c r="H10" s="64">
        <v>9.85</v>
      </c>
      <c r="I10" s="64">
        <v>8.99</v>
      </c>
      <c r="J10" s="64">
        <v>0.62</v>
      </c>
      <c r="K10" s="64">
        <v>330.42</v>
      </c>
      <c r="L10" s="64">
        <v>26.54</v>
      </c>
      <c r="M10" s="64">
        <v>42.27</v>
      </c>
      <c r="N10" s="64">
        <v>16</v>
      </c>
      <c r="O10" s="64">
        <v>0</v>
      </c>
      <c r="P10" s="64">
        <v>1.1200000000000001</v>
      </c>
      <c r="Q10" s="64">
        <v>9.25</v>
      </c>
      <c r="R10" s="198"/>
      <c r="S10" s="198"/>
      <c r="T10" s="198"/>
      <c r="U10" s="198"/>
    </row>
    <row r="11" spans="1:21" s="12" customFormat="1" x14ac:dyDescent="0.25">
      <c r="A11" s="214" t="s">
        <v>1882</v>
      </c>
      <c r="B11" s="64">
        <v>22.21</v>
      </c>
      <c r="C11" s="64">
        <v>27.69</v>
      </c>
      <c r="D11" s="64">
        <v>32.200000000000003</v>
      </c>
      <c r="E11" s="64">
        <v>1.41</v>
      </c>
      <c r="F11" s="64">
        <v>3.51</v>
      </c>
      <c r="G11" s="64">
        <v>69.099999999999994</v>
      </c>
      <c r="H11" s="64">
        <v>9.85</v>
      </c>
      <c r="I11" s="64">
        <v>8.6999999999999993</v>
      </c>
      <c r="J11" s="64">
        <v>0.51</v>
      </c>
      <c r="K11" s="64">
        <v>346.22</v>
      </c>
      <c r="L11" s="64">
        <v>26.61</v>
      </c>
      <c r="M11" s="64">
        <v>40.130000000000003</v>
      </c>
      <c r="N11" s="64">
        <v>16.7</v>
      </c>
      <c r="O11" s="64">
        <v>0</v>
      </c>
      <c r="P11" s="64">
        <v>1.08</v>
      </c>
      <c r="Q11" s="64">
        <v>9.4</v>
      </c>
      <c r="R11" s="198"/>
      <c r="S11" s="198"/>
      <c r="T11" s="198"/>
      <c r="U11" s="198"/>
    </row>
    <row r="12" spans="1:21" s="12" customFormat="1" x14ac:dyDescent="0.25">
      <c r="A12" s="214" t="s">
        <v>1883</v>
      </c>
      <c r="B12" s="64">
        <v>20.91</v>
      </c>
      <c r="C12" s="64">
        <v>27.37</v>
      </c>
      <c r="D12" s="64">
        <v>31.03</v>
      </c>
      <c r="E12" s="64">
        <v>1.25</v>
      </c>
      <c r="F12" s="64">
        <v>3.41</v>
      </c>
      <c r="G12" s="64">
        <v>69.099999999999994</v>
      </c>
      <c r="H12" s="64">
        <v>9.85</v>
      </c>
      <c r="I12" s="64">
        <v>8.6300000000000008</v>
      </c>
      <c r="J12" s="64">
        <v>0.42</v>
      </c>
      <c r="K12" s="64">
        <v>350.26</v>
      </c>
      <c r="L12" s="64">
        <v>26.39</v>
      </c>
      <c r="M12" s="64">
        <v>40.869999999999997</v>
      </c>
      <c r="N12" s="64">
        <v>17</v>
      </c>
      <c r="O12" s="64">
        <v>0</v>
      </c>
      <c r="P12" s="64">
        <v>1.03</v>
      </c>
      <c r="Q12" s="212" t="s">
        <v>42</v>
      </c>
      <c r="R12" s="198"/>
      <c r="S12" s="198"/>
      <c r="T12" s="198"/>
      <c r="U12" s="198"/>
    </row>
    <row r="13" spans="1:21" s="12" customFormat="1" x14ac:dyDescent="0.25">
      <c r="A13" s="214" t="s">
        <v>1884</v>
      </c>
      <c r="B13" s="64">
        <v>19.39</v>
      </c>
      <c r="C13" s="64">
        <v>26.99</v>
      </c>
      <c r="D13" s="64">
        <v>29.57</v>
      </c>
      <c r="E13" s="64">
        <v>1.25</v>
      </c>
      <c r="F13" s="64">
        <v>3.42</v>
      </c>
      <c r="G13" s="64">
        <v>47.45</v>
      </c>
      <c r="H13" s="64">
        <v>5.12</v>
      </c>
      <c r="I13" s="64">
        <v>8.3699999999999992</v>
      </c>
      <c r="J13" s="64">
        <v>0.12</v>
      </c>
      <c r="K13" s="64">
        <v>336.79</v>
      </c>
      <c r="L13" s="64">
        <v>25.94</v>
      </c>
      <c r="M13" s="64">
        <v>42.11</v>
      </c>
      <c r="N13" s="64">
        <v>17.399999999999999</v>
      </c>
      <c r="O13" s="64">
        <v>0</v>
      </c>
      <c r="P13" s="64">
        <v>0.92</v>
      </c>
      <c r="Q13" s="212" t="s">
        <v>42</v>
      </c>
      <c r="R13" s="198"/>
      <c r="S13" s="198"/>
      <c r="T13" s="198"/>
      <c r="U13" s="198"/>
    </row>
    <row r="14" spans="1:21" s="12" customFormat="1" x14ac:dyDescent="0.25">
      <c r="A14" s="214" t="s">
        <v>1885</v>
      </c>
      <c r="B14" s="64">
        <v>19.39</v>
      </c>
      <c r="C14" s="64">
        <v>26.99</v>
      </c>
      <c r="D14" s="64">
        <v>29.57</v>
      </c>
      <c r="E14" s="64">
        <v>1.25</v>
      </c>
      <c r="F14" s="64">
        <v>3.42</v>
      </c>
      <c r="G14" s="64">
        <v>47.45</v>
      </c>
      <c r="H14" s="64">
        <v>5.12</v>
      </c>
      <c r="I14" s="64">
        <v>8.3699999999999992</v>
      </c>
      <c r="J14" s="64">
        <v>0.12</v>
      </c>
      <c r="K14" s="64">
        <v>336.79</v>
      </c>
      <c r="L14" s="64">
        <v>25.94</v>
      </c>
      <c r="M14" s="64">
        <v>42.11</v>
      </c>
      <c r="N14" s="64">
        <v>17.399999999999999</v>
      </c>
      <c r="O14" s="64">
        <v>0</v>
      </c>
      <c r="P14" s="64">
        <v>0.92</v>
      </c>
      <c r="Q14" s="212" t="s">
        <v>42</v>
      </c>
      <c r="R14" s="198"/>
      <c r="S14" s="198"/>
      <c r="T14" s="198"/>
      <c r="U14" s="198"/>
    </row>
    <row r="15" spans="1:21" s="12" customFormat="1" x14ac:dyDescent="0.25">
      <c r="A15" s="214" t="s">
        <v>1886</v>
      </c>
      <c r="B15" s="64">
        <v>19.39</v>
      </c>
      <c r="C15" s="64">
        <v>26.99</v>
      </c>
      <c r="D15" s="64">
        <v>29.57</v>
      </c>
      <c r="E15" s="64">
        <v>1.25</v>
      </c>
      <c r="F15" s="64">
        <v>3.42</v>
      </c>
      <c r="G15" s="64">
        <v>47.45</v>
      </c>
      <c r="H15" s="64">
        <v>5.12</v>
      </c>
      <c r="I15" s="64">
        <v>8.3699999999999992</v>
      </c>
      <c r="J15" s="64">
        <v>0.12</v>
      </c>
      <c r="K15" s="64">
        <v>336.79</v>
      </c>
      <c r="L15" s="64">
        <v>25.94</v>
      </c>
      <c r="M15" s="64">
        <v>42.11</v>
      </c>
      <c r="N15" s="64">
        <v>17.399999999999999</v>
      </c>
      <c r="O15" s="64">
        <v>0</v>
      </c>
      <c r="P15" s="64">
        <v>0.92</v>
      </c>
      <c r="Q15" s="212" t="s">
        <v>42</v>
      </c>
      <c r="R15" s="198"/>
      <c r="S15" s="198"/>
      <c r="T15" s="198"/>
      <c r="U15" s="198"/>
    </row>
    <row r="16" spans="1:21" s="12" customFormat="1" x14ac:dyDescent="0.25">
      <c r="A16" s="214" t="s">
        <v>1887</v>
      </c>
      <c r="B16" s="64">
        <v>16.46</v>
      </c>
      <c r="C16" s="64">
        <v>26.01</v>
      </c>
      <c r="D16" s="64">
        <v>26.66</v>
      </c>
      <c r="E16" s="64">
        <v>1.29</v>
      </c>
      <c r="F16" s="64">
        <v>3.41</v>
      </c>
      <c r="G16" s="64">
        <v>47.16</v>
      </c>
      <c r="H16" s="64">
        <v>5.69</v>
      </c>
      <c r="I16" s="64">
        <v>7.84</v>
      </c>
      <c r="J16" s="64">
        <v>0.05</v>
      </c>
      <c r="K16" s="64">
        <v>263.76</v>
      </c>
      <c r="L16" s="64">
        <v>25.41</v>
      </c>
      <c r="M16" s="64">
        <v>47.26</v>
      </c>
      <c r="N16" s="64">
        <v>17</v>
      </c>
      <c r="O16" s="64">
        <v>0</v>
      </c>
      <c r="P16" s="64">
        <v>0.88</v>
      </c>
      <c r="Q16" s="64">
        <v>9.3000000000000007</v>
      </c>
      <c r="R16" s="198"/>
      <c r="S16" s="198"/>
      <c r="T16" s="198"/>
      <c r="U16" s="198"/>
    </row>
    <row r="17" spans="1:21" s="12" customFormat="1" x14ac:dyDescent="0.25">
      <c r="A17" s="214" t="s">
        <v>1888</v>
      </c>
      <c r="B17" s="64">
        <v>15.12</v>
      </c>
      <c r="C17" s="64">
        <v>24.97</v>
      </c>
      <c r="D17" s="64">
        <v>25.09</v>
      </c>
      <c r="E17" s="64">
        <v>1.19</v>
      </c>
      <c r="F17" s="64">
        <v>3.51</v>
      </c>
      <c r="G17" s="64">
        <v>40.04</v>
      </c>
      <c r="H17" s="64">
        <v>19.12</v>
      </c>
      <c r="I17" s="64">
        <v>7.61</v>
      </c>
      <c r="J17" s="64">
        <v>0.14000000000000001</v>
      </c>
      <c r="K17" s="64">
        <v>347.4</v>
      </c>
      <c r="L17" s="64">
        <v>24.12</v>
      </c>
      <c r="M17" s="64">
        <v>58.43</v>
      </c>
      <c r="N17" s="64">
        <v>17.3</v>
      </c>
      <c r="O17" s="64">
        <v>0</v>
      </c>
      <c r="P17" s="64">
        <v>0.82</v>
      </c>
      <c r="Q17" s="64">
        <v>9.25</v>
      </c>
      <c r="R17" s="198"/>
      <c r="S17" s="198"/>
      <c r="T17" s="198"/>
      <c r="U17" s="198"/>
    </row>
    <row r="18" spans="1:21" s="12" customFormat="1" x14ac:dyDescent="0.25">
      <c r="A18" s="214" t="s">
        <v>1889</v>
      </c>
      <c r="B18" s="64">
        <v>14.83</v>
      </c>
      <c r="C18" s="64">
        <v>25.6</v>
      </c>
      <c r="D18" s="64">
        <v>25.19</v>
      </c>
      <c r="E18" s="64">
        <v>1.05</v>
      </c>
      <c r="F18" s="64">
        <v>3.17</v>
      </c>
      <c r="G18" s="64">
        <v>40.04</v>
      </c>
      <c r="H18" s="64">
        <v>19.12</v>
      </c>
      <c r="I18" s="64">
        <v>7.39</v>
      </c>
      <c r="J18" s="64">
        <v>0.13</v>
      </c>
      <c r="K18" s="64">
        <v>28.57</v>
      </c>
      <c r="L18" s="64">
        <v>23.74</v>
      </c>
      <c r="M18" s="64">
        <v>57.31</v>
      </c>
      <c r="N18" s="64">
        <v>16.899999999999999</v>
      </c>
      <c r="O18" s="64">
        <v>0</v>
      </c>
      <c r="P18" s="64">
        <v>0.79</v>
      </c>
      <c r="Q18" s="64">
        <v>9.26</v>
      </c>
      <c r="R18" s="198"/>
      <c r="S18" s="198"/>
      <c r="T18" s="198"/>
      <c r="U18" s="198"/>
    </row>
    <row r="19" spans="1:21" s="12" customFormat="1" x14ac:dyDescent="0.25">
      <c r="A19" s="214" t="s">
        <v>1890</v>
      </c>
      <c r="B19" s="64">
        <v>14.52</v>
      </c>
      <c r="C19" s="64">
        <v>25.63</v>
      </c>
      <c r="D19" s="64">
        <v>24.96</v>
      </c>
      <c r="E19" s="64">
        <v>1.26</v>
      </c>
      <c r="F19" s="64">
        <v>3.63</v>
      </c>
      <c r="G19" s="64">
        <v>40.04</v>
      </c>
      <c r="H19" s="64">
        <v>19.12</v>
      </c>
      <c r="I19" s="64">
        <v>7.31</v>
      </c>
      <c r="J19" s="64">
        <v>0.14000000000000001</v>
      </c>
      <c r="K19" s="64">
        <v>58.58</v>
      </c>
      <c r="L19" s="64">
        <v>24.13</v>
      </c>
      <c r="M19" s="64">
        <v>55.99</v>
      </c>
      <c r="N19" s="64">
        <v>16.5</v>
      </c>
      <c r="O19" s="64">
        <v>0</v>
      </c>
      <c r="P19" s="64">
        <v>0.75</v>
      </c>
      <c r="Q19" s="64">
        <v>9.19</v>
      </c>
      <c r="R19" s="198"/>
      <c r="S19" s="198"/>
      <c r="T19" s="198"/>
      <c r="U19" s="198"/>
    </row>
    <row r="20" spans="1:21" s="12" customFormat="1" x14ac:dyDescent="0.25">
      <c r="A20" s="214" t="s">
        <v>1891</v>
      </c>
      <c r="B20" s="64">
        <v>14.06</v>
      </c>
      <c r="C20" s="64">
        <v>25.7</v>
      </c>
      <c r="D20" s="64">
        <v>24.62</v>
      </c>
      <c r="E20" s="64">
        <v>1.1000000000000001</v>
      </c>
      <c r="F20" s="64">
        <v>3.74</v>
      </c>
      <c r="G20" s="64">
        <v>40.08</v>
      </c>
      <c r="H20" s="64">
        <v>19.190000000000001</v>
      </c>
      <c r="I20" s="64">
        <v>6.98</v>
      </c>
      <c r="J20" s="64">
        <v>0.16</v>
      </c>
      <c r="K20" s="64">
        <v>57.4</v>
      </c>
      <c r="L20" s="64">
        <v>24.94</v>
      </c>
      <c r="M20" s="64">
        <v>46.56</v>
      </c>
      <c r="N20" s="64">
        <v>16.100000000000001</v>
      </c>
      <c r="O20" s="64">
        <v>0</v>
      </c>
      <c r="P20" s="64">
        <v>0.75</v>
      </c>
      <c r="Q20" s="64">
        <v>9.3000000000000007</v>
      </c>
      <c r="R20" s="198"/>
      <c r="S20" s="198"/>
      <c r="T20" s="198"/>
      <c r="U20" s="198"/>
    </row>
    <row r="21" spans="1:21" s="12" customFormat="1" x14ac:dyDescent="0.25">
      <c r="A21" s="214" t="s">
        <v>1892</v>
      </c>
      <c r="B21" s="64">
        <v>13.57</v>
      </c>
      <c r="C21" s="64">
        <v>25.91</v>
      </c>
      <c r="D21" s="64">
        <v>24.34</v>
      </c>
      <c r="E21" s="64">
        <v>1.28</v>
      </c>
      <c r="F21" s="64">
        <v>3.33</v>
      </c>
      <c r="G21" s="64">
        <v>40.590000000000003</v>
      </c>
      <c r="H21" s="64">
        <v>20.440000000000001</v>
      </c>
      <c r="I21" s="64">
        <v>6.41</v>
      </c>
      <c r="J21" s="64">
        <v>0.33</v>
      </c>
      <c r="K21" s="64">
        <v>3.86</v>
      </c>
      <c r="L21" s="64">
        <v>24.99</v>
      </c>
      <c r="M21" s="64">
        <v>42.81</v>
      </c>
      <c r="N21" s="64">
        <v>16</v>
      </c>
      <c r="O21" s="64">
        <v>0</v>
      </c>
      <c r="P21" s="64">
        <v>0.73</v>
      </c>
      <c r="Q21" s="64">
        <v>9.34</v>
      </c>
      <c r="R21" s="198"/>
      <c r="S21" s="198"/>
      <c r="T21" s="198"/>
      <c r="U21" s="198"/>
    </row>
    <row r="22" spans="1:21" s="12" customFormat="1" x14ac:dyDescent="0.25">
      <c r="A22" s="214" t="s">
        <v>1893</v>
      </c>
      <c r="B22" s="64">
        <v>13.17</v>
      </c>
      <c r="C22" s="64">
        <v>25.71</v>
      </c>
      <c r="D22" s="64">
        <v>23.92</v>
      </c>
      <c r="E22" s="64">
        <v>1.43</v>
      </c>
      <c r="F22" s="64">
        <v>3.28</v>
      </c>
      <c r="G22" s="64">
        <v>40.590000000000003</v>
      </c>
      <c r="H22" s="64">
        <v>20.440000000000001</v>
      </c>
      <c r="I22" s="64">
        <v>7.18</v>
      </c>
      <c r="J22" s="64">
        <v>0.11</v>
      </c>
      <c r="K22" s="64">
        <v>6.45</v>
      </c>
      <c r="L22" s="64">
        <v>25.35</v>
      </c>
      <c r="M22" s="64">
        <v>39.31</v>
      </c>
      <c r="N22" s="64">
        <v>16.5</v>
      </c>
      <c r="O22" s="64">
        <v>0</v>
      </c>
      <c r="P22" s="64">
        <v>0.72</v>
      </c>
      <c r="Q22" s="64">
        <v>9.24</v>
      </c>
      <c r="R22" s="198"/>
      <c r="S22" s="198"/>
      <c r="T22" s="198"/>
      <c r="U22" s="198"/>
    </row>
    <row r="23" spans="1:21" s="12" customFormat="1" x14ac:dyDescent="0.25">
      <c r="A23" s="214" t="s">
        <v>1894</v>
      </c>
      <c r="B23" s="64">
        <v>12.82</v>
      </c>
      <c r="C23" s="64">
        <v>25.65</v>
      </c>
      <c r="D23" s="64">
        <v>23.6</v>
      </c>
      <c r="E23" s="64">
        <v>1.24</v>
      </c>
      <c r="F23" s="64">
        <v>3.3</v>
      </c>
      <c r="G23" s="64">
        <v>40.590000000000003</v>
      </c>
      <c r="H23" s="64">
        <v>20.440000000000001</v>
      </c>
      <c r="I23" s="64">
        <v>7.65</v>
      </c>
      <c r="J23" s="64">
        <v>0.04</v>
      </c>
      <c r="K23" s="64">
        <v>74.239999999999995</v>
      </c>
      <c r="L23" s="64">
        <v>24.76</v>
      </c>
      <c r="M23" s="64">
        <v>44.31</v>
      </c>
      <c r="N23" s="64">
        <v>16.899999999999999</v>
      </c>
      <c r="O23" s="64">
        <v>0</v>
      </c>
      <c r="P23" s="64">
        <v>0.72</v>
      </c>
      <c r="Q23" s="64">
        <v>9.23</v>
      </c>
      <c r="R23" s="198"/>
      <c r="S23" s="198"/>
      <c r="T23" s="198"/>
      <c r="U23" s="198"/>
    </row>
    <row r="24" spans="1:21" s="12" customFormat="1" x14ac:dyDescent="0.25">
      <c r="A24" s="214" t="s">
        <v>1895</v>
      </c>
      <c r="B24" s="64">
        <v>12.64</v>
      </c>
      <c r="C24" s="64">
        <v>25.62</v>
      </c>
      <c r="D24" s="64">
        <v>23.44</v>
      </c>
      <c r="E24" s="64">
        <v>0.44</v>
      </c>
      <c r="F24" s="64">
        <v>3.33</v>
      </c>
      <c r="G24" s="64">
        <v>46.55</v>
      </c>
      <c r="H24" s="64">
        <v>21.23</v>
      </c>
      <c r="I24" s="64">
        <v>8.08</v>
      </c>
      <c r="J24" s="64">
        <v>0.1</v>
      </c>
      <c r="K24" s="64">
        <v>311.52999999999997</v>
      </c>
      <c r="L24" s="64">
        <v>24.52</v>
      </c>
      <c r="M24" s="64">
        <v>47.5</v>
      </c>
      <c r="N24" s="64">
        <v>17.100000000000001</v>
      </c>
      <c r="O24" s="64">
        <v>0</v>
      </c>
      <c r="P24" s="64">
        <v>0.72</v>
      </c>
      <c r="Q24" s="64">
        <v>9.24</v>
      </c>
      <c r="R24" s="198"/>
      <c r="S24" s="198"/>
      <c r="T24" s="198"/>
      <c r="U24" s="198"/>
    </row>
    <row r="25" spans="1:21" s="12" customFormat="1" x14ac:dyDescent="0.25">
      <c r="A25" s="214" t="s">
        <v>1896</v>
      </c>
      <c r="B25" s="64">
        <v>12.81</v>
      </c>
      <c r="C25" s="64">
        <v>25.57</v>
      </c>
      <c r="D25" s="64">
        <v>23.55</v>
      </c>
      <c r="E25" s="64">
        <v>1.1299999999999999</v>
      </c>
      <c r="F25" s="64">
        <v>3.49</v>
      </c>
      <c r="G25" s="64">
        <v>130.03</v>
      </c>
      <c r="H25" s="64">
        <v>34.5</v>
      </c>
      <c r="I25" s="64">
        <v>8.43</v>
      </c>
      <c r="J25" s="64">
        <v>0.08</v>
      </c>
      <c r="K25" s="64">
        <v>95.64</v>
      </c>
      <c r="L25" s="64">
        <v>23.8</v>
      </c>
      <c r="M25" s="64">
        <v>52.65</v>
      </c>
      <c r="N25" s="64">
        <v>16.8</v>
      </c>
      <c r="O25" s="64">
        <v>0</v>
      </c>
      <c r="P25" s="64">
        <v>0.72</v>
      </c>
      <c r="Q25" s="64">
        <v>9.26</v>
      </c>
      <c r="R25" s="198"/>
      <c r="S25" s="198"/>
      <c r="T25" s="198"/>
      <c r="U25" s="198"/>
    </row>
    <row r="26" spans="1:21" s="12" customFormat="1" x14ac:dyDescent="0.25">
      <c r="A26" s="214" t="s">
        <v>1897</v>
      </c>
      <c r="B26" s="64">
        <v>13.04</v>
      </c>
      <c r="C26" s="64">
        <v>24.78</v>
      </c>
      <c r="D26" s="64">
        <v>23.32</v>
      </c>
      <c r="E26" s="64">
        <v>1</v>
      </c>
      <c r="F26" s="64">
        <v>3.25</v>
      </c>
      <c r="G26" s="64">
        <v>130.03</v>
      </c>
      <c r="H26" s="64">
        <v>34.5</v>
      </c>
      <c r="I26" s="64">
        <v>8.75</v>
      </c>
      <c r="J26" s="64">
        <v>0.26</v>
      </c>
      <c r="K26" s="64">
        <v>66.2</v>
      </c>
      <c r="L26" s="64">
        <v>24.64</v>
      </c>
      <c r="M26" s="64">
        <v>43.88</v>
      </c>
      <c r="N26" s="64">
        <v>16</v>
      </c>
      <c r="O26" s="64">
        <v>0</v>
      </c>
      <c r="P26" s="64">
        <v>0.72</v>
      </c>
      <c r="Q26" s="64">
        <v>9.23</v>
      </c>
      <c r="R26" s="198"/>
      <c r="S26" s="198"/>
      <c r="T26" s="198"/>
      <c r="U26" s="198"/>
    </row>
    <row r="27" spans="1:21" s="12" customFormat="1" x14ac:dyDescent="0.25">
      <c r="A27" s="214" t="s">
        <v>1898</v>
      </c>
      <c r="B27" s="64">
        <v>12.96</v>
      </c>
      <c r="C27" s="64">
        <v>23.74</v>
      </c>
      <c r="D27" s="64">
        <v>22.71</v>
      </c>
      <c r="E27" s="64">
        <v>1.41</v>
      </c>
      <c r="F27" s="64">
        <v>3.18</v>
      </c>
      <c r="G27" s="64">
        <v>130.03</v>
      </c>
      <c r="H27" s="64">
        <v>34.5</v>
      </c>
      <c r="I27" s="64">
        <v>8.89</v>
      </c>
      <c r="J27" s="64">
        <v>0.36</v>
      </c>
      <c r="K27" s="64">
        <v>79.489999999999995</v>
      </c>
      <c r="L27" s="64">
        <v>24.91</v>
      </c>
      <c r="M27" s="64">
        <v>40.770000000000003</v>
      </c>
      <c r="N27" s="64">
        <v>16</v>
      </c>
      <c r="O27" s="64">
        <v>0</v>
      </c>
      <c r="P27" s="64">
        <v>0.71</v>
      </c>
      <c r="Q27" s="64">
        <v>9.2200000000000006</v>
      </c>
      <c r="R27" s="198"/>
      <c r="S27" s="198"/>
      <c r="T27" s="198"/>
      <c r="U27" s="198"/>
    </row>
    <row r="28" spans="1:21" s="12" customFormat="1" x14ac:dyDescent="0.25">
      <c r="A28" s="214" t="s">
        <v>1899</v>
      </c>
      <c r="B28" s="64">
        <v>12.34</v>
      </c>
      <c r="C28" s="64">
        <v>23.65</v>
      </c>
      <c r="D28" s="64">
        <v>22.18</v>
      </c>
      <c r="E28" s="64">
        <v>1.21</v>
      </c>
      <c r="F28" s="64">
        <v>2.91</v>
      </c>
      <c r="G28" s="64">
        <v>126.24</v>
      </c>
      <c r="H28" s="64">
        <v>34</v>
      </c>
      <c r="I28" s="64">
        <v>9.02</v>
      </c>
      <c r="J28" s="64">
        <v>0.24</v>
      </c>
      <c r="K28" s="64">
        <v>216.76</v>
      </c>
      <c r="L28" s="64">
        <v>24.81</v>
      </c>
      <c r="M28" s="64">
        <v>42.58</v>
      </c>
      <c r="N28" s="64">
        <v>16.399999999999999</v>
      </c>
      <c r="O28" s="64">
        <v>0</v>
      </c>
      <c r="P28" s="64">
        <v>0.68</v>
      </c>
      <c r="Q28" s="64">
        <v>9.25</v>
      </c>
      <c r="R28" s="198"/>
      <c r="S28" s="198"/>
      <c r="T28" s="198"/>
      <c r="U28" s="198"/>
    </row>
    <row r="29" spans="1:21" s="12" customFormat="1" x14ac:dyDescent="0.25">
      <c r="A29" s="214" t="s">
        <v>1900</v>
      </c>
      <c r="B29" s="64">
        <v>12.44</v>
      </c>
      <c r="C29" s="64">
        <v>24</v>
      </c>
      <c r="D29" s="64">
        <v>22.44</v>
      </c>
      <c r="E29" s="64">
        <v>1.33</v>
      </c>
      <c r="F29" s="64">
        <v>3.31</v>
      </c>
      <c r="G29" s="64">
        <v>61.79</v>
      </c>
      <c r="H29" s="64">
        <v>25.5</v>
      </c>
      <c r="I29" s="64">
        <v>8.92</v>
      </c>
      <c r="J29" s="64">
        <v>0.4</v>
      </c>
      <c r="K29" s="64">
        <v>214.06</v>
      </c>
      <c r="L29" s="64">
        <v>24.42</v>
      </c>
      <c r="M29" s="64">
        <v>45.53</v>
      </c>
      <c r="N29" s="64">
        <v>16.600000000000001</v>
      </c>
      <c r="O29" s="64">
        <v>0</v>
      </c>
      <c r="P29" s="64">
        <v>0.68</v>
      </c>
      <c r="Q29" s="64">
        <v>9.15</v>
      </c>
      <c r="R29" s="198"/>
      <c r="S29" s="198"/>
      <c r="T29" s="198"/>
      <c r="U29" s="198"/>
    </row>
    <row r="30" spans="1:21" s="12" customFormat="1" x14ac:dyDescent="0.25">
      <c r="A30" s="214" t="s">
        <v>1901</v>
      </c>
      <c r="B30" s="64">
        <v>14.68</v>
      </c>
      <c r="C30" s="64">
        <v>24.63</v>
      </c>
      <c r="D30" s="64">
        <v>24.56</v>
      </c>
      <c r="E30" s="64">
        <v>1.19</v>
      </c>
      <c r="F30" s="64">
        <v>3.51</v>
      </c>
      <c r="G30" s="64">
        <v>61.79</v>
      </c>
      <c r="H30" s="64">
        <v>25.5</v>
      </c>
      <c r="I30" s="64">
        <v>8.7899999999999991</v>
      </c>
      <c r="J30" s="64">
        <v>0.18</v>
      </c>
      <c r="K30" s="64">
        <v>16.53</v>
      </c>
      <c r="L30" s="64">
        <v>23.61</v>
      </c>
      <c r="M30" s="64">
        <v>51.53</v>
      </c>
      <c r="N30" s="64">
        <v>18.3</v>
      </c>
      <c r="O30" s="64">
        <v>0</v>
      </c>
      <c r="P30" s="64">
        <v>0.67</v>
      </c>
      <c r="Q30" s="64">
        <v>9.2899999999999991</v>
      </c>
      <c r="R30" s="198"/>
      <c r="S30" s="198"/>
      <c r="T30" s="198"/>
      <c r="U30" s="198"/>
    </row>
    <row r="31" spans="1:21" s="12" customFormat="1" x14ac:dyDescent="0.25">
      <c r="A31" s="214" t="s">
        <v>1902</v>
      </c>
      <c r="B31" s="64">
        <v>17.98</v>
      </c>
      <c r="C31" s="64">
        <v>25.27</v>
      </c>
      <c r="D31" s="64">
        <v>27.54</v>
      </c>
      <c r="E31" s="64">
        <v>1.26</v>
      </c>
      <c r="F31" s="64">
        <v>3.85</v>
      </c>
      <c r="G31" s="64">
        <v>61.79</v>
      </c>
      <c r="H31" s="64">
        <v>25.5</v>
      </c>
      <c r="I31" s="64">
        <v>8.74</v>
      </c>
      <c r="J31" s="64">
        <v>0.17</v>
      </c>
      <c r="K31" s="64">
        <v>250.93</v>
      </c>
      <c r="L31" s="64">
        <v>22.99</v>
      </c>
      <c r="M31" s="64">
        <v>55.13</v>
      </c>
      <c r="N31" s="64">
        <v>24.7</v>
      </c>
      <c r="O31" s="64">
        <v>0</v>
      </c>
      <c r="P31" s="64">
        <v>0.69</v>
      </c>
      <c r="Q31" s="64">
        <v>9.24</v>
      </c>
      <c r="R31" s="198"/>
      <c r="S31" s="198"/>
      <c r="T31" s="198"/>
      <c r="U31" s="198"/>
    </row>
    <row r="32" spans="1:21" s="12" customFormat="1" x14ac:dyDescent="0.25">
      <c r="A32" s="214" t="s">
        <v>1903</v>
      </c>
      <c r="B32" s="64">
        <v>21.82</v>
      </c>
      <c r="C32" s="64">
        <v>25.98</v>
      </c>
      <c r="D32" s="64">
        <v>30.99</v>
      </c>
      <c r="E32" s="64">
        <v>1.1299999999999999</v>
      </c>
      <c r="F32" s="64">
        <v>3.4</v>
      </c>
      <c r="G32" s="64">
        <v>66.62</v>
      </c>
      <c r="H32" s="64">
        <v>26.41</v>
      </c>
      <c r="I32" s="64">
        <v>8.6999999999999993</v>
      </c>
      <c r="J32" s="64">
        <v>0.43</v>
      </c>
      <c r="K32" s="64">
        <v>226.76</v>
      </c>
      <c r="L32" s="64">
        <v>23.51</v>
      </c>
      <c r="M32" s="64">
        <v>56.62</v>
      </c>
      <c r="N32" s="64">
        <v>41.3</v>
      </c>
      <c r="O32" s="64">
        <v>0</v>
      </c>
      <c r="P32" s="64">
        <v>0.71</v>
      </c>
      <c r="Q32" s="64">
        <v>9.26</v>
      </c>
      <c r="R32" s="198"/>
      <c r="S32" s="198"/>
      <c r="T32" s="198"/>
      <c r="U32" s="198"/>
    </row>
    <row r="33" spans="1:21" s="12" customFormat="1" x14ac:dyDescent="0.25">
      <c r="A33" s="214" t="s">
        <v>1904</v>
      </c>
      <c r="B33" s="64">
        <v>26.46</v>
      </c>
      <c r="C33" s="64">
        <v>26.92</v>
      </c>
      <c r="D33" s="64">
        <v>35.21</v>
      </c>
      <c r="E33" s="64">
        <v>1.67</v>
      </c>
      <c r="F33" s="64">
        <v>3.13</v>
      </c>
      <c r="G33" s="64">
        <v>148.63</v>
      </c>
      <c r="H33" s="64">
        <v>39.19</v>
      </c>
      <c r="I33" s="64">
        <v>8.5399999999999991</v>
      </c>
      <c r="J33" s="64">
        <v>0.24</v>
      </c>
      <c r="K33" s="64">
        <v>359.37</v>
      </c>
      <c r="L33" s="64">
        <v>24.1</v>
      </c>
      <c r="M33" s="64">
        <v>59.32</v>
      </c>
      <c r="N33" s="64">
        <v>80.599999999999994</v>
      </c>
      <c r="O33" s="64">
        <v>0</v>
      </c>
      <c r="P33" s="64">
        <v>0.72</v>
      </c>
      <c r="Q33" s="64">
        <v>9.26</v>
      </c>
      <c r="R33" s="198"/>
      <c r="S33" s="198"/>
      <c r="T33" s="198"/>
      <c r="U33" s="198"/>
    </row>
    <row r="34" spans="1:21" s="12" customFormat="1" x14ac:dyDescent="0.25">
      <c r="A34" s="214" t="s">
        <v>1905</v>
      </c>
      <c r="B34" s="64">
        <v>31.51</v>
      </c>
      <c r="C34" s="64">
        <v>27.58</v>
      </c>
      <c r="D34" s="64">
        <v>39.6</v>
      </c>
      <c r="E34" s="64">
        <v>1.56</v>
      </c>
      <c r="F34" s="64">
        <v>3.32</v>
      </c>
      <c r="G34" s="64">
        <v>148.63</v>
      </c>
      <c r="H34" s="64">
        <v>39.19</v>
      </c>
      <c r="I34" s="64">
        <v>8.56</v>
      </c>
      <c r="J34" s="64">
        <v>0.41</v>
      </c>
      <c r="K34" s="64">
        <v>204.05</v>
      </c>
      <c r="L34" s="64">
        <v>24.84</v>
      </c>
      <c r="M34" s="64">
        <v>55.54</v>
      </c>
      <c r="N34" s="64">
        <v>116.6</v>
      </c>
      <c r="O34" s="64">
        <v>0</v>
      </c>
      <c r="P34" s="64">
        <v>0.77</v>
      </c>
      <c r="Q34" s="64">
        <v>9.42</v>
      </c>
      <c r="R34" s="198"/>
      <c r="S34" s="198"/>
      <c r="T34" s="198"/>
      <c r="U34" s="198"/>
    </row>
    <row r="35" spans="1:21" s="12" customFormat="1" x14ac:dyDescent="0.25">
      <c r="A35" s="214" t="s">
        <v>1906</v>
      </c>
      <c r="B35" s="64">
        <v>34.04</v>
      </c>
      <c r="C35" s="64">
        <v>27.86</v>
      </c>
      <c r="D35" s="64">
        <v>41.78</v>
      </c>
      <c r="E35" s="64">
        <v>1.32</v>
      </c>
      <c r="F35" s="64">
        <v>3.42</v>
      </c>
      <c r="G35" s="64">
        <v>148.63</v>
      </c>
      <c r="H35" s="64">
        <v>39.19</v>
      </c>
      <c r="I35" s="64">
        <v>8.5</v>
      </c>
      <c r="J35" s="64">
        <v>0.67</v>
      </c>
      <c r="K35" s="64">
        <v>204.91</v>
      </c>
      <c r="L35" s="64">
        <v>24.8</v>
      </c>
      <c r="M35" s="64">
        <v>57.44</v>
      </c>
      <c r="N35" s="64">
        <v>150.4</v>
      </c>
      <c r="O35" s="64">
        <v>0</v>
      </c>
      <c r="P35" s="64">
        <v>0.77</v>
      </c>
      <c r="Q35" s="64">
        <v>9.4700000000000006</v>
      </c>
      <c r="R35" s="198"/>
      <c r="S35" s="198"/>
      <c r="T35" s="198"/>
      <c r="U35" s="198"/>
    </row>
    <row r="36" spans="1:21" s="12" customFormat="1" x14ac:dyDescent="0.25">
      <c r="A36" s="214" t="s">
        <v>1907</v>
      </c>
      <c r="B36" s="64">
        <v>33.43</v>
      </c>
      <c r="C36" s="64">
        <v>27.8</v>
      </c>
      <c r="D36" s="64">
        <v>41.25</v>
      </c>
      <c r="E36" s="64">
        <v>1.43</v>
      </c>
      <c r="F36" s="64">
        <v>3.52</v>
      </c>
      <c r="G36" s="64">
        <v>148.41999999999999</v>
      </c>
      <c r="H36" s="64">
        <v>39.450000000000003</v>
      </c>
      <c r="I36" s="64">
        <v>8.48</v>
      </c>
      <c r="J36" s="64">
        <v>0.36</v>
      </c>
      <c r="K36" s="64">
        <v>216.19</v>
      </c>
      <c r="L36" s="64">
        <v>24.96</v>
      </c>
      <c r="M36" s="64">
        <v>57.59</v>
      </c>
      <c r="N36" s="64">
        <v>145.9</v>
      </c>
      <c r="O36" s="64">
        <v>0</v>
      </c>
      <c r="P36" s="64">
        <v>0.76</v>
      </c>
      <c r="Q36" s="64">
        <v>9.5399999999999991</v>
      </c>
      <c r="R36" s="198"/>
      <c r="S36" s="198"/>
      <c r="T36" s="198"/>
      <c r="U36" s="198"/>
    </row>
    <row r="37" spans="1:21" s="12" customFormat="1" x14ac:dyDescent="0.25">
      <c r="A37" s="214" t="s">
        <v>1908</v>
      </c>
      <c r="B37" s="64">
        <v>32.18</v>
      </c>
      <c r="C37" s="64">
        <v>28.68</v>
      </c>
      <c r="D37" s="64">
        <v>40.71</v>
      </c>
      <c r="E37" s="64">
        <v>1.49</v>
      </c>
      <c r="F37" s="64">
        <v>3.52</v>
      </c>
      <c r="G37" s="64">
        <v>144.97</v>
      </c>
      <c r="H37" s="64">
        <v>43.06</v>
      </c>
      <c r="I37" s="64">
        <v>8.4499999999999993</v>
      </c>
      <c r="J37" s="64">
        <v>0.46</v>
      </c>
      <c r="K37" s="64">
        <v>155.06</v>
      </c>
      <c r="L37" s="64">
        <v>25.46</v>
      </c>
      <c r="M37" s="64">
        <v>57.29</v>
      </c>
      <c r="N37" s="64">
        <v>191.8</v>
      </c>
      <c r="O37" s="64">
        <v>0</v>
      </c>
      <c r="P37" s="64">
        <v>0.72</v>
      </c>
      <c r="Q37" s="64">
        <v>9.34</v>
      </c>
      <c r="R37" s="198"/>
      <c r="S37" s="198"/>
      <c r="T37" s="198"/>
      <c r="U37" s="198"/>
    </row>
    <row r="38" spans="1:21" s="12" customFormat="1" x14ac:dyDescent="0.25">
      <c r="A38" s="214" t="s">
        <v>1909</v>
      </c>
      <c r="B38" s="64">
        <v>31.41</v>
      </c>
      <c r="C38" s="64">
        <v>28.36</v>
      </c>
      <c r="D38" s="64">
        <v>39.93</v>
      </c>
      <c r="E38" s="64">
        <v>1.1499999999999999</v>
      </c>
      <c r="F38" s="64">
        <v>3.44</v>
      </c>
      <c r="G38" s="64">
        <v>144.97</v>
      </c>
      <c r="H38" s="64">
        <v>43.06</v>
      </c>
      <c r="I38" s="64">
        <v>8.3800000000000008</v>
      </c>
      <c r="J38" s="64">
        <v>0.18</v>
      </c>
      <c r="K38" s="64">
        <v>129.04</v>
      </c>
      <c r="L38" s="64">
        <v>27.46</v>
      </c>
      <c r="M38" s="64">
        <v>52.13</v>
      </c>
      <c r="N38" s="64">
        <v>302.2</v>
      </c>
      <c r="O38" s="64">
        <v>0</v>
      </c>
      <c r="P38" s="64">
        <v>0.73</v>
      </c>
      <c r="Q38" s="64">
        <v>0</v>
      </c>
      <c r="R38" s="198"/>
      <c r="S38" s="198"/>
      <c r="T38" s="198"/>
      <c r="U38" s="198"/>
    </row>
    <row r="39" spans="1:21" s="12" customFormat="1" x14ac:dyDescent="0.25">
      <c r="A39" s="214" t="s">
        <v>1910</v>
      </c>
      <c r="B39" s="64">
        <v>31.26</v>
      </c>
      <c r="C39" s="64">
        <v>28.06</v>
      </c>
      <c r="D39" s="64">
        <v>39.64</v>
      </c>
      <c r="E39" s="64">
        <v>1.4</v>
      </c>
      <c r="F39" s="64">
        <v>3.41</v>
      </c>
      <c r="G39" s="64">
        <v>144.97</v>
      </c>
      <c r="H39" s="64">
        <v>43.06</v>
      </c>
      <c r="I39" s="64">
        <v>8.39</v>
      </c>
      <c r="J39" s="64">
        <v>0.27</v>
      </c>
      <c r="K39" s="64">
        <v>338.67</v>
      </c>
      <c r="L39" s="64">
        <v>30.7</v>
      </c>
      <c r="M39" s="64">
        <v>45.58</v>
      </c>
      <c r="N39" s="64">
        <v>368.6</v>
      </c>
      <c r="O39" s="64">
        <v>0</v>
      </c>
      <c r="P39" s="64">
        <v>0.74</v>
      </c>
      <c r="Q39" s="64">
        <v>9.43</v>
      </c>
      <c r="R39" s="198"/>
      <c r="S39" s="198"/>
      <c r="T39" s="198"/>
      <c r="U39" s="198"/>
    </row>
    <row r="40" spans="1:21" s="12" customFormat="1" x14ac:dyDescent="0.25">
      <c r="A40" s="214" t="s">
        <v>1911</v>
      </c>
      <c r="B40" s="64">
        <v>31.38</v>
      </c>
      <c r="C40" s="64">
        <v>28.5</v>
      </c>
      <c r="D40" s="64">
        <v>39.97</v>
      </c>
      <c r="E40" s="64">
        <v>1.36</v>
      </c>
      <c r="F40" s="64">
        <v>3.75</v>
      </c>
      <c r="G40" s="64">
        <v>144.44</v>
      </c>
      <c r="H40" s="64">
        <v>42.92</v>
      </c>
      <c r="I40" s="64">
        <v>8.6199999999999992</v>
      </c>
      <c r="J40" s="64">
        <v>0.27</v>
      </c>
      <c r="K40" s="64">
        <v>310.13</v>
      </c>
      <c r="L40" s="64">
        <v>33.119999999999997</v>
      </c>
      <c r="M40" s="64">
        <v>38.26</v>
      </c>
      <c r="N40" s="64">
        <v>428.8</v>
      </c>
      <c r="O40" s="64">
        <v>0</v>
      </c>
      <c r="P40" s="64">
        <v>0.76</v>
      </c>
      <c r="Q40" s="64">
        <v>9.44</v>
      </c>
      <c r="R40" s="198"/>
      <c r="S40" s="198"/>
      <c r="T40" s="198"/>
      <c r="U40" s="198"/>
    </row>
    <row r="41" spans="1:21" s="12" customFormat="1" x14ac:dyDescent="0.25">
      <c r="A41" s="214" t="s">
        <v>1912</v>
      </c>
      <c r="B41" s="64">
        <v>31.03</v>
      </c>
      <c r="C41" s="64">
        <v>29.78</v>
      </c>
      <c r="D41" s="64">
        <v>40.36</v>
      </c>
      <c r="E41" s="64">
        <v>1.23</v>
      </c>
      <c r="F41" s="64">
        <v>3.37</v>
      </c>
      <c r="G41" s="64">
        <v>135.4</v>
      </c>
      <c r="H41" s="64">
        <v>40.520000000000003</v>
      </c>
      <c r="I41" s="64">
        <v>8.83</v>
      </c>
      <c r="J41" s="64">
        <v>0.34</v>
      </c>
      <c r="K41" s="64">
        <v>343.22</v>
      </c>
      <c r="L41" s="64">
        <v>34.51</v>
      </c>
      <c r="M41" s="64">
        <v>31.53</v>
      </c>
      <c r="N41" s="64">
        <v>482.5</v>
      </c>
      <c r="O41" s="64">
        <v>0</v>
      </c>
      <c r="P41" s="64">
        <v>0.79</v>
      </c>
      <c r="Q41" s="64">
        <v>9.44</v>
      </c>
      <c r="R41" s="198"/>
      <c r="S41" s="198"/>
      <c r="T41" s="198"/>
      <c r="U41" s="198"/>
    </row>
    <row r="42" spans="1:21" s="12" customFormat="1" x14ac:dyDescent="0.25">
      <c r="A42" s="214" t="s">
        <v>1913</v>
      </c>
      <c r="B42" s="64">
        <v>30.4</v>
      </c>
      <c r="C42" s="64">
        <v>30.6</v>
      </c>
      <c r="D42" s="64">
        <v>40.29</v>
      </c>
      <c r="E42" s="64">
        <v>1.22</v>
      </c>
      <c r="F42" s="64">
        <v>3.63</v>
      </c>
      <c r="G42" s="64">
        <v>135.4</v>
      </c>
      <c r="H42" s="64">
        <v>40.520000000000003</v>
      </c>
      <c r="I42" s="64">
        <v>9.11</v>
      </c>
      <c r="J42" s="64">
        <v>0.2</v>
      </c>
      <c r="K42" s="64">
        <v>302.91000000000003</v>
      </c>
      <c r="L42" s="64">
        <v>34.08</v>
      </c>
      <c r="M42" s="64">
        <v>30.27</v>
      </c>
      <c r="N42" s="64">
        <v>548.70000000000005</v>
      </c>
      <c r="O42" s="64">
        <v>0</v>
      </c>
      <c r="P42" s="64">
        <v>0.79</v>
      </c>
      <c r="Q42" s="64">
        <v>9.2899999999999991</v>
      </c>
      <c r="R42" s="198"/>
      <c r="S42" s="198"/>
      <c r="T42" s="198"/>
      <c r="U42" s="198"/>
    </row>
    <row r="43" spans="1:21" s="12" customFormat="1" x14ac:dyDescent="0.25">
      <c r="A43" s="214" t="s">
        <v>1914</v>
      </c>
      <c r="B43" s="64">
        <v>29.43</v>
      </c>
      <c r="C43" s="64">
        <v>31.11</v>
      </c>
      <c r="D43" s="64">
        <v>39.770000000000003</v>
      </c>
      <c r="E43" s="64">
        <v>1.33</v>
      </c>
      <c r="F43" s="64">
        <v>3.92</v>
      </c>
      <c r="G43" s="64">
        <v>135.4</v>
      </c>
      <c r="H43" s="64">
        <v>40.520000000000003</v>
      </c>
      <c r="I43" s="64">
        <v>9.19</v>
      </c>
      <c r="J43" s="64">
        <v>0.16</v>
      </c>
      <c r="K43" s="64">
        <v>51.15</v>
      </c>
      <c r="L43" s="64">
        <v>33.520000000000003</v>
      </c>
      <c r="M43" s="64">
        <v>28.48</v>
      </c>
      <c r="N43" s="64">
        <v>616.4</v>
      </c>
      <c r="O43" s="64">
        <v>0</v>
      </c>
      <c r="P43" s="64">
        <v>0.79</v>
      </c>
      <c r="Q43" s="64">
        <v>9.51</v>
      </c>
      <c r="R43" s="198"/>
      <c r="S43" s="198"/>
      <c r="T43" s="198"/>
      <c r="U43" s="198"/>
    </row>
    <row r="44" spans="1:21" s="12" customFormat="1" x14ac:dyDescent="0.25">
      <c r="A44" s="214" t="s">
        <v>1915</v>
      </c>
      <c r="B44" s="64">
        <v>28.02</v>
      </c>
      <c r="C44" s="64">
        <v>32.14</v>
      </c>
      <c r="D44" s="64">
        <v>39.18</v>
      </c>
      <c r="E44" s="64">
        <v>1.2</v>
      </c>
      <c r="F44" s="64">
        <v>3.5</v>
      </c>
      <c r="G44" s="64">
        <v>133.29</v>
      </c>
      <c r="H44" s="64">
        <v>40.31</v>
      </c>
      <c r="I44" s="64">
        <v>9.16</v>
      </c>
      <c r="J44" s="64">
        <v>0.23</v>
      </c>
      <c r="K44" s="64">
        <v>41.82</v>
      </c>
      <c r="L44" s="64">
        <v>33.049999999999997</v>
      </c>
      <c r="M44" s="64">
        <v>28.36</v>
      </c>
      <c r="N44" s="64">
        <v>669.6</v>
      </c>
      <c r="O44" s="64">
        <v>0</v>
      </c>
      <c r="P44" s="64">
        <v>0.79</v>
      </c>
      <c r="Q44" s="64">
        <v>9.35</v>
      </c>
      <c r="R44" s="198"/>
      <c r="S44" s="198"/>
      <c r="T44" s="198"/>
      <c r="U44" s="198"/>
    </row>
    <row r="45" spans="1:21" s="12" customFormat="1" x14ac:dyDescent="0.25">
      <c r="A45" s="214" t="s">
        <v>1916</v>
      </c>
      <c r="B45" s="64">
        <v>25.94</v>
      </c>
      <c r="C45" s="64">
        <v>33.92</v>
      </c>
      <c r="D45" s="64">
        <v>38.44</v>
      </c>
      <c r="E45" s="64">
        <v>1.1299999999999999</v>
      </c>
      <c r="F45" s="64">
        <v>3.87</v>
      </c>
      <c r="G45" s="64">
        <v>97.49</v>
      </c>
      <c r="H45" s="64">
        <v>36.83</v>
      </c>
      <c r="I45" s="64">
        <v>9.1300000000000008</v>
      </c>
      <c r="J45" s="64">
        <v>0.52</v>
      </c>
      <c r="K45" s="64">
        <v>351.1</v>
      </c>
      <c r="L45" s="64">
        <v>33.47</v>
      </c>
      <c r="M45" s="64">
        <v>29.1</v>
      </c>
      <c r="N45" s="64">
        <v>705.2</v>
      </c>
      <c r="O45" s="64">
        <v>0</v>
      </c>
      <c r="P45" s="64">
        <v>0.79</v>
      </c>
      <c r="Q45" s="64">
        <v>9.4600000000000009</v>
      </c>
      <c r="R45" s="198"/>
      <c r="S45" s="198"/>
      <c r="T45" s="198"/>
      <c r="U45" s="198"/>
    </row>
    <row r="46" spans="1:21" s="12" customFormat="1" x14ac:dyDescent="0.25">
      <c r="A46" s="214" t="s">
        <v>1917</v>
      </c>
      <c r="B46" s="64">
        <v>23.58</v>
      </c>
      <c r="C46" s="64">
        <v>39.049999999999997</v>
      </c>
      <c r="D46" s="64">
        <v>39.229999999999997</v>
      </c>
      <c r="E46" s="64">
        <v>1.38</v>
      </c>
      <c r="F46" s="64">
        <v>4.2300000000000004</v>
      </c>
      <c r="G46" s="64">
        <v>97.49</v>
      </c>
      <c r="H46" s="64">
        <v>36.83</v>
      </c>
      <c r="I46" s="64">
        <v>9.82</v>
      </c>
      <c r="J46" s="64">
        <v>0.78</v>
      </c>
      <c r="K46" s="64">
        <v>355.9</v>
      </c>
      <c r="L46" s="64">
        <v>34.22</v>
      </c>
      <c r="M46" s="64">
        <v>26.86</v>
      </c>
      <c r="N46" s="64">
        <v>760</v>
      </c>
      <c r="O46" s="64">
        <v>0</v>
      </c>
      <c r="P46" s="64">
        <v>0.79</v>
      </c>
      <c r="Q46" s="64">
        <v>9.41</v>
      </c>
      <c r="R46" s="198"/>
      <c r="S46" s="198"/>
      <c r="T46" s="198"/>
      <c r="U46" s="198"/>
    </row>
    <row r="47" spans="1:21" s="12" customFormat="1" x14ac:dyDescent="0.25">
      <c r="A47" s="214" t="s">
        <v>1918</v>
      </c>
      <c r="B47" s="64">
        <v>21.15</v>
      </c>
      <c r="C47" s="64">
        <v>41.86</v>
      </c>
      <c r="D47" s="64">
        <v>38.75</v>
      </c>
      <c r="E47" s="64">
        <v>1.46</v>
      </c>
      <c r="F47" s="64">
        <v>4.8600000000000003</v>
      </c>
      <c r="G47" s="64">
        <v>97.49</v>
      </c>
      <c r="H47" s="64">
        <v>36.83</v>
      </c>
      <c r="I47" s="64">
        <v>10.27</v>
      </c>
      <c r="J47" s="64">
        <v>0.93</v>
      </c>
      <c r="K47" s="64">
        <v>352.89</v>
      </c>
      <c r="L47" s="64">
        <v>34.4</v>
      </c>
      <c r="M47" s="64">
        <v>25.84</v>
      </c>
      <c r="N47" s="64">
        <v>805.4</v>
      </c>
      <c r="O47" s="64">
        <v>0</v>
      </c>
      <c r="P47" s="64">
        <v>0.79</v>
      </c>
      <c r="Q47" s="64">
        <v>9.4</v>
      </c>
      <c r="R47" s="198"/>
      <c r="S47" s="198"/>
      <c r="T47" s="198"/>
      <c r="U47" s="198"/>
    </row>
    <row r="48" spans="1:21" s="12" customFormat="1" x14ac:dyDescent="0.25">
      <c r="A48" s="214" t="s">
        <v>1919</v>
      </c>
      <c r="B48" s="64">
        <v>18.899999999999999</v>
      </c>
      <c r="C48" s="64">
        <v>44.32</v>
      </c>
      <c r="D48" s="64">
        <v>38.229999999999997</v>
      </c>
      <c r="E48" s="64">
        <v>1.41</v>
      </c>
      <c r="F48" s="64">
        <v>5.17</v>
      </c>
      <c r="G48" s="64">
        <v>95.34</v>
      </c>
      <c r="H48" s="64">
        <v>36.57</v>
      </c>
      <c r="I48" s="64">
        <v>10.14</v>
      </c>
      <c r="J48" s="64">
        <v>0.92</v>
      </c>
      <c r="K48" s="64">
        <v>356.41</v>
      </c>
      <c r="L48" s="64">
        <v>34.78</v>
      </c>
      <c r="M48" s="64">
        <v>24.15</v>
      </c>
      <c r="N48" s="64">
        <v>839.5</v>
      </c>
      <c r="O48" s="64">
        <v>0</v>
      </c>
      <c r="P48" s="64">
        <v>0.78</v>
      </c>
      <c r="Q48" s="64">
        <v>9.42</v>
      </c>
      <c r="R48" s="198"/>
      <c r="S48" s="198"/>
      <c r="T48" s="198"/>
      <c r="U48" s="198"/>
    </row>
    <row r="49" spans="1:21" s="12" customFormat="1" x14ac:dyDescent="0.25">
      <c r="A49" s="214" t="s">
        <v>1920</v>
      </c>
      <c r="B49" s="64">
        <v>16.89</v>
      </c>
      <c r="C49" s="64">
        <v>44.13</v>
      </c>
      <c r="D49" s="64">
        <v>36.520000000000003</v>
      </c>
      <c r="E49" s="64">
        <v>1.49</v>
      </c>
      <c r="F49" s="64">
        <v>4.8600000000000003</v>
      </c>
      <c r="G49" s="64">
        <v>58.89</v>
      </c>
      <c r="H49" s="64">
        <v>32.159999999999997</v>
      </c>
      <c r="I49" s="64">
        <v>9.9600000000000009</v>
      </c>
      <c r="J49" s="64">
        <v>0.75</v>
      </c>
      <c r="K49" s="64">
        <v>18.71</v>
      </c>
      <c r="L49" s="64">
        <v>35.380000000000003</v>
      </c>
      <c r="M49" s="64">
        <v>22.39</v>
      </c>
      <c r="N49" s="64">
        <v>875.8</v>
      </c>
      <c r="O49" s="64">
        <v>0</v>
      </c>
      <c r="P49" s="64">
        <v>0.76</v>
      </c>
      <c r="Q49" s="64">
        <v>9.4</v>
      </c>
      <c r="R49" s="198"/>
      <c r="S49" s="198"/>
      <c r="T49" s="198"/>
      <c r="U49" s="198"/>
    </row>
    <row r="50" spans="1:21" s="12" customFormat="1" x14ac:dyDescent="0.25">
      <c r="A50" s="214" t="s">
        <v>1921</v>
      </c>
      <c r="B50" s="64">
        <v>15.17</v>
      </c>
      <c r="C50" s="64">
        <v>43.61</v>
      </c>
      <c r="D50" s="64">
        <v>34.869999999999997</v>
      </c>
      <c r="E50" s="64">
        <v>1.22</v>
      </c>
      <c r="F50" s="64">
        <v>3.22</v>
      </c>
      <c r="G50" s="64">
        <v>58.89</v>
      </c>
      <c r="H50" s="64">
        <v>32.159999999999997</v>
      </c>
      <c r="I50" s="64">
        <v>9.6300000000000008</v>
      </c>
      <c r="J50" s="64">
        <v>0.84</v>
      </c>
      <c r="K50" s="64">
        <v>3.63</v>
      </c>
      <c r="L50" s="64">
        <v>36.14</v>
      </c>
      <c r="M50" s="64">
        <v>20.59</v>
      </c>
      <c r="N50" s="64">
        <v>902.1</v>
      </c>
      <c r="O50" s="64">
        <v>0</v>
      </c>
      <c r="P50" s="64">
        <v>0.74</v>
      </c>
      <c r="Q50" s="64">
        <v>9.3699999999999992</v>
      </c>
      <c r="R50" s="198"/>
      <c r="S50" s="198"/>
      <c r="T50" s="198"/>
      <c r="U50" s="198"/>
    </row>
    <row r="51" spans="1:21" s="12" customFormat="1" x14ac:dyDescent="0.25">
      <c r="A51" s="214" t="s">
        <v>1922</v>
      </c>
      <c r="B51" s="64">
        <v>13.28</v>
      </c>
      <c r="C51" s="64">
        <v>40.590000000000003</v>
      </c>
      <c r="D51" s="64">
        <v>31.77</v>
      </c>
      <c r="E51" s="64">
        <v>1.1399999999999999</v>
      </c>
      <c r="F51" s="64">
        <v>3.92</v>
      </c>
      <c r="G51" s="64">
        <v>58.89</v>
      </c>
      <c r="H51" s="64">
        <v>32.159999999999997</v>
      </c>
      <c r="I51" s="64">
        <v>9.3699999999999992</v>
      </c>
      <c r="J51" s="64">
        <v>0.91</v>
      </c>
      <c r="K51" s="64">
        <v>0.94</v>
      </c>
      <c r="L51" s="64">
        <v>37.53</v>
      </c>
      <c r="M51" s="64">
        <v>18.95</v>
      </c>
      <c r="N51" s="64">
        <v>898</v>
      </c>
      <c r="O51" s="64">
        <v>0</v>
      </c>
      <c r="P51" s="64">
        <v>0.73</v>
      </c>
      <c r="Q51" s="64">
        <v>9.2799999999999994</v>
      </c>
      <c r="R51" s="198"/>
      <c r="S51" s="198"/>
      <c r="T51" s="198"/>
      <c r="U51" s="198"/>
    </row>
    <row r="52" spans="1:21" s="12" customFormat="1" x14ac:dyDescent="0.25">
      <c r="A52" s="214" t="s">
        <v>1923</v>
      </c>
      <c r="B52" s="64">
        <v>11.44</v>
      </c>
      <c r="C52" s="64">
        <v>41.63</v>
      </c>
      <c r="D52" s="64">
        <v>30.84</v>
      </c>
      <c r="E52" s="64">
        <v>0.9</v>
      </c>
      <c r="F52" s="64">
        <v>3.88</v>
      </c>
      <c r="G52" s="64">
        <v>58.09</v>
      </c>
      <c r="H52" s="64">
        <v>31.86</v>
      </c>
      <c r="I52" s="64">
        <v>9.35</v>
      </c>
      <c r="J52" s="64">
        <v>1.06</v>
      </c>
      <c r="K52" s="64">
        <v>83.87</v>
      </c>
      <c r="L52" s="64">
        <v>35.4</v>
      </c>
      <c r="M52" s="64">
        <v>22.06</v>
      </c>
      <c r="N52" s="64">
        <v>954.7</v>
      </c>
      <c r="O52" s="64">
        <v>0</v>
      </c>
      <c r="P52" s="64">
        <v>0.72</v>
      </c>
      <c r="Q52" s="64">
        <v>9.34</v>
      </c>
      <c r="R52" s="198"/>
      <c r="S52" s="198"/>
      <c r="T52" s="198"/>
      <c r="U52" s="198"/>
    </row>
    <row r="53" spans="1:21" s="12" customFormat="1" x14ac:dyDescent="0.25">
      <c r="A53" s="214" t="s">
        <v>1924</v>
      </c>
      <c r="B53" s="64">
        <v>9.57</v>
      </c>
      <c r="C53" s="64">
        <v>43.64</v>
      </c>
      <c r="D53" s="64">
        <v>30.4</v>
      </c>
      <c r="E53" s="64">
        <v>0.81</v>
      </c>
      <c r="F53" s="64">
        <v>3.71</v>
      </c>
      <c r="G53" s="64">
        <v>46.97</v>
      </c>
      <c r="H53" s="64">
        <v>26.82</v>
      </c>
      <c r="I53" s="64">
        <v>9.17</v>
      </c>
      <c r="J53" s="64">
        <v>0.77</v>
      </c>
      <c r="K53" s="64">
        <v>67.819999999999993</v>
      </c>
      <c r="L53" s="64">
        <v>34.950000000000003</v>
      </c>
      <c r="M53" s="64">
        <v>22.82</v>
      </c>
      <c r="N53" s="64">
        <v>961.9</v>
      </c>
      <c r="O53" s="64">
        <v>0</v>
      </c>
      <c r="P53" s="64">
        <v>0.69</v>
      </c>
      <c r="Q53" s="64">
        <v>9.31</v>
      </c>
      <c r="R53" s="198"/>
      <c r="S53" s="198"/>
      <c r="T53" s="198"/>
      <c r="U53" s="198"/>
    </row>
    <row r="54" spans="1:21" s="12" customFormat="1" x14ac:dyDescent="0.25">
      <c r="A54" s="214" t="s">
        <v>1925</v>
      </c>
      <c r="B54" s="64">
        <v>7.83</v>
      </c>
      <c r="C54" s="64">
        <v>41.4</v>
      </c>
      <c r="D54" s="64">
        <v>27.83</v>
      </c>
      <c r="E54" s="64">
        <v>1.05</v>
      </c>
      <c r="F54" s="64">
        <v>4.03</v>
      </c>
      <c r="G54" s="64">
        <v>46.97</v>
      </c>
      <c r="H54" s="64">
        <v>26.82</v>
      </c>
      <c r="I54" s="64">
        <v>9.1</v>
      </c>
      <c r="J54" s="64">
        <v>1.19</v>
      </c>
      <c r="K54" s="64">
        <v>2.85</v>
      </c>
      <c r="L54" s="64">
        <v>37.229999999999997</v>
      </c>
      <c r="M54" s="64">
        <v>19.07</v>
      </c>
      <c r="N54" s="64">
        <v>974</v>
      </c>
      <c r="O54" s="64">
        <v>0</v>
      </c>
      <c r="P54" s="64">
        <v>0.67</v>
      </c>
      <c r="Q54" s="64">
        <v>9.3000000000000007</v>
      </c>
      <c r="R54" s="198"/>
      <c r="S54" s="198"/>
      <c r="T54" s="198"/>
      <c r="U54" s="198"/>
    </row>
    <row r="55" spans="1:21" s="12" customFormat="1" x14ac:dyDescent="0.25">
      <c r="A55" s="214" t="s">
        <v>1926</v>
      </c>
      <c r="B55" s="64">
        <v>6.41</v>
      </c>
      <c r="C55" s="64">
        <v>39.67</v>
      </c>
      <c r="D55" s="64">
        <v>25.78</v>
      </c>
      <c r="E55" s="64">
        <v>1.08</v>
      </c>
      <c r="F55" s="64">
        <v>3.77</v>
      </c>
      <c r="G55" s="64">
        <v>46.97</v>
      </c>
      <c r="H55" s="64">
        <v>26.82</v>
      </c>
      <c r="I55" s="64">
        <v>9.2200000000000006</v>
      </c>
      <c r="J55" s="64">
        <v>1</v>
      </c>
      <c r="K55" s="64">
        <v>7.78</v>
      </c>
      <c r="L55" s="64">
        <v>37.36</v>
      </c>
      <c r="M55" s="64">
        <v>19.05</v>
      </c>
      <c r="N55" s="64">
        <v>995.8</v>
      </c>
      <c r="O55" s="64">
        <v>0</v>
      </c>
      <c r="P55" s="64">
        <v>0.66</v>
      </c>
      <c r="Q55" s="64">
        <v>9.31</v>
      </c>
      <c r="R55" s="198"/>
      <c r="S55" s="198"/>
      <c r="T55" s="198"/>
      <c r="U55" s="198"/>
    </row>
    <row r="56" spans="1:21" s="12" customFormat="1" x14ac:dyDescent="0.25">
      <c r="A56" s="214" t="s">
        <v>1927</v>
      </c>
      <c r="B56" s="64">
        <v>5.44</v>
      </c>
      <c r="C56" s="64">
        <v>37.729999999999997</v>
      </c>
      <c r="D56" s="64">
        <v>23.99</v>
      </c>
      <c r="E56" s="64">
        <v>2.09</v>
      </c>
      <c r="F56" s="64">
        <v>4.3600000000000003</v>
      </c>
      <c r="G56" s="64">
        <v>47.62</v>
      </c>
      <c r="H56" s="64">
        <v>26.59</v>
      </c>
      <c r="I56" s="64">
        <v>9.01</v>
      </c>
      <c r="J56" s="64">
        <v>0.72</v>
      </c>
      <c r="K56" s="64">
        <v>22.13</v>
      </c>
      <c r="L56" s="64">
        <v>37.380000000000003</v>
      </c>
      <c r="M56" s="64">
        <v>18.940000000000001</v>
      </c>
      <c r="N56" s="64">
        <v>998.1</v>
      </c>
      <c r="O56" s="64">
        <v>0</v>
      </c>
      <c r="P56" s="64">
        <v>0.65</v>
      </c>
      <c r="Q56" s="64">
        <v>9.16</v>
      </c>
      <c r="R56" s="198"/>
      <c r="S56" s="198"/>
      <c r="T56" s="198"/>
      <c r="U56" s="198"/>
    </row>
    <row r="57" spans="1:21" s="12" customFormat="1" x14ac:dyDescent="0.25">
      <c r="A57" s="214" t="s">
        <v>1928</v>
      </c>
      <c r="B57" s="64">
        <v>4.97</v>
      </c>
      <c r="C57" s="64">
        <v>35.42</v>
      </c>
      <c r="D57" s="64">
        <v>22.41</v>
      </c>
      <c r="E57" s="64">
        <v>1.84</v>
      </c>
      <c r="F57" s="64">
        <v>4.0199999999999996</v>
      </c>
      <c r="G57" s="64">
        <v>56.77</v>
      </c>
      <c r="H57" s="64">
        <v>22.71</v>
      </c>
      <c r="I57" s="64">
        <v>9.01</v>
      </c>
      <c r="J57" s="64">
        <v>0.79</v>
      </c>
      <c r="K57" s="64">
        <v>38.9</v>
      </c>
      <c r="L57" s="64">
        <v>36.28</v>
      </c>
      <c r="M57" s="64">
        <v>20.72</v>
      </c>
      <c r="N57" s="64">
        <v>1004.2</v>
      </c>
      <c r="O57" s="64">
        <v>0</v>
      </c>
      <c r="P57" s="64">
        <v>0.63</v>
      </c>
      <c r="Q57" s="64">
        <v>9.25</v>
      </c>
      <c r="R57" s="198"/>
      <c r="S57" s="198"/>
      <c r="T57" s="198"/>
      <c r="U57" s="198"/>
    </row>
    <row r="58" spans="1:21" s="12" customFormat="1" x14ac:dyDescent="0.25">
      <c r="A58" s="214" t="s">
        <v>1929</v>
      </c>
      <c r="B58" s="64">
        <v>4.5</v>
      </c>
      <c r="C58" s="64">
        <v>33.14</v>
      </c>
      <c r="D58" s="64">
        <v>20.84</v>
      </c>
      <c r="E58" s="64">
        <v>2.02</v>
      </c>
      <c r="F58" s="64">
        <v>4.26</v>
      </c>
      <c r="G58" s="64">
        <v>56.77</v>
      </c>
      <c r="H58" s="64">
        <v>22.71</v>
      </c>
      <c r="I58" s="64">
        <v>9.09</v>
      </c>
      <c r="J58" s="64">
        <v>1.07</v>
      </c>
      <c r="K58" s="64">
        <v>10.220000000000001</v>
      </c>
      <c r="L58" s="64">
        <v>36.729999999999997</v>
      </c>
      <c r="M58" s="64">
        <v>20.440000000000001</v>
      </c>
      <c r="N58" s="64">
        <v>991.1</v>
      </c>
      <c r="O58" s="64">
        <v>0</v>
      </c>
      <c r="P58" s="64">
        <v>0.62</v>
      </c>
      <c r="Q58" s="64">
        <v>9.15</v>
      </c>
      <c r="R58" s="198"/>
      <c r="S58" s="198"/>
      <c r="T58" s="198"/>
      <c r="U58" s="198"/>
    </row>
    <row r="59" spans="1:21" s="12" customFormat="1" x14ac:dyDescent="0.25">
      <c r="A59" s="214" t="s">
        <v>1930</v>
      </c>
      <c r="B59" s="64">
        <v>3.83</v>
      </c>
      <c r="C59" s="64">
        <v>33.74</v>
      </c>
      <c r="D59" s="64">
        <v>20.61</v>
      </c>
      <c r="E59" s="64">
        <v>1.73</v>
      </c>
      <c r="F59" s="64">
        <v>4.09</v>
      </c>
      <c r="G59" s="64">
        <v>56.77</v>
      </c>
      <c r="H59" s="64">
        <v>22.71</v>
      </c>
      <c r="I59" s="64">
        <v>9.36</v>
      </c>
      <c r="J59" s="64">
        <v>0.5</v>
      </c>
      <c r="K59" s="64">
        <v>353.82</v>
      </c>
      <c r="L59" s="64">
        <v>36.67</v>
      </c>
      <c r="M59" s="64">
        <v>20.93</v>
      </c>
      <c r="N59" s="64">
        <v>961.9</v>
      </c>
      <c r="O59" s="64">
        <v>0</v>
      </c>
      <c r="P59" s="64">
        <v>0.6</v>
      </c>
      <c r="Q59" s="64">
        <v>9.1199999999999992</v>
      </c>
      <c r="R59" s="198"/>
      <c r="S59" s="198"/>
      <c r="T59" s="198"/>
      <c r="U59" s="198"/>
    </row>
    <row r="60" spans="1:21" s="12" customFormat="1" x14ac:dyDescent="0.25">
      <c r="A60" s="214" t="s">
        <v>1931</v>
      </c>
      <c r="B60" s="64">
        <v>3.02</v>
      </c>
      <c r="C60" s="64">
        <v>33.85</v>
      </c>
      <c r="D60" s="64">
        <v>20.03</v>
      </c>
      <c r="E60" s="64">
        <v>1.67</v>
      </c>
      <c r="F60" s="64">
        <v>4.0599999999999996</v>
      </c>
      <c r="G60" s="64">
        <v>55.94</v>
      </c>
      <c r="H60" s="64">
        <v>22.53</v>
      </c>
      <c r="I60" s="64">
        <v>9.4700000000000006</v>
      </c>
      <c r="J60" s="64">
        <v>0.69</v>
      </c>
      <c r="K60" s="64">
        <v>59.34</v>
      </c>
      <c r="L60" s="64">
        <v>36.33</v>
      </c>
      <c r="M60" s="64">
        <v>19.54</v>
      </c>
      <c r="N60" s="64">
        <v>939.2</v>
      </c>
      <c r="O60" s="64">
        <v>0</v>
      </c>
      <c r="P60" s="64">
        <v>0.57999999999999996</v>
      </c>
      <c r="Q60" s="64">
        <v>9.23</v>
      </c>
      <c r="R60" s="198"/>
      <c r="S60" s="198"/>
      <c r="T60" s="198"/>
      <c r="U60" s="198"/>
    </row>
    <row r="61" spans="1:21" s="12" customFormat="1" x14ac:dyDescent="0.25">
      <c r="A61" s="214" t="s">
        <v>1932</v>
      </c>
      <c r="B61" s="64">
        <v>2.37</v>
      </c>
      <c r="C61" s="64">
        <v>33.65</v>
      </c>
      <c r="D61" s="64">
        <v>19.399999999999999</v>
      </c>
      <c r="E61" s="64">
        <v>2.11</v>
      </c>
      <c r="F61" s="64">
        <v>4.2</v>
      </c>
      <c r="G61" s="64">
        <v>41.96</v>
      </c>
      <c r="H61" s="64">
        <v>19.59</v>
      </c>
      <c r="I61" s="64">
        <v>9.3800000000000008</v>
      </c>
      <c r="J61" s="64">
        <v>1.1200000000000001</v>
      </c>
      <c r="K61" s="64">
        <v>355.24</v>
      </c>
      <c r="L61" s="64">
        <v>38.61</v>
      </c>
      <c r="M61" s="64">
        <v>16.329999999999998</v>
      </c>
      <c r="N61" s="64">
        <v>905.8</v>
      </c>
      <c r="O61" s="64">
        <v>0</v>
      </c>
      <c r="P61" s="64">
        <v>0.55000000000000004</v>
      </c>
      <c r="Q61" s="64">
        <v>9.16</v>
      </c>
      <c r="R61" s="198"/>
      <c r="S61" s="198"/>
      <c r="T61" s="198"/>
      <c r="U61" s="198"/>
    </row>
    <row r="62" spans="1:21" s="12" customFormat="1" x14ac:dyDescent="0.25">
      <c r="A62" s="214" t="s">
        <v>1933</v>
      </c>
      <c r="B62" s="64">
        <v>1.7</v>
      </c>
      <c r="C62" s="64">
        <v>34.29</v>
      </c>
      <c r="D62" s="64">
        <v>19.2</v>
      </c>
      <c r="E62" s="64">
        <v>1.81</v>
      </c>
      <c r="F62" s="64">
        <v>4.16</v>
      </c>
      <c r="G62" s="64">
        <v>41.96</v>
      </c>
      <c r="H62" s="64">
        <v>19.59</v>
      </c>
      <c r="I62" s="64">
        <v>9.39</v>
      </c>
      <c r="J62" s="64">
        <v>0.43</v>
      </c>
      <c r="K62" s="64">
        <v>125.29</v>
      </c>
      <c r="L62" s="64">
        <v>37.619999999999997</v>
      </c>
      <c r="M62" s="64">
        <v>16</v>
      </c>
      <c r="N62" s="64">
        <v>879.7</v>
      </c>
      <c r="O62" s="64">
        <v>0</v>
      </c>
      <c r="P62" s="64">
        <v>0.56000000000000005</v>
      </c>
      <c r="Q62" s="64">
        <v>9.18</v>
      </c>
      <c r="R62" s="198"/>
      <c r="S62" s="198"/>
      <c r="T62" s="198"/>
      <c r="U62" s="198"/>
    </row>
    <row r="63" spans="1:21" s="12" customFormat="1" x14ac:dyDescent="0.25">
      <c r="A63" s="214" t="s">
        <v>1934</v>
      </c>
      <c r="B63" s="64">
        <v>1.03</v>
      </c>
      <c r="C63" s="64">
        <v>34.700000000000003</v>
      </c>
      <c r="D63" s="64">
        <v>18.88</v>
      </c>
      <c r="E63" s="64">
        <v>2.19</v>
      </c>
      <c r="F63" s="64">
        <v>4.5599999999999996</v>
      </c>
      <c r="G63" s="64">
        <v>41.96</v>
      </c>
      <c r="H63" s="64">
        <v>19.59</v>
      </c>
      <c r="I63" s="64">
        <v>9.57</v>
      </c>
      <c r="J63" s="64">
        <v>0.7</v>
      </c>
      <c r="K63" s="64">
        <v>132.09</v>
      </c>
      <c r="L63" s="64">
        <v>37.03</v>
      </c>
      <c r="M63" s="64">
        <v>16.18</v>
      </c>
      <c r="N63" s="64">
        <v>843.1</v>
      </c>
      <c r="O63" s="64">
        <v>0</v>
      </c>
      <c r="P63" s="64">
        <v>0.54</v>
      </c>
      <c r="Q63" s="64">
        <v>9.14</v>
      </c>
      <c r="R63" s="198"/>
      <c r="S63" s="198"/>
      <c r="T63" s="198"/>
      <c r="U63" s="198"/>
    </row>
    <row r="64" spans="1:21" s="12" customFormat="1" x14ac:dyDescent="0.25">
      <c r="A64" s="214" t="s">
        <v>1935</v>
      </c>
      <c r="B64" s="64">
        <v>0.22</v>
      </c>
      <c r="C64" s="64">
        <v>31.69</v>
      </c>
      <c r="D64" s="64">
        <v>16.649999999999999</v>
      </c>
      <c r="E64" s="64">
        <v>1.95</v>
      </c>
      <c r="F64" s="64">
        <v>5.08</v>
      </c>
      <c r="G64" s="64">
        <v>41.44</v>
      </c>
      <c r="H64" s="64">
        <v>19.46</v>
      </c>
      <c r="I64" s="64">
        <v>9.5500000000000007</v>
      </c>
      <c r="J64" s="64">
        <v>0.88</v>
      </c>
      <c r="K64" s="64">
        <v>98.87</v>
      </c>
      <c r="L64" s="64">
        <v>35.979999999999997</v>
      </c>
      <c r="M64" s="64">
        <v>17.809999999999999</v>
      </c>
      <c r="N64" s="64">
        <v>791</v>
      </c>
      <c r="O64" s="64">
        <v>0</v>
      </c>
      <c r="P64" s="64">
        <v>0.52</v>
      </c>
      <c r="Q64" s="64">
        <v>9.18</v>
      </c>
      <c r="R64" s="198"/>
      <c r="S64" s="198"/>
      <c r="T64" s="198"/>
      <c r="U64" s="198"/>
    </row>
    <row r="65" spans="1:21" s="12" customFormat="1" x14ac:dyDescent="0.25">
      <c r="A65" s="214" t="s">
        <v>1936</v>
      </c>
      <c r="B65" s="64">
        <v>0.1</v>
      </c>
      <c r="C65" s="64">
        <v>31.1</v>
      </c>
      <c r="D65" s="64">
        <v>16.25</v>
      </c>
      <c r="E65" s="64">
        <v>1.99</v>
      </c>
      <c r="F65" s="64">
        <v>5</v>
      </c>
      <c r="G65" s="64">
        <v>34.11</v>
      </c>
      <c r="H65" s="64">
        <v>17.41</v>
      </c>
      <c r="I65" s="64">
        <v>9.4</v>
      </c>
      <c r="J65" s="64">
        <v>0.88</v>
      </c>
      <c r="K65" s="64">
        <v>105.9</v>
      </c>
      <c r="L65" s="64">
        <v>35.950000000000003</v>
      </c>
      <c r="M65" s="64">
        <v>17.36</v>
      </c>
      <c r="N65" s="64">
        <v>580.1</v>
      </c>
      <c r="O65" s="64">
        <v>0</v>
      </c>
      <c r="P65" s="64">
        <v>0.49</v>
      </c>
      <c r="Q65" s="64">
        <v>9.15</v>
      </c>
      <c r="R65" s="198"/>
      <c r="S65" s="198"/>
      <c r="T65" s="198"/>
      <c r="U65" s="198"/>
    </row>
    <row r="66" spans="1:21" s="12" customFormat="1" x14ac:dyDescent="0.25">
      <c r="A66" s="214" t="s">
        <v>1937</v>
      </c>
      <c r="B66" s="64">
        <v>0.1</v>
      </c>
      <c r="C66" s="64">
        <v>28.19</v>
      </c>
      <c r="D66" s="64">
        <v>14.73</v>
      </c>
      <c r="E66" s="64">
        <v>1.94</v>
      </c>
      <c r="F66" s="64">
        <v>5.32</v>
      </c>
      <c r="G66" s="64">
        <v>34.11</v>
      </c>
      <c r="H66" s="64">
        <v>17.41</v>
      </c>
      <c r="I66" s="64">
        <v>9.4600000000000009</v>
      </c>
      <c r="J66" s="64">
        <v>0.13</v>
      </c>
      <c r="K66" s="64">
        <v>117.61</v>
      </c>
      <c r="L66" s="64">
        <v>36.61</v>
      </c>
      <c r="M66" s="64">
        <v>17.29</v>
      </c>
      <c r="N66" s="64">
        <v>544</v>
      </c>
      <c r="O66" s="64">
        <v>0</v>
      </c>
      <c r="P66" s="64">
        <v>0.48</v>
      </c>
      <c r="Q66" s="64">
        <v>9.11</v>
      </c>
      <c r="R66" s="198"/>
      <c r="S66" s="198"/>
      <c r="T66" s="198"/>
      <c r="U66" s="198"/>
    </row>
    <row r="67" spans="1:21" s="12" customFormat="1" x14ac:dyDescent="0.25">
      <c r="A67" s="214" t="s">
        <v>1938</v>
      </c>
      <c r="B67" s="64">
        <v>0.1</v>
      </c>
      <c r="C67" s="64">
        <v>27.57</v>
      </c>
      <c r="D67" s="64">
        <v>14.4</v>
      </c>
      <c r="E67" s="64">
        <v>2.02</v>
      </c>
      <c r="F67" s="64">
        <v>5.23</v>
      </c>
      <c r="G67" s="64">
        <v>34.11</v>
      </c>
      <c r="H67" s="64">
        <v>17.41</v>
      </c>
      <c r="I67" s="64">
        <v>9.56</v>
      </c>
      <c r="J67" s="64">
        <v>0.55000000000000004</v>
      </c>
      <c r="K67" s="64">
        <v>99.82</v>
      </c>
      <c r="L67" s="64">
        <v>36.479999999999997</v>
      </c>
      <c r="M67" s="64">
        <v>17.22</v>
      </c>
      <c r="N67" s="64">
        <v>369.4</v>
      </c>
      <c r="O67" s="64">
        <v>0</v>
      </c>
      <c r="P67" s="64">
        <v>0.46</v>
      </c>
      <c r="Q67" s="64">
        <v>9.16</v>
      </c>
      <c r="R67" s="198"/>
      <c r="S67" s="198"/>
      <c r="T67" s="198"/>
      <c r="U67" s="198"/>
    </row>
    <row r="68" spans="1:21" s="12" customFormat="1" x14ac:dyDescent="0.25">
      <c r="A68" s="214" t="s">
        <v>1939</v>
      </c>
      <c r="B68" s="64">
        <v>0.1</v>
      </c>
      <c r="C68" s="64">
        <v>29.79</v>
      </c>
      <c r="D68" s="64">
        <v>15.57</v>
      </c>
      <c r="E68" s="64">
        <v>1.99</v>
      </c>
      <c r="F68" s="64">
        <v>5.13</v>
      </c>
      <c r="G68" s="64">
        <v>34.56</v>
      </c>
      <c r="H68" s="64">
        <v>17.440000000000001</v>
      </c>
      <c r="I68" s="64">
        <v>9.42</v>
      </c>
      <c r="J68" s="64">
        <v>0.53</v>
      </c>
      <c r="K68" s="64">
        <v>35.47</v>
      </c>
      <c r="L68" s="64">
        <v>36.22</v>
      </c>
      <c r="M68" s="64">
        <v>17.649999999999999</v>
      </c>
      <c r="N68" s="64">
        <v>306.8</v>
      </c>
      <c r="O68" s="64">
        <v>0</v>
      </c>
      <c r="P68" s="64">
        <v>0.45</v>
      </c>
      <c r="Q68" s="64">
        <v>9.18</v>
      </c>
      <c r="R68" s="198"/>
      <c r="S68" s="198"/>
      <c r="T68" s="198"/>
      <c r="U68" s="198"/>
    </row>
    <row r="69" spans="1:21" s="12" customFormat="1" x14ac:dyDescent="0.25">
      <c r="A69" s="214" t="s">
        <v>1940</v>
      </c>
      <c r="B69" s="64">
        <v>0.1</v>
      </c>
      <c r="C69" s="64">
        <v>31.54</v>
      </c>
      <c r="D69" s="64">
        <v>16.48</v>
      </c>
      <c r="E69" s="64">
        <v>1.94</v>
      </c>
      <c r="F69" s="64">
        <v>5.39</v>
      </c>
      <c r="G69" s="64">
        <v>40.96</v>
      </c>
      <c r="H69" s="64">
        <v>18.010000000000002</v>
      </c>
      <c r="I69" s="64">
        <v>9.2100000000000009</v>
      </c>
      <c r="J69" s="64">
        <v>1.1599999999999999</v>
      </c>
      <c r="K69" s="64">
        <v>350.02</v>
      </c>
      <c r="L69" s="64">
        <v>37.200000000000003</v>
      </c>
      <c r="M69" s="64">
        <v>16.739999999999998</v>
      </c>
      <c r="N69" s="64">
        <v>372</v>
      </c>
      <c r="O69" s="64">
        <v>0</v>
      </c>
      <c r="P69" s="64">
        <v>0.44</v>
      </c>
      <c r="Q69" s="64">
        <v>9.2200000000000006</v>
      </c>
      <c r="R69" s="198"/>
      <c r="S69" s="198"/>
      <c r="T69" s="198"/>
      <c r="U69" s="198"/>
    </row>
    <row r="70" spans="1:21" s="12" customFormat="1" x14ac:dyDescent="0.25">
      <c r="A70" s="214" t="s">
        <v>1941</v>
      </c>
      <c r="B70" s="64">
        <v>0.1</v>
      </c>
      <c r="C70" s="64">
        <v>33.020000000000003</v>
      </c>
      <c r="D70" s="64">
        <v>17.25</v>
      </c>
      <c r="E70" s="64">
        <v>1.83</v>
      </c>
      <c r="F70" s="64">
        <v>5.04</v>
      </c>
      <c r="G70" s="64">
        <v>40.96</v>
      </c>
      <c r="H70" s="64">
        <v>18.010000000000002</v>
      </c>
      <c r="I70" s="64">
        <v>9.11</v>
      </c>
      <c r="J70" s="64">
        <v>1.05</v>
      </c>
      <c r="K70" s="64">
        <v>346.63</v>
      </c>
      <c r="L70" s="64">
        <v>37.799999999999997</v>
      </c>
      <c r="M70" s="64">
        <v>15.77</v>
      </c>
      <c r="N70" s="64">
        <v>202.1</v>
      </c>
      <c r="O70" s="64">
        <v>0</v>
      </c>
      <c r="P70" s="64">
        <v>0.44</v>
      </c>
      <c r="Q70" s="64">
        <v>9.17</v>
      </c>
      <c r="R70" s="198"/>
      <c r="S70" s="198"/>
      <c r="T70" s="198"/>
      <c r="U70" s="198"/>
    </row>
    <row r="71" spans="1:21" s="12" customFormat="1" x14ac:dyDescent="0.25">
      <c r="A71" s="214" t="s">
        <v>1942</v>
      </c>
      <c r="B71" s="64">
        <v>0.1</v>
      </c>
      <c r="C71" s="64">
        <v>30.9</v>
      </c>
      <c r="D71" s="64">
        <v>16.14</v>
      </c>
      <c r="E71" s="64">
        <v>2.17</v>
      </c>
      <c r="F71" s="64">
        <v>5.0199999999999996</v>
      </c>
      <c r="G71" s="64">
        <v>40.96</v>
      </c>
      <c r="H71" s="64">
        <v>18.010000000000002</v>
      </c>
      <c r="I71" s="64">
        <v>8.81</v>
      </c>
      <c r="J71" s="64">
        <v>0.51</v>
      </c>
      <c r="K71" s="64">
        <v>329.36</v>
      </c>
      <c r="L71" s="64">
        <v>37.21</v>
      </c>
      <c r="M71" s="64">
        <v>16.09</v>
      </c>
      <c r="N71" s="64">
        <v>214.5</v>
      </c>
      <c r="O71" s="64">
        <v>0</v>
      </c>
      <c r="P71" s="64">
        <v>0.43</v>
      </c>
      <c r="Q71" s="64">
        <v>9.18</v>
      </c>
      <c r="R71" s="198"/>
      <c r="S71" s="198"/>
      <c r="T71" s="198"/>
      <c r="U71" s="198"/>
    </row>
    <row r="72" spans="1:21" s="12" customFormat="1" x14ac:dyDescent="0.25">
      <c r="A72" s="214" t="s">
        <v>1943</v>
      </c>
      <c r="B72" s="64">
        <v>0.1</v>
      </c>
      <c r="C72" s="64">
        <v>28.69</v>
      </c>
      <c r="D72" s="64">
        <v>14.99</v>
      </c>
      <c r="E72" s="64">
        <v>1.1100000000000001</v>
      </c>
      <c r="F72" s="64">
        <v>5.4</v>
      </c>
      <c r="G72" s="64">
        <v>40.93</v>
      </c>
      <c r="H72" s="64">
        <v>17.989999999999998</v>
      </c>
      <c r="I72" s="64">
        <v>8.59</v>
      </c>
      <c r="J72" s="64">
        <v>0.41</v>
      </c>
      <c r="K72" s="64">
        <v>16.8</v>
      </c>
      <c r="L72" s="64">
        <v>36.229999999999997</v>
      </c>
      <c r="M72" s="64">
        <v>16.43</v>
      </c>
      <c r="N72" s="64">
        <v>234.9</v>
      </c>
      <c r="O72" s="64">
        <v>0</v>
      </c>
      <c r="P72" s="64">
        <v>0.43</v>
      </c>
      <c r="Q72" s="64">
        <v>9.15</v>
      </c>
      <c r="R72" s="198"/>
      <c r="S72" s="198"/>
      <c r="T72" s="198"/>
      <c r="U72" s="198"/>
    </row>
    <row r="73" spans="1:21" s="12" customFormat="1" x14ac:dyDescent="0.25">
      <c r="A73" s="214" t="s">
        <v>1944</v>
      </c>
      <c r="B73" s="64">
        <v>0.1</v>
      </c>
      <c r="C73" s="64">
        <v>30.39</v>
      </c>
      <c r="D73" s="64">
        <v>15.88</v>
      </c>
      <c r="E73" s="64">
        <v>1.44</v>
      </c>
      <c r="F73" s="64">
        <v>5.34</v>
      </c>
      <c r="G73" s="64">
        <v>40.54</v>
      </c>
      <c r="H73" s="64">
        <v>17.71</v>
      </c>
      <c r="I73" s="64">
        <v>8.1300000000000008</v>
      </c>
      <c r="J73" s="64">
        <v>0.48</v>
      </c>
      <c r="K73" s="64">
        <v>4.9800000000000004</v>
      </c>
      <c r="L73" s="64">
        <v>35.96</v>
      </c>
      <c r="M73" s="64">
        <v>18.04</v>
      </c>
      <c r="N73" s="64">
        <v>173.2</v>
      </c>
      <c r="O73" s="64">
        <v>0</v>
      </c>
      <c r="P73" s="64">
        <v>0.43</v>
      </c>
      <c r="Q73" s="64">
        <v>9.11</v>
      </c>
      <c r="R73" s="198"/>
      <c r="S73" s="198"/>
      <c r="T73" s="198"/>
      <c r="U73" s="198"/>
    </row>
    <row r="74" spans="1:21" s="12" customFormat="1" x14ac:dyDescent="0.25">
      <c r="A74" s="214" t="s">
        <v>1945</v>
      </c>
      <c r="B74" s="64">
        <v>0.1</v>
      </c>
      <c r="C74" s="64">
        <v>30.89</v>
      </c>
      <c r="D74" s="64">
        <v>16.14</v>
      </c>
      <c r="E74" s="64">
        <v>1.39</v>
      </c>
      <c r="F74" s="64">
        <v>4.8600000000000003</v>
      </c>
      <c r="G74" s="64">
        <v>40.54</v>
      </c>
      <c r="H74" s="64">
        <v>17.71</v>
      </c>
      <c r="I74" s="64">
        <v>7.95</v>
      </c>
      <c r="J74" s="64">
        <v>0.31</v>
      </c>
      <c r="K74" s="64">
        <v>17.72</v>
      </c>
      <c r="L74" s="64">
        <v>35.57</v>
      </c>
      <c r="M74" s="64">
        <v>17.37</v>
      </c>
      <c r="N74" s="64">
        <v>124.6</v>
      </c>
      <c r="O74" s="64">
        <v>0</v>
      </c>
      <c r="P74" s="64">
        <v>0.42</v>
      </c>
      <c r="Q74" s="64">
        <v>9.16</v>
      </c>
      <c r="R74" s="198"/>
      <c r="S74" s="198"/>
      <c r="T74" s="198"/>
      <c r="U74" s="198"/>
    </row>
    <row r="75" spans="1:21" s="12" customFormat="1" x14ac:dyDescent="0.25">
      <c r="A75" s="214" t="s">
        <v>1946</v>
      </c>
      <c r="B75" s="64">
        <v>0.1</v>
      </c>
      <c r="C75" s="64">
        <v>31.13</v>
      </c>
      <c r="D75" s="64">
        <v>16.27</v>
      </c>
      <c r="E75" s="64">
        <v>1.27</v>
      </c>
      <c r="F75" s="64">
        <v>4.41</v>
      </c>
      <c r="G75" s="64">
        <v>40.54</v>
      </c>
      <c r="H75" s="64">
        <v>17.71</v>
      </c>
      <c r="I75" s="64">
        <v>7.6</v>
      </c>
      <c r="J75" s="64">
        <v>0.15</v>
      </c>
      <c r="K75" s="64">
        <v>29.36</v>
      </c>
      <c r="L75" s="64">
        <v>35.08</v>
      </c>
      <c r="M75" s="64">
        <v>18.72</v>
      </c>
      <c r="N75" s="64">
        <v>84.5</v>
      </c>
      <c r="O75" s="64">
        <v>0</v>
      </c>
      <c r="P75" s="64">
        <v>0.41</v>
      </c>
      <c r="Q75" s="64">
        <v>9.1999999999999993</v>
      </c>
      <c r="R75" s="198"/>
      <c r="S75" s="198"/>
      <c r="T75" s="198"/>
      <c r="U75" s="198"/>
    </row>
    <row r="76" spans="1:21" s="12" customFormat="1" x14ac:dyDescent="0.25">
      <c r="A76" s="214" t="s">
        <v>1947</v>
      </c>
      <c r="B76" s="64">
        <v>0.1</v>
      </c>
      <c r="C76" s="64">
        <v>29.84</v>
      </c>
      <c r="D76" s="64">
        <v>15.59</v>
      </c>
      <c r="E76" s="64">
        <v>1.57</v>
      </c>
      <c r="F76" s="64">
        <v>4.54</v>
      </c>
      <c r="G76" s="64">
        <v>39.83</v>
      </c>
      <c r="H76" s="64">
        <v>17.34</v>
      </c>
      <c r="I76" s="64">
        <v>6.85</v>
      </c>
      <c r="J76" s="64">
        <v>0.37</v>
      </c>
      <c r="K76" s="64">
        <v>85.98</v>
      </c>
      <c r="L76" s="64">
        <v>34.81</v>
      </c>
      <c r="M76" s="64">
        <v>17.57</v>
      </c>
      <c r="N76" s="64">
        <v>82.7</v>
      </c>
      <c r="O76" s="64">
        <v>0</v>
      </c>
      <c r="P76" s="64">
        <v>0.4</v>
      </c>
      <c r="Q76" s="64">
        <v>9.1300000000000008</v>
      </c>
      <c r="R76" s="198"/>
      <c r="S76" s="198"/>
      <c r="T76" s="198"/>
      <c r="U76" s="198"/>
    </row>
    <row r="77" spans="1:21" s="12" customFormat="1" x14ac:dyDescent="0.25">
      <c r="A77" s="214" t="s">
        <v>1948</v>
      </c>
      <c r="B77" s="64">
        <v>0.1</v>
      </c>
      <c r="C77" s="64">
        <v>29.65</v>
      </c>
      <c r="D77" s="64">
        <v>15.49</v>
      </c>
      <c r="E77" s="64">
        <v>1.57</v>
      </c>
      <c r="F77" s="64">
        <v>4.5999999999999996</v>
      </c>
      <c r="G77" s="64">
        <v>27.76</v>
      </c>
      <c r="H77" s="64">
        <v>12.21</v>
      </c>
      <c r="I77" s="64">
        <v>6.69</v>
      </c>
      <c r="J77" s="64">
        <v>0.56999999999999995</v>
      </c>
      <c r="K77" s="64">
        <v>156.69</v>
      </c>
      <c r="L77" s="64">
        <v>34.72</v>
      </c>
      <c r="M77" s="64">
        <v>18.04</v>
      </c>
      <c r="N77" s="64">
        <v>73.099999999999994</v>
      </c>
      <c r="O77" s="64">
        <v>0</v>
      </c>
      <c r="P77" s="64">
        <v>0.39</v>
      </c>
      <c r="Q77" s="64">
        <v>9.2100000000000009</v>
      </c>
      <c r="R77" s="198"/>
      <c r="S77" s="198"/>
      <c r="T77" s="198"/>
      <c r="U77" s="198"/>
    </row>
    <row r="78" spans="1:21" s="12" customFormat="1" x14ac:dyDescent="0.25">
      <c r="A78" s="214" t="s">
        <v>1949</v>
      </c>
      <c r="B78" s="64">
        <v>0.1</v>
      </c>
      <c r="C78" s="64">
        <v>29.49</v>
      </c>
      <c r="D78" s="64">
        <v>15.41</v>
      </c>
      <c r="E78" s="64">
        <v>1.46</v>
      </c>
      <c r="F78" s="64">
        <v>4.49</v>
      </c>
      <c r="G78" s="64">
        <v>27.76</v>
      </c>
      <c r="H78" s="64">
        <v>12.21</v>
      </c>
      <c r="I78" s="64">
        <v>6.63</v>
      </c>
      <c r="J78" s="64">
        <v>0.09</v>
      </c>
      <c r="K78" s="64">
        <v>171.48</v>
      </c>
      <c r="L78" s="64">
        <v>34.79</v>
      </c>
      <c r="M78" s="64">
        <v>17.239999999999998</v>
      </c>
      <c r="N78" s="64">
        <v>46.5</v>
      </c>
      <c r="O78" s="64">
        <v>0</v>
      </c>
      <c r="P78" s="64">
        <v>0.38</v>
      </c>
      <c r="Q78" s="64">
        <v>9.2200000000000006</v>
      </c>
      <c r="R78" s="198"/>
      <c r="S78" s="198"/>
      <c r="T78" s="198"/>
      <c r="U78" s="198"/>
    </row>
    <row r="79" spans="1:21" s="12" customFormat="1" x14ac:dyDescent="0.25">
      <c r="A79" s="214" t="s">
        <v>1950</v>
      </c>
      <c r="B79" s="64">
        <v>0.1</v>
      </c>
      <c r="C79" s="64">
        <v>28.67</v>
      </c>
      <c r="D79" s="64">
        <v>14.98</v>
      </c>
      <c r="E79" s="64">
        <v>1.63</v>
      </c>
      <c r="F79" s="64">
        <v>4.75</v>
      </c>
      <c r="G79" s="64">
        <v>27.76</v>
      </c>
      <c r="H79" s="64">
        <v>12.21</v>
      </c>
      <c r="I79" s="64">
        <v>6.75</v>
      </c>
      <c r="J79" s="64">
        <v>0.27</v>
      </c>
      <c r="K79" s="64">
        <v>182.83</v>
      </c>
      <c r="L79" s="64">
        <v>34.29</v>
      </c>
      <c r="M79" s="64">
        <v>18.47</v>
      </c>
      <c r="N79" s="64">
        <v>41.3</v>
      </c>
      <c r="O79" s="64">
        <v>0</v>
      </c>
      <c r="P79" s="64">
        <v>0.37</v>
      </c>
      <c r="Q79" s="64">
        <v>9.18</v>
      </c>
      <c r="R79" s="198"/>
      <c r="S79" s="198"/>
      <c r="T79" s="198"/>
      <c r="U79" s="198"/>
    </row>
    <row r="80" spans="1:21" s="12" customFormat="1" x14ac:dyDescent="0.25">
      <c r="A80" s="214" t="s">
        <v>1951</v>
      </c>
      <c r="B80" s="64">
        <v>0.1</v>
      </c>
      <c r="C80" s="64">
        <v>28.26</v>
      </c>
      <c r="D80" s="64">
        <v>14.77</v>
      </c>
      <c r="E80" s="64">
        <v>1.4</v>
      </c>
      <c r="F80" s="64">
        <v>4.5199999999999996</v>
      </c>
      <c r="G80" s="64">
        <v>28.46</v>
      </c>
      <c r="H80" s="64">
        <v>12.19</v>
      </c>
      <c r="I80" s="64">
        <v>6.76</v>
      </c>
      <c r="J80" s="64">
        <v>0.36</v>
      </c>
      <c r="K80" s="64">
        <v>180.24</v>
      </c>
      <c r="L80" s="64">
        <v>33.79</v>
      </c>
      <c r="M80" s="64">
        <v>21.46</v>
      </c>
      <c r="N80" s="64">
        <v>31.9</v>
      </c>
      <c r="O80" s="64">
        <v>0</v>
      </c>
      <c r="P80" s="64">
        <v>0.37</v>
      </c>
      <c r="Q80" s="64">
        <v>9.2100000000000009</v>
      </c>
      <c r="R80" s="198"/>
      <c r="S80" s="198"/>
      <c r="T80" s="198"/>
      <c r="U80" s="198"/>
    </row>
    <row r="81" spans="1:26" s="12" customFormat="1" x14ac:dyDescent="0.25">
      <c r="A81" s="214" t="s">
        <v>1952</v>
      </c>
      <c r="B81" s="64">
        <v>0.1</v>
      </c>
      <c r="C81" s="64">
        <v>32.479999999999997</v>
      </c>
      <c r="D81" s="64">
        <v>16.97</v>
      </c>
      <c r="E81" s="64">
        <v>1.38</v>
      </c>
      <c r="F81" s="64">
        <v>4.55</v>
      </c>
      <c r="G81" s="64">
        <v>38.36</v>
      </c>
      <c r="H81" s="64">
        <v>11.86</v>
      </c>
      <c r="I81" s="64">
        <v>6.47</v>
      </c>
      <c r="J81" s="64">
        <v>0.38</v>
      </c>
      <c r="K81" s="64">
        <v>216.86</v>
      </c>
      <c r="L81" s="64">
        <v>33.270000000000003</v>
      </c>
      <c r="M81" s="64">
        <v>23.86</v>
      </c>
      <c r="N81" s="64">
        <v>22.7</v>
      </c>
      <c r="O81" s="64">
        <v>0</v>
      </c>
      <c r="P81" s="64">
        <v>0.38</v>
      </c>
      <c r="Q81" s="64">
        <v>9.1199999999999992</v>
      </c>
      <c r="R81" s="198"/>
      <c r="S81" s="198"/>
      <c r="T81" s="198"/>
      <c r="U81" s="198"/>
    </row>
    <row r="82" spans="1:26" s="12" customFormat="1" x14ac:dyDescent="0.25">
      <c r="A82" s="214" t="s">
        <v>1953</v>
      </c>
      <c r="B82" s="64">
        <v>0.1</v>
      </c>
      <c r="C82" s="64">
        <v>33.19</v>
      </c>
      <c r="D82" s="64">
        <v>17.34</v>
      </c>
      <c r="E82" s="64">
        <v>1.4</v>
      </c>
      <c r="F82" s="64">
        <v>4.79</v>
      </c>
      <c r="G82" s="64">
        <v>38.36</v>
      </c>
      <c r="H82" s="64">
        <v>11.86</v>
      </c>
      <c r="I82" s="64">
        <v>7.2</v>
      </c>
      <c r="J82" s="64">
        <v>0.24</v>
      </c>
      <c r="K82" s="64">
        <v>212.6</v>
      </c>
      <c r="L82" s="64">
        <v>32.33</v>
      </c>
      <c r="M82" s="64">
        <v>28.14</v>
      </c>
      <c r="N82" s="64">
        <v>17.600000000000001</v>
      </c>
      <c r="O82" s="64">
        <v>0</v>
      </c>
      <c r="P82" s="64">
        <v>0.38</v>
      </c>
      <c r="Q82" s="64">
        <v>9.14</v>
      </c>
      <c r="R82" s="198"/>
      <c r="S82" s="198"/>
      <c r="T82" s="198"/>
      <c r="U82" s="198"/>
    </row>
    <row r="83" spans="1:26" s="12" customFormat="1" x14ac:dyDescent="0.25">
      <c r="A83" s="214" t="s">
        <v>1954</v>
      </c>
      <c r="B83" s="64">
        <v>0.1</v>
      </c>
      <c r="C83" s="64">
        <v>32.590000000000003</v>
      </c>
      <c r="D83" s="64">
        <v>17.03</v>
      </c>
      <c r="E83" s="64">
        <v>1.69</v>
      </c>
      <c r="F83" s="64">
        <v>4.43</v>
      </c>
      <c r="G83" s="64">
        <v>38.36</v>
      </c>
      <c r="H83" s="64">
        <v>11.86</v>
      </c>
      <c r="I83" s="64">
        <v>7.74</v>
      </c>
      <c r="J83" s="64">
        <v>0.08</v>
      </c>
      <c r="K83" s="64">
        <v>325.76</v>
      </c>
      <c r="L83" s="64">
        <v>31.53</v>
      </c>
      <c r="M83" s="64">
        <v>30.21</v>
      </c>
      <c r="N83" s="64">
        <v>16.5</v>
      </c>
      <c r="O83" s="64">
        <v>0</v>
      </c>
      <c r="P83" s="64">
        <v>0.39</v>
      </c>
      <c r="Q83" s="64">
        <v>9.1999999999999993</v>
      </c>
      <c r="R83" s="198"/>
      <c r="S83" s="198"/>
      <c r="T83" s="198"/>
      <c r="U83" s="198"/>
    </row>
    <row r="84" spans="1:26" s="12" customFormat="1" x14ac:dyDescent="0.25">
      <c r="A84" s="214" t="s">
        <v>1955</v>
      </c>
      <c r="B84" s="64">
        <v>0.1</v>
      </c>
      <c r="C84" s="64">
        <v>30.78</v>
      </c>
      <c r="D84" s="64">
        <v>16.079999999999998</v>
      </c>
      <c r="E84" s="64">
        <v>1.81</v>
      </c>
      <c r="F84" s="64">
        <v>4.5599999999999996</v>
      </c>
      <c r="G84" s="64">
        <v>39.159999999999997</v>
      </c>
      <c r="H84" s="64">
        <v>12.39</v>
      </c>
      <c r="I84" s="64">
        <v>7.65</v>
      </c>
      <c r="J84" s="64">
        <v>0.12</v>
      </c>
      <c r="K84" s="64">
        <v>255.12</v>
      </c>
      <c r="L84" s="64">
        <v>31.22</v>
      </c>
      <c r="M84" s="64">
        <v>30.29</v>
      </c>
      <c r="N84" s="64">
        <v>15.9</v>
      </c>
      <c r="O84" s="64">
        <v>0</v>
      </c>
      <c r="P84" s="64">
        <v>0.4</v>
      </c>
      <c r="Q84" s="64">
        <v>9.19</v>
      </c>
      <c r="R84" s="198"/>
      <c r="S84" s="198"/>
      <c r="T84" s="198"/>
      <c r="U84" s="198"/>
    </row>
    <row r="85" spans="1:26" s="12" customFormat="1" x14ac:dyDescent="0.25">
      <c r="A85" s="214" t="s">
        <v>1956</v>
      </c>
      <c r="B85" s="64">
        <v>0.1</v>
      </c>
      <c r="C85" s="64">
        <v>31.07</v>
      </c>
      <c r="D85" s="64">
        <v>16.23</v>
      </c>
      <c r="E85" s="64">
        <v>1.41</v>
      </c>
      <c r="F85" s="64">
        <v>4.42</v>
      </c>
      <c r="G85" s="64">
        <v>52.81</v>
      </c>
      <c r="H85" s="64">
        <v>21.37</v>
      </c>
      <c r="I85" s="64">
        <v>7.51</v>
      </c>
      <c r="J85" s="64">
        <v>0.34</v>
      </c>
      <c r="K85" s="64">
        <v>162.63</v>
      </c>
      <c r="L85" s="64">
        <v>31.01</v>
      </c>
      <c r="M85" s="64">
        <v>30.99</v>
      </c>
      <c r="N85" s="64">
        <v>15</v>
      </c>
      <c r="O85" s="64">
        <v>0</v>
      </c>
      <c r="P85" s="64">
        <v>0.41</v>
      </c>
      <c r="Q85" s="64">
        <v>9.18</v>
      </c>
      <c r="R85" s="198"/>
      <c r="S85" s="198"/>
      <c r="T85" s="198"/>
      <c r="U85" s="198"/>
    </row>
    <row r="86" spans="1:26" s="12" customFormat="1" x14ac:dyDescent="0.25">
      <c r="A86" s="214" t="s">
        <v>1957</v>
      </c>
      <c r="B86" s="64">
        <v>0.1</v>
      </c>
      <c r="C86" s="64">
        <v>32.29</v>
      </c>
      <c r="D86" s="64">
        <v>16.87</v>
      </c>
      <c r="E86" s="64">
        <v>1.57</v>
      </c>
      <c r="F86" s="64">
        <v>4.32</v>
      </c>
      <c r="G86" s="64">
        <v>52.81</v>
      </c>
      <c r="H86" s="64">
        <v>21.37</v>
      </c>
      <c r="I86" s="64">
        <v>7.08</v>
      </c>
      <c r="J86" s="64">
        <v>0.36</v>
      </c>
      <c r="K86" s="64">
        <v>158.55000000000001</v>
      </c>
      <c r="L86" s="64">
        <v>30.85</v>
      </c>
      <c r="M86" s="64">
        <v>31.17</v>
      </c>
      <c r="N86" s="64">
        <v>15.3</v>
      </c>
      <c r="O86" s="64">
        <v>0</v>
      </c>
      <c r="P86" s="64">
        <v>0.44</v>
      </c>
      <c r="Q86" s="64">
        <v>9.14</v>
      </c>
      <c r="R86" s="198"/>
      <c r="S86" s="198"/>
      <c r="T86" s="198"/>
      <c r="U86" s="198"/>
    </row>
    <row r="87" spans="1:26" s="12" customFormat="1" x14ac:dyDescent="0.25">
      <c r="A87" s="214" t="s">
        <v>1958</v>
      </c>
      <c r="B87" s="64">
        <v>0.1</v>
      </c>
      <c r="C87" s="64">
        <v>32.74</v>
      </c>
      <c r="D87" s="64">
        <v>17.100000000000001</v>
      </c>
      <c r="E87" s="64">
        <v>1.44</v>
      </c>
      <c r="F87" s="64">
        <v>4.41</v>
      </c>
      <c r="G87" s="64">
        <v>52.81</v>
      </c>
      <c r="H87" s="64">
        <v>21.37</v>
      </c>
      <c r="I87" s="64">
        <v>7.06</v>
      </c>
      <c r="J87" s="64">
        <v>0.33</v>
      </c>
      <c r="K87" s="64">
        <v>176.41</v>
      </c>
      <c r="L87" s="64">
        <v>30.74</v>
      </c>
      <c r="M87" s="64">
        <v>31.31</v>
      </c>
      <c r="N87" s="64">
        <v>15.3</v>
      </c>
      <c r="O87" s="64">
        <v>0</v>
      </c>
      <c r="P87" s="64">
        <v>0.45</v>
      </c>
      <c r="Q87" s="64">
        <v>9.16</v>
      </c>
      <c r="R87" s="198"/>
      <c r="S87" s="198"/>
      <c r="T87" s="198"/>
      <c r="U87" s="198"/>
    </row>
    <row r="88" spans="1:26" s="12" customFormat="1" x14ac:dyDescent="0.25">
      <c r="A88" s="214" t="s">
        <v>1959</v>
      </c>
      <c r="B88" s="64">
        <v>0.1</v>
      </c>
      <c r="C88" s="64">
        <v>33.229999999999997</v>
      </c>
      <c r="D88" s="64">
        <v>17.36</v>
      </c>
      <c r="E88" s="64">
        <v>1.04</v>
      </c>
      <c r="F88" s="64">
        <v>3.7</v>
      </c>
      <c r="G88" s="64">
        <v>53.52</v>
      </c>
      <c r="H88" s="64">
        <v>21.01</v>
      </c>
      <c r="I88" s="64">
        <v>7.31</v>
      </c>
      <c r="J88" s="64">
        <v>0.35</v>
      </c>
      <c r="K88" s="64">
        <v>173.1</v>
      </c>
      <c r="L88" s="64">
        <v>30.3</v>
      </c>
      <c r="M88" s="64">
        <v>32.54</v>
      </c>
      <c r="N88" s="64">
        <v>15.6</v>
      </c>
      <c r="O88" s="64">
        <v>0</v>
      </c>
      <c r="P88" s="64">
        <v>0.47</v>
      </c>
      <c r="Q88" s="64">
        <v>9.23</v>
      </c>
      <c r="R88" s="198"/>
      <c r="S88" s="198"/>
      <c r="T88" s="198"/>
      <c r="U88" s="198"/>
    </row>
    <row r="89" spans="1:26" s="12" customFormat="1" x14ac:dyDescent="0.25">
      <c r="A89" s="214" t="s">
        <v>1960</v>
      </c>
      <c r="B89" s="64">
        <v>0.1</v>
      </c>
      <c r="C89" s="64">
        <v>34.51</v>
      </c>
      <c r="D89" s="64">
        <v>18.03</v>
      </c>
      <c r="E89" s="64">
        <v>1.31</v>
      </c>
      <c r="F89" s="64">
        <v>3.49</v>
      </c>
      <c r="G89" s="64">
        <v>63.49</v>
      </c>
      <c r="H89" s="64">
        <v>14.91</v>
      </c>
      <c r="I89" s="64">
        <v>7.36</v>
      </c>
      <c r="J89" s="64">
        <v>0.14000000000000001</v>
      </c>
      <c r="K89" s="64">
        <v>222.75</v>
      </c>
      <c r="L89" s="64">
        <v>30.15</v>
      </c>
      <c r="M89" s="64">
        <v>33.07</v>
      </c>
      <c r="N89" s="64">
        <v>15.8</v>
      </c>
      <c r="O89" s="64">
        <v>0</v>
      </c>
      <c r="P89" s="64">
        <v>0.49</v>
      </c>
      <c r="Q89" s="64">
        <v>9.16</v>
      </c>
      <c r="R89" s="198"/>
      <c r="S89" s="198"/>
      <c r="T89" s="198"/>
      <c r="U89" s="198"/>
    </row>
    <row r="90" spans="1:26" s="12" customFormat="1" x14ac:dyDescent="0.25">
      <c r="A90" s="214" t="s">
        <v>1961</v>
      </c>
      <c r="B90" s="64">
        <v>0.14000000000000001</v>
      </c>
      <c r="C90" s="64">
        <v>35.35</v>
      </c>
      <c r="D90" s="64">
        <v>18.5</v>
      </c>
      <c r="E90" s="64">
        <v>1.57</v>
      </c>
      <c r="F90" s="64">
        <v>3.71</v>
      </c>
      <c r="G90" s="64">
        <v>63.49</v>
      </c>
      <c r="H90" s="64">
        <v>14.91</v>
      </c>
      <c r="I90" s="64">
        <v>7.2</v>
      </c>
      <c r="J90" s="64">
        <v>0.09</v>
      </c>
      <c r="K90" s="64">
        <v>254</v>
      </c>
      <c r="L90" s="64">
        <v>29.64</v>
      </c>
      <c r="M90" s="64">
        <v>34.39</v>
      </c>
      <c r="N90" s="64">
        <v>15.9</v>
      </c>
      <c r="O90" s="64">
        <v>0</v>
      </c>
      <c r="P90" s="64">
        <v>0.5</v>
      </c>
      <c r="Q90" s="64">
        <v>9.23</v>
      </c>
      <c r="R90" s="198"/>
      <c r="S90" s="198"/>
      <c r="T90" s="198"/>
      <c r="U90" s="198"/>
    </row>
    <row r="91" spans="1:26" s="12" customFormat="1" x14ac:dyDescent="0.25">
      <c r="A91" s="214" t="s">
        <v>1962</v>
      </c>
      <c r="B91" s="64">
        <v>0.57999999999999996</v>
      </c>
      <c r="C91" s="64">
        <v>36.82</v>
      </c>
      <c r="D91" s="64">
        <v>19.63</v>
      </c>
      <c r="E91" s="64">
        <v>1.61</v>
      </c>
      <c r="F91" s="64">
        <v>3.54</v>
      </c>
      <c r="G91" s="64">
        <v>63.49</v>
      </c>
      <c r="H91" s="64">
        <v>14.91</v>
      </c>
      <c r="I91" s="64">
        <v>6.96</v>
      </c>
      <c r="J91" s="64">
        <v>0.2</v>
      </c>
      <c r="K91" s="64">
        <v>160.29</v>
      </c>
      <c r="L91" s="64">
        <v>29.32</v>
      </c>
      <c r="M91" s="64">
        <v>35.07</v>
      </c>
      <c r="N91" s="64">
        <v>15.3</v>
      </c>
      <c r="O91" s="64">
        <v>0</v>
      </c>
      <c r="P91" s="64">
        <v>0.52</v>
      </c>
      <c r="Q91" s="64">
        <v>9.1999999999999993</v>
      </c>
      <c r="R91" s="198"/>
      <c r="S91" s="198"/>
      <c r="T91" s="198"/>
      <c r="U91" s="198"/>
    </row>
    <row r="92" spans="1:26" s="12" customFormat="1" x14ac:dyDescent="0.25">
      <c r="A92" s="214" t="s">
        <v>1963</v>
      </c>
      <c r="B92" s="64">
        <v>1.61</v>
      </c>
      <c r="C92" s="64">
        <v>38.630000000000003</v>
      </c>
      <c r="D92" s="64">
        <v>21.39</v>
      </c>
      <c r="E92" s="64">
        <v>1.56</v>
      </c>
      <c r="F92" s="64">
        <v>3.77</v>
      </c>
      <c r="G92" s="64">
        <v>63.53</v>
      </c>
      <c r="H92" s="64">
        <v>14.97</v>
      </c>
      <c r="I92" s="64">
        <v>6.97</v>
      </c>
      <c r="J92" s="64">
        <v>0.15</v>
      </c>
      <c r="K92" s="64">
        <v>259.51</v>
      </c>
      <c r="L92" s="64">
        <v>29.25</v>
      </c>
      <c r="M92" s="64">
        <v>34.42</v>
      </c>
      <c r="N92" s="64">
        <v>15.6</v>
      </c>
      <c r="O92" s="64">
        <v>0</v>
      </c>
      <c r="P92" s="64">
        <v>0.56000000000000005</v>
      </c>
      <c r="Q92" s="64">
        <v>9.2100000000000009</v>
      </c>
      <c r="R92" s="198"/>
      <c r="S92" s="198"/>
      <c r="T92" s="198"/>
      <c r="U92" s="198"/>
    </row>
    <row r="93" spans="1:26" s="12" customFormat="1" x14ac:dyDescent="0.25">
      <c r="A93" s="214" t="s">
        <v>1964</v>
      </c>
      <c r="B93" s="64">
        <v>2.7</v>
      </c>
      <c r="C93" s="64">
        <v>39.29</v>
      </c>
      <c r="D93" s="64">
        <v>22.61</v>
      </c>
      <c r="E93" s="64">
        <v>1.76</v>
      </c>
      <c r="F93" s="64">
        <v>3.94</v>
      </c>
      <c r="G93" s="64">
        <v>64.069999999999993</v>
      </c>
      <c r="H93" s="64">
        <v>16.079999999999998</v>
      </c>
      <c r="I93" s="64">
        <v>6.78</v>
      </c>
      <c r="J93" s="64">
        <v>0.13</v>
      </c>
      <c r="K93" s="64">
        <v>277.38</v>
      </c>
      <c r="L93" s="64">
        <v>29.25</v>
      </c>
      <c r="M93" s="64">
        <v>34.19</v>
      </c>
      <c r="N93" s="64">
        <v>15.8</v>
      </c>
      <c r="O93" s="64">
        <v>0</v>
      </c>
      <c r="P93" s="64">
        <v>0.56999999999999995</v>
      </c>
      <c r="Q93" s="64">
        <v>9.1999999999999993</v>
      </c>
      <c r="R93" s="198"/>
      <c r="S93" s="198"/>
      <c r="T93" s="198"/>
      <c r="U93" s="198"/>
    </row>
    <row r="94" spans="1:26" s="12" customFormat="1" x14ac:dyDescent="0.25">
      <c r="A94" s="214" t="s">
        <v>1965</v>
      </c>
      <c r="B94" s="64">
        <v>2.96</v>
      </c>
      <c r="C94" s="64">
        <v>38.69</v>
      </c>
      <c r="D94" s="64">
        <v>22.51</v>
      </c>
      <c r="E94" s="64">
        <v>1.87</v>
      </c>
      <c r="F94" s="64">
        <v>4.08</v>
      </c>
      <c r="G94" s="64">
        <v>64.069999999999993</v>
      </c>
      <c r="H94" s="64">
        <v>16.079999999999998</v>
      </c>
      <c r="I94" s="64">
        <v>6.22</v>
      </c>
      <c r="J94" s="64">
        <v>0.12</v>
      </c>
      <c r="K94" s="64">
        <v>252.73</v>
      </c>
      <c r="L94" s="64">
        <v>29.13</v>
      </c>
      <c r="M94" s="64">
        <v>34.14</v>
      </c>
      <c r="N94" s="64">
        <v>15.9</v>
      </c>
      <c r="O94" s="64">
        <v>0</v>
      </c>
      <c r="P94" s="64">
        <v>0.56999999999999995</v>
      </c>
      <c r="Q94" s="64">
        <v>9.19</v>
      </c>
      <c r="R94" s="198"/>
      <c r="S94" s="198"/>
      <c r="T94" s="198"/>
      <c r="U94" s="198"/>
    </row>
    <row r="95" spans="1:26" s="12" customFormat="1" x14ac:dyDescent="0.25">
      <c r="A95" s="214" t="s">
        <v>1966</v>
      </c>
      <c r="B95" s="64">
        <v>2.8</v>
      </c>
      <c r="C95" s="64">
        <v>37.950000000000003</v>
      </c>
      <c r="D95" s="64">
        <v>21.99</v>
      </c>
      <c r="E95" s="64">
        <v>1.46</v>
      </c>
      <c r="F95" s="64">
        <v>3.61</v>
      </c>
      <c r="G95" s="64">
        <v>64.069999999999993</v>
      </c>
      <c r="H95" s="64">
        <v>16.079999999999998</v>
      </c>
      <c r="I95" s="64">
        <v>6.37</v>
      </c>
      <c r="J95" s="64">
        <v>0.17</v>
      </c>
      <c r="K95" s="64">
        <v>234.68</v>
      </c>
      <c r="L95" s="64">
        <v>28.83</v>
      </c>
      <c r="M95" s="64">
        <v>35.659999999999997</v>
      </c>
      <c r="N95" s="64">
        <v>15.7</v>
      </c>
      <c r="O95" s="64">
        <v>0</v>
      </c>
      <c r="P95" s="64">
        <v>0.56999999999999995</v>
      </c>
      <c r="Q95" s="64">
        <v>9.2100000000000009</v>
      </c>
      <c r="R95" s="198"/>
      <c r="S95" s="198"/>
      <c r="T95" s="198"/>
      <c r="U95" s="198"/>
    </row>
    <row r="96" spans="1:26" s="12" customFormat="1" x14ac:dyDescent="0.25">
      <c r="A96" s="214" t="s">
        <v>1967</v>
      </c>
      <c r="B96" s="64">
        <v>2.74</v>
      </c>
      <c r="C96" s="64">
        <v>37.08</v>
      </c>
      <c r="D96" s="64">
        <v>21.5</v>
      </c>
      <c r="E96" s="64">
        <v>1.38</v>
      </c>
      <c r="F96" s="64">
        <v>3.46</v>
      </c>
      <c r="G96" s="64">
        <v>64.47</v>
      </c>
      <c r="H96" s="64">
        <v>16.36</v>
      </c>
      <c r="I96" s="64">
        <v>6.18</v>
      </c>
      <c r="J96" s="64">
        <v>0.19</v>
      </c>
      <c r="K96" s="64">
        <v>229.13</v>
      </c>
      <c r="L96" s="64">
        <v>28.38</v>
      </c>
      <c r="M96" s="64">
        <v>37.200000000000003</v>
      </c>
      <c r="N96" s="64">
        <v>15.9</v>
      </c>
      <c r="O96" s="64">
        <v>0</v>
      </c>
      <c r="P96" s="64">
        <v>0.56999999999999995</v>
      </c>
      <c r="Q96" s="64">
        <v>9.25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1968</v>
      </c>
      <c r="B97" s="64">
        <v>2.68</v>
      </c>
      <c r="C97" s="64">
        <v>36.96</v>
      </c>
      <c r="D97" s="64">
        <v>21.38</v>
      </c>
      <c r="E97" s="64">
        <v>1.32</v>
      </c>
      <c r="F97" s="64">
        <v>3.34</v>
      </c>
      <c r="G97" s="64">
        <v>70.05</v>
      </c>
      <c r="H97" s="64">
        <v>21.11</v>
      </c>
      <c r="I97" s="64">
        <v>6.17</v>
      </c>
      <c r="J97" s="64">
        <v>0.17</v>
      </c>
      <c r="K97" s="64">
        <v>231.5</v>
      </c>
      <c r="L97" s="64">
        <v>28.12</v>
      </c>
      <c r="M97" s="64">
        <v>38.67</v>
      </c>
      <c r="N97" s="64">
        <v>15.5</v>
      </c>
      <c r="O97" s="64">
        <v>0</v>
      </c>
      <c r="P97" s="64">
        <v>0.56999999999999995</v>
      </c>
      <c r="Q97" s="64">
        <v>9.2100000000000009</v>
      </c>
      <c r="R97" s="198"/>
      <c r="S97" s="198"/>
      <c r="T97" s="198"/>
      <c r="U97" s="198"/>
    </row>
    <row r="98" spans="1:33" s="12" customFormat="1" x14ac:dyDescent="0.25">
      <c r="A98" s="214" t="s">
        <v>1969</v>
      </c>
      <c r="B98" s="64">
        <v>2.62</v>
      </c>
      <c r="C98" s="64">
        <v>36.130000000000003</v>
      </c>
      <c r="D98" s="64">
        <v>20.9</v>
      </c>
      <c r="E98" s="64">
        <v>1.68</v>
      </c>
      <c r="F98" s="64">
        <v>3.57</v>
      </c>
      <c r="G98" s="64">
        <v>70.05</v>
      </c>
      <c r="H98" s="64">
        <v>21.11</v>
      </c>
      <c r="I98" s="64">
        <v>6.18</v>
      </c>
      <c r="J98" s="64">
        <v>7.0000000000000007E-2</v>
      </c>
      <c r="K98" s="64">
        <v>239.95</v>
      </c>
      <c r="L98" s="64">
        <v>28</v>
      </c>
      <c r="M98" s="64">
        <v>38.72</v>
      </c>
      <c r="N98" s="64">
        <v>15.6</v>
      </c>
      <c r="O98" s="64">
        <v>0</v>
      </c>
      <c r="P98" s="64">
        <v>0.56999999999999995</v>
      </c>
      <c r="Q98" s="64">
        <v>9.18</v>
      </c>
      <c r="R98" s="198"/>
      <c r="S98" s="198"/>
      <c r="T98" s="198"/>
      <c r="U98" s="198"/>
    </row>
    <row r="99" spans="1:33" s="12" customFormat="1" x14ac:dyDescent="0.25">
      <c r="A99" s="214" t="s">
        <v>1970</v>
      </c>
      <c r="B99" s="64">
        <v>2.64</v>
      </c>
      <c r="C99" s="64">
        <v>35.450000000000003</v>
      </c>
      <c r="D99" s="64">
        <v>20.56</v>
      </c>
      <c r="E99" s="64">
        <v>1.53</v>
      </c>
      <c r="F99" s="64">
        <v>3.71</v>
      </c>
      <c r="G99" s="64">
        <v>70.05</v>
      </c>
      <c r="H99" s="64">
        <v>21.11</v>
      </c>
      <c r="I99" s="64">
        <v>6.28</v>
      </c>
      <c r="J99" s="64">
        <v>0.14000000000000001</v>
      </c>
      <c r="K99" s="64">
        <v>327.45999999999998</v>
      </c>
      <c r="L99" s="64">
        <v>27.46</v>
      </c>
      <c r="M99" s="64">
        <v>41.45</v>
      </c>
      <c r="N99" s="64">
        <v>16.100000000000001</v>
      </c>
      <c r="O99" s="64">
        <v>0</v>
      </c>
      <c r="P99" s="64">
        <v>0.59</v>
      </c>
      <c r="Q99" s="64">
        <v>9.27</v>
      </c>
      <c r="R99" s="198"/>
      <c r="S99" s="198"/>
      <c r="T99" s="198"/>
      <c r="U99" s="198"/>
    </row>
    <row r="100" spans="1:33" s="12" customFormat="1" x14ac:dyDescent="0.25">
      <c r="A100" s="214" t="s">
        <v>1971</v>
      </c>
      <c r="B100" s="64">
        <v>3.33</v>
      </c>
      <c r="C100" s="64">
        <v>35.61</v>
      </c>
      <c r="D100" s="64">
        <v>21.19</v>
      </c>
      <c r="E100" s="64">
        <v>1.18</v>
      </c>
      <c r="F100" s="64">
        <v>3.71</v>
      </c>
      <c r="G100" s="64">
        <v>69.739999999999995</v>
      </c>
      <c r="H100" s="64">
        <v>21.03</v>
      </c>
      <c r="I100" s="64">
        <v>6.63</v>
      </c>
      <c r="J100" s="64">
        <v>0.11</v>
      </c>
      <c r="K100" s="64">
        <v>257.01</v>
      </c>
      <c r="L100" s="64">
        <v>26.73</v>
      </c>
      <c r="M100" s="64">
        <v>44.05</v>
      </c>
      <c r="N100" s="64">
        <v>15.9</v>
      </c>
      <c r="O100" s="64">
        <v>0</v>
      </c>
      <c r="P100" s="64">
        <v>0.61</v>
      </c>
      <c r="Q100" s="64">
        <v>9.25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1972</v>
      </c>
      <c r="B101" s="64">
        <v>4.3499999999999996</v>
      </c>
      <c r="C101" s="64">
        <v>36.450000000000003</v>
      </c>
      <c r="D101" s="64">
        <v>22.45</v>
      </c>
      <c r="E101" s="64">
        <v>1.77</v>
      </c>
      <c r="F101" s="64">
        <v>3.35</v>
      </c>
      <c r="G101" s="64">
        <v>65.319999999999993</v>
      </c>
      <c r="H101" s="64">
        <v>19.72</v>
      </c>
      <c r="I101" s="64">
        <v>7.26</v>
      </c>
      <c r="J101" s="64">
        <v>0.15</v>
      </c>
      <c r="K101" s="64">
        <v>266.64</v>
      </c>
      <c r="L101" s="64">
        <v>26.68</v>
      </c>
      <c r="M101" s="64">
        <v>42.62</v>
      </c>
      <c r="N101" s="64">
        <v>15.9</v>
      </c>
      <c r="O101" s="64">
        <v>0</v>
      </c>
      <c r="P101" s="64">
        <v>0.62</v>
      </c>
      <c r="Q101" s="64">
        <v>9.25</v>
      </c>
      <c r="R101" s="198"/>
      <c r="S101" s="198"/>
      <c r="T101" s="198"/>
      <c r="U101" s="198"/>
    </row>
    <row r="102" spans="1:33" s="12" customFormat="1" x14ac:dyDescent="0.25">
      <c r="A102" s="214" t="s">
        <v>1973</v>
      </c>
      <c r="B102" s="64">
        <v>4.99</v>
      </c>
      <c r="C102" s="64">
        <v>36.630000000000003</v>
      </c>
      <c r="D102" s="64">
        <v>23.06</v>
      </c>
      <c r="E102" s="64">
        <v>1.84</v>
      </c>
      <c r="F102" s="64">
        <v>3.44</v>
      </c>
      <c r="G102" s="64">
        <v>65.319999999999993</v>
      </c>
      <c r="H102" s="64">
        <v>19.72</v>
      </c>
      <c r="I102" s="64">
        <v>7.64</v>
      </c>
      <c r="J102" s="64">
        <v>0.14000000000000001</v>
      </c>
      <c r="K102" s="64">
        <v>332</v>
      </c>
      <c r="L102" s="64">
        <v>26.36</v>
      </c>
      <c r="M102" s="64">
        <v>46.37</v>
      </c>
      <c r="N102" s="64">
        <v>15.9</v>
      </c>
      <c r="O102" s="64">
        <v>0</v>
      </c>
      <c r="P102" s="64">
        <v>0.64</v>
      </c>
      <c r="Q102" s="64">
        <v>9.26</v>
      </c>
      <c r="R102" s="198"/>
      <c r="S102" s="198"/>
      <c r="T102" s="198"/>
      <c r="U102" s="198"/>
    </row>
    <row r="103" spans="1:33" s="12" customFormat="1" x14ac:dyDescent="0.25">
      <c r="A103" s="214" t="s">
        <v>1974</v>
      </c>
      <c r="B103" s="64">
        <v>5.75</v>
      </c>
      <c r="C103" s="64">
        <v>36.51</v>
      </c>
      <c r="D103" s="64">
        <v>23.61</v>
      </c>
      <c r="E103" s="64">
        <v>1.69</v>
      </c>
      <c r="F103" s="64">
        <v>3.13</v>
      </c>
      <c r="G103" s="64">
        <v>65.319999999999993</v>
      </c>
      <c r="H103" s="64">
        <v>19.72</v>
      </c>
      <c r="I103" s="64">
        <v>7.37</v>
      </c>
      <c r="J103" s="64">
        <v>0.08</v>
      </c>
      <c r="K103" s="64">
        <v>234.86</v>
      </c>
      <c r="L103" s="64">
        <v>26.1</v>
      </c>
      <c r="M103" s="64">
        <v>46.12</v>
      </c>
      <c r="N103" s="64">
        <v>15.9</v>
      </c>
      <c r="O103" s="64">
        <v>0</v>
      </c>
      <c r="P103" s="64">
        <v>0.65</v>
      </c>
      <c r="Q103" s="64">
        <v>9.31</v>
      </c>
      <c r="R103" s="198"/>
      <c r="S103" s="198"/>
      <c r="T103" s="198"/>
      <c r="U103" s="198"/>
    </row>
    <row r="104" spans="1:33" s="12" customFormat="1" x14ac:dyDescent="0.25">
      <c r="A104" s="214" t="s">
        <v>1975</v>
      </c>
      <c r="B104" s="64">
        <v>5.75</v>
      </c>
      <c r="C104" s="64">
        <v>36.29</v>
      </c>
      <c r="D104" s="64">
        <v>23.49</v>
      </c>
      <c r="E104" s="64">
        <v>1.6</v>
      </c>
      <c r="F104" s="64">
        <v>3.17</v>
      </c>
      <c r="G104" s="64">
        <v>65.31</v>
      </c>
      <c r="H104" s="64">
        <v>19.79</v>
      </c>
      <c r="I104" s="64">
        <v>7.54</v>
      </c>
      <c r="J104" s="64">
        <v>0.15</v>
      </c>
      <c r="K104" s="64">
        <v>264.62</v>
      </c>
      <c r="L104" s="64">
        <v>25.95</v>
      </c>
      <c r="M104" s="64">
        <v>46.68</v>
      </c>
      <c r="N104" s="64">
        <v>15.9</v>
      </c>
      <c r="O104" s="64">
        <v>0</v>
      </c>
      <c r="P104" s="64">
        <v>0.66</v>
      </c>
      <c r="Q104" s="64">
        <v>9.23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23.65</v>
      </c>
      <c r="D106" s="67">
        <f t="shared" ref="D106:Q106" si="0">MIN(D9:D104)</f>
        <v>14.4</v>
      </c>
      <c r="E106" s="67">
        <f t="shared" si="0"/>
        <v>0.44</v>
      </c>
      <c r="F106" s="67">
        <f t="shared" si="0"/>
        <v>2.91</v>
      </c>
      <c r="G106" s="67">
        <f t="shared" si="0"/>
        <v>27.76</v>
      </c>
      <c r="H106" s="67">
        <f t="shared" si="0"/>
        <v>5.12</v>
      </c>
      <c r="I106" s="67">
        <f t="shared" si="0"/>
        <v>6.17</v>
      </c>
      <c r="J106" s="67">
        <f t="shared" si="0"/>
        <v>0.04</v>
      </c>
      <c r="K106" s="67">
        <f t="shared" si="0"/>
        <v>0.94</v>
      </c>
      <c r="L106" s="67">
        <f t="shared" si="0"/>
        <v>22.99</v>
      </c>
      <c r="M106" s="67">
        <f t="shared" si="0"/>
        <v>15.77</v>
      </c>
      <c r="N106" s="67">
        <f t="shared" si="0"/>
        <v>15</v>
      </c>
      <c r="O106" s="67">
        <f t="shared" si="0"/>
        <v>0</v>
      </c>
      <c r="P106" s="67">
        <f t="shared" si="0"/>
        <v>0.37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34.04</v>
      </c>
      <c r="C107" s="66">
        <f t="shared" ref="C107:Q107" si="1">MAX(C9:C104)</f>
        <v>44.32</v>
      </c>
      <c r="D107" s="66">
        <f t="shared" si="1"/>
        <v>41.78</v>
      </c>
      <c r="E107" s="66">
        <f t="shared" si="1"/>
        <v>2.19</v>
      </c>
      <c r="F107" s="66">
        <f t="shared" si="1"/>
        <v>5.4</v>
      </c>
      <c r="G107" s="66">
        <f t="shared" si="1"/>
        <v>148.63</v>
      </c>
      <c r="H107" s="66">
        <f t="shared" si="1"/>
        <v>43.06</v>
      </c>
      <c r="I107" s="66">
        <f t="shared" si="1"/>
        <v>10.27</v>
      </c>
      <c r="J107" s="66">
        <f t="shared" si="1"/>
        <v>1.19</v>
      </c>
      <c r="K107" s="66">
        <f t="shared" si="1"/>
        <v>359.37</v>
      </c>
      <c r="L107" s="66">
        <f t="shared" si="1"/>
        <v>38.61</v>
      </c>
      <c r="M107" s="66">
        <f t="shared" si="1"/>
        <v>59.32</v>
      </c>
      <c r="N107" s="66">
        <f t="shared" si="1"/>
        <v>1004.2</v>
      </c>
      <c r="O107" s="66">
        <f t="shared" si="1"/>
        <v>0</v>
      </c>
      <c r="P107" s="66">
        <f t="shared" si="1"/>
        <v>1.17</v>
      </c>
      <c r="Q107" s="66">
        <f t="shared" si="1"/>
        <v>9.5399999999999991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10.539166666666674</v>
      </c>
      <c r="C108" s="67">
        <f t="shared" ref="C108:Q108" si="2">AVERAGE(C9:C104)</f>
        <v>31.842604166666678</v>
      </c>
      <c r="D108" s="67">
        <f t="shared" si="2"/>
        <v>25.008020833333337</v>
      </c>
      <c r="E108" s="67">
        <f t="shared" si="2"/>
        <v>1.4532291666666663</v>
      </c>
      <c r="F108" s="67">
        <f t="shared" si="2"/>
        <v>3.9502083333333338</v>
      </c>
      <c r="G108" s="67">
        <f t="shared" si="2"/>
        <v>67.421770833333312</v>
      </c>
      <c r="H108" s="67">
        <f t="shared" si="2"/>
        <v>22.74968749999999</v>
      </c>
      <c r="I108" s="67">
        <f t="shared" si="2"/>
        <v>8.2048958333333335</v>
      </c>
      <c r="J108" s="67">
        <f t="shared" si="2"/>
        <v>0.39760416666666676</v>
      </c>
      <c r="K108" s="67">
        <f t="shared" si="2"/>
        <v>188.28437499999993</v>
      </c>
      <c r="L108" s="67">
        <f t="shared" si="2"/>
        <v>30.68677083333333</v>
      </c>
      <c r="M108" s="67">
        <f t="shared" si="2"/>
        <v>33.582916666666641</v>
      </c>
      <c r="N108" s="67">
        <f t="shared" si="2"/>
        <v>274.91250000000002</v>
      </c>
      <c r="O108" s="67">
        <f t="shared" si="2"/>
        <v>0</v>
      </c>
      <c r="P108" s="67">
        <f t="shared" si="2"/>
        <v>0.64052083333333332</v>
      </c>
      <c r="Q108" s="67">
        <f t="shared" si="2"/>
        <v>9.152826086956523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10.7951263532418</v>
      </c>
      <c r="C109" s="67">
        <f t="shared" ref="C109:Q109" si="3">STDEV(C9:C104)</f>
        <v>5.3005553323344801</v>
      </c>
      <c r="D109" s="67">
        <f t="shared" si="3"/>
        <v>8.330504833352478</v>
      </c>
      <c r="E109" s="67">
        <f t="shared" si="3"/>
        <v>0.32032054600506638</v>
      </c>
      <c r="F109" s="67">
        <f t="shared" si="3"/>
        <v>0.64916136857960505</v>
      </c>
      <c r="G109" s="67">
        <f t="shared" si="3"/>
        <v>35.5813881269641</v>
      </c>
      <c r="H109" s="67">
        <f t="shared" si="3"/>
        <v>9.9780284365331404</v>
      </c>
      <c r="I109" s="67">
        <f t="shared" si="3"/>
        <v>1.0889744038282048</v>
      </c>
      <c r="J109" s="67">
        <f t="shared" si="3"/>
        <v>0.30711473868783651</v>
      </c>
      <c r="K109" s="67">
        <f t="shared" si="3"/>
        <v>120.92957170721105</v>
      </c>
      <c r="L109" s="67">
        <f t="shared" si="3"/>
        <v>4.8857682679372907</v>
      </c>
      <c r="M109" s="67">
        <f t="shared" si="3"/>
        <v>13.382990769249833</v>
      </c>
      <c r="N109" s="67">
        <f t="shared" si="3"/>
        <v>357.83361209837221</v>
      </c>
      <c r="O109" s="67">
        <f t="shared" si="3"/>
        <v>0</v>
      </c>
      <c r="P109" s="67">
        <f t="shared" si="3"/>
        <v>0.17522538744002977</v>
      </c>
      <c r="Q109" s="67">
        <f t="shared" si="3"/>
        <v>0.96971880606102046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COUNT(Q9:Q104)+4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1976</v>
      </c>
      <c r="B9" s="64">
        <v>5.66</v>
      </c>
      <c r="C9" s="64">
        <v>36.119999999999997</v>
      </c>
      <c r="D9" s="64">
        <v>23.33</v>
      </c>
      <c r="E9" s="64">
        <v>1.68</v>
      </c>
      <c r="F9" s="64">
        <v>3.5</v>
      </c>
      <c r="G9" s="64">
        <v>65.180000000000007</v>
      </c>
      <c r="H9" s="64">
        <v>20.95</v>
      </c>
      <c r="I9" s="64">
        <v>7.71</v>
      </c>
      <c r="J9" s="64">
        <v>0.14000000000000001</v>
      </c>
      <c r="K9" s="64">
        <v>242.86</v>
      </c>
      <c r="L9" s="64">
        <v>25.76</v>
      </c>
      <c r="M9" s="64">
        <v>47.46</v>
      </c>
      <c r="N9" s="64">
        <v>15.8</v>
      </c>
      <c r="O9" s="64">
        <v>0</v>
      </c>
      <c r="P9" s="64">
        <v>0.65</v>
      </c>
      <c r="Q9" s="64">
        <v>9.3000000000000007</v>
      </c>
      <c r="R9" s="198"/>
      <c r="S9" s="198"/>
      <c r="T9" s="198"/>
      <c r="U9" s="198"/>
    </row>
    <row r="10" spans="1:21" s="12" customFormat="1" x14ac:dyDescent="0.25">
      <c r="A10" s="214" t="s">
        <v>1977</v>
      </c>
      <c r="B10" s="64">
        <v>5.79</v>
      </c>
      <c r="C10" s="64">
        <v>36.33</v>
      </c>
      <c r="D10" s="64">
        <v>23.54</v>
      </c>
      <c r="E10" s="64">
        <v>1.85</v>
      </c>
      <c r="F10" s="64">
        <v>3.73</v>
      </c>
      <c r="G10" s="64">
        <v>65.180000000000007</v>
      </c>
      <c r="H10" s="64">
        <v>20.95</v>
      </c>
      <c r="I10" s="64">
        <v>7.54</v>
      </c>
      <c r="J10" s="64">
        <v>0.03</v>
      </c>
      <c r="K10" s="64">
        <v>263.42</v>
      </c>
      <c r="L10" s="64">
        <v>25.63</v>
      </c>
      <c r="M10" s="64">
        <v>47.98</v>
      </c>
      <c r="N10" s="64">
        <v>15.9</v>
      </c>
      <c r="O10" s="64">
        <v>0</v>
      </c>
      <c r="P10" s="64">
        <v>0.65</v>
      </c>
      <c r="Q10" s="64">
        <v>9.2799999999999994</v>
      </c>
      <c r="R10" s="198"/>
      <c r="S10" s="198"/>
      <c r="T10" s="198"/>
      <c r="U10" s="198"/>
    </row>
    <row r="11" spans="1:21" s="12" customFormat="1" x14ac:dyDescent="0.25">
      <c r="A11" s="214" t="s">
        <v>1978</v>
      </c>
      <c r="B11" s="64">
        <v>6.22</v>
      </c>
      <c r="C11" s="64">
        <v>35.94</v>
      </c>
      <c r="D11" s="64">
        <v>23.69</v>
      </c>
      <c r="E11" s="64">
        <v>1.81</v>
      </c>
      <c r="F11" s="64">
        <v>3.65</v>
      </c>
      <c r="G11" s="64">
        <v>65.180000000000007</v>
      </c>
      <c r="H11" s="64">
        <v>20.95</v>
      </c>
      <c r="I11" s="64">
        <v>7.26</v>
      </c>
      <c r="J11" s="64">
        <v>0.01</v>
      </c>
      <c r="K11" s="64">
        <v>335.72</v>
      </c>
      <c r="L11" s="64">
        <v>25.38</v>
      </c>
      <c r="M11" s="64">
        <v>51.6</v>
      </c>
      <c r="N11" s="64">
        <v>15.9</v>
      </c>
      <c r="O11" s="64">
        <v>0</v>
      </c>
      <c r="P11" s="64">
        <v>0.65</v>
      </c>
      <c r="Q11" s="64">
        <v>9.15</v>
      </c>
      <c r="R11" s="198"/>
      <c r="S11" s="198"/>
      <c r="T11" s="198"/>
      <c r="U11" s="198"/>
    </row>
    <row r="12" spans="1:21" s="12" customFormat="1" x14ac:dyDescent="0.25">
      <c r="A12" s="214" t="s">
        <v>1979</v>
      </c>
      <c r="B12" s="64">
        <v>6.47</v>
      </c>
      <c r="C12" s="64">
        <v>35.700000000000003</v>
      </c>
      <c r="D12" s="64">
        <v>23.76</v>
      </c>
      <c r="E12" s="64">
        <v>1.46</v>
      </c>
      <c r="F12" s="64">
        <v>3.36</v>
      </c>
      <c r="G12" s="64">
        <v>65.22</v>
      </c>
      <c r="H12" s="64">
        <v>20.92</v>
      </c>
      <c r="I12" s="64">
        <v>7.45</v>
      </c>
      <c r="J12" s="64">
        <v>0.1</v>
      </c>
      <c r="K12" s="64">
        <v>274.81</v>
      </c>
      <c r="L12" s="64">
        <v>25.34</v>
      </c>
      <c r="M12" s="64">
        <v>48.25</v>
      </c>
      <c r="N12" s="64">
        <v>15.8</v>
      </c>
      <c r="O12" s="64">
        <v>0</v>
      </c>
      <c r="P12" s="64">
        <v>0.65</v>
      </c>
      <c r="Q12" s="64">
        <v>9.25</v>
      </c>
      <c r="R12" s="198"/>
      <c r="S12" s="198"/>
      <c r="T12" s="198"/>
      <c r="U12" s="198"/>
    </row>
    <row r="13" spans="1:21" s="12" customFormat="1" x14ac:dyDescent="0.25">
      <c r="A13" s="214" t="s">
        <v>1980</v>
      </c>
      <c r="B13" s="64">
        <v>6.03</v>
      </c>
      <c r="C13" s="64">
        <v>35.630000000000003</v>
      </c>
      <c r="D13" s="64">
        <v>23.37</v>
      </c>
      <c r="E13" s="64">
        <v>2.0699999999999998</v>
      </c>
      <c r="F13" s="64">
        <v>3.48</v>
      </c>
      <c r="G13" s="64">
        <v>65.72</v>
      </c>
      <c r="H13" s="64">
        <v>20.55</v>
      </c>
      <c r="I13" s="64">
        <v>7.43</v>
      </c>
      <c r="J13" s="64">
        <v>0.13</v>
      </c>
      <c r="K13" s="64">
        <v>263.10000000000002</v>
      </c>
      <c r="L13" s="64">
        <v>25.41</v>
      </c>
      <c r="M13" s="64">
        <v>47.66</v>
      </c>
      <c r="N13" s="64">
        <v>15.7</v>
      </c>
      <c r="O13" s="64">
        <v>0</v>
      </c>
      <c r="P13" s="64">
        <v>0.64</v>
      </c>
      <c r="Q13" s="64">
        <v>9.2799999999999994</v>
      </c>
      <c r="R13" s="198"/>
      <c r="S13" s="198"/>
      <c r="T13" s="198"/>
      <c r="U13" s="198"/>
    </row>
    <row r="14" spans="1:21" s="12" customFormat="1" x14ac:dyDescent="0.25">
      <c r="A14" s="214" t="s">
        <v>1981</v>
      </c>
      <c r="B14" s="64">
        <v>5.45</v>
      </c>
      <c r="C14" s="64">
        <v>36.68</v>
      </c>
      <c r="D14" s="64">
        <v>23.45</v>
      </c>
      <c r="E14" s="64">
        <v>1.96</v>
      </c>
      <c r="F14" s="64">
        <v>3.51</v>
      </c>
      <c r="G14" s="64">
        <v>65.72</v>
      </c>
      <c r="H14" s="64">
        <v>20.55</v>
      </c>
      <c r="I14" s="64">
        <v>7.17</v>
      </c>
      <c r="J14" s="64">
        <v>0.15</v>
      </c>
      <c r="K14" s="64">
        <v>292.77999999999997</v>
      </c>
      <c r="L14" s="64">
        <v>25.3</v>
      </c>
      <c r="M14" s="64">
        <v>49</v>
      </c>
      <c r="N14" s="64">
        <v>15.8</v>
      </c>
      <c r="O14" s="64">
        <v>0</v>
      </c>
      <c r="P14" s="64">
        <v>0.65</v>
      </c>
      <c r="Q14" s="64">
        <v>9.2200000000000006</v>
      </c>
      <c r="R14" s="198"/>
      <c r="S14" s="198"/>
      <c r="T14" s="198"/>
      <c r="U14" s="198"/>
    </row>
    <row r="15" spans="1:21" s="12" customFormat="1" x14ac:dyDescent="0.25">
      <c r="A15" s="214" t="s">
        <v>1982</v>
      </c>
      <c r="B15" s="64">
        <v>5.16</v>
      </c>
      <c r="C15" s="64">
        <v>34.340000000000003</v>
      </c>
      <c r="D15" s="64">
        <v>22</v>
      </c>
      <c r="E15" s="64">
        <v>1.72</v>
      </c>
      <c r="F15" s="64">
        <v>3.79</v>
      </c>
      <c r="G15" s="64">
        <v>65.72</v>
      </c>
      <c r="H15" s="64">
        <v>20.55</v>
      </c>
      <c r="I15" s="64">
        <v>6.92</v>
      </c>
      <c r="J15" s="64">
        <v>0.12</v>
      </c>
      <c r="K15" s="64">
        <v>301.87</v>
      </c>
      <c r="L15" s="64">
        <v>24.89</v>
      </c>
      <c r="M15" s="64">
        <v>50.33</v>
      </c>
      <c r="N15" s="64">
        <v>16.2</v>
      </c>
      <c r="O15" s="64">
        <v>0</v>
      </c>
      <c r="P15" s="64">
        <v>0.65</v>
      </c>
      <c r="Q15" s="64">
        <v>9.26</v>
      </c>
      <c r="R15" s="198"/>
      <c r="S15" s="198"/>
      <c r="T15" s="198"/>
      <c r="U15" s="198"/>
    </row>
    <row r="16" spans="1:21" s="12" customFormat="1" x14ac:dyDescent="0.25">
      <c r="A16" s="214" t="s">
        <v>1983</v>
      </c>
      <c r="B16" s="64">
        <v>4.93</v>
      </c>
      <c r="C16" s="64">
        <v>33.85</v>
      </c>
      <c r="D16" s="64">
        <v>21.56</v>
      </c>
      <c r="E16" s="64">
        <v>1.9</v>
      </c>
      <c r="F16" s="64">
        <v>3.65</v>
      </c>
      <c r="G16" s="64">
        <v>65.680000000000007</v>
      </c>
      <c r="H16" s="64">
        <v>20.56</v>
      </c>
      <c r="I16" s="64">
        <v>6.38</v>
      </c>
      <c r="J16" s="64">
        <v>0.15</v>
      </c>
      <c r="K16" s="64">
        <v>238.68</v>
      </c>
      <c r="L16" s="64">
        <v>24.9</v>
      </c>
      <c r="M16" s="64">
        <v>50.13</v>
      </c>
      <c r="N16" s="64">
        <v>15.6</v>
      </c>
      <c r="O16" s="64">
        <v>0</v>
      </c>
      <c r="P16" s="64">
        <v>0.63</v>
      </c>
      <c r="Q16" s="64">
        <v>9.25</v>
      </c>
      <c r="R16" s="198"/>
      <c r="S16" s="198"/>
      <c r="T16" s="198"/>
      <c r="U16" s="198"/>
    </row>
    <row r="17" spans="1:21" s="12" customFormat="1" x14ac:dyDescent="0.25">
      <c r="A17" s="214" t="s">
        <v>1984</v>
      </c>
      <c r="B17" s="64">
        <v>4.82</v>
      </c>
      <c r="C17" s="64">
        <v>33.75</v>
      </c>
      <c r="D17" s="64">
        <v>21.42</v>
      </c>
      <c r="E17" s="64">
        <v>1.82</v>
      </c>
      <c r="F17" s="64">
        <v>3.4</v>
      </c>
      <c r="G17" s="64">
        <v>65.06</v>
      </c>
      <c r="H17" s="64">
        <v>20.65</v>
      </c>
      <c r="I17" s="64">
        <v>6.43</v>
      </c>
      <c r="J17" s="64">
        <v>0.21</v>
      </c>
      <c r="K17" s="64">
        <v>281.52999999999997</v>
      </c>
      <c r="L17" s="64">
        <v>24.82</v>
      </c>
      <c r="M17" s="64">
        <v>54.34</v>
      </c>
      <c r="N17" s="64">
        <v>15.6</v>
      </c>
      <c r="O17" s="64">
        <v>0</v>
      </c>
      <c r="P17" s="64">
        <v>0.63</v>
      </c>
      <c r="Q17" s="64">
        <v>9.27</v>
      </c>
      <c r="R17" s="198"/>
      <c r="S17" s="198"/>
      <c r="T17" s="198"/>
      <c r="U17" s="198"/>
    </row>
    <row r="18" spans="1:21" s="12" customFormat="1" x14ac:dyDescent="0.25">
      <c r="A18" s="214" t="s">
        <v>1985</v>
      </c>
      <c r="B18" s="64">
        <v>4.8600000000000003</v>
      </c>
      <c r="C18" s="64">
        <v>32.93</v>
      </c>
      <c r="D18" s="64">
        <v>21.02</v>
      </c>
      <c r="E18" s="64">
        <v>1.92</v>
      </c>
      <c r="F18" s="64">
        <v>3.21</v>
      </c>
      <c r="G18" s="64">
        <v>65.06</v>
      </c>
      <c r="H18" s="64">
        <v>20.65</v>
      </c>
      <c r="I18" s="64">
        <v>6.78</v>
      </c>
      <c r="J18" s="64">
        <v>0.22</v>
      </c>
      <c r="K18" s="64">
        <v>238.78</v>
      </c>
      <c r="L18" s="64">
        <v>24.5</v>
      </c>
      <c r="M18" s="64">
        <v>52.55</v>
      </c>
      <c r="N18" s="64">
        <v>15</v>
      </c>
      <c r="O18" s="64">
        <v>0</v>
      </c>
      <c r="P18" s="64">
        <v>0.62</v>
      </c>
      <c r="Q18" s="64">
        <v>9.2799999999999994</v>
      </c>
      <c r="R18" s="198"/>
      <c r="S18" s="198"/>
      <c r="T18" s="198"/>
      <c r="U18" s="198"/>
    </row>
    <row r="19" spans="1:21" s="12" customFormat="1" x14ac:dyDescent="0.25">
      <c r="A19" s="214" t="s">
        <v>1986</v>
      </c>
      <c r="B19" s="64">
        <v>4.74</v>
      </c>
      <c r="C19" s="64">
        <v>31.89</v>
      </c>
      <c r="D19" s="64">
        <v>20.38</v>
      </c>
      <c r="E19" s="64">
        <v>1.49</v>
      </c>
      <c r="F19" s="64">
        <v>3.63</v>
      </c>
      <c r="G19" s="64">
        <v>65.06</v>
      </c>
      <c r="H19" s="64">
        <v>20.65</v>
      </c>
      <c r="I19" s="64">
        <v>7.24</v>
      </c>
      <c r="J19" s="64">
        <v>0.18</v>
      </c>
      <c r="K19" s="64">
        <v>295.58999999999997</v>
      </c>
      <c r="L19" s="64">
        <v>24.9</v>
      </c>
      <c r="M19" s="64">
        <v>50.4</v>
      </c>
      <c r="N19" s="64">
        <v>15.8</v>
      </c>
      <c r="O19" s="64">
        <v>0</v>
      </c>
      <c r="P19" s="64">
        <v>0.61</v>
      </c>
      <c r="Q19" s="64">
        <v>9.1999999999999993</v>
      </c>
      <c r="R19" s="198"/>
      <c r="S19" s="198"/>
      <c r="T19" s="198"/>
      <c r="U19" s="198"/>
    </row>
    <row r="20" spans="1:21" s="12" customFormat="1" x14ac:dyDescent="0.25">
      <c r="A20" s="214" t="s">
        <v>1987</v>
      </c>
      <c r="B20" s="64">
        <v>4.6100000000000003</v>
      </c>
      <c r="C20" s="64">
        <v>31.66</v>
      </c>
      <c r="D20" s="64">
        <v>20.16</v>
      </c>
      <c r="E20" s="64">
        <v>1.7</v>
      </c>
      <c r="F20" s="64">
        <v>3.61</v>
      </c>
      <c r="G20" s="64">
        <v>65.02</v>
      </c>
      <c r="H20" s="64">
        <v>20.69</v>
      </c>
      <c r="I20" s="64">
        <v>7.38</v>
      </c>
      <c r="J20" s="64">
        <v>0.18</v>
      </c>
      <c r="K20" s="64">
        <v>0.9</v>
      </c>
      <c r="L20" s="64">
        <v>23.87</v>
      </c>
      <c r="M20" s="64">
        <v>56.51</v>
      </c>
      <c r="N20" s="64">
        <v>16.3</v>
      </c>
      <c r="O20" s="64">
        <v>0</v>
      </c>
      <c r="P20" s="64">
        <v>0.62</v>
      </c>
      <c r="Q20" s="64">
        <v>9.18</v>
      </c>
      <c r="R20" s="198"/>
      <c r="S20" s="198"/>
      <c r="T20" s="198"/>
      <c r="U20" s="198"/>
    </row>
    <row r="21" spans="1:21" s="12" customFormat="1" x14ac:dyDescent="0.25">
      <c r="A21" s="214" t="s">
        <v>1988</v>
      </c>
      <c r="B21" s="64">
        <v>4.5599999999999996</v>
      </c>
      <c r="C21" s="64">
        <v>31.21</v>
      </c>
      <c r="D21" s="64">
        <v>19.88</v>
      </c>
      <c r="E21" s="64">
        <v>1.71</v>
      </c>
      <c r="F21" s="64">
        <v>3.25</v>
      </c>
      <c r="G21" s="64">
        <v>64.44</v>
      </c>
      <c r="H21" s="64">
        <v>21.33</v>
      </c>
      <c r="I21" s="64">
        <v>7.33</v>
      </c>
      <c r="J21" s="64">
        <v>0.09</v>
      </c>
      <c r="K21" s="64">
        <v>133.74</v>
      </c>
      <c r="L21" s="64">
        <v>23.9</v>
      </c>
      <c r="M21" s="64">
        <v>54.54</v>
      </c>
      <c r="N21" s="64">
        <v>15.6</v>
      </c>
      <c r="O21" s="64">
        <v>0</v>
      </c>
      <c r="P21" s="64">
        <v>0.61</v>
      </c>
      <c r="Q21" s="64">
        <v>9.2100000000000009</v>
      </c>
      <c r="R21" s="198"/>
      <c r="S21" s="198"/>
      <c r="T21" s="198"/>
      <c r="U21" s="198"/>
    </row>
    <row r="22" spans="1:21" s="12" customFormat="1" x14ac:dyDescent="0.25">
      <c r="A22" s="214" t="s">
        <v>1989</v>
      </c>
      <c r="B22" s="64">
        <v>4.33</v>
      </c>
      <c r="C22" s="64">
        <v>31.4</v>
      </c>
      <c r="D22" s="64">
        <v>19.8</v>
      </c>
      <c r="E22" s="64">
        <v>1.7</v>
      </c>
      <c r="F22" s="64">
        <v>3.93</v>
      </c>
      <c r="G22" s="64">
        <v>64.44</v>
      </c>
      <c r="H22" s="64">
        <v>21.33</v>
      </c>
      <c r="I22" s="64">
        <v>7.95</v>
      </c>
      <c r="J22" s="64">
        <v>7.0000000000000007E-2</v>
      </c>
      <c r="K22" s="64">
        <v>213.41</v>
      </c>
      <c r="L22" s="64">
        <v>23.81</v>
      </c>
      <c r="M22" s="64">
        <v>57.81</v>
      </c>
      <c r="N22" s="64">
        <v>15.9</v>
      </c>
      <c r="O22" s="64">
        <v>0</v>
      </c>
      <c r="P22" s="64">
        <v>0.61</v>
      </c>
      <c r="Q22" s="64">
        <v>9.2100000000000009</v>
      </c>
      <c r="R22" s="198"/>
      <c r="S22" s="198"/>
      <c r="T22" s="198"/>
      <c r="U22" s="198"/>
    </row>
    <row r="23" spans="1:21" s="12" customFormat="1" x14ac:dyDescent="0.25">
      <c r="A23" s="214" t="s">
        <v>1990</v>
      </c>
      <c r="B23" s="64">
        <v>4.05</v>
      </c>
      <c r="C23" s="64">
        <v>32.31</v>
      </c>
      <c r="D23" s="64">
        <v>20.05</v>
      </c>
      <c r="E23" s="64">
        <v>2.04</v>
      </c>
      <c r="F23" s="64">
        <v>3.35</v>
      </c>
      <c r="G23" s="64">
        <v>64.44</v>
      </c>
      <c r="H23" s="64">
        <v>21.33</v>
      </c>
      <c r="I23" s="64">
        <v>8.4499999999999993</v>
      </c>
      <c r="J23" s="64">
        <v>0.04</v>
      </c>
      <c r="K23" s="64">
        <v>100.25</v>
      </c>
      <c r="L23" s="64">
        <v>23.96</v>
      </c>
      <c r="M23" s="64">
        <v>54.61</v>
      </c>
      <c r="N23" s="64">
        <v>15.6</v>
      </c>
      <c r="O23" s="64">
        <v>0</v>
      </c>
      <c r="P23" s="64">
        <v>0.61</v>
      </c>
      <c r="Q23" s="64">
        <v>9.24</v>
      </c>
      <c r="R23" s="198"/>
      <c r="S23" s="198"/>
      <c r="T23" s="198"/>
      <c r="U23" s="198"/>
    </row>
    <row r="24" spans="1:21" s="12" customFormat="1" x14ac:dyDescent="0.25">
      <c r="A24" s="214" t="s">
        <v>1991</v>
      </c>
      <c r="B24" s="64">
        <v>4.13</v>
      </c>
      <c r="C24" s="64">
        <v>32.47</v>
      </c>
      <c r="D24" s="64">
        <v>20.190000000000001</v>
      </c>
      <c r="E24" s="64">
        <v>1.2</v>
      </c>
      <c r="F24" s="64">
        <v>3.5</v>
      </c>
      <c r="G24" s="64">
        <v>64.78</v>
      </c>
      <c r="H24" s="64">
        <v>21.42</v>
      </c>
      <c r="I24" s="64">
        <v>9.09</v>
      </c>
      <c r="J24" s="64">
        <v>0.12</v>
      </c>
      <c r="K24" s="64">
        <v>236.07</v>
      </c>
      <c r="L24" s="64">
        <v>23.88</v>
      </c>
      <c r="M24" s="64">
        <v>56.2</v>
      </c>
      <c r="N24" s="64">
        <v>15.6</v>
      </c>
      <c r="O24" s="64">
        <v>0</v>
      </c>
      <c r="P24" s="64">
        <v>0.61</v>
      </c>
      <c r="Q24" s="64">
        <v>9.25</v>
      </c>
      <c r="R24" s="198"/>
      <c r="S24" s="198"/>
      <c r="T24" s="198"/>
      <c r="U24" s="198"/>
    </row>
    <row r="25" spans="1:21" s="12" customFormat="1" x14ac:dyDescent="0.25">
      <c r="A25" s="214" t="s">
        <v>1992</v>
      </c>
      <c r="B25" s="64">
        <v>5.39</v>
      </c>
      <c r="C25" s="64">
        <v>32.86</v>
      </c>
      <c r="D25" s="64">
        <v>21.41</v>
      </c>
      <c r="E25" s="64">
        <v>1.2</v>
      </c>
      <c r="F25" s="64">
        <v>3.46</v>
      </c>
      <c r="G25" s="64">
        <v>69.55</v>
      </c>
      <c r="H25" s="64">
        <v>22.96</v>
      </c>
      <c r="I25" s="64">
        <v>9.2100000000000009</v>
      </c>
      <c r="J25" s="64">
        <v>7.0000000000000007E-2</v>
      </c>
      <c r="K25" s="64">
        <v>272.95</v>
      </c>
      <c r="L25" s="64">
        <v>23.48</v>
      </c>
      <c r="M25" s="64">
        <v>59.29</v>
      </c>
      <c r="N25" s="64">
        <v>16.100000000000001</v>
      </c>
      <c r="O25" s="64">
        <v>0</v>
      </c>
      <c r="P25" s="64">
        <v>0.62</v>
      </c>
      <c r="Q25" s="64">
        <v>9.24</v>
      </c>
      <c r="R25" s="198"/>
      <c r="S25" s="198"/>
      <c r="T25" s="198"/>
      <c r="U25" s="198"/>
    </row>
    <row r="26" spans="1:21" s="12" customFormat="1" x14ac:dyDescent="0.25">
      <c r="A26" s="214" t="s">
        <v>1993</v>
      </c>
      <c r="B26" s="64">
        <v>7.16</v>
      </c>
      <c r="C26" s="64">
        <v>33.04</v>
      </c>
      <c r="D26" s="64">
        <v>22.93</v>
      </c>
      <c r="E26" s="64">
        <v>0.82</v>
      </c>
      <c r="F26" s="64">
        <v>3.71</v>
      </c>
      <c r="G26" s="64">
        <v>69.55</v>
      </c>
      <c r="H26" s="64">
        <v>22.96</v>
      </c>
      <c r="I26" s="64">
        <v>9.2899999999999991</v>
      </c>
      <c r="J26" s="64">
        <v>7.0000000000000007E-2</v>
      </c>
      <c r="K26" s="64">
        <v>215.76</v>
      </c>
      <c r="L26" s="64">
        <v>23.45</v>
      </c>
      <c r="M26" s="64">
        <v>55.69</v>
      </c>
      <c r="N26" s="64">
        <v>15.6</v>
      </c>
      <c r="O26" s="64">
        <v>0</v>
      </c>
      <c r="P26" s="64">
        <v>0.63</v>
      </c>
      <c r="Q26" s="64">
        <v>9.18</v>
      </c>
      <c r="R26" s="198"/>
      <c r="S26" s="198"/>
      <c r="T26" s="198"/>
      <c r="U26" s="198"/>
    </row>
    <row r="27" spans="1:21" s="12" customFormat="1" x14ac:dyDescent="0.25">
      <c r="A27" s="214" t="s">
        <v>1994</v>
      </c>
      <c r="B27" s="64">
        <v>7.88</v>
      </c>
      <c r="C27" s="64">
        <v>32.85</v>
      </c>
      <c r="D27" s="64">
        <v>23.4</v>
      </c>
      <c r="E27" s="64">
        <v>1.08</v>
      </c>
      <c r="F27" s="64">
        <v>3.76</v>
      </c>
      <c r="G27" s="64">
        <v>69.55</v>
      </c>
      <c r="H27" s="64">
        <v>22.96</v>
      </c>
      <c r="I27" s="64">
        <v>9.57</v>
      </c>
      <c r="J27" s="64">
        <v>0.15</v>
      </c>
      <c r="K27" s="64">
        <v>239.19</v>
      </c>
      <c r="L27" s="64">
        <v>23.61</v>
      </c>
      <c r="M27" s="64">
        <v>53.45</v>
      </c>
      <c r="N27" s="64">
        <v>15.6</v>
      </c>
      <c r="O27" s="64">
        <v>0</v>
      </c>
      <c r="P27" s="64">
        <v>0.64</v>
      </c>
      <c r="Q27" s="64">
        <v>9.36</v>
      </c>
      <c r="R27" s="198"/>
      <c r="S27" s="198"/>
      <c r="T27" s="198"/>
      <c r="U27" s="198"/>
    </row>
    <row r="28" spans="1:21" s="12" customFormat="1" x14ac:dyDescent="0.25">
      <c r="A28" s="214" t="s">
        <v>1995</v>
      </c>
      <c r="B28" s="64">
        <v>8.33</v>
      </c>
      <c r="C28" s="64">
        <v>32.26</v>
      </c>
      <c r="D28" s="64">
        <v>23.46</v>
      </c>
      <c r="E28" s="64">
        <v>1.27</v>
      </c>
      <c r="F28" s="64">
        <v>3.43</v>
      </c>
      <c r="G28" s="64">
        <v>69.319999999999993</v>
      </c>
      <c r="H28" s="64">
        <v>22.97</v>
      </c>
      <c r="I28" s="64">
        <v>9.6999999999999993</v>
      </c>
      <c r="J28" s="64">
        <v>0.02</v>
      </c>
      <c r="K28" s="64">
        <v>311.04000000000002</v>
      </c>
      <c r="L28" s="64">
        <v>23.26</v>
      </c>
      <c r="M28" s="64">
        <v>55.9</v>
      </c>
      <c r="N28" s="64">
        <v>16.100000000000001</v>
      </c>
      <c r="O28" s="64">
        <v>0</v>
      </c>
      <c r="P28" s="64">
        <v>0.64</v>
      </c>
      <c r="Q28" s="64">
        <v>9.3800000000000008</v>
      </c>
      <c r="R28" s="198"/>
      <c r="S28" s="198"/>
      <c r="T28" s="198"/>
      <c r="U28" s="198"/>
    </row>
    <row r="29" spans="1:21" s="12" customFormat="1" x14ac:dyDescent="0.25">
      <c r="A29" s="214" t="s">
        <v>1996</v>
      </c>
      <c r="B29" s="64">
        <v>9.2799999999999994</v>
      </c>
      <c r="C29" s="64">
        <v>32.94</v>
      </c>
      <c r="D29" s="64">
        <v>24.57</v>
      </c>
      <c r="E29" s="64">
        <v>1.43</v>
      </c>
      <c r="F29" s="64">
        <v>3.22</v>
      </c>
      <c r="G29" s="64">
        <v>65.400000000000006</v>
      </c>
      <c r="H29" s="64">
        <v>23.23</v>
      </c>
      <c r="I29" s="64">
        <v>9.77</v>
      </c>
      <c r="J29" s="64">
        <v>0.05</v>
      </c>
      <c r="K29" s="64">
        <v>234.31</v>
      </c>
      <c r="L29" s="64">
        <v>22.86</v>
      </c>
      <c r="M29" s="64">
        <v>58.17</v>
      </c>
      <c r="N29" s="64">
        <v>16</v>
      </c>
      <c r="O29" s="64">
        <v>0</v>
      </c>
      <c r="P29" s="64">
        <v>0.64</v>
      </c>
      <c r="Q29" s="64">
        <v>9.23</v>
      </c>
      <c r="R29" s="198"/>
      <c r="S29" s="198"/>
      <c r="T29" s="198"/>
      <c r="U29" s="198"/>
    </row>
    <row r="30" spans="1:21" s="12" customFormat="1" x14ac:dyDescent="0.25">
      <c r="A30" s="214" t="s">
        <v>1997</v>
      </c>
      <c r="B30" s="64">
        <v>11.21</v>
      </c>
      <c r="C30" s="64">
        <v>32.92</v>
      </c>
      <c r="D30" s="64">
        <v>26.11</v>
      </c>
      <c r="E30" s="64">
        <v>1.3</v>
      </c>
      <c r="F30" s="64">
        <v>3.46</v>
      </c>
      <c r="G30" s="64">
        <v>65.400000000000006</v>
      </c>
      <c r="H30" s="64">
        <v>23.23</v>
      </c>
      <c r="I30" s="64">
        <v>9.82</v>
      </c>
      <c r="J30" s="64">
        <v>0.02</v>
      </c>
      <c r="K30" s="64">
        <v>173.14</v>
      </c>
      <c r="L30" s="64">
        <v>22.6</v>
      </c>
      <c r="M30" s="64">
        <v>61.66</v>
      </c>
      <c r="N30" s="64">
        <v>17</v>
      </c>
      <c r="O30" s="64">
        <v>0</v>
      </c>
      <c r="P30" s="64">
        <v>0.64</v>
      </c>
      <c r="Q30" s="64">
        <v>9.25</v>
      </c>
      <c r="R30" s="198"/>
      <c r="S30" s="198"/>
      <c r="T30" s="198"/>
      <c r="U30" s="198"/>
    </row>
    <row r="31" spans="1:21" s="12" customFormat="1" x14ac:dyDescent="0.25">
      <c r="A31" s="214" t="s">
        <v>1998</v>
      </c>
      <c r="B31" s="64">
        <v>14.27</v>
      </c>
      <c r="C31" s="64">
        <v>32.72</v>
      </c>
      <c r="D31" s="64">
        <v>28.46</v>
      </c>
      <c r="E31" s="64">
        <v>1.27</v>
      </c>
      <c r="F31" s="64">
        <v>3.39</v>
      </c>
      <c r="G31" s="64">
        <v>65.400000000000006</v>
      </c>
      <c r="H31" s="64">
        <v>23.23</v>
      </c>
      <c r="I31" s="64">
        <v>9.89</v>
      </c>
      <c r="J31" s="64">
        <v>0.08</v>
      </c>
      <c r="K31" s="64">
        <v>298.36</v>
      </c>
      <c r="L31" s="64">
        <v>22.57</v>
      </c>
      <c r="M31" s="64">
        <v>63.41</v>
      </c>
      <c r="N31" s="64">
        <v>23.6</v>
      </c>
      <c r="O31" s="64">
        <v>0</v>
      </c>
      <c r="P31" s="64">
        <v>0.67</v>
      </c>
      <c r="Q31" s="64">
        <v>9.34</v>
      </c>
      <c r="R31" s="198"/>
      <c r="S31" s="198"/>
      <c r="T31" s="198"/>
      <c r="U31" s="198"/>
    </row>
    <row r="32" spans="1:21" s="12" customFormat="1" x14ac:dyDescent="0.25">
      <c r="A32" s="214" t="s">
        <v>1999</v>
      </c>
      <c r="B32" s="64">
        <v>19.23</v>
      </c>
      <c r="C32" s="64">
        <v>33.909999999999997</v>
      </c>
      <c r="D32" s="64">
        <v>33.06</v>
      </c>
      <c r="E32" s="64">
        <v>1.34</v>
      </c>
      <c r="F32" s="64">
        <v>3.22</v>
      </c>
      <c r="G32" s="64">
        <v>71.72</v>
      </c>
      <c r="H32" s="64">
        <v>23.65</v>
      </c>
      <c r="I32" s="64">
        <v>9.9</v>
      </c>
      <c r="J32" s="64">
        <v>0.06</v>
      </c>
      <c r="K32" s="64">
        <v>63.18</v>
      </c>
      <c r="L32" s="64">
        <v>22.81</v>
      </c>
      <c r="M32" s="64">
        <v>63.66</v>
      </c>
      <c r="N32" s="64">
        <v>40.6</v>
      </c>
      <c r="O32" s="64">
        <v>0</v>
      </c>
      <c r="P32" s="64">
        <v>0.69</v>
      </c>
      <c r="Q32" s="64">
        <v>9.26</v>
      </c>
      <c r="R32" s="198"/>
      <c r="S32" s="198"/>
      <c r="T32" s="198"/>
      <c r="U32" s="198"/>
    </row>
    <row r="33" spans="1:21" s="12" customFormat="1" x14ac:dyDescent="0.25">
      <c r="A33" s="214" t="s">
        <v>2000</v>
      </c>
      <c r="B33" s="64">
        <v>24.05</v>
      </c>
      <c r="C33" s="64">
        <v>33.119999999999997</v>
      </c>
      <c r="D33" s="64">
        <v>36.51</v>
      </c>
      <c r="E33" s="64">
        <v>1.4</v>
      </c>
      <c r="F33" s="64">
        <v>3.65</v>
      </c>
      <c r="G33" s="64">
        <v>160.11000000000001</v>
      </c>
      <c r="H33" s="64">
        <v>30.74</v>
      </c>
      <c r="I33" s="64">
        <v>10.02</v>
      </c>
      <c r="J33" s="64">
        <v>0.17</v>
      </c>
      <c r="K33" s="64">
        <v>201.32</v>
      </c>
      <c r="L33" s="64">
        <v>23.74</v>
      </c>
      <c r="M33" s="64">
        <v>61.69</v>
      </c>
      <c r="N33" s="64">
        <v>76.400000000000006</v>
      </c>
      <c r="O33" s="64">
        <v>0</v>
      </c>
      <c r="P33" s="64">
        <v>0.71</v>
      </c>
      <c r="Q33" s="64">
        <v>9.3699999999999992</v>
      </c>
      <c r="R33" s="198"/>
      <c r="S33" s="198"/>
      <c r="T33" s="198"/>
      <c r="U33" s="198"/>
    </row>
    <row r="34" spans="1:21" s="12" customFormat="1" x14ac:dyDescent="0.25">
      <c r="A34" s="214" t="s">
        <v>2001</v>
      </c>
      <c r="B34" s="64">
        <v>29.87</v>
      </c>
      <c r="C34" s="64">
        <v>33.43</v>
      </c>
      <c r="D34" s="64">
        <v>41.34</v>
      </c>
      <c r="E34" s="64">
        <v>1.54</v>
      </c>
      <c r="F34" s="64">
        <v>3.89</v>
      </c>
      <c r="G34" s="64">
        <v>160.11000000000001</v>
      </c>
      <c r="H34" s="64">
        <v>30.74</v>
      </c>
      <c r="I34" s="64">
        <v>10.11</v>
      </c>
      <c r="J34" s="64">
        <v>0.05</v>
      </c>
      <c r="K34" s="64">
        <v>46.13</v>
      </c>
      <c r="L34" s="64">
        <v>25.71</v>
      </c>
      <c r="M34" s="64">
        <v>60.24</v>
      </c>
      <c r="N34" s="64">
        <v>122.8</v>
      </c>
      <c r="O34" s="64">
        <v>0</v>
      </c>
      <c r="P34" s="64">
        <v>0.75</v>
      </c>
      <c r="Q34" s="64">
        <v>9.44</v>
      </c>
      <c r="R34" s="198"/>
      <c r="S34" s="198"/>
      <c r="T34" s="198"/>
      <c r="U34" s="198"/>
    </row>
    <row r="35" spans="1:21" s="12" customFormat="1" x14ac:dyDescent="0.25">
      <c r="A35" s="214" t="s">
        <v>2002</v>
      </c>
      <c r="B35" s="64">
        <v>35.700000000000003</v>
      </c>
      <c r="C35" s="64">
        <v>34.119999999999997</v>
      </c>
      <c r="D35" s="64">
        <v>46.37</v>
      </c>
      <c r="E35" s="64">
        <v>1</v>
      </c>
      <c r="F35" s="64">
        <v>3.56</v>
      </c>
      <c r="G35" s="64">
        <v>160.11000000000001</v>
      </c>
      <c r="H35" s="64">
        <v>30.74</v>
      </c>
      <c r="I35" s="64">
        <v>10.27</v>
      </c>
      <c r="J35" s="64">
        <v>0.08</v>
      </c>
      <c r="K35" s="64">
        <v>141.18</v>
      </c>
      <c r="L35" s="64">
        <v>28.15</v>
      </c>
      <c r="M35" s="64">
        <v>51.27</v>
      </c>
      <c r="N35" s="64">
        <v>175</v>
      </c>
      <c r="O35" s="64">
        <v>0</v>
      </c>
      <c r="P35" s="64">
        <v>0.79</v>
      </c>
      <c r="Q35" s="64">
        <v>9.51</v>
      </c>
      <c r="R35" s="198"/>
      <c r="S35" s="198"/>
      <c r="T35" s="198"/>
      <c r="U35" s="198"/>
    </row>
    <row r="36" spans="1:21" s="12" customFormat="1" x14ac:dyDescent="0.25">
      <c r="A36" s="214" t="s">
        <v>2003</v>
      </c>
      <c r="B36" s="64">
        <v>39.75</v>
      </c>
      <c r="C36" s="64">
        <v>34.71</v>
      </c>
      <c r="D36" s="64">
        <v>49.93</v>
      </c>
      <c r="E36" s="64">
        <v>1.52</v>
      </c>
      <c r="F36" s="64">
        <v>3.5</v>
      </c>
      <c r="G36" s="64">
        <v>158.58000000000001</v>
      </c>
      <c r="H36" s="64">
        <v>30.84</v>
      </c>
      <c r="I36" s="64">
        <v>10.15</v>
      </c>
      <c r="J36" s="64">
        <v>0.42</v>
      </c>
      <c r="K36" s="64">
        <v>167.54</v>
      </c>
      <c r="L36" s="64">
        <v>29.29</v>
      </c>
      <c r="M36" s="64">
        <v>44.18</v>
      </c>
      <c r="N36" s="64">
        <v>148.9</v>
      </c>
      <c r="O36" s="64">
        <v>0</v>
      </c>
      <c r="P36" s="64">
        <v>0.78</v>
      </c>
      <c r="Q36" s="64">
        <v>9.6</v>
      </c>
      <c r="R36" s="198"/>
      <c r="S36" s="198"/>
      <c r="T36" s="198"/>
      <c r="U36" s="198"/>
    </row>
    <row r="37" spans="1:21" s="12" customFormat="1" x14ac:dyDescent="0.25">
      <c r="A37" s="214" t="s">
        <v>2004</v>
      </c>
      <c r="B37" s="64">
        <v>40.549999999999997</v>
      </c>
      <c r="C37" s="64">
        <v>34.92</v>
      </c>
      <c r="D37" s="64">
        <v>50.69</v>
      </c>
      <c r="E37" s="64">
        <v>1.45</v>
      </c>
      <c r="F37" s="64">
        <v>3.2</v>
      </c>
      <c r="G37" s="64">
        <v>137.19</v>
      </c>
      <c r="H37" s="64">
        <v>32.21</v>
      </c>
      <c r="I37" s="64">
        <v>10.61</v>
      </c>
      <c r="J37" s="64">
        <v>0.49</v>
      </c>
      <c r="K37" s="64">
        <v>169.33</v>
      </c>
      <c r="L37" s="64">
        <v>27.64</v>
      </c>
      <c r="M37" s="64">
        <v>51.21</v>
      </c>
      <c r="N37" s="64">
        <v>207.7</v>
      </c>
      <c r="O37" s="64">
        <v>0</v>
      </c>
      <c r="P37" s="64">
        <v>0.75</v>
      </c>
      <c r="Q37" s="64">
        <v>9.57</v>
      </c>
      <c r="R37" s="198"/>
      <c r="S37" s="198"/>
      <c r="T37" s="198"/>
      <c r="U37" s="198"/>
    </row>
    <row r="38" spans="1:21" s="12" customFormat="1" x14ac:dyDescent="0.25">
      <c r="A38" s="214" t="s">
        <v>2005</v>
      </c>
      <c r="B38" s="64">
        <v>39.94</v>
      </c>
      <c r="C38" s="64">
        <v>34.92</v>
      </c>
      <c r="D38" s="64">
        <v>50.19</v>
      </c>
      <c r="E38" s="64">
        <v>1.68</v>
      </c>
      <c r="F38" s="64">
        <v>3.5</v>
      </c>
      <c r="G38" s="64">
        <v>137.19</v>
      </c>
      <c r="H38" s="64">
        <v>32.21</v>
      </c>
      <c r="I38" s="64">
        <v>11.12</v>
      </c>
      <c r="J38" s="64">
        <v>0.56999999999999995</v>
      </c>
      <c r="K38" s="64">
        <v>150.94999999999999</v>
      </c>
      <c r="L38" s="64">
        <v>28.59</v>
      </c>
      <c r="M38" s="64">
        <v>45.56</v>
      </c>
      <c r="N38" s="64">
        <v>346.7</v>
      </c>
      <c r="O38" s="64">
        <v>0</v>
      </c>
      <c r="P38" s="64">
        <v>0.79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4" t="s">
        <v>2006</v>
      </c>
      <c r="B39" s="64">
        <v>38.76</v>
      </c>
      <c r="C39" s="64">
        <v>35.090000000000003</v>
      </c>
      <c r="D39" s="64">
        <v>49.33</v>
      </c>
      <c r="E39" s="64">
        <v>1.67</v>
      </c>
      <c r="F39" s="64">
        <v>3.52</v>
      </c>
      <c r="G39" s="64">
        <v>137.19</v>
      </c>
      <c r="H39" s="64">
        <v>32.21</v>
      </c>
      <c r="I39" s="64">
        <v>11.84</v>
      </c>
      <c r="J39" s="64">
        <v>7.0000000000000007E-2</v>
      </c>
      <c r="K39" s="64">
        <v>261.39999999999998</v>
      </c>
      <c r="L39" s="64">
        <v>30.42</v>
      </c>
      <c r="M39" s="64">
        <v>39.299999999999997</v>
      </c>
      <c r="N39" s="64">
        <v>402.7</v>
      </c>
      <c r="O39" s="64">
        <v>0</v>
      </c>
      <c r="P39" s="64">
        <v>0.79</v>
      </c>
      <c r="Q39" s="64">
        <v>9.3800000000000008</v>
      </c>
      <c r="R39" s="198"/>
      <c r="S39" s="198"/>
      <c r="T39" s="198"/>
      <c r="U39" s="198"/>
    </row>
    <row r="40" spans="1:21" s="12" customFormat="1" x14ac:dyDescent="0.25">
      <c r="A40" s="214" t="s">
        <v>2007</v>
      </c>
      <c r="B40" s="64">
        <v>37.04</v>
      </c>
      <c r="C40" s="64">
        <v>36.4</v>
      </c>
      <c r="D40" s="64">
        <v>48.64</v>
      </c>
      <c r="E40" s="64">
        <v>1.4</v>
      </c>
      <c r="F40" s="64">
        <v>3.39</v>
      </c>
      <c r="G40" s="64">
        <v>133.88</v>
      </c>
      <c r="H40" s="64">
        <v>31.8</v>
      </c>
      <c r="I40" s="64">
        <v>11.94</v>
      </c>
      <c r="J40" s="64">
        <v>7.0000000000000007E-2</v>
      </c>
      <c r="K40" s="64">
        <v>162.80000000000001</v>
      </c>
      <c r="L40" s="64">
        <v>32.24</v>
      </c>
      <c r="M40" s="64">
        <v>34.81</v>
      </c>
      <c r="N40" s="64">
        <v>460.1</v>
      </c>
      <c r="O40" s="64">
        <v>0</v>
      </c>
      <c r="P40" s="64">
        <v>0.79</v>
      </c>
      <c r="Q40" s="64">
        <v>9.57</v>
      </c>
      <c r="R40" s="198"/>
      <c r="S40" s="198"/>
      <c r="T40" s="198"/>
      <c r="U40" s="198"/>
    </row>
    <row r="41" spans="1:21" s="12" customFormat="1" x14ac:dyDescent="0.25">
      <c r="A41" s="214" t="s">
        <v>2008</v>
      </c>
      <c r="B41" s="64">
        <v>35.07</v>
      </c>
      <c r="C41" s="64">
        <v>37.619999999999997</v>
      </c>
      <c r="D41" s="64">
        <v>47.69</v>
      </c>
      <c r="E41" s="64">
        <v>1.72</v>
      </c>
      <c r="F41" s="64">
        <v>3.86</v>
      </c>
      <c r="G41" s="64">
        <v>87.55</v>
      </c>
      <c r="H41" s="64">
        <v>25.97</v>
      </c>
      <c r="I41" s="64">
        <v>12.03</v>
      </c>
      <c r="J41" s="64">
        <v>0.38</v>
      </c>
      <c r="K41" s="64">
        <v>345.93</v>
      </c>
      <c r="L41" s="64">
        <v>34.119999999999997</v>
      </c>
      <c r="M41" s="64">
        <v>32.15</v>
      </c>
      <c r="N41" s="64">
        <v>514.20000000000005</v>
      </c>
      <c r="O41" s="64">
        <v>0</v>
      </c>
      <c r="P41" s="64">
        <v>0.81</v>
      </c>
      <c r="Q41" s="64">
        <v>9.4499999999999993</v>
      </c>
      <c r="R41" s="198"/>
      <c r="S41" s="198"/>
      <c r="T41" s="198"/>
      <c r="U41" s="198"/>
    </row>
    <row r="42" spans="1:21" s="12" customFormat="1" x14ac:dyDescent="0.25">
      <c r="A42" s="214" t="s">
        <v>2009</v>
      </c>
      <c r="B42" s="64">
        <v>32.83</v>
      </c>
      <c r="C42" s="64">
        <v>39.450000000000003</v>
      </c>
      <c r="D42" s="64">
        <v>46.86</v>
      </c>
      <c r="E42" s="64">
        <v>1.63</v>
      </c>
      <c r="F42" s="64">
        <v>3.51</v>
      </c>
      <c r="G42" s="64">
        <v>87.55</v>
      </c>
      <c r="H42" s="64">
        <v>25.97</v>
      </c>
      <c r="I42" s="64">
        <v>12.47</v>
      </c>
      <c r="J42" s="64">
        <v>0.25</v>
      </c>
      <c r="K42" s="64">
        <v>355.77</v>
      </c>
      <c r="L42" s="64">
        <v>35.090000000000003</v>
      </c>
      <c r="M42" s="64">
        <v>29.69</v>
      </c>
      <c r="N42" s="64">
        <v>569.1</v>
      </c>
      <c r="O42" s="64">
        <v>0</v>
      </c>
      <c r="P42" s="64">
        <v>0.83</v>
      </c>
      <c r="Q42" s="64">
        <v>9.61</v>
      </c>
      <c r="R42" s="198"/>
      <c r="S42" s="198"/>
      <c r="T42" s="198"/>
      <c r="U42" s="198"/>
    </row>
    <row r="43" spans="1:21" s="12" customFormat="1" x14ac:dyDescent="0.25">
      <c r="A43" s="214" t="s">
        <v>2010</v>
      </c>
      <c r="B43" s="64">
        <v>29.87</v>
      </c>
      <c r="C43" s="64">
        <v>40.78</v>
      </c>
      <c r="D43" s="64">
        <v>45.18</v>
      </c>
      <c r="E43" s="64">
        <v>2.06</v>
      </c>
      <c r="F43" s="64">
        <v>3.31</v>
      </c>
      <c r="G43" s="64">
        <v>87.55</v>
      </c>
      <c r="H43" s="64">
        <v>25.97</v>
      </c>
      <c r="I43" s="64">
        <v>12.43</v>
      </c>
      <c r="J43" s="64">
        <v>0.27</v>
      </c>
      <c r="K43" s="64">
        <v>1.24</v>
      </c>
      <c r="L43" s="64">
        <v>35.79</v>
      </c>
      <c r="M43" s="64">
        <v>28.82</v>
      </c>
      <c r="N43" s="64">
        <v>623.9</v>
      </c>
      <c r="O43" s="64">
        <v>0</v>
      </c>
      <c r="P43" s="64">
        <v>0.83</v>
      </c>
      <c r="Q43" s="64">
        <v>9.36</v>
      </c>
      <c r="R43" s="198"/>
      <c r="S43" s="198"/>
      <c r="T43" s="198"/>
      <c r="U43" s="198"/>
    </row>
    <row r="44" spans="1:21" s="12" customFormat="1" x14ac:dyDescent="0.25">
      <c r="A44" s="214" t="s">
        <v>2011</v>
      </c>
      <c r="B44" s="64">
        <v>26.26</v>
      </c>
      <c r="C44" s="64">
        <v>42.17</v>
      </c>
      <c r="D44" s="64">
        <v>43.01</v>
      </c>
      <c r="E44" s="64">
        <v>1.77</v>
      </c>
      <c r="F44" s="64">
        <v>3.55</v>
      </c>
      <c r="G44" s="64">
        <v>86.72</v>
      </c>
      <c r="H44" s="64">
        <v>26.12</v>
      </c>
      <c r="I44" s="64">
        <v>12.37</v>
      </c>
      <c r="J44" s="64">
        <v>0.14000000000000001</v>
      </c>
      <c r="K44" s="64">
        <v>14.52</v>
      </c>
      <c r="L44" s="64">
        <v>36.479999999999997</v>
      </c>
      <c r="M44" s="64">
        <v>25.6</v>
      </c>
      <c r="N44" s="64">
        <v>670.9</v>
      </c>
      <c r="O44" s="64">
        <v>0</v>
      </c>
      <c r="P44" s="64">
        <v>0.83</v>
      </c>
      <c r="Q44" s="64">
        <v>9.5299999999999994</v>
      </c>
      <c r="R44" s="198"/>
      <c r="S44" s="198"/>
      <c r="T44" s="198"/>
      <c r="U44" s="198"/>
    </row>
    <row r="45" spans="1:21" s="12" customFormat="1" x14ac:dyDescent="0.25">
      <c r="A45" s="214" t="s">
        <v>2012</v>
      </c>
      <c r="B45" s="64">
        <v>22.24</v>
      </c>
      <c r="C45" s="64">
        <v>44.47</v>
      </c>
      <c r="D45" s="64">
        <v>40.99</v>
      </c>
      <c r="E45" s="64">
        <v>1.68</v>
      </c>
      <c r="F45" s="64">
        <v>3.56</v>
      </c>
      <c r="G45" s="64">
        <v>75.040000000000006</v>
      </c>
      <c r="H45" s="64">
        <v>28.29</v>
      </c>
      <c r="I45" s="64">
        <v>12.22</v>
      </c>
      <c r="J45" s="64">
        <v>0.22</v>
      </c>
      <c r="K45" s="64">
        <v>354.69</v>
      </c>
      <c r="L45" s="64">
        <v>37.42</v>
      </c>
      <c r="M45" s="64">
        <v>23.04</v>
      </c>
      <c r="N45" s="64">
        <v>718.2</v>
      </c>
      <c r="O45" s="64">
        <v>0</v>
      </c>
      <c r="P45" s="64">
        <v>0.83</v>
      </c>
      <c r="Q45" s="64">
        <v>9.49</v>
      </c>
      <c r="R45" s="198"/>
      <c r="S45" s="198"/>
      <c r="T45" s="198"/>
      <c r="U45" s="198"/>
    </row>
    <row r="46" spans="1:21" s="12" customFormat="1" x14ac:dyDescent="0.25">
      <c r="A46" s="214" t="s">
        <v>2013</v>
      </c>
      <c r="B46" s="64">
        <v>17.989999999999998</v>
      </c>
      <c r="C46" s="64">
        <v>46.88</v>
      </c>
      <c r="D46" s="64">
        <v>38.840000000000003</v>
      </c>
      <c r="E46" s="64">
        <v>1.62</v>
      </c>
      <c r="F46" s="64">
        <v>3.82</v>
      </c>
      <c r="G46" s="64">
        <v>75.040000000000006</v>
      </c>
      <c r="H46" s="64">
        <v>28.29</v>
      </c>
      <c r="I46" s="64">
        <v>12.09</v>
      </c>
      <c r="J46" s="64">
        <v>0.14000000000000001</v>
      </c>
      <c r="K46" s="64">
        <v>341.45</v>
      </c>
      <c r="L46" s="64">
        <v>38.28</v>
      </c>
      <c r="M46" s="64">
        <v>20.56</v>
      </c>
      <c r="N46" s="64">
        <v>759.7</v>
      </c>
      <c r="O46" s="64">
        <v>0</v>
      </c>
      <c r="P46" s="64">
        <v>0.83</v>
      </c>
      <c r="Q46" s="64">
        <v>9.4</v>
      </c>
      <c r="R46" s="198"/>
      <c r="S46" s="198"/>
      <c r="T46" s="198"/>
      <c r="U46" s="198"/>
    </row>
    <row r="47" spans="1:21" s="12" customFormat="1" x14ac:dyDescent="0.25">
      <c r="A47" s="214" t="s">
        <v>2014</v>
      </c>
      <c r="B47" s="64">
        <v>13.91</v>
      </c>
      <c r="C47" s="64">
        <v>48.03</v>
      </c>
      <c r="D47" s="64">
        <v>36.17</v>
      </c>
      <c r="E47" s="64">
        <v>1.1399999999999999</v>
      </c>
      <c r="F47" s="64">
        <v>4.0999999999999996</v>
      </c>
      <c r="G47" s="64">
        <v>75.040000000000006</v>
      </c>
      <c r="H47" s="64">
        <v>28.29</v>
      </c>
      <c r="I47" s="64">
        <v>11.97</v>
      </c>
      <c r="J47" s="64">
        <v>0.44</v>
      </c>
      <c r="K47" s="64">
        <v>341.77</v>
      </c>
      <c r="L47" s="64">
        <v>39.28</v>
      </c>
      <c r="M47" s="64">
        <v>17</v>
      </c>
      <c r="N47" s="64">
        <v>799.8</v>
      </c>
      <c r="O47" s="64">
        <v>0</v>
      </c>
      <c r="P47" s="64">
        <v>0.83</v>
      </c>
      <c r="Q47" s="64">
        <v>9.25</v>
      </c>
      <c r="R47" s="198"/>
      <c r="S47" s="198"/>
      <c r="T47" s="198"/>
      <c r="U47" s="198"/>
    </row>
    <row r="48" spans="1:21" s="12" customFormat="1" x14ac:dyDescent="0.25">
      <c r="A48" s="214" t="s">
        <v>2015</v>
      </c>
      <c r="B48" s="64">
        <v>10.59</v>
      </c>
      <c r="C48" s="64">
        <v>48.88</v>
      </c>
      <c r="D48" s="64">
        <v>33.950000000000003</v>
      </c>
      <c r="E48" s="64">
        <v>1.56</v>
      </c>
      <c r="F48" s="64">
        <v>4.25</v>
      </c>
      <c r="G48" s="64">
        <v>73.569999999999993</v>
      </c>
      <c r="H48" s="64">
        <v>28.2</v>
      </c>
      <c r="I48" s="64">
        <v>11.82</v>
      </c>
      <c r="J48" s="64">
        <v>0.5</v>
      </c>
      <c r="K48" s="64">
        <v>84.99</v>
      </c>
      <c r="L48" s="64">
        <v>38.76</v>
      </c>
      <c r="M48" s="64">
        <v>15.48</v>
      </c>
      <c r="N48" s="64">
        <v>848.5</v>
      </c>
      <c r="O48" s="64">
        <v>0</v>
      </c>
      <c r="P48" s="64">
        <v>0.81</v>
      </c>
      <c r="Q48" s="64">
        <v>9.3699999999999992</v>
      </c>
      <c r="R48" s="198"/>
      <c r="S48" s="198"/>
      <c r="T48" s="198"/>
      <c r="U48" s="198"/>
    </row>
    <row r="49" spans="1:21" s="12" customFormat="1" x14ac:dyDescent="0.25">
      <c r="A49" s="214" t="s">
        <v>2016</v>
      </c>
      <c r="B49" s="64">
        <v>7.84</v>
      </c>
      <c r="C49" s="64">
        <v>49.05</v>
      </c>
      <c r="D49" s="64">
        <v>31.84</v>
      </c>
      <c r="E49" s="64">
        <v>1.3</v>
      </c>
      <c r="F49" s="64">
        <v>4.5</v>
      </c>
      <c r="G49" s="64">
        <v>53.02</v>
      </c>
      <c r="H49" s="64">
        <v>26.65</v>
      </c>
      <c r="I49" s="64">
        <v>11.54</v>
      </c>
      <c r="J49" s="64">
        <v>0.38</v>
      </c>
      <c r="K49" s="64">
        <v>136.62</v>
      </c>
      <c r="L49" s="64">
        <v>37.53</v>
      </c>
      <c r="M49" s="64">
        <v>15.11</v>
      </c>
      <c r="N49" s="64">
        <v>875.5</v>
      </c>
      <c r="O49" s="64">
        <v>0</v>
      </c>
      <c r="P49" s="64">
        <v>0.79</v>
      </c>
      <c r="Q49" s="64">
        <v>9.19</v>
      </c>
      <c r="R49" s="198"/>
      <c r="S49" s="198"/>
      <c r="T49" s="198"/>
      <c r="U49" s="198"/>
    </row>
    <row r="50" spans="1:21" s="12" customFormat="1" x14ac:dyDescent="0.25">
      <c r="A50" s="214" t="s">
        <v>2017</v>
      </c>
      <c r="B50" s="64">
        <v>5.21</v>
      </c>
      <c r="C50" s="64">
        <v>49.04</v>
      </c>
      <c r="D50" s="64">
        <v>29.72</v>
      </c>
      <c r="E50" s="64">
        <v>1.1399999999999999</v>
      </c>
      <c r="F50" s="64">
        <v>4.4000000000000004</v>
      </c>
      <c r="G50" s="64">
        <v>53.02</v>
      </c>
      <c r="H50" s="64">
        <v>26.65</v>
      </c>
      <c r="I50" s="64">
        <v>11.33</v>
      </c>
      <c r="J50" s="64">
        <v>0.91</v>
      </c>
      <c r="K50" s="64">
        <v>154.03</v>
      </c>
      <c r="L50" s="64">
        <v>37.35</v>
      </c>
      <c r="M50" s="64">
        <v>14.85</v>
      </c>
      <c r="N50" s="64">
        <v>905.6</v>
      </c>
      <c r="O50" s="64">
        <v>0</v>
      </c>
      <c r="P50" s="64">
        <v>0.76</v>
      </c>
      <c r="Q50" s="64">
        <v>9.36</v>
      </c>
      <c r="R50" s="198"/>
      <c r="S50" s="198"/>
      <c r="T50" s="198"/>
      <c r="U50" s="198"/>
    </row>
    <row r="51" spans="1:21" s="12" customFormat="1" x14ac:dyDescent="0.25">
      <c r="A51" s="214" t="s">
        <v>2018</v>
      </c>
      <c r="B51" s="64">
        <v>2.2999999999999998</v>
      </c>
      <c r="C51" s="64">
        <v>47.51</v>
      </c>
      <c r="D51" s="64">
        <v>26.59</v>
      </c>
      <c r="E51" s="64">
        <v>1.32</v>
      </c>
      <c r="F51" s="64">
        <v>6.35</v>
      </c>
      <c r="G51" s="64">
        <v>53.02</v>
      </c>
      <c r="H51" s="64">
        <v>26.65</v>
      </c>
      <c r="I51" s="64">
        <v>11.29</v>
      </c>
      <c r="J51" s="64">
        <v>0.54</v>
      </c>
      <c r="K51" s="64">
        <v>125.26</v>
      </c>
      <c r="L51" s="64">
        <v>37.71</v>
      </c>
      <c r="M51" s="64">
        <v>14.09</v>
      </c>
      <c r="N51" s="64">
        <v>922.4</v>
      </c>
      <c r="O51" s="64">
        <v>0</v>
      </c>
      <c r="P51" s="64">
        <v>0.7</v>
      </c>
      <c r="Q51" s="64">
        <v>9.1999999999999993</v>
      </c>
      <c r="R51" s="198"/>
      <c r="S51" s="198"/>
      <c r="T51" s="198"/>
      <c r="U51" s="198"/>
    </row>
    <row r="52" spans="1:21" s="12" customFormat="1" x14ac:dyDescent="0.25">
      <c r="A52" s="214" t="s">
        <v>2019</v>
      </c>
      <c r="B52" s="64">
        <v>0.23</v>
      </c>
      <c r="C52" s="64">
        <v>48.85</v>
      </c>
      <c r="D52" s="64">
        <v>25.62</v>
      </c>
      <c r="E52" s="64">
        <v>1.65</v>
      </c>
      <c r="F52" s="64">
        <v>8.67</v>
      </c>
      <c r="G52" s="64">
        <v>50.93</v>
      </c>
      <c r="H52" s="64">
        <v>26.33</v>
      </c>
      <c r="I52" s="64">
        <v>11.11</v>
      </c>
      <c r="J52" s="64">
        <v>0.66</v>
      </c>
      <c r="K52" s="64">
        <v>166.33</v>
      </c>
      <c r="L52" s="64">
        <v>37.479999999999997</v>
      </c>
      <c r="M52" s="64">
        <v>14.7</v>
      </c>
      <c r="N52" s="64">
        <v>956.8</v>
      </c>
      <c r="O52" s="64">
        <v>0</v>
      </c>
      <c r="P52" s="64">
        <v>0.63</v>
      </c>
      <c r="Q52" s="64">
        <v>9.1300000000000008</v>
      </c>
      <c r="R52" s="198"/>
      <c r="S52" s="198"/>
      <c r="T52" s="198"/>
      <c r="U52" s="198"/>
    </row>
    <row r="53" spans="1:21" s="12" customFormat="1" x14ac:dyDescent="0.25">
      <c r="A53" s="214" t="s">
        <v>2020</v>
      </c>
      <c r="B53" s="64">
        <v>0.1</v>
      </c>
      <c r="C53" s="64">
        <v>45.15</v>
      </c>
      <c r="D53" s="64">
        <v>23.59</v>
      </c>
      <c r="E53" s="64">
        <v>1.51</v>
      </c>
      <c r="F53" s="64">
        <v>9.56</v>
      </c>
      <c r="G53" s="64">
        <v>21.77</v>
      </c>
      <c r="H53" s="64">
        <v>20.97</v>
      </c>
      <c r="I53" s="64">
        <v>10.5</v>
      </c>
      <c r="J53" s="64">
        <v>0.17</v>
      </c>
      <c r="K53" s="64">
        <v>27.58</v>
      </c>
      <c r="L53" s="64">
        <v>38.6</v>
      </c>
      <c r="M53" s="64">
        <v>15.34</v>
      </c>
      <c r="N53" s="64">
        <v>972.3</v>
      </c>
      <c r="O53" s="64">
        <v>0</v>
      </c>
      <c r="P53" s="64">
        <v>0.56999999999999995</v>
      </c>
      <c r="Q53" s="64">
        <v>9.1199999999999992</v>
      </c>
      <c r="R53" s="198"/>
      <c r="S53" s="198"/>
      <c r="T53" s="198"/>
      <c r="U53" s="198"/>
    </row>
    <row r="54" spans="1:21" s="12" customFormat="1" x14ac:dyDescent="0.25">
      <c r="A54" s="214" t="s">
        <v>2021</v>
      </c>
      <c r="B54" s="64">
        <v>0.1</v>
      </c>
      <c r="C54" s="64">
        <v>42.29</v>
      </c>
      <c r="D54" s="64">
        <v>22.1</v>
      </c>
      <c r="E54" s="64">
        <v>1.22</v>
      </c>
      <c r="F54" s="64">
        <v>8.8800000000000008</v>
      </c>
      <c r="G54" s="64">
        <v>21.77</v>
      </c>
      <c r="H54" s="64">
        <v>20.97</v>
      </c>
      <c r="I54" s="64">
        <v>10.130000000000001</v>
      </c>
      <c r="J54" s="64">
        <v>0.28000000000000003</v>
      </c>
      <c r="K54" s="64">
        <v>169.64</v>
      </c>
      <c r="L54" s="64">
        <v>38.89</v>
      </c>
      <c r="M54" s="64">
        <v>13.82</v>
      </c>
      <c r="N54" s="64">
        <v>985.3</v>
      </c>
      <c r="O54" s="64">
        <v>0</v>
      </c>
      <c r="P54" s="64">
        <v>0.55000000000000004</v>
      </c>
      <c r="Q54" s="64">
        <v>9.19</v>
      </c>
      <c r="R54" s="198"/>
      <c r="S54" s="198"/>
      <c r="T54" s="198"/>
      <c r="U54" s="198"/>
    </row>
    <row r="55" spans="1:21" s="12" customFormat="1" x14ac:dyDescent="0.25">
      <c r="A55" s="214" t="s">
        <v>2022</v>
      </c>
      <c r="B55" s="64">
        <v>0.1</v>
      </c>
      <c r="C55" s="64">
        <v>41.38</v>
      </c>
      <c r="D55" s="64">
        <v>21.62</v>
      </c>
      <c r="E55" s="64">
        <v>1.18</v>
      </c>
      <c r="F55" s="64">
        <v>6.56</v>
      </c>
      <c r="G55" s="64">
        <v>21.77</v>
      </c>
      <c r="H55" s="64">
        <v>20.97</v>
      </c>
      <c r="I55" s="64">
        <v>9.69</v>
      </c>
      <c r="J55" s="64">
        <v>0.23</v>
      </c>
      <c r="K55" s="64">
        <v>211.47</v>
      </c>
      <c r="L55" s="64">
        <v>39</v>
      </c>
      <c r="M55" s="64">
        <v>12.57</v>
      </c>
      <c r="N55" s="64">
        <v>989</v>
      </c>
      <c r="O55" s="64">
        <v>0</v>
      </c>
      <c r="P55" s="64">
        <v>0.53</v>
      </c>
      <c r="Q55" s="64">
        <v>9.16</v>
      </c>
      <c r="R55" s="198"/>
      <c r="S55" s="198"/>
      <c r="T55" s="198"/>
      <c r="U55" s="198"/>
    </row>
    <row r="56" spans="1:21" s="12" customFormat="1" x14ac:dyDescent="0.25">
      <c r="A56" s="214" t="s">
        <v>2023</v>
      </c>
      <c r="B56" s="64">
        <v>0.1</v>
      </c>
      <c r="C56" s="64">
        <v>40.24</v>
      </c>
      <c r="D56" s="64">
        <v>21.03</v>
      </c>
      <c r="E56" s="64">
        <v>1.2</v>
      </c>
      <c r="F56" s="64">
        <v>5.72</v>
      </c>
      <c r="G56" s="64">
        <v>22.61</v>
      </c>
      <c r="H56" s="64">
        <v>20.73</v>
      </c>
      <c r="I56" s="64">
        <v>9.3699999999999992</v>
      </c>
      <c r="J56" s="64">
        <v>0.41</v>
      </c>
      <c r="K56" s="64">
        <v>196.59</v>
      </c>
      <c r="L56" s="64">
        <v>38.74</v>
      </c>
      <c r="M56" s="64">
        <v>13.01</v>
      </c>
      <c r="N56" s="64">
        <v>980.7</v>
      </c>
      <c r="O56" s="64">
        <v>0</v>
      </c>
      <c r="P56" s="64">
        <v>0.52</v>
      </c>
      <c r="Q56" s="64">
        <v>9.2200000000000006</v>
      </c>
      <c r="R56" s="198"/>
      <c r="S56" s="198"/>
      <c r="T56" s="198"/>
      <c r="U56" s="198"/>
    </row>
    <row r="57" spans="1:21" s="12" customFormat="1" x14ac:dyDescent="0.25">
      <c r="A57" s="214" t="s">
        <v>2024</v>
      </c>
      <c r="B57" s="64">
        <v>0.1</v>
      </c>
      <c r="C57" s="64">
        <v>38.29</v>
      </c>
      <c r="D57" s="64">
        <v>20.010000000000002</v>
      </c>
      <c r="E57" s="64">
        <v>1.29</v>
      </c>
      <c r="F57" s="64">
        <v>6.37</v>
      </c>
      <c r="G57" s="64">
        <v>34.42</v>
      </c>
      <c r="H57" s="64">
        <v>16.61</v>
      </c>
      <c r="I57" s="64">
        <v>9.1300000000000008</v>
      </c>
      <c r="J57" s="64">
        <v>0.28999999999999998</v>
      </c>
      <c r="K57" s="64">
        <v>306.66000000000003</v>
      </c>
      <c r="L57" s="64">
        <v>38.89</v>
      </c>
      <c r="M57" s="64">
        <v>13.94</v>
      </c>
      <c r="N57" s="64">
        <v>966.5</v>
      </c>
      <c r="O57" s="64">
        <v>0</v>
      </c>
      <c r="P57" s="64">
        <v>0.49</v>
      </c>
      <c r="Q57" s="64">
        <v>9.1300000000000008</v>
      </c>
      <c r="R57" s="198"/>
      <c r="S57" s="198"/>
      <c r="T57" s="198"/>
      <c r="U57" s="198"/>
    </row>
    <row r="58" spans="1:21" s="12" customFormat="1" x14ac:dyDescent="0.25">
      <c r="A58" s="214" t="s">
        <v>2025</v>
      </c>
      <c r="B58" s="64">
        <v>0.1</v>
      </c>
      <c r="C58" s="64">
        <v>36.36</v>
      </c>
      <c r="D58" s="64">
        <v>19</v>
      </c>
      <c r="E58" s="64">
        <v>1.65</v>
      </c>
      <c r="F58" s="64">
        <v>6.16</v>
      </c>
      <c r="G58" s="64">
        <v>34.42</v>
      </c>
      <c r="H58" s="64">
        <v>16.61</v>
      </c>
      <c r="I58" s="64">
        <v>8.9700000000000006</v>
      </c>
      <c r="J58" s="64">
        <v>1.05</v>
      </c>
      <c r="K58" s="64">
        <v>341.42</v>
      </c>
      <c r="L58" s="64">
        <v>41.29</v>
      </c>
      <c r="M58" s="64">
        <v>12.27</v>
      </c>
      <c r="N58" s="64">
        <v>956.9</v>
      </c>
      <c r="O58" s="64">
        <v>0</v>
      </c>
      <c r="P58" s="64">
        <v>0.47</v>
      </c>
      <c r="Q58" s="64">
        <v>9.19</v>
      </c>
      <c r="R58" s="198"/>
      <c r="S58" s="198"/>
      <c r="T58" s="198"/>
      <c r="U58" s="198"/>
    </row>
    <row r="59" spans="1:21" s="12" customFormat="1" x14ac:dyDescent="0.25">
      <c r="A59" s="214" t="s">
        <v>2026</v>
      </c>
      <c r="B59" s="64">
        <v>0.1</v>
      </c>
      <c r="C59" s="64">
        <v>43.59</v>
      </c>
      <c r="D59" s="64">
        <v>22.78</v>
      </c>
      <c r="E59" s="64">
        <v>1.53</v>
      </c>
      <c r="F59" s="64">
        <v>5.64</v>
      </c>
      <c r="G59" s="64">
        <v>34.42</v>
      </c>
      <c r="H59" s="64">
        <v>16.61</v>
      </c>
      <c r="I59" s="64">
        <v>8.73</v>
      </c>
      <c r="J59" s="64">
        <v>1.41</v>
      </c>
      <c r="K59" s="64">
        <v>353.16</v>
      </c>
      <c r="L59" s="64">
        <v>41.96</v>
      </c>
      <c r="M59" s="64">
        <v>10.94</v>
      </c>
      <c r="N59" s="64">
        <v>946.5</v>
      </c>
      <c r="O59" s="64">
        <v>0</v>
      </c>
      <c r="P59" s="64">
        <v>0.48</v>
      </c>
      <c r="Q59" s="64">
        <v>9.14</v>
      </c>
      <c r="R59" s="198"/>
      <c r="S59" s="198"/>
      <c r="T59" s="198"/>
      <c r="U59" s="198"/>
    </row>
    <row r="60" spans="1:21" s="12" customFormat="1" x14ac:dyDescent="0.25">
      <c r="A60" s="214" t="s">
        <v>2027</v>
      </c>
      <c r="B60" s="64">
        <v>0.37</v>
      </c>
      <c r="C60" s="64">
        <v>50.32</v>
      </c>
      <c r="D60" s="64">
        <v>26.51</v>
      </c>
      <c r="E60" s="64">
        <v>1.84</v>
      </c>
      <c r="F60" s="64">
        <v>6.16</v>
      </c>
      <c r="G60" s="64">
        <v>37.24</v>
      </c>
      <c r="H60" s="64">
        <v>16.739999999999998</v>
      </c>
      <c r="I60" s="64">
        <v>8.49</v>
      </c>
      <c r="J60" s="64">
        <v>0.31</v>
      </c>
      <c r="K60" s="64">
        <v>29.88</v>
      </c>
      <c r="L60" s="64">
        <v>40.549999999999997</v>
      </c>
      <c r="M60" s="64">
        <v>13.02</v>
      </c>
      <c r="N60" s="64">
        <v>914.8</v>
      </c>
      <c r="O60" s="64">
        <v>0</v>
      </c>
      <c r="P60" s="64">
        <v>0.47</v>
      </c>
      <c r="Q60" s="64">
        <v>9.2899999999999991</v>
      </c>
      <c r="R60" s="198"/>
      <c r="S60" s="198"/>
      <c r="T60" s="198"/>
      <c r="U60" s="198"/>
    </row>
    <row r="61" spans="1:21" s="12" customFormat="1" x14ac:dyDescent="0.25">
      <c r="A61" s="214" t="s">
        <v>2028</v>
      </c>
      <c r="B61" s="64">
        <v>0.11</v>
      </c>
      <c r="C61" s="64">
        <v>44.68</v>
      </c>
      <c r="D61" s="64">
        <v>23.36</v>
      </c>
      <c r="E61" s="64">
        <v>1.91</v>
      </c>
      <c r="F61" s="64">
        <v>5.64</v>
      </c>
      <c r="G61" s="64">
        <v>76.75</v>
      </c>
      <c r="H61" s="64">
        <v>18.579999999999998</v>
      </c>
      <c r="I61" s="64">
        <v>8.2899999999999991</v>
      </c>
      <c r="J61" s="64">
        <v>0.26</v>
      </c>
      <c r="K61" s="64">
        <v>60.2</v>
      </c>
      <c r="L61" s="64">
        <v>39.32</v>
      </c>
      <c r="M61" s="64">
        <v>14.31</v>
      </c>
      <c r="N61" s="64">
        <v>889.9</v>
      </c>
      <c r="O61" s="64">
        <v>0</v>
      </c>
      <c r="P61" s="64">
        <v>0.44</v>
      </c>
      <c r="Q61" s="64">
        <v>9.18</v>
      </c>
      <c r="R61" s="198"/>
      <c r="S61" s="198"/>
      <c r="T61" s="198"/>
      <c r="U61" s="198"/>
    </row>
    <row r="62" spans="1:21" s="12" customFormat="1" x14ac:dyDescent="0.25">
      <c r="A62" s="214" t="s">
        <v>2029</v>
      </c>
      <c r="B62" s="64">
        <v>0.1</v>
      </c>
      <c r="C62" s="64">
        <v>43.07</v>
      </c>
      <c r="D62" s="64">
        <v>22.5</v>
      </c>
      <c r="E62" s="64">
        <v>2.46</v>
      </c>
      <c r="F62" s="64">
        <v>9.7799999999999994</v>
      </c>
      <c r="G62" s="64">
        <v>76.75</v>
      </c>
      <c r="H62" s="64">
        <v>18.579999999999998</v>
      </c>
      <c r="I62" s="64">
        <v>7.86</v>
      </c>
      <c r="J62" s="64">
        <v>0.46</v>
      </c>
      <c r="K62" s="64">
        <v>115.34</v>
      </c>
      <c r="L62" s="64">
        <v>39.549999999999997</v>
      </c>
      <c r="M62" s="64">
        <v>12.26</v>
      </c>
      <c r="N62" s="64">
        <v>863.3</v>
      </c>
      <c r="O62" s="64">
        <v>0</v>
      </c>
      <c r="P62" s="64">
        <v>0.43</v>
      </c>
      <c r="Q62" s="64">
        <v>9.26</v>
      </c>
      <c r="R62" s="198"/>
      <c r="S62" s="198"/>
      <c r="T62" s="198"/>
      <c r="U62" s="198"/>
    </row>
    <row r="63" spans="1:21" s="12" customFormat="1" x14ac:dyDescent="0.25">
      <c r="A63" s="214" t="s">
        <v>2030</v>
      </c>
      <c r="B63" s="64">
        <v>0.92</v>
      </c>
      <c r="C63" s="64">
        <v>40.200000000000003</v>
      </c>
      <c r="D63" s="64">
        <v>21.66</v>
      </c>
      <c r="E63" s="64">
        <v>2.48</v>
      </c>
      <c r="F63" s="64">
        <v>9.6999999999999993</v>
      </c>
      <c r="G63" s="64">
        <v>76.75</v>
      </c>
      <c r="H63" s="64">
        <v>18.579999999999998</v>
      </c>
      <c r="I63" s="64">
        <v>7.8</v>
      </c>
      <c r="J63" s="64">
        <v>0.28000000000000003</v>
      </c>
      <c r="K63" s="64">
        <v>346.16</v>
      </c>
      <c r="L63" s="64">
        <v>40.04</v>
      </c>
      <c r="M63" s="64">
        <v>12.35</v>
      </c>
      <c r="N63" s="64">
        <v>832.2</v>
      </c>
      <c r="O63" s="64">
        <v>0</v>
      </c>
      <c r="P63" s="64">
        <v>0.4</v>
      </c>
      <c r="Q63" s="64">
        <v>9.2200000000000006</v>
      </c>
      <c r="R63" s="198"/>
      <c r="S63" s="198"/>
      <c r="T63" s="198"/>
      <c r="U63" s="198"/>
    </row>
    <row r="64" spans="1:21" s="12" customFormat="1" x14ac:dyDescent="0.25">
      <c r="A64" s="214" t="s">
        <v>2031</v>
      </c>
      <c r="B64" s="64">
        <v>1.78</v>
      </c>
      <c r="C64" s="64">
        <v>41.6</v>
      </c>
      <c r="D64" s="64">
        <v>23.08</v>
      </c>
      <c r="E64" s="64">
        <v>1.66</v>
      </c>
      <c r="F64" s="64">
        <v>6.11</v>
      </c>
      <c r="G64" s="64">
        <v>72.48</v>
      </c>
      <c r="H64" s="64">
        <v>18.34</v>
      </c>
      <c r="I64" s="64">
        <v>7.4</v>
      </c>
      <c r="J64" s="64">
        <v>0.82</v>
      </c>
      <c r="K64" s="64">
        <v>328.93</v>
      </c>
      <c r="L64" s="64">
        <v>41.04</v>
      </c>
      <c r="M64" s="64">
        <v>12.06</v>
      </c>
      <c r="N64" s="64">
        <v>804.7</v>
      </c>
      <c r="O64" s="64">
        <v>0</v>
      </c>
      <c r="P64" s="64">
        <v>0.39</v>
      </c>
      <c r="Q64" s="64">
        <v>9.17</v>
      </c>
      <c r="R64" s="198"/>
      <c r="S64" s="198"/>
      <c r="T64" s="198"/>
      <c r="U64" s="198"/>
    </row>
    <row r="65" spans="1:21" s="12" customFormat="1" x14ac:dyDescent="0.25">
      <c r="A65" s="214" t="s">
        <v>2032</v>
      </c>
      <c r="B65" s="64">
        <v>2.14</v>
      </c>
      <c r="C65" s="64">
        <v>39.729999999999997</v>
      </c>
      <c r="D65" s="64">
        <v>22.39</v>
      </c>
      <c r="E65" s="64">
        <v>1.91</v>
      </c>
      <c r="F65" s="64">
        <v>5.33</v>
      </c>
      <c r="G65" s="64">
        <v>12.68</v>
      </c>
      <c r="H65" s="64">
        <v>14.96</v>
      </c>
      <c r="I65" s="64">
        <v>6.93</v>
      </c>
      <c r="J65" s="64">
        <v>1.26</v>
      </c>
      <c r="K65" s="64">
        <v>322.97000000000003</v>
      </c>
      <c r="L65" s="64">
        <v>41.38</v>
      </c>
      <c r="M65" s="64">
        <v>12.27</v>
      </c>
      <c r="N65" s="64">
        <v>724.5</v>
      </c>
      <c r="O65" s="64">
        <v>0</v>
      </c>
      <c r="P65" s="64">
        <v>0.39</v>
      </c>
      <c r="Q65" s="64">
        <v>9.1999999999999993</v>
      </c>
      <c r="R65" s="198"/>
      <c r="S65" s="198"/>
      <c r="T65" s="198"/>
      <c r="U65" s="198"/>
    </row>
    <row r="66" spans="1:21" s="12" customFormat="1" x14ac:dyDescent="0.25">
      <c r="A66" s="214" t="s">
        <v>2033</v>
      </c>
      <c r="B66" s="64">
        <v>2.44</v>
      </c>
      <c r="C66" s="64">
        <v>37.6</v>
      </c>
      <c r="D66" s="64">
        <v>21.52</v>
      </c>
      <c r="E66" s="64">
        <v>1.67</v>
      </c>
      <c r="F66" s="64">
        <v>5.32</v>
      </c>
      <c r="G66" s="64">
        <v>12.68</v>
      </c>
      <c r="H66" s="64">
        <v>14.96</v>
      </c>
      <c r="I66" s="64">
        <v>6.93</v>
      </c>
      <c r="J66" s="64">
        <v>1.21</v>
      </c>
      <c r="K66" s="64">
        <v>325.39</v>
      </c>
      <c r="L66" s="64">
        <v>41.23</v>
      </c>
      <c r="M66" s="64">
        <v>12.26</v>
      </c>
      <c r="N66" s="64">
        <v>445.4</v>
      </c>
      <c r="O66" s="64">
        <v>0</v>
      </c>
      <c r="P66" s="64">
        <v>0.38</v>
      </c>
      <c r="Q66" s="64">
        <v>9.15</v>
      </c>
      <c r="R66" s="198"/>
      <c r="S66" s="198"/>
      <c r="T66" s="198"/>
      <c r="U66" s="198"/>
    </row>
    <row r="67" spans="1:21" s="12" customFormat="1" x14ac:dyDescent="0.25">
      <c r="A67" s="214" t="s">
        <v>2034</v>
      </c>
      <c r="B67" s="64">
        <v>2.62</v>
      </c>
      <c r="C67" s="64">
        <v>36.869999999999997</v>
      </c>
      <c r="D67" s="64">
        <v>21.28</v>
      </c>
      <c r="E67" s="64">
        <v>1.73</v>
      </c>
      <c r="F67" s="64">
        <v>5.29</v>
      </c>
      <c r="G67" s="64">
        <v>12.68</v>
      </c>
      <c r="H67" s="64">
        <v>14.96</v>
      </c>
      <c r="I67" s="64">
        <v>6.59</v>
      </c>
      <c r="J67" s="64">
        <v>1.02</v>
      </c>
      <c r="K67" s="64">
        <v>339.56</v>
      </c>
      <c r="L67" s="64">
        <v>40.5</v>
      </c>
      <c r="M67" s="64">
        <v>12.3</v>
      </c>
      <c r="N67" s="64">
        <v>403.9</v>
      </c>
      <c r="O67" s="64">
        <v>0</v>
      </c>
      <c r="P67" s="64">
        <v>0.38</v>
      </c>
      <c r="Q67" s="64">
        <v>9.16</v>
      </c>
      <c r="R67" s="198"/>
      <c r="S67" s="198"/>
      <c r="T67" s="198"/>
      <c r="U67" s="198"/>
    </row>
    <row r="68" spans="1:21" s="12" customFormat="1" x14ac:dyDescent="0.25">
      <c r="A68" s="214" t="s">
        <v>2035</v>
      </c>
      <c r="B68" s="64">
        <v>2.75</v>
      </c>
      <c r="C68" s="64">
        <v>36.86</v>
      </c>
      <c r="D68" s="64">
        <v>21.38</v>
      </c>
      <c r="E68" s="64">
        <v>1.71</v>
      </c>
      <c r="F68" s="64">
        <v>5.24</v>
      </c>
      <c r="G68" s="64">
        <v>15.04</v>
      </c>
      <c r="H68" s="64">
        <v>15</v>
      </c>
      <c r="I68" s="64">
        <v>6.27</v>
      </c>
      <c r="J68" s="64">
        <v>1</v>
      </c>
      <c r="K68" s="64">
        <v>325.86</v>
      </c>
      <c r="L68" s="64">
        <v>39.69</v>
      </c>
      <c r="M68" s="64">
        <v>13.09</v>
      </c>
      <c r="N68" s="64">
        <v>368.1</v>
      </c>
      <c r="O68" s="64">
        <v>0</v>
      </c>
      <c r="P68" s="64">
        <v>0.37</v>
      </c>
      <c r="Q68" s="64">
        <v>9.18</v>
      </c>
      <c r="R68" s="198"/>
      <c r="S68" s="198"/>
      <c r="T68" s="198"/>
      <c r="U68" s="198"/>
    </row>
    <row r="69" spans="1:21" s="12" customFormat="1" x14ac:dyDescent="0.25">
      <c r="A69" s="214" t="s">
        <v>2036</v>
      </c>
      <c r="B69" s="64">
        <v>2.66</v>
      </c>
      <c r="C69" s="64">
        <v>41.54</v>
      </c>
      <c r="D69" s="64">
        <v>23.75</v>
      </c>
      <c r="E69" s="64">
        <v>1.8</v>
      </c>
      <c r="F69" s="64">
        <v>5.2</v>
      </c>
      <c r="G69" s="64">
        <v>48.03</v>
      </c>
      <c r="H69" s="64">
        <v>15.73</v>
      </c>
      <c r="I69" s="64">
        <v>6.03</v>
      </c>
      <c r="J69" s="64">
        <v>0.25</v>
      </c>
      <c r="K69" s="64">
        <v>331.76</v>
      </c>
      <c r="L69" s="64">
        <v>38.96</v>
      </c>
      <c r="M69" s="64">
        <v>12.59</v>
      </c>
      <c r="N69" s="64">
        <v>391.9</v>
      </c>
      <c r="O69" s="64">
        <v>0</v>
      </c>
      <c r="P69" s="64">
        <v>0.37</v>
      </c>
      <c r="Q69" s="64">
        <v>9.2200000000000006</v>
      </c>
      <c r="R69" s="198"/>
      <c r="S69" s="198"/>
      <c r="T69" s="198"/>
      <c r="U69" s="198"/>
    </row>
    <row r="70" spans="1:21" s="12" customFormat="1" x14ac:dyDescent="0.25">
      <c r="A70" s="214" t="s">
        <v>2037</v>
      </c>
      <c r="B70" s="64">
        <v>2.4</v>
      </c>
      <c r="C70" s="64">
        <v>43.1</v>
      </c>
      <c r="D70" s="64">
        <v>24.36</v>
      </c>
      <c r="E70" s="64">
        <v>1.85</v>
      </c>
      <c r="F70" s="64">
        <v>5.48</v>
      </c>
      <c r="G70" s="64">
        <v>48.03</v>
      </c>
      <c r="H70" s="64">
        <v>15.73</v>
      </c>
      <c r="I70" s="64">
        <v>5.87</v>
      </c>
      <c r="J70" s="64">
        <v>0.25</v>
      </c>
      <c r="K70" s="64">
        <v>287.92</v>
      </c>
      <c r="L70" s="64">
        <v>39</v>
      </c>
      <c r="M70" s="64">
        <v>12.57</v>
      </c>
      <c r="N70" s="64">
        <v>186.3</v>
      </c>
      <c r="O70" s="64">
        <v>0</v>
      </c>
      <c r="P70" s="64">
        <v>0.37</v>
      </c>
      <c r="Q70" s="64">
        <v>9.15</v>
      </c>
      <c r="R70" s="198"/>
      <c r="S70" s="198"/>
      <c r="T70" s="198"/>
      <c r="U70" s="198"/>
    </row>
    <row r="71" spans="1:21" s="12" customFormat="1" x14ac:dyDescent="0.25">
      <c r="A71" s="214" t="s">
        <v>2038</v>
      </c>
      <c r="B71" s="64">
        <v>2.25</v>
      </c>
      <c r="C71" s="64">
        <v>43.52</v>
      </c>
      <c r="D71" s="64">
        <v>24.46</v>
      </c>
      <c r="E71" s="64">
        <v>1.71</v>
      </c>
      <c r="F71" s="64">
        <v>5.65</v>
      </c>
      <c r="G71" s="64">
        <v>48.03</v>
      </c>
      <c r="H71" s="64">
        <v>15.73</v>
      </c>
      <c r="I71" s="64">
        <v>5.65</v>
      </c>
      <c r="J71" s="64">
        <v>0.7</v>
      </c>
      <c r="K71" s="64">
        <v>163.79</v>
      </c>
      <c r="L71" s="64">
        <v>37.78</v>
      </c>
      <c r="M71" s="64">
        <v>13.79</v>
      </c>
      <c r="N71" s="64">
        <v>207.5</v>
      </c>
      <c r="O71" s="64">
        <v>0</v>
      </c>
      <c r="P71" s="64">
        <v>0.36</v>
      </c>
      <c r="Q71" s="64">
        <v>9.2899999999999991</v>
      </c>
      <c r="R71" s="198"/>
      <c r="S71" s="198"/>
      <c r="T71" s="198"/>
      <c r="U71" s="198"/>
    </row>
    <row r="72" spans="1:21" s="12" customFormat="1" x14ac:dyDescent="0.25">
      <c r="A72" s="214" t="s">
        <v>2039</v>
      </c>
      <c r="B72" s="64">
        <v>1.85</v>
      </c>
      <c r="C72" s="64">
        <v>42.32</v>
      </c>
      <c r="D72" s="64">
        <v>23.52</v>
      </c>
      <c r="E72" s="64">
        <v>1.47</v>
      </c>
      <c r="F72" s="64">
        <v>6.9</v>
      </c>
      <c r="G72" s="64">
        <v>47.56</v>
      </c>
      <c r="H72" s="64">
        <v>15.66</v>
      </c>
      <c r="I72" s="64">
        <v>5.58</v>
      </c>
      <c r="J72" s="64">
        <v>1.46</v>
      </c>
      <c r="K72" s="64">
        <v>156.01</v>
      </c>
      <c r="L72" s="64">
        <v>37.26</v>
      </c>
      <c r="M72" s="64">
        <v>12.96</v>
      </c>
      <c r="N72" s="64">
        <v>203.6</v>
      </c>
      <c r="O72" s="64">
        <v>0</v>
      </c>
      <c r="P72" s="64">
        <v>0.34</v>
      </c>
      <c r="Q72" s="64">
        <v>9.26</v>
      </c>
      <c r="R72" s="198"/>
      <c r="S72" s="198"/>
      <c r="T72" s="198"/>
      <c r="U72" s="198"/>
    </row>
    <row r="73" spans="1:21" s="12" customFormat="1" x14ac:dyDescent="0.25">
      <c r="A73" s="214" t="s">
        <v>2040</v>
      </c>
      <c r="B73" s="64">
        <v>1.52</v>
      </c>
      <c r="C73" s="64">
        <v>40.98</v>
      </c>
      <c r="D73" s="64">
        <v>22.55</v>
      </c>
      <c r="E73" s="64">
        <v>1.98</v>
      </c>
      <c r="F73" s="64">
        <v>6.54</v>
      </c>
      <c r="G73" s="64">
        <v>41.06</v>
      </c>
      <c r="H73" s="64">
        <v>14.74</v>
      </c>
      <c r="I73" s="64">
        <v>5.79</v>
      </c>
      <c r="J73" s="64">
        <v>1.43</v>
      </c>
      <c r="K73" s="64">
        <v>154.49</v>
      </c>
      <c r="L73" s="64">
        <v>37.08</v>
      </c>
      <c r="M73" s="64">
        <v>13.58</v>
      </c>
      <c r="N73" s="64">
        <v>165.1</v>
      </c>
      <c r="O73" s="64">
        <v>0</v>
      </c>
      <c r="P73" s="64">
        <v>0.33</v>
      </c>
      <c r="Q73" s="64">
        <v>9.25</v>
      </c>
      <c r="R73" s="198"/>
      <c r="S73" s="198"/>
      <c r="T73" s="198"/>
      <c r="U73" s="198"/>
    </row>
    <row r="74" spans="1:21" s="12" customFormat="1" x14ac:dyDescent="0.25">
      <c r="A74" s="214" t="s">
        <v>2041</v>
      </c>
      <c r="B74" s="64">
        <v>1.67</v>
      </c>
      <c r="C74" s="64">
        <v>40.75</v>
      </c>
      <c r="D74" s="64">
        <v>22.55</v>
      </c>
      <c r="E74" s="64">
        <v>1.58</v>
      </c>
      <c r="F74" s="64">
        <v>5.61</v>
      </c>
      <c r="G74" s="64">
        <v>41.06</v>
      </c>
      <c r="H74" s="64">
        <v>14.74</v>
      </c>
      <c r="I74" s="64">
        <v>6.1</v>
      </c>
      <c r="J74" s="64">
        <v>0.51</v>
      </c>
      <c r="K74" s="64">
        <v>161.61000000000001</v>
      </c>
      <c r="L74" s="64">
        <v>37.020000000000003</v>
      </c>
      <c r="M74" s="64">
        <v>14.3</v>
      </c>
      <c r="N74" s="64">
        <v>122.8</v>
      </c>
      <c r="O74" s="64">
        <v>0</v>
      </c>
      <c r="P74" s="64">
        <v>0.33</v>
      </c>
      <c r="Q74" s="64">
        <v>9.16</v>
      </c>
      <c r="R74" s="198"/>
      <c r="S74" s="198"/>
      <c r="T74" s="198"/>
      <c r="U74" s="198"/>
    </row>
    <row r="75" spans="1:21" s="12" customFormat="1" x14ac:dyDescent="0.25">
      <c r="A75" s="214" t="s">
        <v>2042</v>
      </c>
      <c r="B75" s="64">
        <v>1.66</v>
      </c>
      <c r="C75" s="64">
        <v>39.270000000000003</v>
      </c>
      <c r="D75" s="64">
        <v>21.77</v>
      </c>
      <c r="E75" s="64">
        <v>1.82</v>
      </c>
      <c r="F75" s="64">
        <v>7.26</v>
      </c>
      <c r="G75" s="64">
        <v>41.06</v>
      </c>
      <c r="H75" s="64">
        <v>14.74</v>
      </c>
      <c r="I75" s="64">
        <v>6.34</v>
      </c>
      <c r="J75" s="64">
        <v>0.62</v>
      </c>
      <c r="K75" s="64">
        <v>193.14</v>
      </c>
      <c r="L75" s="64">
        <v>36.86</v>
      </c>
      <c r="M75" s="64">
        <v>14.98</v>
      </c>
      <c r="N75" s="64">
        <v>90.4</v>
      </c>
      <c r="O75" s="64">
        <v>0</v>
      </c>
      <c r="P75" s="64">
        <v>0.31</v>
      </c>
      <c r="Q75" s="64">
        <v>9.23</v>
      </c>
      <c r="R75" s="198"/>
      <c r="S75" s="198"/>
      <c r="T75" s="198"/>
      <c r="U75" s="198"/>
    </row>
    <row r="76" spans="1:21" s="12" customFormat="1" x14ac:dyDescent="0.25">
      <c r="A76" s="214" t="s">
        <v>2043</v>
      </c>
      <c r="B76" s="64">
        <v>1.41</v>
      </c>
      <c r="C76" s="64">
        <v>42.16</v>
      </c>
      <c r="D76" s="64">
        <v>23.08</v>
      </c>
      <c r="E76" s="64">
        <v>2</v>
      </c>
      <c r="F76" s="64">
        <v>8.1</v>
      </c>
      <c r="G76" s="64">
        <v>40.700000000000003</v>
      </c>
      <c r="H76" s="64">
        <v>14.65</v>
      </c>
      <c r="I76" s="64">
        <v>6.43</v>
      </c>
      <c r="J76" s="64">
        <v>0.55000000000000004</v>
      </c>
      <c r="K76" s="64">
        <v>191.14</v>
      </c>
      <c r="L76" s="64">
        <v>36.64</v>
      </c>
      <c r="M76" s="64">
        <v>15.92</v>
      </c>
      <c r="N76" s="64">
        <v>84.7</v>
      </c>
      <c r="O76" s="64">
        <v>0</v>
      </c>
      <c r="P76" s="64">
        <v>0.31</v>
      </c>
      <c r="Q76" s="64">
        <v>9.17</v>
      </c>
      <c r="R76" s="198"/>
      <c r="S76" s="198"/>
      <c r="T76" s="198"/>
      <c r="U76" s="198"/>
    </row>
    <row r="77" spans="1:21" s="12" customFormat="1" x14ac:dyDescent="0.25">
      <c r="A77" s="214" t="s">
        <v>2044</v>
      </c>
      <c r="B77" s="64">
        <v>1.57</v>
      </c>
      <c r="C77" s="64">
        <v>42.06</v>
      </c>
      <c r="D77" s="64">
        <v>23.15</v>
      </c>
      <c r="E77" s="64">
        <v>1.81</v>
      </c>
      <c r="F77" s="64">
        <v>6.62</v>
      </c>
      <c r="G77" s="64">
        <v>35.58</v>
      </c>
      <c r="H77" s="64">
        <v>13.39</v>
      </c>
      <c r="I77" s="64">
        <v>6.64</v>
      </c>
      <c r="J77" s="64">
        <v>0.55000000000000004</v>
      </c>
      <c r="K77" s="64">
        <v>173.06</v>
      </c>
      <c r="L77" s="64">
        <v>36.28</v>
      </c>
      <c r="M77" s="64">
        <v>17.36</v>
      </c>
      <c r="N77" s="64">
        <v>74.099999999999994</v>
      </c>
      <c r="O77" s="64">
        <v>0</v>
      </c>
      <c r="P77" s="64">
        <v>0.31</v>
      </c>
      <c r="Q77" s="64">
        <v>9.23</v>
      </c>
      <c r="R77" s="198"/>
      <c r="S77" s="198"/>
      <c r="T77" s="198"/>
      <c r="U77" s="198"/>
    </row>
    <row r="78" spans="1:21" s="12" customFormat="1" x14ac:dyDescent="0.25">
      <c r="A78" s="214" t="s">
        <v>2045</v>
      </c>
      <c r="B78" s="64">
        <v>1.47</v>
      </c>
      <c r="C78" s="64">
        <v>44.26</v>
      </c>
      <c r="D78" s="64">
        <v>24.22</v>
      </c>
      <c r="E78" s="64">
        <v>2.2599999999999998</v>
      </c>
      <c r="F78" s="64">
        <v>9.5500000000000007</v>
      </c>
      <c r="G78" s="64">
        <v>35.58</v>
      </c>
      <c r="H78" s="64">
        <v>13.39</v>
      </c>
      <c r="I78" s="64">
        <v>6.45</v>
      </c>
      <c r="J78" s="64">
        <v>0.46</v>
      </c>
      <c r="K78" s="64">
        <v>168.37</v>
      </c>
      <c r="L78" s="64">
        <v>35.74</v>
      </c>
      <c r="M78" s="64">
        <v>18.71</v>
      </c>
      <c r="N78" s="64">
        <v>56.7</v>
      </c>
      <c r="O78" s="64">
        <v>0</v>
      </c>
      <c r="P78" s="64">
        <v>0.31</v>
      </c>
      <c r="Q78" s="64">
        <v>9.15</v>
      </c>
      <c r="R78" s="198"/>
      <c r="S78" s="198"/>
      <c r="T78" s="198"/>
      <c r="U78" s="198"/>
    </row>
    <row r="79" spans="1:21" s="12" customFormat="1" x14ac:dyDescent="0.25">
      <c r="A79" s="214" t="s">
        <v>2046</v>
      </c>
      <c r="B79" s="64">
        <v>1.36</v>
      </c>
      <c r="C79" s="64">
        <v>44.99</v>
      </c>
      <c r="D79" s="64">
        <v>24.52</v>
      </c>
      <c r="E79" s="64">
        <v>2.08</v>
      </c>
      <c r="F79" s="64">
        <v>8.1300000000000008</v>
      </c>
      <c r="G79" s="64">
        <v>35.58</v>
      </c>
      <c r="H79" s="64">
        <v>13.39</v>
      </c>
      <c r="I79" s="64">
        <v>6.35</v>
      </c>
      <c r="J79" s="64">
        <v>0.26</v>
      </c>
      <c r="K79" s="64">
        <v>203.83</v>
      </c>
      <c r="L79" s="64">
        <v>35.39</v>
      </c>
      <c r="M79" s="64">
        <v>19.18</v>
      </c>
      <c r="N79" s="64">
        <v>44.4</v>
      </c>
      <c r="O79" s="64">
        <v>0</v>
      </c>
      <c r="P79" s="64">
        <v>0.32</v>
      </c>
      <c r="Q79" s="64">
        <v>9.1300000000000008</v>
      </c>
      <c r="R79" s="198"/>
      <c r="S79" s="198"/>
      <c r="T79" s="198"/>
      <c r="U79" s="198"/>
    </row>
    <row r="80" spans="1:21" s="12" customFormat="1" x14ac:dyDescent="0.25">
      <c r="A80" s="214" t="s">
        <v>2047</v>
      </c>
      <c r="B80" s="64">
        <v>1.57</v>
      </c>
      <c r="C80" s="64">
        <v>44.79</v>
      </c>
      <c r="D80" s="64">
        <v>24.58</v>
      </c>
      <c r="E80" s="64">
        <v>2</v>
      </c>
      <c r="F80" s="64">
        <v>6.62</v>
      </c>
      <c r="G80" s="64">
        <v>36.020000000000003</v>
      </c>
      <c r="H80" s="64">
        <v>13.41</v>
      </c>
      <c r="I80" s="64">
        <v>5.96</v>
      </c>
      <c r="J80" s="64">
        <v>0.08</v>
      </c>
      <c r="K80" s="64">
        <v>243.81</v>
      </c>
      <c r="L80" s="64">
        <v>34.79</v>
      </c>
      <c r="M80" s="64">
        <v>20.66</v>
      </c>
      <c r="N80" s="64">
        <v>32</v>
      </c>
      <c r="O80" s="64">
        <v>0</v>
      </c>
      <c r="P80" s="64">
        <v>0.34</v>
      </c>
      <c r="Q80" s="64">
        <v>9.35</v>
      </c>
      <c r="R80" s="198"/>
      <c r="S80" s="198"/>
      <c r="T80" s="198"/>
      <c r="U80" s="198"/>
    </row>
    <row r="81" spans="1:26" s="12" customFormat="1" x14ac:dyDescent="0.25">
      <c r="A81" s="214" t="s">
        <v>2048</v>
      </c>
      <c r="B81" s="64">
        <v>1.7</v>
      </c>
      <c r="C81" s="64">
        <v>47.89</v>
      </c>
      <c r="D81" s="64">
        <v>26.3</v>
      </c>
      <c r="E81" s="64">
        <v>2.1</v>
      </c>
      <c r="F81" s="64">
        <v>6.96</v>
      </c>
      <c r="G81" s="64">
        <v>42.2</v>
      </c>
      <c r="H81" s="64">
        <v>13.72</v>
      </c>
      <c r="I81" s="64">
        <v>5.78</v>
      </c>
      <c r="J81" s="64">
        <v>0.22</v>
      </c>
      <c r="K81" s="64">
        <v>257.2</v>
      </c>
      <c r="L81" s="64">
        <v>33.94</v>
      </c>
      <c r="M81" s="64">
        <v>22.1</v>
      </c>
      <c r="N81" s="64">
        <v>21</v>
      </c>
      <c r="O81" s="64">
        <v>0</v>
      </c>
      <c r="P81" s="64">
        <v>0.38</v>
      </c>
      <c r="Q81" s="64">
        <v>9.17</v>
      </c>
      <c r="R81" s="198"/>
      <c r="S81" s="198"/>
      <c r="T81" s="198"/>
      <c r="U81" s="198"/>
    </row>
    <row r="82" spans="1:26" s="12" customFormat="1" x14ac:dyDescent="0.25">
      <c r="A82" s="214" t="s">
        <v>2049</v>
      </c>
      <c r="B82" s="64">
        <v>1.69</v>
      </c>
      <c r="C82" s="64">
        <v>54.41</v>
      </c>
      <c r="D82" s="64">
        <v>29.71</v>
      </c>
      <c r="E82" s="64">
        <v>2.27</v>
      </c>
      <c r="F82" s="64">
        <v>7.41</v>
      </c>
      <c r="G82" s="64">
        <v>42.2</v>
      </c>
      <c r="H82" s="64">
        <v>13.72</v>
      </c>
      <c r="I82" s="64">
        <v>5.83</v>
      </c>
      <c r="J82" s="64">
        <v>0</v>
      </c>
      <c r="K82" s="64">
        <v>275.42</v>
      </c>
      <c r="L82" s="64">
        <v>33.35</v>
      </c>
      <c r="M82" s="64">
        <v>23.55</v>
      </c>
      <c r="N82" s="64">
        <v>16.2</v>
      </c>
      <c r="O82" s="64">
        <v>0</v>
      </c>
      <c r="P82" s="64">
        <v>0.45</v>
      </c>
      <c r="Q82" s="64">
        <v>9.1300000000000008</v>
      </c>
      <c r="R82" s="198"/>
      <c r="S82" s="198"/>
      <c r="T82" s="198"/>
      <c r="U82" s="198"/>
    </row>
    <row r="83" spans="1:26" s="12" customFormat="1" x14ac:dyDescent="0.25">
      <c r="A83" s="214" t="s">
        <v>2050</v>
      </c>
      <c r="B83" s="64">
        <v>1.84</v>
      </c>
      <c r="C83" s="64">
        <v>55.57</v>
      </c>
      <c r="D83" s="64">
        <v>30.43</v>
      </c>
      <c r="E83" s="64">
        <v>2.29</v>
      </c>
      <c r="F83" s="64">
        <v>5.58</v>
      </c>
      <c r="G83" s="64">
        <v>42.2</v>
      </c>
      <c r="H83" s="64">
        <v>13.72</v>
      </c>
      <c r="I83" s="64">
        <v>5.74</v>
      </c>
      <c r="J83" s="64">
        <v>0.09</v>
      </c>
      <c r="K83" s="64">
        <v>204.83</v>
      </c>
      <c r="L83" s="64">
        <v>33.21</v>
      </c>
      <c r="M83" s="64">
        <v>22.67</v>
      </c>
      <c r="N83" s="64">
        <v>14.8</v>
      </c>
      <c r="O83" s="64">
        <v>0</v>
      </c>
      <c r="P83" s="64">
        <v>0.48</v>
      </c>
      <c r="Q83" s="64">
        <v>9.32</v>
      </c>
      <c r="R83" s="198"/>
      <c r="S83" s="198"/>
      <c r="T83" s="198"/>
      <c r="U83" s="198"/>
    </row>
    <row r="84" spans="1:26" s="12" customFormat="1" x14ac:dyDescent="0.25">
      <c r="A84" s="214" t="s">
        <v>2051</v>
      </c>
      <c r="B84" s="64">
        <v>2.2999999999999998</v>
      </c>
      <c r="C84" s="64">
        <v>55.33</v>
      </c>
      <c r="D84" s="64">
        <v>30.67</v>
      </c>
      <c r="E84" s="64">
        <v>1.9</v>
      </c>
      <c r="F84" s="64">
        <v>4.51</v>
      </c>
      <c r="G84" s="64">
        <v>43.6</v>
      </c>
      <c r="H84" s="64">
        <v>13.97</v>
      </c>
      <c r="I84" s="64">
        <v>5.68</v>
      </c>
      <c r="J84" s="64">
        <v>0.3</v>
      </c>
      <c r="K84" s="64">
        <v>213.01</v>
      </c>
      <c r="L84" s="64">
        <v>33.14</v>
      </c>
      <c r="M84" s="64">
        <v>23.34</v>
      </c>
      <c r="N84" s="64">
        <v>14</v>
      </c>
      <c r="O84" s="64">
        <v>0</v>
      </c>
      <c r="P84" s="64">
        <v>0.51</v>
      </c>
      <c r="Q84" s="64">
        <v>9.25</v>
      </c>
      <c r="R84" s="198"/>
      <c r="S84" s="198"/>
      <c r="T84" s="198"/>
      <c r="U84" s="198"/>
    </row>
    <row r="85" spans="1:26" s="12" customFormat="1" x14ac:dyDescent="0.25">
      <c r="A85" s="214" t="s">
        <v>2052</v>
      </c>
      <c r="B85" s="64">
        <v>2.65</v>
      </c>
      <c r="C85" s="64">
        <v>53.29</v>
      </c>
      <c r="D85" s="64">
        <v>29.89</v>
      </c>
      <c r="E85" s="64">
        <v>1.91</v>
      </c>
      <c r="F85" s="64">
        <v>4.34</v>
      </c>
      <c r="G85" s="64">
        <v>63.2</v>
      </c>
      <c r="H85" s="64">
        <v>17.399999999999999</v>
      </c>
      <c r="I85" s="64">
        <v>5.95</v>
      </c>
      <c r="J85" s="64">
        <v>0.13</v>
      </c>
      <c r="K85" s="64">
        <v>227.11</v>
      </c>
      <c r="L85" s="64">
        <v>33.119999999999997</v>
      </c>
      <c r="M85" s="64">
        <v>24.11</v>
      </c>
      <c r="N85" s="64">
        <v>14.1</v>
      </c>
      <c r="O85" s="64">
        <v>0</v>
      </c>
      <c r="P85" s="64">
        <v>0.51</v>
      </c>
      <c r="Q85" s="64">
        <v>9.18</v>
      </c>
      <c r="R85" s="198"/>
      <c r="S85" s="198"/>
      <c r="T85" s="198"/>
      <c r="U85" s="198"/>
    </row>
    <row r="86" spans="1:26" s="12" customFormat="1" x14ac:dyDescent="0.25">
      <c r="A86" s="214" t="s">
        <v>2053</v>
      </c>
      <c r="B86" s="64">
        <v>3.26</v>
      </c>
      <c r="C86" s="64">
        <v>48.3</v>
      </c>
      <c r="D86" s="64">
        <v>27.77</v>
      </c>
      <c r="E86" s="64">
        <v>2.2000000000000002</v>
      </c>
      <c r="F86" s="64">
        <v>4.04</v>
      </c>
      <c r="G86" s="64">
        <v>63.2</v>
      </c>
      <c r="H86" s="64">
        <v>17.399999999999999</v>
      </c>
      <c r="I86" s="64">
        <v>6.06</v>
      </c>
      <c r="J86" s="64">
        <v>0.64</v>
      </c>
      <c r="K86" s="64">
        <v>147.05000000000001</v>
      </c>
      <c r="L86" s="64">
        <v>32.92</v>
      </c>
      <c r="M86" s="64">
        <v>23.96</v>
      </c>
      <c r="N86" s="64">
        <v>14.1</v>
      </c>
      <c r="O86" s="64">
        <v>0</v>
      </c>
      <c r="P86" s="64">
        <v>0.56999999999999995</v>
      </c>
      <c r="Q86" s="64">
        <v>9.34</v>
      </c>
      <c r="R86" s="198"/>
      <c r="S86" s="198"/>
      <c r="T86" s="198"/>
      <c r="U86" s="198"/>
    </row>
    <row r="87" spans="1:26" s="12" customFormat="1" x14ac:dyDescent="0.25">
      <c r="A87" s="214" t="s">
        <v>2054</v>
      </c>
      <c r="B87" s="64">
        <v>4.6100000000000003</v>
      </c>
      <c r="C87" s="64">
        <v>49.17</v>
      </c>
      <c r="D87" s="64">
        <v>29.31</v>
      </c>
      <c r="E87" s="64">
        <v>1.68</v>
      </c>
      <c r="F87" s="64">
        <v>3.57</v>
      </c>
      <c r="G87" s="64">
        <v>63.2</v>
      </c>
      <c r="H87" s="64">
        <v>17.399999999999999</v>
      </c>
      <c r="I87" s="64">
        <v>6.27</v>
      </c>
      <c r="J87" s="64">
        <v>0.56000000000000005</v>
      </c>
      <c r="K87" s="64">
        <v>143.05000000000001</v>
      </c>
      <c r="L87" s="64">
        <v>32.31</v>
      </c>
      <c r="M87" s="64">
        <v>26.11</v>
      </c>
      <c r="N87" s="64">
        <v>14.7</v>
      </c>
      <c r="O87" s="64">
        <v>0</v>
      </c>
      <c r="P87" s="64">
        <v>0.59</v>
      </c>
      <c r="Q87" s="64">
        <v>9.2200000000000006</v>
      </c>
      <c r="R87" s="198"/>
      <c r="S87" s="198"/>
      <c r="T87" s="198"/>
      <c r="U87" s="198"/>
    </row>
    <row r="88" spans="1:26" s="12" customFormat="1" x14ac:dyDescent="0.25">
      <c r="A88" s="214" t="s">
        <v>2055</v>
      </c>
      <c r="B88" s="64">
        <v>5.26</v>
      </c>
      <c r="C88" s="64">
        <v>48.62</v>
      </c>
      <c r="D88" s="64">
        <v>29.54</v>
      </c>
      <c r="E88" s="64">
        <v>0.74</v>
      </c>
      <c r="F88" s="64">
        <v>3.7</v>
      </c>
      <c r="G88" s="64">
        <v>63.46</v>
      </c>
      <c r="H88" s="64">
        <v>17.489999999999998</v>
      </c>
      <c r="I88" s="64">
        <v>6.39</v>
      </c>
      <c r="J88" s="64">
        <v>0.15</v>
      </c>
      <c r="K88" s="64">
        <v>207.6</v>
      </c>
      <c r="L88" s="64">
        <v>31.87</v>
      </c>
      <c r="M88" s="64">
        <v>27.97</v>
      </c>
      <c r="N88" s="64">
        <v>15.3</v>
      </c>
      <c r="O88" s="64">
        <v>0</v>
      </c>
      <c r="P88" s="64">
        <v>0.61</v>
      </c>
      <c r="Q88" s="64">
        <v>9.1999999999999993</v>
      </c>
      <c r="R88" s="198"/>
      <c r="S88" s="198"/>
      <c r="T88" s="198"/>
      <c r="U88" s="198"/>
    </row>
    <row r="89" spans="1:26" s="12" customFormat="1" x14ac:dyDescent="0.25">
      <c r="A89" s="214" t="s">
        <v>2056</v>
      </c>
      <c r="B89" s="64">
        <v>6.49</v>
      </c>
      <c r="C89" s="64">
        <v>50.3</v>
      </c>
      <c r="D89" s="64">
        <v>31.4</v>
      </c>
      <c r="E89" s="64">
        <v>1.1399999999999999</v>
      </c>
      <c r="F89" s="64">
        <v>3.43</v>
      </c>
      <c r="G89" s="64">
        <v>67.099999999999994</v>
      </c>
      <c r="H89" s="64">
        <v>18.690000000000001</v>
      </c>
      <c r="I89" s="64">
        <v>6.56</v>
      </c>
      <c r="J89" s="64">
        <v>0.09</v>
      </c>
      <c r="K89" s="64">
        <v>135.69</v>
      </c>
      <c r="L89" s="64">
        <v>30.94</v>
      </c>
      <c r="M89" s="64">
        <v>30.25</v>
      </c>
      <c r="N89" s="64">
        <v>15.5</v>
      </c>
      <c r="O89" s="64">
        <v>0</v>
      </c>
      <c r="P89" s="64">
        <v>0.67</v>
      </c>
      <c r="Q89" s="64">
        <v>9.32</v>
      </c>
      <c r="R89" s="198"/>
      <c r="S89" s="198"/>
      <c r="T89" s="198"/>
      <c r="U89" s="198"/>
    </row>
    <row r="90" spans="1:26" s="12" customFormat="1" x14ac:dyDescent="0.25">
      <c r="A90" s="214" t="s">
        <v>2057</v>
      </c>
      <c r="B90" s="64">
        <v>9.6300000000000008</v>
      </c>
      <c r="C90" s="64">
        <v>50.79</v>
      </c>
      <c r="D90" s="64">
        <v>34.18</v>
      </c>
      <c r="E90" s="64">
        <v>1.06</v>
      </c>
      <c r="F90" s="64">
        <v>3.6</v>
      </c>
      <c r="G90" s="64">
        <v>67.099999999999994</v>
      </c>
      <c r="H90" s="64">
        <v>18.690000000000001</v>
      </c>
      <c r="I90" s="64">
        <v>6.91</v>
      </c>
      <c r="J90" s="64">
        <v>0.09</v>
      </c>
      <c r="K90" s="64">
        <v>11.84</v>
      </c>
      <c r="L90" s="64">
        <v>30.1</v>
      </c>
      <c r="M90" s="64">
        <v>36.07</v>
      </c>
      <c r="N90" s="64">
        <v>15.5</v>
      </c>
      <c r="O90" s="64">
        <v>0</v>
      </c>
      <c r="P90" s="64">
        <v>0.72</v>
      </c>
      <c r="Q90" s="64">
        <v>9.31</v>
      </c>
      <c r="R90" s="198"/>
      <c r="S90" s="198"/>
      <c r="T90" s="198"/>
      <c r="U90" s="198"/>
    </row>
    <row r="91" spans="1:26" s="12" customFormat="1" x14ac:dyDescent="0.25">
      <c r="A91" s="214" t="s">
        <v>2058</v>
      </c>
      <c r="B91" s="64">
        <v>13.74</v>
      </c>
      <c r="C91" s="64">
        <v>50.63</v>
      </c>
      <c r="D91" s="64">
        <v>37.39</v>
      </c>
      <c r="E91" s="64">
        <v>1.0900000000000001</v>
      </c>
      <c r="F91" s="64">
        <v>3.74</v>
      </c>
      <c r="G91" s="64">
        <v>67.099999999999994</v>
      </c>
      <c r="H91" s="64">
        <v>18.690000000000001</v>
      </c>
      <c r="I91" s="64">
        <v>7.58</v>
      </c>
      <c r="J91" s="64">
        <v>0.1</v>
      </c>
      <c r="K91" s="64">
        <v>276.61</v>
      </c>
      <c r="L91" s="64">
        <v>29.67</v>
      </c>
      <c r="M91" s="64">
        <v>38.83</v>
      </c>
      <c r="N91" s="64">
        <v>14.9</v>
      </c>
      <c r="O91" s="64">
        <v>0</v>
      </c>
      <c r="P91" s="64">
        <v>0.84</v>
      </c>
      <c r="Q91" s="64">
        <v>9.19</v>
      </c>
      <c r="R91" s="198"/>
      <c r="S91" s="198"/>
      <c r="T91" s="198"/>
      <c r="U91" s="198"/>
    </row>
    <row r="92" spans="1:26" s="12" customFormat="1" x14ac:dyDescent="0.25">
      <c r="A92" s="214" t="s">
        <v>2059</v>
      </c>
      <c r="B92" s="64">
        <v>18.8</v>
      </c>
      <c r="C92" s="64">
        <v>50.23</v>
      </c>
      <c r="D92" s="64">
        <v>41.23</v>
      </c>
      <c r="E92" s="64">
        <v>1.77</v>
      </c>
      <c r="F92" s="64">
        <v>3.41</v>
      </c>
      <c r="G92" s="64">
        <v>69.83</v>
      </c>
      <c r="H92" s="64">
        <v>18.96</v>
      </c>
      <c r="I92" s="64">
        <v>8.34</v>
      </c>
      <c r="J92" s="64">
        <v>0.09</v>
      </c>
      <c r="K92" s="64">
        <v>305.08</v>
      </c>
      <c r="L92" s="64">
        <v>29.03</v>
      </c>
      <c r="M92" s="64">
        <v>41.86</v>
      </c>
      <c r="N92" s="64">
        <v>15.1</v>
      </c>
      <c r="O92" s="64">
        <v>0</v>
      </c>
      <c r="P92" s="64">
        <v>0.95</v>
      </c>
      <c r="Q92" s="64">
        <v>9.44</v>
      </c>
      <c r="R92" s="198"/>
      <c r="S92" s="198"/>
      <c r="T92" s="198"/>
      <c r="U92" s="198"/>
    </row>
    <row r="93" spans="1:26" s="12" customFormat="1" x14ac:dyDescent="0.25">
      <c r="A93" s="214" t="s">
        <v>2060</v>
      </c>
      <c r="B93" s="64">
        <v>24.81</v>
      </c>
      <c r="C93" s="64">
        <v>50.41</v>
      </c>
      <c r="D93" s="64">
        <v>46.15</v>
      </c>
      <c r="E93" s="64">
        <v>1.99</v>
      </c>
      <c r="F93" s="64">
        <v>3.41</v>
      </c>
      <c r="G93" s="64">
        <v>108.1</v>
      </c>
      <c r="H93" s="64">
        <v>22.73</v>
      </c>
      <c r="I93" s="64">
        <v>8.99</v>
      </c>
      <c r="J93" s="64">
        <v>0.25</v>
      </c>
      <c r="K93" s="64">
        <v>339.16</v>
      </c>
      <c r="L93" s="64">
        <v>28.68</v>
      </c>
      <c r="M93" s="64">
        <v>43.51</v>
      </c>
      <c r="N93" s="64">
        <v>15.1</v>
      </c>
      <c r="O93" s="64">
        <v>0</v>
      </c>
      <c r="P93" s="64">
        <v>1.1000000000000001</v>
      </c>
      <c r="Q93" s="64">
        <v>9.5</v>
      </c>
      <c r="R93" s="198"/>
      <c r="S93" s="198"/>
      <c r="T93" s="198"/>
      <c r="U93" s="198"/>
    </row>
    <row r="94" spans="1:26" s="12" customFormat="1" x14ac:dyDescent="0.25">
      <c r="A94" s="214" t="s">
        <v>2061</v>
      </c>
      <c r="B94" s="64">
        <v>32.08</v>
      </c>
      <c r="C94" s="64">
        <v>50.47</v>
      </c>
      <c r="D94" s="64">
        <v>52.01</v>
      </c>
      <c r="E94" s="64">
        <v>1.81</v>
      </c>
      <c r="F94" s="64">
        <v>3.27</v>
      </c>
      <c r="G94" s="64">
        <v>108.1</v>
      </c>
      <c r="H94" s="64">
        <v>22.73</v>
      </c>
      <c r="I94" s="64">
        <v>9.26</v>
      </c>
      <c r="J94" s="64">
        <v>0.22</v>
      </c>
      <c r="K94" s="64">
        <v>343.98</v>
      </c>
      <c r="L94" s="64">
        <v>28.34</v>
      </c>
      <c r="M94" s="64">
        <v>46.8</v>
      </c>
      <c r="N94" s="64">
        <v>15.1</v>
      </c>
      <c r="O94" s="64">
        <v>0</v>
      </c>
      <c r="P94" s="64">
        <v>1.22</v>
      </c>
      <c r="Q94" s="64">
        <v>9.49</v>
      </c>
      <c r="R94" s="198"/>
      <c r="S94" s="198"/>
      <c r="T94" s="198"/>
      <c r="U94" s="198"/>
    </row>
    <row r="95" spans="1:26" s="12" customFormat="1" x14ac:dyDescent="0.25">
      <c r="A95" s="214" t="s">
        <v>2062</v>
      </c>
      <c r="B95" s="64">
        <v>42.92</v>
      </c>
      <c r="C95" s="64">
        <v>58.25</v>
      </c>
      <c r="D95" s="64">
        <v>64.77</v>
      </c>
      <c r="E95" s="64">
        <v>2.12</v>
      </c>
      <c r="F95" s="64">
        <v>3.33</v>
      </c>
      <c r="G95" s="64">
        <v>108.1</v>
      </c>
      <c r="H95" s="64">
        <v>22.73</v>
      </c>
      <c r="I95" s="64">
        <v>9.75</v>
      </c>
      <c r="J95" s="64">
        <v>0.13</v>
      </c>
      <c r="K95" s="64">
        <v>294.64999999999998</v>
      </c>
      <c r="L95" s="64">
        <v>28.15</v>
      </c>
      <c r="M95" s="64">
        <v>44.32</v>
      </c>
      <c r="N95" s="64">
        <v>14.9</v>
      </c>
      <c r="O95" s="64">
        <v>0</v>
      </c>
      <c r="P95" s="64">
        <v>1.38</v>
      </c>
      <c r="Q95" s="64">
        <v>9.67</v>
      </c>
      <c r="R95" s="198"/>
      <c r="S95" s="198"/>
      <c r="T95" s="198"/>
      <c r="U95" s="198"/>
    </row>
    <row r="96" spans="1:26" s="12" customFormat="1" x14ac:dyDescent="0.25">
      <c r="A96" s="214" t="s">
        <v>2063</v>
      </c>
      <c r="B96" s="64">
        <v>50.31</v>
      </c>
      <c r="C96" s="64">
        <v>55.19</v>
      </c>
      <c r="D96" s="64">
        <v>69.099999999999994</v>
      </c>
      <c r="E96" s="64">
        <v>2.0699999999999998</v>
      </c>
      <c r="F96" s="64">
        <v>3.26</v>
      </c>
      <c r="G96" s="64">
        <v>109.92</v>
      </c>
      <c r="H96" s="64">
        <v>23.03</v>
      </c>
      <c r="I96" s="64">
        <v>10.64</v>
      </c>
      <c r="J96" s="64">
        <v>0.34</v>
      </c>
      <c r="K96" s="64">
        <v>224.72</v>
      </c>
      <c r="L96" s="64">
        <v>28.6</v>
      </c>
      <c r="M96" s="64">
        <v>39.1</v>
      </c>
      <c r="N96" s="64">
        <v>13.7</v>
      </c>
      <c r="O96" s="64">
        <v>0</v>
      </c>
      <c r="P96" s="64">
        <v>1.46</v>
      </c>
      <c r="Q96" s="64">
        <v>9.7899999999999991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2064</v>
      </c>
      <c r="B97" s="64">
        <v>53.89</v>
      </c>
      <c r="C97" s="64">
        <v>54.62</v>
      </c>
      <c r="D97" s="64">
        <v>71.680000000000007</v>
      </c>
      <c r="E97" s="64">
        <v>2.15</v>
      </c>
      <c r="F97" s="64">
        <v>3.14</v>
      </c>
      <c r="G97" s="64">
        <v>135.41</v>
      </c>
      <c r="H97" s="64">
        <v>27.21</v>
      </c>
      <c r="I97" s="64">
        <v>10.76</v>
      </c>
      <c r="J97" s="64">
        <v>0.21</v>
      </c>
      <c r="K97" s="64">
        <v>251.47</v>
      </c>
      <c r="L97" s="64">
        <v>29.19</v>
      </c>
      <c r="M97" s="64">
        <v>35.369999999999997</v>
      </c>
      <c r="N97" s="64">
        <v>14.2</v>
      </c>
      <c r="O97" s="64">
        <v>0</v>
      </c>
      <c r="P97" s="64">
        <v>1.48</v>
      </c>
      <c r="Q97" s="64">
        <v>9.58</v>
      </c>
      <c r="R97" s="198"/>
      <c r="S97" s="198"/>
      <c r="T97" s="198"/>
      <c r="U97" s="198"/>
    </row>
    <row r="98" spans="1:33" s="12" customFormat="1" x14ac:dyDescent="0.25">
      <c r="A98" s="214" t="s">
        <v>2065</v>
      </c>
      <c r="B98" s="64">
        <v>54.47</v>
      </c>
      <c r="C98" s="64">
        <v>53.78</v>
      </c>
      <c r="D98" s="64">
        <v>71.7</v>
      </c>
      <c r="E98" s="64">
        <v>2.2200000000000002</v>
      </c>
      <c r="F98" s="64">
        <v>3.35</v>
      </c>
      <c r="G98" s="64">
        <v>135.41</v>
      </c>
      <c r="H98" s="64">
        <v>27.21</v>
      </c>
      <c r="I98" s="64">
        <v>10.62</v>
      </c>
      <c r="J98" s="64">
        <v>0.2</v>
      </c>
      <c r="K98" s="64">
        <v>236.09</v>
      </c>
      <c r="L98" s="64">
        <v>29.08</v>
      </c>
      <c r="M98" s="64">
        <v>34.35</v>
      </c>
      <c r="N98" s="64">
        <v>14.4</v>
      </c>
      <c r="O98" s="64">
        <v>0</v>
      </c>
      <c r="P98" s="64">
        <v>1.48</v>
      </c>
      <c r="Q98" s="64">
        <v>9.66</v>
      </c>
      <c r="R98" s="198"/>
      <c r="S98" s="198"/>
      <c r="T98" s="198"/>
      <c r="U98" s="198"/>
    </row>
    <row r="99" spans="1:33" s="12" customFormat="1" x14ac:dyDescent="0.25">
      <c r="A99" s="214" t="s">
        <v>2066</v>
      </c>
      <c r="B99" s="64">
        <v>53.07</v>
      </c>
      <c r="C99" s="64">
        <v>52.73</v>
      </c>
      <c r="D99" s="64">
        <v>70.03</v>
      </c>
      <c r="E99" s="64">
        <v>1.92</v>
      </c>
      <c r="F99" s="64">
        <v>3.38</v>
      </c>
      <c r="G99" s="64">
        <v>135.41</v>
      </c>
      <c r="H99" s="64">
        <v>27.21</v>
      </c>
      <c r="I99" s="64">
        <v>10.47</v>
      </c>
      <c r="J99" s="64">
        <v>0.27</v>
      </c>
      <c r="K99" s="64">
        <v>343.9</v>
      </c>
      <c r="L99" s="64">
        <v>28.26</v>
      </c>
      <c r="M99" s="64">
        <v>39.14</v>
      </c>
      <c r="N99" s="64">
        <v>15.4</v>
      </c>
      <c r="O99" s="64">
        <v>0</v>
      </c>
      <c r="P99" s="64">
        <v>1.46</v>
      </c>
      <c r="Q99" s="64">
        <v>9.98</v>
      </c>
      <c r="R99" s="198"/>
      <c r="S99" s="198"/>
      <c r="T99" s="198"/>
      <c r="U99" s="198"/>
    </row>
    <row r="100" spans="1:33" s="12" customFormat="1" x14ac:dyDescent="0.25">
      <c r="A100" s="214" t="s">
        <v>2067</v>
      </c>
      <c r="B100" s="64">
        <v>54.02</v>
      </c>
      <c r="C100" s="64">
        <v>52.1</v>
      </c>
      <c r="D100" s="64">
        <v>70.459999999999994</v>
      </c>
      <c r="E100" s="64">
        <v>2.0299999999999998</v>
      </c>
      <c r="F100" s="64">
        <v>3.62</v>
      </c>
      <c r="G100" s="64">
        <v>133.43</v>
      </c>
      <c r="H100" s="64">
        <v>27.25</v>
      </c>
      <c r="I100" s="64">
        <v>10.31</v>
      </c>
      <c r="J100" s="64">
        <v>0.11</v>
      </c>
      <c r="K100" s="64">
        <v>292.27</v>
      </c>
      <c r="L100" s="64">
        <v>27.51</v>
      </c>
      <c r="M100" s="64">
        <v>39.53</v>
      </c>
      <c r="N100" s="64">
        <v>15.2</v>
      </c>
      <c r="O100" s="64">
        <v>0</v>
      </c>
      <c r="P100" s="64">
        <v>1.46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2068</v>
      </c>
      <c r="B101" s="64">
        <v>54.05</v>
      </c>
      <c r="C101" s="64">
        <v>52.01</v>
      </c>
      <c r="D101" s="64">
        <v>70.430000000000007</v>
      </c>
      <c r="E101" s="64">
        <v>1.82</v>
      </c>
      <c r="F101" s="64">
        <v>3.62</v>
      </c>
      <c r="G101" s="64">
        <v>105.69</v>
      </c>
      <c r="H101" s="64">
        <v>27.82</v>
      </c>
      <c r="I101" s="64">
        <v>10.119999999999999</v>
      </c>
      <c r="J101" s="64">
        <v>0.19</v>
      </c>
      <c r="K101" s="64">
        <v>266.5</v>
      </c>
      <c r="L101" s="64">
        <v>27.87</v>
      </c>
      <c r="M101" s="64">
        <v>39.35</v>
      </c>
      <c r="N101" s="64">
        <v>14.4</v>
      </c>
      <c r="O101" s="64">
        <v>0</v>
      </c>
      <c r="P101" s="64">
        <v>1.44</v>
      </c>
      <c r="Q101" s="64">
        <v>9.66</v>
      </c>
      <c r="R101" s="198"/>
      <c r="S101" s="198"/>
      <c r="T101" s="198"/>
      <c r="U101" s="198"/>
    </row>
    <row r="102" spans="1:33" s="12" customFormat="1" x14ac:dyDescent="0.25">
      <c r="A102" s="214" t="s">
        <v>2069</v>
      </c>
      <c r="B102" s="64">
        <v>52.07</v>
      </c>
      <c r="C102" s="64">
        <v>51.35</v>
      </c>
      <c r="D102" s="64">
        <v>68.5</v>
      </c>
      <c r="E102" s="64">
        <v>2.21</v>
      </c>
      <c r="F102" s="64">
        <v>3.41</v>
      </c>
      <c r="G102" s="64">
        <v>105.69</v>
      </c>
      <c r="H102" s="64">
        <v>27.82</v>
      </c>
      <c r="I102" s="64">
        <v>10.039999999999999</v>
      </c>
      <c r="J102" s="64">
        <v>0.16</v>
      </c>
      <c r="K102" s="64">
        <v>294.12</v>
      </c>
      <c r="L102" s="64">
        <v>27.72</v>
      </c>
      <c r="M102" s="64">
        <v>40.01</v>
      </c>
      <c r="N102" s="64">
        <v>14.8</v>
      </c>
      <c r="O102" s="64">
        <v>0</v>
      </c>
      <c r="P102" s="64">
        <v>1.42</v>
      </c>
      <c r="Q102" s="64">
        <v>9.43</v>
      </c>
      <c r="R102" s="198"/>
      <c r="S102" s="198"/>
      <c r="T102" s="198"/>
      <c r="U102" s="198"/>
    </row>
    <row r="103" spans="1:33" s="12" customFormat="1" x14ac:dyDescent="0.25">
      <c r="A103" s="214" t="s">
        <v>2070</v>
      </c>
      <c r="B103" s="64">
        <v>50.45</v>
      </c>
      <c r="C103" s="64">
        <v>50.94</v>
      </c>
      <c r="D103" s="64">
        <v>66.989999999999995</v>
      </c>
      <c r="E103" s="64">
        <v>2</v>
      </c>
      <c r="F103" s="64">
        <v>3.53</v>
      </c>
      <c r="G103" s="64">
        <v>105.69</v>
      </c>
      <c r="H103" s="64">
        <v>27.82</v>
      </c>
      <c r="I103" s="64">
        <v>9.7899999999999991</v>
      </c>
      <c r="J103" s="64">
        <v>0.19</v>
      </c>
      <c r="K103" s="64">
        <v>6.06</v>
      </c>
      <c r="L103" s="64">
        <v>27.09</v>
      </c>
      <c r="M103" s="64">
        <v>45.36</v>
      </c>
      <c r="N103" s="64">
        <v>15.4</v>
      </c>
      <c r="O103" s="64">
        <v>0</v>
      </c>
      <c r="P103" s="64">
        <v>1.38</v>
      </c>
      <c r="Q103" s="64">
        <v>9.9</v>
      </c>
      <c r="R103" s="198"/>
      <c r="S103" s="198"/>
      <c r="T103" s="198"/>
      <c r="U103" s="198"/>
    </row>
    <row r="104" spans="1:33" s="12" customFormat="1" x14ac:dyDescent="0.25">
      <c r="A104" s="214" t="s">
        <v>2071</v>
      </c>
      <c r="B104" s="64">
        <v>51.18</v>
      </c>
      <c r="C104" s="64">
        <v>50.49</v>
      </c>
      <c r="D104" s="64">
        <v>67.34</v>
      </c>
      <c r="E104" s="64">
        <v>2.68</v>
      </c>
      <c r="F104" s="64">
        <v>3.5</v>
      </c>
      <c r="G104" s="64">
        <v>104.64</v>
      </c>
      <c r="H104" s="64">
        <v>27.73</v>
      </c>
      <c r="I104" s="64">
        <v>9.68</v>
      </c>
      <c r="J104" s="64">
        <v>0.1</v>
      </c>
      <c r="K104" s="64">
        <v>45.52</v>
      </c>
      <c r="L104" s="64">
        <v>26.63</v>
      </c>
      <c r="M104" s="64">
        <v>47.6</v>
      </c>
      <c r="N104" s="64">
        <v>15.2</v>
      </c>
      <c r="O104" s="64">
        <v>0</v>
      </c>
      <c r="P104" s="64">
        <v>1.38</v>
      </c>
      <c r="Q104" s="64">
        <v>9.44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</v>
      </c>
      <c r="C106" s="67">
        <f>MIN(C9:C104)</f>
        <v>31.21</v>
      </c>
      <c r="D106" s="67">
        <f t="shared" ref="D106:Q106" si="0">MIN(D9:D104)</f>
        <v>19</v>
      </c>
      <c r="E106" s="67">
        <f t="shared" si="0"/>
        <v>0.74</v>
      </c>
      <c r="F106" s="67">
        <f t="shared" si="0"/>
        <v>3.14</v>
      </c>
      <c r="G106" s="67">
        <f t="shared" si="0"/>
        <v>12.68</v>
      </c>
      <c r="H106" s="67">
        <f t="shared" si="0"/>
        <v>13.39</v>
      </c>
      <c r="I106" s="67">
        <f t="shared" si="0"/>
        <v>5.58</v>
      </c>
      <c r="J106" s="67">
        <f t="shared" si="0"/>
        <v>0</v>
      </c>
      <c r="K106" s="67">
        <f t="shared" si="0"/>
        <v>0.9</v>
      </c>
      <c r="L106" s="67">
        <f t="shared" si="0"/>
        <v>22.57</v>
      </c>
      <c r="M106" s="67">
        <f t="shared" si="0"/>
        <v>10.94</v>
      </c>
      <c r="N106" s="67">
        <f t="shared" si="0"/>
        <v>13.7</v>
      </c>
      <c r="O106" s="67">
        <f t="shared" si="0"/>
        <v>0</v>
      </c>
      <c r="P106" s="67">
        <f t="shared" si="0"/>
        <v>0.31</v>
      </c>
      <c r="Q106" s="67">
        <f t="shared" si="0"/>
        <v>9.1199999999999992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54.47</v>
      </c>
      <c r="C107" s="66">
        <f t="shared" ref="C107:Q107" si="1">MAX(C9:C104)</f>
        <v>58.25</v>
      </c>
      <c r="D107" s="66">
        <f t="shared" si="1"/>
        <v>71.7</v>
      </c>
      <c r="E107" s="66">
        <f t="shared" si="1"/>
        <v>2.68</v>
      </c>
      <c r="F107" s="66">
        <f t="shared" si="1"/>
        <v>9.7799999999999994</v>
      </c>
      <c r="G107" s="66">
        <f t="shared" si="1"/>
        <v>160.11000000000001</v>
      </c>
      <c r="H107" s="66">
        <f t="shared" si="1"/>
        <v>32.21</v>
      </c>
      <c r="I107" s="66">
        <f t="shared" si="1"/>
        <v>12.47</v>
      </c>
      <c r="J107" s="66">
        <f t="shared" si="1"/>
        <v>1.46</v>
      </c>
      <c r="K107" s="66">
        <f t="shared" si="1"/>
        <v>355.77</v>
      </c>
      <c r="L107" s="66">
        <f t="shared" si="1"/>
        <v>41.96</v>
      </c>
      <c r="M107" s="66">
        <f t="shared" si="1"/>
        <v>63.66</v>
      </c>
      <c r="N107" s="66">
        <f t="shared" si="1"/>
        <v>989</v>
      </c>
      <c r="O107" s="66">
        <f t="shared" si="1"/>
        <v>0</v>
      </c>
      <c r="P107" s="66">
        <f t="shared" si="1"/>
        <v>1.48</v>
      </c>
      <c r="Q107" s="66">
        <f t="shared" si="1"/>
        <v>9.98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13.908020833333337</v>
      </c>
      <c r="C108" s="67">
        <f t="shared" ref="C108:Q108" si="2">AVERAGE(C9:C104)</f>
        <v>42.083229166666662</v>
      </c>
      <c r="D108" s="67">
        <f t="shared" si="2"/>
        <v>33.059999999999981</v>
      </c>
      <c r="E108" s="67">
        <f t="shared" si="2"/>
        <v>1.6923958333333335</v>
      </c>
      <c r="F108" s="67">
        <f t="shared" si="2"/>
        <v>4.6929166666666671</v>
      </c>
      <c r="G108" s="67">
        <f t="shared" si="2"/>
        <v>70.86145833333336</v>
      </c>
      <c r="H108" s="67">
        <f t="shared" si="2"/>
        <v>21.507291666666674</v>
      </c>
      <c r="I108" s="67">
        <f t="shared" si="2"/>
        <v>8.6268749999999983</v>
      </c>
      <c r="J108" s="67">
        <f t="shared" si="2"/>
        <v>0.32937500000000003</v>
      </c>
      <c r="K108" s="67">
        <f t="shared" si="2"/>
        <v>216.84750000000005</v>
      </c>
      <c r="L108" s="67">
        <f t="shared" si="2"/>
        <v>31.834895833333334</v>
      </c>
      <c r="M108" s="67">
        <f t="shared" si="2"/>
        <v>32.996041666666692</v>
      </c>
      <c r="N108" s="67">
        <f t="shared" si="2"/>
        <v>276.91770833333339</v>
      </c>
      <c r="O108" s="67">
        <f t="shared" si="2"/>
        <v>0</v>
      </c>
      <c r="P108" s="67">
        <f t="shared" si="2"/>
        <v>0.68843749999999992</v>
      </c>
      <c r="Q108" s="67">
        <f t="shared" si="2"/>
        <v>9.3212499999999991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17.059865219421408</v>
      </c>
      <c r="C109" s="67">
        <f t="shared" ref="C109:Q109" si="3">STDEV(C9:C104)</f>
        <v>7.4863448315184797</v>
      </c>
      <c r="D109" s="67">
        <f t="shared" si="3"/>
        <v>15.225319009707803</v>
      </c>
      <c r="E109" s="67">
        <f t="shared" si="3"/>
        <v>0.37722182442769747</v>
      </c>
      <c r="F109" s="67">
        <f t="shared" si="3"/>
        <v>1.762396046455337</v>
      </c>
      <c r="G109" s="67">
        <f t="shared" si="3"/>
        <v>35.678268691154891</v>
      </c>
      <c r="H109" s="67">
        <f t="shared" si="3"/>
        <v>5.3359887317735391</v>
      </c>
      <c r="I109" s="67">
        <f t="shared" si="3"/>
        <v>2.0711874613371011</v>
      </c>
      <c r="J109" s="67">
        <f t="shared" si="3"/>
        <v>0.33615727052425293</v>
      </c>
      <c r="K109" s="67">
        <f t="shared" si="3"/>
        <v>97.70937894970389</v>
      </c>
      <c r="L109" s="67">
        <f t="shared" si="3"/>
        <v>6.1208903712126403</v>
      </c>
      <c r="M109" s="67">
        <f t="shared" si="3"/>
        <v>17.212940387924544</v>
      </c>
      <c r="N109" s="67">
        <f t="shared" si="3"/>
        <v>358.00142722290974</v>
      </c>
      <c r="O109" s="67">
        <f t="shared" si="3"/>
        <v>0</v>
      </c>
      <c r="P109" s="67">
        <f t="shared" si="3"/>
        <v>0.31077942126886493</v>
      </c>
      <c r="Q109" s="67">
        <f t="shared" si="3"/>
        <v>0.17880450953927013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7" sqref="G12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2072</v>
      </c>
      <c r="B9" s="64">
        <v>51.83</v>
      </c>
      <c r="C9" s="64">
        <v>50.58</v>
      </c>
      <c r="D9" s="64">
        <v>67.91</v>
      </c>
      <c r="E9" s="64">
        <v>2.69</v>
      </c>
      <c r="F9" s="64">
        <v>3.02</v>
      </c>
      <c r="G9" s="64">
        <v>89.91</v>
      </c>
      <c r="H9" s="64">
        <v>26.51</v>
      </c>
      <c r="I9" s="64">
        <v>9.49</v>
      </c>
      <c r="J9" s="64">
        <v>0.06</v>
      </c>
      <c r="K9" s="64">
        <v>44.15</v>
      </c>
      <c r="L9" s="64">
        <v>26.54</v>
      </c>
      <c r="M9" s="64">
        <v>49.09</v>
      </c>
      <c r="N9" s="64">
        <v>14.9</v>
      </c>
      <c r="O9" s="64">
        <v>0</v>
      </c>
      <c r="P9" s="64">
        <v>1.37</v>
      </c>
      <c r="Q9" s="64">
        <v>9.66</v>
      </c>
      <c r="R9" s="198"/>
      <c r="S9" s="198"/>
      <c r="T9" s="198"/>
      <c r="U9" s="198"/>
    </row>
    <row r="10" spans="1:21" s="12" customFormat="1" x14ac:dyDescent="0.25">
      <c r="A10" s="214" t="s">
        <v>2073</v>
      </c>
      <c r="B10" s="64">
        <v>52.57</v>
      </c>
      <c r="C10" s="64">
        <v>48.27</v>
      </c>
      <c r="D10" s="64">
        <v>67.3</v>
      </c>
      <c r="E10" s="64">
        <v>2.94</v>
      </c>
      <c r="F10" s="64">
        <v>3.76</v>
      </c>
      <c r="G10" s="64">
        <v>89.91</v>
      </c>
      <c r="H10" s="64">
        <v>26.51</v>
      </c>
      <c r="I10" s="64">
        <v>9.39</v>
      </c>
      <c r="J10" s="64">
        <v>0.02</v>
      </c>
      <c r="K10" s="64">
        <v>62.43</v>
      </c>
      <c r="L10" s="64">
        <v>26.36</v>
      </c>
      <c r="M10" s="64">
        <v>49.53</v>
      </c>
      <c r="N10" s="64">
        <v>15</v>
      </c>
      <c r="O10" s="64">
        <v>0</v>
      </c>
      <c r="P10" s="64">
        <v>1.35</v>
      </c>
      <c r="Q10" s="64">
        <v>9.77</v>
      </c>
      <c r="R10" s="198"/>
      <c r="S10" s="198"/>
      <c r="T10" s="198"/>
      <c r="U10" s="198"/>
    </row>
    <row r="11" spans="1:21" s="12" customFormat="1" x14ac:dyDescent="0.25">
      <c r="A11" s="214" t="s">
        <v>2074</v>
      </c>
      <c r="B11" s="64">
        <v>52.33</v>
      </c>
      <c r="C11" s="64">
        <v>46.98</v>
      </c>
      <c r="D11" s="64">
        <v>66.430000000000007</v>
      </c>
      <c r="E11" s="64">
        <v>2.72</v>
      </c>
      <c r="F11" s="64">
        <v>3.84</v>
      </c>
      <c r="G11" s="64">
        <v>89.91</v>
      </c>
      <c r="H11" s="64">
        <v>26.51</v>
      </c>
      <c r="I11" s="64">
        <v>9.2200000000000006</v>
      </c>
      <c r="J11" s="64">
        <v>0.12</v>
      </c>
      <c r="K11" s="64">
        <v>346.77</v>
      </c>
      <c r="L11" s="64">
        <v>26.07</v>
      </c>
      <c r="M11" s="64">
        <v>53.45</v>
      </c>
      <c r="N11" s="64">
        <v>15</v>
      </c>
      <c r="O11" s="64">
        <v>0</v>
      </c>
      <c r="P11" s="64">
        <v>1.33</v>
      </c>
      <c r="Q11" s="64">
        <v>9.66</v>
      </c>
      <c r="R11" s="198"/>
      <c r="S11" s="198"/>
      <c r="T11" s="198"/>
      <c r="U11" s="198"/>
    </row>
    <row r="12" spans="1:21" s="12" customFormat="1" x14ac:dyDescent="0.25">
      <c r="A12" s="214" t="s">
        <v>2075</v>
      </c>
      <c r="B12" s="64">
        <v>52.08</v>
      </c>
      <c r="C12" s="64">
        <v>46.29</v>
      </c>
      <c r="D12" s="64">
        <v>65.87</v>
      </c>
      <c r="E12" s="64">
        <v>2.4500000000000002</v>
      </c>
      <c r="F12" s="64">
        <v>3.76</v>
      </c>
      <c r="G12" s="64">
        <v>90.72</v>
      </c>
      <c r="H12" s="64">
        <v>26.5</v>
      </c>
      <c r="I12" s="64">
        <v>8.7200000000000006</v>
      </c>
      <c r="J12" s="64">
        <v>0.1</v>
      </c>
      <c r="K12" s="64">
        <v>304.89999999999998</v>
      </c>
      <c r="L12" s="64">
        <v>25.94</v>
      </c>
      <c r="M12" s="64">
        <v>54.29</v>
      </c>
      <c r="N12" s="64">
        <v>14.8</v>
      </c>
      <c r="O12" s="64">
        <v>0</v>
      </c>
      <c r="P12" s="64">
        <v>1.32</v>
      </c>
      <c r="Q12" s="64">
        <v>9.6199999999999992</v>
      </c>
      <c r="R12" s="198"/>
      <c r="S12" s="198"/>
      <c r="T12" s="198"/>
      <c r="U12" s="198"/>
    </row>
    <row r="13" spans="1:21" s="12" customFormat="1" x14ac:dyDescent="0.25">
      <c r="A13" s="214" t="s">
        <v>2076</v>
      </c>
      <c r="B13" s="64">
        <v>51.53</v>
      </c>
      <c r="C13" s="64">
        <v>45.3</v>
      </c>
      <c r="D13" s="64">
        <v>64.91</v>
      </c>
      <c r="E13" s="64">
        <v>3.1</v>
      </c>
      <c r="F13" s="64">
        <v>3.53</v>
      </c>
      <c r="G13" s="64">
        <v>102.12</v>
      </c>
      <c r="H13" s="64">
        <v>26.38</v>
      </c>
      <c r="I13" s="64">
        <v>8.76</v>
      </c>
      <c r="J13" s="64">
        <v>0.11</v>
      </c>
      <c r="K13" s="64">
        <v>291.56</v>
      </c>
      <c r="L13" s="64">
        <v>26</v>
      </c>
      <c r="M13" s="64">
        <v>54.64</v>
      </c>
      <c r="N13" s="64">
        <v>15</v>
      </c>
      <c r="O13" s="64">
        <v>0</v>
      </c>
      <c r="P13" s="64">
        <v>1.17</v>
      </c>
      <c r="Q13" s="64">
        <v>9.59</v>
      </c>
      <c r="R13" s="198"/>
      <c r="S13" s="198"/>
      <c r="T13" s="198"/>
      <c r="U13" s="198"/>
    </row>
    <row r="14" spans="1:21" s="12" customFormat="1" x14ac:dyDescent="0.25">
      <c r="A14" s="214" t="s">
        <v>2077</v>
      </c>
      <c r="B14" s="64">
        <v>50.61</v>
      </c>
      <c r="C14" s="64">
        <v>44.23</v>
      </c>
      <c r="D14" s="64">
        <v>63.61</v>
      </c>
      <c r="E14" s="64">
        <v>2.5499999999999998</v>
      </c>
      <c r="F14" s="64">
        <v>3.54</v>
      </c>
      <c r="G14" s="64">
        <v>102.12</v>
      </c>
      <c r="H14" s="64">
        <v>26.38</v>
      </c>
      <c r="I14" s="64">
        <v>9.14</v>
      </c>
      <c r="J14" s="64">
        <v>0.12</v>
      </c>
      <c r="K14" s="64">
        <v>316.04000000000002</v>
      </c>
      <c r="L14" s="64">
        <v>25.78</v>
      </c>
      <c r="M14" s="64">
        <v>58.7</v>
      </c>
      <c r="N14" s="64">
        <v>15</v>
      </c>
      <c r="O14" s="64">
        <v>0</v>
      </c>
      <c r="P14" s="64">
        <v>1.2</v>
      </c>
      <c r="Q14" s="64">
        <v>9.76</v>
      </c>
      <c r="R14" s="198"/>
      <c r="S14" s="198"/>
      <c r="T14" s="198"/>
      <c r="U14" s="198"/>
    </row>
    <row r="15" spans="1:21" s="12" customFormat="1" x14ac:dyDescent="0.25">
      <c r="A15" s="214" t="s">
        <v>2078</v>
      </c>
      <c r="B15" s="64">
        <v>49.86</v>
      </c>
      <c r="C15" s="64">
        <v>43.06</v>
      </c>
      <c r="D15" s="64">
        <v>62.4</v>
      </c>
      <c r="E15" s="64">
        <v>2.31</v>
      </c>
      <c r="F15" s="64">
        <v>3.49</v>
      </c>
      <c r="G15" s="64">
        <v>102.12</v>
      </c>
      <c r="H15" s="64">
        <v>26.38</v>
      </c>
      <c r="I15" s="64">
        <v>9.35</v>
      </c>
      <c r="J15" s="64">
        <v>0.16</v>
      </c>
      <c r="K15" s="64">
        <v>273.52</v>
      </c>
      <c r="L15" s="64">
        <v>26.21</v>
      </c>
      <c r="M15" s="64">
        <v>51.09</v>
      </c>
      <c r="N15" s="64">
        <v>14.2</v>
      </c>
      <c r="O15" s="64">
        <v>0</v>
      </c>
      <c r="P15" s="64">
        <v>1.18</v>
      </c>
      <c r="Q15" s="64">
        <v>9.61</v>
      </c>
      <c r="R15" s="198"/>
      <c r="S15" s="198"/>
      <c r="T15" s="198"/>
      <c r="U15" s="198"/>
    </row>
    <row r="16" spans="1:21" s="12" customFormat="1" x14ac:dyDescent="0.25">
      <c r="A16" s="214" t="s">
        <v>2079</v>
      </c>
      <c r="B16" s="64">
        <v>49.07</v>
      </c>
      <c r="C16" s="64">
        <v>42.26</v>
      </c>
      <c r="D16" s="64">
        <v>61.35</v>
      </c>
      <c r="E16" s="64">
        <v>2.86</v>
      </c>
      <c r="F16" s="64">
        <v>3.78</v>
      </c>
      <c r="G16" s="64">
        <v>101.56</v>
      </c>
      <c r="H16" s="64">
        <v>26.44</v>
      </c>
      <c r="I16" s="64">
        <v>9.18</v>
      </c>
      <c r="J16" s="64">
        <v>0.19</v>
      </c>
      <c r="K16" s="64">
        <v>335.9</v>
      </c>
      <c r="L16" s="64">
        <v>25.81</v>
      </c>
      <c r="M16" s="64">
        <v>55.76</v>
      </c>
      <c r="N16" s="64">
        <v>15.2</v>
      </c>
      <c r="O16" s="64">
        <v>0</v>
      </c>
      <c r="P16" s="64">
        <v>1.17</v>
      </c>
      <c r="Q16" s="64">
        <v>9.6300000000000008</v>
      </c>
      <c r="R16" s="198"/>
      <c r="S16" s="198"/>
      <c r="T16" s="198"/>
      <c r="U16" s="198"/>
    </row>
    <row r="17" spans="1:21" s="12" customFormat="1" x14ac:dyDescent="0.25">
      <c r="A17" s="214" t="s">
        <v>2080</v>
      </c>
      <c r="B17" s="64">
        <v>48.47</v>
      </c>
      <c r="C17" s="64">
        <v>42.24</v>
      </c>
      <c r="D17" s="64">
        <v>60.86</v>
      </c>
      <c r="E17" s="64">
        <v>3.02</v>
      </c>
      <c r="F17" s="64">
        <v>3.37</v>
      </c>
      <c r="G17" s="64">
        <v>92.03</v>
      </c>
      <c r="H17" s="64">
        <v>27.39</v>
      </c>
      <c r="I17" s="64">
        <v>9.25</v>
      </c>
      <c r="J17" s="64">
        <v>0.16</v>
      </c>
      <c r="K17" s="64">
        <v>254.31</v>
      </c>
      <c r="L17" s="64">
        <v>25.88</v>
      </c>
      <c r="M17" s="64">
        <v>51.35</v>
      </c>
      <c r="N17" s="64">
        <v>14.5</v>
      </c>
      <c r="O17" s="64">
        <v>0</v>
      </c>
      <c r="P17" s="64">
        <v>1.1499999999999999</v>
      </c>
      <c r="Q17" s="64">
        <v>9.6199999999999992</v>
      </c>
      <c r="R17" s="198"/>
      <c r="S17" s="198"/>
      <c r="T17" s="198"/>
      <c r="U17" s="198"/>
    </row>
    <row r="18" spans="1:21" s="12" customFormat="1" x14ac:dyDescent="0.25">
      <c r="A18" s="214" t="s">
        <v>2081</v>
      </c>
      <c r="B18" s="64">
        <v>47.01</v>
      </c>
      <c r="C18" s="64">
        <v>43.58</v>
      </c>
      <c r="D18" s="64">
        <v>60.39</v>
      </c>
      <c r="E18" s="64">
        <v>2.5299999999999998</v>
      </c>
      <c r="F18" s="64">
        <v>3.33</v>
      </c>
      <c r="G18" s="64">
        <v>92.03</v>
      </c>
      <c r="H18" s="64">
        <v>27.39</v>
      </c>
      <c r="I18" s="64">
        <v>9.48</v>
      </c>
      <c r="J18" s="64">
        <v>0.09</v>
      </c>
      <c r="K18" s="64">
        <v>269.02</v>
      </c>
      <c r="L18" s="64">
        <v>25.96</v>
      </c>
      <c r="M18" s="64">
        <v>49.12</v>
      </c>
      <c r="N18" s="64">
        <v>14.9</v>
      </c>
      <c r="O18" s="64">
        <v>0</v>
      </c>
      <c r="P18" s="64">
        <v>1.1100000000000001</v>
      </c>
      <c r="Q18" s="64">
        <v>9.85</v>
      </c>
      <c r="R18" s="198"/>
      <c r="S18" s="198"/>
      <c r="T18" s="198"/>
      <c r="U18" s="198"/>
    </row>
    <row r="19" spans="1:21" s="12" customFormat="1" x14ac:dyDescent="0.25">
      <c r="A19" s="214" t="s">
        <v>2082</v>
      </c>
      <c r="B19" s="64">
        <v>44.6</v>
      </c>
      <c r="C19" s="64">
        <v>43.41</v>
      </c>
      <c r="D19" s="64">
        <v>58.37</v>
      </c>
      <c r="E19" s="64">
        <v>2.4900000000000002</v>
      </c>
      <c r="F19" s="64">
        <v>3.28</v>
      </c>
      <c r="G19" s="64">
        <v>92.03</v>
      </c>
      <c r="H19" s="64">
        <v>27.39</v>
      </c>
      <c r="I19" s="64">
        <v>9.92</v>
      </c>
      <c r="J19" s="64">
        <v>0.36</v>
      </c>
      <c r="K19" s="64">
        <v>204.09</v>
      </c>
      <c r="L19" s="64">
        <v>26.03</v>
      </c>
      <c r="M19" s="64">
        <v>49.65</v>
      </c>
      <c r="N19" s="64">
        <v>14.1</v>
      </c>
      <c r="O19" s="64">
        <v>0</v>
      </c>
      <c r="P19" s="64">
        <v>1.07</v>
      </c>
      <c r="Q19" s="64">
        <v>9.52</v>
      </c>
      <c r="R19" s="198"/>
      <c r="S19" s="198"/>
      <c r="T19" s="198"/>
      <c r="U19" s="198"/>
    </row>
    <row r="20" spans="1:21" s="12" customFormat="1" x14ac:dyDescent="0.25">
      <c r="A20" s="214" t="s">
        <v>2083</v>
      </c>
      <c r="B20" s="64">
        <v>41.55</v>
      </c>
      <c r="C20" s="64">
        <v>43.56</v>
      </c>
      <c r="D20" s="64">
        <v>56</v>
      </c>
      <c r="E20" s="64">
        <v>2.59</v>
      </c>
      <c r="F20" s="64">
        <v>3.58</v>
      </c>
      <c r="G20" s="64">
        <v>90.32</v>
      </c>
      <c r="H20" s="64">
        <v>27.27</v>
      </c>
      <c r="I20" s="64">
        <v>10.01</v>
      </c>
      <c r="J20" s="64">
        <v>0.01</v>
      </c>
      <c r="K20" s="64">
        <v>280.61</v>
      </c>
      <c r="L20" s="64">
        <v>26.02</v>
      </c>
      <c r="M20" s="64">
        <v>50.54</v>
      </c>
      <c r="N20" s="64">
        <v>14.7</v>
      </c>
      <c r="O20" s="64">
        <v>0</v>
      </c>
      <c r="P20" s="64">
        <v>1.02</v>
      </c>
      <c r="Q20" s="64">
        <v>9.59</v>
      </c>
      <c r="R20" s="198"/>
      <c r="S20" s="198"/>
      <c r="T20" s="198"/>
      <c r="U20" s="198"/>
    </row>
    <row r="21" spans="1:21" s="12" customFormat="1" x14ac:dyDescent="0.25">
      <c r="A21" s="214" t="s">
        <v>2084</v>
      </c>
      <c r="B21" s="64">
        <v>38.770000000000003</v>
      </c>
      <c r="C21" s="64">
        <v>42.7</v>
      </c>
      <c r="D21" s="64">
        <v>53.32</v>
      </c>
      <c r="E21" s="64">
        <v>2.48</v>
      </c>
      <c r="F21" s="64">
        <v>3.55</v>
      </c>
      <c r="G21" s="64">
        <v>66.319999999999993</v>
      </c>
      <c r="H21" s="64">
        <v>25.58</v>
      </c>
      <c r="I21" s="64">
        <v>9.67</v>
      </c>
      <c r="J21" s="64">
        <v>0.14000000000000001</v>
      </c>
      <c r="K21" s="64">
        <v>193.82</v>
      </c>
      <c r="L21" s="64">
        <v>26.31</v>
      </c>
      <c r="M21" s="64">
        <v>44.14</v>
      </c>
      <c r="N21" s="64">
        <v>14.2</v>
      </c>
      <c r="O21" s="64">
        <v>0</v>
      </c>
      <c r="P21" s="64">
        <v>0.98</v>
      </c>
      <c r="Q21" s="64">
        <v>9.5</v>
      </c>
      <c r="R21" s="198"/>
      <c r="S21" s="198"/>
      <c r="T21" s="198"/>
      <c r="U21" s="198"/>
    </row>
    <row r="22" spans="1:21" s="12" customFormat="1" x14ac:dyDescent="0.25">
      <c r="A22" s="214" t="s">
        <v>2085</v>
      </c>
      <c r="B22" s="64">
        <v>35.950000000000003</v>
      </c>
      <c r="C22" s="64">
        <v>42.79</v>
      </c>
      <c r="D22" s="64">
        <v>51.1</v>
      </c>
      <c r="E22" s="64">
        <v>2.73</v>
      </c>
      <c r="F22" s="64">
        <v>3.4</v>
      </c>
      <c r="G22" s="64">
        <v>66.319999999999993</v>
      </c>
      <c r="H22" s="64">
        <v>25.58</v>
      </c>
      <c r="I22" s="64">
        <v>9.43</v>
      </c>
      <c r="J22" s="64">
        <v>0.06</v>
      </c>
      <c r="K22" s="64">
        <v>4.3099999999999996</v>
      </c>
      <c r="L22" s="64">
        <v>25.98</v>
      </c>
      <c r="M22" s="64">
        <v>47.31</v>
      </c>
      <c r="N22" s="64">
        <v>15.3</v>
      </c>
      <c r="O22" s="64">
        <v>0</v>
      </c>
      <c r="P22" s="64">
        <v>0.94</v>
      </c>
      <c r="Q22" s="64">
        <v>9.59</v>
      </c>
      <c r="R22" s="198"/>
      <c r="S22" s="198"/>
      <c r="T22" s="198"/>
      <c r="U22" s="198"/>
    </row>
    <row r="23" spans="1:21" s="12" customFormat="1" x14ac:dyDescent="0.25">
      <c r="A23" s="214" t="s">
        <v>2086</v>
      </c>
      <c r="B23" s="64">
        <v>33.76</v>
      </c>
      <c r="C23" s="64">
        <v>42.17</v>
      </c>
      <c r="D23" s="64">
        <v>49.02</v>
      </c>
      <c r="E23" s="64">
        <v>2.61</v>
      </c>
      <c r="F23" s="64">
        <v>3.66</v>
      </c>
      <c r="G23" s="64">
        <v>66.319999999999993</v>
      </c>
      <c r="H23" s="64">
        <v>25.58</v>
      </c>
      <c r="I23" s="64">
        <v>9.23</v>
      </c>
      <c r="J23" s="64">
        <v>0.24</v>
      </c>
      <c r="K23" s="64">
        <v>240.69</v>
      </c>
      <c r="L23" s="64">
        <v>25.22</v>
      </c>
      <c r="M23" s="64">
        <v>53.3</v>
      </c>
      <c r="N23" s="64">
        <v>15</v>
      </c>
      <c r="O23" s="64">
        <v>0</v>
      </c>
      <c r="P23" s="64">
        <v>0.9</v>
      </c>
      <c r="Q23" s="64">
        <v>9.5399999999999991</v>
      </c>
      <c r="R23" s="198"/>
      <c r="S23" s="198"/>
      <c r="T23" s="198"/>
      <c r="U23" s="198"/>
    </row>
    <row r="24" spans="1:21" s="12" customFormat="1" x14ac:dyDescent="0.25">
      <c r="A24" s="214" t="s">
        <v>2087</v>
      </c>
      <c r="B24" s="64">
        <v>31.86</v>
      </c>
      <c r="C24" s="64">
        <v>41.34</v>
      </c>
      <c r="D24" s="64">
        <v>47.06</v>
      </c>
      <c r="E24" s="64">
        <v>2.06</v>
      </c>
      <c r="F24" s="64">
        <v>2.99</v>
      </c>
      <c r="G24" s="64">
        <v>65.88</v>
      </c>
      <c r="H24" s="64">
        <v>25.41</v>
      </c>
      <c r="I24" s="64">
        <v>9.0399999999999991</v>
      </c>
      <c r="J24" s="64">
        <v>0.32</v>
      </c>
      <c r="K24" s="64">
        <v>220.96</v>
      </c>
      <c r="L24" s="64">
        <v>25.6</v>
      </c>
      <c r="M24" s="64">
        <v>47.75</v>
      </c>
      <c r="N24" s="64">
        <v>14.1</v>
      </c>
      <c r="O24" s="64">
        <v>0</v>
      </c>
      <c r="P24" s="64">
        <v>0.87</v>
      </c>
      <c r="Q24" s="64">
        <v>9.2899999999999991</v>
      </c>
      <c r="R24" s="198"/>
      <c r="S24" s="198"/>
      <c r="T24" s="198"/>
      <c r="U24" s="198"/>
    </row>
    <row r="25" spans="1:21" s="12" customFormat="1" x14ac:dyDescent="0.25">
      <c r="A25" s="214" t="s">
        <v>2088</v>
      </c>
      <c r="B25" s="64">
        <v>30.08</v>
      </c>
      <c r="C25" s="64">
        <v>41.18</v>
      </c>
      <c r="D25" s="64">
        <v>45.56</v>
      </c>
      <c r="E25" s="64">
        <v>2.4300000000000002</v>
      </c>
      <c r="F25" s="64">
        <v>3.37</v>
      </c>
      <c r="G25" s="64">
        <v>58.27</v>
      </c>
      <c r="H25" s="64">
        <v>22.59</v>
      </c>
      <c r="I25" s="64">
        <v>8.9499999999999993</v>
      </c>
      <c r="J25" s="64">
        <v>0.4</v>
      </c>
      <c r="K25" s="64">
        <v>207.32</v>
      </c>
      <c r="L25" s="64">
        <v>26.08</v>
      </c>
      <c r="M25" s="64">
        <v>45.28</v>
      </c>
      <c r="N25" s="64">
        <v>14.1</v>
      </c>
      <c r="O25" s="64">
        <v>0</v>
      </c>
      <c r="P25" s="64">
        <v>0.83</v>
      </c>
      <c r="Q25" s="64">
        <v>9.77</v>
      </c>
      <c r="R25" s="198"/>
      <c r="S25" s="198"/>
      <c r="T25" s="198"/>
      <c r="U25" s="198"/>
    </row>
    <row r="26" spans="1:21" s="12" customFormat="1" x14ac:dyDescent="0.25">
      <c r="A26" s="214" t="s">
        <v>2089</v>
      </c>
      <c r="B26" s="64">
        <v>28.26</v>
      </c>
      <c r="C26" s="64">
        <v>41.3</v>
      </c>
      <c r="D26" s="64">
        <v>44.15</v>
      </c>
      <c r="E26" s="64">
        <v>2.71</v>
      </c>
      <c r="F26" s="64">
        <v>3.59</v>
      </c>
      <c r="G26" s="64">
        <v>58.27</v>
      </c>
      <c r="H26" s="64">
        <v>22.59</v>
      </c>
      <c r="I26" s="64">
        <v>8.85</v>
      </c>
      <c r="J26" s="64">
        <v>0.19</v>
      </c>
      <c r="K26" s="64">
        <v>219.39</v>
      </c>
      <c r="L26" s="64">
        <v>26.03</v>
      </c>
      <c r="M26" s="64">
        <v>44.88</v>
      </c>
      <c r="N26" s="64">
        <v>14.6</v>
      </c>
      <c r="O26" s="64">
        <v>0</v>
      </c>
      <c r="P26" s="64">
        <v>0.8</v>
      </c>
      <c r="Q26" s="64">
        <v>9.48</v>
      </c>
      <c r="R26" s="198"/>
      <c r="S26" s="198"/>
      <c r="T26" s="198"/>
      <c r="U26" s="198"/>
    </row>
    <row r="27" spans="1:21" s="12" customFormat="1" x14ac:dyDescent="0.25">
      <c r="A27" s="214" t="s">
        <v>2090</v>
      </c>
      <c r="B27" s="64">
        <v>26.59</v>
      </c>
      <c r="C27" s="64">
        <v>40.71</v>
      </c>
      <c r="D27" s="64">
        <v>42.51</v>
      </c>
      <c r="E27" s="64">
        <v>2.83</v>
      </c>
      <c r="F27" s="64">
        <v>3.38</v>
      </c>
      <c r="G27" s="64">
        <v>58.27</v>
      </c>
      <c r="H27" s="64">
        <v>22.59</v>
      </c>
      <c r="I27" s="64">
        <v>8.64</v>
      </c>
      <c r="J27" s="64">
        <v>0.51</v>
      </c>
      <c r="K27" s="64">
        <v>359.76</v>
      </c>
      <c r="L27" s="64">
        <v>25.4</v>
      </c>
      <c r="M27" s="64">
        <v>49.33</v>
      </c>
      <c r="N27" s="64">
        <v>15.2</v>
      </c>
      <c r="O27" s="64">
        <v>0</v>
      </c>
      <c r="P27" s="64">
        <v>0.77</v>
      </c>
      <c r="Q27" s="64">
        <v>9.41</v>
      </c>
      <c r="R27" s="198"/>
      <c r="S27" s="198"/>
      <c r="T27" s="198"/>
      <c r="U27" s="198"/>
    </row>
    <row r="28" spans="1:21" s="12" customFormat="1" x14ac:dyDescent="0.25">
      <c r="A28" s="214" t="s">
        <v>2091</v>
      </c>
      <c r="B28" s="64">
        <v>25.28</v>
      </c>
      <c r="C28" s="64">
        <v>41</v>
      </c>
      <c r="D28" s="64">
        <v>41.61</v>
      </c>
      <c r="E28" s="64">
        <v>3.01</v>
      </c>
      <c r="F28" s="64">
        <v>3.82</v>
      </c>
      <c r="G28" s="64">
        <v>57.86</v>
      </c>
      <c r="H28" s="64">
        <v>22.38</v>
      </c>
      <c r="I28" s="64">
        <v>8.43</v>
      </c>
      <c r="J28" s="64">
        <v>0.23</v>
      </c>
      <c r="K28" s="64">
        <v>223.47</v>
      </c>
      <c r="L28" s="64">
        <v>25.16</v>
      </c>
      <c r="M28" s="64">
        <v>50.51</v>
      </c>
      <c r="N28" s="64">
        <v>14.7</v>
      </c>
      <c r="O28" s="64">
        <v>0</v>
      </c>
      <c r="P28" s="64">
        <v>0.74</v>
      </c>
      <c r="Q28" s="64">
        <v>9.48</v>
      </c>
      <c r="R28" s="198"/>
      <c r="S28" s="198"/>
      <c r="T28" s="198"/>
      <c r="U28" s="198"/>
    </row>
    <row r="29" spans="1:21" s="12" customFormat="1" x14ac:dyDescent="0.25">
      <c r="A29" s="214" t="s">
        <v>2092</v>
      </c>
      <c r="B29" s="64">
        <v>24.63</v>
      </c>
      <c r="C29" s="64">
        <v>39.53</v>
      </c>
      <c r="D29" s="64">
        <v>40.32</v>
      </c>
      <c r="E29" s="64">
        <v>2.2599999999999998</v>
      </c>
      <c r="F29" s="64">
        <v>3.91</v>
      </c>
      <c r="G29" s="64">
        <v>50.83</v>
      </c>
      <c r="H29" s="64">
        <v>18.86</v>
      </c>
      <c r="I29" s="64">
        <v>8.18</v>
      </c>
      <c r="J29" s="64">
        <v>0.36</v>
      </c>
      <c r="K29" s="64">
        <v>213.63</v>
      </c>
      <c r="L29" s="64">
        <v>25.52</v>
      </c>
      <c r="M29" s="64">
        <v>49.91</v>
      </c>
      <c r="N29" s="64">
        <v>14.4</v>
      </c>
      <c r="O29" s="64">
        <v>0</v>
      </c>
      <c r="P29" s="64">
        <v>0.73</v>
      </c>
      <c r="Q29" s="64">
        <v>9.4700000000000006</v>
      </c>
      <c r="R29" s="198"/>
      <c r="S29" s="198"/>
      <c r="T29" s="198"/>
      <c r="U29" s="198"/>
    </row>
    <row r="30" spans="1:21" s="12" customFormat="1" x14ac:dyDescent="0.25">
      <c r="A30" s="214" t="s">
        <v>2093</v>
      </c>
      <c r="B30" s="64">
        <v>25.38</v>
      </c>
      <c r="C30" s="64">
        <v>39.869999999999997</v>
      </c>
      <c r="D30" s="64">
        <v>41.11</v>
      </c>
      <c r="E30" s="64">
        <v>2.56</v>
      </c>
      <c r="F30" s="64">
        <v>3.15</v>
      </c>
      <c r="G30" s="64">
        <v>50.83</v>
      </c>
      <c r="H30" s="64">
        <v>18.86</v>
      </c>
      <c r="I30" s="64">
        <v>8.16</v>
      </c>
      <c r="J30" s="64">
        <v>0.1</v>
      </c>
      <c r="K30" s="64">
        <v>332.78</v>
      </c>
      <c r="L30" s="64">
        <v>25.04</v>
      </c>
      <c r="M30" s="64">
        <v>55.69</v>
      </c>
      <c r="N30" s="64">
        <v>16.600000000000001</v>
      </c>
      <c r="O30" s="64">
        <v>0</v>
      </c>
      <c r="P30" s="64">
        <v>0.73</v>
      </c>
      <c r="Q30" s="64">
        <v>9.4600000000000009</v>
      </c>
      <c r="R30" s="198"/>
      <c r="S30" s="198"/>
      <c r="T30" s="198"/>
      <c r="U30" s="198"/>
    </row>
    <row r="31" spans="1:21" s="12" customFormat="1" x14ac:dyDescent="0.25">
      <c r="A31" s="214" t="s">
        <v>2094</v>
      </c>
      <c r="B31" s="64">
        <v>27.16</v>
      </c>
      <c r="C31" s="64">
        <v>40.24</v>
      </c>
      <c r="D31" s="64">
        <v>42.72</v>
      </c>
      <c r="E31" s="64">
        <v>2.64</v>
      </c>
      <c r="F31" s="64">
        <v>3.14</v>
      </c>
      <c r="G31" s="64">
        <v>50.83</v>
      </c>
      <c r="H31" s="64">
        <v>18.86</v>
      </c>
      <c r="I31" s="64">
        <v>8.24</v>
      </c>
      <c r="J31" s="64">
        <v>0.19</v>
      </c>
      <c r="K31" s="64">
        <v>6.74</v>
      </c>
      <c r="L31" s="64">
        <v>24.43</v>
      </c>
      <c r="M31" s="64">
        <v>59.76</v>
      </c>
      <c r="N31" s="64">
        <v>23.4</v>
      </c>
      <c r="O31" s="64">
        <v>0</v>
      </c>
      <c r="P31" s="64">
        <v>0.72</v>
      </c>
      <c r="Q31" s="64">
        <v>9.49</v>
      </c>
      <c r="R31" s="198"/>
      <c r="S31" s="198"/>
      <c r="T31" s="198"/>
      <c r="U31" s="198"/>
    </row>
    <row r="32" spans="1:21" s="12" customFormat="1" x14ac:dyDescent="0.25">
      <c r="A32" s="214" t="s">
        <v>2095</v>
      </c>
      <c r="B32" s="64">
        <v>30.34</v>
      </c>
      <c r="C32" s="64">
        <v>40.369999999999997</v>
      </c>
      <c r="D32" s="64">
        <v>45.34</v>
      </c>
      <c r="E32" s="64">
        <v>2.48</v>
      </c>
      <c r="F32" s="64">
        <v>3.24</v>
      </c>
      <c r="G32" s="64">
        <v>53.19</v>
      </c>
      <c r="H32" s="64">
        <v>19.059999999999999</v>
      </c>
      <c r="I32" s="64">
        <v>8.24</v>
      </c>
      <c r="J32" s="64">
        <v>0.14000000000000001</v>
      </c>
      <c r="K32" s="64">
        <v>228.16</v>
      </c>
      <c r="L32" s="64">
        <v>24.73</v>
      </c>
      <c r="M32" s="64">
        <v>60.2</v>
      </c>
      <c r="N32" s="64">
        <v>37.700000000000003</v>
      </c>
      <c r="O32" s="64">
        <v>0</v>
      </c>
      <c r="P32" s="64">
        <v>0.75</v>
      </c>
      <c r="Q32" s="64">
        <v>9.33</v>
      </c>
      <c r="R32" s="198"/>
      <c r="S32" s="198"/>
      <c r="T32" s="198"/>
      <c r="U32" s="198"/>
    </row>
    <row r="33" spans="1:21" s="12" customFormat="1" x14ac:dyDescent="0.25">
      <c r="A33" s="214" t="s">
        <v>2096</v>
      </c>
      <c r="B33" s="64">
        <v>34.6</v>
      </c>
      <c r="C33" s="64">
        <v>40.56</v>
      </c>
      <c r="D33" s="64">
        <v>48.86</v>
      </c>
      <c r="E33" s="64">
        <v>2.79</v>
      </c>
      <c r="F33" s="64">
        <v>3.99</v>
      </c>
      <c r="G33" s="64">
        <v>86.33</v>
      </c>
      <c r="H33" s="64">
        <v>21.88</v>
      </c>
      <c r="I33" s="64">
        <v>8.65</v>
      </c>
      <c r="J33" s="64">
        <v>0.19</v>
      </c>
      <c r="K33" s="64">
        <v>304.74</v>
      </c>
      <c r="L33" s="64">
        <v>25.12</v>
      </c>
      <c r="M33" s="64">
        <v>62.65</v>
      </c>
      <c r="N33" s="64">
        <v>64.400000000000006</v>
      </c>
      <c r="O33" s="64">
        <v>0</v>
      </c>
      <c r="P33" s="64">
        <v>0.76</v>
      </c>
      <c r="Q33" s="64">
        <v>9.7200000000000006</v>
      </c>
      <c r="R33" s="198"/>
      <c r="S33" s="198"/>
      <c r="T33" s="198"/>
      <c r="U33" s="198"/>
    </row>
    <row r="34" spans="1:21" s="12" customFormat="1" x14ac:dyDescent="0.25">
      <c r="A34" s="214" t="s">
        <v>2097</v>
      </c>
      <c r="B34" s="64">
        <v>38.6</v>
      </c>
      <c r="C34" s="64">
        <v>41.09</v>
      </c>
      <c r="D34" s="64">
        <v>52.35</v>
      </c>
      <c r="E34" s="64">
        <v>2.93</v>
      </c>
      <c r="F34" s="64">
        <v>3.71</v>
      </c>
      <c r="G34" s="64">
        <v>86.33</v>
      </c>
      <c r="H34" s="64">
        <v>21.88</v>
      </c>
      <c r="I34" s="64">
        <v>8.9700000000000006</v>
      </c>
      <c r="J34" s="64">
        <v>0.16</v>
      </c>
      <c r="K34" s="64">
        <v>355.82</v>
      </c>
      <c r="L34" s="64">
        <v>26.21</v>
      </c>
      <c r="M34" s="64">
        <v>59.68</v>
      </c>
      <c r="N34" s="64">
        <v>99.7</v>
      </c>
      <c r="O34" s="64">
        <v>0</v>
      </c>
      <c r="P34" s="64">
        <v>0.78</v>
      </c>
      <c r="Q34" s="64">
        <v>9.5299999999999994</v>
      </c>
      <c r="R34" s="198"/>
      <c r="S34" s="198"/>
      <c r="T34" s="198"/>
      <c r="U34" s="198"/>
    </row>
    <row r="35" spans="1:21" s="12" customFormat="1" x14ac:dyDescent="0.25">
      <c r="A35" s="214" t="s">
        <v>2098</v>
      </c>
      <c r="B35" s="64">
        <v>43.62</v>
      </c>
      <c r="C35" s="64">
        <v>42.59</v>
      </c>
      <c r="D35" s="64">
        <v>57.16</v>
      </c>
      <c r="E35" s="64">
        <v>2.86</v>
      </c>
      <c r="F35" s="64">
        <v>3.25</v>
      </c>
      <c r="G35" s="64">
        <v>86.33</v>
      </c>
      <c r="H35" s="64">
        <v>21.88</v>
      </c>
      <c r="I35" s="64">
        <v>9.07</v>
      </c>
      <c r="J35" s="64">
        <v>0.18</v>
      </c>
      <c r="K35" s="64">
        <v>2.27</v>
      </c>
      <c r="L35" s="64">
        <v>27.9</v>
      </c>
      <c r="M35" s="64">
        <v>54.16</v>
      </c>
      <c r="N35" s="64">
        <v>140.4</v>
      </c>
      <c r="O35" s="64">
        <v>0</v>
      </c>
      <c r="P35" s="64">
        <v>0.82</v>
      </c>
      <c r="Q35" s="64">
        <v>9.6</v>
      </c>
      <c r="R35" s="198"/>
      <c r="S35" s="198"/>
      <c r="T35" s="198"/>
      <c r="U35" s="198"/>
    </row>
    <row r="36" spans="1:21" s="12" customFormat="1" x14ac:dyDescent="0.25">
      <c r="A36" s="214" t="s">
        <v>2099</v>
      </c>
      <c r="B36" s="64">
        <v>51.5</v>
      </c>
      <c r="C36" s="64">
        <v>43.37</v>
      </c>
      <c r="D36" s="64">
        <v>63.88</v>
      </c>
      <c r="E36" s="64">
        <v>3.04</v>
      </c>
      <c r="F36" s="64">
        <v>3.65</v>
      </c>
      <c r="G36" s="64">
        <v>91.38</v>
      </c>
      <c r="H36" s="64">
        <v>22.3</v>
      </c>
      <c r="I36" s="64">
        <v>9.36</v>
      </c>
      <c r="J36" s="64">
        <v>0.13</v>
      </c>
      <c r="K36" s="64">
        <v>161.27000000000001</v>
      </c>
      <c r="L36" s="64">
        <v>29.77</v>
      </c>
      <c r="M36" s="64">
        <v>43.98</v>
      </c>
      <c r="N36" s="64">
        <v>138.80000000000001</v>
      </c>
      <c r="O36" s="64">
        <v>0</v>
      </c>
      <c r="P36" s="64">
        <v>0.85</v>
      </c>
      <c r="Q36" s="64">
        <v>9.27</v>
      </c>
      <c r="R36" s="198"/>
      <c r="S36" s="198"/>
      <c r="T36" s="198"/>
      <c r="U36" s="198"/>
    </row>
    <row r="37" spans="1:21" s="12" customFormat="1" x14ac:dyDescent="0.25">
      <c r="A37" s="214" t="s">
        <v>2100</v>
      </c>
      <c r="B37" s="64">
        <v>55.19</v>
      </c>
      <c r="C37" s="64">
        <v>45.09</v>
      </c>
      <c r="D37" s="64">
        <v>67.739999999999995</v>
      </c>
      <c r="E37" s="64">
        <v>2.86</v>
      </c>
      <c r="F37" s="64">
        <v>3.61</v>
      </c>
      <c r="G37" s="64">
        <v>177.16</v>
      </c>
      <c r="H37" s="64">
        <v>29.49</v>
      </c>
      <c r="I37" s="64">
        <v>9.9499999999999993</v>
      </c>
      <c r="J37" s="64">
        <v>0.05</v>
      </c>
      <c r="K37" s="64">
        <v>256.37</v>
      </c>
      <c r="L37" s="64">
        <v>29.85</v>
      </c>
      <c r="M37" s="64">
        <v>40.74</v>
      </c>
      <c r="N37" s="64">
        <v>193</v>
      </c>
      <c r="O37" s="64">
        <v>0</v>
      </c>
      <c r="P37" s="64">
        <v>0.84</v>
      </c>
      <c r="Q37" s="64">
        <v>9.75</v>
      </c>
      <c r="R37" s="198"/>
      <c r="S37" s="198"/>
      <c r="T37" s="198"/>
      <c r="U37" s="198"/>
    </row>
    <row r="38" spans="1:21" s="12" customFormat="1" x14ac:dyDescent="0.25">
      <c r="A38" s="214" t="s">
        <v>2101</v>
      </c>
      <c r="B38" s="64">
        <v>54.1</v>
      </c>
      <c r="C38" s="64">
        <v>45.4</v>
      </c>
      <c r="D38" s="64">
        <v>67.03</v>
      </c>
      <c r="E38" s="64">
        <v>2.73</v>
      </c>
      <c r="F38" s="64">
        <v>3.59</v>
      </c>
      <c r="G38" s="64">
        <v>177.16</v>
      </c>
      <c r="H38" s="64">
        <v>29.49</v>
      </c>
      <c r="I38" s="64">
        <v>10.050000000000001</v>
      </c>
      <c r="J38" s="64">
        <v>0.25</v>
      </c>
      <c r="K38" s="64">
        <v>206.41</v>
      </c>
      <c r="L38" s="64">
        <v>30.14</v>
      </c>
      <c r="M38" s="64">
        <v>36.92</v>
      </c>
      <c r="N38" s="64">
        <v>297.3</v>
      </c>
      <c r="O38" s="64">
        <v>0</v>
      </c>
      <c r="P38" s="64">
        <v>0.86</v>
      </c>
      <c r="Q38" s="64">
        <v>9.68</v>
      </c>
      <c r="R38" s="198"/>
      <c r="S38" s="198"/>
      <c r="T38" s="198"/>
      <c r="U38" s="198"/>
    </row>
    <row r="39" spans="1:21" s="12" customFormat="1" x14ac:dyDescent="0.25">
      <c r="A39" s="214" t="s">
        <v>2102</v>
      </c>
      <c r="B39" s="64">
        <v>50.22</v>
      </c>
      <c r="C39" s="64">
        <v>45.5</v>
      </c>
      <c r="D39" s="64">
        <v>63.96</v>
      </c>
      <c r="E39" s="64">
        <v>2.73</v>
      </c>
      <c r="F39" s="64">
        <v>3.73</v>
      </c>
      <c r="G39" s="64">
        <v>177.16</v>
      </c>
      <c r="H39" s="64">
        <v>29.49</v>
      </c>
      <c r="I39" s="64">
        <v>9.82</v>
      </c>
      <c r="J39" s="64">
        <v>0.51</v>
      </c>
      <c r="K39" s="64">
        <v>167.45</v>
      </c>
      <c r="L39" s="64">
        <v>29.83</v>
      </c>
      <c r="M39" s="64">
        <v>38.229999999999997</v>
      </c>
      <c r="N39" s="64">
        <v>354.3</v>
      </c>
      <c r="O39" s="64">
        <v>0</v>
      </c>
      <c r="P39" s="64">
        <v>0.82</v>
      </c>
      <c r="Q39" s="64">
        <v>9.68</v>
      </c>
      <c r="R39" s="198"/>
      <c r="S39" s="198"/>
      <c r="T39" s="198"/>
      <c r="U39" s="198"/>
    </row>
    <row r="40" spans="1:21" s="12" customFormat="1" x14ac:dyDescent="0.25">
      <c r="A40" s="214" t="s">
        <v>2103</v>
      </c>
      <c r="B40" s="64">
        <v>45.94</v>
      </c>
      <c r="C40" s="64">
        <v>44.4</v>
      </c>
      <c r="D40" s="64">
        <v>59.95</v>
      </c>
      <c r="E40" s="64">
        <v>3.07</v>
      </c>
      <c r="F40" s="64">
        <v>3.66</v>
      </c>
      <c r="G40" s="64">
        <v>170.92</v>
      </c>
      <c r="H40" s="64">
        <v>29.42</v>
      </c>
      <c r="I40" s="64">
        <v>9.59</v>
      </c>
      <c r="J40" s="64">
        <v>0.34</v>
      </c>
      <c r="K40" s="64">
        <v>176.9</v>
      </c>
      <c r="L40" s="64">
        <v>29.86</v>
      </c>
      <c r="M40" s="64">
        <v>39.4</v>
      </c>
      <c r="N40" s="64">
        <v>405.5</v>
      </c>
      <c r="O40" s="64">
        <v>0</v>
      </c>
      <c r="P40" s="64">
        <v>0.78</v>
      </c>
      <c r="Q40" s="64">
        <v>9.58</v>
      </c>
      <c r="R40" s="198"/>
      <c r="S40" s="198"/>
      <c r="T40" s="198"/>
      <c r="U40" s="198"/>
    </row>
    <row r="41" spans="1:21" s="12" customFormat="1" x14ac:dyDescent="0.25">
      <c r="A41" s="214" t="s">
        <v>2104</v>
      </c>
      <c r="B41" s="64">
        <v>41.62</v>
      </c>
      <c r="C41" s="64">
        <v>44.39</v>
      </c>
      <c r="D41" s="64">
        <v>56.48</v>
      </c>
      <c r="E41" s="64">
        <v>1.89</v>
      </c>
      <c r="F41" s="64">
        <v>3.55</v>
      </c>
      <c r="G41" s="64">
        <v>64.83</v>
      </c>
      <c r="H41" s="64">
        <v>28.16</v>
      </c>
      <c r="I41" s="64">
        <v>9.57</v>
      </c>
      <c r="J41" s="64">
        <v>0.1</v>
      </c>
      <c r="K41" s="64">
        <v>131.41</v>
      </c>
      <c r="L41" s="64">
        <v>30.55</v>
      </c>
      <c r="M41" s="64">
        <v>38.229999999999997</v>
      </c>
      <c r="N41" s="64">
        <v>454.5</v>
      </c>
      <c r="O41" s="64">
        <v>0</v>
      </c>
      <c r="P41" s="64">
        <v>0.76</v>
      </c>
      <c r="Q41" s="64">
        <v>9.56</v>
      </c>
      <c r="R41" s="198"/>
      <c r="S41" s="198"/>
      <c r="T41" s="198"/>
      <c r="U41" s="198"/>
    </row>
    <row r="42" spans="1:21" s="12" customFormat="1" x14ac:dyDescent="0.25">
      <c r="A42" s="214" t="s">
        <v>2105</v>
      </c>
      <c r="B42" s="64">
        <v>37.07</v>
      </c>
      <c r="C42" s="64">
        <v>45.02</v>
      </c>
      <c r="D42" s="64">
        <v>53.17</v>
      </c>
      <c r="E42" s="64">
        <v>1.88</v>
      </c>
      <c r="F42" s="64">
        <v>3.64</v>
      </c>
      <c r="G42" s="64">
        <v>64.83</v>
      </c>
      <c r="H42" s="64">
        <v>28.16</v>
      </c>
      <c r="I42" s="64">
        <v>8.9499999999999993</v>
      </c>
      <c r="J42" s="64">
        <v>0.99</v>
      </c>
      <c r="K42" s="64">
        <v>165.41</v>
      </c>
      <c r="L42" s="64">
        <v>30.46</v>
      </c>
      <c r="M42" s="64">
        <v>38.03</v>
      </c>
      <c r="N42" s="64">
        <v>506.1</v>
      </c>
      <c r="O42" s="64">
        <v>0</v>
      </c>
      <c r="P42" s="64">
        <v>0.72</v>
      </c>
      <c r="Q42" s="64">
        <v>9.5299999999999994</v>
      </c>
      <c r="R42" s="198"/>
      <c r="S42" s="198"/>
      <c r="T42" s="198"/>
      <c r="U42" s="198"/>
    </row>
    <row r="43" spans="1:21" s="12" customFormat="1" x14ac:dyDescent="0.25">
      <c r="A43" s="214" t="s">
        <v>2106</v>
      </c>
      <c r="B43" s="64">
        <v>32.81</v>
      </c>
      <c r="C43" s="64">
        <v>45.09</v>
      </c>
      <c r="D43" s="64">
        <v>49.79</v>
      </c>
      <c r="E43" s="64">
        <v>1.91</v>
      </c>
      <c r="F43" s="64">
        <v>3.8</v>
      </c>
      <c r="G43" s="64">
        <v>64.83</v>
      </c>
      <c r="H43" s="64">
        <v>28.16</v>
      </c>
      <c r="I43" s="64">
        <v>8.84</v>
      </c>
      <c r="J43" s="64">
        <v>0.72</v>
      </c>
      <c r="K43" s="64">
        <v>173.88</v>
      </c>
      <c r="L43" s="64">
        <v>30.56</v>
      </c>
      <c r="M43" s="64">
        <v>39.51</v>
      </c>
      <c r="N43" s="64">
        <v>551.70000000000005</v>
      </c>
      <c r="O43" s="64">
        <v>0</v>
      </c>
      <c r="P43" s="64">
        <v>0.69</v>
      </c>
      <c r="Q43" s="64">
        <v>9.48</v>
      </c>
      <c r="R43" s="198"/>
      <c r="S43" s="198"/>
      <c r="T43" s="198"/>
      <c r="U43" s="198"/>
    </row>
    <row r="44" spans="1:21" s="12" customFormat="1" x14ac:dyDescent="0.25">
      <c r="A44" s="214" t="s">
        <v>2107</v>
      </c>
      <c r="B44" s="64">
        <v>28.27</v>
      </c>
      <c r="C44" s="64">
        <v>45.77</v>
      </c>
      <c r="D44" s="64">
        <v>46.5</v>
      </c>
      <c r="E44" s="64">
        <v>2.15</v>
      </c>
      <c r="F44" s="64">
        <v>3.6</v>
      </c>
      <c r="G44" s="64">
        <v>63.16</v>
      </c>
      <c r="H44" s="64">
        <v>27.93</v>
      </c>
      <c r="I44" s="64">
        <v>8.81</v>
      </c>
      <c r="J44" s="64">
        <v>0.52</v>
      </c>
      <c r="K44" s="64">
        <v>205.64</v>
      </c>
      <c r="L44" s="64">
        <v>30.72</v>
      </c>
      <c r="M44" s="64">
        <v>39.86</v>
      </c>
      <c r="N44" s="64">
        <v>598.29999999999995</v>
      </c>
      <c r="O44" s="64">
        <v>0</v>
      </c>
      <c r="P44" s="64">
        <v>0.66</v>
      </c>
      <c r="Q44" s="64">
        <v>9.5</v>
      </c>
      <c r="R44" s="198"/>
      <c r="S44" s="198"/>
      <c r="T44" s="198"/>
      <c r="U44" s="198"/>
    </row>
    <row r="45" spans="1:21" s="12" customFormat="1" x14ac:dyDescent="0.25">
      <c r="A45" s="214" t="s">
        <v>2108</v>
      </c>
      <c r="B45" s="64">
        <v>23.14</v>
      </c>
      <c r="C45" s="64">
        <v>45.47</v>
      </c>
      <c r="D45" s="64">
        <v>42.24</v>
      </c>
      <c r="E45" s="64">
        <v>1.79</v>
      </c>
      <c r="F45" s="64">
        <v>4.03</v>
      </c>
      <c r="G45" s="64">
        <v>39.78</v>
      </c>
      <c r="H45" s="64">
        <v>24.11</v>
      </c>
      <c r="I45" s="64">
        <v>8.41</v>
      </c>
      <c r="J45" s="64">
        <v>0.38</v>
      </c>
      <c r="K45" s="64">
        <v>192.36</v>
      </c>
      <c r="L45" s="64">
        <v>31.42</v>
      </c>
      <c r="M45" s="64">
        <v>40.51</v>
      </c>
      <c r="N45" s="64">
        <v>634.5</v>
      </c>
      <c r="O45" s="64">
        <v>0</v>
      </c>
      <c r="P45" s="64">
        <v>0.63</v>
      </c>
      <c r="Q45" s="64">
        <v>9.41</v>
      </c>
      <c r="R45" s="198"/>
      <c r="S45" s="198"/>
      <c r="T45" s="198"/>
      <c r="U45" s="198"/>
    </row>
    <row r="46" spans="1:21" s="12" customFormat="1" x14ac:dyDescent="0.25">
      <c r="A46" s="214" t="s">
        <v>2109</v>
      </c>
      <c r="B46" s="64">
        <v>18.690000000000001</v>
      </c>
      <c r="C46" s="64">
        <v>46.39</v>
      </c>
      <c r="D46" s="64">
        <v>39.14</v>
      </c>
      <c r="E46" s="64">
        <v>1.8</v>
      </c>
      <c r="F46" s="64">
        <v>4.07</v>
      </c>
      <c r="G46" s="64">
        <v>39.78</v>
      </c>
      <c r="H46" s="64">
        <v>24.11</v>
      </c>
      <c r="I46" s="64">
        <v>8.4</v>
      </c>
      <c r="J46" s="64">
        <v>0.28999999999999998</v>
      </c>
      <c r="K46" s="64">
        <v>215.78</v>
      </c>
      <c r="L46" s="64">
        <v>32.229999999999997</v>
      </c>
      <c r="M46" s="64">
        <v>37.130000000000003</v>
      </c>
      <c r="N46" s="64">
        <v>671.1</v>
      </c>
      <c r="O46" s="64">
        <v>0</v>
      </c>
      <c r="P46" s="64">
        <v>0.61</v>
      </c>
      <c r="Q46" s="64">
        <v>9.2899999999999991</v>
      </c>
      <c r="R46" s="198"/>
      <c r="S46" s="198"/>
      <c r="T46" s="198"/>
      <c r="U46" s="198"/>
    </row>
    <row r="47" spans="1:21" s="12" customFormat="1" x14ac:dyDescent="0.25">
      <c r="A47" s="214" t="s">
        <v>2110</v>
      </c>
      <c r="B47" s="64">
        <v>14.84</v>
      </c>
      <c r="C47" s="64">
        <v>46.37</v>
      </c>
      <c r="D47" s="64">
        <v>36.049999999999997</v>
      </c>
      <c r="E47" s="64">
        <v>1.68</v>
      </c>
      <c r="F47" s="64">
        <v>4.0199999999999996</v>
      </c>
      <c r="G47" s="64">
        <v>39.78</v>
      </c>
      <c r="H47" s="64">
        <v>24.11</v>
      </c>
      <c r="I47" s="64">
        <v>8.15</v>
      </c>
      <c r="J47" s="64">
        <v>0.64</v>
      </c>
      <c r="K47" s="64">
        <v>184.29</v>
      </c>
      <c r="L47" s="64">
        <v>32.659999999999997</v>
      </c>
      <c r="M47" s="64">
        <v>34.08</v>
      </c>
      <c r="N47" s="64">
        <v>716.3</v>
      </c>
      <c r="O47" s="64">
        <v>0</v>
      </c>
      <c r="P47" s="64">
        <v>0.6</v>
      </c>
      <c r="Q47" s="64">
        <v>9.3800000000000008</v>
      </c>
      <c r="R47" s="198"/>
      <c r="S47" s="198"/>
      <c r="T47" s="198"/>
      <c r="U47" s="198"/>
    </row>
    <row r="48" spans="1:21" s="12" customFormat="1" x14ac:dyDescent="0.25">
      <c r="A48" s="214" t="s">
        <v>2111</v>
      </c>
      <c r="B48" s="64">
        <v>11.92</v>
      </c>
      <c r="C48" s="64">
        <v>46.96</v>
      </c>
      <c r="D48" s="64">
        <v>34.020000000000003</v>
      </c>
      <c r="E48" s="64">
        <v>1.82</v>
      </c>
      <c r="F48" s="64">
        <v>3.94</v>
      </c>
      <c r="G48" s="64">
        <v>40.06</v>
      </c>
      <c r="H48" s="64">
        <v>24.06</v>
      </c>
      <c r="I48" s="64">
        <v>7.82</v>
      </c>
      <c r="J48" s="64">
        <v>0.59</v>
      </c>
      <c r="K48" s="64">
        <v>172.38</v>
      </c>
      <c r="L48" s="64">
        <v>33.54</v>
      </c>
      <c r="M48" s="64">
        <v>33.85</v>
      </c>
      <c r="N48" s="64">
        <v>752.5</v>
      </c>
      <c r="O48" s="64">
        <v>0</v>
      </c>
      <c r="P48" s="64">
        <v>0.57999999999999996</v>
      </c>
      <c r="Q48" s="64">
        <v>9.27</v>
      </c>
      <c r="R48" s="198"/>
      <c r="S48" s="198"/>
      <c r="T48" s="198"/>
      <c r="U48" s="198"/>
    </row>
    <row r="49" spans="1:21" s="12" customFormat="1" x14ac:dyDescent="0.25">
      <c r="A49" s="214" t="s">
        <v>2112</v>
      </c>
      <c r="B49" s="64">
        <v>9.65</v>
      </c>
      <c r="C49" s="64">
        <v>46.88</v>
      </c>
      <c r="D49" s="64">
        <v>32.159999999999997</v>
      </c>
      <c r="E49" s="64">
        <v>1.52</v>
      </c>
      <c r="F49" s="64">
        <v>4.33</v>
      </c>
      <c r="G49" s="64">
        <v>44.88</v>
      </c>
      <c r="H49" s="64">
        <v>23.37</v>
      </c>
      <c r="I49" s="64">
        <v>7.78</v>
      </c>
      <c r="J49" s="64">
        <v>0.37</v>
      </c>
      <c r="K49" s="64">
        <v>173.03</v>
      </c>
      <c r="L49" s="64">
        <v>34.229999999999997</v>
      </c>
      <c r="M49" s="64">
        <v>33.36</v>
      </c>
      <c r="N49" s="64">
        <v>773.6</v>
      </c>
      <c r="O49" s="64">
        <v>0</v>
      </c>
      <c r="P49" s="64">
        <v>0.56999999999999995</v>
      </c>
      <c r="Q49" s="64">
        <v>9.23</v>
      </c>
      <c r="R49" s="198"/>
      <c r="S49" s="198"/>
      <c r="T49" s="198"/>
      <c r="U49" s="198"/>
    </row>
    <row r="50" spans="1:21" s="12" customFormat="1" x14ac:dyDescent="0.25">
      <c r="A50" s="214" t="s">
        <v>2113</v>
      </c>
      <c r="B50" s="64">
        <v>7.92</v>
      </c>
      <c r="C50" s="64">
        <v>46.31</v>
      </c>
      <c r="D50" s="64">
        <v>30.47</v>
      </c>
      <c r="E50" s="64">
        <v>1.97</v>
      </c>
      <c r="F50" s="64">
        <v>4.34</v>
      </c>
      <c r="G50" s="64">
        <v>44.88</v>
      </c>
      <c r="H50" s="64">
        <v>23.37</v>
      </c>
      <c r="I50" s="64">
        <v>7.91</v>
      </c>
      <c r="J50" s="64">
        <v>0.53</v>
      </c>
      <c r="K50" s="64">
        <v>158.24</v>
      </c>
      <c r="L50" s="64">
        <v>35.340000000000003</v>
      </c>
      <c r="M50" s="64">
        <v>30.4</v>
      </c>
      <c r="N50" s="64">
        <v>800.6</v>
      </c>
      <c r="O50" s="64">
        <v>0</v>
      </c>
      <c r="P50" s="64">
        <v>0.56999999999999995</v>
      </c>
      <c r="Q50" s="64">
        <v>9.39</v>
      </c>
      <c r="R50" s="198"/>
      <c r="S50" s="198"/>
      <c r="T50" s="198"/>
      <c r="U50" s="198"/>
    </row>
    <row r="51" spans="1:21" s="12" customFormat="1" x14ac:dyDescent="0.25">
      <c r="A51" s="214" t="s">
        <v>2114</v>
      </c>
      <c r="B51" s="64">
        <v>4.93</v>
      </c>
      <c r="C51" s="64">
        <v>45.82</v>
      </c>
      <c r="D51" s="64">
        <v>27.81</v>
      </c>
      <c r="E51" s="64">
        <v>1.78</v>
      </c>
      <c r="F51" s="64">
        <v>7.53</v>
      </c>
      <c r="G51" s="64">
        <v>44.88</v>
      </c>
      <c r="H51" s="64">
        <v>23.37</v>
      </c>
      <c r="I51" s="64">
        <v>8.1199999999999992</v>
      </c>
      <c r="J51" s="64">
        <v>0.41</v>
      </c>
      <c r="K51" s="64">
        <v>180.07</v>
      </c>
      <c r="L51" s="64">
        <v>35.33</v>
      </c>
      <c r="M51" s="64">
        <v>28.85</v>
      </c>
      <c r="N51" s="64">
        <v>836.3</v>
      </c>
      <c r="O51" s="64">
        <v>0</v>
      </c>
      <c r="P51" s="64">
        <v>0.54</v>
      </c>
      <c r="Q51" s="64">
        <v>9.31</v>
      </c>
      <c r="R51" s="198"/>
      <c r="S51" s="198"/>
      <c r="T51" s="198"/>
      <c r="U51" s="198"/>
    </row>
    <row r="52" spans="1:21" s="12" customFormat="1" x14ac:dyDescent="0.25">
      <c r="A52" s="214" t="s">
        <v>2115</v>
      </c>
      <c r="B52" s="64">
        <v>2.89</v>
      </c>
      <c r="C52" s="64">
        <v>43.8</v>
      </c>
      <c r="D52" s="64">
        <v>25.12</v>
      </c>
      <c r="E52" s="64">
        <v>1.69</v>
      </c>
      <c r="F52" s="64">
        <v>5.87</v>
      </c>
      <c r="G52" s="64">
        <v>43.63</v>
      </c>
      <c r="H52" s="64">
        <v>23.28</v>
      </c>
      <c r="I52" s="64">
        <v>8.17</v>
      </c>
      <c r="J52" s="64">
        <v>0.55000000000000004</v>
      </c>
      <c r="K52" s="64">
        <v>170.74</v>
      </c>
      <c r="L52" s="64">
        <v>35.799999999999997</v>
      </c>
      <c r="M52" s="64">
        <v>25.84</v>
      </c>
      <c r="N52" s="64">
        <v>863.1</v>
      </c>
      <c r="O52" s="64">
        <v>0</v>
      </c>
      <c r="P52" s="64">
        <v>0.53</v>
      </c>
      <c r="Q52" s="64">
        <v>9.19</v>
      </c>
      <c r="R52" s="198"/>
      <c r="S52" s="198"/>
      <c r="T52" s="198"/>
      <c r="U52" s="198"/>
    </row>
    <row r="53" spans="1:21" s="12" customFormat="1" x14ac:dyDescent="0.25">
      <c r="A53" s="214" t="s">
        <v>2116</v>
      </c>
      <c r="B53" s="64">
        <v>2.37</v>
      </c>
      <c r="C53" s="64">
        <v>42.45</v>
      </c>
      <c r="D53" s="64">
        <v>24</v>
      </c>
      <c r="E53" s="64">
        <v>1.97</v>
      </c>
      <c r="F53" s="64">
        <v>8.15</v>
      </c>
      <c r="G53" s="64">
        <v>26.01</v>
      </c>
      <c r="H53" s="64">
        <v>21.63</v>
      </c>
      <c r="I53" s="64">
        <v>8.1999999999999993</v>
      </c>
      <c r="J53" s="64">
        <v>0.22</v>
      </c>
      <c r="K53" s="64">
        <v>191.66</v>
      </c>
      <c r="L53" s="64">
        <v>37.07</v>
      </c>
      <c r="M53" s="64">
        <v>22.86</v>
      </c>
      <c r="N53" s="64">
        <v>860</v>
      </c>
      <c r="O53" s="64">
        <v>0</v>
      </c>
      <c r="P53" s="64">
        <v>0.51</v>
      </c>
      <c r="Q53" s="64">
        <v>9.14</v>
      </c>
      <c r="R53" s="198"/>
      <c r="S53" s="198"/>
      <c r="T53" s="198"/>
      <c r="U53" s="198"/>
    </row>
    <row r="54" spans="1:21" s="12" customFormat="1" x14ac:dyDescent="0.25">
      <c r="A54" s="214" t="s">
        <v>2117</v>
      </c>
      <c r="B54" s="64">
        <v>2.02</v>
      </c>
      <c r="C54" s="64">
        <v>46.53</v>
      </c>
      <c r="D54" s="64">
        <v>25.85</v>
      </c>
      <c r="E54" s="64">
        <v>2.09</v>
      </c>
      <c r="F54" s="64">
        <v>8.85</v>
      </c>
      <c r="G54" s="64">
        <v>26.01</v>
      </c>
      <c r="H54" s="64">
        <v>21.63</v>
      </c>
      <c r="I54" s="64">
        <v>8.06</v>
      </c>
      <c r="J54" s="64">
        <v>0.48</v>
      </c>
      <c r="K54" s="64">
        <v>169.97</v>
      </c>
      <c r="L54" s="64">
        <v>36.54</v>
      </c>
      <c r="M54" s="64">
        <v>22.59</v>
      </c>
      <c r="N54" s="64">
        <v>867.4</v>
      </c>
      <c r="O54" s="64">
        <v>0</v>
      </c>
      <c r="P54" s="64">
        <v>0.5</v>
      </c>
      <c r="Q54" s="64">
        <v>9.17</v>
      </c>
      <c r="R54" s="198"/>
      <c r="S54" s="198"/>
      <c r="T54" s="198"/>
      <c r="U54" s="198"/>
    </row>
    <row r="55" spans="1:21" s="12" customFormat="1" x14ac:dyDescent="0.25">
      <c r="A55" s="214" t="s">
        <v>2118</v>
      </c>
      <c r="B55" s="64">
        <v>1.92</v>
      </c>
      <c r="C55" s="64">
        <v>43.74</v>
      </c>
      <c r="D55" s="64">
        <v>24.31</v>
      </c>
      <c r="E55" s="64">
        <v>2.06</v>
      </c>
      <c r="F55" s="64">
        <v>8.24</v>
      </c>
      <c r="G55" s="64">
        <v>26.01</v>
      </c>
      <c r="H55" s="64">
        <v>21.63</v>
      </c>
      <c r="I55" s="64">
        <v>8.1199999999999992</v>
      </c>
      <c r="J55" s="64">
        <v>0.61</v>
      </c>
      <c r="K55" s="64">
        <v>130.66999999999999</v>
      </c>
      <c r="L55" s="64">
        <v>36.799999999999997</v>
      </c>
      <c r="M55" s="64">
        <v>21.53</v>
      </c>
      <c r="N55" s="64">
        <v>863.1</v>
      </c>
      <c r="O55" s="64">
        <v>0</v>
      </c>
      <c r="P55" s="64">
        <v>0.48</v>
      </c>
      <c r="Q55" s="64">
        <v>9.18</v>
      </c>
      <c r="R55" s="198"/>
      <c r="S55" s="198"/>
      <c r="T55" s="198"/>
      <c r="U55" s="198"/>
    </row>
    <row r="56" spans="1:21" s="12" customFormat="1" x14ac:dyDescent="0.25">
      <c r="A56" s="214" t="s">
        <v>2119</v>
      </c>
      <c r="B56" s="64">
        <v>1.82</v>
      </c>
      <c r="C56" s="64">
        <v>44.02</v>
      </c>
      <c r="D56" s="64">
        <v>24.38</v>
      </c>
      <c r="E56" s="64">
        <v>2.0699999999999998</v>
      </c>
      <c r="F56" s="64">
        <v>8.31</v>
      </c>
      <c r="G56" s="64">
        <v>29.59</v>
      </c>
      <c r="H56" s="64">
        <v>21.8</v>
      </c>
      <c r="I56" s="64">
        <v>7.83</v>
      </c>
      <c r="J56" s="64">
        <v>0.3</v>
      </c>
      <c r="K56" s="64">
        <v>332.04</v>
      </c>
      <c r="L56" s="64">
        <v>37.68</v>
      </c>
      <c r="M56" s="64">
        <v>20.3</v>
      </c>
      <c r="N56" s="64">
        <v>862.8</v>
      </c>
      <c r="O56" s="64">
        <v>0</v>
      </c>
      <c r="P56" s="64">
        <v>0.46</v>
      </c>
      <c r="Q56" s="64">
        <v>9.2100000000000009</v>
      </c>
      <c r="R56" s="198"/>
      <c r="S56" s="198"/>
      <c r="T56" s="198"/>
      <c r="U56" s="198"/>
    </row>
    <row r="57" spans="1:21" s="12" customFormat="1" x14ac:dyDescent="0.25">
      <c r="A57" s="214" t="s">
        <v>2120</v>
      </c>
      <c r="B57" s="64">
        <v>1.51</v>
      </c>
      <c r="C57" s="64">
        <v>42.72</v>
      </c>
      <c r="D57" s="64">
        <v>23.45</v>
      </c>
      <c r="E57" s="64">
        <v>2.29</v>
      </c>
      <c r="F57" s="64">
        <v>17.239999999999998</v>
      </c>
      <c r="G57" s="64">
        <v>79.680000000000007</v>
      </c>
      <c r="H57" s="64">
        <v>24.19</v>
      </c>
      <c r="I57" s="64">
        <v>7.82</v>
      </c>
      <c r="J57" s="64">
        <v>0.2</v>
      </c>
      <c r="K57" s="64">
        <v>69.7</v>
      </c>
      <c r="L57" s="64">
        <v>39.26</v>
      </c>
      <c r="M57" s="64">
        <v>18.66</v>
      </c>
      <c r="N57" s="64">
        <v>859.7</v>
      </c>
      <c r="O57" s="64">
        <v>0</v>
      </c>
      <c r="P57" s="64">
        <v>0.45</v>
      </c>
      <c r="Q57" s="64">
        <v>9.18</v>
      </c>
      <c r="R57" s="198"/>
      <c r="S57" s="198"/>
      <c r="T57" s="198"/>
      <c r="U57" s="198"/>
    </row>
    <row r="58" spans="1:21" s="12" customFormat="1" x14ac:dyDescent="0.25">
      <c r="A58" s="214" t="s">
        <v>2121</v>
      </c>
      <c r="B58" s="64">
        <v>1.4</v>
      </c>
      <c r="C58" s="64">
        <v>39</v>
      </c>
      <c r="D58" s="64">
        <v>21.42</v>
      </c>
      <c r="E58" s="64">
        <v>1.75</v>
      </c>
      <c r="F58" s="64">
        <v>9.3699999999999992</v>
      </c>
      <c r="G58" s="64">
        <v>79.680000000000007</v>
      </c>
      <c r="H58" s="64">
        <v>24.19</v>
      </c>
      <c r="I58" s="64">
        <v>7.4</v>
      </c>
      <c r="J58" s="64">
        <v>1.05</v>
      </c>
      <c r="K58" s="64">
        <v>142.38999999999999</v>
      </c>
      <c r="L58" s="64">
        <v>36.93</v>
      </c>
      <c r="M58" s="64">
        <v>19.190000000000001</v>
      </c>
      <c r="N58" s="64">
        <v>854.5</v>
      </c>
      <c r="O58" s="64">
        <v>0</v>
      </c>
      <c r="P58" s="64">
        <v>0.45</v>
      </c>
      <c r="Q58" s="64">
        <v>9.17</v>
      </c>
      <c r="R58" s="198"/>
      <c r="S58" s="198"/>
      <c r="T58" s="198"/>
      <c r="U58" s="198"/>
    </row>
    <row r="59" spans="1:21" s="12" customFormat="1" x14ac:dyDescent="0.25">
      <c r="A59" s="214" t="s">
        <v>2122</v>
      </c>
      <c r="B59" s="64">
        <v>1.57</v>
      </c>
      <c r="C59" s="64">
        <v>36.299999999999997</v>
      </c>
      <c r="D59" s="64">
        <v>20.14</v>
      </c>
      <c r="E59" s="64">
        <v>1.83</v>
      </c>
      <c r="F59" s="64">
        <v>6.66</v>
      </c>
      <c r="G59" s="64">
        <v>79.680000000000007</v>
      </c>
      <c r="H59" s="64">
        <v>24.19</v>
      </c>
      <c r="I59" s="64">
        <v>6.69</v>
      </c>
      <c r="J59" s="64">
        <v>0.96</v>
      </c>
      <c r="K59" s="64">
        <v>109.26</v>
      </c>
      <c r="L59" s="64">
        <v>36.92</v>
      </c>
      <c r="M59" s="64">
        <v>18.059999999999999</v>
      </c>
      <c r="N59" s="64">
        <v>844.3</v>
      </c>
      <c r="O59" s="64">
        <v>0</v>
      </c>
      <c r="P59" s="64">
        <v>0.44</v>
      </c>
      <c r="Q59" s="64">
        <v>9.17</v>
      </c>
      <c r="R59" s="198"/>
      <c r="S59" s="198"/>
      <c r="T59" s="198"/>
      <c r="U59" s="198"/>
    </row>
    <row r="60" spans="1:21" s="12" customFormat="1" x14ac:dyDescent="0.25">
      <c r="A60" s="214" t="s">
        <v>2123</v>
      </c>
      <c r="B60" s="64">
        <v>1.59</v>
      </c>
      <c r="C60" s="64">
        <v>35.78</v>
      </c>
      <c r="D60" s="64">
        <v>19.89</v>
      </c>
      <c r="E60" s="64">
        <v>2.0699999999999998</v>
      </c>
      <c r="F60" s="64">
        <v>7.52</v>
      </c>
      <c r="G60" s="64">
        <v>75.5</v>
      </c>
      <c r="H60" s="64">
        <v>24.06</v>
      </c>
      <c r="I60" s="64">
        <v>7</v>
      </c>
      <c r="J60" s="64">
        <v>0.87</v>
      </c>
      <c r="K60" s="64">
        <v>127.44</v>
      </c>
      <c r="L60" s="64">
        <v>36.85</v>
      </c>
      <c r="M60" s="64">
        <v>17.8</v>
      </c>
      <c r="N60" s="64">
        <v>828.4</v>
      </c>
      <c r="O60" s="64">
        <v>0</v>
      </c>
      <c r="P60" s="64">
        <v>0.43</v>
      </c>
      <c r="Q60" s="64">
        <v>9.1199999999999992</v>
      </c>
      <c r="R60" s="198"/>
      <c r="S60" s="198"/>
      <c r="T60" s="198"/>
      <c r="U60" s="198"/>
    </row>
    <row r="61" spans="1:21" s="12" customFormat="1" x14ac:dyDescent="0.25">
      <c r="A61" s="214" t="s">
        <v>2124</v>
      </c>
      <c r="B61" s="64">
        <v>1.46</v>
      </c>
      <c r="C61" s="64">
        <v>35.93</v>
      </c>
      <c r="D61" s="64">
        <v>19.87</v>
      </c>
      <c r="E61" s="64">
        <v>2.0499999999999998</v>
      </c>
      <c r="F61" s="64">
        <v>9.36</v>
      </c>
      <c r="G61" s="64">
        <v>16.98</v>
      </c>
      <c r="H61" s="64">
        <v>21.85</v>
      </c>
      <c r="I61" s="64">
        <v>7.43</v>
      </c>
      <c r="J61" s="64">
        <v>0.86</v>
      </c>
      <c r="K61" s="64">
        <v>151.78</v>
      </c>
      <c r="L61" s="64">
        <v>37.21</v>
      </c>
      <c r="M61" s="64">
        <v>15.8</v>
      </c>
      <c r="N61" s="64">
        <v>802.3</v>
      </c>
      <c r="O61" s="64">
        <v>0</v>
      </c>
      <c r="P61" s="64">
        <v>0.42</v>
      </c>
      <c r="Q61" s="64">
        <v>9.2100000000000009</v>
      </c>
      <c r="R61" s="198"/>
      <c r="S61" s="198"/>
      <c r="T61" s="198"/>
      <c r="U61" s="198"/>
    </row>
    <row r="62" spans="1:21" s="12" customFormat="1" x14ac:dyDescent="0.25">
      <c r="A62" s="214" t="s">
        <v>2125</v>
      </c>
      <c r="B62" s="64">
        <v>1.33</v>
      </c>
      <c r="C62" s="64">
        <v>34.57</v>
      </c>
      <c r="D62" s="64">
        <v>19.04</v>
      </c>
      <c r="E62" s="64">
        <v>1.85</v>
      </c>
      <c r="F62" s="64">
        <v>9.7899999999999991</v>
      </c>
      <c r="G62" s="64">
        <v>16.98</v>
      </c>
      <c r="H62" s="64">
        <v>21.85</v>
      </c>
      <c r="I62" s="64">
        <v>7.79</v>
      </c>
      <c r="J62" s="64">
        <v>0.78</v>
      </c>
      <c r="K62" s="64">
        <v>133.43</v>
      </c>
      <c r="L62" s="64">
        <v>37.85</v>
      </c>
      <c r="M62" s="64">
        <v>16.48</v>
      </c>
      <c r="N62" s="64">
        <v>780.1</v>
      </c>
      <c r="O62" s="64">
        <v>0</v>
      </c>
      <c r="P62" s="64">
        <v>0.44</v>
      </c>
      <c r="Q62" s="64">
        <v>9.14</v>
      </c>
      <c r="R62" s="198"/>
      <c r="S62" s="198"/>
      <c r="T62" s="198"/>
      <c r="U62" s="198"/>
    </row>
    <row r="63" spans="1:21" s="12" customFormat="1" x14ac:dyDescent="0.25">
      <c r="A63" s="214" t="s">
        <v>2126</v>
      </c>
      <c r="B63" s="64">
        <v>1.23</v>
      </c>
      <c r="C63" s="64">
        <v>33.26</v>
      </c>
      <c r="D63" s="64">
        <v>18.29</v>
      </c>
      <c r="E63" s="64">
        <v>2.2799999999999998</v>
      </c>
      <c r="F63" s="64">
        <v>11.28</v>
      </c>
      <c r="G63" s="64">
        <v>16.98</v>
      </c>
      <c r="H63" s="64">
        <v>21.85</v>
      </c>
      <c r="I63" s="64">
        <v>7.88</v>
      </c>
      <c r="J63" s="64">
        <v>0.48</v>
      </c>
      <c r="K63" s="64">
        <v>139.78</v>
      </c>
      <c r="L63" s="64">
        <v>37.869999999999997</v>
      </c>
      <c r="M63" s="64">
        <v>15.61</v>
      </c>
      <c r="N63" s="64">
        <v>746.6</v>
      </c>
      <c r="O63" s="64">
        <v>0</v>
      </c>
      <c r="P63" s="64">
        <v>0.41</v>
      </c>
      <c r="Q63" s="64">
        <v>9.15</v>
      </c>
      <c r="R63" s="198"/>
      <c r="S63" s="198"/>
      <c r="T63" s="198"/>
      <c r="U63" s="198"/>
    </row>
    <row r="64" spans="1:21" s="12" customFormat="1" x14ac:dyDescent="0.25">
      <c r="A64" s="214" t="s">
        <v>2127</v>
      </c>
      <c r="B64" s="64">
        <v>1.26</v>
      </c>
      <c r="C64" s="64">
        <v>32.619999999999997</v>
      </c>
      <c r="D64" s="64">
        <v>17.97</v>
      </c>
      <c r="E64" s="64">
        <v>2.1</v>
      </c>
      <c r="F64" s="64">
        <v>8.11</v>
      </c>
      <c r="G64" s="64">
        <v>20.03</v>
      </c>
      <c r="H64" s="64">
        <v>21.55</v>
      </c>
      <c r="I64" s="64">
        <v>7.53</v>
      </c>
      <c r="J64" s="64">
        <v>0.76</v>
      </c>
      <c r="K64" s="64">
        <v>143.41999999999999</v>
      </c>
      <c r="L64" s="64">
        <v>37.76</v>
      </c>
      <c r="M64" s="64">
        <v>15.32</v>
      </c>
      <c r="N64" s="64">
        <v>706.5</v>
      </c>
      <c r="O64" s="64">
        <v>0</v>
      </c>
      <c r="P64" s="64">
        <v>0.39</v>
      </c>
      <c r="Q64" s="64">
        <v>9.1199999999999992</v>
      </c>
      <c r="R64" s="198"/>
      <c r="S64" s="198"/>
      <c r="T64" s="198"/>
      <c r="U64" s="198"/>
    </row>
    <row r="65" spans="1:21" s="12" customFormat="1" x14ac:dyDescent="0.25">
      <c r="A65" s="214" t="s">
        <v>2128</v>
      </c>
      <c r="B65" s="64">
        <v>1.31</v>
      </c>
      <c r="C65" s="64">
        <v>29.74</v>
      </c>
      <c r="D65" s="64">
        <v>16.5</v>
      </c>
      <c r="E65" s="64">
        <v>1.76</v>
      </c>
      <c r="F65" s="64">
        <v>7.43</v>
      </c>
      <c r="G65" s="64">
        <v>71.87</v>
      </c>
      <c r="H65" s="64">
        <v>17.3</v>
      </c>
      <c r="I65" s="64">
        <v>7.21</v>
      </c>
      <c r="J65" s="64">
        <v>0.84</v>
      </c>
      <c r="K65" s="64">
        <v>152.97999999999999</v>
      </c>
      <c r="L65" s="64">
        <v>37.65</v>
      </c>
      <c r="M65" s="64">
        <v>15.69</v>
      </c>
      <c r="N65" s="64">
        <v>593</v>
      </c>
      <c r="O65" s="64">
        <v>0</v>
      </c>
      <c r="P65" s="64">
        <v>0.38</v>
      </c>
      <c r="Q65" s="64">
        <v>9.1199999999999992</v>
      </c>
      <c r="R65" s="198"/>
      <c r="S65" s="198"/>
      <c r="T65" s="198"/>
      <c r="U65" s="198"/>
    </row>
    <row r="66" spans="1:21" s="12" customFormat="1" x14ac:dyDescent="0.25">
      <c r="A66" s="214" t="s">
        <v>2129</v>
      </c>
      <c r="B66" s="64">
        <v>1.3</v>
      </c>
      <c r="C66" s="64">
        <v>30.93</v>
      </c>
      <c r="D66" s="64">
        <v>17.12</v>
      </c>
      <c r="E66" s="64">
        <v>1.79</v>
      </c>
      <c r="F66" s="64">
        <v>8.1300000000000008</v>
      </c>
      <c r="G66" s="64">
        <v>71.87</v>
      </c>
      <c r="H66" s="64">
        <v>17.3</v>
      </c>
      <c r="I66" s="64">
        <v>7.13</v>
      </c>
      <c r="J66" s="64">
        <v>0.7</v>
      </c>
      <c r="K66" s="64">
        <v>133.44999999999999</v>
      </c>
      <c r="L66" s="64">
        <v>37.090000000000003</v>
      </c>
      <c r="M66" s="64">
        <v>16.62</v>
      </c>
      <c r="N66" s="64">
        <v>394.6</v>
      </c>
      <c r="O66" s="64">
        <v>0</v>
      </c>
      <c r="P66" s="64">
        <v>0.37</v>
      </c>
      <c r="Q66" s="64">
        <v>9.11</v>
      </c>
      <c r="R66" s="198"/>
      <c r="S66" s="198"/>
      <c r="T66" s="198"/>
      <c r="U66" s="198"/>
    </row>
    <row r="67" spans="1:21" s="12" customFormat="1" x14ac:dyDescent="0.25">
      <c r="A67" s="214" t="s">
        <v>2130</v>
      </c>
      <c r="B67" s="64">
        <v>1.33</v>
      </c>
      <c r="C67" s="64">
        <v>32.89</v>
      </c>
      <c r="D67" s="64">
        <v>18.170000000000002</v>
      </c>
      <c r="E67" s="64">
        <v>1.57</v>
      </c>
      <c r="F67" s="64">
        <v>8.06</v>
      </c>
      <c r="G67" s="64">
        <v>71.87</v>
      </c>
      <c r="H67" s="64">
        <v>17.3</v>
      </c>
      <c r="I67" s="64">
        <v>7.35</v>
      </c>
      <c r="J67" s="64">
        <v>0.34</v>
      </c>
      <c r="K67" s="64">
        <v>342.76</v>
      </c>
      <c r="L67" s="64">
        <v>38.08</v>
      </c>
      <c r="M67" s="64">
        <v>16.71</v>
      </c>
      <c r="N67" s="64">
        <v>343.7</v>
      </c>
      <c r="O67" s="64">
        <v>0</v>
      </c>
      <c r="P67" s="64">
        <v>0.36</v>
      </c>
      <c r="Q67" s="64">
        <v>9.17</v>
      </c>
      <c r="R67" s="198"/>
      <c r="S67" s="198"/>
      <c r="T67" s="198"/>
      <c r="U67" s="198"/>
    </row>
    <row r="68" spans="1:21" s="12" customFormat="1" x14ac:dyDescent="0.25">
      <c r="A68" s="214" t="s">
        <v>2131</v>
      </c>
      <c r="B68" s="64">
        <v>1.53</v>
      </c>
      <c r="C68" s="64">
        <v>34.450000000000003</v>
      </c>
      <c r="D68" s="64">
        <v>19.14</v>
      </c>
      <c r="E68" s="64">
        <v>1.91</v>
      </c>
      <c r="F68" s="64">
        <v>7.25</v>
      </c>
      <c r="G68" s="64">
        <v>69.67</v>
      </c>
      <c r="H68" s="64">
        <v>17.87</v>
      </c>
      <c r="I68" s="64">
        <v>7.42</v>
      </c>
      <c r="J68" s="64">
        <v>0.1</v>
      </c>
      <c r="K68" s="64">
        <v>65.349999999999994</v>
      </c>
      <c r="L68" s="64">
        <v>38.450000000000003</v>
      </c>
      <c r="M68" s="64">
        <v>16.079999999999998</v>
      </c>
      <c r="N68" s="64">
        <v>343.7</v>
      </c>
      <c r="O68" s="64">
        <v>0</v>
      </c>
      <c r="P68" s="64">
        <v>0.38</v>
      </c>
      <c r="Q68" s="64">
        <v>9.19</v>
      </c>
      <c r="R68" s="198"/>
      <c r="S68" s="198"/>
      <c r="T68" s="198"/>
      <c r="U68" s="198"/>
    </row>
    <row r="69" spans="1:21" s="12" customFormat="1" x14ac:dyDescent="0.25">
      <c r="A69" s="214" t="s">
        <v>2132</v>
      </c>
      <c r="B69" s="64">
        <v>1.76</v>
      </c>
      <c r="C69" s="64">
        <v>35.049999999999997</v>
      </c>
      <c r="D69" s="64">
        <v>19.64</v>
      </c>
      <c r="E69" s="64">
        <v>1.65</v>
      </c>
      <c r="F69" s="64">
        <v>5.86</v>
      </c>
      <c r="G69" s="64">
        <v>38.880000000000003</v>
      </c>
      <c r="H69" s="64">
        <v>25.82</v>
      </c>
      <c r="I69" s="64">
        <v>7.74</v>
      </c>
      <c r="J69" s="64">
        <v>0.93</v>
      </c>
      <c r="K69" s="64">
        <v>348.05</v>
      </c>
      <c r="L69" s="64">
        <v>38.42</v>
      </c>
      <c r="M69" s="64">
        <v>17.739999999999998</v>
      </c>
      <c r="N69" s="64">
        <v>325.2</v>
      </c>
      <c r="O69" s="64">
        <v>0</v>
      </c>
      <c r="P69" s="64">
        <v>0.38</v>
      </c>
      <c r="Q69" s="64">
        <v>9.15</v>
      </c>
      <c r="R69" s="198"/>
      <c r="S69" s="198"/>
      <c r="T69" s="198"/>
      <c r="U69" s="198"/>
    </row>
    <row r="70" spans="1:21" s="12" customFormat="1" x14ac:dyDescent="0.25">
      <c r="A70" s="214" t="s">
        <v>2133</v>
      </c>
      <c r="B70" s="64">
        <v>1.77</v>
      </c>
      <c r="C70" s="64">
        <v>36.630000000000003</v>
      </c>
      <c r="D70" s="64">
        <v>20.48</v>
      </c>
      <c r="E70" s="64">
        <v>2.0299999999999998</v>
      </c>
      <c r="F70" s="64">
        <v>10.75</v>
      </c>
      <c r="G70" s="64">
        <v>38.880000000000003</v>
      </c>
      <c r="H70" s="64">
        <v>25.82</v>
      </c>
      <c r="I70" s="64">
        <v>7.94</v>
      </c>
      <c r="J70" s="64">
        <v>0.16</v>
      </c>
      <c r="K70" s="64">
        <v>228.52</v>
      </c>
      <c r="L70" s="64">
        <v>37.99</v>
      </c>
      <c r="M70" s="64">
        <v>16.3</v>
      </c>
      <c r="N70" s="64">
        <v>212.1</v>
      </c>
      <c r="O70" s="64">
        <v>0</v>
      </c>
      <c r="P70" s="64">
        <v>0.38</v>
      </c>
      <c r="Q70" s="64">
        <v>9.17</v>
      </c>
      <c r="R70" s="198"/>
      <c r="S70" s="198"/>
      <c r="T70" s="198"/>
      <c r="U70" s="198"/>
    </row>
    <row r="71" spans="1:21" s="12" customFormat="1" x14ac:dyDescent="0.25">
      <c r="A71" s="214" t="s">
        <v>2134</v>
      </c>
      <c r="B71" s="64">
        <v>1.28</v>
      </c>
      <c r="C71" s="64">
        <v>37.4</v>
      </c>
      <c r="D71" s="64">
        <v>20.49</v>
      </c>
      <c r="E71" s="64">
        <v>2.0499999999999998</v>
      </c>
      <c r="F71" s="64">
        <v>10.46</v>
      </c>
      <c r="G71" s="64">
        <v>38.880000000000003</v>
      </c>
      <c r="H71" s="64">
        <v>25.82</v>
      </c>
      <c r="I71" s="64">
        <v>8.23</v>
      </c>
      <c r="J71" s="64">
        <v>0.08</v>
      </c>
      <c r="K71" s="64">
        <v>257.72000000000003</v>
      </c>
      <c r="L71" s="64">
        <v>37.21</v>
      </c>
      <c r="M71" s="64">
        <v>17.25</v>
      </c>
      <c r="N71" s="64">
        <v>181.8</v>
      </c>
      <c r="O71" s="64">
        <v>0</v>
      </c>
      <c r="P71" s="64">
        <v>0.37</v>
      </c>
      <c r="Q71" s="64">
        <v>9.27</v>
      </c>
      <c r="R71" s="198"/>
      <c r="S71" s="198"/>
      <c r="T71" s="198"/>
      <c r="U71" s="198"/>
    </row>
    <row r="72" spans="1:21" s="12" customFormat="1" x14ac:dyDescent="0.25">
      <c r="A72" s="214" t="s">
        <v>2135</v>
      </c>
      <c r="B72" s="64">
        <v>1.4</v>
      </c>
      <c r="C72" s="64">
        <v>37.89</v>
      </c>
      <c r="D72" s="64">
        <v>20.84</v>
      </c>
      <c r="E72" s="64">
        <v>1.83</v>
      </c>
      <c r="F72" s="64">
        <v>6.39</v>
      </c>
      <c r="G72" s="64">
        <v>39.799999999999997</v>
      </c>
      <c r="H72" s="64">
        <v>25.57</v>
      </c>
      <c r="I72" s="64">
        <v>8.09</v>
      </c>
      <c r="J72" s="64">
        <v>0.18</v>
      </c>
      <c r="K72" s="64">
        <v>331.07</v>
      </c>
      <c r="L72" s="64">
        <v>36.57</v>
      </c>
      <c r="M72" s="64">
        <v>18.84</v>
      </c>
      <c r="N72" s="64">
        <v>152.19999999999999</v>
      </c>
      <c r="O72" s="64">
        <v>0</v>
      </c>
      <c r="P72" s="64">
        <v>0.37</v>
      </c>
      <c r="Q72" s="64">
        <v>9.14</v>
      </c>
      <c r="R72" s="198"/>
      <c r="S72" s="198"/>
      <c r="T72" s="198"/>
      <c r="U72" s="198"/>
    </row>
    <row r="73" spans="1:21" s="12" customFormat="1" x14ac:dyDescent="0.25">
      <c r="A73" s="214" t="s">
        <v>2136</v>
      </c>
      <c r="B73" s="64">
        <v>1.77</v>
      </c>
      <c r="C73" s="64">
        <v>37.81</v>
      </c>
      <c r="D73" s="64">
        <v>21.1</v>
      </c>
      <c r="E73" s="64">
        <v>1.59</v>
      </c>
      <c r="F73" s="64">
        <v>5.59</v>
      </c>
      <c r="G73" s="64">
        <v>52.66</v>
      </c>
      <c r="H73" s="64">
        <v>21.35</v>
      </c>
      <c r="I73" s="64">
        <v>7.75</v>
      </c>
      <c r="J73" s="64">
        <v>0.2</v>
      </c>
      <c r="K73" s="64">
        <v>339.41</v>
      </c>
      <c r="L73" s="64">
        <v>36.65</v>
      </c>
      <c r="M73" s="64">
        <v>19.64</v>
      </c>
      <c r="N73" s="64">
        <v>154.9</v>
      </c>
      <c r="O73" s="64">
        <v>0</v>
      </c>
      <c r="P73" s="64">
        <v>0.39</v>
      </c>
      <c r="Q73" s="64">
        <v>9.14</v>
      </c>
      <c r="R73" s="198"/>
      <c r="S73" s="198"/>
      <c r="T73" s="198"/>
      <c r="U73" s="198"/>
    </row>
    <row r="74" spans="1:21" s="12" customFormat="1" x14ac:dyDescent="0.25">
      <c r="A74" s="214" t="s">
        <v>2137</v>
      </c>
      <c r="B74" s="64">
        <v>1.77</v>
      </c>
      <c r="C74" s="64">
        <v>39.56</v>
      </c>
      <c r="D74" s="64">
        <v>22.01</v>
      </c>
      <c r="E74" s="64">
        <v>1.76</v>
      </c>
      <c r="F74" s="64">
        <v>6.76</v>
      </c>
      <c r="G74" s="64">
        <v>52.66</v>
      </c>
      <c r="H74" s="64">
        <v>21.35</v>
      </c>
      <c r="I74" s="64">
        <v>7.83</v>
      </c>
      <c r="J74" s="64">
        <v>0.52</v>
      </c>
      <c r="K74" s="64">
        <v>159.96</v>
      </c>
      <c r="L74" s="64">
        <v>36.39</v>
      </c>
      <c r="M74" s="64">
        <v>19.600000000000001</v>
      </c>
      <c r="N74" s="64">
        <v>139.19999999999999</v>
      </c>
      <c r="O74" s="64">
        <v>0</v>
      </c>
      <c r="P74" s="64">
        <v>0.41</v>
      </c>
      <c r="Q74" s="64">
        <v>9.32</v>
      </c>
      <c r="R74" s="198"/>
      <c r="S74" s="198"/>
      <c r="T74" s="198"/>
      <c r="U74" s="198"/>
    </row>
    <row r="75" spans="1:21" s="12" customFormat="1" x14ac:dyDescent="0.25">
      <c r="A75" s="214" t="s">
        <v>2138</v>
      </c>
      <c r="B75" s="64">
        <v>1.43</v>
      </c>
      <c r="C75" s="64">
        <v>38.99</v>
      </c>
      <c r="D75" s="64">
        <v>21.44</v>
      </c>
      <c r="E75" s="64">
        <v>1.93</v>
      </c>
      <c r="F75" s="64">
        <v>8.73</v>
      </c>
      <c r="G75" s="64">
        <v>52.66</v>
      </c>
      <c r="H75" s="64">
        <v>21.35</v>
      </c>
      <c r="I75" s="64">
        <v>7.69</v>
      </c>
      <c r="J75" s="64">
        <v>0.77</v>
      </c>
      <c r="K75" s="64">
        <v>174.86</v>
      </c>
      <c r="L75" s="64">
        <v>36.14</v>
      </c>
      <c r="M75" s="64">
        <v>19.68</v>
      </c>
      <c r="N75" s="64">
        <v>108.7</v>
      </c>
      <c r="O75" s="64">
        <v>0</v>
      </c>
      <c r="P75" s="64">
        <v>0.4</v>
      </c>
      <c r="Q75" s="64">
        <v>9.16</v>
      </c>
      <c r="R75" s="198"/>
      <c r="S75" s="198"/>
      <c r="T75" s="198"/>
      <c r="U75" s="198"/>
    </row>
    <row r="76" spans="1:21" s="12" customFormat="1" x14ac:dyDescent="0.25">
      <c r="A76" s="214" t="s">
        <v>2139</v>
      </c>
      <c r="B76" s="64">
        <v>1.33</v>
      </c>
      <c r="C76" s="64">
        <v>37.44</v>
      </c>
      <c r="D76" s="64">
        <v>20.55</v>
      </c>
      <c r="E76" s="64">
        <v>1.89</v>
      </c>
      <c r="F76" s="64">
        <v>6.92</v>
      </c>
      <c r="G76" s="64">
        <v>50.42</v>
      </c>
      <c r="H76" s="64">
        <v>21.27</v>
      </c>
      <c r="I76" s="64">
        <v>7.35</v>
      </c>
      <c r="J76" s="64">
        <v>0.59</v>
      </c>
      <c r="K76" s="64">
        <v>185.33</v>
      </c>
      <c r="L76" s="64">
        <v>36.04</v>
      </c>
      <c r="M76" s="64">
        <v>20.309999999999999</v>
      </c>
      <c r="N76" s="64">
        <v>99.7</v>
      </c>
      <c r="O76" s="64">
        <v>0</v>
      </c>
      <c r="P76" s="64">
        <v>0.39</v>
      </c>
      <c r="Q76" s="64">
        <v>9.15</v>
      </c>
      <c r="R76" s="198"/>
      <c r="S76" s="198"/>
      <c r="T76" s="198"/>
      <c r="U76" s="198"/>
    </row>
    <row r="77" spans="1:21" s="12" customFormat="1" x14ac:dyDescent="0.25">
      <c r="A77" s="214" t="s">
        <v>2140</v>
      </c>
      <c r="B77" s="64">
        <v>1.45</v>
      </c>
      <c r="C77" s="64">
        <v>34.96</v>
      </c>
      <c r="D77" s="64">
        <v>19.350000000000001</v>
      </c>
      <c r="E77" s="64">
        <v>1.86</v>
      </c>
      <c r="F77" s="64">
        <v>6.06</v>
      </c>
      <c r="G77" s="64">
        <v>19.059999999999999</v>
      </c>
      <c r="H77" s="64">
        <v>20.12</v>
      </c>
      <c r="I77" s="64">
        <v>7.12</v>
      </c>
      <c r="J77" s="64">
        <v>0.68</v>
      </c>
      <c r="K77" s="64">
        <v>168.34</v>
      </c>
      <c r="L77" s="64">
        <v>35.65</v>
      </c>
      <c r="M77" s="64">
        <v>21.64</v>
      </c>
      <c r="N77" s="64">
        <v>77.099999999999994</v>
      </c>
      <c r="O77" s="64">
        <v>0</v>
      </c>
      <c r="P77" s="64">
        <v>0.4</v>
      </c>
      <c r="Q77" s="64">
        <v>9.23</v>
      </c>
      <c r="R77" s="198"/>
      <c r="S77" s="198"/>
      <c r="T77" s="198"/>
      <c r="U77" s="198"/>
    </row>
    <row r="78" spans="1:21" s="12" customFormat="1" x14ac:dyDescent="0.25">
      <c r="A78" s="214" t="s">
        <v>2141</v>
      </c>
      <c r="B78" s="64">
        <v>1.55</v>
      </c>
      <c r="C78" s="64">
        <v>34.26</v>
      </c>
      <c r="D78" s="64">
        <v>19.059999999999999</v>
      </c>
      <c r="E78" s="64">
        <v>1.77</v>
      </c>
      <c r="F78" s="64">
        <v>7.37</v>
      </c>
      <c r="G78" s="64">
        <v>19.059999999999999</v>
      </c>
      <c r="H78" s="64">
        <v>20.12</v>
      </c>
      <c r="I78" s="64">
        <v>7.05</v>
      </c>
      <c r="J78" s="64">
        <v>0.38</v>
      </c>
      <c r="K78" s="64">
        <v>203.24</v>
      </c>
      <c r="L78" s="64">
        <v>35.299999999999997</v>
      </c>
      <c r="M78" s="64">
        <v>22.34</v>
      </c>
      <c r="N78" s="64">
        <v>53.6</v>
      </c>
      <c r="O78" s="64">
        <v>0</v>
      </c>
      <c r="P78" s="64">
        <v>0.4</v>
      </c>
      <c r="Q78" s="64">
        <v>9.2100000000000009</v>
      </c>
      <c r="R78" s="198"/>
      <c r="S78" s="198"/>
      <c r="T78" s="198"/>
      <c r="U78" s="198"/>
    </row>
    <row r="79" spans="1:21" s="12" customFormat="1" x14ac:dyDescent="0.25">
      <c r="A79" s="214" t="s">
        <v>2142</v>
      </c>
      <c r="B79" s="64">
        <v>1.25</v>
      </c>
      <c r="C79" s="64">
        <v>34.340000000000003</v>
      </c>
      <c r="D79" s="64">
        <v>18.86</v>
      </c>
      <c r="E79" s="64">
        <v>1.65</v>
      </c>
      <c r="F79" s="64">
        <v>8.74</v>
      </c>
      <c r="G79" s="64">
        <v>19.059999999999999</v>
      </c>
      <c r="H79" s="64">
        <v>20.12</v>
      </c>
      <c r="I79" s="64">
        <v>7.02</v>
      </c>
      <c r="J79" s="64">
        <v>0.31</v>
      </c>
      <c r="K79" s="64">
        <v>180.81</v>
      </c>
      <c r="L79" s="64">
        <v>34.659999999999997</v>
      </c>
      <c r="M79" s="64">
        <v>23.91</v>
      </c>
      <c r="N79" s="64">
        <v>35.9</v>
      </c>
      <c r="O79" s="64">
        <v>0</v>
      </c>
      <c r="P79" s="64">
        <v>0.41</v>
      </c>
      <c r="Q79" s="64">
        <v>9.1999999999999993</v>
      </c>
      <c r="R79" s="198"/>
      <c r="S79" s="198"/>
      <c r="T79" s="198"/>
      <c r="U79" s="198"/>
    </row>
    <row r="80" spans="1:21" s="12" customFormat="1" x14ac:dyDescent="0.25">
      <c r="A80" s="214" t="s">
        <v>2143</v>
      </c>
      <c r="B80" s="64">
        <v>1.29</v>
      </c>
      <c r="C80" s="64">
        <v>34.67</v>
      </c>
      <c r="D80" s="64">
        <v>19.07</v>
      </c>
      <c r="E80" s="64">
        <v>1.95</v>
      </c>
      <c r="F80" s="64">
        <v>6.97</v>
      </c>
      <c r="G80" s="64">
        <v>20.97</v>
      </c>
      <c r="H80" s="64">
        <v>19.95</v>
      </c>
      <c r="I80" s="64">
        <v>6.95</v>
      </c>
      <c r="J80" s="64">
        <v>0.24</v>
      </c>
      <c r="K80" s="64">
        <v>184.6</v>
      </c>
      <c r="L80" s="64">
        <v>34.24</v>
      </c>
      <c r="M80" s="64">
        <v>23.86</v>
      </c>
      <c r="N80" s="64">
        <v>28.1</v>
      </c>
      <c r="O80" s="64">
        <v>0</v>
      </c>
      <c r="P80" s="64">
        <v>0.42</v>
      </c>
      <c r="Q80" s="64">
        <v>9.1999999999999993</v>
      </c>
      <c r="R80" s="198"/>
      <c r="S80" s="198"/>
      <c r="T80" s="198"/>
      <c r="U80" s="198"/>
    </row>
    <row r="81" spans="1:26" s="12" customFormat="1" x14ac:dyDescent="0.25">
      <c r="A81" s="214" t="s">
        <v>2144</v>
      </c>
      <c r="B81" s="64">
        <v>1.35</v>
      </c>
      <c r="C81" s="64">
        <v>36.64</v>
      </c>
      <c r="D81" s="64">
        <v>20.149999999999999</v>
      </c>
      <c r="E81" s="64">
        <v>1.99</v>
      </c>
      <c r="F81" s="64">
        <v>8.3000000000000007</v>
      </c>
      <c r="G81" s="64">
        <v>53.38</v>
      </c>
      <c r="H81" s="64">
        <v>17.600000000000001</v>
      </c>
      <c r="I81" s="64">
        <v>6.62</v>
      </c>
      <c r="J81" s="64">
        <v>0.43</v>
      </c>
      <c r="K81" s="64">
        <v>209.48</v>
      </c>
      <c r="L81" s="64">
        <v>33.630000000000003</v>
      </c>
      <c r="M81" s="64">
        <v>26.24</v>
      </c>
      <c r="N81" s="64">
        <v>20.3</v>
      </c>
      <c r="O81" s="64">
        <v>0</v>
      </c>
      <c r="P81" s="64">
        <v>0.45</v>
      </c>
      <c r="Q81" s="64">
        <v>9.1999999999999993</v>
      </c>
      <c r="R81" s="198"/>
      <c r="S81" s="198"/>
      <c r="T81" s="198"/>
      <c r="U81" s="198"/>
    </row>
    <row r="82" spans="1:26" s="12" customFormat="1" x14ac:dyDescent="0.25">
      <c r="A82" s="214" t="s">
        <v>2145</v>
      </c>
      <c r="B82" s="64">
        <v>1.0900000000000001</v>
      </c>
      <c r="C82" s="64">
        <v>44.84</v>
      </c>
      <c r="D82" s="64">
        <v>24.22</v>
      </c>
      <c r="E82" s="64">
        <v>2.3199999999999998</v>
      </c>
      <c r="F82" s="64">
        <v>12.18</v>
      </c>
      <c r="G82" s="64">
        <v>53.38</v>
      </c>
      <c r="H82" s="64">
        <v>17.600000000000001</v>
      </c>
      <c r="I82" s="64">
        <v>6.66</v>
      </c>
      <c r="J82" s="64">
        <v>2.33</v>
      </c>
      <c r="K82" s="64">
        <v>164.89</v>
      </c>
      <c r="L82" s="64">
        <v>31.78</v>
      </c>
      <c r="M82" s="64">
        <v>34.72</v>
      </c>
      <c r="N82" s="64">
        <v>18.899999999999999</v>
      </c>
      <c r="O82" s="64">
        <v>0</v>
      </c>
      <c r="P82" s="64">
        <v>0.52</v>
      </c>
      <c r="Q82" s="64">
        <v>9.1199999999999992</v>
      </c>
      <c r="R82" s="198"/>
      <c r="S82" s="198"/>
      <c r="T82" s="198"/>
      <c r="U82" s="198"/>
    </row>
    <row r="83" spans="1:26" s="12" customFormat="1" x14ac:dyDescent="0.25">
      <c r="A83" s="214" t="s">
        <v>2146</v>
      </c>
      <c r="B83" s="64">
        <v>0.89</v>
      </c>
      <c r="C83" s="64">
        <v>42.76</v>
      </c>
      <c r="D83" s="64">
        <v>22.97</v>
      </c>
      <c r="E83" s="64">
        <v>1.79</v>
      </c>
      <c r="F83" s="64">
        <v>11.02</v>
      </c>
      <c r="G83" s="64">
        <v>53.38</v>
      </c>
      <c r="H83" s="64">
        <v>17.600000000000001</v>
      </c>
      <c r="I83" s="64">
        <v>6.58</v>
      </c>
      <c r="J83" s="64">
        <v>1.96</v>
      </c>
      <c r="K83" s="64">
        <v>156.69999999999999</v>
      </c>
      <c r="L83" s="64">
        <v>30.41</v>
      </c>
      <c r="M83" s="64">
        <v>38.31</v>
      </c>
      <c r="N83" s="64">
        <v>16.399999999999999</v>
      </c>
      <c r="O83" s="64">
        <v>0</v>
      </c>
      <c r="P83" s="64">
        <v>0.48</v>
      </c>
      <c r="Q83" s="64">
        <v>9.1199999999999992</v>
      </c>
      <c r="R83" s="198"/>
      <c r="S83" s="198"/>
      <c r="T83" s="198"/>
      <c r="U83" s="198"/>
    </row>
    <row r="84" spans="1:26" s="12" customFormat="1" x14ac:dyDescent="0.25">
      <c r="A84" s="214" t="s">
        <v>2147</v>
      </c>
      <c r="B84" s="64">
        <v>0.96</v>
      </c>
      <c r="C84" s="64">
        <v>36.950000000000003</v>
      </c>
      <c r="D84" s="64">
        <v>19.989999999999998</v>
      </c>
      <c r="E84" s="64">
        <v>1.18</v>
      </c>
      <c r="F84" s="64">
        <v>8.2799999999999994</v>
      </c>
      <c r="G84" s="64">
        <v>56.31</v>
      </c>
      <c r="H84" s="64">
        <v>18.14</v>
      </c>
      <c r="I84" s="64">
        <v>5.97</v>
      </c>
      <c r="J84" s="64">
        <v>0.76</v>
      </c>
      <c r="K84" s="64">
        <v>189.07</v>
      </c>
      <c r="L84" s="64">
        <v>30.02</v>
      </c>
      <c r="M84" s="64">
        <v>39.21</v>
      </c>
      <c r="N84" s="64">
        <v>15.5</v>
      </c>
      <c r="O84" s="64">
        <v>0</v>
      </c>
      <c r="P84" s="64">
        <v>0.47</v>
      </c>
      <c r="Q84" s="64">
        <v>9.11</v>
      </c>
      <c r="R84" s="198"/>
      <c r="S84" s="198"/>
      <c r="T84" s="198"/>
      <c r="U84" s="198"/>
    </row>
    <row r="85" spans="1:26" s="12" customFormat="1" x14ac:dyDescent="0.25">
      <c r="A85" s="214" t="s">
        <v>2148</v>
      </c>
      <c r="B85" s="64">
        <v>1.17</v>
      </c>
      <c r="C85" s="64">
        <v>36.36</v>
      </c>
      <c r="D85" s="64">
        <v>19.850000000000001</v>
      </c>
      <c r="E85" s="64">
        <v>1.1399999999999999</v>
      </c>
      <c r="F85" s="64">
        <v>6.71</v>
      </c>
      <c r="G85" s="64">
        <v>97.32</v>
      </c>
      <c r="H85" s="64">
        <v>25.66</v>
      </c>
      <c r="I85" s="64">
        <v>5.46</v>
      </c>
      <c r="J85" s="64">
        <v>0.84</v>
      </c>
      <c r="K85" s="64">
        <v>182.54</v>
      </c>
      <c r="L85" s="64">
        <v>29.54</v>
      </c>
      <c r="M85" s="64">
        <v>40.78</v>
      </c>
      <c r="N85" s="64">
        <v>15.6</v>
      </c>
      <c r="O85" s="64">
        <v>0</v>
      </c>
      <c r="P85" s="64">
        <v>0.44</v>
      </c>
      <c r="Q85" s="64">
        <v>9.1999999999999993</v>
      </c>
      <c r="R85" s="198"/>
      <c r="S85" s="198"/>
      <c r="T85" s="198"/>
      <c r="U85" s="198"/>
    </row>
    <row r="86" spans="1:26" s="12" customFormat="1" x14ac:dyDescent="0.25">
      <c r="A86" s="214" t="s">
        <v>2149</v>
      </c>
      <c r="B86" s="64">
        <v>1.34</v>
      </c>
      <c r="C86" s="64">
        <v>34.93</v>
      </c>
      <c r="D86" s="64">
        <v>19.25</v>
      </c>
      <c r="E86" s="64">
        <v>1.47</v>
      </c>
      <c r="F86" s="64">
        <v>5.55</v>
      </c>
      <c r="G86" s="64">
        <v>97.32</v>
      </c>
      <c r="H86" s="64">
        <v>25.66</v>
      </c>
      <c r="I86" s="64">
        <v>5.49</v>
      </c>
      <c r="J86" s="64">
        <v>0.4</v>
      </c>
      <c r="K86" s="64">
        <v>204.67</v>
      </c>
      <c r="L86" s="64">
        <v>29.27</v>
      </c>
      <c r="M86" s="64">
        <v>40.869999999999997</v>
      </c>
      <c r="N86" s="64">
        <v>15.2</v>
      </c>
      <c r="O86" s="64">
        <v>0</v>
      </c>
      <c r="P86" s="64">
        <v>0.44</v>
      </c>
      <c r="Q86" s="64">
        <v>9.24</v>
      </c>
      <c r="R86" s="198"/>
      <c r="S86" s="198"/>
      <c r="T86" s="198"/>
      <c r="U86" s="198"/>
    </row>
    <row r="87" spans="1:26" s="12" customFormat="1" x14ac:dyDescent="0.25">
      <c r="A87" s="214" t="s">
        <v>2150</v>
      </c>
      <c r="B87" s="64">
        <v>1.51</v>
      </c>
      <c r="C87" s="64">
        <v>33.53</v>
      </c>
      <c r="D87" s="64">
        <v>18.649999999999999</v>
      </c>
      <c r="E87" s="64">
        <v>1.35</v>
      </c>
      <c r="F87" s="64">
        <v>5.15</v>
      </c>
      <c r="G87" s="64">
        <v>97.32</v>
      </c>
      <c r="H87" s="64">
        <v>25.66</v>
      </c>
      <c r="I87" s="64">
        <v>5.4</v>
      </c>
      <c r="J87" s="64">
        <v>0.21</v>
      </c>
      <c r="K87" s="64">
        <v>203.13</v>
      </c>
      <c r="L87" s="64">
        <v>29.05</v>
      </c>
      <c r="M87" s="64">
        <v>41.32</v>
      </c>
      <c r="N87" s="64">
        <v>15</v>
      </c>
      <c r="O87" s="64">
        <v>0</v>
      </c>
      <c r="P87" s="64">
        <v>0.43</v>
      </c>
      <c r="Q87" s="64">
        <v>9.14</v>
      </c>
      <c r="R87" s="198"/>
      <c r="S87" s="198"/>
      <c r="T87" s="198"/>
      <c r="U87" s="198"/>
    </row>
    <row r="88" spans="1:26" s="12" customFormat="1" x14ac:dyDescent="0.25">
      <c r="A88" s="214" t="s">
        <v>2151</v>
      </c>
      <c r="B88" s="64">
        <v>1.6</v>
      </c>
      <c r="C88" s="64">
        <v>32.22</v>
      </c>
      <c r="D88" s="64">
        <v>18.03</v>
      </c>
      <c r="E88" s="64">
        <v>0.51</v>
      </c>
      <c r="F88" s="64">
        <v>5.07</v>
      </c>
      <c r="G88" s="64">
        <v>94.47</v>
      </c>
      <c r="H88" s="64">
        <v>25.53</v>
      </c>
      <c r="I88" s="64">
        <v>5.35</v>
      </c>
      <c r="J88" s="64">
        <v>0.66</v>
      </c>
      <c r="K88" s="64">
        <v>191.94</v>
      </c>
      <c r="L88" s="64">
        <v>28.89</v>
      </c>
      <c r="M88" s="64">
        <v>42.28</v>
      </c>
      <c r="N88" s="64">
        <v>14.8</v>
      </c>
      <c r="O88" s="64">
        <v>0</v>
      </c>
      <c r="P88" s="64">
        <v>0.43</v>
      </c>
      <c r="Q88" s="64">
        <v>9.1300000000000008</v>
      </c>
      <c r="R88" s="198"/>
      <c r="S88" s="198"/>
      <c r="T88" s="198"/>
      <c r="U88" s="198"/>
    </row>
    <row r="89" spans="1:26" s="12" customFormat="1" x14ac:dyDescent="0.25">
      <c r="A89" s="214" t="s">
        <v>2152</v>
      </c>
      <c r="B89" s="64">
        <v>1.79</v>
      </c>
      <c r="C89" s="64">
        <v>31.59</v>
      </c>
      <c r="D89" s="64">
        <v>17.86</v>
      </c>
      <c r="E89" s="64">
        <v>0.98</v>
      </c>
      <c r="F89" s="64">
        <v>4.67</v>
      </c>
      <c r="G89" s="64">
        <v>54.53</v>
      </c>
      <c r="H89" s="64">
        <v>23.72</v>
      </c>
      <c r="I89" s="64">
        <v>5.28</v>
      </c>
      <c r="J89" s="64">
        <v>0.9</v>
      </c>
      <c r="K89" s="64">
        <v>153.16999999999999</v>
      </c>
      <c r="L89" s="64">
        <v>28.72</v>
      </c>
      <c r="M89" s="64">
        <v>42.87</v>
      </c>
      <c r="N89" s="64">
        <v>14.7</v>
      </c>
      <c r="O89" s="64">
        <v>0</v>
      </c>
      <c r="P89" s="64">
        <v>0.43</v>
      </c>
      <c r="Q89" s="64">
        <v>9.1999999999999993</v>
      </c>
      <c r="R89" s="198"/>
      <c r="S89" s="198"/>
      <c r="T89" s="198"/>
      <c r="U89" s="198"/>
    </row>
    <row r="90" spans="1:26" s="12" customFormat="1" x14ac:dyDescent="0.25">
      <c r="A90" s="214" t="s">
        <v>2153</v>
      </c>
      <c r="B90" s="64">
        <v>2.0699999999999998</v>
      </c>
      <c r="C90" s="64">
        <v>31.49</v>
      </c>
      <c r="D90" s="64">
        <v>18.03</v>
      </c>
      <c r="E90" s="64">
        <v>1.21</v>
      </c>
      <c r="F90" s="64">
        <v>4.1399999999999997</v>
      </c>
      <c r="G90" s="64">
        <v>54.53</v>
      </c>
      <c r="H90" s="64">
        <v>23.72</v>
      </c>
      <c r="I90" s="64">
        <v>5.36</v>
      </c>
      <c r="J90" s="64">
        <v>0.14000000000000001</v>
      </c>
      <c r="K90" s="64">
        <v>190.52</v>
      </c>
      <c r="L90" s="64">
        <v>28.62</v>
      </c>
      <c r="M90" s="64">
        <v>43.34</v>
      </c>
      <c r="N90" s="64">
        <v>15.2</v>
      </c>
      <c r="O90" s="64">
        <v>0</v>
      </c>
      <c r="P90" s="64">
        <v>0.43</v>
      </c>
      <c r="Q90" s="64">
        <v>9.2100000000000009</v>
      </c>
      <c r="R90" s="198"/>
      <c r="S90" s="198"/>
      <c r="T90" s="198"/>
      <c r="U90" s="198"/>
    </row>
    <row r="91" spans="1:26" s="12" customFormat="1" x14ac:dyDescent="0.25">
      <c r="A91" s="214" t="s">
        <v>2154</v>
      </c>
      <c r="B91" s="64">
        <v>2.3199999999999998</v>
      </c>
      <c r="C91" s="64">
        <v>31.28</v>
      </c>
      <c r="D91" s="64">
        <v>18.13</v>
      </c>
      <c r="E91" s="64">
        <v>0.8</v>
      </c>
      <c r="F91" s="64">
        <v>4.38</v>
      </c>
      <c r="G91" s="64">
        <v>54.53</v>
      </c>
      <c r="H91" s="64">
        <v>23.72</v>
      </c>
      <c r="I91" s="64">
        <v>5.41</v>
      </c>
      <c r="J91" s="64">
        <v>0.81</v>
      </c>
      <c r="K91" s="64">
        <v>164.27</v>
      </c>
      <c r="L91" s="64">
        <v>28.58</v>
      </c>
      <c r="M91" s="64">
        <v>43.51</v>
      </c>
      <c r="N91" s="64">
        <v>14.6</v>
      </c>
      <c r="O91" s="64">
        <v>0</v>
      </c>
      <c r="P91" s="64">
        <v>0.42</v>
      </c>
      <c r="Q91" s="64">
        <v>9.14</v>
      </c>
      <c r="R91" s="198"/>
      <c r="S91" s="198"/>
      <c r="T91" s="198"/>
      <c r="U91" s="198"/>
    </row>
    <row r="92" spans="1:26" s="12" customFormat="1" x14ac:dyDescent="0.25">
      <c r="A92" s="214" t="s">
        <v>2155</v>
      </c>
      <c r="B92" s="64">
        <v>2.4500000000000002</v>
      </c>
      <c r="C92" s="64">
        <v>30.07</v>
      </c>
      <c r="D92" s="64">
        <v>17.600000000000001</v>
      </c>
      <c r="E92" s="64">
        <v>0.75</v>
      </c>
      <c r="F92" s="64">
        <v>4.49</v>
      </c>
      <c r="G92" s="64">
        <v>53.91</v>
      </c>
      <c r="H92" s="64">
        <v>23.69</v>
      </c>
      <c r="I92" s="64">
        <v>5.53</v>
      </c>
      <c r="J92" s="64">
        <v>0.74</v>
      </c>
      <c r="K92" s="64">
        <v>164.05</v>
      </c>
      <c r="L92" s="64">
        <v>28.38</v>
      </c>
      <c r="M92" s="64">
        <v>43.84</v>
      </c>
      <c r="N92" s="64">
        <v>14.9</v>
      </c>
      <c r="O92" s="64">
        <v>0</v>
      </c>
      <c r="P92" s="64">
        <v>0.43</v>
      </c>
      <c r="Q92" s="64">
        <v>9.15</v>
      </c>
      <c r="R92" s="198"/>
      <c r="S92" s="198"/>
      <c r="T92" s="198"/>
      <c r="U92" s="198"/>
    </row>
    <row r="93" spans="1:26" s="12" customFormat="1" x14ac:dyDescent="0.25">
      <c r="A93" s="214" t="s">
        <v>2156</v>
      </c>
      <c r="B93" s="64">
        <v>2.4700000000000002</v>
      </c>
      <c r="C93" s="64">
        <v>29.54</v>
      </c>
      <c r="D93" s="64">
        <v>17.329999999999998</v>
      </c>
      <c r="E93" s="64">
        <v>1.32</v>
      </c>
      <c r="F93" s="64">
        <v>4.24</v>
      </c>
      <c r="G93" s="64">
        <v>45.21</v>
      </c>
      <c r="H93" s="64">
        <v>23.18</v>
      </c>
      <c r="I93" s="64">
        <v>5.55</v>
      </c>
      <c r="J93" s="64">
        <v>0.71</v>
      </c>
      <c r="K93" s="64">
        <v>164.91</v>
      </c>
      <c r="L93" s="64">
        <v>28.19</v>
      </c>
      <c r="M93" s="64">
        <v>44.8</v>
      </c>
      <c r="N93" s="64">
        <v>14.9</v>
      </c>
      <c r="O93" s="64">
        <v>0</v>
      </c>
      <c r="P93" s="64">
        <v>0.43</v>
      </c>
      <c r="Q93" s="64">
        <v>9.23</v>
      </c>
      <c r="R93" s="198"/>
      <c r="S93" s="198"/>
      <c r="T93" s="198"/>
      <c r="U93" s="198"/>
    </row>
    <row r="94" spans="1:26" s="12" customFormat="1" x14ac:dyDescent="0.25">
      <c r="A94" s="214" t="s">
        <v>2157</v>
      </c>
      <c r="B94" s="64">
        <v>2.4</v>
      </c>
      <c r="C94" s="64">
        <v>29.29</v>
      </c>
      <c r="D94" s="64">
        <v>17.149999999999999</v>
      </c>
      <c r="E94" s="64">
        <v>0.88</v>
      </c>
      <c r="F94" s="64">
        <v>4.47</v>
      </c>
      <c r="G94" s="64">
        <v>45.21</v>
      </c>
      <c r="H94" s="64">
        <v>23.18</v>
      </c>
      <c r="I94" s="64">
        <v>5.63</v>
      </c>
      <c r="J94" s="64">
        <v>0.41</v>
      </c>
      <c r="K94" s="64">
        <v>205.98</v>
      </c>
      <c r="L94" s="64">
        <v>28.18</v>
      </c>
      <c r="M94" s="64">
        <v>45</v>
      </c>
      <c r="N94" s="64">
        <v>15</v>
      </c>
      <c r="O94" s="64">
        <v>0</v>
      </c>
      <c r="P94" s="64">
        <v>0.43</v>
      </c>
      <c r="Q94" s="64">
        <v>9.16</v>
      </c>
      <c r="R94" s="198"/>
      <c r="S94" s="198"/>
      <c r="T94" s="198"/>
      <c r="U94" s="198"/>
    </row>
    <row r="95" spans="1:26" s="12" customFormat="1" x14ac:dyDescent="0.25">
      <c r="A95" s="214" t="s">
        <v>2158</v>
      </c>
      <c r="B95" s="64">
        <v>2.56</v>
      </c>
      <c r="C95" s="64">
        <v>29.65</v>
      </c>
      <c r="D95" s="64">
        <v>17.46</v>
      </c>
      <c r="E95" s="64">
        <v>1.1000000000000001</v>
      </c>
      <c r="F95" s="64">
        <v>4.34</v>
      </c>
      <c r="G95" s="64">
        <v>45.21</v>
      </c>
      <c r="H95" s="64">
        <v>23.18</v>
      </c>
      <c r="I95" s="64">
        <v>5.53</v>
      </c>
      <c r="J95" s="64">
        <v>0.48</v>
      </c>
      <c r="K95" s="64">
        <v>175.75</v>
      </c>
      <c r="L95" s="64">
        <v>27.99</v>
      </c>
      <c r="M95" s="64">
        <v>47.22</v>
      </c>
      <c r="N95" s="64">
        <v>14.9</v>
      </c>
      <c r="O95" s="64">
        <v>0</v>
      </c>
      <c r="P95" s="64">
        <v>0.43</v>
      </c>
      <c r="Q95" s="64">
        <v>9.18</v>
      </c>
      <c r="R95" s="198"/>
      <c r="S95" s="198"/>
      <c r="T95" s="198"/>
      <c r="U95" s="198"/>
    </row>
    <row r="96" spans="1:26" s="12" customFormat="1" x14ac:dyDescent="0.25">
      <c r="A96" s="214" t="s">
        <v>2159</v>
      </c>
      <c r="B96" s="64">
        <v>2.83</v>
      </c>
      <c r="C96" s="64">
        <v>29.96</v>
      </c>
      <c r="D96" s="64">
        <v>17.850000000000001</v>
      </c>
      <c r="E96" s="64">
        <v>0.94</v>
      </c>
      <c r="F96" s="64">
        <v>4.03</v>
      </c>
      <c r="G96" s="64">
        <v>45.59</v>
      </c>
      <c r="H96" s="64">
        <v>23.14</v>
      </c>
      <c r="I96" s="64">
        <v>5.42</v>
      </c>
      <c r="J96" s="64">
        <v>0.2</v>
      </c>
      <c r="K96" s="64">
        <v>174.99</v>
      </c>
      <c r="L96" s="64">
        <v>27.86</v>
      </c>
      <c r="M96" s="64">
        <v>47.96</v>
      </c>
      <c r="N96" s="64">
        <v>15.3</v>
      </c>
      <c r="O96" s="64">
        <v>0</v>
      </c>
      <c r="P96" s="64">
        <v>0.44</v>
      </c>
      <c r="Q96" s="64">
        <v>9.2100000000000009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2160</v>
      </c>
      <c r="B97" s="64">
        <v>2.93</v>
      </c>
      <c r="C97" s="64">
        <v>30.36</v>
      </c>
      <c r="D97" s="64">
        <v>18.13</v>
      </c>
      <c r="E97" s="64">
        <v>0.96</v>
      </c>
      <c r="F97" s="64">
        <v>4.0199999999999996</v>
      </c>
      <c r="G97" s="64">
        <v>50.87</v>
      </c>
      <c r="H97" s="64">
        <v>22.49</v>
      </c>
      <c r="I97" s="64">
        <v>5.1100000000000003</v>
      </c>
      <c r="J97" s="64">
        <v>0.87</v>
      </c>
      <c r="K97" s="64">
        <v>155.69</v>
      </c>
      <c r="L97" s="64">
        <v>27.64</v>
      </c>
      <c r="M97" s="64">
        <v>48.36</v>
      </c>
      <c r="N97" s="64">
        <v>14.7</v>
      </c>
      <c r="O97" s="64">
        <v>0</v>
      </c>
      <c r="P97" s="64">
        <v>0.45</v>
      </c>
      <c r="Q97" s="64">
        <v>9.19</v>
      </c>
      <c r="R97" s="198"/>
      <c r="S97" s="198"/>
      <c r="T97" s="198"/>
      <c r="U97" s="198"/>
    </row>
    <row r="98" spans="1:33" s="12" customFormat="1" x14ac:dyDescent="0.25">
      <c r="A98" s="214" t="s">
        <v>2161</v>
      </c>
      <c r="B98" s="64">
        <v>3.05</v>
      </c>
      <c r="C98" s="64">
        <v>30.56</v>
      </c>
      <c r="D98" s="64">
        <v>18.329999999999998</v>
      </c>
      <c r="E98" s="64">
        <v>1.04</v>
      </c>
      <c r="F98" s="64">
        <v>4.16</v>
      </c>
      <c r="G98" s="64">
        <v>50.87</v>
      </c>
      <c r="H98" s="64">
        <v>22.49</v>
      </c>
      <c r="I98" s="64">
        <v>5.32</v>
      </c>
      <c r="J98" s="64">
        <v>1.31</v>
      </c>
      <c r="K98" s="64">
        <v>167.06</v>
      </c>
      <c r="L98" s="64">
        <v>27.69</v>
      </c>
      <c r="M98" s="64">
        <v>46.09</v>
      </c>
      <c r="N98" s="64">
        <v>14.4</v>
      </c>
      <c r="O98" s="64">
        <v>0</v>
      </c>
      <c r="P98" s="64">
        <v>0.45</v>
      </c>
      <c r="Q98" s="64">
        <v>9.2100000000000009</v>
      </c>
      <c r="R98" s="198"/>
      <c r="S98" s="198"/>
      <c r="T98" s="198"/>
      <c r="U98" s="198"/>
    </row>
    <row r="99" spans="1:33" s="12" customFormat="1" x14ac:dyDescent="0.25">
      <c r="A99" s="214" t="s">
        <v>2162</v>
      </c>
      <c r="B99" s="64">
        <v>2.9</v>
      </c>
      <c r="C99" s="64">
        <v>30.4</v>
      </c>
      <c r="D99" s="64">
        <v>18.12</v>
      </c>
      <c r="E99" s="64">
        <v>0.81</v>
      </c>
      <c r="F99" s="64">
        <v>4.37</v>
      </c>
      <c r="G99" s="64">
        <v>50.87</v>
      </c>
      <c r="H99" s="64">
        <v>22.49</v>
      </c>
      <c r="I99" s="64">
        <v>5.35</v>
      </c>
      <c r="J99" s="64">
        <v>0.63</v>
      </c>
      <c r="K99" s="64">
        <v>181.25</v>
      </c>
      <c r="L99" s="64">
        <v>27.71</v>
      </c>
      <c r="M99" s="64">
        <v>44.53</v>
      </c>
      <c r="N99" s="64">
        <v>15</v>
      </c>
      <c r="O99" s="64">
        <v>0</v>
      </c>
      <c r="P99" s="64">
        <v>0.44</v>
      </c>
      <c r="Q99" s="64">
        <v>9.17</v>
      </c>
      <c r="R99" s="198"/>
      <c r="S99" s="198"/>
      <c r="T99" s="198"/>
      <c r="U99" s="198"/>
    </row>
    <row r="100" spans="1:33" s="12" customFormat="1" x14ac:dyDescent="0.25">
      <c r="A100" s="214" t="s">
        <v>2163</v>
      </c>
      <c r="B100" s="64">
        <v>2.61</v>
      </c>
      <c r="C100" s="64">
        <v>29.75</v>
      </c>
      <c r="D100" s="64">
        <v>17.559999999999999</v>
      </c>
      <c r="E100" s="64">
        <v>0.91</v>
      </c>
      <c r="F100" s="64">
        <v>4.42</v>
      </c>
      <c r="G100" s="64">
        <v>50.11</v>
      </c>
      <c r="H100" s="64">
        <v>22.23</v>
      </c>
      <c r="I100" s="64">
        <v>5.34</v>
      </c>
      <c r="J100" s="64">
        <v>1.07</v>
      </c>
      <c r="K100" s="64">
        <v>156.29</v>
      </c>
      <c r="L100" s="64">
        <v>27.58</v>
      </c>
      <c r="M100" s="64">
        <v>43.61</v>
      </c>
      <c r="N100" s="64">
        <v>15</v>
      </c>
      <c r="O100" s="64">
        <v>0</v>
      </c>
      <c r="P100" s="64">
        <v>0.43</v>
      </c>
      <c r="Q100" s="64">
        <v>9.18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2164</v>
      </c>
      <c r="B101" s="64">
        <v>2.4300000000000002</v>
      </c>
      <c r="C101" s="64">
        <v>30.9</v>
      </c>
      <c r="D101" s="64">
        <v>18.02</v>
      </c>
      <c r="E101" s="64">
        <v>0.8</v>
      </c>
      <c r="F101" s="64">
        <v>4.33</v>
      </c>
      <c r="G101" s="64">
        <v>39.549999999999997</v>
      </c>
      <c r="H101" s="64">
        <v>18.510000000000002</v>
      </c>
      <c r="I101" s="64">
        <v>5.15</v>
      </c>
      <c r="J101" s="64">
        <v>0.48</v>
      </c>
      <c r="K101" s="64">
        <v>187.9</v>
      </c>
      <c r="L101" s="64">
        <v>27.45</v>
      </c>
      <c r="M101" s="64">
        <v>43</v>
      </c>
      <c r="N101" s="64">
        <v>15.1</v>
      </c>
      <c r="O101" s="64">
        <v>0</v>
      </c>
      <c r="P101" s="64">
        <v>0.42</v>
      </c>
      <c r="Q101" s="64">
        <v>9.17</v>
      </c>
      <c r="R101" s="198"/>
      <c r="S101" s="198"/>
      <c r="T101" s="198"/>
      <c r="U101" s="198"/>
    </row>
    <row r="102" spans="1:33" s="12" customFormat="1" x14ac:dyDescent="0.25">
      <c r="A102" s="214" t="s">
        <v>2165</v>
      </c>
      <c r="B102" s="64">
        <v>2.37</v>
      </c>
      <c r="C102" s="64">
        <v>30.74</v>
      </c>
      <c r="D102" s="64">
        <v>17.88</v>
      </c>
      <c r="E102" s="64">
        <v>0.62</v>
      </c>
      <c r="F102" s="64">
        <v>4.33</v>
      </c>
      <c r="G102" s="64">
        <v>39.549999999999997</v>
      </c>
      <c r="H102" s="64">
        <v>18.510000000000002</v>
      </c>
      <c r="I102" s="64">
        <v>4.9800000000000004</v>
      </c>
      <c r="J102" s="64">
        <v>0.46</v>
      </c>
      <c r="K102" s="64">
        <v>193.05</v>
      </c>
      <c r="L102" s="64">
        <v>27.19</v>
      </c>
      <c r="M102" s="64">
        <v>43.64</v>
      </c>
      <c r="N102" s="64">
        <v>15.2</v>
      </c>
      <c r="O102" s="64">
        <v>0</v>
      </c>
      <c r="P102" s="64">
        <v>0.41</v>
      </c>
      <c r="Q102" s="64">
        <v>9.14</v>
      </c>
      <c r="R102" s="198"/>
      <c r="S102" s="198"/>
      <c r="T102" s="198"/>
      <c r="U102" s="198"/>
    </row>
    <row r="103" spans="1:33" s="12" customFormat="1" x14ac:dyDescent="0.25">
      <c r="A103" s="214" t="s">
        <v>2166</v>
      </c>
      <c r="B103" s="64">
        <v>2.4300000000000002</v>
      </c>
      <c r="C103" s="64">
        <v>30.32</v>
      </c>
      <c r="D103" s="64">
        <v>17.71</v>
      </c>
      <c r="E103" s="64">
        <v>0.9</v>
      </c>
      <c r="F103" s="64">
        <v>4.13</v>
      </c>
      <c r="G103" s="64">
        <v>39.549999999999997</v>
      </c>
      <c r="H103" s="64">
        <v>18.510000000000002</v>
      </c>
      <c r="I103" s="64">
        <v>5.18</v>
      </c>
      <c r="J103" s="64">
        <v>0.35</v>
      </c>
      <c r="K103" s="64">
        <v>187.68</v>
      </c>
      <c r="L103" s="64">
        <v>26.98</v>
      </c>
      <c r="M103" s="64">
        <v>44.55</v>
      </c>
      <c r="N103" s="64">
        <v>15.1</v>
      </c>
      <c r="O103" s="64">
        <v>0</v>
      </c>
      <c r="P103" s="64">
        <v>0.4</v>
      </c>
      <c r="Q103" s="64">
        <v>9.24</v>
      </c>
      <c r="R103" s="198"/>
      <c r="S103" s="198"/>
      <c r="T103" s="198"/>
      <c r="U103" s="198"/>
    </row>
    <row r="104" spans="1:33" s="12" customFormat="1" x14ac:dyDescent="0.25">
      <c r="A104" s="214" t="s">
        <v>2167</v>
      </c>
      <c r="B104" s="64">
        <v>2.5</v>
      </c>
      <c r="C104" s="64">
        <v>30.06</v>
      </c>
      <c r="D104" s="64">
        <v>17.63</v>
      </c>
      <c r="E104" s="64">
        <v>1.66</v>
      </c>
      <c r="F104" s="64">
        <v>4.16</v>
      </c>
      <c r="G104" s="64">
        <v>38.5</v>
      </c>
      <c r="H104" s="64">
        <v>18.36</v>
      </c>
      <c r="I104" s="64">
        <v>5.17</v>
      </c>
      <c r="J104" s="64">
        <v>0.49</v>
      </c>
      <c r="K104" s="64">
        <v>194.9</v>
      </c>
      <c r="L104" s="64">
        <v>26.69</v>
      </c>
      <c r="M104" s="64">
        <v>45.9</v>
      </c>
      <c r="N104" s="64">
        <v>15</v>
      </c>
      <c r="O104" s="64">
        <v>0</v>
      </c>
      <c r="P104" s="64">
        <v>0.4</v>
      </c>
      <c r="Q104" s="64">
        <v>9.17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0.89</v>
      </c>
      <c r="C106" s="67">
        <f>MIN(C9:C104)</f>
        <v>29.29</v>
      </c>
      <c r="D106" s="67">
        <f t="shared" ref="D106:Q106" si="0">MIN(D9:D104)</f>
        <v>16.5</v>
      </c>
      <c r="E106" s="67">
        <f t="shared" si="0"/>
        <v>0.51</v>
      </c>
      <c r="F106" s="67">
        <f t="shared" si="0"/>
        <v>2.99</v>
      </c>
      <c r="G106" s="67">
        <f t="shared" si="0"/>
        <v>16.98</v>
      </c>
      <c r="H106" s="67">
        <f t="shared" si="0"/>
        <v>17.3</v>
      </c>
      <c r="I106" s="67">
        <f t="shared" si="0"/>
        <v>4.9800000000000004</v>
      </c>
      <c r="J106" s="67">
        <f t="shared" si="0"/>
        <v>0.01</v>
      </c>
      <c r="K106" s="67">
        <f t="shared" si="0"/>
        <v>2.27</v>
      </c>
      <c r="L106" s="67">
        <f t="shared" si="0"/>
        <v>24.43</v>
      </c>
      <c r="M106" s="67">
        <f t="shared" si="0"/>
        <v>15.32</v>
      </c>
      <c r="N106" s="67">
        <f t="shared" si="0"/>
        <v>14.1</v>
      </c>
      <c r="O106" s="67">
        <f t="shared" si="0"/>
        <v>0</v>
      </c>
      <c r="P106" s="67">
        <f t="shared" si="0"/>
        <v>0.36</v>
      </c>
      <c r="Q106" s="67">
        <f t="shared" si="0"/>
        <v>9.11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55.19</v>
      </c>
      <c r="C107" s="66">
        <f t="shared" ref="C107:Q107" si="1">MAX(C9:C104)</f>
        <v>50.58</v>
      </c>
      <c r="D107" s="66">
        <f t="shared" si="1"/>
        <v>67.91</v>
      </c>
      <c r="E107" s="66">
        <f t="shared" si="1"/>
        <v>3.1</v>
      </c>
      <c r="F107" s="66">
        <f t="shared" si="1"/>
        <v>17.239999999999998</v>
      </c>
      <c r="G107" s="66">
        <f t="shared" si="1"/>
        <v>177.16</v>
      </c>
      <c r="H107" s="66">
        <f t="shared" si="1"/>
        <v>29.49</v>
      </c>
      <c r="I107" s="66">
        <f t="shared" si="1"/>
        <v>10.050000000000001</v>
      </c>
      <c r="J107" s="66">
        <f t="shared" si="1"/>
        <v>2.33</v>
      </c>
      <c r="K107" s="66">
        <f t="shared" si="1"/>
        <v>359.76</v>
      </c>
      <c r="L107" s="66">
        <f t="shared" si="1"/>
        <v>39.26</v>
      </c>
      <c r="M107" s="66">
        <f t="shared" si="1"/>
        <v>62.65</v>
      </c>
      <c r="N107" s="66">
        <f t="shared" si="1"/>
        <v>867.4</v>
      </c>
      <c r="O107" s="66">
        <f t="shared" si="1"/>
        <v>0</v>
      </c>
      <c r="P107" s="66">
        <f t="shared" si="1"/>
        <v>1.37</v>
      </c>
      <c r="Q107" s="66">
        <f t="shared" si="1"/>
        <v>9.85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17.188645833333329</v>
      </c>
      <c r="C108" s="67">
        <f t="shared" ref="C108:Q108" si="2">AVERAGE(C9:C104)</f>
        <v>39.03489583333333</v>
      </c>
      <c r="D108" s="67">
        <f t="shared" si="2"/>
        <v>34.098229166666655</v>
      </c>
      <c r="E108" s="67">
        <f t="shared" si="2"/>
        <v>1.9663541666666662</v>
      </c>
      <c r="F108" s="67">
        <f t="shared" si="2"/>
        <v>5.527916666666667</v>
      </c>
      <c r="G108" s="67">
        <f t="shared" si="2"/>
        <v>63.218020833333348</v>
      </c>
      <c r="H108" s="67">
        <f t="shared" si="2"/>
        <v>23.233645833333323</v>
      </c>
      <c r="I108" s="67">
        <f t="shared" si="2"/>
        <v>7.685624999999999</v>
      </c>
      <c r="J108" s="67">
        <f t="shared" si="2"/>
        <v>0.46364583333333331</v>
      </c>
      <c r="K108" s="67">
        <f t="shared" si="2"/>
        <v>195.90270833333338</v>
      </c>
      <c r="L108" s="67">
        <f t="shared" si="2"/>
        <v>30.863854166666655</v>
      </c>
      <c r="M108" s="67">
        <f t="shared" si="2"/>
        <v>37.323333333333352</v>
      </c>
      <c r="N108" s="67">
        <f t="shared" si="2"/>
        <v>247.171875</v>
      </c>
      <c r="O108" s="67">
        <f t="shared" si="2"/>
        <v>0</v>
      </c>
      <c r="P108" s="67">
        <f t="shared" si="2"/>
        <v>0.6277083333333332</v>
      </c>
      <c r="Q108" s="67">
        <f t="shared" si="2"/>
        <v>9.3347916666666677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19.542060529173416</v>
      </c>
      <c r="C109" s="67">
        <f t="shared" ref="C109:Q109" si="3">STDEV(C9:C104)</f>
        <v>5.8279022125943625</v>
      </c>
      <c r="D109" s="67">
        <f t="shared" si="3"/>
        <v>17.838624150084645</v>
      </c>
      <c r="E109" s="67">
        <f t="shared" si="3"/>
        <v>0.65677059968762241</v>
      </c>
      <c r="F109" s="67">
        <f t="shared" si="3"/>
        <v>2.6003477162898854</v>
      </c>
      <c r="G109" s="67">
        <f t="shared" si="3"/>
        <v>33.075482082488776</v>
      </c>
      <c r="H109" s="67">
        <f t="shared" si="3"/>
        <v>3.2174210397352336</v>
      </c>
      <c r="I109" s="67">
        <f t="shared" si="3"/>
        <v>1.4784862902733766</v>
      </c>
      <c r="J109" s="67">
        <f t="shared" si="3"/>
        <v>0.38237242741287469</v>
      </c>
      <c r="K109" s="67">
        <f t="shared" si="3"/>
        <v>75.986831483510912</v>
      </c>
      <c r="L109" s="67">
        <f t="shared" si="3"/>
        <v>4.6366159097232744</v>
      </c>
      <c r="M109" s="67">
        <f t="shared" si="3"/>
        <v>13.713259865558936</v>
      </c>
      <c r="N109" s="67">
        <f t="shared" si="3"/>
        <v>316.93254593736827</v>
      </c>
      <c r="O109" s="67">
        <f t="shared" si="3"/>
        <v>0</v>
      </c>
      <c r="P109" s="67">
        <f t="shared" si="3"/>
        <v>0.27479170740060671</v>
      </c>
      <c r="Q109" s="67">
        <f t="shared" si="3"/>
        <v>0.20795738008020917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2168</v>
      </c>
      <c r="B9" s="64">
        <v>2.54</v>
      </c>
      <c r="C9" s="64">
        <v>30.01</v>
      </c>
      <c r="D9" s="64">
        <v>17.64</v>
      </c>
      <c r="E9" s="64">
        <v>1.96</v>
      </c>
      <c r="F9" s="64">
        <v>4.24</v>
      </c>
      <c r="G9" s="64">
        <v>23.83</v>
      </c>
      <c r="H9" s="64">
        <v>16.18</v>
      </c>
      <c r="I9" s="64">
        <v>5.27</v>
      </c>
      <c r="J9" s="64">
        <v>0.28000000000000003</v>
      </c>
      <c r="K9" s="64">
        <v>206.57</v>
      </c>
      <c r="L9" s="64">
        <v>26.41</v>
      </c>
      <c r="M9" s="64">
        <v>48.04</v>
      </c>
      <c r="N9" s="64">
        <v>15.2</v>
      </c>
      <c r="O9" s="64">
        <v>0</v>
      </c>
      <c r="P9" s="64">
        <v>0.38</v>
      </c>
      <c r="Q9" s="64">
        <v>9.16</v>
      </c>
      <c r="R9" s="198"/>
      <c r="S9" s="198"/>
      <c r="T9" s="198"/>
      <c r="U9" s="198"/>
    </row>
    <row r="10" spans="1:21" s="12" customFormat="1" x14ac:dyDescent="0.25">
      <c r="A10" s="214" t="s">
        <v>2169</v>
      </c>
      <c r="B10" s="64">
        <v>2.5</v>
      </c>
      <c r="C10" s="64">
        <v>29.91</v>
      </c>
      <c r="D10" s="64">
        <v>17.55</v>
      </c>
      <c r="E10" s="64">
        <v>2.08</v>
      </c>
      <c r="F10" s="64">
        <v>4.25</v>
      </c>
      <c r="G10" s="64">
        <v>23.83</v>
      </c>
      <c r="H10" s="64">
        <v>16.18</v>
      </c>
      <c r="I10" s="64">
        <v>5.2</v>
      </c>
      <c r="J10" s="64">
        <v>0.44</v>
      </c>
      <c r="K10" s="64">
        <v>217.93</v>
      </c>
      <c r="L10" s="64">
        <v>26.09</v>
      </c>
      <c r="M10" s="64">
        <v>49.57</v>
      </c>
      <c r="N10" s="64">
        <v>15.1</v>
      </c>
      <c r="O10" s="64">
        <v>0</v>
      </c>
      <c r="P10" s="64">
        <v>0.38</v>
      </c>
      <c r="Q10" s="64">
        <v>9.2100000000000009</v>
      </c>
      <c r="R10" s="198"/>
      <c r="S10" s="198"/>
      <c r="T10" s="198"/>
      <c r="U10" s="198"/>
    </row>
    <row r="11" spans="1:21" s="12" customFormat="1" x14ac:dyDescent="0.25">
      <c r="A11" s="214" t="s">
        <v>2170</v>
      </c>
      <c r="B11" s="64">
        <v>2.5099999999999998</v>
      </c>
      <c r="C11" s="64">
        <v>29.05</v>
      </c>
      <c r="D11" s="64">
        <v>17.12</v>
      </c>
      <c r="E11" s="64">
        <v>1.9</v>
      </c>
      <c r="F11" s="64">
        <v>4.18</v>
      </c>
      <c r="G11" s="64">
        <v>23.83</v>
      </c>
      <c r="H11" s="64">
        <v>16.18</v>
      </c>
      <c r="I11" s="64">
        <v>5.18</v>
      </c>
      <c r="J11" s="64">
        <v>0.45</v>
      </c>
      <c r="K11" s="64">
        <v>204.78</v>
      </c>
      <c r="L11" s="64">
        <v>25.85</v>
      </c>
      <c r="M11" s="64">
        <v>50.9</v>
      </c>
      <c r="N11" s="64">
        <v>14.9</v>
      </c>
      <c r="O11" s="64">
        <v>0</v>
      </c>
      <c r="P11" s="64">
        <v>0.37</v>
      </c>
      <c r="Q11" s="64">
        <v>9.16</v>
      </c>
      <c r="R11" s="198"/>
      <c r="S11" s="198"/>
      <c r="T11" s="198"/>
      <c r="U11" s="198"/>
    </row>
    <row r="12" spans="1:21" s="12" customFormat="1" x14ac:dyDescent="0.25">
      <c r="A12" s="214" t="s">
        <v>2171</v>
      </c>
      <c r="B12" s="64">
        <v>2.54</v>
      </c>
      <c r="C12" s="64">
        <v>28.63</v>
      </c>
      <c r="D12" s="64">
        <v>16.91</v>
      </c>
      <c r="E12" s="64">
        <v>2.17</v>
      </c>
      <c r="F12" s="64">
        <v>3.99</v>
      </c>
      <c r="G12" s="64">
        <v>23.75</v>
      </c>
      <c r="H12" s="64">
        <v>15.91</v>
      </c>
      <c r="I12" s="64">
        <v>5.22</v>
      </c>
      <c r="J12" s="64">
        <v>0.25</v>
      </c>
      <c r="K12" s="64">
        <v>210.08</v>
      </c>
      <c r="L12" s="64">
        <v>25.81</v>
      </c>
      <c r="M12" s="64">
        <v>51.79</v>
      </c>
      <c r="N12" s="64">
        <v>14.9</v>
      </c>
      <c r="O12" s="64">
        <v>0</v>
      </c>
      <c r="P12" s="64">
        <v>0.36</v>
      </c>
      <c r="Q12" s="64">
        <v>9.1999999999999993</v>
      </c>
      <c r="R12" s="198"/>
      <c r="S12" s="198"/>
      <c r="T12" s="198"/>
      <c r="U12" s="198"/>
    </row>
    <row r="13" spans="1:21" s="12" customFormat="1" x14ac:dyDescent="0.25">
      <c r="A13" s="214" t="s">
        <v>2172</v>
      </c>
      <c r="B13" s="64">
        <v>2.63</v>
      </c>
      <c r="C13" s="64">
        <v>30.21</v>
      </c>
      <c r="D13" s="64">
        <v>17.82</v>
      </c>
      <c r="E13" s="64">
        <v>1.98</v>
      </c>
      <c r="F13" s="64">
        <v>4.0599999999999996</v>
      </c>
      <c r="G13" s="64">
        <v>22.52</v>
      </c>
      <c r="H13" s="64">
        <v>12.14</v>
      </c>
      <c r="I13" s="64">
        <v>5.33</v>
      </c>
      <c r="J13" s="64">
        <v>0.15</v>
      </c>
      <c r="K13" s="64">
        <v>247.78</v>
      </c>
      <c r="L13" s="64">
        <v>25.56</v>
      </c>
      <c r="M13" s="64">
        <v>53.57</v>
      </c>
      <c r="N13" s="64">
        <v>15.2</v>
      </c>
      <c r="O13" s="64">
        <v>0</v>
      </c>
      <c r="P13" s="64">
        <v>0.39</v>
      </c>
      <c r="Q13" s="64">
        <v>9.18</v>
      </c>
      <c r="R13" s="198"/>
      <c r="S13" s="198"/>
      <c r="T13" s="198"/>
      <c r="U13" s="198"/>
    </row>
    <row r="14" spans="1:21" s="12" customFormat="1" x14ac:dyDescent="0.25">
      <c r="A14" s="214" t="s">
        <v>2173</v>
      </c>
      <c r="B14" s="64">
        <v>2.54</v>
      </c>
      <c r="C14" s="64">
        <v>28.35</v>
      </c>
      <c r="D14" s="64">
        <v>16.760000000000002</v>
      </c>
      <c r="E14" s="64">
        <v>1.71</v>
      </c>
      <c r="F14" s="64">
        <v>4.0999999999999996</v>
      </c>
      <c r="G14" s="64">
        <v>22.52</v>
      </c>
      <c r="H14" s="64">
        <v>12.14</v>
      </c>
      <c r="I14" s="64">
        <v>5.41</v>
      </c>
      <c r="J14" s="64">
        <v>0.23</v>
      </c>
      <c r="K14" s="64">
        <v>223.52</v>
      </c>
      <c r="L14" s="64">
        <v>25.35</v>
      </c>
      <c r="M14" s="64">
        <v>54.66</v>
      </c>
      <c r="N14" s="64">
        <v>15</v>
      </c>
      <c r="O14" s="64">
        <v>0</v>
      </c>
      <c r="P14" s="64">
        <v>0.42</v>
      </c>
      <c r="Q14" s="64">
        <v>9.17</v>
      </c>
      <c r="R14" s="198"/>
      <c r="S14" s="198"/>
      <c r="T14" s="198"/>
      <c r="U14" s="198"/>
    </row>
    <row r="15" spans="1:21" s="12" customFormat="1" x14ac:dyDescent="0.25">
      <c r="A15" s="214" t="s">
        <v>2174</v>
      </c>
      <c r="B15" s="64">
        <v>2.4500000000000002</v>
      </c>
      <c r="C15" s="64">
        <v>26.95</v>
      </c>
      <c r="D15" s="64">
        <v>15.96</v>
      </c>
      <c r="E15" s="64">
        <v>1.81</v>
      </c>
      <c r="F15" s="64">
        <v>4.09</v>
      </c>
      <c r="G15" s="64">
        <v>22.52</v>
      </c>
      <c r="H15" s="64">
        <v>12.14</v>
      </c>
      <c r="I15" s="64">
        <v>5.23</v>
      </c>
      <c r="J15" s="64">
        <v>0.22</v>
      </c>
      <c r="K15" s="64">
        <v>229.86</v>
      </c>
      <c r="L15" s="64">
        <v>25.28</v>
      </c>
      <c r="M15" s="64">
        <v>55.06</v>
      </c>
      <c r="N15" s="64">
        <v>14.9</v>
      </c>
      <c r="O15" s="64">
        <v>0</v>
      </c>
      <c r="P15" s="64">
        <v>0.41</v>
      </c>
      <c r="Q15" s="64">
        <v>9.18</v>
      </c>
      <c r="R15" s="198"/>
      <c r="S15" s="198"/>
      <c r="T15" s="198"/>
      <c r="U15" s="198"/>
    </row>
    <row r="16" spans="1:21" s="12" customFormat="1" x14ac:dyDescent="0.25">
      <c r="A16" s="214" t="s">
        <v>2175</v>
      </c>
      <c r="B16" s="64">
        <v>2.3199999999999998</v>
      </c>
      <c r="C16" s="64">
        <v>26.33</v>
      </c>
      <c r="D16" s="64">
        <v>15.54</v>
      </c>
      <c r="E16" s="64">
        <v>1.72</v>
      </c>
      <c r="F16" s="64">
        <v>4.3099999999999996</v>
      </c>
      <c r="G16" s="64">
        <v>22.62</v>
      </c>
      <c r="H16" s="64">
        <v>12.12</v>
      </c>
      <c r="I16" s="64">
        <v>5.13</v>
      </c>
      <c r="J16" s="64">
        <v>0.18</v>
      </c>
      <c r="K16" s="64">
        <v>228.38</v>
      </c>
      <c r="L16" s="64">
        <v>25.27</v>
      </c>
      <c r="M16" s="64">
        <v>55.47</v>
      </c>
      <c r="N16" s="64">
        <v>14.9</v>
      </c>
      <c r="O16" s="64">
        <v>0</v>
      </c>
      <c r="P16" s="64">
        <v>0.4</v>
      </c>
      <c r="Q16" s="64">
        <v>9.17</v>
      </c>
      <c r="R16" s="198"/>
      <c r="S16" s="198"/>
      <c r="T16" s="198"/>
      <c r="U16" s="198"/>
    </row>
    <row r="17" spans="1:21" s="12" customFormat="1" x14ac:dyDescent="0.25">
      <c r="A17" s="214" t="s">
        <v>2176</v>
      </c>
      <c r="B17" s="64">
        <v>2.2799999999999998</v>
      </c>
      <c r="C17" s="64">
        <v>26.08</v>
      </c>
      <c r="D17" s="64">
        <v>15.38</v>
      </c>
      <c r="E17" s="64">
        <v>1.81</v>
      </c>
      <c r="F17" s="64">
        <v>4.4800000000000004</v>
      </c>
      <c r="G17" s="64">
        <v>24.01</v>
      </c>
      <c r="H17" s="64">
        <v>11.91</v>
      </c>
      <c r="I17" s="64">
        <v>5.01</v>
      </c>
      <c r="J17" s="64">
        <v>0.18</v>
      </c>
      <c r="K17" s="64">
        <v>323.27999999999997</v>
      </c>
      <c r="L17" s="64">
        <v>25.09</v>
      </c>
      <c r="M17" s="64">
        <v>56.85</v>
      </c>
      <c r="N17" s="64">
        <v>15.4</v>
      </c>
      <c r="O17" s="64">
        <v>0</v>
      </c>
      <c r="P17" s="64">
        <v>0.39</v>
      </c>
      <c r="Q17" s="64">
        <v>9.2100000000000009</v>
      </c>
      <c r="R17" s="198"/>
      <c r="S17" s="198"/>
      <c r="T17" s="198"/>
      <c r="U17" s="198"/>
    </row>
    <row r="18" spans="1:21" s="12" customFormat="1" x14ac:dyDescent="0.25">
      <c r="A18" s="214" t="s">
        <v>2177</v>
      </c>
      <c r="B18" s="64">
        <v>2.25</v>
      </c>
      <c r="C18" s="64">
        <v>26.17</v>
      </c>
      <c r="D18" s="64">
        <v>15.4</v>
      </c>
      <c r="E18" s="64">
        <v>1.7</v>
      </c>
      <c r="F18" s="64">
        <v>4.71</v>
      </c>
      <c r="G18" s="64">
        <v>24.01</v>
      </c>
      <c r="H18" s="64">
        <v>11.91</v>
      </c>
      <c r="I18" s="64">
        <v>4.7699999999999996</v>
      </c>
      <c r="J18" s="64">
        <v>0.23</v>
      </c>
      <c r="K18" s="64">
        <v>321.04000000000002</v>
      </c>
      <c r="L18" s="64">
        <v>24.87</v>
      </c>
      <c r="M18" s="64">
        <v>57.9</v>
      </c>
      <c r="N18" s="64">
        <v>15</v>
      </c>
      <c r="O18" s="64">
        <v>0</v>
      </c>
      <c r="P18" s="64">
        <v>0.39</v>
      </c>
      <c r="Q18" s="64">
        <v>9.18</v>
      </c>
      <c r="R18" s="198"/>
      <c r="S18" s="198"/>
      <c r="T18" s="198"/>
      <c r="U18" s="198"/>
    </row>
    <row r="19" spans="1:21" s="12" customFormat="1" x14ac:dyDescent="0.25">
      <c r="A19" s="214" t="s">
        <v>2178</v>
      </c>
      <c r="B19" s="64">
        <v>2.2999999999999998</v>
      </c>
      <c r="C19" s="64">
        <v>26.12</v>
      </c>
      <c r="D19" s="64">
        <v>15.41</v>
      </c>
      <c r="E19" s="64">
        <v>1.78</v>
      </c>
      <c r="F19" s="64">
        <v>4.28</v>
      </c>
      <c r="G19" s="64">
        <v>24.01</v>
      </c>
      <c r="H19" s="64">
        <v>11.91</v>
      </c>
      <c r="I19" s="64">
        <v>4.8099999999999996</v>
      </c>
      <c r="J19" s="64">
        <v>0.1</v>
      </c>
      <c r="K19" s="64">
        <v>298.41000000000003</v>
      </c>
      <c r="L19" s="64">
        <v>24.78</v>
      </c>
      <c r="M19" s="64">
        <v>57.34</v>
      </c>
      <c r="N19" s="64">
        <v>15</v>
      </c>
      <c r="O19" s="64">
        <v>0</v>
      </c>
      <c r="P19" s="64">
        <v>0.39</v>
      </c>
      <c r="Q19" s="64">
        <v>9.1300000000000008</v>
      </c>
      <c r="R19" s="198"/>
      <c r="S19" s="198"/>
      <c r="T19" s="198"/>
      <c r="U19" s="198"/>
    </row>
    <row r="20" spans="1:21" s="12" customFormat="1" x14ac:dyDescent="0.25">
      <c r="A20" s="214" t="s">
        <v>2179</v>
      </c>
      <c r="B20" s="64">
        <v>2.34</v>
      </c>
      <c r="C20" s="64">
        <v>25.87</v>
      </c>
      <c r="D20" s="64">
        <v>15.32</v>
      </c>
      <c r="E20" s="64">
        <v>1.66</v>
      </c>
      <c r="F20" s="64">
        <v>4.43</v>
      </c>
      <c r="G20" s="64">
        <v>23.84</v>
      </c>
      <c r="H20" s="64">
        <v>11.97</v>
      </c>
      <c r="I20" s="64">
        <v>4.9800000000000004</v>
      </c>
      <c r="J20" s="64">
        <v>0.28000000000000003</v>
      </c>
      <c r="K20" s="64">
        <v>221.54</v>
      </c>
      <c r="L20" s="64">
        <v>25.47</v>
      </c>
      <c r="M20" s="64">
        <v>53.08</v>
      </c>
      <c r="N20" s="64">
        <v>14.3</v>
      </c>
      <c r="O20" s="64">
        <v>0</v>
      </c>
      <c r="P20" s="64">
        <v>0.38</v>
      </c>
      <c r="Q20" s="64">
        <v>9.19</v>
      </c>
      <c r="R20" s="198"/>
      <c r="S20" s="198"/>
      <c r="T20" s="198"/>
      <c r="U20" s="198"/>
    </row>
    <row r="21" spans="1:21" s="12" customFormat="1" x14ac:dyDescent="0.25">
      <c r="A21" s="214" t="s">
        <v>2180</v>
      </c>
      <c r="B21" s="64">
        <v>2.34</v>
      </c>
      <c r="C21" s="64">
        <v>25.87</v>
      </c>
      <c r="D21" s="64">
        <v>15.32</v>
      </c>
      <c r="E21" s="64">
        <v>1.66</v>
      </c>
      <c r="F21" s="64">
        <v>4.43</v>
      </c>
      <c r="G21" s="64">
        <v>23.84</v>
      </c>
      <c r="H21" s="64">
        <v>11.97</v>
      </c>
      <c r="I21" s="64">
        <v>4.9800000000000004</v>
      </c>
      <c r="J21" s="64">
        <v>0.28000000000000003</v>
      </c>
      <c r="K21" s="64">
        <v>221.54</v>
      </c>
      <c r="L21" s="64">
        <v>25.47</v>
      </c>
      <c r="M21" s="64">
        <v>53.08</v>
      </c>
      <c r="N21" s="64">
        <v>14.3</v>
      </c>
      <c r="O21" s="64">
        <v>0</v>
      </c>
      <c r="P21" s="64">
        <v>0.38</v>
      </c>
      <c r="Q21" s="64">
        <v>9.19</v>
      </c>
      <c r="R21" s="198"/>
      <c r="S21" s="198"/>
      <c r="T21" s="198"/>
      <c r="U21" s="198"/>
    </row>
    <row r="22" spans="1:21" s="12" customFormat="1" x14ac:dyDescent="0.25">
      <c r="A22" s="214" t="s">
        <v>2181</v>
      </c>
      <c r="B22" s="64">
        <v>2.38</v>
      </c>
      <c r="C22" s="64">
        <v>26.1</v>
      </c>
      <c r="D22" s="64">
        <v>15.47</v>
      </c>
      <c r="E22" s="64">
        <v>1.92</v>
      </c>
      <c r="F22" s="64">
        <v>4.09</v>
      </c>
      <c r="G22" s="64">
        <v>20.94</v>
      </c>
      <c r="H22" s="64">
        <v>13.05</v>
      </c>
      <c r="I22" s="64">
        <v>4.8499999999999996</v>
      </c>
      <c r="J22" s="64">
        <v>0.09</v>
      </c>
      <c r="K22" s="64">
        <v>242.82</v>
      </c>
      <c r="L22" s="64">
        <v>25.86</v>
      </c>
      <c r="M22" s="64">
        <v>51</v>
      </c>
      <c r="N22" s="64">
        <v>14.9</v>
      </c>
      <c r="O22" s="64">
        <v>0</v>
      </c>
      <c r="P22" s="64">
        <v>0.37</v>
      </c>
      <c r="Q22" s="64">
        <v>9.1999999999999993</v>
      </c>
      <c r="R22" s="198"/>
      <c r="S22" s="198"/>
      <c r="T22" s="198"/>
      <c r="U22" s="198"/>
    </row>
    <row r="23" spans="1:21" s="12" customFormat="1" x14ac:dyDescent="0.25">
      <c r="A23" s="214" t="s">
        <v>2182</v>
      </c>
      <c r="B23" s="64">
        <v>2.38</v>
      </c>
      <c r="C23" s="64">
        <v>26.1</v>
      </c>
      <c r="D23" s="64">
        <v>15.47</v>
      </c>
      <c r="E23" s="64">
        <v>1.92</v>
      </c>
      <c r="F23" s="64">
        <v>4.09</v>
      </c>
      <c r="G23" s="64">
        <v>20.94</v>
      </c>
      <c r="H23" s="64">
        <v>13.05</v>
      </c>
      <c r="I23" s="64">
        <v>4.8499999999999996</v>
      </c>
      <c r="J23" s="64">
        <v>0.09</v>
      </c>
      <c r="K23" s="64">
        <v>242.82</v>
      </c>
      <c r="L23" s="64">
        <v>25.86</v>
      </c>
      <c r="M23" s="64">
        <v>51</v>
      </c>
      <c r="N23" s="64">
        <v>14.9</v>
      </c>
      <c r="O23" s="64">
        <v>0</v>
      </c>
      <c r="P23" s="64">
        <v>0.37</v>
      </c>
      <c r="Q23" s="64">
        <v>9.1999999999999993</v>
      </c>
      <c r="R23" s="198"/>
      <c r="S23" s="198"/>
      <c r="T23" s="198"/>
      <c r="U23" s="198"/>
    </row>
    <row r="24" spans="1:21" s="12" customFormat="1" x14ac:dyDescent="0.25">
      <c r="A24" s="214" t="s">
        <v>2183</v>
      </c>
      <c r="B24" s="64">
        <v>2.39</v>
      </c>
      <c r="C24" s="64">
        <v>25.74</v>
      </c>
      <c r="D24" s="64">
        <v>15.29</v>
      </c>
      <c r="E24" s="64">
        <v>0.64</v>
      </c>
      <c r="F24" s="64">
        <v>4.21</v>
      </c>
      <c r="G24" s="64">
        <v>21.29</v>
      </c>
      <c r="H24" s="64">
        <v>13.03</v>
      </c>
      <c r="I24" s="64">
        <v>4.92</v>
      </c>
      <c r="J24" s="64">
        <v>0.08</v>
      </c>
      <c r="K24" s="64">
        <v>6.36</v>
      </c>
      <c r="L24" s="64">
        <v>25.84</v>
      </c>
      <c r="M24" s="64">
        <v>51.76</v>
      </c>
      <c r="N24" s="64">
        <v>15</v>
      </c>
      <c r="O24" s="64">
        <v>0</v>
      </c>
      <c r="P24" s="64">
        <v>0.36</v>
      </c>
      <c r="Q24" s="64">
        <v>9.15</v>
      </c>
      <c r="R24" s="198"/>
      <c r="S24" s="198"/>
      <c r="T24" s="198"/>
      <c r="U24" s="198"/>
    </row>
    <row r="25" spans="1:21" s="12" customFormat="1" x14ac:dyDescent="0.25">
      <c r="A25" s="214" t="s">
        <v>2184</v>
      </c>
      <c r="B25" s="64">
        <v>2.5499999999999998</v>
      </c>
      <c r="C25" s="64">
        <v>26.06</v>
      </c>
      <c r="D25" s="64">
        <v>15.58</v>
      </c>
      <c r="E25" s="64">
        <v>0.18</v>
      </c>
      <c r="F25" s="64">
        <v>4.18</v>
      </c>
      <c r="G25" s="64">
        <v>27.27</v>
      </c>
      <c r="H25" s="64">
        <v>12.69</v>
      </c>
      <c r="I25" s="64">
        <v>4.88</v>
      </c>
      <c r="J25" s="64">
        <v>0.22</v>
      </c>
      <c r="K25" s="64">
        <v>216.8</v>
      </c>
      <c r="L25" s="64">
        <v>25.84</v>
      </c>
      <c r="M25" s="64">
        <v>52</v>
      </c>
      <c r="N25" s="64">
        <v>14.6</v>
      </c>
      <c r="O25" s="64">
        <v>0</v>
      </c>
      <c r="P25" s="64">
        <v>0.36</v>
      </c>
      <c r="Q25" s="64">
        <v>9.1199999999999992</v>
      </c>
      <c r="R25" s="198"/>
      <c r="S25" s="198"/>
      <c r="T25" s="198"/>
      <c r="U25" s="198"/>
    </row>
    <row r="26" spans="1:21" s="12" customFormat="1" x14ac:dyDescent="0.25">
      <c r="A26" s="214" t="s">
        <v>2185</v>
      </c>
      <c r="B26" s="64">
        <v>2.75</v>
      </c>
      <c r="C26" s="64">
        <v>26.49</v>
      </c>
      <c r="D26" s="64">
        <v>15.97</v>
      </c>
      <c r="E26" s="64">
        <v>0.06</v>
      </c>
      <c r="F26" s="64">
        <v>4.05</v>
      </c>
      <c r="G26" s="64">
        <v>27.27</v>
      </c>
      <c r="H26" s="64">
        <v>12.69</v>
      </c>
      <c r="I26" s="64">
        <v>4.75</v>
      </c>
      <c r="J26" s="64">
        <v>0.46</v>
      </c>
      <c r="K26" s="64">
        <v>204.44</v>
      </c>
      <c r="L26" s="64">
        <v>25.81</v>
      </c>
      <c r="M26" s="64">
        <v>52.94</v>
      </c>
      <c r="N26" s="64">
        <v>14.7</v>
      </c>
      <c r="O26" s="64">
        <v>0</v>
      </c>
      <c r="P26" s="64">
        <v>0.36</v>
      </c>
      <c r="Q26" s="64">
        <v>9.16</v>
      </c>
      <c r="R26" s="198"/>
      <c r="S26" s="198"/>
      <c r="T26" s="198"/>
      <c r="U26" s="198"/>
    </row>
    <row r="27" spans="1:21" s="12" customFormat="1" x14ac:dyDescent="0.25">
      <c r="A27" s="214" t="s">
        <v>2186</v>
      </c>
      <c r="B27" s="64">
        <v>2.95</v>
      </c>
      <c r="C27" s="64">
        <v>26.44</v>
      </c>
      <c r="D27" s="64">
        <v>16.100000000000001</v>
      </c>
      <c r="E27" s="64">
        <v>0.46</v>
      </c>
      <c r="F27" s="64">
        <v>3.87</v>
      </c>
      <c r="G27" s="64">
        <v>27.27</v>
      </c>
      <c r="H27" s="64">
        <v>12.69</v>
      </c>
      <c r="I27" s="64">
        <v>4.6500000000000004</v>
      </c>
      <c r="J27" s="64">
        <v>0.42</v>
      </c>
      <c r="K27" s="64">
        <v>212.35</v>
      </c>
      <c r="L27" s="64">
        <v>25.43</v>
      </c>
      <c r="M27" s="64">
        <v>54.42</v>
      </c>
      <c r="N27" s="64">
        <v>15.1</v>
      </c>
      <c r="O27" s="64">
        <v>0</v>
      </c>
      <c r="P27" s="64">
        <v>0.36</v>
      </c>
      <c r="Q27" s="64">
        <v>9.18</v>
      </c>
      <c r="R27" s="198"/>
      <c r="S27" s="198"/>
      <c r="T27" s="198"/>
      <c r="U27" s="198"/>
    </row>
    <row r="28" spans="1:21" s="12" customFormat="1" x14ac:dyDescent="0.25">
      <c r="A28" s="214" t="s">
        <v>2187</v>
      </c>
      <c r="B28" s="64">
        <v>3.18</v>
      </c>
      <c r="C28" s="64">
        <v>26.64</v>
      </c>
      <c r="D28" s="64">
        <v>16.39</v>
      </c>
      <c r="E28" s="64">
        <v>0.23</v>
      </c>
      <c r="F28" s="64">
        <v>4.0599999999999996</v>
      </c>
      <c r="G28" s="64">
        <v>27.42</v>
      </c>
      <c r="H28" s="64">
        <v>12.58</v>
      </c>
      <c r="I28" s="64">
        <v>5.39</v>
      </c>
      <c r="J28" s="64">
        <v>0.26</v>
      </c>
      <c r="K28" s="64">
        <v>196.8</v>
      </c>
      <c r="L28" s="64">
        <v>25.16</v>
      </c>
      <c r="M28" s="64">
        <v>56.49</v>
      </c>
      <c r="N28" s="64">
        <v>15.4</v>
      </c>
      <c r="O28" s="64">
        <v>0</v>
      </c>
      <c r="P28" s="64">
        <v>0.36</v>
      </c>
      <c r="Q28" s="64">
        <v>9.17</v>
      </c>
      <c r="R28" s="198"/>
      <c r="S28" s="198"/>
      <c r="T28" s="198"/>
      <c r="U28" s="198"/>
    </row>
    <row r="29" spans="1:21" s="12" customFormat="1" x14ac:dyDescent="0.25">
      <c r="A29" s="214" t="s">
        <v>2188</v>
      </c>
      <c r="B29" s="64">
        <v>3.48</v>
      </c>
      <c r="C29" s="64">
        <v>27.04</v>
      </c>
      <c r="D29" s="64">
        <v>16.84</v>
      </c>
      <c r="E29" s="64">
        <v>0.16</v>
      </c>
      <c r="F29" s="64">
        <v>3.86</v>
      </c>
      <c r="G29" s="64">
        <v>29.51</v>
      </c>
      <c r="H29" s="64">
        <v>10.82</v>
      </c>
      <c r="I29" s="64">
        <v>5.54</v>
      </c>
      <c r="J29" s="64">
        <v>0.39</v>
      </c>
      <c r="K29" s="64">
        <v>211.95</v>
      </c>
      <c r="L29" s="64">
        <v>24.99</v>
      </c>
      <c r="M29" s="64">
        <v>57.49</v>
      </c>
      <c r="N29" s="64">
        <v>15.2</v>
      </c>
      <c r="O29" s="64">
        <v>0</v>
      </c>
      <c r="P29" s="64">
        <v>0.36</v>
      </c>
      <c r="Q29" s="64">
        <v>9.18</v>
      </c>
      <c r="R29" s="198"/>
      <c r="S29" s="198"/>
      <c r="T29" s="198"/>
      <c r="U29" s="198"/>
    </row>
    <row r="30" spans="1:21" s="12" customFormat="1" x14ac:dyDescent="0.25">
      <c r="A30" s="214" t="s">
        <v>2189</v>
      </c>
      <c r="B30" s="64">
        <v>3.74</v>
      </c>
      <c r="C30" s="64">
        <v>27.08</v>
      </c>
      <c r="D30" s="64">
        <v>17.07</v>
      </c>
      <c r="E30" s="64">
        <v>0.6</v>
      </c>
      <c r="F30" s="64">
        <v>3.51</v>
      </c>
      <c r="G30" s="64">
        <v>29.51</v>
      </c>
      <c r="H30" s="64">
        <v>10.82</v>
      </c>
      <c r="I30" s="64">
        <v>5.85</v>
      </c>
      <c r="J30" s="64">
        <v>0.39</v>
      </c>
      <c r="K30" s="64">
        <v>203.54</v>
      </c>
      <c r="L30" s="64">
        <v>24.85</v>
      </c>
      <c r="M30" s="64">
        <v>59.65</v>
      </c>
      <c r="N30" s="64">
        <v>16.2</v>
      </c>
      <c r="O30" s="64">
        <v>0</v>
      </c>
      <c r="P30" s="64">
        <v>0.37</v>
      </c>
      <c r="Q30" s="64">
        <v>9.16</v>
      </c>
      <c r="R30" s="198"/>
      <c r="S30" s="198"/>
      <c r="T30" s="198"/>
      <c r="U30" s="198"/>
    </row>
    <row r="31" spans="1:21" s="12" customFormat="1" x14ac:dyDescent="0.25">
      <c r="A31" s="214" t="s">
        <v>2190</v>
      </c>
      <c r="B31" s="64">
        <v>4.01</v>
      </c>
      <c r="C31" s="64">
        <v>26.75</v>
      </c>
      <c r="D31" s="64">
        <v>17.11</v>
      </c>
      <c r="E31" s="64">
        <v>0.36</v>
      </c>
      <c r="F31" s="64">
        <v>3.71</v>
      </c>
      <c r="G31" s="64">
        <v>29.51</v>
      </c>
      <c r="H31" s="64">
        <v>10.82</v>
      </c>
      <c r="I31" s="64">
        <v>6.08</v>
      </c>
      <c r="J31" s="64">
        <v>0.34</v>
      </c>
      <c r="K31" s="64">
        <v>210.67</v>
      </c>
      <c r="L31" s="64">
        <v>24.62</v>
      </c>
      <c r="M31" s="64">
        <v>61.24</v>
      </c>
      <c r="N31" s="64">
        <v>20</v>
      </c>
      <c r="O31" s="64">
        <v>0</v>
      </c>
      <c r="P31" s="64">
        <v>0.37</v>
      </c>
      <c r="Q31" s="64">
        <v>9.17</v>
      </c>
      <c r="R31" s="198"/>
      <c r="S31" s="198"/>
      <c r="T31" s="198"/>
      <c r="U31" s="198"/>
    </row>
    <row r="32" spans="1:21" s="12" customFormat="1" x14ac:dyDescent="0.25">
      <c r="A32" s="214" t="s">
        <v>2191</v>
      </c>
      <c r="B32" s="64">
        <v>4.2300000000000004</v>
      </c>
      <c r="C32" s="64">
        <v>26.63</v>
      </c>
      <c r="D32" s="64">
        <v>17.22</v>
      </c>
      <c r="E32" s="64">
        <v>0.17</v>
      </c>
      <c r="F32" s="64">
        <v>3.9</v>
      </c>
      <c r="G32" s="64">
        <v>29.86</v>
      </c>
      <c r="H32" s="64">
        <v>10.96</v>
      </c>
      <c r="I32" s="64">
        <v>6.32</v>
      </c>
      <c r="J32" s="64">
        <v>0.2</v>
      </c>
      <c r="K32" s="64">
        <v>214.21</v>
      </c>
      <c r="L32" s="64">
        <v>24.62</v>
      </c>
      <c r="M32" s="64">
        <v>61.46</v>
      </c>
      <c r="N32" s="64">
        <v>36.1</v>
      </c>
      <c r="O32" s="64">
        <v>0</v>
      </c>
      <c r="P32" s="64">
        <v>0.37</v>
      </c>
      <c r="Q32" s="64">
        <v>9.16</v>
      </c>
      <c r="R32" s="198"/>
      <c r="S32" s="198"/>
      <c r="T32" s="198"/>
      <c r="U32" s="198"/>
    </row>
    <row r="33" spans="1:21" s="12" customFormat="1" x14ac:dyDescent="0.25">
      <c r="A33" s="214" t="s">
        <v>2192</v>
      </c>
      <c r="B33" s="64">
        <v>4.3</v>
      </c>
      <c r="C33" s="64">
        <v>27.24</v>
      </c>
      <c r="D33" s="64">
        <v>17.600000000000001</v>
      </c>
      <c r="E33" s="64">
        <v>0.23</v>
      </c>
      <c r="F33" s="64">
        <v>3.8</v>
      </c>
      <c r="G33" s="64">
        <v>35.770000000000003</v>
      </c>
      <c r="H33" s="64">
        <v>13.26</v>
      </c>
      <c r="I33" s="64">
        <v>6.4</v>
      </c>
      <c r="J33" s="64">
        <v>0.21</v>
      </c>
      <c r="K33" s="64">
        <v>196.7</v>
      </c>
      <c r="L33" s="64">
        <v>25</v>
      </c>
      <c r="M33" s="64">
        <v>59.72</v>
      </c>
      <c r="N33" s="64">
        <v>63.5</v>
      </c>
      <c r="O33" s="64">
        <v>0</v>
      </c>
      <c r="P33" s="64">
        <v>0.38</v>
      </c>
      <c r="Q33" s="64">
        <v>9.14</v>
      </c>
      <c r="R33" s="198"/>
      <c r="S33" s="198"/>
      <c r="T33" s="198"/>
      <c r="U33" s="198"/>
    </row>
    <row r="34" spans="1:21" s="12" customFormat="1" x14ac:dyDescent="0.25">
      <c r="A34" s="214" t="s">
        <v>2193</v>
      </c>
      <c r="B34" s="64">
        <v>4.3600000000000003</v>
      </c>
      <c r="C34" s="64">
        <v>27.47</v>
      </c>
      <c r="D34" s="64">
        <v>17.77</v>
      </c>
      <c r="E34" s="64">
        <v>0.46</v>
      </c>
      <c r="F34" s="64">
        <v>3.31</v>
      </c>
      <c r="G34" s="64">
        <v>35.770000000000003</v>
      </c>
      <c r="H34" s="64">
        <v>13.26</v>
      </c>
      <c r="I34" s="64">
        <v>6.53</v>
      </c>
      <c r="J34" s="64">
        <v>0.08</v>
      </c>
      <c r="K34" s="64">
        <v>249.18</v>
      </c>
      <c r="L34" s="64">
        <v>25.65</v>
      </c>
      <c r="M34" s="64">
        <v>58.29</v>
      </c>
      <c r="N34" s="64">
        <v>96.5</v>
      </c>
      <c r="O34" s="64">
        <v>0</v>
      </c>
      <c r="P34" s="64">
        <v>0.38</v>
      </c>
      <c r="Q34" s="64">
        <v>9.1999999999999993</v>
      </c>
      <c r="R34" s="198"/>
      <c r="S34" s="198"/>
      <c r="T34" s="198"/>
      <c r="U34" s="198"/>
    </row>
    <row r="35" spans="1:21" s="12" customFormat="1" x14ac:dyDescent="0.25">
      <c r="A35" s="214" t="s">
        <v>2194</v>
      </c>
      <c r="B35" s="64">
        <v>4.59</v>
      </c>
      <c r="C35" s="64">
        <v>27.44</v>
      </c>
      <c r="D35" s="64">
        <v>17.940000000000001</v>
      </c>
      <c r="E35" s="64">
        <v>0.59</v>
      </c>
      <c r="F35" s="64">
        <v>3.55</v>
      </c>
      <c r="G35" s="64">
        <v>35.770000000000003</v>
      </c>
      <c r="H35" s="64">
        <v>13.26</v>
      </c>
      <c r="I35" s="64">
        <v>6.48</v>
      </c>
      <c r="J35" s="64">
        <v>0.04</v>
      </c>
      <c r="K35" s="64">
        <v>217.73</v>
      </c>
      <c r="L35" s="64">
        <v>26.69</v>
      </c>
      <c r="M35" s="64">
        <v>56.06</v>
      </c>
      <c r="N35" s="64">
        <v>133</v>
      </c>
      <c r="O35" s="64">
        <v>0</v>
      </c>
      <c r="P35" s="64">
        <v>0.4</v>
      </c>
      <c r="Q35" s="64">
        <v>9.16</v>
      </c>
      <c r="R35" s="198"/>
      <c r="S35" s="198"/>
      <c r="T35" s="198"/>
      <c r="U35" s="198"/>
    </row>
    <row r="36" spans="1:21" s="12" customFormat="1" x14ac:dyDescent="0.25">
      <c r="A36" s="214" t="s">
        <v>2195</v>
      </c>
      <c r="B36" s="64">
        <v>4.92</v>
      </c>
      <c r="C36" s="64">
        <v>28.39</v>
      </c>
      <c r="D36" s="64">
        <v>18.7</v>
      </c>
      <c r="E36" s="64">
        <v>0.47</v>
      </c>
      <c r="F36" s="64">
        <v>3.6</v>
      </c>
      <c r="G36" s="64">
        <v>36.17</v>
      </c>
      <c r="H36" s="64">
        <v>13.42</v>
      </c>
      <c r="I36" s="64">
        <v>6.37</v>
      </c>
      <c r="J36" s="64">
        <v>7.0000000000000007E-2</v>
      </c>
      <c r="K36" s="64">
        <v>350.67</v>
      </c>
      <c r="L36" s="64">
        <v>27.73</v>
      </c>
      <c r="M36" s="64">
        <v>51.3</v>
      </c>
      <c r="N36" s="64">
        <v>148.9</v>
      </c>
      <c r="O36" s="64">
        <v>0</v>
      </c>
      <c r="P36" s="64">
        <v>0.41</v>
      </c>
      <c r="Q36" s="64">
        <v>9.14</v>
      </c>
      <c r="R36" s="198"/>
      <c r="S36" s="198"/>
      <c r="T36" s="198"/>
      <c r="U36" s="198"/>
    </row>
    <row r="37" spans="1:21" s="12" customFormat="1" x14ac:dyDescent="0.25">
      <c r="A37" s="214" t="s">
        <v>2196</v>
      </c>
      <c r="B37" s="64">
        <v>5.03</v>
      </c>
      <c r="C37" s="64">
        <v>28.61</v>
      </c>
      <c r="D37" s="64">
        <v>18.899999999999999</v>
      </c>
      <c r="E37" s="64">
        <v>0.48</v>
      </c>
      <c r="F37" s="64">
        <v>3.81</v>
      </c>
      <c r="G37" s="64">
        <v>43.09</v>
      </c>
      <c r="H37" s="64">
        <v>15.59</v>
      </c>
      <c r="I37" s="64">
        <v>6.55</v>
      </c>
      <c r="J37" s="64">
        <v>0.05</v>
      </c>
      <c r="K37" s="64">
        <v>244.13</v>
      </c>
      <c r="L37" s="64">
        <v>27.49</v>
      </c>
      <c r="M37" s="64">
        <v>51.58</v>
      </c>
      <c r="N37" s="64">
        <v>185.8</v>
      </c>
      <c r="O37" s="64">
        <v>0</v>
      </c>
      <c r="P37" s="64">
        <v>0.41</v>
      </c>
      <c r="Q37" s="64">
        <v>9.18</v>
      </c>
      <c r="R37" s="198"/>
      <c r="S37" s="198"/>
      <c r="T37" s="198"/>
      <c r="U37" s="198"/>
    </row>
    <row r="38" spans="1:21" s="12" customFormat="1" x14ac:dyDescent="0.25">
      <c r="A38" s="214" t="s">
        <v>2197</v>
      </c>
      <c r="B38" s="64">
        <v>4.75</v>
      </c>
      <c r="C38" s="64">
        <v>29.24</v>
      </c>
      <c r="D38" s="64">
        <v>19</v>
      </c>
      <c r="E38" s="64">
        <v>0.65</v>
      </c>
      <c r="F38" s="64">
        <v>3.82</v>
      </c>
      <c r="G38" s="64">
        <v>43.09</v>
      </c>
      <c r="H38" s="64">
        <v>15.59</v>
      </c>
      <c r="I38" s="64">
        <v>6.52</v>
      </c>
      <c r="J38" s="64">
        <v>0.11</v>
      </c>
      <c r="K38" s="64">
        <v>333.96</v>
      </c>
      <c r="L38" s="64">
        <v>28.59</v>
      </c>
      <c r="M38" s="64">
        <v>49.55</v>
      </c>
      <c r="N38" s="64">
        <v>275.10000000000002</v>
      </c>
      <c r="O38" s="64">
        <v>0</v>
      </c>
      <c r="P38" s="64">
        <v>0.44</v>
      </c>
      <c r="Q38" s="64">
        <v>9.17</v>
      </c>
      <c r="R38" s="198"/>
      <c r="S38" s="198"/>
      <c r="T38" s="198"/>
      <c r="U38" s="198"/>
    </row>
    <row r="39" spans="1:21" s="12" customFormat="1" x14ac:dyDescent="0.25">
      <c r="A39" s="214" t="s">
        <v>2198</v>
      </c>
      <c r="B39" s="64">
        <v>4.6100000000000003</v>
      </c>
      <c r="C39" s="64">
        <v>29.67</v>
      </c>
      <c r="D39" s="64">
        <v>19.12</v>
      </c>
      <c r="E39" s="64">
        <v>0.84</v>
      </c>
      <c r="F39" s="64">
        <v>3.45</v>
      </c>
      <c r="G39" s="64">
        <v>43.09</v>
      </c>
      <c r="H39" s="64">
        <v>15.59</v>
      </c>
      <c r="I39" s="64">
        <v>6.46</v>
      </c>
      <c r="J39" s="64">
        <v>0.2</v>
      </c>
      <c r="K39" s="64">
        <v>342.31</v>
      </c>
      <c r="L39" s="64">
        <v>29.67</v>
      </c>
      <c r="M39" s="64">
        <v>47.72</v>
      </c>
      <c r="N39" s="64">
        <v>331.7</v>
      </c>
      <c r="O39" s="64">
        <v>0</v>
      </c>
      <c r="P39" s="64">
        <v>0.46</v>
      </c>
      <c r="Q39" s="64">
        <v>9.19</v>
      </c>
      <c r="R39" s="198"/>
      <c r="S39" s="198"/>
      <c r="T39" s="198"/>
      <c r="U39" s="198"/>
    </row>
    <row r="40" spans="1:21" s="12" customFormat="1" x14ac:dyDescent="0.25">
      <c r="A40" s="214" t="s">
        <v>2199</v>
      </c>
      <c r="B40" s="64">
        <v>4.3899999999999997</v>
      </c>
      <c r="C40" s="64">
        <v>30.11</v>
      </c>
      <c r="D40" s="64">
        <v>19.170000000000002</v>
      </c>
      <c r="E40" s="64">
        <v>0.76</v>
      </c>
      <c r="F40" s="64">
        <v>4.12</v>
      </c>
      <c r="G40" s="64">
        <v>43.54</v>
      </c>
      <c r="H40" s="64">
        <v>15.63</v>
      </c>
      <c r="I40" s="64">
        <v>6.39</v>
      </c>
      <c r="J40" s="64">
        <v>0.23</v>
      </c>
      <c r="K40" s="64">
        <v>325.58</v>
      </c>
      <c r="L40" s="64">
        <v>31.74</v>
      </c>
      <c r="M40" s="64">
        <v>43.18</v>
      </c>
      <c r="N40" s="64">
        <v>379.5</v>
      </c>
      <c r="O40" s="64">
        <v>0</v>
      </c>
      <c r="P40" s="64">
        <v>0.48</v>
      </c>
      <c r="Q40" s="64">
        <v>9.17</v>
      </c>
      <c r="R40" s="198"/>
      <c r="S40" s="198"/>
      <c r="T40" s="198"/>
      <c r="U40" s="198"/>
    </row>
    <row r="41" spans="1:21" s="12" customFormat="1" x14ac:dyDescent="0.25">
      <c r="A41" s="214" t="s">
        <v>2200</v>
      </c>
      <c r="B41" s="64">
        <v>4.18</v>
      </c>
      <c r="C41" s="64">
        <v>31.13</v>
      </c>
      <c r="D41" s="64">
        <v>19.53</v>
      </c>
      <c r="E41" s="64">
        <v>1.29</v>
      </c>
      <c r="F41" s="64">
        <v>4.01</v>
      </c>
      <c r="G41" s="64">
        <v>51.28</v>
      </c>
      <c r="H41" s="64">
        <v>16.39</v>
      </c>
      <c r="I41" s="64">
        <v>6.28</v>
      </c>
      <c r="J41" s="64">
        <v>0.13</v>
      </c>
      <c r="K41" s="64">
        <v>315.77</v>
      </c>
      <c r="L41" s="64">
        <v>32.049999999999997</v>
      </c>
      <c r="M41" s="64">
        <v>41.77</v>
      </c>
      <c r="N41" s="64">
        <v>434.9</v>
      </c>
      <c r="O41" s="64">
        <v>0</v>
      </c>
      <c r="P41" s="64">
        <v>0.51</v>
      </c>
      <c r="Q41" s="64">
        <v>9.19</v>
      </c>
      <c r="R41" s="198"/>
      <c r="S41" s="198"/>
      <c r="T41" s="198"/>
      <c r="U41" s="198"/>
    </row>
    <row r="42" spans="1:21" s="12" customFormat="1" x14ac:dyDescent="0.25">
      <c r="A42" s="214" t="s">
        <v>2201</v>
      </c>
      <c r="B42" s="64">
        <v>3.82</v>
      </c>
      <c r="C42" s="64">
        <v>31.56</v>
      </c>
      <c r="D42" s="64">
        <v>19.48</v>
      </c>
      <c r="E42" s="64">
        <v>1.07</v>
      </c>
      <c r="F42" s="64">
        <v>4.0199999999999996</v>
      </c>
      <c r="G42" s="64">
        <v>51.28</v>
      </c>
      <c r="H42" s="64">
        <v>16.39</v>
      </c>
      <c r="I42" s="64">
        <v>6.14</v>
      </c>
      <c r="J42" s="64">
        <v>0.05</v>
      </c>
      <c r="K42" s="64">
        <v>280.41000000000003</v>
      </c>
      <c r="L42" s="64">
        <v>32.26</v>
      </c>
      <c r="M42" s="64">
        <v>42.04</v>
      </c>
      <c r="N42" s="64">
        <v>480.2</v>
      </c>
      <c r="O42" s="64">
        <v>0</v>
      </c>
      <c r="P42" s="64">
        <v>0.56000000000000005</v>
      </c>
      <c r="Q42" s="64">
        <v>9.18</v>
      </c>
      <c r="R42" s="198"/>
      <c r="S42" s="198"/>
      <c r="T42" s="198"/>
      <c r="U42" s="198"/>
    </row>
    <row r="43" spans="1:21" s="12" customFormat="1" x14ac:dyDescent="0.25">
      <c r="A43" s="214" t="s">
        <v>2202</v>
      </c>
      <c r="B43" s="64">
        <v>3.73</v>
      </c>
      <c r="C43" s="64">
        <v>31.19</v>
      </c>
      <c r="D43" s="64">
        <v>19.21</v>
      </c>
      <c r="E43" s="64">
        <v>1.1200000000000001</v>
      </c>
      <c r="F43" s="64">
        <v>4.75</v>
      </c>
      <c r="G43" s="64">
        <v>51.28</v>
      </c>
      <c r="H43" s="64">
        <v>16.39</v>
      </c>
      <c r="I43" s="64">
        <v>6.13</v>
      </c>
      <c r="J43" s="64">
        <v>0.05</v>
      </c>
      <c r="K43" s="64">
        <v>290.89999999999998</v>
      </c>
      <c r="L43" s="64">
        <v>32.340000000000003</v>
      </c>
      <c r="M43" s="64">
        <v>40.869999999999997</v>
      </c>
      <c r="N43" s="64">
        <v>529.1</v>
      </c>
      <c r="O43" s="64">
        <v>0</v>
      </c>
      <c r="P43" s="64">
        <v>0.61</v>
      </c>
      <c r="Q43" s="64">
        <v>9.1300000000000008</v>
      </c>
      <c r="R43" s="198"/>
      <c r="S43" s="198"/>
      <c r="T43" s="198"/>
      <c r="U43" s="198"/>
    </row>
    <row r="44" spans="1:21" s="12" customFormat="1" x14ac:dyDescent="0.25">
      <c r="A44" s="214" t="s">
        <v>2203</v>
      </c>
      <c r="B44" s="64">
        <v>3.55</v>
      </c>
      <c r="C44" s="64">
        <v>32.01</v>
      </c>
      <c r="D44" s="64">
        <v>19.489999999999998</v>
      </c>
      <c r="E44" s="64">
        <v>1.07</v>
      </c>
      <c r="F44" s="64">
        <v>4.42</v>
      </c>
      <c r="G44" s="64">
        <v>51.57</v>
      </c>
      <c r="H44" s="64">
        <v>16.59</v>
      </c>
      <c r="I44" s="64">
        <v>6.29</v>
      </c>
      <c r="J44" s="64">
        <v>0.31</v>
      </c>
      <c r="K44" s="64">
        <v>321.33</v>
      </c>
      <c r="L44" s="64">
        <v>34.44</v>
      </c>
      <c r="M44" s="64">
        <v>36.19</v>
      </c>
      <c r="N44" s="64">
        <v>589.79999999999995</v>
      </c>
      <c r="O44" s="64">
        <v>0</v>
      </c>
      <c r="P44" s="64">
        <v>0.66</v>
      </c>
      <c r="Q44" s="64">
        <v>9.1300000000000008</v>
      </c>
      <c r="R44" s="198"/>
      <c r="S44" s="198"/>
      <c r="T44" s="198"/>
      <c r="U44" s="198"/>
    </row>
    <row r="45" spans="1:21" s="12" customFormat="1" x14ac:dyDescent="0.25">
      <c r="A45" s="214" t="s">
        <v>2204</v>
      </c>
      <c r="B45" s="64">
        <v>3.5</v>
      </c>
      <c r="C45" s="64">
        <v>32.200000000000003</v>
      </c>
      <c r="D45" s="64">
        <v>19.55</v>
      </c>
      <c r="E45" s="64">
        <v>0.99</v>
      </c>
      <c r="F45" s="64">
        <v>4.45</v>
      </c>
      <c r="G45" s="64">
        <v>56.52</v>
      </c>
      <c r="H45" s="64">
        <v>19.96</v>
      </c>
      <c r="I45" s="64">
        <v>6.54</v>
      </c>
      <c r="J45" s="64">
        <v>0.25</v>
      </c>
      <c r="K45" s="64">
        <v>307.86</v>
      </c>
      <c r="L45" s="64">
        <v>35.94</v>
      </c>
      <c r="M45" s="64">
        <v>33.04</v>
      </c>
      <c r="N45" s="64">
        <v>601.1</v>
      </c>
      <c r="O45" s="64">
        <v>0</v>
      </c>
      <c r="P45" s="64">
        <v>0.67</v>
      </c>
      <c r="Q45" s="64">
        <v>9.17</v>
      </c>
      <c r="R45" s="198"/>
      <c r="S45" s="198"/>
      <c r="T45" s="198"/>
      <c r="U45" s="198"/>
    </row>
    <row r="46" spans="1:21" s="12" customFormat="1" x14ac:dyDescent="0.25">
      <c r="A46" s="214" t="s">
        <v>2205</v>
      </c>
      <c r="B46" s="64">
        <v>3.5</v>
      </c>
      <c r="C46" s="64">
        <v>32.14</v>
      </c>
      <c r="D46" s="64">
        <v>19.52</v>
      </c>
      <c r="E46" s="64">
        <v>0.97</v>
      </c>
      <c r="F46" s="64">
        <v>4.49</v>
      </c>
      <c r="G46" s="64">
        <v>56.52</v>
      </c>
      <c r="H46" s="64">
        <v>19.96</v>
      </c>
      <c r="I46" s="64">
        <v>6.59</v>
      </c>
      <c r="J46" s="64">
        <v>0.11</v>
      </c>
      <c r="K46" s="64">
        <v>325.08999999999997</v>
      </c>
      <c r="L46" s="64">
        <v>35.700000000000003</v>
      </c>
      <c r="M46" s="64">
        <v>32.79</v>
      </c>
      <c r="N46" s="64">
        <v>660.3</v>
      </c>
      <c r="O46" s="64">
        <v>0</v>
      </c>
      <c r="P46" s="64">
        <v>0.67</v>
      </c>
      <c r="Q46" s="64">
        <v>9.18</v>
      </c>
      <c r="R46" s="198"/>
      <c r="S46" s="198"/>
      <c r="T46" s="198"/>
      <c r="U46" s="198"/>
    </row>
    <row r="47" spans="1:21" s="12" customFormat="1" x14ac:dyDescent="0.25">
      <c r="A47" s="214" t="s">
        <v>2206</v>
      </c>
      <c r="B47" s="64">
        <v>3.51</v>
      </c>
      <c r="C47" s="64">
        <v>31.51</v>
      </c>
      <c r="D47" s="64">
        <v>19.2</v>
      </c>
      <c r="E47" s="64">
        <v>0.81</v>
      </c>
      <c r="F47" s="64">
        <v>4.29</v>
      </c>
      <c r="G47" s="64">
        <v>56.52</v>
      </c>
      <c r="H47" s="64">
        <v>19.96</v>
      </c>
      <c r="I47" s="64">
        <v>6.6</v>
      </c>
      <c r="J47" s="64">
        <v>0.26</v>
      </c>
      <c r="K47" s="64">
        <v>314.19</v>
      </c>
      <c r="L47" s="64">
        <v>37.61</v>
      </c>
      <c r="M47" s="64">
        <v>26.21</v>
      </c>
      <c r="N47" s="64">
        <v>704.8</v>
      </c>
      <c r="O47" s="64">
        <v>0</v>
      </c>
      <c r="P47" s="64">
        <v>0.68</v>
      </c>
      <c r="Q47" s="64">
        <v>9.1300000000000008</v>
      </c>
      <c r="R47" s="198"/>
      <c r="S47" s="198"/>
      <c r="T47" s="198"/>
      <c r="U47" s="198"/>
    </row>
    <row r="48" spans="1:21" s="12" customFormat="1" x14ac:dyDescent="0.25">
      <c r="A48" s="214" t="s">
        <v>2207</v>
      </c>
      <c r="B48" s="64">
        <v>3.43</v>
      </c>
      <c r="C48" s="64">
        <v>31.09</v>
      </c>
      <c r="D48" s="64">
        <v>18.920000000000002</v>
      </c>
      <c r="E48" s="64">
        <v>1.1200000000000001</v>
      </c>
      <c r="F48" s="64">
        <v>4.3</v>
      </c>
      <c r="G48" s="64">
        <v>56.24</v>
      </c>
      <c r="H48" s="64">
        <v>19.98</v>
      </c>
      <c r="I48" s="64">
        <v>6.61</v>
      </c>
      <c r="J48" s="64">
        <v>1</v>
      </c>
      <c r="K48" s="64">
        <v>331.88</v>
      </c>
      <c r="L48" s="64">
        <v>38.57</v>
      </c>
      <c r="M48" s="64">
        <v>24.67</v>
      </c>
      <c r="N48" s="64">
        <v>724.1</v>
      </c>
      <c r="O48" s="64">
        <v>0</v>
      </c>
      <c r="P48" s="64">
        <v>0.67</v>
      </c>
      <c r="Q48" s="64">
        <v>9.17</v>
      </c>
      <c r="R48" s="198"/>
      <c r="S48" s="198"/>
      <c r="T48" s="198"/>
      <c r="U48" s="198"/>
    </row>
    <row r="49" spans="1:21" s="12" customFormat="1" x14ac:dyDescent="0.25">
      <c r="A49" s="214" t="s">
        <v>2208</v>
      </c>
      <c r="B49" s="64">
        <v>3.56</v>
      </c>
      <c r="C49" s="64">
        <v>31.81</v>
      </c>
      <c r="D49" s="64">
        <v>19.39</v>
      </c>
      <c r="E49" s="64">
        <v>0.96</v>
      </c>
      <c r="F49" s="64">
        <v>4.3600000000000003</v>
      </c>
      <c r="G49" s="64">
        <v>52.28</v>
      </c>
      <c r="H49" s="64">
        <v>20.25</v>
      </c>
      <c r="I49" s="64">
        <v>6.84</v>
      </c>
      <c r="J49" s="64">
        <v>0.87</v>
      </c>
      <c r="K49" s="64">
        <v>342.01</v>
      </c>
      <c r="L49" s="64">
        <v>38.770000000000003</v>
      </c>
      <c r="M49" s="64">
        <v>23</v>
      </c>
      <c r="N49" s="64">
        <v>774.8</v>
      </c>
      <c r="O49" s="64">
        <v>0</v>
      </c>
      <c r="P49" s="64">
        <v>0.67</v>
      </c>
      <c r="Q49" s="64">
        <v>9.17</v>
      </c>
      <c r="R49" s="198"/>
      <c r="S49" s="198"/>
      <c r="T49" s="198"/>
      <c r="U49" s="198"/>
    </row>
    <row r="50" spans="1:21" s="12" customFormat="1" x14ac:dyDescent="0.25">
      <c r="A50" s="214" t="s">
        <v>2209</v>
      </c>
      <c r="B50" s="64">
        <v>3.7</v>
      </c>
      <c r="C50" s="64">
        <v>33.81</v>
      </c>
      <c r="D50" s="64">
        <v>20.55</v>
      </c>
      <c r="E50" s="64">
        <v>0.86</v>
      </c>
      <c r="F50" s="64">
        <v>4.41</v>
      </c>
      <c r="G50" s="64">
        <v>52.28</v>
      </c>
      <c r="H50" s="64">
        <v>20.25</v>
      </c>
      <c r="I50" s="64">
        <v>7</v>
      </c>
      <c r="J50" s="64">
        <v>1</v>
      </c>
      <c r="K50" s="64">
        <v>327.92</v>
      </c>
      <c r="L50" s="64">
        <v>39.619999999999997</v>
      </c>
      <c r="M50" s="64">
        <v>21.02</v>
      </c>
      <c r="N50" s="64">
        <v>809.5</v>
      </c>
      <c r="O50" s="64">
        <v>0</v>
      </c>
      <c r="P50" s="64">
        <v>0.67</v>
      </c>
      <c r="Q50" s="64">
        <v>9.1300000000000008</v>
      </c>
      <c r="R50" s="198"/>
      <c r="S50" s="198"/>
      <c r="T50" s="198"/>
      <c r="U50" s="198"/>
    </row>
    <row r="51" spans="1:21" s="12" customFormat="1" x14ac:dyDescent="0.25">
      <c r="A51" s="214" t="s">
        <v>2210</v>
      </c>
      <c r="B51" s="64">
        <v>3.39</v>
      </c>
      <c r="C51" s="64">
        <v>34.340000000000003</v>
      </c>
      <c r="D51" s="64">
        <v>20.58</v>
      </c>
      <c r="E51" s="64">
        <v>1.07</v>
      </c>
      <c r="F51" s="64">
        <v>4.72</v>
      </c>
      <c r="G51" s="64">
        <v>52.28</v>
      </c>
      <c r="H51" s="64">
        <v>20.25</v>
      </c>
      <c r="I51" s="64">
        <v>7.09</v>
      </c>
      <c r="J51" s="64">
        <v>1.02</v>
      </c>
      <c r="K51" s="64">
        <v>338.72</v>
      </c>
      <c r="L51" s="64">
        <v>39.619999999999997</v>
      </c>
      <c r="M51" s="64">
        <v>20.77</v>
      </c>
      <c r="N51" s="64">
        <v>811.8</v>
      </c>
      <c r="O51" s="64">
        <v>0</v>
      </c>
      <c r="P51" s="64">
        <v>0.66</v>
      </c>
      <c r="Q51" s="64">
        <v>9.14</v>
      </c>
      <c r="R51" s="198"/>
      <c r="S51" s="198"/>
      <c r="T51" s="198"/>
      <c r="U51" s="198"/>
    </row>
    <row r="52" spans="1:21" s="12" customFormat="1" x14ac:dyDescent="0.25">
      <c r="A52" s="214" t="s">
        <v>2211</v>
      </c>
      <c r="B52" s="64">
        <v>2.98</v>
      </c>
      <c r="C52" s="64">
        <v>33.65</v>
      </c>
      <c r="D52" s="64">
        <v>19.89</v>
      </c>
      <c r="E52" s="64">
        <v>0.94</v>
      </c>
      <c r="F52" s="64">
        <v>5.15</v>
      </c>
      <c r="G52" s="64">
        <v>52.07</v>
      </c>
      <c r="H52" s="64">
        <v>20.38</v>
      </c>
      <c r="I52" s="64">
        <v>7.16</v>
      </c>
      <c r="J52" s="64">
        <v>1.05</v>
      </c>
      <c r="K52" s="64">
        <v>347.47</v>
      </c>
      <c r="L52" s="64">
        <v>39.56</v>
      </c>
      <c r="M52" s="64">
        <v>20.38</v>
      </c>
      <c r="N52" s="64">
        <v>825.6</v>
      </c>
      <c r="O52" s="64">
        <v>0</v>
      </c>
      <c r="P52" s="64">
        <v>0.66</v>
      </c>
      <c r="Q52" s="64">
        <v>9.19</v>
      </c>
      <c r="R52" s="198"/>
      <c r="S52" s="198"/>
      <c r="T52" s="198"/>
      <c r="U52" s="198"/>
    </row>
    <row r="53" spans="1:21" s="12" customFormat="1" x14ac:dyDescent="0.25">
      <c r="A53" s="214" t="s">
        <v>2212</v>
      </c>
      <c r="B53" s="64">
        <v>2.76</v>
      </c>
      <c r="C53" s="64">
        <v>33.72</v>
      </c>
      <c r="D53" s="64">
        <v>19.75</v>
      </c>
      <c r="E53" s="64">
        <v>0.83</v>
      </c>
      <c r="F53" s="64">
        <v>5.26</v>
      </c>
      <c r="G53" s="64">
        <v>48.56</v>
      </c>
      <c r="H53" s="64">
        <v>22.25</v>
      </c>
      <c r="I53" s="64">
        <v>6.87</v>
      </c>
      <c r="J53" s="64">
        <v>1</v>
      </c>
      <c r="K53" s="64">
        <v>324.33999999999997</v>
      </c>
      <c r="L53" s="64">
        <v>39.83</v>
      </c>
      <c r="M53" s="64">
        <v>19.96</v>
      </c>
      <c r="N53" s="64">
        <v>843.7</v>
      </c>
      <c r="O53" s="64">
        <v>0</v>
      </c>
      <c r="P53" s="64">
        <v>0.66</v>
      </c>
      <c r="Q53" s="64">
        <v>9.14</v>
      </c>
      <c r="R53" s="198"/>
      <c r="S53" s="198"/>
      <c r="T53" s="198"/>
      <c r="U53" s="198"/>
    </row>
    <row r="54" spans="1:21" s="12" customFormat="1" x14ac:dyDescent="0.25">
      <c r="A54" s="214" t="s">
        <v>2213</v>
      </c>
      <c r="B54" s="64">
        <v>2.52</v>
      </c>
      <c r="C54" s="64">
        <v>33.590000000000003</v>
      </c>
      <c r="D54" s="64">
        <v>19.489999999999998</v>
      </c>
      <c r="E54" s="64">
        <v>0.81</v>
      </c>
      <c r="F54" s="64">
        <v>5.5</v>
      </c>
      <c r="G54" s="64">
        <v>48.56</v>
      </c>
      <c r="H54" s="64">
        <v>22.25</v>
      </c>
      <c r="I54" s="64">
        <v>6.75</v>
      </c>
      <c r="J54" s="64">
        <v>0.73</v>
      </c>
      <c r="K54" s="64">
        <v>320.58999999999997</v>
      </c>
      <c r="L54" s="64">
        <v>40.299999999999997</v>
      </c>
      <c r="M54" s="64">
        <v>19.73</v>
      </c>
      <c r="N54" s="64">
        <v>836.4</v>
      </c>
      <c r="O54" s="64">
        <v>0</v>
      </c>
      <c r="P54" s="64">
        <v>0.65</v>
      </c>
      <c r="Q54" s="64">
        <v>9.17</v>
      </c>
      <c r="R54" s="198"/>
      <c r="S54" s="198"/>
      <c r="T54" s="198"/>
      <c r="U54" s="198"/>
    </row>
    <row r="55" spans="1:21" s="12" customFormat="1" x14ac:dyDescent="0.25">
      <c r="A55" s="214" t="s">
        <v>2214</v>
      </c>
      <c r="B55" s="64">
        <v>2.33</v>
      </c>
      <c r="C55" s="64">
        <v>34.22</v>
      </c>
      <c r="D55" s="64">
        <v>19.66</v>
      </c>
      <c r="E55" s="64">
        <v>1.1000000000000001</v>
      </c>
      <c r="F55" s="64">
        <v>5.46</v>
      </c>
      <c r="G55" s="64">
        <v>48.56</v>
      </c>
      <c r="H55" s="64">
        <v>22.25</v>
      </c>
      <c r="I55" s="64">
        <v>6.64</v>
      </c>
      <c r="J55" s="64">
        <v>0.88</v>
      </c>
      <c r="K55" s="64">
        <v>325.04000000000002</v>
      </c>
      <c r="L55" s="64">
        <v>37.64</v>
      </c>
      <c r="M55" s="64">
        <v>25.38</v>
      </c>
      <c r="N55" s="64">
        <v>855</v>
      </c>
      <c r="O55" s="64">
        <v>0</v>
      </c>
      <c r="P55" s="64">
        <v>0.65</v>
      </c>
      <c r="Q55" s="64">
        <v>9.17</v>
      </c>
      <c r="R55" s="198"/>
      <c r="S55" s="198"/>
      <c r="T55" s="198"/>
      <c r="U55" s="198"/>
    </row>
    <row r="56" spans="1:21" s="12" customFormat="1" x14ac:dyDescent="0.25">
      <c r="A56" s="214" t="s">
        <v>2215</v>
      </c>
      <c r="B56" s="64">
        <v>2.2400000000000002</v>
      </c>
      <c r="C56" s="64">
        <v>33.799999999999997</v>
      </c>
      <c r="D56" s="64">
        <v>19.38</v>
      </c>
      <c r="E56" s="64">
        <v>2</v>
      </c>
      <c r="F56" s="64">
        <v>5.25</v>
      </c>
      <c r="G56" s="64">
        <v>48.63</v>
      </c>
      <c r="H56" s="64">
        <v>21.83</v>
      </c>
      <c r="I56" s="64">
        <v>6.45</v>
      </c>
      <c r="J56" s="64">
        <v>0.5</v>
      </c>
      <c r="K56" s="64">
        <v>328.26</v>
      </c>
      <c r="L56" s="64">
        <v>36.69</v>
      </c>
      <c r="M56" s="64">
        <v>26.21</v>
      </c>
      <c r="N56" s="64">
        <v>846.6</v>
      </c>
      <c r="O56" s="64">
        <v>0</v>
      </c>
      <c r="P56" s="64">
        <v>0.64</v>
      </c>
      <c r="Q56" s="64">
        <v>9.1199999999999992</v>
      </c>
      <c r="R56" s="198"/>
      <c r="S56" s="198"/>
      <c r="T56" s="198"/>
      <c r="U56" s="198"/>
    </row>
    <row r="57" spans="1:21" s="12" customFormat="1" x14ac:dyDescent="0.25">
      <c r="A57" s="214" t="s">
        <v>2216</v>
      </c>
      <c r="B57" s="64">
        <v>2.25</v>
      </c>
      <c r="C57" s="64">
        <v>36.049999999999997</v>
      </c>
      <c r="D57" s="64">
        <v>20.56</v>
      </c>
      <c r="E57" s="64">
        <v>2.3199999999999998</v>
      </c>
      <c r="F57" s="64">
        <v>4.87</v>
      </c>
      <c r="G57" s="64">
        <v>49.79</v>
      </c>
      <c r="H57" s="64">
        <v>14.74</v>
      </c>
      <c r="I57" s="64">
        <v>6.29</v>
      </c>
      <c r="J57" s="64">
        <v>0.7</v>
      </c>
      <c r="K57" s="64">
        <v>354.14</v>
      </c>
      <c r="L57" s="64">
        <v>36.5</v>
      </c>
      <c r="M57" s="64">
        <v>26.18</v>
      </c>
      <c r="N57" s="64">
        <v>817.1</v>
      </c>
      <c r="O57" s="64">
        <v>0</v>
      </c>
      <c r="P57" s="64">
        <v>0.64</v>
      </c>
      <c r="Q57" s="64">
        <v>9.15</v>
      </c>
      <c r="R57" s="198"/>
      <c r="S57" s="198"/>
      <c r="T57" s="198"/>
      <c r="U57" s="198"/>
    </row>
    <row r="58" spans="1:21" s="12" customFormat="1" x14ac:dyDescent="0.25">
      <c r="A58" s="214" t="s">
        <v>2217</v>
      </c>
      <c r="B58" s="64">
        <v>2.2999999999999998</v>
      </c>
      <c r="C58" s="64">
        <v>33.54</v>
      </c>
      <c r="D58" s="64">
        <v>19.29</v>
      </c>
      <c r="E58" s="64">
        <v>2.2799999999999998</v>
      </c>
      <c r="F58" s="64">
        <v>5.1100000000000003</v>
      </c>
      <c r="G58" s="64">
        <v>49.79</v>
      </c>
      <c r="H58" s="64">
        <v>14.74</v>
      </c>
      <c r="I58" s="64">
        <v>6.35</v>
      </c>
      <c r="J58" s="64">
        <v>0.76</v>
      </c>
      <c r="K58" s="64">
        <v>327.14999999999998</v>
      </c>
      <c r="L58" s="64">
        <v>36.18</v>
      </c>
      <c r="M58" s="64">
        <v>27.1</v>
      </c>
      <c r="N58" s="64">
        <v>795.7</v>
      </c>
      <c r="O58" s="64">
        <v>0</v>
      </c>
      <c r="P58" s="64">
        <v>0.63</v>
      </c>
      <c r="Q58" s="64">
        <v>9.16</v>
      </c>
      <c r="R58" s="198"/>
      <c r="S58" s="198"/>
      <c r="T58" s="198"/>
      <c r="U58" s="198"/>
    </row>
    <row r="59" spans="1:21" s="12" customFormat="1" x14ac:dyDescent="0.25">
      <c r="A59" s="214" t="s">
        <v>2218</v>
      </c>
      <c r="B59" s="64">
        <v>2.2599999999999998</v>
      </c>
      <c r="C59" s="64">
        <v>34.28</v>
      </c>
      <c r="D59" s="64">
        <v>19.64</v>
      </c>
      <c r="E59" s="64">
        <v>1.99</v>
      </c>
      <c r="F59" s="64">
        <v>5.35</v>
      </c>
      <c r="G59" s="64">
        <v>49.79</v>
      </c>
      <c r="H59" s="64">
        <v>14.74</v>
      </c>
      <c r="I59" s="64">
        <v>6.53</v>
      </c>
      <c r="J59" s="64">
        <v>0.54</v>
      </c>
      <c r="K59" s="64">
        <v>328.56</v>
      </c>
      <c r="L59" s="64">
        <v>36.75</v>
      </c>
      <c r="M59" s="64">
        <v>25.43</v>
      </c>
      <c r="N59" s="64">
        <v>841.7</v>
      </c>
      <c r="O59" s="64">
        <v>0</v>
      </c>
      <c r="P59" s="64">
        <v>0.64</v>
      </c>
      <c r="Q59" s="64">
        <v>9.1300000000000008</v>
      </c>
      <c r="R59" s="198"/>
      <c r="S59" s="198"/>
      <c r="T59" s="198"/>
      <c r="U59" s="198"/>
    </row>
    <row r="60" spans="1:21" s="12" customFormat="1" x14ac:dyDescent="0.25">
      <c r="A60" s="214" t="s">
        <v>2219</v>
      </c>
      <c r="B60" s="64">
        <v>2.0699999999999998</v>
      </c>
      <c r="C60" s="64">
        <v>37.880000000000003</v>
      </c>
      <c r="D60" s="64">
        <v>21.37</v>
      </c>
      <c r="E60" s="64">
        <v>2.5099999999999998</v>
      </c>
      <c r="F60" s="64">
        <v>5.32</v>
      </c>
      <c r="G60" s="64">
        <v>49.77</v>
      </c>
      <c r="H60" s="64">
        <v>16.100000000000001</v>
      </c>
      <c r="I60" s="64">
        <v>6.52</v>
      </c>
      <c r="J60" s="64">
        <v>0.71</v>
      </c>
      <c r="K60" s="64">
        <v>312.69</v>
      </c>
      <c r="L60" s="64">
        <v>39.11</v>
      </c>
      <c r="M60" s="64">
        <v>19.45</v>
      </c>
      <c r="N60" s="64">
        <v>692.3</v>
      </c>
      <c r="O60" s="64">
        <v>0</v>
      </c>
      <c r="P60" s="64">
        <v>0.63</v>
      </c>
      <c r="Q60" s="64">
        <v>9.18</v>
      </c>
      <c r="R60" s="198"/>
      <c r="S60" s="198"/>
      <c r="T60" s="198"/>
      <c r="U60" s="198"/>
    </row>
    <row r="61" spans="1:21" s="12" customFormat="1" x14ac:dyDescent="0.25">
      <c r="A61" s="214" t="s">
        <v>2220</v>
      </c>
      <c r="B61" s="64">
        <v>1.98</v>
      </c>
      <c r="C61" s="64">
        <v>37.619999999999997</v>
      </c>
      <c r="D61" s="64">
        <v>21.16</v>
      </c>
      <c r="E61" s="64">
        <v>2.04</v>
      </c>
      <c r="F61" s="64">
        <v>5.0999999999999996</v>
      </c>
      <c r="G61" s="64">
        <v>49.28</v>
      </c>
      <c r="H61" s="64">
        <v>35.06</v>
      </c>
      <c r="I61" s="64">
        <v>6.5</v>
      </c>
      <c r="J61" s="64">
        <v>0.45</v>
      </c>
      <c r="K61" s="64">
        <v>316.66000000000003</v>
      </c>
      <c r="L61" s="64">
        <v>40.14</v>
      </c>
      <c r="M61" s="64">
        <v>17.440000000000001</v>
      </c>
      <c r="N61" s="64">
        <v>487.8</v>
      </c>
      <c r="O61" s="64">
        <v>0</v>
      </c>
      <c r="P61" s="64">
        <v>0.52</v>
      </c>
      <c r="Q61" s="64">
        <v>9.17</v>
      </c>
      <c r="R61" s="198"/>
      <c r="S61" s="198"/>
      <c r="T61" s="198"/>
      <c r="U61" s="198"/>
    </row>
    <row r="62" spans="1:21" s="12" customFormat="1" x14ac:dyDescent="0.25">
      <c r="A62" s="214" t="s">
        <v>2221</v>
      </c>
      <c r="B62" s="64">
        <v>2.11</v>
      </c>
      <c r="C62" s="64">
        <v>37.51</v>
      </c>
      <c r="D62" s="64">
        <v>21.21</v>
      </c>
      <c r="E62" s="64">
        <v>2.23</v>
      </c>
      <c r="F62" s="64">
        <v>5.12</v>
      </c>
      <c r="G62" s="64">
        <v>49.28</v>
      </c>
      <c r="H62" s="64">
        <v>35.06</v>
      </c>
      <c r="I62" s="64">
        <v>6.31</v>
      </c>
      <c r="J62" s="64">
        <v>0.7</v>
      </c>
      <c r="K62" s="64">
        <v>333.89</v>
      </c>
      <c r="L62" s="64">
        <v>38.909999999999997</v>
      </c>
      <c r="M62" s="64">
        <v>18.79</v>
      </c>
      <c r="N62" s="64">
        <v>272.7</v>
      </c>
      <c r="O62" s="64">
        <v>0</v>
      </c>
      <c r="P62" s="64">
        <v>0.55000000000000004</v>
      </c>
      <c r="Q62" s="64">
        <v>9.16</v>
      </c>
      <c r="R62" s="198"/>
      <c r="S62" s="198"/>
      <c r="T62" s="198"/>
      <c r="U62" s="198"/>
    </row>
    <row r="63" spans="1:21" s="12" customFormat="1" x14ac:dyDescent="0.25">
      <c r="A63" s="214" t="s">
        <v>2222</v>
      </c>
      <c r="B63" s="64">
        <v>2.36</v>
      </c>
      <c r="C63" s="64">
        <v>37.03</v>
      </c>
      <c r="D63" s="64">
        <v>21.16</v>
      </c>
      <c r="E63" s="64">
        <v>2.31</v>
      </c>
      <c r="F63" s="64">
        <v>4.7300000000000004</v>
      </c>
      <c r="G63" s="64">
        <v>49.28</v>
      </c>
      <c r="H63" s="64">
        <v>35.06</v>
      </c>
      <c r="I63" s="64">
        <v>6.2</v>
      </c>
      <c r="J63" s="64">
        <v>0.43</v>
      </c>
      <c r="K63" s="64">
        <v>145.38</v>
      </c>
      <c r="L63" s="64">
        <v>36.64</v>
      </c>
      <c r="M63" s="64">
        <v>18.989999999999998</v>
      </c>
      <c r="N63" s="64">
        <v>321.39999999999998</v>
      </c>
      <c r="O63" s="64">
        <v>0</v>
      </c>
      <c r="P63" s="64">
        <v>0.55000000000000004</v>
      </c>
      <c r="Q63" s="64">
        <v>9.16</v>
      </c>
      <c r="R63" s="198"/>
      <c r="S63" s="198"/>
      <c r="T63" s="198"/>
      <c r="U63" s="198"/>
    </row>
    <row r="64" spans="1:21" s="12" customFormat="1" x14ac:dyDescent="0.25">
      <c r="A64" s="214" t="s">
        <v>2223</v>
      </c>
      <c r="B64" s="64">
        <v>2.35</v>
      </c>
      <c r="C64" s="64">
        <v>35.47</v>
      </c>
      <c r="D64" s="64">
        <v>20.329999999999998</v>
      </c>
      <c r="E64" s="64">
        <v>2.14</v>
      </c>
      <c r="F64" s="64">
        <v>5.01</v>
      </c>
      <c r="G64" s="64">
        <v>48.73</v>
      </c>
      <c r="H64" s="64">
        <v>35.619999999999997</v>
      </c>
      <c r="I64" s="64">
        <v>6.25</v>
      </c>
      <c r="J64" s="64">
        <v>0.31</v>
      </c>
      <c r="K64" s="64">
        <v>98.29</v>
      </c>
      <c r="L64" s="64">
        <v>36.31</v>
      </c>
      <c r="M64" s="64">
        <v>20.82</v>
      </c>
      <c r="N64" s="64">
        <v>494.9</v>
      </c>
      <c r="O64" s="64">
        <v>0</v>
      </c>
      <c r="P64" s="64">
        <v>0.53</v>
      </c>
      <c r="Q64" s="64">
        <v>9.16</v>
      </c>
      <c r="R64" s="198"/>
      <c r="S64" s="198"/>
      <c r="T64" s="198"/>
      <c r="U64" s="198"/>
    </row>
    <row r="65" spans="1:21" s="12" customFormat="1" x14ac:dyDescent="0.25">
      <c r="A65" s="214" t="s">
        <v>2224</v>
      </c>
      <c r="B65" s="64">
        <v>2.4</v>
      </c>
      <c r="C65" s="64">
        <v>35.409999999999997</v>
      </c>
      <c r="D65" s="64">
        <v>20.34</v>
      </c>
      <c r="E65" s="64">
        <v>2.17</v>
      </c>
      <c r="F65" s="64">
        <v>5.0199999999999996</v>
      </c>
      <c r="G65" s="64">
        <v>40.97</v>
      </c>
      <c r="H65" s="64">
        <v>45.25</v>
      </c>
      <c r="I65" s="64">
        <v>6.37</v>
      </c>
      <c r="J65" s="64">
        <v>0.14000000000000001</v>
      </c>
      <c r="K65" s="64">
        <v>40.49</v>
      </c>
      <c r="L65" s="64">
        <v>37.65</v>
      </c>
      <c r="M65" s="64">
        <v>20.36</v>
      </c>
      <c r="N65" s="64">
        <v>663.6</v>
      </c>
      <c r="O65" s="64">
        <v>0</v>
      </c>
      <c r="P65" s="64">
        <v>0.53</v>
      </c>
      <c r="Q65" s="64">
        <v>9.15</v>
      </c>
      <c r="R65" s="198"/>
      <c r="S65" s="198"/>
      <c r="T65" s="198"/>
      <c r="U65" s="198"/>
    </row>
    <row r="66" spans="1:21" s="12" customFormat="1" x14ac:dyDescent="0.25">
      <c r="A66" s="214" t="s">
        <v>2225</v>
      </c>
      <c r="B66" s="64">
        <v>2.41</v>
      </c>
      <c r="C66" s="64">
        <v>34.43</v>
      </c>
      <c r="D66" s="64">
        <v>19.84</v>
      </c>
      <c r="E66" s="64">
        <v>2.14</v>
      </c>
      <c r="F66" s="64">
        <v>5.01</v>
      </c>
      <c r="G66" s="64">
        <v>40.97</v>
      </c>
      <c r="H66" s="64">
        <v>45.25</v>
      </c>
      <c r="I66" s="64">
        <v>6.73</v>
      </c>
      <c r="J66" s="64">
        <v>0.82</v>
      </c>
      <c r="K66" s="64">
        <v>100.78</v>
      </c>
      <c r="L66" s="64">
        <v>36.94</v>
      </c>
      <c r="M66" s="64">
        <v>20.21</v>
      </c>
      <c r="N66" s="64">
        <v>423.5</v>
      </c>
      <c r="O66" s="64">
        <v>0</v>
      </c>
      <c r="P66" s="64">
        <v>0.52</v>
      </c>
      <c r="Q66" s="64">
        <v>9.15</v>
      </c>
      <c r="R66" s="198"/>
      <c r="S66" s="198"/>
      <c r="T66" s="198"/>
      <c r="U66" s="198"/>
    </row>
    <row r="67" spans="1:21" s="12" customFormat="1" x14ac:dyDescent="0.25">
      <c r="A67" s="214" t="s">
        <v>2226</v>
      </c>
      <c r="B67" s="64">
        <v>2.2999999999999998</v>
      </c>
      <c r="C67" s="64">
        <v>32.83</v>
      </c>
      <c r="D67" s="64">
        <v>18.920000000000002</v>
      </c>
      <c r="E67" s="64">
        <v>2.02</v>
      </c>
      <c r="F67" s="64">
        <v>5.52</v>
      </c>
      <c r="G67" s="64">
        <v>40.97</v>
      </c>
      <c r="H67" s="64">
        <v>45.25</v>
      </c>
      <c r="I67" s="64">
        <v>7.09</v>
      </c>
      <c r="J67" s="64">
        <v>1.61</v>
      </c>
      <c r="K67" s="64">
        <v>104.49</v>
      </c>
      <c r="L67" s="64">
        <v>35.729999999999997</v>
      </c>
      <c r="M67" s="64">
        <v>20.32</v>
      </c>
      <c r="N67" s="64">
        <v>339.1</v>
      </c>
      <c r="O67" s="64">
        <v>0</v>
      </c>
      <c r="P67" s="64">
        <v>0.5</v>
      </c>
      <c r="Q67" s="64">
        <v>9.23</v>
      </c>
      <c r="R67" s="198"/>
      <c r="S67" s="198"/>
      <c r="T67" s="198"/>
      <c r="U67" s="198"/>
    </row>
    <row r="68" spans="1:21" s="12" customFormat="1" x14ac:dyDescent="0.25">
      <c r="A68" s="214" t="s">
        <v>2227</v>
      </c>
      <c r="B68" s="64">
        <v>2.1800000000000002</v>
      </c>
      <c r="C68" s="64">
        <v>33.24</v>
      </c>
      <c r="D68" s="64">
        <v>19.03</v>
      </c>
      <c r="E68" s="64">
        <v>2.0699999999999998</v>
      </c>
      <c r="F68" s="64">
        <v>5.38</v>
      </c>
      <c r="G68" s="64">
        <v>40.840000000000003</v>
      </c>
      <c r="H68" s="64">
        <v>44.46</v>
      </c>
      <c r="I68" s="64">
        <v>7.74</v>
      </c>
      <c r="J68" s="64">
        <v>0.18</v>
      </c>
      <c r="K68" s="64">
        <v>193.2</v>
      </c>
      <c r="L68" s="64">
        <v>36.200000000000003</v>
      </c>
      <c r="M68" s="64">
        <v>19.55</v>
      </c>
      <c r="N68" s="64">
        <v>350.9</v>
      </c>
      <c r="O68" s="64">
        <v>0</v>
      </c>
      <c r="P68" s="64">
        <v>0.48</v>
      </c>
      <c r="Q68" s="64">
        <v>9.19</v>
      </c>
      <c r="R68" s="198"/>
      <c r="S68" s="198"/>
      <c r="T68" s="198"/>
      <c r="U68" s="198"/>
    </row>
    <row r="69" spans="1:21" s="12" customFormat="1" x14ac:dyDescent="0.25">
      <c r="A69" s="214" t="s">
        <v>2228</v>
      </c>
      <c r="B69" s="64">
        <v>1.97</v>
      </c>
      <c r="C69" s="64">
        <v>33.39</v>
      </c>
      <c r="D69" s="64">
        <v>18.940000000000001</v>
      </c>
      <c r="E69" s="64">
        <v>2.4</v>
      </c>
      <c r="F69" s="64">
        <v>5.86</v>
      </c>
      <c r="G69" s="64">
        <v>39.06</v>
      </c>
      <c r="H69" s="64">
        <v>33.47</v>
      </c>
      <c r="I69" s="64">
        <v>8.58</v>
      </c>
      <c r="J69" s="64">
        <v>0.48</v>
      </c>
      <c r="K69" s="64">
        <v>334.55</v>
      </c>
      <c r="L69" s="64">
        <v>37.450000000000003</v>
      </c>
      <c r="M69" s="64">
        <v>18.829999999999998</v>
      </c>
      <c r="N69" s="64">
        <v>296.7</v>
      </c>
      <c r="O69" s="64">
        <v>0</v>
      </c>
      <c r="P69" s="64">
        <v>0.47</v>
      </c>
      <c r="Q69" s="64">
        <v>9.16</v>
      </c>
      <c r="R69" s="198"/>
      <c r="S69" s="198"/>
      <c r="T69" s="198"/>
      <c r="U69" s="198"/>
    </row>
    <row r="70" spans="1:21" s="12" customFormat="1" x14ac:dyDescent="0.25">
      <c r="A70" s="214" t="s">
        <v>2229</v>
      </c>
      <c r="B70" s="64">
        <v>1.86</v>
      </c>
      <c r="C70" s="64">
        <v>35.19</v>
      </c>
      <c r="D70" s="64">
        <v>19.8</v>
      </c>
      <c r="E70" s="64">
        <v>2.31</v>
      </c>
      <c r="F70" s="64">
        <v>6.51</v>
      </c>
      <c r="G70" s="64">
        <v>39.06</v>
      </c>
      <c r="H70" s="64">
        <v>33.47</v>
      </c>
      <c r="I70" s="64">
        <v>8.6999999999999993</v>
      </c>
      <c r="J70" s="64">
        <v>0.71</v>
      </c>
      <c r="K70" s="64">
        <v>341.88</v>
      </c>
      <c r="L70" s="64">
        <v>37.54</v>
      </c>
      <c r="M70" s="64">
        <v>18.829999999999998</v>
      </c>
      <c r="N70" s="64">
        <v>228.1</v>
      </c>
      <c r="O70" s="64">
        <v>0</v>
      </c>
      <c r="P70" s="64">
        <v>0.46</v>
      </c>
      <c r="Q70" s="64">
        <v>9.17</v>
      </c>
      <c r="R70" s="198"/>
      <c r="S70" s="198"/>
      <c r="T70" s="198"/>
      <c r="U70" s="198"/>
    </row>
    <row r="71" spans="1:21" s="12" customFormat="1" x14ac:dyDescent="0.25">
      <c r="A71" s="214" t="s">
        <v>2230</v>
      </c>
      <c r="B71" s="64">
        <v>1.91</v>
      </c>
      <c r="C71" s="64">
        <v>35.659999999999997</v>
      </c>
      <c r="D71" s="64">
        <v>20.09</v>
      </c>
      <c r="E71" s="64">
        <v>2.2000000000000002</v>
      </c>
      <c r="F71" s="64">
        <v>5.82</v>
      </c>
      <c r="G71" s="64">
        <v>39.06</v>
      </c>
      <c r="H71" s="64">
        <v>33.47</v>
      </c>
      <c r="I71" s="64">
        <v>8.3800000000000008</v>
      </c>
      <c r="J71" s="64">
        <v>0.83</v>
      </c>
      <c r="K71" s="64">
        <v>333.15</v>
      </c>
      <c r="L71" s="64">
        <v>37.64</v>
      </c>
      <c r="M71" s="64">
        <v>18.98</v>
      </c>
      <c r="N71" s="64">
        <v>184</v>
      </c>
      <c r="O71" s="64">
        <v>0</v>
      </c>
      <c r="P71" s="64">
        <v>0.46</v>
      </c>
      <c r="Q71" s="64">
        <v>9.16</v>
      </c>
      <c r="R71" s="198"/>
      <c r="S71" s="198"/>
      <c r="T71" s="198"/>
      <c r="U71" s="198"/>
    </row>
    <row r="72" spans="1:21" s="12" customFormat="1" x14ac:dyDescent="0.25">
      <c r="A72" s="214" t="s">
        <v>2231</v>
      </c>
      <c r="B72" s="64">
        <v>1.95</v>
      </c>
      <c r="C72" s="64">
        <v>34.22</v>
      </c>
      <c r="D72" s="64">
        <v>19.36</v>
      </c>
      <c r="E72" s="64">
        <v>1.1000000000000001</v>
      </c>
      <c r="F72" s="64">
        <v>5.8</v>
      </c>
      <c r="G72" s="64">
        <v>39.24</v>
      </c>
      <c r="H72" s="64">
        <v>32.81</v>
      </c>
      <c r="I72" s="64">
        <v>8.08</v>
      </c>
      <c r="J72" s="64">
        <v>0.81</v>
      </c>
      <c r="K72" s="64">
        <v>322.67</v>
      </c>
      <c r="L72" s="64">
        <v>37.24</v>
      </c>
      <c r="M72" s="64">
        <v>19.47</v>
      </c>
      <c r="N72" s="64">
        <v>175.2</v>
      </c>
      <c r="O72" s="64">
        <v>0</v>
      </c>
      <c r="P72" s="64">
        <v>0.45</v>
      </c>
      <c r="Q72" s="64">
        <v>9.17</v>
      </c>
      <c r="R72" s="198"/>
      <c r="S72" s="198"/>
      <c r="T72" s="198"/>
      <c r="U72" s="198"/>
    </row>
    <row r="73" spans="1:21" s="12" customFormat="1" x14ac:dyDescent="0.25">
      <c r="A73" s="214" t="s">
        <v>2232</v>
      </c>
      <c r="B73" s="64">
        <v>2</v>
      </c>
      <c r="C73" s="64">
        <v>36.19</v>
      </c>
      <c r="D73" s="64">
        <v>20.43</v>
      </c>
      <c r="E73" s="64">
        <v>1</v>
      </c>
      <c r="F73" s="64">
        <v>5.35</v>
      </c>
      <c r="G73" s="64">
        <v>41.78</v>
      </c>
      <c r="H73" s="64">
        <v>23.54</v>
      </c>
      <c r="I73" s="64">
        <v>7.77</v>
      </c>
      <c r="J73" s="64">
        <v>0.3</v>
      </c>
      <c r="K73" s="64">
        <v>331.36</v>
      </c>
      <c r="L73" s="64">
        <v>36.46</v>
      </c>
      <c r="M73" s="64">
        <v>19.47</v>
      </c>
      <c r="N73" s="64">
        <v>161.1</v>
      </c>
      <c r="O73" s="64">
        <v>0</v>
      </c>
      <c r="P73" s="64">
        <v>0.45</v>
      </c>
      <c r="Q73" s="64">
        <v>9.2200000000000006</v>
      </c>
      <c r="R73" s="198"/>
      <c r="S73" s="198"/>
      <c r="T73" s="198"/>
      <c r="U73" s="198"/>
    </row>
    <row r="74" spans="1:21" s="12" customFormat="1" x14ac:dyDescent="0.25">
      <c r="A74" s="214" t="s">
        <v>2233</v>
      </c>
      <c r="B74" s="64">
        <v>2.11</v>
      </c>
      <c r="C74" s="64">
        <v>34.729999999999997</v>
      </c>
      <c r="D74" s="64">
        <v>19.760000000000002</v>
      </c>
      <c r="E74" s="64">
        <v>0.98</v>
      </c>
      <c r="F74" s="64">
        <v>4.95</v>
      </c>
      <c r="G74" s="64">
        <v>41.78</v>
      </c>
      <c r="H74" s="64">
        <v>23.54</v>
      </c>
      <c r="I74" s="64">
        <v>7.57</v>
      </c>
      <c r="J74" s="64">
        <v>0.57999999999999996</v>
      </c>
      <c r="K74" s="64">
        <v>356.69</v>
      </c>
      <c r="L74" s="64">
        <v>36.01</v>
      </c>
      <c r="M74" s="64">
        <v>20.72</v>
      </c>
      <c r="N74" s="64">
        <v>139.6</v>
      </c>
      <c r="O74" s="64">
        <v>0</v>
      </c>
      <c r="P74" s="64">
        <v>0.45</v>
      </c>
      <c r="Q74" s="64">
        <v>9.14</v>
      </c>
      <c r="R74" s="198"/>
      <c r="S74" s="198"/>
      <c r="T74" s="198"/>
      <c r="U74" s="198"/>
    </row>
    <row r="75" spans="1:21" s="12" customFormat="1" x14ac:dyDescent="0.25">
      <c r="A75" s="214" t="s">
        <v>2234</v>
      </c>
      <c r="B75" s="64">
        <v>2.29</v>
      </c>
      <c r="C75" s="64">
        <v>33.61</v>
      </c>
      <c r="D75" s="64">
        <v>19.309999999999999</v>
      </c>
      <c r="E75" s="64">
        <v>0.98</v>
      </c>
      <c r="F75" s="64">
        <v>5.27</v>
      </c>
      <c r="G75" s="64">
        <v>41.78</v>
      </c>
      <c r="H75" s="64">
        <v>23.54</v>
      </c>
      <c r="I75" s="64">
        <v>7.64</v>
      </c>
      <c r="J75" s="64">
        <v>0.15</v>
      </c>
      <c r="K75" s="64">
        <v>10.02</v>
      </c>
      <c r="L75" s="64">
        <v>35.67</v>
      </c>
      <c r="M75" s="64">
        <v>20.57</v>
      </c>
      <c r="N75" s="64">
        <v>115.7</v>
      </c>
      <c r="O75" s="64">
        <v>0</v>
      </c>
      <c r="P75" s="64">
        <v>0.47</v>
      </c>
      <c r="Q75" s="64">
        <v>9.17</v>
      </c>
      <c r="R75" s="198"/>
      <c r="S75" s="198"/>
      <c r="T75" s="198"/>
      <c r="U75" s="198"/>
    </row>
    <row r="76" spans="1:21" s="12" customFormat="1" x14ac:dyDescent="0.25">
      <c r="A76" s="214" t="s">
        <v>2235</v>
      </c>
      <c r="B76" s="64">
        <v>2.34</v>
      </c>
      <c r="C76" s="64">
        <v>36.950000000000003</v>
      </c>
      <c r="D76" s="64">
        <v>21.1</v>
      </c>
      <c r="E76" s="64">
        <v>1.01</v>
      </c>
      <c r="F76" s="64">
        <v>4.72</v>
      </c>
      <c r="G76" s="64">
        <v>41.82</v>
      </c>
      <c r="H76" s="64">
        <v>28.85</v>
      </c>
      <c r="I76" s="64">
        <v>7.21</v>
      </c>
      <c r="J76" s="64">
        <v>0.15</v>
      </c>
      <c r="K76" s="64">
        <v>177.48</v>
      </c>
      <c r="L76" s="64">
        <v>35.57</v>
      </c>
      <c r="M76" s="64">
        <v>19.510000000000002</v>
      </c>
      <c r="N76" s="64">
        <v>143.5</v>
      </c>
      <c r="O76" s="64">
        <v>0</v>
      </c>
      <c r="P76" s="64">
        <v>0.47</v>
      </c>
      <c r="Q76" s="64">
        <v>9.19</v>
      </c>
      <c r="R76" s="198"/>
      <c r="S76" s="198"/>
      <c r="T76" s="198"/>
      <c r="U76" s="198"/>
    </row>
    <row r="77" spans="1:21" s="12" customFormat="1" x14ac:dyDescent="0.25">
      <c r="A77" s="214" t="s">
        <v>2236</v>
      </c>
      <c r="B77" s="64">
        <v>2.16</v>
      </c>
      <c r="C77" s="64">
        <v>37.28</v>
      </c>
      <c r="D77" s="64">
        <v>21.13</v>
      </c>
      <c r="E77" s="64">
        <v>1.24</v>
      </c>
      <c r="F77" s="64">
        <v>4.7</v>
      </c>
      <c r="G77" s="64">
        <v>42.43</v>
      </c>
      <c r="H77" s="64">
        <v>119.21</v>
      </c>
      <c r="I77" s="64">
        <v>6.58</v>
      </c>
      <c r="J77" s="64">
        <v>0.15</v>
      </c>
      <c r="K77" s="64">
        <v>138.69999999999999</v>
      </c>
      <c r="L77" s="64">
        <v>35.619999999999997</v>
      </c>
      <c r="M77" s="64">
        <v>20.28</v>
      </c>
      <c r="N77" s="64">
        <v>93.6</v>
      </c>
      <c r="O77" s="64">
        <v>0</v>
      </c>
      <c r="P77" s="64">
        <v>0.44</v>
      </c>
      <c r="Q77" s="64">
        <v>9.15</v>
      </c>
      <c r="R77" s="198"/>
      <c r="S77" s="198"/>
      <c r="T77" s="198"/>
      <c r="U77" s="198"/>
    </row>
    <row r="78" spans="1:21" s="12" customFormat="1" x14ac:dyDescent="0.25">
      <c r="A78" s="214" t="s">
        <v>2237</v>
      </c>
      <c r="B78" s="64">
        <v>2.04</v>
      </c>
      <c r="C78" s="64">
        <v>36.79</v>
      </c>
      <c r="D78" s="64">
        <v>20.78</v>
      </c>
      <c r="E78" s="64">
        <v>1.06</v>
      </c>
      <c r="F78" s="64">
        <v>5.0999999999999996</v>
      </c>
      <c r="G78" s="64">
        <v>42.43</v>
      </c>
      <c r="H78" s="64">
        <v>119.21</v>
      </c>
      <c r="I78" s="64">
        <v>6.32</v>
      </c>
      <c r="J78" s="64">
        <v>0.44</v>
      </c>
      <c r="K78" s="64">
        <v>154.43</v>
      </c>
      <c r="L78" s="64">
        <v>34.89</v>
      </c>
      <c r="M78" s="64">
        <v>21.27</v>
      </c>
      <c r="N78" s="64">
        <v>52.5</v>
      </c>
      <c r="O78" s="64">
        <v>0</v>
      </c>
      <c r="P78" s="64">
        <v>0.44</v>
      </c>
      <c r="Q78" s="64">
        <v>9.16</v>
      </c>
      <c r="R78" s="198"/>
      <c r="S78" s="198"/>
      <c r="T78" s="198"/>
      <c r="U78" s="198"/>
    </row>
    <row r="79" spans="1:21" s="12" customFormat="1" x14ac:dyDescent="0.25">
      <c r="A79" s="214" t="s">
        <v>2238</v>
      </c>
      <c r="B79" s="64">
        <v>2.0699999999999998</v>
      </c>
      <c r="C79" s="64">
        <v>36.33</v>
      </c>
      <c r="D79" s="64">
        <v>20.56</v>
      </c>
      <c r="E79" s="64">
        <v>1.01</v>
      </c>
      <c r="F79" s="64">
        <v>4.32</v>
      </c>
      <c r="G79" s="64">
        <v>42.43</v>
      </c>
      <c r="H79" s="64">
        <v>119.21</v>
      </c>
      <c r="I79" s="64">
        <v>6.4</v>
      </c>
      <c r="J79" s="64">
        <v>0.3</v>
      </c>
      <c r="K79" s="64">
        <v>223.69</v>
      </c>
      <c r="L79" s="64">
        <v>34.49</v>
      </c>
      <c r="M79" s="64">
        <v>21.78</v>
      </c>
      <c r="N79" s="64">
        <v>40.799999999999997</v>
      </c>
      <c r="O79" s="64">
        <v>0</v>
      </c>
      <c r="P79" s="64">
        <v>0.42</v>
      </c>
      <c r="Q79" s="64">
        <v>9.17</v>
      </c>
      <c r="R79" s="198"/>
      <c r="S79" s="198"/>
      <c r="T79" s="198"/>
      <c r="U79" s="198"/>
    </row>
    <row r="80" spans="1:21" s="12" customFormat="1" x14ac:dyDescent="0.25">
      <c r="A80" s="214" t="s">
        <v>2239</v>
      </c>
      <c r="B80" s="64">
        <v>2.19</v>
      </c>
      <c r="C80" s="64">
        <v>36.36</v>
      </c>
      <c r="D80" s="64">
        <v>20.67</v>
      </c>
      <c r="E80" s="64">
        <v>1.0900000000000001</v>
      </c>
      <c r="F80" s="64">
        <v>4.07</v>
      </c>
      <c r="G80" s="64">
        <v>42.6</v>
      </c>
      <c r="H80" s="64">
        <v>112.37</v>
      </c>
      <c r="I80" s="64">
        <v>6.6</v>
      </c>
      <c r="J80" s="64">
        <v>0.53</v>
      </c>
      <c r="K80" s="64">
        <v>153.46</v>
      </c>
      <c r="L80" s="64">
        <v>34.04</v>
      </c>
      <c r="M80" s="64">
        <v>24.4</v>
      </c>
      <c r="N80" s="64">
        <v>37.4</v>
      </c>
      <c r="O80" s="64">
        <v>0</v>
      </c>
      <c r="P80" s="64">
        <v>0.43</v>
      </c>
      <c r="Q80" s="64">
        <v>9.15</v>
      </c>
      <c r="R80" s="198"/>
      <c r="S80" s="198"/>
      <c r="T80" s="198"/>
      <c r="U80" s="198"/>
    </row>
    <row r="81" spans="1:26" s="12" customFormat="1" x14ac:dyDescent="0.25">
      <c r="A81" s="214" t="s">
        <v>2240</v>
      </c>
      <c r="B81" s="64">
        <v>2.42</v>
      </c>
      <c r="C81" s="64">
        <v>36.43</v>
      </c>
      <c r="D81" s="64">
        <v>20.9</v>
      </c>
      <c r="E81" s="64">
        <v>1.06</v>
      </c>
      <c r="F81" s="64">
        <v>4.07</v>
      </c>
      <c r="G81" s="64">
        <v>44.88</v>
      </c>
      <c r="H81" s="64">
        <v>16.670000000000002</v>
      </c>
      <c r="I81" s="64">
        <v>5.44</v>
      </c>
      <c r="J81" s="64">
        <v>0.04</v>
      </c>
      <c r="K81" s="64">
        <v>308.42</v>
      </c>
      <c r="L81" s="64">
        <v>33.46</v>
      </c>
      <c r="M81" s="64">
        <v>26.64</v>
      </c>
      <c r="N81" s="64">
        <v>23.3</v>
      </c>
      <c r="O81" s="64">
        <v>0</v>
      </c>
      <c r="P81" s="64">
        <v>0.44</v>
      </c>
      <c r="Q81" s="64">
        <v>9.1999999999999993</v>
      </c>
      <c r="R81" s="198"/>
      <c r="S81" s="198"/>
      <c r="T81" s="198"/>
      <c r="U81" s="198"/>
    </row>
    <row r="82" spans="1:26" s="12" customFormat="1" x14ac:dyDescent="0.25">
      <c r="A82" s="214" t="s">
        <v>2241</v>
      </c>
      <c r="B82" s="64">
        <v>2.56</v>
      </c>
      <c r="C82" s="64">
        <v>36.21</v>
      </c>
      <c r="D82" s="64">
        <v>20.89</v>
      </c>
      <c r="E82" s="64">
        <v>1.05</v>
      </c>
      <c r="F82" s="64">
        <v>4.1900000000000004</v>
      </c>
      <c r="G82" s="64">
        <v>44.88</v>
      </c>
      <c r="H82" s="64">
        <v>16.670000000000002</v>
      </c>
      <c r="I82" s="64">
        <v>5.89</v>
      </c>
      <c r="J82" s="64">
        <v>0.1</v>
      </c>
      <c r="K82" s="64">
        <v>329.71</v>
      </c>
      <c r="L82" s="64">
        <v>32.9</v>
      </c>
      <c r="M82" s="64">
        <v>29.37</v>
      </c>
      <c r="N82" s="64">
        <v>17.100000000000001</v>
      </c>
      <c r="O82" s="64">
        <v>0</v>
      </c>
      <c r="P82" s="64">
        <v>0.44</v>
      </c>
      <c r="Q82" s="64">
        <v>9.15</v>
      </c>
      <c r="R82" s="198"/>
      <c r="S82" s="198"/>
      <c r="T82" s="198"/>
      <c r="U82" s="198"/>
    </row>
    <row r="83" spans="1:26" s="12" customFormat="1" x14ac:dyDescent="0.25">
      <c r="A83" s="214" t="s">
        <v>2242</v>
      </c>
      <c r="B83" s="64">
        <v>2.65</v>
      </c>
      <c r="C83" s="64">
        <v>35.380000000000003</v>
      </c>
      <c r="D83" s="64">
        <v>20.53</v>
      </c>
      <c r="E83" s="64">
        <v>1.24</v>
      </c>
      <c r="F83" s="64">
        <v>3.78</v>
      </c>
      <c r="G83" s="64">
        <v>44.88</v>
      </c>
      <c r="H83" s="64">
        <v>16.670000000000002</v>
      </c>
      <c r="I83" s="64">
        <v>5.75</v>
      </c>
      <c r="J83" s="64">
        <v>0.23</v>
      </c>
      <c r="K83" s="64">
        <v>218.22</v>
      </c>
      <c r="L83" s="64">
        <v>32.270000000000003</v>
      </c>
      <c r="M83" s="64">
        <v>31.26</v>
      </c>
      <c r="N83" s="64">
        <v>15.8</v>
      </c>
      <c r="O83" s="64">
        <v>0</v>
      </c>
      <c r="P83" s="64">
        <v>0.45</v>
      </c>
      <c r="Q83" s="64">
        <v>9.18</v>
      </c>
      <c r="R83" s="198"/>
      <c r="S83" s="198"/>
      <c r="T83" s="198"/>
      <c r="U83" s="198"/>
    </row>
    <row r="84" spans="1:26" s="12" customFormat="1" x14ac:dyDescent="0.25">
      <c r="A84" s="214" t="s">
        <v>2243</v>
      </c>
      <c r="B84" s="64">
        <v>2.74</v>
      </c>
      <c r="C84" s="64">
        <v>35.36</v>
      </c>
      <c r="D84" s="64">
        <v>20.59</v>
      </c>
      <c r="E84" s="64">
        <v>1.25</v>
      </c>
      <c r="F84" s="64">
        <v>3.28</v>
      </c>
      <c r="G84" s="64">
        <v>45.46</v>
      </c>
      <c r="H84" s="64">
        <v>17</v>
      </c>
      <c r="I84" s="64">
        <v>5.77</v>
      </c>
      <c r="J84" s="64">
        <v>0.09</v>
      </c>
      <c r="K84" s="64">
        <v>140.65</v>
      </c>
      <c r="L84" s="64">
        <v>31.82</v>
      </c>
      <c r="M84" s="64">
        <v>32.159999999999997</v>
      </c>
      <c r="N84" s="64">
        <v>15.8</v>
      </c>
      <c r="O84" s="64">
        <v>0</v>
      </c>
      <c r="P84" s="64">
        <v>0.47</v>
      </c>
      <c r="Q84" s="64">
        <v>9.17</v>
      </c>
      <c r="R84" s="198"/>
      <c r="S84" s="198"/>
      <c r="T84" s="198"/>
      <c r="U84" s="198"/>
    </row>
    <row r="85" spans="1:26" s="12" customFormat="1" x14ac:dyDescent="0.25">
      <c r="A85" s="214" t="s">
        <v>2244</v>
      </c>
      <c r="B85" s="64">
        <v>3.08</v>
      </c>
      <c r="C85" s="64">
        <v>35.74</v>
      </c>
      <c r="D85" s="64">
        <v>21.07</v>
      </c>
      <c r="E85" s="64">
        <v>1.1100000000000001</v>
      </c>
      <c r="F85" s="64">
        <v>3.27</v>
      </c>
      <c r="G85" s="64">
        <v>53.66</v>
      </c>
      <c r="H85" s="64">
        <v>21.59</v>
      </c>
      <c r="I85" s="64">
        <v>5.81</v>
      </c>
      <c r="J85" s="64">
        <v>0.16</v>
      </c>
      <c r="K85" s="64">
        <v>349.98</v>
      </c>
      <c r="L85" s="64">
        <v>31.12</v>
      </c>
      <c r="M85" s="64">
        <v>38.61</v>
      </c>
      <c r="N85" s="64">
        <v>16.2</v>
      </c>
      <c r="O85" s="64">
        <v>0</v>
      </c>
      <c r="P85" s="64">
        <v>0.51</v>
      </c>
      <c r="Q85" s="64">
        <v>9.14</v>
      </c>
      <c r="R85" s="198"/>
      <c r="S85" s="198"/>
      <c r="T85" s="198"/>
      <c r="U85" s="198"/>
    </row>
    <row r="86" spans="1:26" s="12" customFormat="1" x14ac:dyDescent="0.25">
      <c r="A86" s="214" t="s">
        <v>2245</v>
      </c>
      <c r="B86" s="64">
        <v>3.78</v>
      </c>
      <c r="C86" s="64">
        <v>37.14</v>
      </c>
      <c r="D86" s="64">
        <v>22.36</v>
      </c>
      <c r="E86" s="64">
        <v>1.5</v>
      </c>
      <c r="F86" s="64">
        <v>3.85</v>
      </c>
      <c r="G86" s="64">
        <v>53.66</v>
      </c>
      <c r="H86" s="64">
        <v>21.59</v>
      </c>
      <c r="I86" s="64">
        <v>6.32</v>
      </c>
      <c r="J86" s="64">
        <v>0.17</v>
      </c>
      <c r="K86" s="64">
        <v>241.01</v>
      </c>
      <c r="L86" s="64">
        <v>30.36</v>
      </c>
      <c r="M86" s="64">
        <v>38.79</v>
      </c>
      <c r="N86" s="64">
        <v>15.8</v>
      </c>
      <c r="O86" s="64">
        <v>0</v>
      </c>
      <c r="P86" s="64">
        <v>0.57999999999999996</v>
      </c>
      <c r="Q86" s="64">
        <v>9.23</v>
      </c>
      <c r="R86" s="198"/>
      <c r="S86" s="198"/>
      <c r="T86" s="198"/>
      <c r="U86" s="198"/>
    </row>
    <row r="87" spans="1:26" s="12" customFormat="1" x14ac:dyDescent="0.25">
      <c r="A87" s="214" t="s">
        <v>2246</v>
      </c>
      <c r="B87" s="64">
        <v>4.1900000000000004</v>
      </c>
      <c r="C87" s="64">
        <v>37.119999999999997</v>
      </c>
      <c r="D87" s="64">
        <v>22.68</v>
      </c>
      <c r="E87" s="64">
        <v>1.33</v>
      </c>
      <c r="F87" s="64">
        <v>3.79</v>
      </c>
      <c r="G87" s="64">
        <v>53.66</v>
      </c>
      <c r="H87" s="64">
        <v>21.59</v>
      </c>
      <c r="I87" s="64">
        <v>7.15</v>
      </c>
      <c r="J87" s="64">
        <v>0.14000000000000001</v>
      </c>
      <c r="K87" s="64">
        <v>276.44</v>
      </c>
      <c r="L87" s="64">
        <v>30.46</v>
      </c>
      <c r="M87" s="64">
        <v>37.15</v>
      </c>
      <c r="N87" s="64">
        <v>15.7</v>
      </c>
      <c r="O87" s="64">
        <v>0</v>
      </c>
      <c r="P87" s="64">
        <v>0.59</v>
      </c>
      <c r="Q87" s="64">
        <v>9.23</v>
      </c>
      <c r="R87" s="198"/>
      <c r="S87" s="198"/>
      <c r="T87" s="198"/>
      <c r="U87" s="198"/>
    </row>
    <row r="88" spans="1:26" s="12" customFormat="1" x14ac:dyDescent="0.25">
      <c r="A88" s="214" t="s">
        <v>2247</v>
      </c>
      <c r="B88" s="64">
        <v>4.4400000000000004</v>
      </c>
      <c r="C88" s="64">
        <v>37.51</v>
      </c>
      <c r="D88" s="64">
        <v>23.08</v>
      </c>
      <c r="E88" s="64">
        <v>1.85</v>
      </c>
      <c r="F88" s="64">
        <v>3.76</v>
      </c>
      <c r="G88" s="64">
        <v>54.53</v>
      </c>
      <c r="H88" s="64">
        <v>22.2</v>
      </c>
      <c r="I88" s="64">
        <v>7.56</v>
      </c>
      <c r="J88" s="64">
        <v>0.21</v>
      </c>
      <c r="K88" s="64">
        <v>239.81</v>
      </c>
      <c r="L88" s="64">
        <v>31.07</v>
      </c>
      <c r="M88" s="64">
        <v>34.270000000000003</v>
      </c>
      <c r="N88" s="64">
        <v>15.1</v>
      </c>
      <c r="O88" s="64">
        <v>0</v>
      </c>
      <c r="P88" s="64">
        <v>0.63</v>
      </c>
      <c r="Q88" s="64">
        <v>9.15</v>
      </c>
      <c r="R88" s="198"/>
      <c r="S88" s="198"/>
      <c r="T88" s="198"/>
      <c r="U88" s="198"/>
    </row>
    <row r="89" spans="1:26" s="12" customFormat="1" x14ac:dyDescent="0.25">
      <c r="A89" s="214" t="s">
        <v>2248</v>
      </c>
      <c r="B89" s="64">
        <v>4.46</v>
      </c>
      <c r="C89" s="64">
        <v>38.32</v>
      </c>
      <c r="D89" s="64">
        <v>23.52</v>
      </c>
      <c r="E89" s="64">
        <v>2.82</v>
      </c>
      <c r="F89" s="64">
        <v>3.81</v>
      </c>
      <c r="G89" s="64">
        <v>66.66</v>
      </c>
      <c r="H89" s="64">
        <v>30.86</v>
      </c>
      <c r="I89" s="64">
        <v>7.83</v>
      </c>
      <c r="J89" s="64">
        <v>0.14000000000000001</v>
      </c>
      <c r="K89" s="64">
        <v>236.59</v>
      </c>
      <c r="L89" s="64">
        <v>31.18</v>
      </c>
      <c r="M89" s="64">
        <v>33.520000000000003</v>
      </c>
      <c r="N89" s="64">
        <v>15.4</v>
      </c>
      <c r="O89" s="64">
        <v>0</v>
      </c>
      <c r="P89" s="64">
        <v>0.64</v>
      </c>
      <c r="Q89" s="64">
        <v>9.16</v>
      </c>
      <c r="R89" s="198"/>
      <c r="S89" s="198"/>
      <c r="T89" s="198"/>
      <c r="U89" s="198"/>
    </row>
    <row r="90" spans="1:26" s="12" customFormat="1" x14ac:dyDescent="0.25">
      <c r="A90" s="214" t="s">
        <v>2249</v>
      </c>
      <c r="B90" s="64">
        <v>4.24</v>
      </c>
      <c r="C90" s="64">
        <v>39.36</v>
      </c>
      <c r="D90" s="64">
        <v>23.88</v>
      </c>
      <c r="E90" s="64">
        <v>2.66</v>
      </c>
      <c r="F90" s="64">
        <v>4.05</v>
      </c>
      <c r="G90" s="64">
        <v>66.66</v>
      </c>
      <c r="H90" s="64">
        <v>30.86</v>
      </c>
      <c r="I90" s="64">
        <v>7.78</v>
      </c>
      <c r="J90" s="64">
        <v>0.36</v>
      </c>
      <c r="K90" s="64">
        <v>184.97</v>
      </c>
      <c r="L90" s="64">
        <v>31.2</v>
      </c>
      <c r="M90" s="64">
        <v>33.94</v>
      </c>
      <c r="N90" s="64">
        <v>15.1</v>
      </c>
      <c r="O90" s="64">
        <v>0</v>
      </c>
      <c r="P90" s="64">
        <v>0.65</v>
      </c>
      <c r="Q90" s="64">
        <v>9.25</v>
      </c>
      <c r="R90" s="198"/>
      <c r="S90" s="198"/>
      <c r="T90" s="198"/>
      <c r="U90" s="198"/>
    </row>
    <row r="91" spans="1:26" s="12" customFormat="1" x14ac:dyDescent="0.25">
      <c r="A91" s="214" t="s">
        <v>2250</v>
      </c>
      <c r="B91" s="64">
        <v>3.76</v>
      </c>
      <c r="C91" s="64">
        <v>39.42</v>
      </c>
      <c r="D91" s="64">
        <v>23.53</v>
      </c>
      <c r="E91" s="64">
        <v>2.87</v>
      </c>
      <c r="F91" s="64">
        <v>4.3</v>
      </c>
      <c r="G91" s="64">
        <v>66.66</v>
      </c>
      <c r="H91" s="64">
        <v>30.86</v>
      </c>
      <c r="I91" s="64">
        <v>7.49</v>
      </c>
      <c r="J91" s="64">
        <v>0.26</v>
      </c>
      <c r="K91" s="64">
        <v>189.52</v>
      </c>
      <c r="L91" s="64">
        <v>31.01</v>
      </c>
      <c r="M91" s="64">
        <v>33.86</v>
      </c>
      <c r="N91" s="64">
        <v>15.6</v>
      </c>
      <c r="O91" s="64">
        <v>0</v>
      </c>
      <c r="P91" s="64">
        <v>0.65</v>
      </c>
      <c r="Q91" s="64">
        <v>9.17</v>
      </c>
      <c r="R91" s="198"/>
      <c r="S91" s="198"/>
      <c r="T91" s="198"/>
      <c r="U91" s="198"/>
    </row>
    <row r="92" spans="1:26" s="12" customFormat="1" x14ac:dyDescent="0.25">
      <c r="A92" s="214" t="s">
        <v>2251</v>
      </c>
      <c r="B92" s="64">
        <v>3.21</v>
      </c>
      <c r="C92" s="64">
        <v>38.79</v>
      </c>
      <c r="D92" s="64">
        <v>22.76</v>
      </c>
      <c r="E92" s="64">
        <v>2.6</v>
      </c>
      <c r="F92" s="64">
        <v>4.37</v>
      </c>
      <c r="G92" s="64">
        <v>66.540000000000006</v>
      </c>
      <c r="H92" s="64">
        <v>28.95</v>
      </c>
      <c r="I92" s="64">
        <v>7.82</v>
      </c>
      <c r="J92" s="64">
        <v>0.89</v>
      </c>
      <c r="K92" s="64">
        <v>154.93</v>
      </c>
      <c r="L92" s="64">
        <v>30.84</v>
      </c>
      <c r="M92" s="64">
        <v>34.909999999999997</v>
      </c>
      <c r="N92" s="64">
        <v>15.3</v>
      </c>
      <c r="O92" s="64">
        <v>0</v>
      </c>
      <c r="P92" s="64">
        <v>0.64</v>
      </c>
      <c r="Q92" s="64">
        <v>9.18</v>
      </c>
      <c r="R92" s="198"/>
      <c r="S92" s="198"/>
      <c r="T92" s="198"/>
      <c r="U92" s="198"/>
    </row>
    <row r="93" spans="1:26" s="12" customFormat="1" x14ac:dyDescent="0.25">
      <c r="A93" s="214" t="s">
        <v>2252</v>
      </c>
      <c r="B93" s="64">
        <v>2.78</v>
      </c>
      <c r="C93" s="64">
        <v>38.299999999999997</v>
      </c>
      <c r="D93" s="64">
        <v>22.16</v>
      </c>
      <c r="E93" s="64">
        <v>2.52</v>
      </c>
      <c r="F93" s="64">
        <v>4.49</v>
      </c>
      <c r="G93" s="64">
        <v>64.75</v>
      </c>
      <c r="H93" s="64">
        <v>2.2799999999999998</v>
      </c>
      <c r="I93" s="64">
        <v>7.94</v>
      </c>
      <c r="J93" s="64">
        <v>1.5</v>
      </c>
      <c r="K93" s="64">
        <v>161.69</v>
      </c>
      <c r="L93" s="64">
        <v>30.63</v>
      </c>
      <c r="M93" s="64">
        <v>39.71</v>
      </c>
      <c r="N93" s="64">
        <v>15.7</v>
      </c>
      <c r="O93" s="64">
        <v>0</v>
      </c>
      <c r="P93" s="64">
        <v>0.63</v>
      </c>
      <c r="Q93" s="64">
        <v>9.18</v>
      </c>
      <c r="R93" s="198"/>
      <c r="S93" s="198"/>
      <c r="T93" s="198"/>
      <c r="U93" s="198"/>
    </row>
    <row r="94" spans="1:26" s="12" customFormat="1" x14ac:dyDescent="0.25">
      <c r="A94" s="214" t="s">
        <v>2253</v>
      </c>
      <c r="B94" s="64">
        <v>2.33</v>
      </c>
      <c r="C94" s="64">
        <v>36.86</v>
      </c>
      <c r="D94" s="64">
        <v>21.05</v>
      </c>
      <c r="E94" s="64">
        <v>2.41</v>
      </c>
      <c r="F94" s="64">
        <v>5.1100000000000003</v>
      </c>
      <c r="G94" s="64">
        <v>64.75</v>
      </c>
      <c r="H94" s="64">
        <v>2.2799999999999998</v>
      </c>
      <c r="I94" s="64">
        <v>7.91</v>
      </c>
      <c r="J94" s="64">
        <v>1.75</v>
      </c>
      <c r="K94" s="64">
        <v>164.22</v>
      </c>
      <c r="L94" s="64">
        <v>29.89</v>
      </c>
      <c r="M94" s="64">
        <v>43.63</v>
      </c>
      <c r="N94" s="64">
        <v>16.7</v>
      </c>
      <c r="O94" s="64">
        <v>0</v>
      </c>
      <c r="P94" s="64">
        <v>0.62</v>
      </c>
      <c r="Q94" s="64">
        <v>9.16</v>
      </c>
      <c r="R94" s="198"/>
      <c r="S94" s="198"/>
      <c r="T94" s="198"/>
      <c r="U94" s="198"/>
    </row>
    <row r="95" spans="1:26" s="12" customFormat="1" x14ac:dyDescent="0.25">
      <c r="A95" s="214" t="s">
        <v>2254</v>
      </c>
      <c r="B95" s="64">
        <v>1.99</v>
      </c>
      <c r="C95" s="64">
        <v>35.1</v>
      </c>
      <c r="D95" s="64">
        <v>19.850000000000001</v>
      </c>
      <c r="E95" s="64">
        <v>2.65</v>
      </c>
      <c r="F95" s="64">
        <v>5.64</v>
      </c>
      <c r="G95" s="64">
        <v>64.75</v>
      </c>
      <c r="H95" s="64">
        <v>2.2799999999999998</v>
      </c>
      <c r="I95" s="64">
        <v>8.15</v>
      </c>
      <c r="J95" s="64">
        <v>1.61</v>
      </c>
      <c r="K95" s="64">
        <v>165.17</v>
      </c>
      <c r="L95" s="64">
        <v>29.29</v>
      </c>
      <c r="M95" s="64">
        <v>45.17</v>
      </c>
      <c r="N95" s="64">
        <v>16.399999999999999</v>
      </c>
      <c r="O95" s="64">
        <v>0</v>
      </c>
      <c r="P95" s="64">
        <v>0.59</v>
      </c>
      <c r="Q95" s="64">
        <v>9.2200000000000006</v>
      </c>
      <c r="R95" s="198"/>
      <c r="S95" s="198"/>
      <c r="T95" s="198"/>
      <c r="U95" s="198"/>
    </row>
    <row r="96" spans="1:26" s="12" customFormat="1" x14ac:dyDescent="0.25">
      <c r="A96" s="214" t="s">
        <v>2255</v>
      </c>
      <c r="B96" s="64">
        <v>1.61</v>
      </c>
      <c r="C96" s="64">
        <v>33.08</v>
      </c>
      <c r="D96" s="64">
        <v>18.489999999999998</v>
      </c>
      <c r="E96" s="64">
        <v>2.62</v>
      </c>
      <c r="F96" s="64">
        <v>6.4</v>
      </c>
      <c r="G96" s="64">
        <v>64.58</v>
      </c>
      <c r="H96" s="64">
        <v>4.2</v>
      </c>
      <c r="I96" s="64">
        <v>7.85</v>
      </c>
      <c r="J96" s="64">
        <v>1.1200000000000001</v>
      </c>
      <c r="K96" s="64">
        <v>187.39</v>
      </c>
      <c r="L96" s="64">
        <v>28.96</v>
      </c>
      <c r="M96" s="64">
        <v>43.02</v>
      </c>
      <c r="N96" s="64">
        <v>16.2</v>
      </c>
      <c r="O96" s="64">
        <v>0</v>
      </c>
      <c r="P96" s="64">
        <v>0.56000000000000005</v>
      </c>
      <c r="Q96" s="64">
        <v>9.17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2256</v>
      </c>
      <c r="B97" s="64">
        <v>1.34</v>
      </c>
      <c r="C97" s="64">
        <v>30.2</v>
      </c>
      <c r="D97" s="64">
        <v>16.77</v>
      </c>
      <c r="E97" s="64">
        <v>2.5099999999999998</v>
      </c>
      <c r="F97" s="64">
        <v>6.96</v>
      </c>
      <c r="G97" s="64">
        <v>62.24</v>
      </c>
      <c r="H97" s="64">
        <v>31.11</v>
      </c>
      <c r="I97" s="64">
        <v>7.39</v>
      </c>
      <c r="J97" s="64">
        <v>1.27</v>
      </c>
      <c r="K97" s="64">
        <v>167.52</v>
      </c>
      <c r="L97" s="64">
        <v>28.52</v>
      </c>
      <c r="M97" s="64">
        <v>43.84</v>
      </c>
      <c r="N97" s="64">
        <v>16.3</v>
      </c>
      <c r="O97" s="64">
        <v>0</v>
      </c>
      <c r="P97" s="64">
        <v>0.53</v>
      </c>
      <c r="Q97" s="64">
        <v>9.1300000000000008</v>
      </c>
      <c r="R97" s="198"/>
      <c r="S97" s="198"/>
      <c r="T97" s="198"/>
      <c r="U97" s="198"/>
    </row>
    <row r="98" spans="1:33" s="12" customFormat="1" x14ac:dyDescent="0.25">
      <c r="A98" s="214" t="s">
        <v>2257</v>
      </c>
      <c r="B98" s="64">
        <v>1.39</v>
      </c>
      <c r="C98" s="64">
        <v>29.53</v>
      </c>
      <c r="D98" s="64">
        <v>16.46</v>
      </c>
      <c r="E98" s="64">
        <v>2.33</v>
      </c>
      <c r="F98" s="64">
        <v>6.11</v>
      </c>
      <c r="G98" s="64">
        <v>62.24</v>
      </c>
      <c r="H98" s="64">
        <v>31.11</v>
      </c>
      <c r="I98" s="64">
        <v>6.81</v>
      </c>
      <c r="J98" s="64">
        <v>1.31</v>
      </c>
      <c r="K98" s="64">
        <v>159.01</v>
      </c>
      <c r="L98" s="64">
        <v>28.26</v>
      </c>
      <c r="M98" s="64">
        <v>44.29</v>
      </c>
      <c r="N98" s="64">
        <v>16</v>
      </c>
      <c r="O98" s="64">
        <v>0</v>
      </c>
      <c r="P98" s="64">
        <v>0.51</v>
      </c>
      <c r="Q98" s="64">
        <v>9.14</v>
      </c>
      <c r="R98" s="198"/>
      <c r="S98" s="198"/>
      <c r="T98" s="198"/>
      <c r="U98" s="198"/>
    </row>
    <row r="99" spans="1:33" s="12" customFormat="1" x14ac:dyDescent="0.25">
      <c r="A99" s="214" t="s">
        <v>2258</v>
      </c>
      <c r="B99" s="64">
        <v>1.54</v>
      </c>
      <c r="C99" s="64">
        <v>29.38</v>
      </c>
      <c r="D99" s="64">
        <v>16.5</v>
      </c>
      <c r="E99" s="64">
        <v>2.11</v>
      </c>
      <c r="F99" s="64">
        <v>5.3</v>
      </c>
      <c r="G99" s="64">
        <v>62.24</v>
      </c>
      <c r="H99" s="64">
        <v>31.11</v>
      </c>
      <c r="I99" s="64">
        <v>6.35</v>
      </c>
      <c r="J99" s="64">
        <v>1.31</v>
      </c>
      <c r="K99" s="64">
        <v>163.59</v>
      </c>
      <c r="L99" s="64">
        <v>28.16</v>
      </c>
      <c r="M99" s="64">
        <v>44.04</v>
      </c>
      <c r="N99" s="64">
        <v>15.9</v>
      </c>
      <c r="O99" s="64">
        <v>0</v>
      </c>
      <c r="P99" s="64">
        <v>0.49</v>
      </c>
      <c r="Q99" s="64">
        <v>9.1999999999999993</v>
      </c>
      <c r="R99" s="198"/>
      <c r="S99" s="198"/>
      <c r="T99" s="198"/>
      <c r="U99" s="198"/>
    </row>
    <row r="100" spans="1:33" s="12" customFormat="1" x14ac:dyDescent="0.25">
      <c r="A100" s="214" t="s">
        <v>2259</v>
      </c>
      <c r="B100" s="64">
        <v>1.69</v>
      </c>
      <c r="C100" s="64">
        <v>28.88</v>
      </c>
      <c r="D100" s="64">
        <v>16.36</v>
      </c>
      <c r="E100" s="64">
        <v>2.46</v>
      </c>
      <c r="F100" s="64">
        <v>4.83</v>
      </c>
      <c r="G100" s="64">
        <v>61.22</v>
      </c>
      <c r="H100" s="64">
        <v>30.49</v>
      </c>
      <c r="I100" s="64">
        <v>6.19</v>
      </c>
      <c r="J100" s="64">
        <v>0.71</v>
      </c>
      <c r="K100" s="64">
        <v>170.9</v>
      </c>
      <c r="L100" s="64">
        <v>28.1</v>
      </c>
      <c r="M100" s="64">
        <v>44.07</v>
      </c>
      <c r="N100" s="64">
        <v>16</v>
      </c>
      <c r="O100" s="64">
        <v>0</v>
      </c>
      <c r="P100" s="64">
        <v>0.48</v>
      </c>
      <c r="Q100" s="64">
        <v>9.18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2260</v>
      </c>
      <c r="B101" s="64">
        <v>1.81</v>
      </c>
      <c r="C101" s="64">
        <v>28.76</v>
      </c>
      <c r="D101" s="64">
        <v>16.399999999999999</v>
      </c>
      <c r="E101" s="64">
        <v>2.4900000000000002</v>
      </c>
      <c r="F101" s="64">
        <v>4.78</v>
      </c>
      <c r="G101" s="64">
        <v>47</v>
      </c>
      <c r="H101" s="64">
        <v>19.84</v>
      </c>
      <c r="I101" s="64">
        <v>6</v>
      </c>
      <c r="J101" s="64">
        <v>0.6</v>
      </c>
      <c r="K101" s="64">
        <v>174.9</v>
      </c>
      <c r="L101" s="64">
        <v>27.91</v>
      </c>
      <c r="M101" s="64">
        <v>44.69</v>
      </c>
      <c r="N101" s="64">
        <v>16</v>
      </c>
      <c r="O101" s="64">
        <v>0</v>
      </c>
      <c r="P101" s="64">
        <v>0.47</v>
      </c>
      <c r="Q101" s="64">
        <v>9.16</v>
      </c>
      <c r="R101" s="198"/>
      <c r="S101" s="198"/>
      <c r="T101" s="198"/>
      <c r="U101" s="198"/>
    </row>
    <row r="102" spans="1:33" s="12" customFormat="1" x14ac:dyDescent="0.25">
      <c r="A102" s="214" t="s">
        <v>2261</v>
      </c>
      <c r="B102" s="64">
        <v>1.93</v>
      </c>
      <c r="C102" s="64">
        <v>28.3</v>
      </c>
      <c r="D102" s="64">
        <v>16.25</v>
      </c>
      <c r="E102" s="64">
        <v>2.33</v>
      </c>
      <c r="F102" s="64">
        <v>4.6399999999999997</v>
      </c>
      <c r="G102" s="64">
        <v>47</v>
      </c>
      <c r="H102" s="64">
        <v>19.84</v>
      </c>
      <c r="I102" s="64">
        <v>5.76</v>
      </c>
      <c r="J102" s="64">
        <v>0.42</v>
      </c>
      <c r="K102" s="64">
        <v>182.38</v>
      </c>
      <c r="L102" s="64">
        <v>27.6</v>
      </c>
      <c r="M102" s="64">
        <v>45.75</v>
      </c>
      <c r="N102" s="64">
        <v>16</v>
      </c>
      <c r="O102" s="64">
        <v>0</v>
      </c>
      <c r="P102" s="64">
        <v>0.45</v>
      </c>
      <c r="Q102" s="64">
        <v>9.14</v>
      </c>
      <c r="R102" s="198"/>
      <c r="S102" s="198"/>
      <c r="T102" s="198"/>
      <c r="U102" s="198"/>
    </row>
    <row r="103" spans="1:33" s="12" customFormat="1" x14ac:dyDescent="0.25">
      <c r="A103" s="214" t="s">
        <v>2262</v>
      </c>
      <c r="B103" s="64">
        <v>2.02</v>
      </c>
      <c r="C103" s="64">
        <v>27.84</v>
      </c>
      <c r="D103" s="64">
        <v>16.079999999999998</v>
      </c>
      <c r="E103" s="64">
        <v>2.16</v>
      </c>
      <c r="F103" s="64">
        <v>4.57</v>
      </c>
      <c r="G103" s="64">
        <v>47</v>
      </c>
      <c r="H103" s="64">
        <v>19.84</v>
      </c>
      <c r="I103" s="64">
        <v>5.82</v>
      </c>
      <c r="J103" s="64">
        <v>0.22</v>
      </c>
      <c r="K103" s="64">
        <v>201.12</v>
      </c>
      <c r="L103" s="64">
        <v>27.36</v>
      </c>
      <c r="M103" s="64">
        <v>46.56</v>
      </c>
      <c r="N103" s="64">
        <v>15.9</v>
      </c>
      <c r="O103" s="64">
        <v>0</v>
      </c>
      <c r="P103" s="64">
        <v>0.44</v>
      </c>
      <c r="Q103" s="64">
        <v>9.2200000000000006</v>
      </c>
      <c r="R103" s="198"/>
      <c r="S103" s="198"/>
      <c r="T103" s="198"/>
      <c r="U103" s="198"/>
    </row>
    <row r="104" spans="1:33" s="12" customFormat="1" x14ac:dyDescent="0.25">
      <c r="A104" s="214" t="s">
        <v>2263</v>
      </c>
      <c r="B104" s="64">
        <v>2.08</v>
      </c>
      <c r="C104" s="64">
        <v>28.09</v>
      </c>
      <c r="D104" s="64">
        <v>16.260000000000002</v>
      </c>
      <c r="E104" s="64">
        <v>0.87</v>
      </c>
      <c r="F104" s="64">
        <v>4.3099999999999996</v>
      </c>
      <c r="G104" s="64">
        <v>46.29</v>
      </c>
      <c r="H104" s="64">
        <v>19.27</v>
      </c>
      <c r="I104" s="64">
        <v>5.65</v>
      </c>
      <c r="J104" s="64">
        <v>0.32</v>
      </c>
      <c r="K104" s="64">
        <v>207.49</v>
      </c>
      <c r="L104" s="64">
        <v>27.26</v>
      </c>
      <c r="M104" s="64">
        <v>47.14</v>
      </c>
      <c r="N104" s="64">
        <v>15.8</v>
      </c>
      <c r="O104" s="64">
        <v>0</v>
      </c>
      <c r="P104" s="64">
        <v>0.43</v>
      </c>
      <c r="Q104" s="64">
        <v>9.14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1.34</v>
      </c>
      <c r="C106" s="67">
        <f>MIN(C9:C104)</f>
        <v>25.74</v>
      </c>
      <c r="D106" s="67">
        <f t="shared" ref="D106:Q106" si="0">MIN(D9:D104)</f>
        <v>15.29</v>
      </c>
      <c r="E106" s="67">
        <f t="shared" si="0"/>
        <v>0.06</v>
      </c>
      <c r="F106" s="67">
        <f t="shared" si="0"/>
        <v>3.27</v>
      </c>
      <c r="G106" s="67">
        <f t="shared" si="0"/>
        <v>20.94</v>
      </c>
      <c r="H106" s="67">
        <f t="shared" si="0"/>
        <v>2.2799999999999998</v>
      </c>
      <c r="I106" s="67">
        <f t="shared" si="0"/>
        <v>4.6500000000000004</v>
      </c>
      <c r="J106" s="67">
        <f t="shared" si="0"/>
        <v>0.04</v>
      </c>
      <c r="K106" s="67">
        <f t="shared" si="0"/>
        <v>6.36</v>
      </c>
      <c r="L106" s="67">
        <f t="shared" si="0"/>
        <v>24.62</v>
      </c>
      <c r="M106" s="67">
        <f t="shared" si="0"/>
        <v>17.440000000000001</v>
      </c>
      <c r="N106" s="67">
        <f t="shared" si="0"/>
        <v>14.3</v>
      </c>
      <c r="O106" s="67">
        <f t="shared" si="0"/>
        <v>0</v>
      </c>
      <c r="P106" s="67">
        <f t="shared" si="0"/>
        <v>0.36</v>
      </c>
      <c r="Q106" s="67">
        <f t="shared" si="0"/>
        <v>9.1199999999999992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5.03</v>
      </c>
      <c r="C107" s="66">
        <f t="shared" ref="C107:Q107" si="1">MAX(C9:C104)</f>
        <v>39.42</v>
      </c>
      <c r="D107" s="66">
        <f t="shared" si="1"/>
        <v>23.88</v>
      </c>
      <c r="E107" s="66">
        <f t="shared" si="1"/>
        <v>2.87</v>
      </c>
      <c r="F107" s="66">
        <f t="shared" si="1"/>
        <v>6.96</v>
      </c>
      <c r="G107" s="66">
        <f t="shared" si="1"/>
        <v>66.66</v>
      </c>
      <c r="H107" s="66">
        <f t="shared" si="1"/>
        <v>119.21</v>
      </c>
      <c r="I107" s="66">
        <f t="shared" si="1"/>
        <v>8.6999999999999993</v>
      </c>
      <c r="J107" s="66">
        <f t="shared" si="1"/>
        <v>1.75</v>
      </c>
      <c r="K107" s="66">
        <f t="shared" si="1"/>
        <v>356.69</v>
      </c>
      <c r="L107" s="66">
        <f t="shared" si="1"/>
        <v>40.299999999999997</v>
      </c>
      <c r="M107" s="66">
        <f t="shared" si="1"/>
        <v>61.46</v>
      </c>
      <c r="N107" s="66">
        <f t="shared" si="1"/>
        <v>855</v>
      </c>
      <c r="O107" s="66">
        <f t="shared" si="1"/>
        <v>0</v>
      </c>
      <c r="P107" s="66">
        <f t="shared" si="1"/>
        <v>0.68</v>
      </c>
      <c r="Q107" s="66">
        <f t="shared" si="1"/>
        <v>9.25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2.8242708333333333</v>
      </c>
      <c r="C108" s="67">
        <f t="shared" ref="C108:Q108" si="2">AVERAGE(C9:C104)</f>
        <v>32.017187500000013</v>
      </c>
      <c r="D108" s="67">
        <f t="shared" si="2"/>
        <v>18.912812499999994</v>
      </c>
      <c r="E108" s="67">
        <f t="shared" si="2"/>
        <v>1.4951041666666673</v>
      </c>
      <c r="F108" s="67">
        <f t="shared" si="2"/>
        <v>4.5526041666666659</v>
      </c>
      <c r="G108" s="67">
        <f t="shared" si="2"/>
        <v>43.289166666666638</v>
      </c>
      <c r="H108" s="67">
        <f t="shared" si="2"/>
        <v>24.062187500000007</v>
      </c>
      <c r="I108" s="67">
        <f t="shared" si="2"/>
        <v>6.3897916666666648</v>
      </c>
      <c r="J108" s="67">
        <f t="shared" si="2"/>
        <v>0.45958333333333345</v>
      </c>
      <c r="K108" s="67">
        <f t="shared" si="2"/>
        <v>241.96812499999999</v>
      </c>
      <c r="L108" s="67">
        <f t="shared" si="2"/>
        <v>31.489479166666673</v>
      </c>
      <c r="M108" s="67">
        <f t="shared" si="2"/>
        <v>37.638854166666668</v>
      </c>
      <c r="N108" s="67">
        <f t="shared" si="2"/>
        <v>227.97812500000001</v>
      </c>
      <c r="O108" s="67">
        <f t="shared" si="2"/>
        <v>0</v>
      </c>
      <c r="P108" s="67">
        <f t="shared" si="2"/>
        <v>0.49708333333333338</v>
      </c>
      <c r="Q108" s="67">
        <f t="shared" si="2"/>
        <v>9.1696874999999967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0.90316955893840145</v>
      </c>
      <c r="C109" s="67">
        <f t="shared" ref="C109:Q109" si="3">STDEV(C9:C104)</f>
        <v>4.118572747962773</v>
      </c>
      <c r="D109" s="67">
        <f t="shared" si="3"/>
        <v>2.210085829781347</v>
      </c>
      <c r="E109" s="67">
        <f t="shared" si="3"/>
        <v>0.74942784462431289</v>
      </c>
      <c r="F109" s="67">
        <f t="shared" si="3"/>
        <v>0.74128940976861424</v>
      </c>
      <c r="G109" s="67">
        <f t="shared" si="3"/>
        <v>13.100758488822644</v>
      </c>
      <c r="H109" s="67">
        <f t="shared" si="3"/>
        <v>21.679489953367387</v>
      </c>
      <c r="I109" s="67">
        <f t="shared" si="3"/>
        <v>0.97439641686174638</v>
      </c>
      <c r="J109" s="67">
        <f t="shared" si="3"/>
        <v>0.40292330905825752</v>
      </c>
      <c r="K109" s="67">
        <f t="shared" si="3"/>
        <v>81.708858223798799</v>
      </c>
      <c r="L109" s="67">
        <f t="shared" si="3"/>
        <v>5.0715352953709054</v>
      </c>
      <c r="M109" s="67">
        <f t="shared" si="3"/>
        <v>14.226550705952414</v>
      </c>
      <c r="N109" s="67">
        <f t="shared" si="3"/>
        <v>291.41757675672761</v>
      </c>
      <c r="O109" s="67">
        <f t="shared" si="3"/>
        <v>0</v>
      </c>
      <c r="P109" s="67">
        <f t="shared" si="3"/>
        <v>0.10682909781679703</v>
      </c>
      <c r="Q109" s="67">
        <f t="shared" si="3"/>
        <v>2.6455648088630639E-2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1" sqref="H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2264</v>
      </c>
      <c r="B9" s="64">
        <v>2.12</v>
      </c>
      <c r="C9" s="64">
        <v>30.6</v>
      </c>
      <c r="D9" s="64">
        <v>17.61</v>
      </c>
      <c r="E9" s="64">
        <v>1.31</v>
      </c>
      <c r="F9" s="64">
        <v>4.3899999999999997</v>
      </c>
      <c r="G9" s="64">
        <v>36.43</v>
      </c>
      <c r="H9" s="64">
        <v>11.29</v>
      </c>
      <c r="I9" s="64">
        <v>5.4</v>
      </c>
      <c r="J9" s="64">
        <v>0.67</v>
      </c>
      <c r="K9" s="64">
        <v>182.08</v>
      </c>
      <c r="L9" s="64">
        <v>26.97</v>
      </c>
      <c r="M9" s="64">
        <v>48.38</v>
      </c>
      <c r="N9" s="64">
        <v>16</v>
      </c>
      <c r="O9" s="64">
        <v>0</v>
      </c>
      <c r="P9" s="64">
        <v>0.42</v>
      </c>
      <c r="Q9" s="64">
        <v>9.14</v>
      </c>
      <c r="R9" s="198"/>
      <c r="S9" s="198"/>
      <c r="T9" s="198"/>
      <c r="U9" s="198"/>
    </row>
    <row r="10" spans="1:21" s="12" customFormat="1" x14ac:dyDescent="0.25">
      <c r="A10" s="214" t="s">
        <v>2265</v>
      </c>
      <c r="B10" s="64">
        <v>2.04</v>
      </c>
      <c r="C10" s="64">
        <v>31.64</v>
      </c>
      <c r="D10" s="64">
        <v>18.079999999999998</v>
      </c>
      <c r="E10" s="64">
        <v>1.57</v>
      </c>
      <c r="F10" s="64">
        <v>4.6500000000000004</v>
      </c>
      <c r="G10" s="64">
        <v>36.43</v>
      </c>
      <c r="H10" s="64">
        <v>11.29</v>
      </c>
      <c r="I10" s="64">
        <v>5.73</v>
      </c>
      <c r="J10" s="64">
        <v>0.56999999999999995</v>
      </c>
      <c r="K10" s="64">
        <v>185.06</v>
      </c>
      <c r="L10" s="64">
        <v>26.77</v>
      </c>
      <c r="M10" s="64">
        <v>49.14</v>
      </c>
      <c r="N10" s="64">
        <v>15.9</v>
      </c>
      <c r="O10" s="64">
        <v>0</v>
      </c>
      <c r="P10" s="64">
        <v>0.41</v>
      </c>
      <c r="Q10" s="64">
        <v>9.16</v>
      </c>
      <c r="R10" s="198"/>
      <c r="S10" s="198"/>
      <c r="T10" s="198"/>
      <c r="U10" s="198"/>
    </row>
    <row r="11" spans="1:21" s="12" customFormat="1" x14ac:dyDescent="0.25">
      <c r="A11" s="214" t="s">
        <v>2266</v>
      </c>
      <c r="B11" s="64">
        <v>1.89</v>
      </c>
      <c r="C11" s="64">
        <v>30.48</v>
      </c>
      <c r="D11" s="64">
        <v>17.36</v>
      </c>
      <c r="E11" s="64">
        <v>1.31</v>
      </c>
      <c r="F11" s="64">
        <v>5.0599999999999996</v>
      </c>
      <c r="G11" s="64">
        <v>36.43</v>
      </c>
      <c r="H11" s="64">
        <v>11.29</v>
      </c>
      <c r="I11" s="64">
        <v>5.71</v>
      </c>
      <c r="J11" s="64">
        <v>0.89</v>
      </c>
      <c r="K11" s="64">
        <v>181.21</v>
      </c>
      <c r="L11" s="64">
        <v>26.57</v>
      </c>
      <c r="M11" s="64">
        <v>49.34</v>
      </c>
      <c r="N11" s="64">
        <v>15.8</v>
      </c>
      <c r="O11" s="64">
        <v>0</v>
      </c>
      <c r="P11" s="64">
        <v>0.39</v>
      </c>
      <c r="Q11" s="64">
        <v>9.2200000000000006</v>
      </c>
      <c r="R11" s="198"/>
      <c r="S11" s="198"/>
      <c r="T11" s="198"/>
      <c r="U11" s="198"/>
    </row>
    <row r="12" spans="1:21" s="12" customFormat="1" x14ac:dyDescent="0.25">
      <c r="A12" s="214" t="s">
        <v>2267</v>
      </c>
      <c r="B12" s="64">
        <v>1.7</v>
      </c>
      <c r="C12" s="64">
        <v>28.98</v>
      </c>
      <c r="D12" s="64">
        <v>16.43</v>
      </c>
      <c r="E12" s="64">
        <v>1.64</v>
      </c>
      <c r="F12" s="64">
        <v>5.41</v>
      </c>
      <c r="G12" s="64">
        <v>36.28</v>
      </c>
      <c r="H12" s="64">
        <v>10.8</v>
      </c>
      <c r="I12" s="64">
        <v>5.49</v>
      </c>
      <c r="J12" s="64">
        <v>0.53</v>
      </c>
      <c r="K12" s="64">
        <v>188.38</v>
      </c>
      <c r="L12" s="64">
        <v>26.33</v>
      </c>
      <c r="M12" s="64">
        <v>50.36</v>
      </c>
      <c r="N12" s="64">
        <v>16.100000000000001</v>
      </c>
      <c r="O12" s="64">
        <v>0</v>
      </c>
      <c r="P12" s="64">
        <v>0.37</v>
      </c>
      <c r="Q12" s="64">
        <v>9.15</v>
      </c>
      <c r="R12" s="198"/>
      <c r="S12" s="198"/>
      <c r="T12" s="198"/>
      <c r="U12" s="198"/>
    </row>
    <row r="13" spans="1:21" s="12" customFormat="1" x14ac:dyDescent="0.25">
      <c r="A13" s="214" t="s">
        <v>2268</v>
      </c>
      <c r="B13" s="64">
        <v>1.63</v>
      </c>
      <c r="C13" s="64">
        <v>27.7</v>
      </c>
      <c r="D13" s="64">
        <v>15.7</v>
      </c>
      <c r="E13" s="64">
        <v>1.18</v>
      </c>
      <c r="F13" s="64">
        <v>5.26</v>
      </c>
      <c r="G13" s="64">
        <v>34.229999999999997</v>
      </c>
      <c r="H13" s="64">
        <v>2.46</v>
      </c>
      <c r="I13" s="64">
        <v>5.27</v>
      </c>
      <c r="J13" s="64">
        <v>0.4</v>
      </c>
      <c r="K13" s="64">
        <v>204.66</v>
      </c>
      <c r="L13" s="64">
        <v>26.07</v>
      </c>
      <c r="M13" s="64">
        <v>51.55</v>
      </c>
      <c r="N13" s="64">
        <v>16</v>
      </c>
      <c r="O13" s="64">
        <v>0</v>
      </c>
      <c r="P13" s="64">
        <v>0.35</v>
      </c>
      <c r="Q13" s="64">
        <v>9.14</v>
      </c>
      <c r="R13" s="198"/>
      <c r="S13" s="198"/>
      <c r="T13" s="198"/>
      <c r="U13" s="198"/>
    </row>
    <row r="14" spans="1:21" s="12" customFormat="1" x14ac:dyDescent="0.25">
      <c r="A14" s="214" t="s">
        <v>2269</v>
      </c>
      <c r="B14" s="64">
        <v>1.64</v>
      </c>
      <c r="C14" s="64">
        <v>27.25</v>
      </c>
      <c r="D14" s="64">
        <v>15.47</v>
      </c>
      <c r="E14" s="64">
        <v>1.36</v>
      </c>
      <c r="F14" s="64">
        <v>4.76</v>
      </c>
      <c r="G14" s="64">
        <v>34.229999999999997</v>
      </c>
      <c r="H14" s="64">
        <v>2.46</v>
      </c>
      <c r="I14" s="64">
        <v>4.97</v>
      </c>
      <c r="J14" s="64">
        <v>0.46</v>
      </c>
      <c r="K14" s="64">
        <v>192.31</v>
      </c>
      <c r="L14" s="64">
        <v>25.89</v>
      </c>
      <c r="M14" s="64">
        <v>52.27</v>
      </c>
      <c r="N14" s="64">
        <v>15.7</v>
      </c>
      <c r="O14" s="64">
        <v>0</v>
      </c>
      <c r="P14" s="64">
        <v>0.35</v>
      </c>
      <c r="Q14" s="64">
        <v>9.1999999999999993</v>
      </c>
      <c r="R14" s="198"/>
      <c r="S14" s="198"/>
      <c r="T14" s="198"/>
      <c r="U14" s="198"/>
    </row>
    <row r="15" spans="1:21" s="12" customFormat="1" x14ac:dyDescent="0.25">
      <c r="A15" s="214" t="s">
        <v>2270</v>
      </c>
      <c r="B15" s="64">
        <v>1.67</v>
      </c>
      <c r="C15" s="64">
        <v>26.85</v>
      </c>
      <c r="D15" s="64">
        <v>15.29</v>
      </c>
      <c r="E15" s="64">
        <v>1.52</v>
      </c>
      <c r="F15" s="64">
        <v>4.72</v>
      </c>
      <c r="G15" s="64">
        <v>34.229999999999997</v>
      </c>
      <c r="H15" s="64">
        <v>2.46</v>
      </c>
      <c r="I15" s="64">
        <v>4.84</v>
      </c>
      <c r="J15" s="64">
        <v>0.2</v>
      </c>
      <c r="K15" s="64">
        <v>199.77</v>
      </c>
      <c r="L15" s="64">
        <v>25.81</v>
      </c>
      <c r="M15" s="64">
        <v>52.65</v>
      </c>
      <c r="N15" s="64">
        <v>15.8</v>
      </c>
      <c r="O15" s="64">
        <v>0</v>
      </c>
      <c r="P15" s="64">
        <v>0.34</v>
      </c>
      <c r="Q15" s="64">
        <v>9.19</v>
      </c>
      <c r="R15" s="198"/>
      <c r="S15" s="198"/>
      <c r="T15" s="198"/>
      <c r="U15" s="198"/>
    </row>
    <row r="16" spans="1:21" s="12" customFormat="1" x14ac:dyDescent="0.25">
      <c r="A16" s="214" t="s">
        <v>2271</v>
      </c>
      <c r="B16" s="64">
        <v>1.71</v>
      </c>
      <c r="C16" s="64">
        <v>26.01</v>
      </c>
      <c r="D16" s="64">
        <v>14.88</v>
      </c>
      <c r="E16" s="64">
        <v>1.62</v>
      </c>
      <c r="F16" s="64">
        <v>5.04</v>
      </c>
      <c r="G16" s="64">
        <v>33.700000000000003</v>
      </c>
      <c r="H16" s="64">
        <v>3</v>
      </c>
      <c r="I16" s="64">
        <v>4.72</v>
      </c>
      <c r="J16" s="64">
        <v>0.33</v>
      </c>
      <c r="K16" s="64">
        <v>194.38</v>
      </c>
      <c r="L16" s="64">
        <v>25.7</v>
      </c>
      <c r="M16" s="64">
        <v>53.15</v>
      </c>
      <c r="N16" s="64">
        <v>15.6</v>
      </c>
      <c r="O16" s="64">
        <v>0</v>
      </c>
      <c r="P16" s="64">
        <v>0.34</v>
      </c>
      <c r="Q16" s="64">
        <v>9.14</v>
      </c>
      <c r="R16" s="198"/>
      <c r="S16" s="198"/>
      <c r="T16" s="198"/>
      <c r="U16" s="198"/>
    </row>
    <row r="17" spans="1:21" s="12" customFormat="1" x14ac:dyDescent="0.25">
      <c r="A17" s="214" t="s">
        <v>2272</v>
      </c>
      <c r="B17" s="64">
        <v>1.74</v>
      </c>
      <c r="C17" s="64">
        <v>25.79</v>
      </c>
      <c r="D17" s="64">
        <v>14.79</v>
      </c>
      <c r="E17" s="64">
        <v>1.07</v>
      </c>
      <c r="F17" s="64">
        <v>4.74</v>
      </c>
      <c r="G17" s="64">
        <v>24.65</v>
      </c>
      <c r="H17" s="64">
        <v>12.25</v>
      </c>
      <c r="I17" s="64">
        <v>4.67</v>
      </c>
      <c r="J17" s="64">
        <v>0.31</v>
      </c>
      <c r="K17" s="64">
        <v>212.4</v>
      </c>
      <c r="L17" s="64">
        <v>25.59</v>
      </c>
      <c r="M17" s="64">
        <v>53.58</v>
      </c>
      <c r="N17" s="64">
        <v>15.6</v>
      </c>
      <c r="O17" s="64">
        <v>0</v>
      </c>
      <c r="P17" s="64">
        <v>0.33</v>
      </c>
      <c r="Q17" s="64">
        <v>9.18</v>
      </c>
      <c r="R17" s="198"/>
      <c r="S17" s="198"/>
      <c r="T17" s="198"/>
      <c r="U17" s="198"/>
    </row>
    <row r="18" spans="1:21" s="12" customFormat="1" x14ac:dyDescent="0.25">
      <c r="A18" s="214" t="s">
        <v>2273</v>
      </c>
      <c r="B18" s="64">
        <v>1.75</v>
      </c>
      <c r="C18" s="64">
        <v>25.88</v>
      </c>
      <c r="D18" s="64">
        <v>14.84</v>
      </c>
      <c r="E18" s="64">
        <v>1.4</v>
      </c>
      <c r="F18" s="64">
        <v>4.54</v>
      </c>
      <c r="G18" s="64">
        <v>24.65</v>
      </c>
      <c r="H18" s="64">
        <v>12.25</v>
      </c>
      <c r="I18" s="64">
        <v>4.4400000000000004</v>
      </c>
      <c r="J18" s="64">
        <v>7.0000000000000007E-2</v>
      </c>
      <c r="K18" s="64">
        <v>242.31</v>
      </c>
      <c r="L18" s="64">
        <v>25.47</v>
      </c>
      <c r="M18" s="64">
        <v>54.6</v>
      </c>
      <c r="N18" s="64">
        <v>15.9</v>
      </c>
      <c r="O18" s="64">
        <v>0</v>
      </c>
      <c r="P18" s="64">
        <v>0.32</v>
      </c>
      <c r="Q18" s="64">
        <v>9.15</v>
      </c>
      <c r="R18" s="198"/>
      <c r="S18" s="198"/>
      <c r="T18" s="198"/>
      <c r="U18" s="198"/>
    </row>
    <row r="19" spans="1:21" s="12" customFormat="1" x14ac:dyDescent="0.25">
      <c r="A19" s="214" t="s">
        <v>2274</v>
      </c>
      <c r="B19" s="64">
        <v>1.79</v>
      </c>
      <c r="C19" s="64">
        <v>26.28</v>
      </c>
      <c r="D19" s="64">
        <v>15.08</v>
      </c>
      <c r="E19" s="64">
        <v>1.31</v>
      </c>
      <c r="F19" s="64">
        <v>4.0999999999999996</v>
      </c>
      <c r="G19" s="64">
        <v>24.65</v>
      </c>
      <c r="H19" s="64">
        <v>12.25</v>
      </c>
      <c r="I19" s="64">
        <v>4.51</v>
      </c>
      <c r="J19" s="64">
        <v>0.56000000000000005</v>
      </c>
      <c r="K19" s="64">
        <v>312.22000000000003</v>
      </c>
      <c r="L19" s="64">
        <v>25.37</v>
      </c>
      <c r="M19" s="64">
        <v>56.45</v>
      </c>
      <c r="N19" s="64">
        <v>15.6</v>
      </c>
      <c r="O19" s="64">
        <v>0</v>
      </c>
      <c r="P19" s="64">
        <v>0.31</v>
      </c>
      <c r="Q19" s="64">
        <v>9.19</v>
      </c>
      <c r="R19" s="198"/>
      <c r="S19" s="198"/>
      <c r="T19" s="198"/>
      <c r="U19" s="198"/>
    </row>
    <row r="20" spans="1:21" s="12" customFormat="1" x14ac:dyDescent="0.25">
      <c r="A20" s="214" t="s">
        <v>2275</v>
      </c>
      <c r="B20" s="64">
        <v>1.83</v>
      </c>
      <c r="C20" s="64">
        <v>25.84</v>
      </c>
      <c r="D20" s="64">
        <v>14.88</v>
      </c>
      <c r="E20" s="64">
        <v>1.56</v>
      </c>
      <c r="F20" s="64">
        <v>3.92</v>
      </c>
      <c r="G20" s="64">
        <v>24.92</v>
      </c>
      <c r="H20" s="64">
        <v>12.01</v>
      </c>
      <c r="I20" s="64">
        <v>4.37</v>
      </c>
      <c r="J20" s="64">
        <v>0.65</v>
      </c>
      <c r="K20" s="64">
        <v>304.95999999999998</v>
      </c>
      <c r="L20" s="64">
        <v>25.48</v>
      </c>
      <c r="M20" s="64">
        <v>55.82</v>
      </c>
      <c r="N20" s="64">
        <v>15.4</v>
      </c>
      <c r="O20" s="64">
        <v>0</v>
      </c>
      <c r="P20" s="64">
        <v>0.31</v>
      </c>
      <c r="Q20" s="64">
        <v>9.17</v>
      </c>
      <c r="R20" s="198"/>
      <c r="S20" s="198"/>
      <c r="T20" s="198"/>
      <c r="U20" s="198"/>
    </row>
    <row r="21" spans="1:21" s="12" customFormat="1" x14ac:dyDescent="0.25">
      <c r="A21" s="214" t="s">
        <v>2276</v>
      </c>
      <c r="B21" s="64">
        <v>1.96</v>
      </c>
      <c r="C21" s="64">
        <v>26.08</v>
      </c>
      <c r="D21" s="64">
        <v>15.11</v>
      </c>
      <c r="E21" s="64">
        <v>1.22</v>
      </c>
      <c r="F21" s="64">
        <v>3.39</v>
      </c>
      <c r="G21" s="64">
        <v>28.61</v>
      </c>
      <c r="H21" s="64">
        <v>7.93</v>
      </c>
      <c r="I21" s="64">
        <v>4.22</v>
      </c>
      <c r="J21" s="64">
        <v>0.88</v>
      </c>
      <c r="K21" s="64">
        <v>305.14999999999998</v>
      </c>
      <c r="L21" s="64">
        <v>25.73</v>
      </c>
      <c r="M21" s="64">
        <v>55.17</v>
      </c>
      <c r="N21" s="64">
        <v>15.3</v>
      </c>
      <c r="O21" s="64">
        <v>0</v>
      </c>
      <c r="P21" s="64">
        <v>0.3</v>
      </c>
      <c r="Q21" s="64">
        <v>9.1999999999999993</v>
      </c>
      <c r="R21" s="198"/>
      <c r="S21" s="198"/>
      <c r="T21" s="198"/>
      <c r="U21" s="198"/>
    </row>
    <row r="22" spans="1:21" s="12" customFormat="1" x14ac:dyDescent="0.25">
      <c r="A22" s="214" t="s">
        <v>2277</v>
      </c>
      <c r="B22" s="64">
        <v>2.02</v>
      </c>
      <c r="C22" s="64">
        <v>26.64</v>
      </c>
      <c r="D22" s="64">
        <v>15.46</v>
      </c>
      <c r="E22" s="64">
        <v>1.23</v>
      </c>
      <c r="F22" s="64">
        <v>4.45</v>
      </c>
      <c r="G22" s="64">
        <v>28.61</v>
      </c>
      <c r="H22" s="64">
        <v>7.93</v>
      </c>
      <c r="I22" s="64">
        <v>4.18</v>
      </c>
      <c r="J22" s="64">
        <v>1.39</v>
      </c>
      <c r="K22" s="64">
        <v>309.70999999999998</v>
      </c>
      <c r="L22" s="64">
        <v>26.08</v>
      </c>
      <c r="M22" s="64">
        <v>53.58</v>
      </c>
      <c r="N22" s="64">
        <v>15.3</v>
      </c>
      <c r="O22" s="64">
        <v>0</v>
      </c>
      <c r="P22" s="64">
        <v>0.3</v>
      </c>
      <c r="Q22" s="64">
        <v>9.18</v>
      </c>
      <c r="R22" s="198"/>
      <c r="S22" s="198"/>
      <c r="T22" s="198"/>
      <c r="U22" s="198"/>
    </row>
    <row r="23" spans="1:21" s="12" customFormat="1" x14ac:dyDescent="0.25">
      <c r="A23" s="214" t="s">
        <v>2278</v>
      </c>
      <c r="B23" s="64">
        <v>1.92</v>
      </c>
      <c r="C23" s="64">
        <v>26.94</v>
      </c>
      <c r="D23" s="64">
        <v>15.54</v>
      </c>
      <c r="E23" s="64">
        <v>1.38</v>
      </c>
      <c r="F23" s="64">
        <v>5.62</v>
      </c>
      <c r="G23" s="64">
        <v>28.61</v>
      </c>
      <c r="H23" s="64">
        <v>7.93</v>
      </c>
      <c r="I23" s="64">
        <v>4.07</v>
      </c>
      <c r="J23" s="64">
        <v>1.55</v>
      </c>
      <c r="K23" s="64">
        <v>307.33999999999997</v>
      </c>
      <c r="L23" s="64">
        <v>26.22</v>
      </c>
      <c r="M23" s="64">
        <v>52.9</v>
      </c>
      <c r="N23" s="64">
        <v>15.9</v>
      </c>
      <c r="O23" s="64">
        <v>0</v>
      </c>
      <c r="P23" s="64">
        <v>0.28999999999999998</v>
      </c>
      <c r="Q23" s="64">
        <v>9.1999999999999993</v>
      </c>
      <c r="R23" s="198"/>
      <c r="S23" s="198"/>
      <c r="T23" s="198"/>
      <c r="U23" s="198"/>
    </row>
    <row r="24" spans="1:21" s="12" customFormat="1" x14ac:dyDescent="0.25">
      <c r="A24" s="214" t="s">
        <v>2279</v>
      </c>
      <c r="B24" s="64">
        <v>1.67</v>
      </c>
      <c r="C24" s="64">
        <v>26.55</v>
      </c>
      <c r="D24" s="64">
        <v>15.13</v>
      </c>
      <c r="E24" s="64">
        <v>0.7</v>
      </c>
      <c r="F24" s="64">
        <v>5.49</v>
      </c>
      <c r="G24" s="64">
        <v>28.62</v>
      </c>
      <c r="H24" s="64">
        <v>8.3800000000000008</v>
      </c>
      <c r="I24" s="64">
        <v>3.84</v>
      </c>
      <c r="J24" s="64">
        <v>1.2</v>
      </c>
      <c r="K24" s="64">
        <v>313.18</v>
      </c>
      <c r="L24" s="64">
        <v>25.83</v>
      </c>
      <c r="M24" s="64">
        <v>55.07</v>
      </c>
      <c r="N24" s="64">
        <v>16.5</v>
      </c>
      <c r="O24" s="64">
        <v>0</v>
      </c>
      <c r="P24" s="64">
        <v>0.28999999999999998</v>
      </c>
      <c r="Q24" s="64">
        <v>9.23</v>
      </c>
      <c r="R24" s="198"/>
      <c r="S24" s="198"/>
      <c r="T24" s="198"/>
      <c r="U24" s="198"/>
    </row>
    <row r="25" spans="1:21" s="12" customFormat="1" x14ac:dyDescent="0.25">
      <c r="A25" s="214" t="s">
        <v>2280</v>
      </c>
      <c r="B25" s="64">
        <v>1.63</v>
      </c>
      <c r="C25" s="64">
        <v>26.39</v>
      </c>
      <c r="D25" s="64">
        <v>15.02</v>
      </c>
      <c r="E25" s="64">
        <v>1.1000000000000001</v>
      </c>
      <c r="F25" s="64">
        <v>5.07</v>
      </c>
      <c r="G25" s="64">
        <v>28.71</v>
      </c>
      <c r="H25" s="64">
        <v>16.010000000000002</v>
      </c>
      <c r="I25" s="64">
        <v>3.65</v>
      </c>
      <c r="J25" s="64">
        <v>1.1100000000000001</v>
      </c>
      <c r="K25" s="64">
        <v>313.68</v>
      </c>
      <c r="L25" s="64">
        <v>25.53</v>
      </c>
      <c r="M25" s="64">
        <v>55.47</v>
      </c>
      <c r="N25" s="64">
        <v>16</v>
      </c>
      <c r="O25" s="64">
        <v>0</v>
      </c>
      <c r="P25" s="64">
        <v>0.28000000000000003</v>
      </c>
      <c r="Q25" s="64">
        <v>9.16</v>
      </c>
      <c r="R25" s="198"/>
      <c r="S25" s="198"/>
      <c r="T25" s="198"/>
      <c r="U25" s="198"/>
    </row>
    <row r="26" spans="1:21" s="12" customFormat="1" x14ac:dyDescent="0.25">
      <c r="A26" s="214" t="s">
        <v>2281</v>
      </c>
      <c r="B26" s="64">
        <v>1.79</v>
      </c>
      <c r="C26" s="64">
        <v>26.21</v>
      </c>
      <c r="D26" s="64">
        <v>15.05</v>
      </c>
      <c r="E26" s="64">
        <v>0.89</v>
      </c>
      <c r="F26" s="64">
        <v>3.7</v>
      </c>
      <c r="G26" s="64">
        <v>28.71</v>
      </c>
      <c r="H26" s="64">
        <v>16.010000000000002</v>
      </c>
      <c r="I26" s="64">
        <v>3.41</v>
      </c>
      <c r="J26" s="64">
        <v>1.58</v>
      </c>
      <c r="K26" s="64">
        <v>327.32</v>
      </c>
      <c r="L26" s="64">
        <v>25.72</v>
      </c>
      <c r="M26" s="64">
        <v>50.35</v>
      </c>
      <c r="N26" s="64">
        <v>15</v>
      </c>
      <c r="O26" s="64">
        <v>0</v>
      </c>
      <c r="P26" s="64">
        <v>0.28000000000000003</v>
      </c>
      <c r="Q26" s="64">
        <v>9.14</v>
      </c>
      <c r="R26" s="198"/>
      <c r="S26" s="198"/>
      <c r="T26" s="198"/>
      <c r="U26" s="198"/>
    </row>
    <row r="27" spans="1:21" s="12" customFormat="1" x14ac:dyDescent="0.25">
      <c r="A27" s="214" t="s">
        <v>2282</v>
      </c>
      <c r="B27" s="64">
        <v>2.02</v>
      </c>
      <c r="C27" s="64">
        <v>28.13</v>
      </c>
      <c r="D27" s="64">
        <v>16.23</v>
      </c>
      <c r="E27" s="64">
        <v>1.1499999999999999</v>
      </c>
      <c r="F27" s="64">
        <v>4.46</v>
      </c>
      <c r="G27" s="64">
        <v>28.71</v>
      </c>
      <c r="H27" s="64">
        <v>16.010000000000002</v>
      </c>
      <c r="I27" s="64">
        <v>3.27</v>
      </c>
      <c r="J27" s="64">
        <v>1.97</v>
      </c>
      <c r="K27" s="64">
        <v>332.51</v>
      </c>
      <c r="L27" s="64">
        <v>26.21</v>
      </c>
      <c r="M27" s="64">
        <v>43.91</v>
      </c>
      <c r="N27" s="64">
        <v>15.2</v>
      </c>
      <c r="O27" s="64">
        <v>0</v>
      </c>
      <c r="P27" s="64">
        <v>0.27</v>
      </c>
      <c r="Q27" s="64">
        <v>9.18</v>
      </c>
      <c r="R27" s="198"/>
      <c r="S27" s="198"/>
      <c r="T27" s="198"/>
      <c r="U27" s="198"/>
    </row>
    <row r="28" spans="1:21" s="12" customFormat="1" x14ac:dyDescent="0.25">
      <c r="A28" s="214" t="s">
        <v>2283</v>
      </c>
      <c r="B28" s="64">
        <v>2.02</v>
      </c>
      <c r="C28" s="64">
        <v>29.07</v>
      </c>
      <c r="D28" s="64">
        <v>16.73</v>
      </c>
      <c r="E28" s="64">
        <v>1.27</v>
      </c>
      <c r="F28" s="64">
        <v>4.8499999999999996</v>
      </c>
      <c r="G28" s="64">
        <v>28.73</v>
      </c>
      <c r="H28" s="64">
        <v>16.09</v>
      </c>
      <c r="I28" s="64">
        <v>3.2</v>
      </c>
      <c r="J28" s="64">
        <v>1.19</v>
      </c>
      <c r="K28" s="64">
        <v>329.29</v>
      </c>
      <c r="L28" s="64">
        <v>26.07</v>
      </c>
      <c r="M28" s="64">
        <v>45.3</v>
      </c>
      <c r="N28" s="64">
        <v>16.399999999999999</v>
      </c>
      <c r="O28" s="64">
        <v>0</v>
      </c>
      <c r="P28" s="64">
        <v>0.27</v>
      </c>
      <c r="Q28" s="64">
        <v>9.1300000000000008</v>
      </c>
      <c r="R28" s="198"/>
      <c r="S28" s="198"/>
      <c r="T28" s="198"/>
      <c r="U28" s="198"/>
    </row>
    <row r="29" spans="1:21" s="12" customFormat="1" x14ac:dyDescent="0.25">
      <c r="A29" s="214" t="s">
        <v>2284</v>
      </c>
      <c r="B29" s="64">
        <v>2.1800000000000002</v>
      </c>
      <c r="C29" s="64">
        <v>29.04</v>
      </c>
      <c r="D29" s="64">
        <v>16.84</v>
      </c>
      <c r="E29" s="64">
        <v>1.06</v>
      </c>
      <c r="F29" s="64">
        <v>4.49</v>
      </c>
      <c r="G29" s="64">
        <v>29.08</v>
      </c>
      <c r="H29" s="64">
        <v>17.440000000000001</v>
      </c>
      <c r="I29" s="64">
        <v>2.95</v>
      </c>
      <c r="J29" s="64">
        <v>1.05</v>
      </c>
      <c r="K29" s="64">
        <v>335.87</v>
      </c>
      <c r="L29" s="64">
        <v>25.85</v>
      </c>
      <c r="M29" s="64">
        <v>46.1</v>
      </c>
      <c r="N29" s="64">
        <v>16.2</v>
      </c>
      <c r="O29" s="64">
        <v>0</v>
      </c>
      <c r="P29" s="64">
        <v>0.27</v>
      </c>
      <c r="Q29" s="64">
        <v>9.1300000000000008</v>
      </c>
      <c r="R29" s="198"/>
      <c r="S29" s="198"/>
      <c r="T29" s="198"/>
      <c r="U29" s="198"/>
    </row>
    <row r="30" spans="1:21" s="12" customFormat="1" x14ac:dyDescent="0.25">
      <c r="A30" s="214" t="s">
        <v>2285</v>
      </c>
      <c r="B30" s="64">
        <v>2.4700000000000002</v>
      </c>
      <c r="C30" s="64">
        <v>29.22</v>
      </c>
      <c r="D30" s="64">
        <v>17.170000000000002</v>
      </c>
      <c r="E30" s="64">
        <v>1.07</v>
      </c>
      <c r="F30" s="64">
        <v>3.87</v>
      </c>
      <c r="G30" s="64">
        <v>29.08</v>
      </c>
      <c r="H30" s="64">
        <v>17.440000000000001</v>
      </c>
      <c r="I30" s="64">
        <v>3.13</v>
      </c>
      <c r="J30" s="64">
        <v>1.0900000000000001</v>
      </c>
      <c r="K30" s="64">
        <v>321.42</v>
      </c>
      <c r="L30" s="64">
        <v>25.73</v>
      </c>
      <c r="M30" s="64">
        <v>45.67</v>
      </c>
      <c r="N30" s="64">
        <v>16.5</v>
      </c>
      <c r="O30" s="64">
        <v>0</v>
      </c>
      <c r="P30" s="64">
        <v>0.28999999999999998</v>
      </c>
      <c r="Q30" s="64">
        <v>9.19</v>
      </c>
      <c r="R30" s="198"/>
      <c r="S30" s="198"/>
      <c r="T30" s="198"/>
      <c r="U30" s="198"/>
    </row>
    <row r="31" spans="1:21" s="12" customFormat="1" x14ac:dyDescent="0.25">
      <c r="A31" s="214" t="s">
        <v>2286</v>
      </c>
      <c r="B31" s="64">
        <v>2.77</v>
      </c>
      <c r="C31" s="64">
        <v>29.39</v>
      </c>
      <c r="D31" s="64">
        <v>17.5</v>
      </c>
      <c r="E31" s="64">
        <v>0.96</v>
      </c>
      <c r="F31" s="64">
        <v>4.12</v>
      </c>
      <c r="G31" s="64">
        <v>29.08</v>
      </c>
      <c r="H31" s="64">
        <v>17.440000000000001</v>
      </c>
      <c r="I31" s="64">
        <v>3.06</v>
      </c>
      <c r="J31" s="64">
        <v>1.0900000000000001</v>
      </c>
      <c r="K31" s="64">
        <v>326.83</v>
      </c>
      <c r="L31" s="64">
        <v>25.69</v>
      </c>
      <c r="M31" s="64">
        <v>45.15</v>
      </c>
      <c r="N31" s="64">
        <v>23.8</v>
      </c>
      <c r="O31" s="64">
        <v>0</v>
      </c>
      <c r="P31" s="64">
        <v>0.28999999999999998</v>
      </c>
      <c r="Q31" s="64">
        <v>9.2100000000000009</v>
      </c>
      <c r="R31" s="198"/>
      <c r="S31" s="198"/>
      <c r="T31" s="198"/>
      <c r="U31" s="198"/>
    </row>
    <row r="32" spans="1:21" s="12" customFormat="1" x14ac:dyDescent="0.25">
      <c r="A32" s="214" t="s">
        <v>2287</v>
      </c>
      <c r="B32" s="64">
        <v>2.99</v>
      </c>
      <c r="C32" s="64">
        <v>29.32</v>
      </c>
      <c r="D32" s="64">
        <v>17.63</v>
      </c>
      <c r="E32" s="64">
        <v>0.97</v>
      </c>
      <c r="F32" s="64">
        <v>4.1100000000000003</v>
      </c>
      <c r="G32" s="64">
        <v>29.66</v>
      </c>
      <c r="H32" s="64">
        <v>17.64</v>
      </c>
      <c r="I32" s="64">
        <v>3.12</v>
      </c>
      <c r="J32" s="64">
        <v>0.71</v>
      </c>
      <c r="K32" s="64">
        <v>317.70999999999998</v>
      </c>
      <c r="L32" s="64">
        <v>25.63</v>
      </c>
      <c r="M32" s="64">
        <v>45.08</v>
      </c>
      <c r="N32" s="64">
        <v>25.9</v>
      </c>
      <c r="O32" s="64">
        <v>0</v>
      </c>
      <c r="P32" s="64">
        <v>0.31</v>
      </c>
      <c r="Q32" s="64">
        <v>9.15</v>
      </c>
      <c r="R32" s="198"/>
      <c r="S32" s="198"/>
      <c r="T32" s="198"/>
      <c r="U32" s="198"/>
    </row>
    <row r="33" spans="1:21" s="12" customFormat="1" x14ac:dyDescent="0.25">
      <c r="A33" s="214" t="s">
        <v>2288</v>
      </c>
      <c r="B33" s="64">
        <v>3.32</v>
      </c>
      <c r="C33" s="64">
        <v>29.7</v>
      </c>
      <c r="D33" s="64">
        <v>18.100000000000001</v>
      </c>
      <c r="E33" s="64">
        <v>0.77</v>
      </c>
      <c r="F33" s="64">
        <v>3.79</v>
      </c>
      <c r="G33" s="64">
        <v>37.83</v>
      </c>
      <c r="H33" s="64">
        <v>21.07</v>
      </c>
      <c r="I33" s="64">
        <v>3.1</v>
      </c>
      <c r="J33" s="64">
        <v>0.47</v>
      </c>
      <c r="K33" s="64">
        <v>320.64999999999998</v>
      </c>
      <c r="L33" s="64">
        <v>25.5</v>
      </c>
      <c r="M33" s="64">
        <v>45.45</v>
      </c>
      <c r="N33" s="64">
        <v>27.6</v>
      </c>
      <c r="O33" s="64">
        <v>0</v>
      </c>
      <c r="P33" s="64">
        <v>0.32</v>
      </c>
      <c r="Q33" s="64">
        <v>9.19</v>
      </c>
      <c r="R33" s="198"/>
      <c r="S33" s="198"/>
      <c r="T33" s="198"/>
      <c r="U33" s="198"/>
    </row>
    <row r="34" spans="1:21" s="12" customFormat="1" x14ac:dyDescent="0.25">
      <c r="A34" s="214" t="s">
        <v>2289</v>
      </c>
      <c r="B34" s="64">
        <v>3.97</v>
      </c>
      <c r="C34" s="64">
        <v>29.81</v>
      </c>
      <c r="D34" s="64">
        <v>18.68</v>
      </c>
      <c r="E34" s="64">
        <v>0.69</v>
      </c>
      <c r="F34" s="64">
        <v>3.84</v>
      </c>
      <c r="G34" s="64">
        <v>37.83</v>
      </c>
      <c r="H34" s="64">
        <v>21.07</v>
      </c>
      <c r="I34" s="64">
        <v>2.97</v>
      </c>
      <c r="J34" s="64">
        <v>0.7</v>
      </c>
      <c r="K34" s="64">
        <v>326.14999999999998</v>
      </c>
      <c r="L34" s="64">
        <v>25.54</v>
      </c>
      <c r="M34" s="64">
        <v>44.92</v>
      </c>
      <c r="N34" s="64">
        <v>33.9</v>
      </c>
      <c r="O34" s="64">
        <v>0</v>
      </c>
      <c r="P34" s="64">
        <v>0.32</v>
      </c>
      <c r="Q34" s="64">
        <v>9.1300000000000008</v>
      </c>
      <c r="R34" s="198"/>
      <c r="S34" s="198"/>
      <c r="T34" s="198"/>
      <c r="U34" s="198"/>
    </row>
    <row r="35" spans="1:21" s="12" customFormat="1" x14ac:dyDescent="0.25">
      <c r="A35" s="214" t="s">
        <v>2290</v>
      </c>
      <c r="B35" s="64">
        <v>4.6100000000000003</v>
      </c>
      <c r="C35" s="64">
        <v>29.96</v>
      </c>
      <c r="D35" s="64">
        <v>19.27</v>
      </c>
      <c r="E35" s="64">
        <v>1.06</v>
      </c>
      <c r="F35" s="64">
        <v>3.7</v>
      </c>
      <c r="G35" s="64">
        <v>37.83</v>
      </c>
      <c r="H35" s="64">
        <v>21.07</v>
      </c>
      <c r="I35" s="64">
        <v>3.02</v>
      </c>
      <c r="J35" s="64">
        <v>0.16</v>
      </c>
      <c r="K35" s="64">
        <v>345.41</v>
      </c>
      <c r="L35" s="64">
        <v>25.59</v>
      </c>
      <c r="M35" s="64">
        <v>44.44</v>
      </c>
      <c r="N35" s="64">
        <v>54.1</v>
      </c>
      <c r="O35" s="64">
        <v>0</v>
      </c>
      <c r="P35" s="64">
        <v>0.33</v>
      </c>
      <c r="Q35" s="64">
        <v>9.2200000000000006</v>
      </c>
      <c r="R35" s="198"/>
      <c r="S35" s="198"/>
      <c r="T35" s="198"/>
      <c r="U35" s="198"/>
    </row>
    <row r="36" spans="1:21" s="12" customFormat="1" x14ac:dyDescent="0.25">
      <c r="A36" s="214" t="s">
        <v>2291</v>
      </c>
      <c r="B36" s="64">
        <v>5.46</v>
      </c>
      <c r="C36" s="64">
        <v>30.64</v>
      </c>
      <c r="D36" s="64">
        <v>20.309999999999999</v>
      </c>
      <c r="E36" s="64">
        <v>0.92</v>
      </c>
      <c r="F36" s="64">
        <v>3.76</v>
      </c>
      <c r="G36" s="64">
        <v>38.53</v>
      </c>
      <c r="H36" s="64">
        <v>21.14</v>
      </c>
      <c r="I36" s="64">
        <v>3.02</v>
      </c>
      <c r="J36" s="64">
        <v>0.49</v>
      </c>
      <c r="K36" s="64">
        <v>357.97</v>
      </c>
      <c r="L36" s="64">
        <v>25.88</v>
      </c>
      <c r="M36" s="64">
        <v>43.94</v>
      </c>
      <c r="N36" s="64">
        <v>63.3</v>
      </c>
      <c r="O36" s="64">
        <v>0</v>
      </c>
      <c r="P36" s="64">
        <v>0.34</v>
      </c>
      <c r="Q36" s="64">
        <v>9.17</v>
      </c>
      <c r="R36" s="198"/>
      <c r="S36" s="198"/>
      <c r="T36" s="198"/>
      <c r="U36" s="198"/>
    </row>
    <row r="37" spans="1:21" s="12" customFormat="1" x14ac:dyDescent="0.25">
      <c r="A37" s="214" t="s">
        <v>2292</v>
      </c>
      <c r="B37" s="64">
        <v>6.77</v>
      </c>
      <c r="C37" s="64">
        <v>31.67</v>
      </c>
      <c r="D37" s="64">
        <v>21.9</v>
      </c>
      <c r="E37" s="64">
        <v>0.88</v>
      </c>
      <c r="F37" s="64">
        <v>3.36</v>
      </c>
      <c r="G37" s="64">
        <v>48.46</v>
      </c>
      <c r="H37" s="64">
        <v>22.33</v>
      </c>
      <c r="I37" s="64">
        <v>3.2</v>
      </c>
      <c r="J37" s="64">
        <v>0.87</v>
      </c>
      <c r="K37" s="64">
        <v>333.86</v>
      </c>
      <c r="L37" s="64">
        <v>26.24</v>
      </c>
      <c r="M37" s="64">
        <v>42.54</v>
      </c>
      <c r="N37" s="64">
        <v>88.2</v>
      </c>
      <c r="O37" s="64">
        <v>0</v>
      </c>
      <c r="P37" s="64">
        <v>0.33</v>
      </c>
      <c r="Q37" s="64">
        <v>9.1300000000000008</v>
      </c>
      <c r="R37" s="198"/>
      <c r="S37" s="198"/>
      <c r="T37" s="198"/>
      <c r="U37" s="198"/>
    </row>
    <row r="38" spans="1:21" s="12" customFormat="1" x14ac:dyDescent="0.25">
      <c r="A38" s="214" t="s">
        <v>2293</v>
      </c>
      <c r="B38" s="64">
        <v>7.44</v>
      </c>
      <c r="C38" s="64">
        <v>33.03</v>
      </c>
      <c r="D38" s="64">
        <v>23.15</v>
      </c>
      <c r="E38" s="64">
        <v>1.05</v>
      </c>
      <c r="F38" s="64">
        <v>3.74</v>
      </c>
      <c r="G38" s="64">
        <v>48.46</v>
      </c>
      <c r="H38" s="64">
        <v>22.33</v>
      </c>
      <c r="I38" s="64">
        <v>3.6</v>
      </c>
      <c r="J38" s="64">
        <v>1.33</v>
      </c>
      <c r="K38" s="64">
        <v>352.27</v>
      </c>
      <c r="L38" s="64">
        <v>26.45</v>
      </c>
      <c r="M38" s="64">
        <v>41.36</v>
      </c>
      <c r="N38" s="64">
        <v>135.69999999999999</v>
      </c>
      <c r="O38" s="64">
        <v>0</v>
      </c>
      <c r="P38" s="64">
        <v>0.35</v>
      </c>
      <c r="Q38" s="64">
        <v>9.18</v>
      </c>
      <c r="R38" s="198"/>
      <c r="S38" s="198"/>
      <c r="T38" s="198"/>
      <c r="U38" s="198"/>
    </row>
    <row r="39" spans="1:21" s="12" customFormat="1" x14ac:dyDescent="0.25">
      <c r="A39" s="214" t="s">
        <v>2294</v>
      </c>
      <c r="B39" s="64">
        <v>7.75</v>
      </c>
      <c r="C39" s="64">
        <v>33.46</v>
      </c>
      <c r="D39" s="64">
        <v>23.62</v>
      </c>
      <c r="E39" s="64">
        <v>0.6</v>
      </c>
      <c r="F39" s="64">
        <v>3.99</v>
      </c>
      <c r="G39" s="64">
        <v>48.46</v>
      </c>
      <c r="H39" s="64">
        <v>22.33</v>
      </c>
      <c r="I39" s="64">
        <v>3.8</v>
      </c>
      <c r="J39" s="64">
        <v>1.68</v>
      </c>
      <c r="K39" s="64">
        <v>346.67</v>
      </c>
      <c r="L39" s="64">
        <v>27.13</v>
      </c>
      <c r="M39" s="64">
        <v>39.770000000000003</v>
      </c>
      <c r="N39" s="64">
        <v>150.30000000000001</v>
      </c>
      <c r="O39" s="64">
        <v>0</v>
      </c>
      <c r="P39" s="64">
        <v>0.36</v>
      </c>
      <c r="Q39" s="64">
        <v>9.2100000000000009</v>
      </c>
      <c r="R39" s="198"/>
      <c r="S39" s="198"/>
      <c r="T39" s="198"/>
      <c r="U39" s="198"/>
    </row>
    <row r="40" spans="1:21" s="12" customFormat="1" x14ac:dyDescent="0.25">
      <c r="A40" s="214" t="s">
        <v>2295</v>
      </c>
      <c r="B40" s="64">
        <v>7.98</v>
      </c>
      <c r="C40" s="64">
        <v>34.24</v>
      </c>
      <c r="D40" s="64">
        <v>24.21</v>
      </c>
      <c r="E40" s="64">
        <v>2</v>
      </c>
      <c r="F40" s="64">
        <v>4.0999999999999996</v>
      </c>
      <c r="G40" s="64">
        <v>48.84</v>
      </c>
      <c r="H40" s="64">
        <v>22.11</v>
      </c>
      <c r="I40" s="64">
        <v>3.93</v>
      </c>
      <c r="J40" s="64">
        <v>1.67</v>
      </c>
      <c r="K40" s="64">
        <v>350.11</v>
      </c>
      <c r="L40" s="64">
        <v>27.06</v>
      </c>
      <c r="M40" s="64">
        <v>39.57</v>
      </c>
      <c r="N40" s="64">
        <v>138.9</v>
      </c>
      <c r="O40" s="64">
        <v>0</v>
      </c>
      <c r="P40" s="64">
        <v>0.38</v>
      </c>
      <c r="Q40" s="64">
        <v>9.16</v>
      </c>
      <c r="R40" s="198"/>
      <c r="S40" s="198"/>
      <c r="T40" s="198"/>
      <c r="U40" s="198"/>
    </row>
    <row r="41" spans="1:21" s="12" customFormat="1" x14ac:dyDescent="0.25">
      <c r="A41" s="214" t="s">
        <v>2296</v>
      </c>
      <c r="B41" s="64">
        <v>8.1199999999999992</v>
      </c>
      <c r="C41" s="64">
        <v>34.96</v>
      </c>
      <c r="D41" s="64">
        <v>24.7</v>
      </c>
      <c r="E41" s="64">
        <v>1.83</v>
      </c>
      <c r="F41" s="64">
        <v>3.59</v>
      </c>
      <c r="G41" s="64">
        <v>54.16</v>
      </c>
      <c r="H41" s="64">
        <v>18.29</v>
      </c>
      <c r="I41" s="64">
        <v>4.1900000000000004</v>
      </c>
      <c r="J41" s="64">
        <v>1.67</v>
      </c>
      <c r="K41" s="64">
        <v>352.37</v>
      </c>
      <c r="L41" s="64">
        <v>27.1</v>
      </c>
      <c r="M41" s="64">
        <v>39.92</v>
      </c>
      <c r="N41" s="64">
        <v>136.80000000000001</v>
      </c>
      <c r="O41" s="64">
        <v>0</v>
      </c>
      <c r="P41" s="64">
        <v>0.39</v>
      </c>
      <c r="Q41" s="64">
        <v>9.18</v>
      </c>
      <c r="R41" s="198"/>
      <c r="S41" s="198"/>
      <c r="T41" s="198"/>
      <c r="U41" s="198"/>
    </row>
    <row r="42" spans="1:21" s="12" customFormat="1" x14ac:dyDescent="0.25">
      <c r="A42" s="214" t="s">
        <v>2297</v>
      </c>
      <c r="B42" s="64">
        <v>8.2200000000000006</v>
      </c>
      <c r="C42" s="64">
        <v>35.9</v>
      </c>
      <c r="D42" s="64">
        <v>25.26</v>
      </c>
      <c r="E42" s="64">
        <v>2.04</v>
      </c>
      <c r="F42" s="64">
        <v>3.84</v>
      </c>
      <c r="G42" s="64">
        <v>54.16</v>
      </c>
      <c r="H42" s="64">
        <v>18.29</v>
      </c>
      <c r="I42" s="64">
        <v>4.24</v>
      </c>
      <c r="J42" s="64">
        <v>1.54</v>
      </c>
      <c r="K42" s="64">
        <v>356.24</v>
      </c>
      <c r="L42" s="64">
        <v>26.83</v>
      </c>
      <c r="M42" s="64">
        <v>41.06</v>
      </c>
      <c r="N42" s="64">
        <v>93.2</v>
      </c>
      <c r="O42" s="64">
        <v>0</v>
      </c>
      <c r="P42" s="64">
        <v>0.4</v>
      </c>
      <c r="Q42" s="64">
        <v>9.23</v>
      </c>
      <c r="R42" s="198"/>
      <c r="S42" s="198"/>
      <c r="T42" s="198"/>
      <c r="U42" s="198"/>
    </row>
    <row r="43" spans="1:21" s="12" customFormat="1" x14ac:dyDescent="0.25">
      <c r="A43" s="214" t="s">
        <v>2298</v>
      </c>
      <c r="B43" s="64">
        <v>7.92</v>
      </c>
      <c r="C43" s="64">
        <v>36.36</v>
      </c>
      <c r="D43" s="64">
        <v>25.27</v>
      </c>
      <c r="E43" s="64">
        <v>1.87</v>
      </c>
      <c r="F43" s="64">
        <v>3.98</v>
      </c>
      <c r="G43" s="64">
        <v>54.16</v>
      </c>
      <c r="H43" s="64">
        <v>18.29</v>
      </c>
      <c r="I43" s="64">
        <v>4.7300000000000004</v>
      </c>
      <c r="J43" s="64">
        <v>1.82</v>
      </c>
      <c r="K43" s="64">
        <v>358.44</v>
      </c>
      <c r="L43" s="64">
        <v>26.55</v>
      </c>
      <c r="M43" s="64">
        <v>43.08</v>
      </c>
      <c r="N43" s="64">
        <v>135</v>
      </c>
      <c r="O43" s="64">
        <v>0</v>
      </c>
      <c r="P43" s="64">
        <v>0.39</v>
      </c>
      <c r="Q43" s="64">
        <v>9.18</v>
      </c>
      <c r="R43" s="198"/>
      <c r="S43" s="198"/>
      <c r="T43" s="198"/>
      <c r="U43" s="198"/>
    </row>
    <row r="44" spans="1:21" s="12" customFormat="1" x14ac:dyDescent="0.25">
      <c r="A44" s="214" t="s">
        <v>2299</v>
      </c>
      <c r="B44" s="64">
        <v>7.27</v>
      </c>
      <c r="C44" s="64">
        <v>36.93</v>
      </c>
      <c r="D44" s="64">
        <v>25.05</v>
      </c>
      <c r="E44" s="64">
        <v>1.8</v>
      </c>
      <c r="F44" s="64">
        <v>4.2699999999999996</v>
      </c>
      <c r="G44" s="64">
        <v>53.93</v>
      </c>
      <c r="H44" s="64">
        <v>17.87</v>
      </c>
      <c r="I44" s="64">
        <v>4.93</v>
      </c>
      <c r="J44" s="64">
        <v>2.23</v>
      </c>
      <c r="K44" s="64">
        <v>356.83</v>
      </c>
      <c r="L44" s="64">
        <v>26.95</v>
      </c>
      <c r="M44" s="64">
        <v>43.06</v>
      </c>
      <c r="N44" s="64">
        <v>353.4</v>
      </c>
      <c r="O44" s="64">
        <v>0</v>
      </c>
      <c r="P44" s="64">
        <v>0.4</v>
      </c>
      <c r="Q44" s="64">
        <v>9.18</v>
      </c>
      <c r="R44" s="198"/>
      <c r="S44" s="198"/>
      <c r="T44" s="198"/>
      <c r="U44" s="198"/>
    </row>
    <row r="45" spans="1:21" s="12" customFormat="1" x14ac:dyDescent="0.25">
      <c r="A45" s="214" t="s">
        <v>2300</v>
      </c>
      <c r="B45" s="64">
        <v>6.56</v>
      </c>
      <c r="C45" s="64">
        <v>38.94</v>
      </c>
      <c r="D45" s="64">
        <v>25.53</v>
      </c>
      <c r="E45" s="64">
        <v>2.14</v>
      </c>
      <c r="F45" s="64">
        <v>4.08</v>
      </c>
      <c r="G45" s="64">
        <v>50.85</v>
      </c>
      <c r="H45" s="64">
        <v>10.73</v>
      </c>
      <c r="I45" s="64">
        <v>5.24</v>
      </c>
      <c r="J45" s="64">
        <v>2.42</v>
      </c>
      <c r="K45" s="64">
        <v>354.62</v>
      </c>
      <c r="L45" s="64">
        <v>29.93</v>
      </c>
      <c r="M45" s="64">
        <v>36.869999999999997</v>
      </c>
      <c r="N45" s="64">
        <v>692.4</v>
      </c>
      <c r="O45" s="64">
        <v>0</v>
      </c>
      <c r="P45" s="64">
        <v>0.39</v>
      </c>
      <c r="Q45" s="64">
        <v>9.19</v>
      </c>
      <c r="R45" s="198"/>
      <c r="S45" s="198"/>
      <c r="T45" s="198"/>
      <c r="U45" s="198"/>
    </row>
    <row r="46" spans="1:21" s="12" customFormat="1" x14ac:dyDescent="0.25">
      <c r="A46" s="214" t="s">
        <v>2301</v>
      </c>
      <c r="B46" s="64">
        <v>5.78</v>
      </c>
      <c r="C46" s="64">
        <v>41.24</v>
      </c>
      <c r="D46" s="64">
        <v>26.1</v>
      </c>
      <c r="E46" s="64">
        <v>1.96</v>
      </c>
      <c r="F46" s="64">
        <v>4.79</v>
      </c>
      <c r="G46" s="64">
        <v>50.85</v>
      </c>
      <c r="H46" s="64">
        <v>10.73</v>
      </c>
      <c r="I46" s="64">
        <v>5.31</v>
      </c>
      <c r="J46" s="64">
        <v>2.11</v>
      </c>
      <c r="K46" s="64">
        <v>355</v>
      </c>
      <c r="L46" s="64">
        <v>31.52</v>
      </c>
      <c r="M46" s="64">
        <v>34.340000000000003</v>
      </c>
      <c r="N46" s="64">
        <v>721.7</v>
      </c>
      <c r="O46" s="64">
        <v>0</v>
      </c>
      <c r="P46" s="64">
        <v>0.4</v>
      </c>
      <c r="Q46" s="64">
        <v>9.14</v>
      </c>
      <c r="R46" s="198"/>
      <c r="S46" s="198"/>
      <c r="T46" s="198"/>
      <c r="U46" s="198"/>
    </row>
    <row r="47" spans="1:21" s="12" customFormat="1" x14ac:dyDescent="0.25">
      <c r="A47" s="214" t="s">
        <v>2302</v>
      </c>
      <c r="B47" s="64">
        <v>5.01</v>
      </c>
      <c r="C47" s="64">
        <v>41.93</v>
      </c>
      <c r="D47" s="64">
        <v>25.85</v>
      </c>
      <c r="E47" s="64">
        <v>2.25</v>
      </c>
      <c r="F47" s="64">
        <v>5.01</v>
      </c>
      <c r="G47" s="64">
        <v>50.85</v>
      </c>
      <c r="H47" s="64">
        <v>10.73</v>
      </c>
      <c r="I47" s="64">
        <v>5.33</v>
      </c>
      <c r="J47" s="64">
        <v>2.5499999999999998</v>
      </c>
      <c r="K47" s="64">
        <v>358.31</v>
      </c>
      <c r="L47" s="64">
        <v>32.04</v>
      </c>
      <c r="M47" s="64">
        <v>33.200000000000003</v>
      </c>
      <c r="N47" s="64">
        <v>768.7</v>
      </c>
      <c r="O47" s="64">
        <v>0</v>
      </c>
      <c r="P47" s="64">
        <v>0.4</v>
      </c>
      <c r="Q47" s="64">
        <v>9.2100000000000009</v>
      </c>
      <c r="R47" s="198"/>
      <c r="S47" s="198"/>
      <c r="T47" s="198"/>
      <c r="U47" s="198"/>
    </row>
    <row r="48" spans="1:21" s="12" customFormat="1" x14ac:dyDescent="0.25">
      <c r="A48" s="214" t="s">
        <v>2303</v>
      </c>
      <c r="B48" s="64">
        <v>4.25</v>
      </c>
      <c r="C48" s="64">
        <v>41.61</v>
      </c>
      <c r="D48" s="64">
        <v>25.06</v>
      </c>
      <c r="E48" s="64">
        <v>1.89</v>
      </c>
      <c r="F48" s="64">
        <v>5.0999999999999996</v>
      </c>
      <c r="G48" s="64">
        <v>50.92</v>
      </c>
      <c r="H48" s="64">
        <v>10.94</v>
      </c>
      <c r="I48" s="64">
        <v>5.2</v>
      </c>
      <c r="J48" s="64">
        <v>2.15</v>
      </c>
      <c r="K48" s="64">
        <v>355.73</v>
      </c>
      <c r="L48" s="64">
        <v>32.57</v>
      </c>
      <c r="M48" s="64">
        <v>32.06</v>
      </c>
      <c r="N48" s="64">
        <v>806.8</v>
      </c>
      <c r="O48" s="64">
        <v>0</v>
      </c>
      <c r="P48" s="64">
        <v>0.4</v>
      </c>
      <c r="Q48" s="64">
        <v>9.19</v>
      </c>
      <c r="R48" s="198"/>
      <c r="S48" s="198"/>
      <c r="T48" s="198"/>
      <c r="U48" s="198"/>
    </row>
    <row r="49" spans="1:21" s="12" customFormat="1" x14ac:dyDescent="0.25">
      <c r="A49" s="214" t="s">
        <v>2304</v>
      </c>
      <c r="B49" s="64">
        <v>3.69</v>
      </c>
      <c r="C49" s="64">
        <v>40.86</v>
      </c>
      <c r="D49" s="64">
        <v>24.23</v>
      </c>
      <c r="E49" s="64">
        <v>1.9</v>
      </c>
      <c r="F49" s="64">
        <v>5.19</v>
      </c>
      <c r="G49" s="64">
        <v>52.13</v>
      </c>
      <c r="H49" s="64">
        <v>14.56</v>
      </c>
      <c r="I49" s="64">
        <v>5.18</v>
      </c>
      <c r="J49" s="64">
        <v>1.89</v>
      </c>
      <c r="K49" s="64">
        <v>354.98</v>
      </c>
      <c r="L49" s="64">
        <v>33.58</v>
      </c>
      <c r="M49" s="64">
        <v>30.18</v>
      </c>
      <c r="N49" s="64">
        <v>822.6</v>
      </c>
      <c r="O49" s="64">
        <v>0</v>
      </c>
      <c r="P49" s="64">
        <v>0.41</v>
      </c>
      <c r="Q49" s="64">
        <v>9.14</v>
      </c>
      <c r="R49" s="198"/>
      <c r="S49" s="198"/>
      <c r="T49" s="198"/>
      <c r="U49" s="198"/>
    </row>
    <row r="50" spans="1:21" s="12" customFormat="1" x14ac:dyDescent="0.25">
      <c r="A50" s="214" t="s">
        <v>2305</v>
      </c>
      <c r="B50" s="64">
        <v>3.59</v>
      </c>
      <c r="C50" s="64">
        <v>40.159999999999997</v>
      </c>
      <c r="D50" s="64">
        <v>23.78</v>
      </c>
      <c r="E50" s="64">
        <v>1.65</v>
      </c>
      <c r="F50" s="64">
        <v>4.8600000000000003</v>
      </c>
      <c r="G50" s="64">
        <v>52.13</v>
      </c>
      <c r="H50" s="64">
        <v>14.56</v>
      </c>
      <c r="I50" s="64">
        <v>5</v>
      </c>
      <c r="J50" s="64">
        <v>2.08</v>
      </c>
      <c r="K50" s="64">
        <v>358.19</v>
      </c>
      <c r="L50" s="64">
        <v>33.83</v>
      </c>
      <c r="M50" s="64">
        <v>30.01</v>
      </c>
      <c r="N50" s="64">
        <v>869.9</v>
      </c>
      <c r="O50" s="64">
        <v>0</v>
      </c>
      <c r="P50" s="64">
        <v>0.42</v>
      </c>
      <c r="Q50" s="64">
        <v>9.1999999999999993</v>
      </c>
      <c r="R50" s="198"/>
      <c r="S50" s="198"/>
      <c r="T50" s="198"/>
      <c r="U50" s="198"/>
    </row>
    <row r="51" spans="1:21" s="12" customFormat="1" x14ac:dyDescent="0.25">
      <c r="A51" s="214" t="s">
        <v>2306</v>
      </c>
      <c r="B51" s="64">
        <v>3.4</v>
      </c>
      <c r="C51" s="64">
        <v>39.94</v>
      </c>
      <c r="D51" s="64">
        <v>23.51</v>
      </c>
      <c r="E51" s="64">
        <v>1.94</v>
      </c>
      <c r="F51" s="64">
        <v>5.15</v>
      </c>
      <c r="G51" s="64">
        <v>52.13</v>
      </c>
      <c r="H51" s="64">
        <v>14.56</v>
      </c>
      <c r="I51" s="64">
        <v>4.76</v>
      </c>
      <c r="J51" s="64">
        <v>1.94</v>
      </c>
      <c r="K51" s="64">
        <v>354.11</v>
      </c>
      <c r="L51" s="64">
        <v>34.04</v>
      </c>
      <c r="M51" s="64">
        <v>30.28</v>
      </c>
      <c r="N51" s="64">
        <v>663.7</v>
      </c>
      <c r="O51" s="64">
        <v>0</v>
      </c>
      <c r="P51" s="64">
        <v>0.42</v>
      </c>
      <c r="Q51" s="64">
        <v>9.2200000000000006</v>
      </c>
      <c r="R51" s="198"/>
      <c r="S51" s="198"/>
      <c r="T51" s="198"/>
      <c r="U51" s="198"/>
    </row>
    <row r="52" spans="1:21" s="12" customFormat="1" x14ac:dyDescent="0.25">
      <c r="A52" s="214" t="s">
        <v>2307</v>
      </c>
      <c r="B52" s="64">
        <v>3.04</v>
      </c>
      <c r="C52" s="64">
        <v>38.56</v>
      </c>
      <c r="D52" s="64">
        <v>22.51</v>
      </c>
      <c r="E52" s="64">
        <v>1.99</v>
      </c>
      <c r="F52" s="64">
        <v>5.46</v>
      </c>
      <c r="G52" s="64">
        <v>51.7</v>
      </c>
      <c r="H52" s="64">
        <v>14.24</v>
      </c>
      <c r="I52" s="64">
        <v>4.71</v>
      </c>
      <c r="J52" s="64">
        <v>1.6</v>
      </c>
      <c r="K52" s="64">
        <v>356.02</v>
      </c>
      <c r="L52" s="64">
        <v>33.28</v>
      </c>
      <c r="M52" s="64">
        <v>31.74</v>
      </c>
      <c r="N52" s="64">
        <v>505.4</v>
      </c>
      <c r="O52" s="64">
        <v>0</v>
      </c>
      <c r="P52" s="64">
        <v>0.42</v>
      </c>
      <c r="Q52" s="64">
        <v>9.15</v>
      </c>
      <c r="R52" s="198"/>
      <c r="S52" s="198"/>
      <c r="T52" s="198"/>
      <c r="U52" s="198"/>
    </row>
    <row r="53" spans="1:21" s="12" customFormat="1" x14ac:dyDescent="0.25">
      <c r="A53" s="214" t="s">
        <v>2308</v>
      </c>
      <c r="B53" s="64">
        <v>2.85</v>
      </c>
      <c r="C53" s="64">
        <v>38.799999999999997</v>
      </c>
      <c r="D53" s="64">
        <v>22.48</v>
      </c>
      <c r="E53" s="64">
        <v>1.99</v>
      </c>
      <c r="F53" s="64">
        <v>4.6399999999999997</v>
      </c>
      <c r="G53" s="64">
        <v>44.33</v>
      </c>
      <c r="H53" s="64">
        <v>8.94</v>
      </c>
      <c r="I53" s="64">
        <v>4.59</v>
      </c>
      <c r="J53" s="64">
        <v>1.64</v>
      </c>
      <c r="K53" s="64">
        <v>339.46</v>
      </c>
      <c r="L53" s="64">
        <v>34.18</v>
      </c>
      <c r="M53" s="64">
        <v>30.81</v>
      </c>
      <c r="N53" s="64">
        <v>878.9</v>
      </c>
      <c r="O53" s="64">
        <v>0</v>
      </c>
      <c r="P53" s="64">
        <v>0.43</v>
      </c>
      <c r="Q53" s="64">
        <v>9.18</v>
      </c>
      <c r="R53" s="198"/>
      <c r="S53" s="198"/>
      <c r="T53" s="198"/>
      <c r="U53" s="198"/>
    </row>
    <row r="54" spans="1:21" s="12" customFormat="1" x14ac:dyDescent="0.25">
      <c r="A54" s="214" t="s">
        <v>2309</v>
      </c>
      <c r="B54" s="64">
        <v>2.75</v>
      </c>
      <c r="C54" s="64">
        <v>37.86</v>
      </c>
      <c r="D54" s="64">
        <v>21.9</v>
      </c>
      <c r="E54" s="64">
        <v>1.9</v>
      </c>
      <c r="F54" s="64">
        <v>5.16</v>
      </c>
      <c r="G54" s="64">
        <v>44.33</v>
      </c>
      <c r="H54" s="64">
        <v>8.94</v>
      </c>
      <c r="I54" s="64">
        <v>4.55</v>
      </c>
      <c r="J54" s="64">
        <v>1.42</v>
      </c>
      <c r="K54" s="64">
        <v>349.42</v>
      </c>
      <c r="L54" s="64">
        <v>36.4</v>
      </c>
      <c r="M54" s="64">
        <v>26.98</v>
      </c>
      <c r="N54" s="64">
        <v>781.1</v>
      </c>
      <c r="O54" s="64">
        <v>0</v>
      </c>
      <c r="P54" s="64">
        <v>0.44</v>
      </c>
      <c r="Q54" s="64">
        <v>9.16</v>
      </c>
      <c r="R54" s="198"/>
      <c r="S54" s="198"/>
      <c r="T54" s="198"/>
      <c r="U54" s="198"/>
    </row>
    <row r="55" spans="1:21" s="12" customFormat="1" x14ac:dyDescent="0.25">
      <c r="A55" s="214" t="s">
        <v>2310</v>
      </c>
      <c r="B55" s="64">
        <v>2.65</v>
      </c>
      <c r="C55" s="64">
        <v>37.43</v>
      </c>
      <c r="D55" s="64">
        <v>21.6</v>
      </c>
      <c r="E55" s="64">
        <v>1.95</v>
      </c>
      <c r="F55" s="64">
        <v>5.46</v>
      </c>
      <c r="G55" s="64">
        <v>44.33</v>
      </c>
      <c r="H55" s="64">
        <v>8.94</v>
      </c>
      <c r="I55" s="64">
        <v>4.5999999999999996</v>
      </c>
      <c r="J55" s="64">
        <v>1.38</v>
      </c>
      <c r="K55" s="64">
        <v>339.69</v>
      </c>
      <c r="L55" s="64">
        <v>35.39</v>
      </c>
      <c r="M55" s="64">
        <v>27.97</v>
      </c>
      <c r="N55" s="64">
        <v>457.3</v>
      </c>
      <c r="O55" s="64">
        <v>0</v>
      </c>
      <c r="P55" s="64">
        <v>0.44</v>
      </c>
      <c r="Q55" s="64">
        <v>9.19</v>
      </c>
      <c r="R55" s="198"/>
      <c r="S55" s="198"/>
      <c r="T55" s="198"/>
      <c r="U55" s="198"/>
    </row>
    <row r="56" spans="1:21" s="12" customFormat="1" x14ac:dyDescent="0.25">
      <c r="A56" s="214" t="s">
        <v>2311</v>
      </c>
      <c r="B56" s="64">
        <v>2.5299999999999998</v>
      </c>
      <c r="C56" s="64">
        <v>37.61</v>
      </c>
      <c r="D56" s="64">
        <v>21.6</v>
      </c>
      <c r="E56" s="64">
        <v>0.63</v>
      </c>
      <c r="F56" s="64">
        <v>5.13</v>
      </c>
      <c r="G56" s="64">
        <v>44.25</v>
      </c>
      <c r="H56" s="64">
        <v>9.11</v>
      </c>
      <c r="I56" s="64">
        <v>4.45</v>
      </c>
      <c r="J56" s="64">
        <v>1.39</v>
      </c>
      <c r="K56" s="64">
        <v>349.03</v>
      </c>
      <c r="L56" s="64">
        <v>34.159999999999997</v>
      </c>
      <c r="M56" s="64">
        <v>30.03</v>
      </c>
      <c r="N56" s="64">
        <v>432.4</v>
      </c>
      <c r="O56" s="64">
        <v>0</v>
      </c>
      <c r="P56" s="64">
        <v>0.45</v>
      </c>
      <c r="Q56" s="64">
        <v>9.17</v>
      </c>
      <c r="R56" s="198"/>
      <c r="S56" s="198"/>
      <c r="T56" s="198"/>
      <c r="U56" s="198"/>
    </row>
    <row r="57" spans="1:21" s="12" customFormat="1" x14ac:dyDescent="0.25">
      <c r="A57" s="214" t="s">
        <v>2312</v>
      </c>
      <c r="B57" s="64">
        <v>2.58</v>
      </c>
      <c r="C57" s="64">
        <v>37.630000000000003</v>
      </c>
      <c r="D57" s="64">
        <v>21.65</v>
      </c>
      <c r="E57" s="64">
        <v>0.32</v>
      </c>
      <c r="F57" s="64">
        <v>4.93</v>
      </c>
      <c r="G57" s="64">
        <v>43.19</v>
      </c>
      <c r="H57" s="64">
        <v>12.1</v>
      </c>
      <c r="I57" s="64">
        <v>4.32</v>
      </c>
      <c r="J57" s="64">
        <v>1.67</v>
      </c>
      <c r="K57" s="64">
        <v>351.26</v>
      </c>
      <c r="L57" s="64">
        <v>34.159999999999997</v>
      </c>
      <c r="M57" s="64">
        <v>31.17</v>
      </c>
      <c r="N57" s="64">
        <v>673.1</v>
      </c>
      <c r="O57" s="64">
        <v>0</v>
      </c>
      <c r="P57" s="64">
        <v>0.46</v>
      </c>
      <c r="Q57" s="64">
        <v>9.16</v>
      </c>
      <c r="R57" s="198"/>
      <c r="S57" s="198"/>
      <c r="T57" s="198"/>
      <c r="U57" s="198"/>
    </row>
    <row r="58" spans="1:21" s="12" customFormat="1" x14ac:dyDescent="0.25">
      <c r="A58" s="214" t="s">
        <v>2313</v>
      </c>
      <c r="B58" s="64">
        <v>2.79</v>
      </c>
      <c r="C58" s="64">
        <v>37.799999999999997</v>
      </c>
      <c r="D58" s="64">
        <v>21.9</v>
      </c>
      <c r="E58" s="64">
        <v>0.41</v>
      </c>
      <c r="F58" s="64">
        <v>5.03</v>
      </c>
      <c r="G58" s="64">
        <v>43.19</v>
      </c>
      <c r="H58" s="64">
        <v>12.1</v>
      </c>
      <c r="I58" s="64">
        <v>4.21</v>
      </c>
      <c r="J58" s="64">
        <v>2.19</v>
      </c>
      <c r="K58" s="64">
        <v>343.5</v>
      </c>
      <c r="L58" s="64">
        <v>34.75</v>
      </c>
      <c r="M58" s="64">
        <v>29.34</v>
      </c>
      <c r="N58" s="64">
        <v>726.4</v>
      </c>
      <c r="O58" s="64">
        <v>0</v>
      </c>
      <c r="P58" s="64">
        <v>0.46</v>
      </c>
      <c r="Q58" s="64">
        <v>9.2200000000000006</v>
      </c>
      <c r="R58" s="198"/>
      <c r="S58" s="198"/>
      <c r="T58" s="198"/>
      <c r="U58" s="198"/>
    </row>
    <row r="59" spans="1:21" s="12" customFormat="1" x14ac:dyDescent="0.25">
      <c r="A59" s="214" t="s">
        <v>2314</v>
      </c>
      <c r="B59" s="64">
        <v>2.79</v>
      </c>
      <c r="C59" s="64">
        <v>37.64</v>
      </c>
      <c r="D59" s="64">
        <v>21.82</v>
      </c>
      <c r="E59" s="64">
        <v>0.66</v>
      </c>
      <c r="F59" s="64">
        <v>5.72</v>
      </c>
      <c r="G59" s="64">
        <v>43.19</v>
      </c>
      <c r="H59" s="64">
        <v>12.1</v>
      </c>
      <c r="I59" s="64">
        <v>4.41</v>
      </c>
      <c r="J59" s="64">
        <v>2.06</v>
      </c>
      <c r="K59" s="64">
        <v>333.58</v>
      </c>
      <c r="L59" s="64">
        <v>34.07</v>
      </c>
      <c r="M59" s="64">
        <v>29.76</v>
      </c>
      <c r="N59" s="64">
        <v>699.6</v>
      </c>
      <c r="O59" s="64">
        <v>0</v>
      </c>
      <c r="P59" s="64">
        <v>0.45</v>
      </c>
      <c r="Q59" s="64">
        <v>9.16</v>
      </c>
      <c r="R59" s="198"/>
      <c r="S59" s="198"/>
      <c r="T59" s="198"/>
      <c r="U59" s="198"/>
    </row>
    <row r="60" spans="1:21" s="12" customFormat="1" x14ac:dyDescent="0.25">
      <c r="A60" s="214" t="s">
        <v>2315</v>
      </c>
      <c r="B60" s="64">
        <v>2.5299999999999998</v>
      </c>
      <c r="C60" s="64">
        <v>36.86</v>
      </c>
      <c r="D60" s="64">
        <v>21.2</v>
      </c>
      <c r="E60" s="64">
        <v>0.5</v>
      </c>
      <c r="F60" s="64">
        <v>5.71</v>
      </c>
      <c r="G60" s="64">
        <v>42.77</v>
      </c>
      <c r="H60" s="64">
        <v>15.82</v>
      </c>
      <c r="I60" s="64">
        <v>4.55</v>
      </c>
      <c r="J60" s="64">
        <v>2.65</v>
      </c>
      <c r="K60" s="64">
        <v>342.42</v>
      </c>
      <c r="L60" s="64">
        <v>34.01</v>
      </c>
      <c r="M60" s="64">
        <v>28.98</v>
      </c>
      <c r="N60" s="64">
        <v>764.2</v>
      </c>
      <c r="O60" s="64">
        <v>0</v>
      </c>
      <c r="P60" s="64">
        <v>0.44</v>
      </c>
      <c r="Q60" s="64">
        <v>9.1199999999999992</v>
      </c>
      <c r="R60" s="198"/>
      <c r="S60" s="198"/>
      <c r="T60" s="198"/>
      <c r="U60" s="198"/>
    </row>
    <row r="61" spans="1:21" s="12" customFormat="1" x14ac:dyDescent="0.25">
      <c r="A61" s="214" t="s">
        <v>2316</v>
      </c>
      <c r="B61" s="64">
        <v>2.2799999999999998</v>
      </c>
      <c r="C61" s="64">
        <v>35.94</v>
      </c>
      <c r="D61" s="64">
        <v>20.53</v>
      </c>
      <c r="E61" s="64">
        <v>0.75</v>
      </c>
      <c r="F61" s="64">
        <v>6.42</v>
      </c>
      <c r="G61" s="64">
        <v>36.880000000000003</v>
      </c>
      <c r="H61" s="64">
        <v>79.03</v>
      </c>
      <c r="I61" s="64">
        <v>4.37</v>
      </c>
      <c r="J61" s="64">
        <v>2.56</v>
      </c>
      <c r="K61" s="64">
        <v>340.37</v>
      </c>
      <c r="L61" s="64">
        <v>32.880000000000003</v>
      </c>
      <c r="M61" s="64">
        <v>30.5</v>
      </c>
      <c r="N61" s="64">
        <v>523.70000000000005</v>
      </c>
      <c r="O61" s="64">
        <v>0</v>
      </c>
      <c r="P61" s="64">
        <v>0.41</v>
      </c>
      <c r="Q61" s="64">
        <v>9.14</v>
      </c>
      <c r="R61" s="198"/>
      <c r="S61" s="198"/>
      <c r="T61" s="198"/>
      <c r="U61" s="198"/>
    </row>
    <row r="62" spans="1:21" s="12" customFormat="1" x14ac:dyDescent="0.25">
      <c r="A62" s="214" t="s">
        <v>2317</v>
      </c>
      <c r="B62" s="64">
        <v>2.09</v>
      </c>
      <c r="C62" s="64">
        <v>35.32</v>
      </c>
      <c r="D62" s="64">
        <v>20.05</v>
      </c>
      <c r="E62" s="64">
        <v>0.49</v>
      </c>
      <c r="F62" s="64">
        <v>6.27</v>
      </c>
      <c r="G62" s="64">
        <v>36.880000000000003</v>
      </c>
      <c r="H62" s="64">
        <v>79.03</v>
      </c>
      <c r="I62" s="64">
        <v>4.0999999999999996</v>
      </c>
      <c r="J62" s="64">
        <v>1.71</v>
      </c>
      <c r="K62" s="64">
        <v>324.97000000000003</v>
      </c>
      <c r="L62" s="64">
        <v>31.51</v>
      </c>
      <c r="M62" s="64">
        <v>33.78</v>
      </c>
      <c r="N62" s="64">
        <v>256</v>
      </c>
      <c r="O62" s="64">
        <v>0</v>
      </c>
      <c r="P62" s="64">
        <v>0.41</v>
      </c>
      <c r="Q62" s="64">
        <v>9.2200000000000006</v>
      </c>
      <c r="R62" s="198"/>
      <c r="S62" s="198"/>
      <c r="T62" s="198"/>
      <c r="U62" s="198"/>
    </row>
    <row r="63" spans="1:21" s="12" customFormat="1" x14ac:dyDescent="0.25">
      <c r="A63" s="214" t="s">
        <v>2318</v>
      </c>
      <c r="B63" s="64">
        <v>2.09</v>
      </c>
      <c r="C63" s="64">
        <v>35.18</v>
      </c>
      <c r="D63" s="64">
        <v>19.98</v>
      </c>
      <c r="E63" s="64">
        <v>1.0900000000000001</v>
      </c>
      <c r="F63" s="64">
        <v>5.79</v>
      </c>
      <c r="G63" s="64">
        <v>36.880000000000003</v>
      </c>
      <c r="H63" s="64">
        <v>79.03</v>
      </c>
      <c r="I63" s="64">
        <v>3.72</v>
      </c>
      <c r="J63" s="64">
        <v>1.94</v>
      </c>
      <c r="K63" s="64">
        <v>333.2</v>
      </c>
      <c r="L63" s="64">
        <v>31.68</v>
      </c>
      <c r="M63" s="64">
        <v>33.86</v>
      </c>
      <c r="N63" s="64">
        <v>604.4</v>
      </c>
      <c r="O63" s="64">
        <v>0</v>
      </c>
      <c r="P63" s="64">
        <v>0.4</v>
      </c>
      <c r="Q63" s="64">
        <v>9.18</v>
      </c>
      <c r="R63" s="198"/>
      <c r="S63" s="198"/>
      <c r="T63" s="198"/>
      <c r="U63" s="198"/>
    </row>
    <row r="64" spans="1:21" s="12" customFormat="1" x14ac:dyDescent="0.25">
      <c r="A64" s="214" t="s">
        <v>2319</v>
      </c>
      <c r="B64" s="64">
        <v>2.13</v>
      </c>
      <c r="C64" s="64">
        <v>35.19</v>
      </c>
      <c r="D64" s="64">
        <v>20.010000000000002</v>
      </c>
      <c r="E64" s="64">
        <v>0.3</v>
      </c>
      <c r="F64" s="64">
        <v>6.37</v>
      </c>
      <c r="G64" s="64">
        <v>36.71</v>
      </c>
      <c r="H64" s="64">
        <v>78.680000000000007</v>
      </c>
      <c r="I64" s="64">
        <v>3.67</v>
      </c>
      <c r="J64" s="64">
        <v>2.2799999999999998</v>
      </c>
      <c r="K64" s="64">
        <v>327.58999999999997</v>
      </c>
      <c r="L64" s="64">
        <v>32.86</v>
      </c>
      <c r="M64" s="64">
        <v>31.59</v>
      </c>
      <c r="N64" s="64">
        <v>704.2</v>
      </c>
      <c r="O64" s="64">
        <v>0</v>
      </c>
      <c r="P64" s="64">
        <v>0.39</v>
      </c>
      <c r="Q64" s="64">
        <v>9.14</v>
      </c>
      <c r="R64" s="198"/>
      <c r="S64" s="198"/>
      <c r="T64" s="198"/>
      <c r="U64" s="198"/>
    </row>
    <row r="65" spans="1:21" s="12" customFormat="1" x14ac:dyDescent="0.25">
      <c r="A65" s="214" t="s">
        <v>2320</v>
      </c>
      <c r="B65" s="64">
        <v>1.88</v>
      </c>
      <c r="C65" s="64">
        <v>35.619999999999997</v>
      </c>
      <c r="D65" s="64">
        <v>20.04</v>
      </c>
      <c r="E65" s="64">
        <v>0.34</v>
      </c>
      <c r="F65" s="64">
        <v>6.76</v>
      </c>
      <c r="G65" s="64">
        <v>33.86</v>
      </c>
      <c r="H65" s="64">
        <v>72.66</v>
      </c>
      <c r="I65" s="64">
        <v>3.61</v>
      </c>
      <c r="J65" s="64">
        <v>2.33</v>
      </c>
      <c r="K65" s="64">
        <v>324.47000000000003</v>
      </c>
      <c r="L65" s="64">
        <v>32.340000000000003</v>
      </c>
      <c r="M65" s="64">
        <v>32.36</v>
      </c>
      <c r="N65" s="64">
        <v>391.4</v>
      </c>
      <c r="O65" s="64">
        <v>0</v>
      </c>
      <c r="P65" s="64">
        <v>0.37</v>
      </c>
      <c r="Q65" s="64">
        <v>9.1300000000000008</v>
      </c>
      <c r="R65" s="198"/>
      <c r="S65" s="198"/>
      <c r="T65" s="198"/>
      <c r="U65" s="198"/>
    </row>
    <row r="66" spans="1:21" s="12" customFormat="1" x14ac:dyDescent="0.25">
      <c r="A66" s="214" t="s">
        <v>2321</v>
      </c>
      <c r="B66" s="64">
        <v>1.69</v>
      </c>
      <c r="C66" s="64">
        <v>33.19</v>
      </c>
      <c r="D66" s="64">
        <v>18.62</v>
      </c>
      <c r="E66" s="64">
        <v>0.48</v>
      </c>
      <c r="F66" s="64">
        <v>7.43</v>
      </c>
      <c r="G66" s="64">
        <v>33.86</v>
      </c>
      <c r="H66" s="64">
        <v>72.66</v>
      </c>
      <c r="I66" s="64">
        <v>3.39</v>
      </c>
      <c r="J66" s="64">
        <v>2.33</v>
      </c>
      <c r="K66" s="64">
        <v>319.52</v>
      </c>
      <c r="L66" s="64">
        <v>31.47</v>
      </c>
      <c r="M66" s="64">
        <v>33.35</v>
      </c>
      <c r="N66" s="64">
        <v>337.1</v>
      </c>
      <c r="O66" s="64">
        <v>0</v>
      </c>
      <c r="P66" s="64">
        <v>0.35</v>
      </c>
      <c r="Q66" s="64">
        <v>9.1999999999999993</v>
      </c>
      <c r="R66" s="198"/>
      <c r="S66" s="198"/>
      <c r="T66" s="198"/>
      <c r="U66" s="198"/>
    </row>
    <row r="67" spans="1:21" s="12" customFormat="1" x14ac:dyDescent="0.25">
      <c r="A67" s="214" t="s">
        <v>2322</v>
      </c>
      <c r="B67" s="64">
        <v>1.59</v>
      </c>
      <c r="C67" s="64">
        <v>30.8</v>
      </c>
      <c r="D67" s="64">
        <v>17.29</v>
      </c>
      <c r="E67" s="64">
        <v>0.42</v>
      </c>
      <c r="F67" s="64">
        <v>7.66</v>
      </c>
      <c r="G67" s="64">
        <v>33.86</v>
      </c>
      <c r="H67" s="64">
        <v>72.66</v>
      </c>
      <c r="I67" s="64">
        <v>3.15</v>
      </c>
      <c r="J67" s="64">
        <v>2.57</v>
      </c>
      <c r="K67" s="64">
        <v>325.64</v>
      </c>
      <c r="L67" s="64">
        <v>31.67</v>
      </c>
      <c r="M67" s="64">
        <v>32.24</v>
      </c>
      <c r="N67" s="64">
        <v>390</v>
      </c>
      <c r="O67" s="64">
        <v>0</v>
      </c>
      <c r="P67" s="64">
        <v>0.34</v>
      </c>
      <c r="Q67" s="64">
        <v>9.1300000000000008</v>
      </c>
      <c r="R67" s="198"/>
      <c r="S67" s="198"/>
      <c r="T67" s="198"/>
      <c r="U67" s="198"/>
    </row>
    <row r="68" spans="1:21" s="12" customFormat="1" x14ac:dyDescent="0.25">
      <c r="A68" s="214" t="s">
        <v>2323</v>
      </c>
      <c r="B68" s="64">
        <v>1.5</v>
      </c>
      <c r="C68" s="64">
        <v>30.12</v>
      </c>
      <c r="D68" s="64">
        <v>16.86</v>
      </c>
      <c r="E68" s="64">
        <v>0.74</v>
      </c>
      <c r="F68" s="64">
        <v>7.6</v>
      </c>
      <c r="G68" s="64">
        <v>33.93</v>
      </c>
      <c r="H68" s="64">
        <v>69.040000000000006</v>
      </c>
      <c r="I68" s="64">
        <v>2.98</v>
      </c>
      <c r="J68" s="64">
        <v>2.7</v>
      </c>
      <c r="K68" s="64">
        <v>328.04</v>
      </c>
      <c r="L68" s="64">
        <v>31.42</v>
      </c>
      <c r="M68" s="64">
        <v>32.299999999999997</v>
      </c>
      <c r="N68" s="64">
        <v>323.8</v>
      </c>
      <c r="O68" s="64">
        <v>0</v>
      </c>
      <c r="P68" s="64">
        <v>0.32</v>
      </c>
      <c r="Q68" s="64">
        <v>9.17</v>
      </c>
      <c r="R68" s="198"/>
      <c r="S68" s="198"/>
      <c r="T68" s="198"/>
      <c r="U68" s="198"/>
    </row>
    <row r="69" spans="1:21" s="12" customFormat="1" x14ac:dyDescent="0.25">
      <c r="A69" s="214" t="s">
        <v>2324</v>
      </c>
      <c r="B69" s="64">
        <v>1.51</v>
      </c>
      <c r="C69" s="64">
        <v>30.38</v>
      </c>
      <c r="D69" s="64">
        <v>17.010000000000002</v>
      </c>
      <c r="E69" s="64">
        <v>0.53</v>
      </c>
      <c r="F69" s="64">
        <v>7.68</v>
      </c>
      <c r="G69" s="64">
        <v>34.94</v>
      </c>
      <c r="H69" s="64">
        <v>7.46</v>
      </c>
      <c r="I69" s="64">
        <v>2.7</v>
      </c>
      <c r="J69" s="64">
        <v>2.5</v>
      </c>
      <c r="K69" s="64">
        <v>325.68</v>
      </c>
      <c r="L69" s="64">
        <v>30.71</v>
      </c>
      <c r="M69" s="64">
        <v>33.53</v>
      </c>
      <c r="N69" s="64">
        <v>251.3</v>
      </c>
      <c r="O69" s="64">
        <v>0</v>
      </c>
      <c r="P69" s="64">
        <v>0.31</v>
      </c>
      <c r="Q69" s="64">
        <v>9.16</v>
      </c>
      <c r="R69" s="198"/>
      <c r="S69" s="198"/>
      <c r="T69" s="198"/>
      <c r="U69" s="198"/>
    </row>
    <row r="70" spans="1:21" s="12" customFormat="1" x14ac:dyDescent="0.25">
      <c r="A70" s="214" t="s">
        <v>2325</v>
      </c>
      <c r="B70" s="64">
        <v>1.51</v>
      </c>
      <c r="C70" s="64">
        <v>30.38</v>
      </c>
      <c r="D70" s="64">
        <v>17.010000000000002</v>
      </c>
      <c r="E70" s="64">
        <v>0.64</v>
      </c>
      <c r="F70" s="64">
        <v>7.38</v>
      </c>
      <c r="G70" s="64">
        <v>34.94</v>
      </c>
      <c r="H70" s="64">
        <v>7.46</v>
      </c>
      <c r="I70" s="64">
        <v>2.5</v>
      </c>
      <c r="J70" s="64">
        <v>2.31</v>
      </c>
      <c r="K70" s="64">
        <v>334.39</v>
      </c>
      <c r="L70" s="64">
        <v>30.36</v>
      </c>
      <c r="M70" s="64">
        <v>34.049999999999997</v>
      </c>
      <c r="N70" s="64">
        <v>248.4</v>
      </c>
      <c r="O70" s="64">
        <v>0</v>
      </c>
      <c r="P70" s="64">
        <v>0.31</v>
      </c>
      <c r="Q70" s="64">
        <v>9.14</v>
      </c>
      <c r="R70" s="198"/>
      <c r="S70" s="198"/>
      <c r="T70" s="198"/>
      <c r="U70" s="198"/>
    </row>
    <row r="71" spans="1:21" s="12" customFormat="1" x14ac:dyDescent="0.25">
      <c r="A71" s="214" t="s">
        <v>2326</v>
      </c>
      <c r="B71" s="64">
        <v>1.61</v>
      </c>
      <c r="C71" s="64">
        <v>30.41</v>
      </c>
      <c r="D71" s="64">
        <v>17.100000000000001</v>
      </c>
      <c r="E71" s="64">
        <v>0.56000000000000005</v>
      </c>
      <c r="F71" s="64">
        <v>6.87</v>
      </c>
      <c r="G71" s="64">
        <v>34.94</v>
      </c>
      <c r="H71" s="64">
        <v>7.46</v>
      </c>
      <c r="I71" s="64">
        <v>2.41</v>
      </c>
      <c r="J71" s="64">
        <v>2.42</v>
      </c>
      <c r="K71" s="64">
        <v>330.63</v>
      </c>
      <c r="L71" s="64">
        <v>29.98</v>
      </c>
      <c r="M71" s="64">
        <v>34.479999999999997</v>
      </c>
      <c r="N71" s="64">
        <v>203.6</v>
      </c>
      <c r="O71" s="64">
        <v>0</v>
      </c>
      <c r="P71" s="64">
        <v>0.3</v>
      </c>
      <c r="Q71" s="64">
        <v>9.17</v>
      </c>
      <c r="R71" s="198"/>
      <c r="S71" s="198"/>
      <c r="T71" s="198"/>
      <c r="U71" s="198"/>
    </row>
    <row r="72" spans="1:21" s="12" customFormat="1" x14ac:dyDescent="0.25">
      <c r="A72" s="214" t="s">
        <v>2327</v>
      </c>
      <c r="B72" s="64">
        <v>1.77</v>
      </c>
      <c r="C72" s="64">
        <v>30.46</v>
      </c>
      <c r="D72" s="64">
        <v>17.260000000000002</v>
      </c>
      <c r="E72" s="64">
        <v>1.04</v>
      </c>
      <c r="F72" s="64">
        <v>7.02</v>
      </c>
      <c r="G72" s="64">
        <v>34.86</v>
      </c>
      <c r="H72" s="64">
        <v>7.27</v>
      </c>
      <c r="I72" s="64">
        <v>2.29</v>
      </c>
      <c r="J72" s="64">
        <v>2.37</v>
      </c>
      <c r="K72" s="64">
        <v>347.13</v>
      </c>
      <c r="L72" s="64">
        <v>29.46</v>
      </c>
      <c r="M72" s="64">
        <v>35.159999999999997</v>
      </c>
      <c r="N72" s="64">
        <v>174.2</v>
      </c>
      <c r="O72" s="64">
        <v>0</v>
      </c>
      <c r="P72" s="64">
        <v>0.3</v>
      </c>
      <c r="Q72" s="64">
        <v>9.1199999999999992</v>
      </c>
      <c r="R72" s="198"/>
      <c r="S72" s="198"/>
      <c r="T72" s="198"/>
      <c r="U72" s="198"/>
    </row>
    <row r="73" spans="1:21" s="12" customFormat="1" x14ac:dyDescent="0.25">
      <c r="A73" s="214" t="s">
        <v>2328</v>
      </c>
      <c r="B73" s="64">
        <v>1.92</v>
      </c>
      <c r="C73" s="64">
        <v>31.83</v>
      </c>
      <c r="D73" s="64">
        <v>18.09</v>
      </c>
      <c r="E73" s="64">
        <v>1.65</v>
      </c>
      <c r="F73" s="64">
        <v>6.52</v>
      </c>
      <c r="G73" s="64">
        <v>33.57</v>
      </c>
      <c r="H73" s="64">
        <v>4.72</v>
      </c>
      <c r="I73" s="64">
        <v>2.15</v>
      </c>
      <c r="J73" s="64">
        <v>2</v>
      </c>
      <c r="K73" s="64">
        <v>340.59</v>
      </c>
      <c r="L73" s="64">
        <v>28.81</v>
      </c>
      <c r="M73" s="64">
        <v>37.04</v>
      </c>
      <c r="N73" s="64">
        <v>129.6</v>
      </c>
      <c r="O73" s="64">
        <v>0</v>
      </c>
      <c r="P73" s="64">
        <v>0.3</v>
      </c>
      <c r="Q73" s="64">
        <v>9.14</v>
      </c>
      <c r="R73" s="198"/>
      <c r="S73" s="198"/>
      <c r="T73" s="198"/>
      <c r="U73" s="198"/>
    </row>
    <row r="74" spans="1:21" s="12" customFormat="1" x14ac:dyDescent="0.25">
      <c r="A74" s="214" t="s">
        <v>2329</v>
      </c>
      <c r="B74" s="64">
        <v>2.14</v>
      </c>
      <c r="C74" s="64">
        <v>32.86</v>
      </c>
      <c r="D74" s="64">
        <v>18.8</v>
      </c>
      <c r="E74" s="64">
        <v>2.0099999999999998</v>
      </c>
      <c r="F74" s="64">
        <v>5.81</v>
      </c>
      <c r="G74" s="64">
        <v>33.57</v>
      </c>
      <c r="H74" s="64">
        <v>4.72</v>
      </c>
      <c r="I74" s="64">
        <v>1.99</v>
      </c>
      <c r="J74" s="64">
        <v>1.85</v>
      </c>
      <c r="K74" s="64">
        <v>341.29</v>
      </c>
      <c r="L74" s="64">
        <v>28.61</v>
      </c>
      <c r="M74" s="64">
        <v>38.04</v>
      </c>
      <c r="N74" s="64">
        <v>146.1</v>
      </c>
      <c r="O74" s="64">
        <v>0</v>
      </c>
      <c r="P74" s="64">
        <v>0.32</v>
      </c>
      <c r="Q74" s="64">
        <v>9.15</v>
      </c>
      <c r="R74" s="198"/>
      <c r="S74" s="198"/>
      <c r="T74" s="198"/>
      <c r="U74" s="198"/>
    </row>
    <row r="75" spans="1:21" s="12" customFormat="1" x14ac:dyDescent="0.25">
      <c r="A75" s="214" t="s">
        <v>2330</v>
      </c>
      <c r="B75" s="64">
        <v>2.44</v>
      </c>
      <c r="C75" s="64">
        <v>33.22</v>
      </c>
      <c r="D75" s="64">
        <v>19.23</v>
      </c>
      <c r="E75" s="64">
        <v>1.7</v>
      </c>
      <c r="F75" s="64">
        <v>5.25</v>
      </c>
      <c r="G75" s="64">
        <v>33.57</v>
      </c>
      <c r="H75" s="64">
        <v>4.72</v>
      </c>
      <c r="I75" s="64">
        <v>2.16</v>
      </c>
      <c r="J75" s="64">
        <v>1.97</v>
      </c>
      <c r="K75" s="64">
        <v>349.83</v>
      </c>
      <c r="L75" s="64">
        <v>28.32</v>
      </c>
      <c r="M75" s="64">
        <v>38.270000000000003</v>
      </c>
      <c r="N75" s="64">
        <v>104</v>
      </c>
      <c r="O75" s="64">
        <v>0</v>
      </c>
      <c r="P75" s="64">
        <v>0.33</v>
      </c>
      <c r="Q75" s="64">
        <v>9.17</v>
      </c>
      <c r="R75" s="198"/>
      <c r="S75" s="198"/>
      <c r="T75" s="198"/>
      <c r="U75" s="198"/>
    </row>
    <row r="76" spans="1:21" s="12" customFormat="1" x14ac:dyDescent="0.25">
      <c r="A76" s="214" t="s">
        <v>2331</v>
      </c>
      <c r="B76" s="64">
        <v>2.74</v>
      </c>
      <c r="C76" s="64">
        <v>34.4</v>
      </c>
      <c r="D76" s="64">
        <v>20.09</v>
      </c>
      <c r="E76" s="64">
        <v>1.57</v>
      </c>
      <c r="F76" s="64">
        <v>4.76</v>
      </c>
      <c r="G76" s="64">
        <v>33.79</v>
      </c>
      <c r="H76" s="64">
        <v>4.47</v>
      </c>
      <c r="I76" s="64">
        <v>2.31</v>
      </c>
      <c r="J76" s="64">
        <v>1.88</v>
      </c>
      <c r="K76" s="64">
        <v>345.23</v>
      </c>
      <c r="L76" s="64">
        <v>27.88</v>
      </c>
      <c r="M76" s="64">
        <v>39.049999999999997</v>
      </c>
      <c r="N76" s="64">
        <v>63.9</v>
      </c>
      <c r="O76" s="64">
        <v>0</v>
      </c>
      <c r="P76" s="64">
        <v>0.33</v>
      </c>
      <c r="Q76" s="64">
        <v>9.17</v>
      </c>
      <c r="R76" s="198"/>
      <c r="S76" s="198"/>
      <c r="T76" s="198"/>
      <c r="U76" s="198"/>
    </row>
    <row r="77" spans="1:21" s="12" customFormat="1" x14ac:dyDescent="0.25">
      <c r="A77" s="214" t="s">
        <v>2332</v>
      </c>
      <c r="B77" s="64">
        <v>2.95</v>
      </c>
      <c r="C77" s="64">
        <v>35.270000000000003</v>
      </c>
      <c r="D77" s="64">
        <v>20.71</v>
      </c>
      <c r="E77" s="64">
        <v>1.72</v>
      </c>
      <c r="F77" s="64">
        <v>4.66</v>
      </c>
      <c r="G77" s="64">
        <v>36.82</v>
      </c>
      <c r="H77" s="210" t="s">
        <v>36</v>
      </c>
      <c r="I77" s="64">
        <v>2.4</v>
      </c>
      <c r="J77" s="64">
        <v>1.73</v>
      </c>
      <c r="K77" s="64">
        <v>355.37</v>
      </c>
      <c r="L77" s="64">
        <v>27.52</v>
      </c>
      <c r="M77" s="64">
        <v>40.39</v>
      </c>
      <c r="N77" s="64">
        <v>48.4</v>
      </c>
      <c r="O77" s="64">
        <v>0</v>
      </c>
      <c r="P77" s="64">
        <v>0.34</v>
      </c>
      <c r="Q77" s="64">
        <v>9.14</v>
      </c>
      <c r="R77" s="198"/>
      <c r="S77" s="198"/>
      <c r="T77" s="198"/>
      <c r="U77" s="198"/>
    </row>
    <row r="78" spans="1:21" s="12" customFormat="1" x14ac:dyDescent="0.25">
      <c r="A78" s="214" t="s">
        <v>2333</v>
      </c>
      <c r="B78" s="64">
        <v>3.37</v>
      </c>
      <c r="C78" s="64">
        <v>36.090000000000003</v>
      </c>
      <c r="D78" s="64">
        <v>21.47</v>
      </c>
      <c r="E78" s="64">
        <v>1.59</v>
      </c>
      <c r="F78" s="64">
        <v>4.49</v>
      </c>
      <c r="G78" s="64">
        <v>36.82</v>
      </c>
      <c r="H78" s="210" t="s">
        <v>36</v>
      </c>
      <c r="I78" s="64">
        <v>2.48</v>
      </c>
      <c r="J78" s="64">
        <v>1.57</v>
      </c>
      <c r="K78" s="64">
        <v>358.62</v>
      </c>
      <c r="L78" s="64">
        <v>27.17</v>
      </c>
      <c r="M78" s="64">
        <v>40.799999999999997</v>
      </c>
      <c r="N78" s="64">
        <v>37.700000000000003</v>
      </c>
      <c r="O78" s="64">
        <v>0</v>
      </c>
      <c r="P78" s="64">
        <v>0.36</v>
      </c>
      <c r="Q78" s="64">
        <v>9.1300000000000008</v>
      </c>
      <c r="R78" s="198"/>
      <c r="S78" s="198"/>
      <c r="T78" s="198"/>
      <c r="U78" s="198"/>
    </row>
    <row r="79" spans="1:21" s="12" customFormat="1" x14ac:dyDescent="0.25">
      <c r="A79" s="214" t="s">
        <v>2334</v>
      </c>
      <c r="B79" s="64">
        <v>3.85</v>
      </c>
      <c r="C79" s="64">
        <v>36.83</v>
      </c>
      <c r="D79" s="64">
        <v>22.25</v>
      </c>
      <c r="E79" s="64">
        <v>1.49</v>
      </c>
      <c r="F79" s="64">
        <v>4.42</v>
      </c>
      <c r="G79" s="64">
        <v>36.82</v>
      </c>
      <c r="H79" s="210" t="s">
        <v>36</v>
      </c>
      <c r="I79" s="64">
        <v>2.78</v>
      </c>
      <c r="J79" s="64">
        <v>1.95</v>
      </c>
      <c r="K79" s="64">
        <v>342.5</v>
      </c>
      <c r="L79" s="64">
        <v>26.71</v>
      </c>
      <c r="M79" s="64">
        <v>43.14</v>
      </c>
      <c r="N79" s="64">
        <v>37.200000000000003</v>
      </c>
      <c r="O79" s="64">
        <v>0</v>
      </c>
      <c r="P79" s="64">
        <v>0.38</v>
      </c>
      <c r="Q79" s="64">
        <v>9.16</v>
      </c>
      <c r="R79" s="198"/>
      <c r="S79" s="198"/>
      <c r="T79" s="198"/>
      <c r="U79" s="198"/>
    </row>
    <row r="80" spans="1:21" s="12" customFormat="1" x14ac:dyDescent="0.25">
      <c r="A80" s="214" t="s">
        <v>2335</v>
      </c>
      <c r="B80" s="64">
        <v>4.04</v>
      </c>
      <c r="C80" s="64">
        <v>37.46</v>
      </c>
      <c r="D80" s="64">
        <v>22.73</v>
      </c>
      <c r="E80" s="64">
        <v>1.79</v>
      </c>
      <c r="F80" s="64">
        <v>3.94</v>
      </c>
      <c r="G80" s="64">
        <v>37.020000000000003</v>
      </c>
      <c r="H80" s="210" t="s">
        <v>36</v>
      </c>
      <c r="I80" s="64">
        <v>3.05</v>
      </c>
      <c r="J80" s="64">
        <v>1.45</v>
      </c>
      <c r="K80" s="64">
        <v>347.84</v>
      </c>
      <c r="L80" s="64">
        <v>26.26</v>
      </c>
      <c r="M80" s="64">
        <v>45.33</v>
      </c>
      <c r="N80" s="64">
        <v>27.7</v>
      </c>
      <c r="O80" s="64">
        <v>0</v>
      </c>
      <c r="P80" s="64">
        <v>0.4</v>
      </c>
      <c r="Q80" s="64">
        <v>9.23</v>
      </c>
      <c r="R80" s="198"/>
      <c r="S80" s="198"/>
      <c r="T80" s="198"/>
      <c r="U80" s="198"/>
    </row>
    <row r="81" spans="1:26" s="12" customFormat="1" x14ac:dyDescent="0.25">
      <c r="A81" s="214" t="s">
        <v>2336</v>
      </c>
      <c r="B81" s="64">
        <v>4.25</v>
      </c>
      <c r="C81" s="64">
        <v>37.89</v>
      </c>
      <c r="D81" s="64">
        <v>23.13</v>
      </c>
      <c r="E81" s="64">
        <v>1.85</v>
      </c>
      <c r="F81" s="64">
        <v>3.51</v>
      </c>
      <c r="G81" s="64">
        <v>39.869999999999997</v>
      </c>
      <c r="H81" s="210" t="s">
        <v>36</v>
      </c>
      <c r="I81" s="64">
        <v>3.31</v>
      </c>
      <c r="J81" s="64">
        <v>0.47</v>
      </c>
      <c r="K81" s="64">
        <v>357.98</v>
      </c>
      <c r="L81" s="64">
        <v>25.8</v>
      </c>
      <c r="M81" s="64">
        <v>47.95</v>
      </c>
      <c r="N81" s="64">
        <v>21.6</v>
      </c>
      <c r="O81" s="64">
        <v>0</v>
      </c>
      <c r="P81" s="64">
        <v>0.42</v>
      </c>
      <c r="Q81" s="64">
        <v>9.14</v>
      </c>
      <c r="R81" s="198"/>
      <c r="S81" s="198"/>
      <c r="T81" s="198"/>
      <c r="U81" s="198"/>
    </row>
    <row r="82" spans="1:26" s="12" customFormat="1" x14ac:dyDescent="0.25">
      <c r="A82" s="214" t="s">
        <v>2337</v>
      </c>
      <c r="B82" s="64">
        <v>4.71</v>
      </c>
      <c r="C82" s="64">
        <v>39.32</v>
      </c>
      <c r="D82" s="64">
        <v>24.24</v>
      </c>
      <c r="E82" s="64">
        <v>1.79</v>
      </c>
      <c r="F82" s="64">
        <v>3.75</v>
      </c>
      <c r="G82" s="64">
        <v>39.869999999999997</v>
      </c>
      <c r="H82" s="210" t="s">
        <v>36</v>
      </c>
      <c r="I82" s="64">
        <v>3.39</v>
      </c>
      <c r="J82" s="64">
        <v>0.57999999999999996</v>
      </c>
      <c r="K82" s="64">
        <v>342.1</v>
      </c>
      <c r="L82" s="64">
        <v>25.53</v>
      </c>
      <c r="M82" s="64">
        <v>49.08</v>
      </c>
      <c r="N82" s="64">
        <v>16.899999999999999</v>
      </c>
      <c r="O82" s="64">
        <v>0</v>
      </c>
      <c r="P82" s="64">
        <v>0.44</v>
      </c>
      <c r="Q82" s="64">
        <v>9.16</v>
      </c>
      <c r="R82" s="198"/>
      <c r="S82" s="198"/>
      <c r="T82" s="198"/>
      <c r="U82" s="198"/>
    </row>
    <row r="83" spans="1:26" s="12" customFormat="1" x14ac:dyDescent="0.25">
      <c r="A83" s="214" t="s">
        <v>2338</v>
      </c>
      <c r="B83" s="64">
        <v>5.21</v>
      </c>
      <c r="C83" s="64">
        <v>39.24</v>
      </c>
      <c r="D83" s="64">
        <v>24.6</v>
      </c>
      <c r="E83" s="64">
        <v>1.54</v>
      </c>
      <c r="F83" s="64">
        <v>3.78</v>
      </c>
      <c r="G83" s="64">
        <v>39.869999999999997</v>
      </c>
      <c r="H83" s="210" t="s">
        <v>36</v>
      </c>
      <c r="I83" s="64">
        <v>3.56</v>
      </c>
      <c r="J83" s="64">
        <v>0.83</v>
      </c>
      <c r="K83" s="64">
        <v>344.24</v>
      </c>
      <c r="L83" s="64">
        <v>25.51</v>
      </c>
      <c r="M83" s="64">
        <v>48.16</v>
      </c>
      <c r="N83" s="64">
        <v>16.2</v>
      </c>
      <c r="O83" s="64">
        <v>0</v>
      </c>
      <c r="P83" s="64">
        <v>0.46</v>
      </c>
      <c r="Q83" s="64">
        <v>9.17</v>
      </c>
      <c r="R83" s="198"/>
      <c r="S83" s="198"/>
      <c r="T83" s="198"/>
      <c r="U83" s="198"/>
    </row>
    <row r="84" spans="1:26" s="12" customFormat="1" x14ac:dyDescent="0.25">
      <c r="A84" s="214" t="s">
        <v>2339</v>
      </c>
      <c r="B84" s="64">
        <v>5.47</v>
      </c>
      <c r="C84" s="64">
        <v>38.58</v>
      </c>
      <c r="D84" s="64">
        <v>24.47</v>
      </c>
      <c r="E84" s="64">
        <v>1.56</v>
      </c>
      <c r="F84" s="64">
        <v>3.84</v>
      </c>
      <c r="G84" s="64">
        <v>40.04</v>
      </c>
      <c r="H84" s="210" t="s">
        <v>36</v>
      </c>
      <c r="I84" s="64">
        <v>3.71</v>
      </c>
      <c r="J84" s="64">
        <v>0.72</v>
      </c>
      <c r="K84" s="64">
        <v>327.45</v>
      </c>
      <c r="L84" s="64">
        <v>25.46</v>
      </c>
      <c r="M84" s="64">
        <v>48.65</v>
      </c>
      <c r="N84" s="64">
        <v>15.9</v>
      </c>
      <c r="O84" s="64">
        <v>0</v>
      </c>
      <c r="P84" s="64">
        <v>0.49</v>
      </c>
      <c r="Q84" s="64">
        <v>9.17</v>
      </c>
      <c r="R84" s="198"/>
      <c r="S84" s="198"/>
      <c r="T84" s="198"/>
      <c r="U84" s="198"/>
    </row>
    <row r="85" spans="1:26" s="12" customFormat="1" x14ac:dyDescent="0.25">
      <c r="A85" s="214" t="s">
        <v>2340</v>
      </c>
      <c r="B85" s="64">
        <v>5.63</v>
      </c>
      <c r="C85" s="64">
        <v>38.44</v>
      </c>
      <c r="D85" s="64">
        <v>24.52</v>
      </c>
      <c r="E85" s="64">
        <v>1.96</v>
      </c>
      <c r="F85" s="64">
        <v>3.46</v>
      </c>
      <c r="G85" s="64">
        <v>42.36</v>
      </c>
      <c r="H85" s="210" t="s">
        <v>36</v>
      </c>
      <c r="I85" s="64">
        <v>3.86</v>
      </c>
      <c r="J85" s="64">
        <v>1.1299999999999999</v>
      </c>
      <c r="K85" s="64">
        <v>331.63</v>
      </c>
      <c r="L85" s="64">
        <v>25.41</v>
      </c>
      <c r="M85" s="64">
        <v>48.33</v>
      </c>
      <c r="N85" s="64">
        <v>15.9</v>
      </c>
      <c r="O85" s="64">
        <v>0</v>
      </c>
      <c r="P85" s="64">
        <v>0.5</v>
      </c>
      <c r="Q85" s="64">
        <v>9.27</v>
      </c>
      <c r="R85" s="198"/>
      <c r="S85" s="198"/>
      <c r="T85" s="198"/>
      <c r="U85" s="198"/>
    </row>
    <row r="86" spans="1:26" s="12" customFormat="1" x14ac:dyDescent="0.25">
      <c r="A86" s="214" t="s">
        <v>2341</v>
      </c>
      <c r="B86" s="64">
        <v>5.56</v>
      </c>
      <c r="C86" s="64">
        <v>38.07</v>
      </c>
      <c r="D86" s="64">
        <v>24.27</v>
      </c>
      <c r="E86" s="64">
        <v>1.87</v>
      </c>
      <c r="F86" s="64">
        <v>3.27</v>
      </c>
      <c r="G86" s="64">
        <v>42.36</v>
      </c>
      <c r="H86" s="210" t="s">
        <v>36</v>
      </c>
      <c r="I86" s="64">
        <v>4.01</v>
      </c>
      <c r="J86" s="64">
        <v>0.96</v>
      </c>
      <c r="K86" s="64">
        <v>331.33</v>
      </c>
      <c r="L86" s="64">
        <v>25.46</v>
      </c>
      <c r="M86" s="64">
        <v>47.64</v>
      </c>
      <c r="N86" s="64">
        <v>16.3</v>
      </c>
      <c r="O86" s="64">
        <v>0</v>
      </c>
      <c r="P86" s="64">
        <v>0.51</v>
      </c>
      <c r="Q86" s="64">
        <v>9.17</v>
      </c>
      <c r="R86" s="198"/>
      <c r="S86" s="198"/>
      <c r="T86" s="198"/>
      <c r="U86" s="198"/>
    </row>
    <row r="87" spans="1:26" s="12" customFormat="1" x14ac:dyDescent="0.25">
      <c r="A87" s="214" t="s">
        <v>2342</v>
      </c>
      <c r="B87" s="64">
        <v>5.39</v>
      </c>
      <c r="C87" s="64">
        <v>37.380000000000003</v>
      </c>
      <c r="D87" s="64">
        <v>23.77</v>
      </c>
      <c r="E87" s="64">
        <v>1.62</v>
      </c>
      <c r="F87" s="64">
        <v>3.82</v>
      </c>
      <c r="G87" s="64">
        <v>42.36</v>
      </c>
      <c r="H87" s="210" t="s">
        <v>36</v>
      </c>
      <c r="I87" s="64">
        <v>4.08</v>
      </c>
      <c r="J87" s="64">
        <v>1.0900000000000001</v>
      </c>
      <c r="K87" s="64">
        <v>335.79</v>
      </c>
      <c r="L87" s="64">
        <v>24.37</v>
      </c>
      <c r="M87" s="64">
        <v>65.33</v>
      </c>
      <c r="N87" s="64">
        <v>22.9</v>
      </c>
      <c r="O87" s="64">
        <v>1.4</v>
      </c>
      <c r="P87" s="64">
        <v>0.52</v>
      </c>
      <c r="Q87" s="64">
        <v>9.1999999999999993</v>
      </c>
      <c r="R87" s="198"/>
      <c r="S87" s="198"/>
      <c r="T87" s="198"/>
      <c r="U87" s="198"/>
    </row>
    <row r="88" spans="1:26" s="12" customFormat="1" x14ac:dyDescent="0.25">
      <c r="A88" s="214" t="s">
        <v>2343</v>
      </c>
      <c r="B88" s="64">
        <v>5.12</v>
      </c>
      <c r="C88" s="64">
        <v>37.06</v>
      </c>
      <c r="D88" s="64">
        <v>23.39</v>
      </c>
      <c r="E88" s="64">
        <v>1.1000000000000001</v>
      </c>
      <c r="F88" s="64">
        <v>3.56</v>
      </c>
      <c r="G88" s="64">
        <v>42.2</v>
      </c>
      <c r="H88" s="210" t="s">
        <v>36</v>
      </c>
      <c r="I88" s="64">
        <v>4</v>
      </c>
      <c r="J88" s="64">
        <v>0.69</v>
      </c>
      <c r="K88" s="64">
        <v>356.35</v>
      </c>
      <c r="L88" s="64">
        <v>21.39</v>
      </c>
      <c r="M88" s="64">
        <v>91.51</v>
      </c>
      <c r="N88" s="64">
        <v>18.100000000000001</v>
      </c>
      <c r="O88" s="64">
        <v>0.4</v>
      </c>
      <c r="P88" s="64">
        <v>0.51</v>
      </c>
      <c r="Q88" s="64">
        <v>9.17</v>
      </c>
      <c r="R88" s="198"/>
      <c r="S88" s="198"/>
      <c r="T88" s="198"/>
      <c r="U88" s="198"/>
    </row>
    <row r="89" spans="1:26" s="12" customFormat="1" x14ac:dyDescent="0.25">
      <c r="A89" s="214" t="s">
        <v>2344</v>
      </c>
      <c r="B89" s="64">
        <v>5.4</v>
      </c>
      <c r="C89" s="64">
        <v>36.909999999999997</v>
      </c>
      <c r="D89" s="64">
        <v>23.53</v>
      </c>
      <c r="E89" s="64">
        <v>0.97</v>
      </c>
      <c r="F89" s="64">
        <v>3.5</v>
      </c>
      <c r="G89" s="64">
        <v>39.85</v>
      </c>
      <c r="H89" s="64">
        <v>24.59</v>
      </c>
      <c r="I89" s="64">
        <v>4.09</v>
      </c>
      <c r="J89" s="64">
        <v>1.33</v>
      </c>
      <c r="K89" s="64">
        <v>0.59</v>
      </c>
      <c r="L89" s="64">
        <v>21.78</v>
      </c>
      <c r="M89" s="64">
        <v>87.09</v>
      </c>
      <c r="N89" s="64">
        <v>17.899999999999999</v>
      </c>
      <c r="O89" s="64">
        <v>0</v>
      </c>
      <c r="P89" s="64">
        <v>0.53</v>
      </c>
      <c r="Q89" s="64">
        <v>9.1300000000000008</v>
      </c>
      <c r="R89" s="198"/>
      <c r="S89" s="198"/>
      <c r="T89" s="198"/>
      <c r="U89" s="198"/>
    </row>
    <row r="90" spans="1:26" s="12" customFormat="1" x14ac:dyDescent="0.25">
      <c r="A90" s="214" t="s">
        <v>2345</v>
      </c>
      <c r="B90" s="64">
        <v>6.26</v>
      </c>
      <c r="C90" s="64">
        <v>36.479999999999997</v>
      </c>
      <c r="D90" s="64">
        <v>24</v>
      </c>
      <c r="E90" s="64">
        <v>1.08</v>
      </c>
      <c r="F90" s="64">
        <v>4.12</v>
      </c>
      <c r="G90" s="64">
        <v>39.85</v>
      </c>
      <c r="H90" s="64">
        <v>24.59</v>
      </c>
      <c r="I90" s="64">
        <v>4.1399999999999997</v>
      </c>
      <c r="J90" s="64">
        <v>1.17</v>
      </c>
      <c r="K90" s="64">
        <v>0.65</v>
      </c>
      <c r="L90" s="64">
        <v>22.07</v>
      </c>
      <c r="M90" s="64">
        <v>82.19</v>
      </c>
      <c r="N90" s="64">
        <v>19</v>
      </c>
      <c r="O90" s="64">
        <v>0</v>
      </c>
      <c r="P90" s="64">
        <v>0.56999999999999995</v>
      </c>
      <c r="Q90" s="64">
        <v>9.1999999999999993</v>
      </c>
      <c r="R90" s="198"/>
      <c r="S90" s="198"/>
      <c r="T90" s="198"/>
      <c r="U90" s="198"/>
    </row>
    <row r="91" spans="1:26" s="12" customFormat="1" x14ac:dyDescent="0.25">
      <c r="A91" s="214" t="s">
        <v>2346</v>
      </c>
      <c r="B91" s="64">
        <v>7.3</v>
      </c>
      <c r="C91" s="64">
        <v>36.130000000000003</v>
      </c>
      <c r="D91" s="64">
        <v>24.65</v>
      </c>
      <c r="E91" s="64">
        <v>0.88</v>
      </c>
      <c r="F91" s="64">
        <v>3.61</v>
      </c>
      <c r="G91" s="64">
        <v>39.85</v>
      </c>
      <c r="H91" s="64">
        <v>24.59</v>
      </c>
      <c r="I91" s="64">
        <v>4.3600000000000003</v>
      </c>
      <c r="J91" s="64">
        <v>0.61</v>
      </c>
      <c r="K91" s="64">
        <v>8.7899999999999991</v>
      </c>
      <c r="L91" s="64">
        <v>22.46</v>
      </c>
      <c r="M91" s="64">
        <v>78.569999999999993</v>
      </c>
      <c r="N91" s="64">
        <v>19.2</v>
      </c>
      <c r="O91" s="64">
        <v>0</v>
      </c>
      <c r="P91" s="64">
        <v>0.61</v>
      </c>
      <c r="Q91" s="64">
        <v>9.16</v>
      </c>
      <c r="R91" s="198"/>
      <c r="S91" s="198"/>
      <c r="T91" s="198"/>
      <c r="U91" s="198"/>
    </row>
    <row r="92" spans="1:26" s="12" customFormat="1" x14ac:dyDescent="0.25">
      <c r="A92" s="214" t="s">
        <v>2347</v>
      </c>
      <c r="B92" s="64">
        <v>8.32</v>
      </c>
      <c r="C92" s="64">
        <v>35.950000000000003</v>
      </c>
      <c r="D92" s="64">
        <v>25.37</v>
      </c>
      <c r="E92" s="64">
        <v>1.05</v>
      </c>
      <c r="F92" s="64">
        <v>3.34</v>
      </c>
      <c r="G92" s="64">
        <v>39.840000000000003</v>
      </c>
      <c r="H92" s="64">
        <v>25.87</v>
      </c>
      <c r="I92" s="64">
        <v>4.66</v>
      </c>
      <c r="J92" s="64">
        <v>0.73</v>
      </c>
      <c r="K92" s="64">
        <v>86.1</v>
      </c>
      <c r="L92" s="64">
        <v>22.89</v>
      </c>
      <c r="M92" s="64">
        <v>71.59</v>
      </c>
      <c r="N92" s="64">
        <v>19.399999999999999</v>
      </c>
      <c r="O92" s="64">
        <v>0</v>
      </c>
      <c r="P92" s="64">
        <v>0.63</v>
      </c>
      <c r="Q92" s="64">
        <v>9.14</v>
      </c>
      <c r="R92" s="198"/>
      <c r="S92" s="198"/>
      <c r="T92" s="198"/>
      <c r="U92" s="198"/>
    </row>
    <row r="93" spans="1:26" s="12" customFormat="1" x14ac:dyDescent="0.25">
      <c r="A93" s="214" t="s">
        <v>2348</v>
      </c>
      <c r="B93" s="64">
        <v>9.31</v>
      </c>
      <c r="C93" s="64">
        <v>34.61</v>
      </c>
      <c r="D93" s="64">
        <v>25.47</v>
      </c>
      <c r="E93" s="64">
        <v>1.21</v>
      </c>
      <c r="F93" s="64">
        <v>3.41</v>
      </c>
      <c r="G93" s="64">
        <v>39.78</v>
      </c>
      <c r="H93" s="64">
        <v>47.62</v>
      </c>
      <c r="I93" s="64">
        <v>4.88</v>
      </c>
      <c r="J93" s="64">
        <v>0.33</v>
      </c>
      <c r="K93" s="64">
        <v>100.23</v>
      </c>
      <c r="L93" s="64">
        <v>23.04</v>
      </c>
      <c r="M93" s="64">
        <v>71.83</v>
      </c>
      <c r="N93" s="64">
        <v>18</v>
      </c>
      <c r="O93" s="64">
        <v>0</v>
      </c>
      <c r="P93" s="64">
        <v>0.64</v>
      </c>
      <c r="Q93" s="64">
        <v>9.17</v>
      </c>
      <c r="R93" s="198"/>
      <c r="S93" s="198"/>
      <c r="T93" s="198"/>
      <c r="U93" s="198"/>
    </row>
    <row r="94" spans="1:26" s="12" customFormat="1" x14ac:dyDescent="0.25">
      <c r="A94" s="214" t="s">
        <v>2349</v>
      </c>
      <c r="B94" s="64">
        <v>10.24</v>
      </c>
      <c r="C94" s="64">
        <v>34.17</v>
      </c>
      <c r="D94" s="64">
        <v>25.99</v>
      </c>
      <c r="E94" s="64">
        <v>1.1100000000000001</v>
      </c>
      <c r="F94" s="64">
        <v>3.51</v>
      </c>
      <c r="G94" s="64">
        <v>39.78</v>
      </c>
      <c r="H94" s="64">
        <v>47.62</v>
      </c>
      <c r="I94" s="64">
        <v>5.04</v>
      </c>
      <c r="J94" s="64">
        <v>0.3</v>
      </c>
      <c r="K94" s="64">
        <v>348.81</v>
      </c>
      <c r="L94" s="64">
        <v>23.16</v>
      </c>
      <c r="M94" s="64">
        <v>76.680000000000007</v>
      </c>
      <c r="N94" s="64">
        <v>17</v>
      </c>
      <c r="O94" s="64">
        <v>0</v>
      </c>
      <c r="P94" s="64">
        <v>0.66</v>
      </c>
      <c r="Q94" s="64">
        <v>9.23</v>
      </c>
      <c r="R94" s="198"/>
      <c r="S94" s="198"/>
      <c r="T94" s="198"/>
      <c r="U94" s="198"/>
    </row>
    <row r="95" spans="1:26" s="12" customFormat="1" x14ac:dyDescent="0.25">
      <c r="A95" s="214" t="s">
        <v>2350</v>
      </c>
      <c r="B95" s="64">
        <v>11.42</v>
      </c>
      <c r="C95" s="64">
        <v>33.630000000000003</v>
      </c>
      <c r="D95" s="64">
        <v>26.65</v>
      </c>
      <c r="E95" s="64">
        <v>1.29</v>
      </c>
      <c r="F95" s="64">
        <v>3.7</v>
      </c>
      <c r="G95" s="64">
        <v>39.78</v>
      </c>
      <c r="H95" s="64">
        <v>47.62</v>
      </c>
      <c r="I95" s="64">
        <v>5.34</v>
      </c>
      <c r="J95" s="64">
        <v>0.78</v>
      </c>
      <c r="K95" s="64">
        <v>323.51</v>
      </c>
      <c r="L95" s="64">
        <v>23.06</v>
      </c>
      <c r="M95" s="64">
        <v>75.38</v>
      </c>
      <c r="N95" s="64">
        <v>16.7</v>
      </c>
      <c r="O95" s="64">
        <v>0</v>
      </c>
      <c r="P95" s="64">
        <v>0.68</v>
      </c>
      <c r="Q95" s="64">
        <v>9.17</v>
      </c>
      <c r="R95" s="198"/>
      <c r="S95" s="198"/>
      <c r="T95" s="198"/>
      <c r="U95" s="198"/>
    </row>
    <row r="96" spans="1:26" s="12" customFormat="1" x14ac:dyDescent="0.25">
      <c r="A96" s="214" t="s">
        <v>2351</v>
      </c>
      <c r="B96" s="64">
        <v>11.83</v>
      </c>
      <c r="C96" s="64">
        <v>33.950000000000003</v>
      </c>
      <c r="D96" s="64">
        <v>27.14</v>
      </c>
      <c r="E96" s="64">
        <v>1.29</v>
      </c>
      <c r="F96" s="64">
        <v>3.56</v>
      </c>
      <c r="G96" s="64">
        <v>40.44</v>
      </c>
      <c r="H96" s="64">
        <v>47.18</v>
      </c>
      <c r="I96" s="64">
        <v>5.74</v>
      </c>
      <c r="J96" s="64">
        <v>0.19</v>
      </c>
      <c r="K96" s="64">
        <v>344.85</v>
      </c>
      <c r="L96" s="64">
        <v>22.77</v>
      </c>
      <c r="M96" s="64">
        <v>80.86</v>
      </c>
      <c r="N96" s="64">
        <v>18.600000000000001</v>
      </c>
      <c r="O96" s="64">
        <v>0.6</v>
      </c>
      <c r="P96" s="64">
        <v>0.69</v>
      </c>
      <c r="Q96" s="64">
        <v>9.15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2352</v>
      </c>
      <c r="B97" s="64">
        <v>10.64</v>
      </c>
      <c r="C97" s="64">
        <v>34.57</v>
      </c>
      <c r="D97" s="64">
        <v>26.51</v>
      </c>
      <c r="E97" s="64">
        <v>1.3</v>
      </c>
      <c r="F97" s="64">
        <v>4</v>
      </c>
      <c r="G97" s="64">
        <v>49.62</v>
      </c>
      <c r="H97" s="64">
        <v>41.01</v>
      </c>
      <c r="I97" s="64">
        <v>5.9</v>
      </c>
      <c r="J97" s="64">
        <v>0.08</v>
      </c>
      <c r="K97" s="64">
        <v>109.55</v>
      </c>
      <c r="L97" s="64">
        <v>21</v>
      </c>
      <c r="M97" s="64">
        <v>92.58</v>
      </c>
      <c r="N97" s="64">
        <v>17.8</v>
      </c>
      <c r="O97" s="64">
        <v>0.6</v>
      </c>
      <c r="P97" s="64">
        <v>0.67</v>
      </c>
      <c r="Q97" s="64">
        <v>9.1999999999999993</v>
      </c>
      <c r="R97" s="198"/>
      <c r="S97" s="198"/>
      <c r="T97" s="198"/>
      <c r="U97" s="198"/>
    </row>
    <row r="98" spans="1:33" s="12" customFormat="1" x14ac:dyDescent="0.25">
      <c r="A98" s="214" t="s">
        <v>2353</v>
      </c>
      <c r="B98" s="64">
        <v>10.1</v>
      </c>
      <c r="C98" s="64">
        <v>34.46</v>
      </c>
      <c r="D98" s="64">
        <v>26.02</v>
      </c>
      <c r="E98" s="64">
        <v>1.3</v>
      </c>
      <c r="F98" s="64">
        <v>2.87</v>
      </c>
      <c r="G98" s="64">
        <v>49.62</v>
      </c>
      <c r="H98" s="64">
        <v>41.01</v>
      </c>
      <c r="I98" s="64">
        <v>5.95</v>
      </c>
      <c r="J98" s="64">
        <v>0.23</v>
      </c>
      <c r="K98" s="64">
        <v>54.96</v>
      </c>
      <c r="L98" s="64">
        <v>20.48</v>
      </c>
      <c r="M98" s="64">
        <v>96.46</v>
      </c>
      <c r="N98" s="64">
        <v>16.600000000000001</v>
      </c>
      <c r="O98" s="64">
        <v>0.2</v>
      </c>
      <c r="P98" s="64">
        <v>0.65</v>
      </c>
      <c r="Q98" s="64">
        <v>9.17</v>
      </c>
      <c r="R98" s="198"/>
      <c r="S98" s="198"/>
      <c r="T98" s="198"/>
      <c r="U98" s="198"/>
    </row>
    <row r="99" spans="1:33" s="12" customFormat="1" x14ac:dyDescent="0.25">
      <c r="A99" s="214" t="s">
        <v>2354</v>
      </c>
      <c r="B99" s="64">
        <v>10.83</v>
      </c>
      <c r="C99" s="64">
        <v>33.270000000000003</v>
      </c>
      <c r="D99" s="64">
        <v>25.99</v>
      </c>
      <c r="E99" s="64">
        <v>1.1299999999999999</v>
      </c>
      <c r="F99" s="64">
        <v>3.22</v>
      </c>
      <c r="G99" s="64">
        <v>49.62</v>
      </c>
      <c r="H99" s="64">
        <v>41.01</v>
      </c>
      <c r="I99" s="64">
        <v>5.62</v>
      </c>
      <c r="J99" s="64">
        <v>0.62</v>
      </c>
      <c r="K99" s="64">
        <v>110.78</v>
      </c>
      <c r="L99" s="64">
        <v>20.48</v>
      </c>
      <c r="M99" s="64">
        <v>96.99</v>
      </c>
      <c r="N99" s="64">
        <v>16.5</v>
      </c>
      <c r="O99" s="64">
        <v>0.6</v>
      </c>
      <c r="P99" s="64">
        <v>0.65</v>
      </c>
      <c r="Q99" s="64">
        <v>9.25</v>
      </c>
      <c r="R99" s="198"/>
      <c r="S99" s="198"/>
      <c r="T99" s="198"/>
      <c r="U99" s="198"/>
    </row>
    <row r="100" spans="1:33" s="12" customFormat="1" x14ac:dyDescent="0.25">
      <c r="A100" s="214" t="s">
        <v>2355</v>
      </c>
      <c r="B100" s="64">
        <v>11.81</v>
      </c>
      <c r="C100" s="64">
        <v>34.11</v>
      </c>
      <c r="D100" s="64">
        <v>27.21</v>
      </c>
      <c r="E100" s="64">
        <v>1.1599999999999999</v>
      </c>
      <c r="F100" s="64">
        <v>2.67</v>
      </c>
      <c r="G100" s="64">
        <v>48.74</v>
      </c>
      <c r="H100" s="64">
        <v>39.07</v>
      </c>
      <c r="I100" s="64">
        <v>5.7</v>
      </c>
      <c r="J100" s="64">
        <v>0.48</v>
      </c>
      <c r="K100" s="64">
        <v>116.03</v>
      </c>
      <c r="L100" s="64">
        <v>21.17</v>
      </c>
      <c r="M100" s="64">
        <v>87.21</v>
      </c>
      <c r="N100" s="64">
        <v>18</v>
      </c>
      <c r="O100" s="64">
        <v>0</v>
      </c>
      <c r="P100" s="64">
        <v>0.64</v>
      </c>
      <c r="Q100" s="64">
        <v>9.2100000000000009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2356</v>
      </c>
      <c r="B101" s="64">
        <v>12.04</v>
      </c>
      <c r="C101" s="64">
        <v>36.06</v>
      </c>
      <c r="D101" s="64">
        <v>28.41</v>
      </c>
      <c r="E101" s="64">
        <v>1.2</v>
      </c>
      <c r="F101" s="64">
        <v>3.72</v>
      </c>
      <c r="G101" s="64">
        <v>36.380000000000003</v>
      </c>
      <c r="H101" s="64">
        <v>11.88</v>
      </c>
      <c r="I101" s="64">
        <v>6.08</v>
      </c>
      <c r="J101" s="64">
        <v>0.05</v>
      </c>
      <c r="K101" s="64">
        <v>340.64</v>
      </c>
      <c r="L101" s="64">
        <v>20.91</v>
      </c>
      <c r="M101" s="64">
        <v>97.41</v>
      </c>
      <c r="N101" s="64">
        <v>16.7</v>
      </c>
      <c r="O101" s="64">
        <v>0</v>
      </c>
      <c r="P101" s="64">
        <v>0.64</v>
      </c>
      <c r="Q101" s="64">
        <v>9.14</v>
      </c>
      <c r="R101" s="198"/>
      <c r="S101" s="198"/>
      <c r="T101" s="198"/>
      <c r="U101" s="198"/>
    </row>
    <row r="102" spans="1:33" s="12" customFormat="1" x14ac:dyDescent="0.25">
      <c r="A102" s="214" t="s">
        <v>2357</v>
      </c>
      <c r="B102" s="64">
        <v>11.82</v>
      </c>
      <c r="C102" s="64">
        <v>36.31</v>
      </c>
      <c r="D102" s="64">
        <v>28.37</v>
      </c>
      <c r="E102" s="64">
        <v>1.2</v>
      </c>
      <c r="F102" s="64">
        <v>3.38</v>
      </c>
      <c r="G102" s="64">
        <v>36.380000000000003</v>
      </c>
      <c r="H102" s="64">
        <v>11.88</v>
      </c>
      <c r="I102" s="64">
        <v>6.54</v>
      </c>
      <c r="J102" s="64">
        <v>0.17</v>
      </c>
      <c r="K102" s="64">
        <v>1.65</v>
      </c>
      <c r="L102" s="64">
        <v>20.82</v>
      </c>
      <c r="M102" s="64">
        <v>97.11</v>
      </c>
      <c r="N102" s="64">
        <v>17.5</v>
      </c>
      <c r="O102" s="64">
        <v>2.2000000000000002</v>
      </c>
      <c r="P102" s="64">
        <v>0.62</v>
      </c>
      <c r="Q102" s="64">
        <v>9.1300000000000008</v>
      </c>
      <c r="R102" s="198"/>
      <c r="S102" s="198"/>
      <c r="T102" s="198"/>
      <c r="U102" s="198"/>
    </row>
    <row r="103" spans="1:33" s="12" customFormat="1" x14ac:dyDescent="0.25">
      <c r="A103" s="214" t="s">
        <v>2358</v>
      </c>
      <c r="B103" s="64">
        <v>10.130000000000001</v>
      </c>
      <c r="C103" s="64">
        <v>35.700000000000003</v>
      </c>
      <c r="D103" s="64">
        <v>26.7</v>
      </c>
      <c r="E103" s="64">
        <v>1.34</v>
      </c>
      <c r="F103" s="64">
        <v>3.94</v>
      </c>
      <c r="G103" s="64">
        <v>36.380000000000003</v>
      </c>
      <c r="H103" s="64">
        <v>11.88</v>
      </c>
      <c r="I103" s="64">
        <v>6.65</v>
      </c>
      <c r="J103" s="64">
        <v>0.13</v>
      </c>
      <c r="K103" s="64">
        <v>274.81</v>
      </c>
      <c r="L103" s="64">
        <v>19.32</v>
      </c>
      <c r="M103" s="64">
        <v>97.87</v>
      </c>
      <c r="N103" s="64">
        <v>18.399999999999999</v>
      </c>
      <c r="O103" s="64">
        <v>2.2000000000000002</v>
      </c>
      <c r="P103" s="64">
        <v>0.56000000000000005</v>
      </c>
      <c r="Q103" s="64">
        <v>9.24</v>
      </c>
      <c r="R103" s="198"/>
      <c r="S103" s="198"/>
      <c r="T103" s="198"/>
      <c r="U103" s="198"/>
    </row>
    <row r="104" spans="1:33" s="12" customFormat="1" x14ac:dyDescent="0.25">
      <c r="A104" s="214" t="s">
        <v>2359</v>
      </c>
      <c r="B104" s="64">
        <v>7.23</v>
      </c>
      <c r="C104" s="64">
        <v>35.369999999999997</v>
      </c>
      <c r="D104" s="64">
        <v>24.2</v>
      </c>
      <c r="E104" s="64">
        <v>2.37</v>
      </c>
      <c r="F104" s="64">
        <v>4.07</v>
      </c>
      <c r="G104" s="64">
        <v>35.909999999999997</v>
      </c>
      <c r="H104" s="64">
        <v>12.32</v>
      </c>
      <c r="I104" s="64">
        <v>6.17</v>
      </c>
      <c r="J104" s="64">
        <v>1.4</v>
      </c>
      <c r="K104" s="64">
        <v>164.39</v>
      </c>
      <c r="L104" s="64">
        <v>20.22</v>
      </c>
      <c r="M104" s="64">
        <v>95.35</v>
      </c>
      <c r="N104" s="64">
        <v>17.7</v>
      </c>
      <c r="O104" s="64">
        <v>0</v>
      </c>
      <c r="P104" s="64">
        <v>0.51</v>
      </c>
      <c r="Q104" s="64">
        <v>9.2200000000000006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1.5</v>
      </c>
      <c r="C106" s="67">
        <f>MIN(C9:C104)</f>
        <v>25.79</v>
      </c>
      <c r="D106" s="67">
        <f t="shared" ref="D106:Q106" si="0">MIN(D9:D104)</f>
        <v>14.79</v>
      </c>
      <c r="E106" s="67">
        <f t="shared" si="0"/>
        <v>0.3</v>
      </c>
      <c r="F106" s="67">
        <f t="shared" si="0"/>
        <v>2.67</v>
      </c>
      <c r="G106" s="67">
        <f t="shared" si="0"/>
        <v>24.65</v>
      </c>
      <c r="H106" s="67">
        <f t="shared" si="0"/>
        <v>2.46</v>
      </c>
      <c r="I106" s="67">
        <f t="shared" si="0"/>
        <v>1.99</v>
      </c>
      <c r="J106" s="67">
        <f t="shared" si="0"/>
        <v>0.05</v>
      </c>
      <c r="K106" s="67">
        <f t="shared" si="0"/>
        <v>0.59</v>
      </c>
      <c r="L106" s="67">
        <f t="shared" si="0"/>
        <v>19.32</v>
      </c>
      <c r="M106" s="67">
        <f t="shared" si="0"/>
        <v>26.98</v>
      </c>
      <c r="N106" s="67">
        <f t="shared" si="0"/>
        <v>15</v>
      </c>
      <c r="O106" s="67">
        <f t="shared" si="0"/>
        <v>0</v>
      </c>
      <c r="P106" s="67">
        <f t="shared" si="0"/>
        <v>0.27</v>
      </c>
      <c r="Q106" s="67">
        <f t="shared" si="0"/>
        <v>9.1199999999999992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12.04</v>
      </c>
      <c r="C107" s="66">
        <f t="shared" ref="C107:Q107" si="1">MAX(C9:C104)</f>
        <v>41.93</v>
      </c>
      <c r="D107" s="66">
        <f t="shared" si="1"/>
        <v>28.41</v>
      </c>
      <c r="E107" s="66">
        <f t="shared" si="1"/>
        <v>2.37</v>
      </c>
      <c r="F107" s="66">
        <f t="shared" si="1"/>
        <v>7.68</v>
      </c>
      <c r="G107" s="66">
        <f t="shared" si="1"/>
        <v>54.16</v>
      </c>
      <c r="H107" s="66">
        <f t="shared" si="1"/>
        <v>79.03</v>
      </c>
      <c r="I107" s="66">
        <f t="shared" si="1"/>
        <v>6.65</v>
      </c>
      <c r="J107" s="66">
        <f t="shared" si="1"/>
        <v>2.7</v>
      </c>
      <c r="K107" s="66">
        <f t="shared" si="1"/>
        <v>358.62</v>
      </c>
      <c r="L107" s="66">
        <f t="shared" si="1"/>
        <v>36.4</v>
      </c>
      <c r="M107" s="66">
        <f t="shared" si="1"/>
        <v>97.87</v>
      </c>
      <c r="N107" s="66">
        <f t="shared" si="1"/>
        <v>878.9</v>
      </c>
      <c r="O107" s="66">
        <f t="shared" si="1"/>
        <v>2.2000000000000002</v>
      </c>
      <c r="P107" s="66">
        <f t="shared" si="1"/>
        <v>0.69</v>
      </c>
      <c r="Q107" s="66">
        <f t="shared" si="1"/>
        <v>9.27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4.4134374999999997</v>
      </c>
      <c r="C108" s="67">
        <f t="shared" ref="C108:Q108" si="2">AVERAGE(C9:C104)</f>
        <v>33.608541666666667</v>
      </c>
      <c r="D108" s="67">
        <f t="shared" si="2"/>
        <v>21.018645833333331</v>
      </c>
      <c r="E108" s="67">
        <f t="shared" si="2"/>
        <v>1.2865625000000001</v>
      </c>
      <c r="F108" s="67">
        <f t="shared" si="2"/>
        <v>4.6489583333333337</v>
      </c>
      <c r="G108" s="67">
        <f t="shared" si="2"/>
        <v>39.02187500000003</v>
      </c>
      <c r="H108" s="67">
        <f t="shared" si="2"/>
        <v>22.09714285714286</v>
      </c>
      <c r="I108" s="67">
        <f t="shared" si="2"/>
        <v>4.1494791666666657</v>
      </c>
      <c r="J108" s="67">
        <f t="shared" si="2"/>
        <v>1.288645833333333</v>
      </c>
      <c r="K108" s="67">
        <f t="shared" si="2"/>
        <v>292.16822916666678</v>
      </c>
      <c r="L108" s="67">
        <f t="shared" si="2"/>
        <v>27.283541666666675</v>
      </c>
      <c r="M108" s="67">
        <f t="shared" si="2"/>
        <v>49.73906250000001</v>
      </c>
      <c r="N108" s="67">
        <f t="shared" si="2"/>
        <v>192.74479166666677</v>
      </c>
      <c r="O108" s="67">
        <f t="shared" si="2"/>
        <v>8.5416666666666655E-2</v>
      </c>
      <c r="P108" s="67">
        <f t="shared" si="2"/>
        <v>0.41239583333333329</v>
      </c>
      <c r="Q108" s="67">
        <f t="shared" si="2"/>
        <v>9.1733333333333302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3.0670259306387555</v>
      </c>
      <c r="C109" s="67">
        <f t="shared" ref="C109:Q109" si="3">STDEV(C9:C104)</f>
        <v>4.3993001785969819</v>
      </c>
      <c r="D109" s="67">
        <f t="shared" si="3"/>
        <v>3.9578419478008655</v>
      </c>
      <c r="E109" s="67">
        <f t="shared" si="3"/>
        <v>0.50380411424115612</v>
      </c>
      <c r="F109" s="67">
        <f t="shared" si="3"/>
        <v>1.1514471253410337</v>
      </c>
      <c r="G109" s="67">
        <f t="shared" si="3"/>
        <v>7.7608179591286941</v>
      </c>
      <c r="H109" s="67">
        <f t="shared" si="3"/>
        <v>20.392617112627729</v>
      </c>
      <c r="I109" s="67">
        <f t="shared" si="3"/>
        <v>1.0895487910059201</v>
      </c>
      <c r="J109" s="67">
        <f t="shared" si="3"/>
        <v>0.75811625242635639</v>
      </c>
      <c r="K109" s="67">
        <f t="shared" si="3"/>
        <v>94.56431002505812</v>
      </c>
      <c r="L109" s="67">
        <f t="shared" si="3"/>
        <v>4.0507623659767402</v>
      </c>
      <c r="M109" s="67">
        <f t="shared" si="3"/>
        <v>19.509584045749317</v>
      </c>
      <c r="N109" s="67">
        <f t="shared" si="3"/>
        <v>269.11326704364376</v>
      </c>
      <c r="O109" s="67">
        <f t="shared" si="3"/>
        <v>0.35864633412661023</v>
      </c>
      <c r="P109" s="67">
        <f t="shared" si="3"/>
        <v>0.11268722237999892</v>
      </c>
      <c r="Q109" s="67">
        <f t="shared" si="3"/>
        <v>3.2820618252192207E-2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COUNT(H9:H104)+12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69" sqref="A6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2360</v>
      </c>
      <c r="B9" s="64">
        <v>5.88</v>
      </c>
      <c r="C9" s="64">
        <v>34.67</v>
      </c>
      <c r="D9" s="64">
        <v>22.75</v>
      </c>
      <c r="E9" s="64">
        <v>1.51</v>
      </c>
      <c r="F9" s="64">
        <v>3.2</v>
      </c>
      <c r="G9" s="64">
        <v>29.28</v>
      </c>
      <c r="H9" s="64">
        <v>18.420000000000002</v>
      </c>
      <c r="I9" s="64">
        <v>5.61</v>
      </c>
      <c r="J9" s="64">
        <v>0.52</v>
      </c>
      <c r="K9" s="64">
        <v>165.12</v>
      </c>
      <c r="L9" s="64">
        <v>21.05</v>
      </c>
      <c r="M9" s="64">
        <v>88.32</v>
      </c>
      <c r="N9" s="64">
        <v>19</v>
      </c>
      <c r="O9" s="64">
        <v>0</v>
      </c>
      <c r="P9" s="64">
        <v>0.49</v>
      </c>
      <c r="Q9" s="64">
        <v>9.18</v>
      </c>
      <c r="S9" s="198"/>
      <c r="T9" s="198"/>
      <c r="U9" s="198"/>
    </row>
    <row r="10" spans="1:21" s="12" customFormat="1" x14ac:dyDescent="0.25">
      <c r="A10" s="214" t="s">
        <v>2361</v>
      </c>
      <c r="B10" s="64">
        <v>5.29</v>
      </c>
      <c r="C10" s="64">
        <v>33.21</v>
      </c>
      <c r="D10" s="64">
        <v>21.51</v>
      </c>
      <c r="E10" s="64">
        <v>1.44</v>
      </c>
      <c r="F10" s="64">
        <v>3.61</v>
      </c>
      <c r="G10" s="64">
        <v>29.28</v>
      </c>
      <c r="H10" s="64">
        <v>18.420000000000002</v>
      </c>
      <c r="I10" s="64">
        <v>5.13</v>
      </c>
      <c r="J10" s="64">
        <v>2.17</v>
      </c>
      <c r="K10" s="64">
        <v>322.13</v>
      </c>
      <c r="L10" s="64">
        <v>20.8</v>
      </c>
      <c r="M10" s="64">
        <v>93.58</v>
      </c>
      <c r="N10" s="64">
        <v>19</v>
      </c>
      <c r="O10" s="64">
        <v>0.8</v>
      </c>
      <c r="P10" s="64">
        <v>0.48</v>
      </c>
      <c r="Q10" s="64">
        <v>9.19</v>
      </c>
      <c r="S10" s="198"/>
      <c r="T10" s="198"/>
      <c r="U10" s="198"/>
    </row>
    <row r="11" spans="1:21" s="12" customFormat="1" x14ac:dyDescent="0.25">
      <c r="A11" s="214" t="s">
        <v>2362</v>
      </c>
      <c r="B11" s="64">
        <v>4.41</v>
      </c>
      <c r="C11" s="64">
        <v>31.61</v>
      </c>
      <c r="D11" s="64">
        <v>19.97</v>
      </c>
      <c r="E11" s="64">
        <v>1.6</v>
      </c>
      <c r="F11" s="64">
        <v>3.9</v>
      </c>
      <c r="G11" s="64">
        <v>29.28</v>
      </c>
      <c r="H11" s="64">
        <v>18.420000000000002</v>
      </c>
      <c r="I11" s="64">
        <v>5.12</v>
      </c>
      <c r="J11" s="64">
        <v>2.06</v>
      </c>
      <c r="K11" s="64">
        <v>330.99</v>
      </c>
      <c r="L11" s="64">
        <v>19.36</v>
      </c>
      <c r="M11" s="64">
        <v>97.81</v>
      </c>
      <c r="N11" s="64">
        <v>17.100000000000001</v>
      </c>
      <c r="O11" s="64">
        <v>1.2</v>
      </c>
      <c r="P11" s="64">
        <v>0.45</v>
      </c>
      <c r="Q11" s="64">
        <v>9.16</v>
      </c>
      <c r="S11" s="198"/>
      <c r="T11" s="198"/>
      <c r="U11" s="198"/>
    </row>
    <row r="12" spans="1:21" s="12" customFormat="1" x14ac:dyDescent="0.25">
      <c r="A12" s="214" t="s">
        <v>2363</v>
      </c>
      <c r="B12" s="64">
        <v>3.49</v>
      </c>
      <c r="C12" s="64">
        <v>30.17</v>
      </c>
      <c r="D12" s="64">
        <v>18.48</v>
      </c>
      <c r="E12" s="64">
        <v>1.65</v>
      </c>
      <c r="F12" s="64">
        <v>4</v>
      </c>
      <c r="G12" s="64">
        <v>29.02</v>
      </c>
      <c r="H12" s="64">
        <v>20.78</v>
      </c>
      <c r="I12" s="64">
        <v>5.01</v>
      </c>
      <c r="J12" s="64">
        <v>0.35</v>
      </c>
      <c r="K12" s="64">
        <v>294.83999999999997</v>
      </c>
      <c r="L12" s="64">
        <v>18.96</v>
      </c>
      <c r="M12" s="64">
        <v>97.93</v>
      </c>
      <c r="N12" s="64">
        <v>16.600000000000001</v>
      </c>
      <c r="O12" s="64">
        <v>0.4</v>
      </c>
      <c r="P12" s="64">
        <v>0.45</v>
      </c>
      <c r="Q12" s="64">
        <v>9.2200000000000006</v>
      </c>
      <c r="S12" s="198"/>
      <c r="T12" s="198"/>
      <c r="U12" s="198"/>
    </row>
    <row r="13" spans="1:21" s="12" customFormat="1" x14ac:dyDescent="0.25">
      <c r="A13" s="214" t="s">
        <v>2364</v>
      </c>
      <c r="B13" s="64">
        <v>2.77</v>
      </c>
      <c r="C13" s="64">
        <v>29.38</v>
      </c>
      <c r="D13" s="64">
        <v>17.489999999999998</v>
      </c>
      <c r="E13" s="64">
        <v>1.89</v>
      </c>
      <c r="F13" s="64">
        <v>3.96</v>
      </c>
      <c r="G13" s="64">
        <v>25.29</v>
      </c>
      <c r="H13" s="64">
        <v>53.8</v>
      </c>
      <c r="I13" s="64">
        <v>4.68</v>
      </c>
      <c r="J13" s="64">
        <v>0.85</v>
      </c>
      <c r="K13" s="64">
        <v>177.69</v>
      </c>
      <c r="L13" s="64">
        <v>19.43</v>
      </c>
      <c r="M13" s="64">
        <v>97.89</v>
      </c>
      <c r="N13" s="64">
        <v>16.7</v>
      </c>
      <c r="O13" s="64">
        <v>0</v>
      </c>
      <c r="P13" s="64">
        <v>0.42</v>
      </c>
      <c r="Q13" s="64">
        <v>9.18</v>
      </c>
      <c r="S13" s="198"/>
      <c r="T13" s="198"/>
      <c r="U13" s="198"/>
    </row>
    <row r="14" spans="1:21" s="12" customFormat="1" x14ac:dyDescent="0.25">
      <c r="A14" s="214" t="s">
        <v>2365</v>
      </c>
      <c r="B14" s="64">
        <v>2.4700000000000002</v>
      </c>
      <c r="C14" s="64">
        <v>28.33</v>
      </c>
      <c r="D14" s="64">
        <v>16.7</v>
      </c>
      <c r="E14" s="64">
        <v>1.61</v>
      </c>
      <c r="F14" s="64">
        <v>3.87</v>
      </c>
      <c r="G14" s="64">
        <v>25.29</v>
      </c>
      <c r="H14" s="64">
        <v>53.8</v>
      </c>
      <c r="I14" s="64">
        <v>4.46</v>
      </c>
      <c r="J14" s="64">
        <v>1.05</v>
      </c>
      <c r="K14" s="64">
        <v>164.98</v>
      </c>
      <c r="L14" s="64">
        <v>19.61</v>
      </c>
      <c r="M14" s="64">
        <v>97.07</v>
      </c>
      <c r="N14" s="64">
        <v>18</v>
      </c>
      <c r="O14" s="64">
        <v>0</v>
      </c>
      <c r="P14" s="64">
        <v>0.43</v>
      </c>
      <c r="Q14" s="64">
        <v>9.16</v>
      </c>
      <c r="S14" s="198"/>
      <c r="T14" s="198"/>
      <c r="U14" s="198"/>
    </row>
    <row r="15" spans="1:21" s="12" customFormat="1" x14ac:dyDescent="0.25">
      <c r="A15" s="214" t="s">
        <v>2366</v>
      </c>
      <c r="B15" s="64">
        <v>2.5099999999999998</v>
      </c>
      <c r="C15" s="64">
        <v>28.1</v>
      </c>
      <c r="D15" s="64">
        <v>16.62</v>
      </c>
      <c r="E15" s="64">
        <v>1.81</v>
      </c>
      <c r="F15" s="64">
        <v>3.69</v>
      </c>
      <c r="G15" s="64">
        <v>25.29</v>
      </c>
      <c r="H15" s="64">
        <v>53.8</v>
      </c>
      <c r="I15" s="64">
        <v>4.34</v>
      </c>
      <c r="J15" s="64">
        <v>0.28000000000000003</v>
      </c>
      <c r="K15" s="64">
        <v>186.36</v>
      </c>
      <c r="L15" s="64">
        <v>19.77</v>
      </c>
      <c r="M15" s="64">
        <v>97.24</v>
      </c>
      <c r="N15" s="64">
        <v>17.7</v>
      </c>
      <c r="O15" s="64">
        <v>0</v>
      </c>
      <c r="P15" s="64">
        <v>0.43</v>
      </c>
      <c r="Q15" s="64">
        <v>9.14</v>
      </c>
      <c r="S15" s="198"/>
      <c r="T15" s="198"/>
      <c r="U15" s="198"/>
    </row>
    <row r="16" spans="1:21" s="12" customFormat="1" x14ac:dyDescent="0.25">
      <c r="A16" s="214" t="s">
        <v>2367</v>
      </c>
      <c r="B16" s="64">
        <v>2.97</v>
      </c>
      <c r="C16" s="64">
        <v>26.77</v>
      </c>
      <c r="D16" s="64">
        <v>16.29</v>
      </c>
      <c r="E16" s="64">
        <v>1.64</v>
      </c>
      <c r="F16" s="64">
        <v>2.77</v>
      </c>
      <c r="G16" s="64">
        <v>24.95</v>
      </c>
      <c r="H16" s="64">
        <v>51.97</v>
      </c>
      <c r="I16" s="64">
        <v>4.25</v>
      </c>
      <c r="J16" s="64">
        <v>0.24</v>
      </c>
      <c r="K16" s="64">
        <v>209.98</v>
      </c>
      <c r="L16" s="64">
        <v>20.059999999999999</v>
      </c>
      <c r="M16" s="64">
        <v>95.16</v>
      </c>
      <c r="N16" s="64">
        <v>17.899999999999999</v>
      </c>
      <c r="O16" s="64">
        <v>0</v>
      </c>
      <c r="P16" s="64">
        <v>0.43</v>
      </c>
      <c r="Q16" s="64">
        <v>9.19</v>
      </c>
      <c r="S16" s="198"/>
      <c r="T16" s="198"/>
      <c r="U16" s="198"/>
    </row>
    <row r="17" spans="1:21" s="12" customFormat="1" x14ac:dyDescent="0.25">
      <c r="A17" s="214" t="s">
        <v>2368</v>
      </c>
      <c r="B17" s="64">
        <v>3.86</v>
      </c>
      <c r="C17" s="64">
        <v>26.23</v>
      </c>
      <c r="D17" s="64">
        <v>16.72</v>
      </c>
      <c r="E17" s="64">
        <v>1.6</v>
      </c>
      <c r="F17" s="64">
        <v>3.36</v>
      </c>
      <c r="G17" s="64">
        <v>20.11</v>
      </c>
      <c r="H17" s="64">
        <v>20.95</v>
      </c>
      <c r="I17" s="64">
        <v>4.4000000000000004</v>
      </c>
      <c r="J17" s="64">
        <v>0.13</v>
      </c>
      <c r="K17" s="64">
        <v>2.84</v>
      </c>
      <c r="L17" s="64">
        <v>20.16</v>
      </c>
      <c r="M17" s="64">
        <v>97.89</v>
      </c>
      <c r="N17" s="64">
        <v>16.899999999999999</v>
      </c>
      <c r="O17" s="64">
        <v>0</v>
      </c>
      <c r="P17" s="64">
        <v>0.43</v>
      </c>
      <c r="Q17" s="64">
        <v>9.15</v>
      </c>
      <c r="S17" s="198"/>
      <c r="T17" s="198"/>
      <c r="U17" s="198"/>
    </row>
    <row r="18" spans="1:21" s="12" customFormat="1" x14ac:dyDescent="0.25">
      <c r="A18" s="214" t="s">
        <v>2369</v>
      </c>
      <c r="B18" s="64">
        <v>5.48</v>
      </c>
      <c r="C18" s="64">
        <v>26.01</v>
      </c>
      <c r="D18" s="64">
        <v>17.899999999999999</v>
      </c>
      <c r="E18" s="64">
        <v>1.82</v>
      </c>
      <c r="F18" s="64">
        <v>3.29</v>
      </c>
      <c r="G18" s="64">
        <v>20.11</v>
      </c>
      <c r="H18" s="64">
        <v>20.95</v>
      </c>
      <c r="I18" s="64">
        <v>4.5599999999999996</v>
      </c>
      <c r="J18" s="64">
        <v>0.1</v>
      </c>
      <c r="K18" s="64">
        <v>358.45</v>
      </c>
      <c r="L18" s="64">
        <v>20.07</v>
      </c>
      <c r="M18" s="64">
        <v>97.89</v>
      </c>
      <c r="N18" s="64">
        <v>16.8</v>
      </c>
      <c r="O18" s="64">
        <v>0</v>
      </c>
      <c r="P18" s="64">
        <v>0.42</v>
      </c>
      <c r="Q18" s="64">
        <v>9.16</v>
      </c>
      <c r="S18" s="198"/>
      <c r="T18" s="198"/>
      <c r="U18" s="198"/>
    </row>
    <row r="19" spans="1:21" s="12" customFormat="1" x14ac:dyDescent="0.25">
      <c r="A19" s="214" t="s">
        <v>2370</v>
      </c>
      <c r="B19" s="64">
        <v>6.3</v>
      </c>
      <c r="C19" s="64">
        <v>25.29</v>
      </c>
      <c r="D19" s="64">
        <v>18.190000000000001</v>
      </c>
      <c r="E19" s="64">
        <v>1.51</v>
      </c>
      <c r="F19" s="64">
        <v>2.98</v>
      </c>
      <c r="G19" s="64">
        <v>20.11</v>
      </c>
      <c r="H19" s="64">
        <v>20.95</v>
      </c>
      <c r="I19" s="64">
        <v>4.76</v>
      </c>
      <c r="J19" s="64">
        <v>0.19</v>
      </c>
      <c r="K19" s="64">
        <v>331.46</v>
      </c>
      <c r="L19" s="64">
        <v>20.41</v>
      </c>
      <c r="M19" s="64">
        <v>97.89</v>
      </c>
      <c r="N19" s="64">
        <v>17</v>
      </c>
      <c r="O19" s="64">
        <v>0</v>
      </c>
      <c r="P19" s="64">
        <v>0.43</v>
      </c>
      <c r="Q19" s="64">
        <v>9.18</v>
      </c>
      <c r="S19" s="198"/>
      <c r="T19" s="198"/>
      <c r="U19" s="198"/>
    </row>
    <row r="20" spans="1:21" s="12" customFormat="1" x14ac:dyDescent="0.25">
      <c r="A20" s="214" t="s">
        <v>2371</v>
      </c>
      <c r="B20" s="64">
        <v>6.66</v>
      </c>
      <c r="C20" s="64">
        <v>24.76</v>
      </c>
      <c r="D20" s="64">
        <v>18.2</v>
      </c>
      <c r="E20" s="64">
        <v>1.71</v>
      </c>
      <c r="F20" s="64">
        <v>3.1</v>
      </c>
      <c r="G20" s="64">
        <v>19.95</v>
      </c>
      <c r="H20" s="64">
        <v>20.6</v>
      </c>
      <c r="I20" s="64">
        <v>4.96</v>
      </c>
      <c r="J20" s="64">
        <v>0.73</v>
      </c>
      <c r="K20" s="64">
        <v>98.58</v>
      </c>
      <c r="L20" s="64">
        <v>20.81</v>
      </c>
      <c r="M20" s="64">
        <v>95.51</v>
      </c>
      <c r="N20" s="64">
        <v>18</v>
      </c>
      <c r="O20" s="64">
        <v>0</v>
      </c>
      <c r="P20" s="64">
        <v>0.43</v>
      </c>
      <c r="Q20" s="64">
        <v>9.14</v>
      </c>
      <c r="S20" s="198"/>
      <c r="T20" s="198"/>
      <c r="U20" s="198"/>
    </row>
    <row r="21" spans="1:21" s="12" customFormat="1" x14ac:dyDescent="0.25">
      <c r="A21" s="214" t="s">
        <v>2372</v>
      </c>
      <c r="B21" s="64">
        <v>6.85</v>
      </c>
      <c r="C21" s="64">
        <v>24.09</v>
      </c>
      <c r="D21" s="64">
        <v>18</v>
      </c>
      <c r="E21" s="64">
        <v>1.98</v>
      </c>
      <c r="F21" s="64">
        <v>2.88</v>
      </c>
      <c r="G21" s="64">
        <v>17.64</v>
      </c>
      <c r="H21" s="64">
        <v>14.65</v>
      </c>
      <c r="I21" s="64">
        <v>5.13</v>
      </c>
      <c r="J21" s="64">
        <v>0.54</v>
      </c>
      <c r="K21" s="64">
        <v>3.59</v>
      </c>
      <c r="L21" s="64">
        <v>20.71</v>
      </c>
      <c r="M21" s="64">
        <v>97.86</v>
      </c>
      <c r="N21" s="64">
        <v>17.2</v>
      </c>
      <c r="O21" s="64">
        <v>0</v>
      </c>
      <c r="P21" s="64">
        <v>0.42</v>
      </c>
      <c r="Q21" s="64">
        <v>9.14</v>
      </c>
      <c r="S21" s="198"/>
      <c r="T21" s="198"/>
      <c r="U21" s="198"/>
    </row>
    <row r="22" spans="1:21" s="12" customFormat="1" x14ac:dyDescent="0.25">
      <c r="A22" s="214" t="s">
        <v>2373</v>
      </c>
      <c r="B22" s="64">
        <v>7.04</v>
      </c>
      <c r="C22" s="64">
        <v>23.78</v>
      </c>
      <c r="D22" s="64">
        <v>17.989999999999998</v>
      </c>
      <c r="E22" s="64">
        <v>1.49</v>
      </c>
      <c r="F22" s="64">
        <v>3.23</v>
      </c>
      <c r="G22" s="64">
        <v>17.64</v>
      </c>
      <c r="H22" s="64">
        <v>14.65</v>
      </c>
      <c r="I22" s="64">
        <v>5.5</v>
      </c>
      <c r="J22" s="64">
        <v>0.54</v>
      </c>
      <c r="K22" s="64">
        <v>350.24</v>
      </c>
      <c r="L22" s="64">
        <v>20.63</v>
      </c>
      <c r="M22" s="64">
        <v>97.28</v>
      </c>
      <c r="N22" s="64">
        <v>18</v>
      </c>
      <c r="O22" s="64">
        <v>0</v>
      </c>
      <c r="P22" s="64">
        <v>0.42</v>
      </c>
      <c r="Q22" s="64">
        <v>9.18</v>
      </c>
      <c r="S22" s="198"/>
      <c r="T22" s="198"/>
      <c r="U22" s="198"/>
    </row>
    <row r="23" spans="1:21" s="12" customFormat="1" x14ac:dyDescent="0.25">
      <c r="A23" s="214" t="s">
        <v>2374</v>
      </c>
      <c r="B23" s="64">
        <v>7.12</v>
      </c>
      <c r="C23" s="64">
        <v>24.31</v>
      </c>
      <c r="D23" s="64">
        <v>18.329999999999998</v>
      </c>
      <c r="E23" s="64">
        <v>1.64</v>
      </c>
      <c r="F23" s="64">
        <v>3.28</v>
      </c>
      <c r="G23" s="64">
        <v>17.64</v>
      </c>
      <c r="H23" s="64">
        <v>14.65</v>
      </c>
      <c r="I23" s="64">
        <v>5.98</v>
      </c>
      <c r="J23" s="64">
        <v>0.85</v>
      </c>
      <c r="K23" s="64">
        <v>122.9</v>
      </c>
      <c r="L23" s="64">
        <v>20.97</v>
      </c>
      <c r="M23" s="64">
        <v>88.78</v>
      </c>
      <c r="N23" s="64">
        <v>18.7</v>
      </c>
      <c r="O23" s="64">
        <v>0</v>
      </c>
      <c r="P23" s="64">
        <v>0.42</v>
      </c>
      <c r="Q23" s="64">
        <v>9.18</v>
      </c>
      <c r="S23" s="198"/>
      <c r="T23" s="198"/>
      <c r="U23" s="198"/>
    </row>
    <row r="24" spans="1:21" s="12" customFormat="1" x14ac:dyDescent="0.25">
      <c r="A24" s="214" t="s">
        <v>2375</v>
      </c>
      <c r="B24" s="64">
        <v>7</v>
      </c>
      <c r="C24" s="64">
        <v>24.09</v>
      </c>
      <c r="D24" s="64">
        <v>18.12</v>
      </c>
      <c r="E24" s="64">
        <v>0.85</v>
      </c>
      <c r="F24" s="64">
        <v>3.21</v>
      </c>
      <c r="G24" s="64">
        <v>18.25</v>
      </c>
      <c r="H24" s="64">
        <v>15.09</v>
      </c>
      <c r="I24" s="64">
        <v>6.04</v>
      </c>
      <c r="J24" s="64">
        <v>0.37</v>
      </c>
      <c r="K24" s="64">
        <v>117.69</v>
      </c>
      <c r="L24" s="64">
        <v>21.5</v>
      </c>
      <c r="M24" s="64">
        <v>84.18</v>
      </c>
      <c r="N24" s="64">
        <v>18.2</v>
      </c>
      <c r="O24" s="64">
        <v>0</v>
      </c>
      <c r="P24" s="64">
        <v>0.43</v>
      </c>
      <c r="Q24" s="64">
        <v>9.1300000000000008</v>
      </c>
      <c r="S24" s="198"/>
      <c r="T24" s="198"/>
      <c r="U24" s="198"/>
    </row>
    <row r="25" spans="1:21" s="12" customFormat="1" x14ac:dyDescent="0.25">
      <c r="A25" s="214" t="s">
        <v>2376</v>
      </c>
      <c r="B25" s="64">
        <v>6.95</v>
      </c>
      <c r="C25" s="64">
        <v>24.38</v>
      </c>
      <c r="D25" s="64">
        <v>18.23</v>
      </c>
      <c r="E25" s="64">
        <v>0.91</v>
      </c>
      <c r="F25" s="64">
        <v>3.27</v>
      </c>
      <c r="G25" s="64">
        <v>28.61</v>
      </c>
      <c r="H25" s="64">
        <v>22.48</v>
      </c>
      <c r="I25" s="64">
        <v>6.16</v>
      </c>
      <c r="J25" s="64">
        <v>0.1</v>
      </c>
      <c r="K25" s="64">
        <v>349.36</v>
      </c>
      <c r="L25" s="64">
        <v>21.01</v>
      </c>
      <c r="M25" s="64">
        <v>94.02</v>
      </c>
      <c r="N25" s="64">
        <v>17.3</v>
      </c>
      <c r="O25" s="64">
        <v>0</v>
      </c>
      <c r="P25" s="64">
        <v>0.43</v>
      </c>
      <c r="Q25" s="64">
        <v>9.14</v>
      </c>
      <c r="S25" s="198"/>
      <c r="T25" s="198"/>
      <c r="U25" s="198"/>
    </row>
    <row r="26" spans="1:21" s="12" customFormat="1" x14ac:dyDescent="0.25">
      <c r="A26" s="214" t="s">
        <v>2377</v>
      </c>
      <c r="B26" s="64">
        <v>7.05</v>
      </c>
      <c r="C26" s="64">
        <v>24.73</v>
      </c>
      <c r="D26" s="64">
        <v>18.489999999999998</v>
      </c>
      <c r="E26" s="64">
        <v>1.2</v>
      </c>
      <c r="F26" s="64">
        <v>3.38</v>
      </c>
      <c r="G26" s="64">
        <v>28.61</v>
      </c>
      <c r="H26" s="64">
        <v>22.48</v>
      </c>
      <c r="I26" s="64">
        <v>6.41</v>
      </c>
      <c r="J26" s="64">
        <v>0.1</v>
      </c>
      <c r="K26" s="64">
        <v>336.22</v>
      </c>
      <c r="L26" s="64">
        <v>20.72</v>
      </c>
      <c r="M26" s="64">
        <v>96.78</v>
      </c>
      <c r="N26" s="64">
        <v>16.899999999999999</v>
      </c>
      <c r="O26" s="64">
        <v>0</v>
      </c>
      <c r="P26" s="64">
        <v>0.44</v>
      </c>
      <c r="Q26" s="64">
        <v>9.1999999999999993</v>
      </c>
      <c r="S26" s="198"/>
      <c r="T26" s="198"/>
      <c r="U26" s="198"/>
    </row>
    <row r="27" spans="1:21" s="12" customFormat="1" x14ac:dyDescent="0.25">
      <c r="A27" s="214" t="s">
        <v>2378</v>
      </c>
      <c r="B27" s="64">
        <v>7.34</v>
      </c>
      <c r="C27" s="64">
        <v>24.39</v>
      </c>
      <c r="D27" s="64">
        <v>18.55</v>
      </c>
      <c r="E27" s="64">
        <v>1.2</v>
      </c>
      <c r="F27" s="64">
        <v>3.4</v>
      </c>
      <c r="G27" s="64">
        <v>28.61</v>
      </c>
      <c r="H27" s="64">
        <v>22.48</v>
      </c>
      <c r="I27" s="64">
        <v>6.37</v>
      </c>
      <c r="J27" s="64">
        <v>0.57999999999999996</v>
      </c>
      <c r="K27" s="64">
        <v>327.41000000000003</v>
      </c>
      <c r="L27" s="64">
        <v>20.68</v>
      </c>
      <c r="M27" s="64">
        <v>97.55</v>
      </c>
      <c r="N27" s="64">
        <v>16.899999999999999</v>
      </c>
      <c r="O27" s="64">
        <v>0</v>
      </c>
      <c r="P27" s="64">
        <v>0.45</v>
      </c>
      <c r="Q27" s="64">
        <v>9.14</v>
      </c>
      <c r="S27" s="198"/>
      <c r="T27" s="198"/>
      <c r="U27" s="198"/>
    </row>
    <row r="28" spans="1:21" s="12" customFormat="1" x14ac:dyDescent="0.25">
      <c r="A28" s="214" t="s">
        <v>2379</v>
      </c>
      <c r="B28" s="64">
        <v>7.63</v>
      </c>
      <c r="C28" s="64">
        <v>24.13</v>
      </c>
      <c r="D28" s="64">
        <v>18.649999999999999</v>
      </c>
      <c r="E28" s="64">
        <v>0.84</v>
      </c>
      <c r="F28" s="64">
        <v>3.53</v>
      </c>
      <c r="G28" s="64">
        <v>29.16</v>
      </c>
      <c r="H28" s="64">
        <v>22.45</v>
      </c>
      <c r="I28" s="64">
        <v>6.38</v>
      </c>
      <c r="J28" s="64">
        <v>0.1</v>
      </c>
      <c r="K28" s="64">
        <v>322.45</v>
      </c>
      <c r="L28" s="64">
        <v>20.65</v>
      </c>
      <c r="M28" s="64">
        <v>96.08</v>
      </c>
      <c r="N28" s="64">
        <v>16.899999999999999</v>
      </c>
      <c r="O28" s="64">
        <v>0</v>
      </c>
      <c r="P28" s="64">
        <v>0.45</v>
      </c>
      <c r="Q28" s="64">
        <v>9.19</v>
      </c>
      <c r="S28" s="198"/>
      <c r="T28" s="198"/>
      <c r="U28" s="198"/>
    </row>
    <row r="29" spans="1:21" s="12" customFormat="1" x14ac:dyDescent="0.25">
      <c r="A29" s="214" t="s">
        <v>2380</v>
      </c>
      <c r="B29" s="64">
        <v>8.06</v>
      </c>
      <c r="C29" s="64">
        <v>24.56</v>
      </c>
      <c r="D29" s="64">
        <v>19.22</v>
      </c>
      <c r="E29" s="64">
        <v>0.95</v>
      </c>
      <c r="F29" s="64">
        <v>3.33</v>
      </c>
      <c r="G29" s="64">
        <v>38.479999999999997</v>
      </c>
      <c r="H29" s="64">
        <v>21.96</v>
      </c>
      <c r="I29" s="64">
        <v>6.24</v>
      </c>
      <c r="J29" s="64">
        <v>0.11</v>
      </c>
      <c r="K29" s="64">
        <v>334.01</v>
      </c>
      <c r="L29" s="64">
        <v>20.51</v>
      </c>
      <c r="M29" s="64">
        <v>97.87</v>
      </c>
      <c r="N29" s="64">
        <v>16.600000000000001</v>
      </c>
      <c r="O29" s="64">
        <v>0</v>
      </c>
      <c r="P29" s="64">
        <v>0.47</v>
      </c>
      <c r="Q29" s="64">
        <v>9.17</v>
      </c>
      <c r="S29" s="198"/>
      <c r="T29" s="198"/>
      <c r="U29" s="198"/>
    </row>
    <row r="30" spans="1:21" s="12" customFormat="1" x14ac:dyDescent="0.25">
      <c r="A30" s="214" t="s">
        <v>2381</v>
      </c>
      <c r="B30" s="64">
        <v>8.98</v>
      </c>
      <c r="C30" s="64">
        <v>24.54</v>
      </c>
      <c r="D30" s="64">
        <v>19.940000000000001</v>
      </c>
      <c r="E30" s="64">
        <v>1.1000000000000001</v>
      </c>
      <c r="F30" s="64">
        <v>3.64</v>
      </c>
      <c r="G30" s="64">
        <v>38.479999999999997</v>
      </c>
      <c r="H30" s="64">
        <v>21.96</v>
      </c>
      <c r="I30" s="64">
        <v>6.13</v>
      </c>
      <c r="J30" s="64">
        <v>0.5</v>
      </c>
      <c r="K30" s="64">
        <v>340.23</v>
      </c>
      <c r="L30" s="64">
        <v>20.53</v>
      </c>
      <c r="M30" s="64">
        <v>97.93</v>
      </c>
      <c r="N30" s="64">
        <v>17.2</v>
      </c>
      <c r="O30" s="64">
        <v>0</v>
      </c>
      <c r="P30" s="64">
        <v>0.49</v>
      </c>
      <c r="Q30" s="64">
        <v>9.1999999999999993</v>
      </c>
      <c r="S30" s="198"/>
      <c r="T30" s="198"/>
      <c r="U30" s="198"/>
    </row>
    <row r="31" spans="1:21" s="12" customFormat="1" x14ac:dyDescent="0.25">
      <c r="A31" s="214" t="s">
        <v>2382</v>
      </c>
      <c r="B31" s="64">
        <v>9.8699999999999992</v>
      </c>
      <c r="C31" s="64">
        <v>24.6</v>
      </c>
      <c r="D31" s="64">
        <v>20.69</v>
      </c>
      <c r="E31" s="64">
        <v>1.1399999999999999</v>
      </c>
      <c r="F31" s="64">
        <v>3.63</v>
      </c>
      <c r="G31" s="64">
        <v>38.479999999999997</v>
      </c>
      <c r="H31" s="64">
        <v>21.96</v>
      </c>
      <c r="I31" s="64">
        <v>6.26</v>
      </c>
      <c r="J31" s="64">
        <v>0.05</v>
      </c>
      <c r="K31" s="64">
        <v>308.7</v>
      </c>
      <c r="L31" s="64">
        <v>20.61</v>
      </c>
      <c r="M31" s="64">
        <v>97.5</v>
      </c>
      <c r="N31" s="64">
        <v>22.6</v>
      </c>
      <c r="O31" s="64">
        <v>0</v>
      </c>
      <c r="P31" s="64">
        <v>0.51</v>
      </c>
      <c r="Q31" s="64">
        <v>9.16</v>
      </c>
      <c r="S31" s="198"/>
      <c r="T31" s="198"/>
      <c r="U31" s="198"/>
    </row>
    <row r="32" spans="1:21" s="12" customFormat="1" x14ac:dyDescent="0.25">
      <c r="A32" s="214" t="s">
        <v>2383</v>
      </c>
      <c r="B32" s="64">
        <v>11.01</v>
      </c>
      <c r="C32" s="64">
        <v>24.64</v>
      </c>
      <c r="D32" s="64">
        <v>21.62</v>
      </c>
      <c r="E32" s="64">
        <v>1.37</v>
      </c>
      <c r="F32" s="64">
        <v>3.58</v>
      </c>
      <c r="G32" s="64">
        <v>40.44</v>
      </c>
      <c r="H32" s="64">
        <v>27.08</v>
      </c>
      <c r="I32" s="64">
        <v>6.26</v>
      </c>
      <c r="J32" s="64">
        <v>0.1</v>
      </c>
      <c r="K32" s="64">
        <v>315.02999999999997</v>
      </c>
      <c r="L32" s="64">
        <v>20.79</v>
      </c>
      <c r="M32" s="64">
        <v>96.81</v>
      </c>
      <c r="N32" s="64">
        <v>31.8</v>
      </c>
      <c r="O32" s="64">
        <v>0</v>
      </c>
      <c r="P32" s="64">
        <v>0.54</v>
      </c>
      <c r="Q32" s="64">
        <v>9.18</v>
      </c>
      <c r="S32" s="198"/>
      <c r="T32" s="198"/>
      <c r="U32" s="198"/>
    </row>
    <row r="33" spans="1:21" s="12" customFormat="1" x14ac:dyDescent="0.25">
      <c r="A33" s="214" t="s">
        <v>2384</v>
      </c>
      <c r="B33" s="64">
        <v>12.16</v>
      </c>
      <c r="C33" s="64">
        <v>26.19</v>
      </c>
      <c r="D33" s="64">
        <v>23.35</v>
      </c>
      <c r="E33" s="64">
        <v>1.1399999999999999</v>
      </c>
      <c r="F33" s="64">
        <v>3.44</v>
      </c>
      <c r="G33" s="64">
        <v>73.77</v>
      </c>
      <c r="H33" s="64">
        <v>98.85</v>
      </c>
      <c r="I33" s="64">
        <v>6.32</v>
      </c>
      <c r="J33" s="64">
        <v>0.05</v>
      </c>
      <c r="K33" s="64">
        <v>268.77999999999997</v>
      </c>
      <c r="L33" s="64">
        <v>20.88</v>
      </c>
      <c r="M33" s="64">
        <v>96.28</v>
      </c>
      <c r="N33" s="64">
        <v>48.8</v>
      </c>
      <c r="O33" s="64">
        <v>0</v>
      </c>
      <c r="P33" s="64">
        <v>0.54</v>
      </c>
      <c r="Q33" s="64">
        <v>9.17</v>
      </c>
      <c r="S33" s="198"/>
      <c r="T33" s="198"/>
      <c r="U33" s="198"/>
    </row>
    <row r="34" spans="1:21" s="12" customFormat="1" x14ac:dyDescent="0.25">
      <c r="A34" s="214" t="s">
        <v>2385</v>
      </c>
      <c r="B34" s="64">
        <v>12.93</v>
      </c>
      <c r="C34" s="64">
        <v>28.08</v>
      </c>
      <c r="D34" s="64">
        <v>24.96</v>
      </c>
      <c r="E34" s="64">
        <v>0.85</v>
      </c>
      <c r="F34" s="64">
        <v>3.58</v>
      </c>
      <c r="G34" s="64">
        <v>73.77</v>
      </c>
      <c r="H34" s="64">
        <v>98.85</v>
      </c>
      <c r="I34" s="64">
        <v>6.37</v>
      </c>
      <c r="J34" s="64">
        <v>0.3</v>
      </c>
      <c r="K34" s="64">
        <v>321</v>
      </c>
      <c r="L34" s="64">
        <v>21.26</v>
      </c>
      <c r="M34" s="64">
        <v>94.58</v>
      </c>
      <c r="N34" s="64">
        <v>67</v>
      </c>
      <c r="O34" s="64">
        <v>0</v>
      </c>
      <c r="P34" s="64">
        <v>0.55000000000000004</v>
      </c>
      <c r="Q34" s="64">
        <v>9.15</v>
      </c>
      <c r="S34" s="198"/>
      <c r="T34" s="198"/>
      <c r="U34" s="198"/>
    </row>
    <row r="35" spans="1:21" s="12" customFormat="1" x14ac:dyDescent="0.25">
      <c r="A35" s="214" t="s">
        <v>2386</v>
      </c>
      <c r="B35" s="64">
        <v>13.31</v>
      </c>
      <c r="C35" s="64">
        <v>28.7</v>
      </c>
      <c r="D35" s="64">
        <v>25.58</v>
      </c>
      <c r="E35" s="64">
        <v>1.23</v>
      </c>
      <c r="F35" s="64">
        <v>3.61</v>
      </c>
      <c r="G35" s="64">
        <v>73.77</v>
      </c>
      <c r="H35" s="64">
        <v>98.85</v>
      </c>
      <c r="I35" s="64">
        <v>6.43</v>
      </c>
      <c r="J35" s="64">
        <v>0.28999999999999998</v>
      </c>
      <c r="K35" s="64">
        <v>307.60000000000002</v>
      </c>
      <c r="L35" s="64">
        <v>21.8</v>
      </c>
      <c r="M35" s="64">
        <v>92.69</v>
      </c>
      <c r="N35" s="64">
        <v>120.3</v>
      </c>
      <c r="O35" s="64">
        <v>0</v>
      </c>
      <c r="P35" s="64">
        <v>0.54</v>
      </c>
      <c r="Q35" s="64">
        <v>9.15</v>
      </c>
      <c r="S35" s="198"/>
      <c r="T35" s="198"/>
      <c r="U35" s="198"/>
    </row>
    <row r="36" spans="1:21" s="12" customFormat="1" x14ac:dyDescent="0.25">
      <c r="A36" s="214" t="s">
        <v>2387</v>
      </c>
      <c r="B36" s="64">
        <v>13.74</v>
      </c>
      <c r="C36" s="64">
        <v>28.91</v>
      </c>
      <c r="D36" s="64">
        <v>26.04</v>
      </c>
      <c r="E36" s="64">
        <v>0.91</v>
      </c>
      <c r="F36" s="64">
        <v>3.23</v>
      </c>
      <c r="G36" s="64">
        <v>72.58</v>
      </c>
      <c r="H36" s="64">
        <v>95.77</v>
      </c>
      <c r="I36" s="64">
        <v>6.48</v>
      </c>
      <c r="J36" s="64">
        <v>0.4</v>
      </c>
      <c r="K36" s="64">
        <v>310.11</v>
      </c>
      <c r="L36" s="64">
        <v>22.9</v>
      </c>
      <c r="M36" s="64">
        <v>86.43</v>
      </c>
      <c r="N36" s="64">
        <v>124.2</v>
      </c>
      <c r="O36" s="64">
        <v>0</v>
      </c>
      <c r="P36" s="64">
        <v>0.54</v>
      </c>
      <c r="Q36" s="64">
        <v>9.25</v>
      </c>
      <c r="S36" s="198"/>
      <c r="T36" s="198"/>
      <c r="U36" s="198"/>
    </row>
    <row r="37" spans="1:21" s="12" customFormat="1" x14ac:dyDescent="0.25">
      <c r="A37" s="214" t="s">
        <v>2388</v>
      </c>
      <c r="B37" s="64">
        <v>14.08</v>
      </c>
      <c r="C37" s="64">
        <v>28.29</v>
      </c>
      <c r="D37" s="64">
        <v>26</v>
      </c>
      <c r="E37" s="64">
        <v>1.17</v>
      </c>
      <c r="F37" s="64">
        <v>3.48</v>
      </c>
      <c r="G37" s="64">
        <v>55.96</v>
      </c>
      <c r="H37" s="64">
        <v>43.45</v>
      </c>
      <c r="I37" s="64">
        <v>6.52</v>
      </c>
      <c r="J37" s="64">
        <v>0.78</v>
      </c>
      <c r="K37" s="64">
        <v>336.02</v>
      </c>
      <c r="L37" s="64">
        <v>22.85</v>
      </c>
      <c r="M37" s="64">
        <v>83.54</v>
      </c>
      <c r="N37" s="64">
        <v>59.8</v>
      </c>
      <c r="O37" s="64">
        <v>0</v>
      </c>
      <c r="P37" s="64">
        <v>0.52</v>
      </c>
      <c r="Q37" s="64">
        <v>9.18</v>
      </c>
      <c r="S37" s="198"/>
      <c r="T37" s="198"/>
      <c r="U37" s="198"/>
    </row>
    <row r="38" spans="1:21" s="12" customFormat="1" x14ac:dyDescent="0.25">
      <c r="A38" s="214" t="s">
        <v>2389</v>
      </c>
      <c r="B38" s="64">
        <v>14.41</v>
      </c>
      <c r="C38" s="64">
        <v>28.9</v>
      </c>
      <c r="D38" s="64">
        <v>26.57</v>
      </c>
      <c r="E38" s="64">
        <v>0.85</v>
      </c>
      <c r="F38" s="64">
        <v>3.7</v>
      </c>
      <c r="G38" s="64">
        <v>55.96</v>
      </c>
      <c r="H38" s="64">
        <v>43.45</v>
      </c>
      <c r="I38" s="64">
        <v>6.58</v>
      </c>
      <c r="J38" s="64">
        <v>0.63</v>
      </c>
      <c r="K38" s="64">
        <v>345.68</v>
      </c>
      <c r="L38" s="64">
        <v>22.54</v>
      </c>
      <c r="M38" s="64">
        <v>85.19</v>
      </c>
      <c r="N38" s="64">
        <v>94.2</v>
      </c>
      <c r="O38" s="64">
        <v>0</v>
      </c>
      <c r="P38" s="64">
        <v>0.53</v>
      </c>
      <c r="Q38" s="64">
        <v>9.15</v>
      </c>
      <c r="S38" s="198"/>
      <c r="T38" s="198"/>
      <c r="U38" s="198"/>
    </row>
    <row r="39" spans="1:21" s="12" customFormat="1" x14ac:dyDescent="0.25">
      <c r="A39" s="214" t="s">
        <v>2390</v>
      </c>
      <c r="B39" s="64">
        <v>14.96</v>
      </c>
      <c r="C39" s="64">
        <v>28.7</v>
      </c>
      <c r="D39" s="64">
        <v>26.92</v>
      </c>
      <c r="E39" s="64">
        <v>1.1599999999999999</v>
      </c>
      <c r="F39" s="64">
        <v>3.77</v>
      </c>
      <c r="G39" s="64">
        <v>55.96</v>
      </c>
      <c r="H39" s="64">
        <v>43.45</v>
      </c>
      <c r="I39" s="64">
        <v>6.53</v>
      </c>
      <c r="J39" s="64">
        <v>0.56000000000000005</v>
      </c>
      <c r="K39" s="64">
        <v>350.62</v>
      </c>
      <c r="L39" s="64">
        <v>23</v>
      </c>
      <c r="M39" s="64">
        <v>80.489999999999995</v>
      </c>
      <c r="N39" s="64">
        <v>247.4</v>
      </c>
      <c r="O39" s="64">
        <v>0</v>
      </c>
      <c r="P39" s="64">
        <v>0.54</v>
      </c>
      <c r="Q39" s="64">
        <v>9.23</v>
      </c>
      <c r="S39" s="198"/>
      <c r="T39" s="198"/>
      <c r="U39" s="198"/>
    </row>
    <row r="40" spans="1:21" s="12" customFormat="1" x14ac:dyDescent="0.25">
      <c r="A40" s="214" t="s">
        <v>2391</v>
      </c>
      <c r="B40" s="64">
        <v>15.39</v>
      </c>
      <c r="C40" s="64">
        <v>28.91</v>
      </c>
      <c r="D40" s="64">
        <v>27.37</v>
      </c>
      <c r="E40" s="64">
        <v>0.73</v>
      </c>
      <c r="F40" s="64">
        <v>3.31</v>
      </c>
      <c r="G40" s="64">
        <v>55.73</v>
      </c>
      <c r="H40" s="64">
        <v>41.91</v>
      </c>
      <c r="I40" s="64">
        <v>6.63</v>
      </c>
      <c r="J40" s="64">
        <v>0.42</v>
      </c>
      <c r="K40" s="64">
        <v>334.02</v>
      </c>
      <c r="L40" s="64">
        <v>24.95</v>
      </c>
      <c r="M40" s="64">
        <v>72.47</v>
      </c>
      <c r="N40" s="64">
        <v>124</v>
      </c>
      <c r="O40" s="64">
        <v>0</v>
      </c>
      <c r="P40" s="64">
        <v>0.54</v>
      </c>
      <c r="Q40" s="64">
        <v>9.1999999999999993</v>
      </c>
      <c r="S40" s="198"/>
      <c r="T40" s="198"/>
      <c r="U40" s="198"/>
    </row>
    <row r="41" spans="1:21" s="12" customFormat="1" x14ac:dyDescent="0.25">
      <c r="A41" s="214" t="s">
        <v>2392</v>
      </c>
      <c r="B41" s="64">
        <v>16.149999999999999</v>
      </c>
      <c r="C41" s="64">
        <v>30.13</v>
      </c>
      <c r="D41" s="64">
        <v>28.62</v>
      </c>
      <c r="E41" s="64">
        <v>1.1100000000000001</v>
      </c>
      <c r="F41" s="64">
        <v>3.49</v>
      </c>
      <c r="G41" s="64">
        <v>52.53</v>
      </c>
      <c r="H41" s="64">
        <v>15.85</v>
      </c>
      <c r="I41" s="64">
        <v>6.75</v>
      </c>
      <c r="J41" s="64">
        <v>0.26</v>
      </c>
      <c r="K41" s="64">
        <v>331.61</v>
      </c>
      <c r="L41" s="64">
        <v>24.32</v>
      </c>
      <c r="M41" s="64">
        <v>75.83</v>
      </c>
      <c r="N41" s="64">
        <v>133.6</v>
      </c>
      <c r="O41" s="64">
        <v>0</v>
      </c>
      <c r="P41" s="64">
        <v>0.55000000000000004</v>
      </c>
      <c r="Q41" s="64">
        <v>9.17</v>
      </c>
      <c r="S41" s="198"/>
      <c r="T41" s="198"/>
      <c r="U41" s="198"/>
    </row>
    <row r="42" spans="1:21" s="12" customFormat="1" x14ac:dyDescent="0.25">
      <c r="A42" s="214" t="s">
        <v>2393</v>
      </c>
      <c r="B42" s="64">
        <v>16.97</v>
      </c>
      <c r="C42" s="64">
        <v>29.55</v>
      </c>
      <c r="D42" s="64">
        <v>28.97</v>
      </c>
      <c r="E42" s="64">
        <v>1.23</v>
      </c>
      <c r="F42" s="64">
        <v>3.28</v>
      </c>
      <c r="G42" s="64">
        <v>52.53</v>
      </c>
      <c r="H42" s="64">
        <v>15.85</v>
      </c>
      <c r="I42" s="64">
        <v>6.95</v>
      </c>
      <c r="J42" s="64">
        <v>0.08</v>
      </c>
      <c r="K42" s="64">
        <v>321.3</v>
      </c>
      <c r="L42" s="64">
        <v>24.47</v>
      </c>
      <c r="M42" s="64">
        <v>75.040000000000006</v>
      </c>
      <c r="N42" s="64">
        <v>239.7</v>
      </c>
      <c r="O42" s="64">
        <v>0</v>
      </c>
      <c r="P42" s="64">
        <v>0.56999999999999995</v>
      </c>
      <c r="Q42" s="64">
        <v>9.18</v>
      </c>
      <c r="S42" s="198"/>
      <c r="T42" s="198"/>
      <c r="U42" s="198"/>
    </row>
    <row r="43" spans="1:21" s="12" customFormat="1" x14ac:dyDescent="0.25">
      <c r="A43" s="214" t="s">
        <v>2394</v>
      </c>
      <c r="B43" s="64">
        <v>17.07</v>
      </c>
      <c r="C43" s="64">
        <v>29.34</v>
      </c>
      <c r="D43" s="64">
        <v>28.94</v>
      </c>
      <c r="E43" s="64">
        <v>0.96</v>
      </c>
      <c r="F43" s="64">
        <v>3.33</v>
      </c>
      <c r="G43" s="64">
        <v>52.53</v>
      </c>
      <c r="H43" s="64">
        <v>15.85</v>
      </c>
      <c r="I43" s="64">
        <v>7.12</v>
      </c>
      <c r="J43" s="64">
        <v>0.37</v>
      </c>
      <c r="K43" s="64">
        <v>174.96</v>
      </c>
      <c r="L43" s="64">
        <v>24.31</v>
      </c>
      <c r="M43" s="64">
        <v>73.3</v>
      </c>
      <c r="N43" s="64">
        <v>223.8</v>
      </c>
      <c r="O43" s="64">
        <v>0</v>
      </c>
      <c r="P43" s="64">
        <v>0.56999999999999995</v>
      </c>
      <c r="Q43" s="64">
        <v>9.26</v>
      </c>
      <c r="S43" s="198"/>
      <c r="T43" s="198"/>
      <c r="U43" s="198"/>
    </row>
    <row r="44" spans="1:21" s="12" customFormat="1" x14ac:dyDescent="0.25">
      <c r="A44" s="214" t="s">
        <v>2395</v>
      </c>
      <c r="B44" s="64">
        <v>16.73</v>
      </c>
      <c r="C44" s="64">
        <v>28.89</v>
      </c>
      <c r="D44" s="64">
        <v>28.42</v>
      </c>
      <c r="E44" s="64">
        <v>1.26</v>
      </c>
      <c r="F44" s="64">
        <v>3.22</v>
      </c>
      <c r="G44" s="64">
        <v>53.31</v>
      </c>
      <c r="H44" s="64">
        <v>18.72</v>
      </c>
      <c r="I44" s="64">
        <v>7.1</v>
      </c>
      <c r="J44" s="64">
        <v>0.46</v>
      </c>
      <c r="K44" s="64">
        <v>163.52000000000001</v>
      </c>
      <c r="L44" s="64">
        <v>24.31</v>
      </c>
      <c r="M44" s="64">
        <v>73.72</v>
      </c>
      <c r="N44" s="64">
        <v>274.60000000000002</v>
      </c>
      <c r="O44" s="64">
        <v>0</v>
      </c>
      <c r="P44" s="64">
        <v>0.56999999999999995</v>
      </c>
      <c r="Q44" s="64">
        <v>9.18</v>
      </c>
      <c r="S44" s="198"/>
      <c r="T44" s="198"/>
      <c r="U44" s="198"/>
    </row>
    <row r="45" spans="1:21" s="12" customFormat="1" x14ac:dyDescent="0.25">
      <c r="A45" s="214" t="s">
        <v>2396</v>
      </c>
      <c r="B45" s="64">
        <v>16.11</v>
      </c>
      <c r="C45" s="64">
        <v>28.67</v>
      </c>
      <c r="D45" s="64">
        <v>27.82</v>
      </c>
      <c r="E45" s="64">
        <v>1.1399999999999999</v>
      </c>
      <c r="F45" s="64">
        <v>3.4</v>
      </c>
      <c r="G45" s="64">
        <v>64.180000000000007</v>
      </c>
      <c r="H45" s="64">
        <v>67.55</v>
      </c>
      <c r="I45" s="64">
        <v>7.09</v>
      </c>
      <c r="J45" s="64">
        <v>0.81</v>
      </c>
      <c r="K45" s="64">
        <v>161.4</v>
      </c>
      <c r="L45" s="64">
        <v>24.73</v>
      </c>
      <c r="M45" s="64">
        <v>72.47</v>
      </c>
      <c r="N45" s="64">
        <v>282.5</v>
      </c>
      <c r="O45" s="64">
        <v>0</v>
      </c>
      <c r="P45" s="64">
        <v>0.56999999999999995</v>
      </c>
      <c r="Q45" s="64">
        <v>9.23</v>
      </c>
      <c r="S45" s="198"/>
      <c r="T45" s="198"/>
      <c r="U45" s="198"/>
    </row>
    <row r="46" spans="1:21" s="12" customFormat="1" x14ac:dyDescent="0.25">
      <c r="A46" s="214" t="s">
        <v>2397</v>
      </c>
      <c r="B46" s="64">
        <v>15.47</v>
      </c>
      <c r="C46" s="64">
        <v>28.41</v>
      </c>
      <c r="D46" s="64">
        <v>27.17</v>
      </c>
      <c r="E46" s="64">
        <v>1.17</v>
      </c>
      <c r="F46" s="64">
        <v>3.62</v>
      </c>
      <c r="G46" s="64">
        <v>64.180000000000007</v>
      </c>
      <c r="H46" s="64">
        <v>67.55</v>
      </c>
      <c r="I46" s="64">
        <v>7.13</v>
      </c>
      <c r="J46" s="64">
        <v>1.38</v>
      </c>
      <c r="K46" s="64">
        <v>153.01</v>
      </c>
      <c r="L46" s="64">
        <v>25.27</v>
      </c>
      <c r="M46" s="64">
        <v>72.069999999999993</v>
      </c>
      <c r="N46" s="64">
        <v>562.70000000000005</v>
      </c>
      <c r="O46" s="64">
        <v>0</v>
      </c>
      <c r="P46" s="64">
        <v>0.56000000000000005</v>
      </c>
      <c r="Q46" s="64">
        <v>9.18</v>
      </c>
      <c r="S46" s="198"/>
      <c r="T46" s="198"/>
      <c r="U46" s="198"/>
    </row>
    <row r="47" spans="1:21" s="12" customFormat="1" x14ac:dyDescent="0.25">
      <c r="A47" s="214" t="s">
        <v>2398</v>
      </c>
      <c r="B47" s="64">
        <v>14.88</v>
      </c>
      <c r="C47" s="64">
        <v>28.5</v>
      </c>
      <c r="D47" s="64">
        <v>26.75</v>
      </c>
      <c r="E47" s="64">
        <v>1.36</v>
      </c>
      <c r="F47" s="64">
        <v>3.67</v>
      </c>
      <c r="G47" s="64">
        <v>64.180000000000007</v>
      </c>
      <c r="H47" s="64">
        <v>67.55</v>
      </c>
      <c r="I47" s="64">
        <v>7.18</v>
      </c>
      <c r="J47" s="64">
        <v>1.75</v>
      </c>
      <c r="K47" s="64">
        <v>148.27000000000001</v>
      </c>
      <c r="L47" s="64">
        <v>26.72</v>
      </c>
      <c r="M47" s="64">
        <v>64.790000000000006</v>
      </c>
      <c r="N47" s="64">
        <v>814.5</v>
      </c>
      <c r="O47" s="64">
        <v>0.2</v>
      </c>
      <c r="P47" s="64">
        <v>0.55000000000000004</v>
      </c>
      <c r="Q47" s="64">
        <v>9.19</v>
      </c>
      <c r="S47" s="198"/>
      <c r="T47" s="198"/>
      <c r="U47" s="198"/>
    </row>
    <row r="48" spans="1:21" s="12" customFormat="1" x14ac:dyDescent="0.25">
      <c r="A48" s="214" t="s">
        <v>2399</v>
      </c>
      <c r="B48" s="64">
        <v>12.42</v>
      </c>
      <c r="C48" s="64">
        <v>30.03</v>
      </c>
      <c r="D48" s="64">
        <v>25.57</v>
      </c>
      <c r="E48" s="64">
        <v>1.33</v>
      </c>
      <c r="F48" s="64">
        <v>4.72</v>
      </c>
      <c r="G48" s="64">
        <v>62.2</v>
      </c>
      <c r="H48" s="64">
        <v>64.09</v>
      </c>
      <c r="I48" s="64">
        <v>7.28</v>
      </c>
      <c r="J48" s="64">
        <v>1.61</v>
      </c>
      <c r="K48" s="64">
        <v>149.84</v>
      </c>
      <c r="L48" s="64">
        <v>27.79</v>
      </c>
      <c r="M48" s="64">
        <v>54.38</v>
      </c>
      <c r="N48" s="64">
        <v>850.2</v>
      </c>
      <c r="O48" s="64">
        <v>0</v>
      </c>
      <c r="P48" s="64">
        <v>0.51</v>
      </c>
      <c r="Q48" s="64">
        <v>9.1999999999999993</v>
      </c>
      <c r="S48" s="198"/>
      <c r="T48" s="198"/>
      <c r="U48" s="198"/>
    </row>
    <row r="49" spans="1:21" s="12" customFormat="1" x14ac:dyDescent="0.25">
      <c r="A49" s="214" t="s">
        <v>2400</v>
      </c>
      <c r="B49" s="64">
        <v>7.24</v>
      </c>
      <c r="C49" s="64">
        <v>33.9</v>
      </c>
      <c r="D49" s="64">
        <v>23.43</v>
      </c>
      <c r="E49" s="64">
        <v>1.37</v>
      </c>
      <c r="F49" s="64">
        <v>5.61</v>
      </c>
      <c r="G49" s="64">
        <v>34.5</v>
      </c>
      <c r="H49" s="64">
        <v>5.4</v>
      </c>
      <c r="I49" s="64">
        <v>7.46</v>
      </c>
      <c r="J49" s="64">
        <v>1.32</v>
      </c>
      <c r="K49" s="64">
        <v>159.15</v>
      </c>
      <c r="L49" s="64">
        <v>28.34</v>
      </c>
      <c r="M49" s="64">
        <v>50.05</v>
      </c>
      <c r="N49" s="64">
        <v>879.5</v>
      </c>
      <c r="O49" s="64">
        <v>0</v>
      </c>
      <c r="P49" s="64">
        <v>0.48</v>
      </c>
      <c r="Q49" s="64">
        <v>9.16</v>
      </c>
      <c r="S49" s="198"/>
      <c r="T49" s="198"/>
      <c r="U49" s="198"/>
    </row>
    <row r="50" spans="1:21" s="12" customFormat="1" x14ac:dyDescent="0.25">
      <c r="A50" s="214" t="s">
        <v>2401</v>
      </c>
      <c r="B50" s="64">
        <v>4.18</v>
      </c>
      <c r="C50" s="64">
        <v>34.06</v>
      </c>
      <c r="D50" s="64">
        <v>21.06</v>
      </c>
      <c r="E50" s="64">
        <v>1.08</v>
      </c>
      <c r="F50" s="64">
        <v>6.32</v>
      </c>
      <c r="G50" s="64">
        <v>34.5</v>
      </c>
      <c r="H50" s="64">
        <v>5.4</v>
      </c>
      <c r="I50" s="64">
        <v>7.23</v>
      </c>
      <c r="J50" s="64">
        <v>1.74</v>
      </c>
      <c r="K50" s="64">
        <v>154.05000000000001</v>
      </c>
      <c r="L50" s="64">
        <v>28.73</v>
      </c>
      <c r="M50" s="64">
        <v>50.59</v>
      </c>
      <c r="N50" s="64">
        <v>908</v>
      </c>
      <c r="O50" s="64">
        <v>0</v>
      </c>
      <c r="P50" s="64">
        <v>0.48</v>
      </c>
      <c r="Q50" s="64">
        <v>9.16</v>
      </c>
      <c r="S50" s="198"/>
      <c r="T50" s="198"/>
      <c r="U50" s="198"/>
    </row>
    <row r="51" spans="1:21" s="12" customFormat="1" x14ac:dyDescent="0.25">
      <c r="A51" s="214" t="s">
        <v>2402</v>
      </c>
      <c r="B51" s="64">
        <v>2.6</v>
      </c>
      <c r="C51" s="64">
        <v>32.340000000000003</v>
      </c>
      <c r="D51" s="64">
        <v>18.899999999999999</v>
      </c>
      <c r="E51" s="64">
        <v>1.1499999999999999</v>
      </c>
      <c r="F51" s="64">
        <v>8.2899999999999991</v>
      </c>
      <c r="G51" s="64">
        <v>34.5</v>
      </c>
      <c r="H51" s="64">
        <v>5.4</v>
      </c>
      <c r="I51" s="64">
        <v>6.81</v>
      </c>
      <c r="J51" s="64">
        <v>1.24</v>
      </c>
      <c r="K51" s="64">
        <v>152.16</v>
      </c>
      <c r="L51" s="64">
        <v>29.04</v>
      </c>
      <c r="M51" s="64">
        <v>49.52</v>
      </c>
      <c r="N51" s="64">
        <v>927.8</v>
      </c>
      <c r="O51" s="64">
        <v>0</v>
      </c>
      <c r="P51" s="64">
        <v>0.46</v>
      </c>
      <c r="Q51" s="64">
        <v>9.1199999999999992</v>
      </c>
      <c r="S51" s="198"/>
      <c r="T51" s="198"/>
      <c r="U51" s="198"/>
    </row>
    <row r="52" spans="1:21" s="12" customFormat="1" x14ac:dyDescent="0.25">
      <c r="A52" s="214" t="s">
        <v>2403</v>
      </c>
      <c r="B52" s="64">
        <v>1.82</v>
      </c>
      <c r="C52" s="64">
        <v>31.37</v>
      </c>
      <c r="D52" s="64">
        <v>17.77</v>
      </c>
      <c r="E52" s="64">
        <v>1.03</v>
      </c>
      <c r="F52" s="64">
        <v>10.73</v>
      </c>
      <c r="G52" s="64">
        <v>34.24</v>
      </c>
      <c r="H52" s="64">
        <v>6.42</v>
      </c>
      <c r="I52" s="64">
        <v>6.29</v>
      </c>
      <c r="J52" s="64">
        <v>0.14000000000000001</v>
      </c>
      <c r="K52" s="64">
        <v>193.96</v>
      </c>
      <c r="L52" s="64">
        <v>29.9</v>
      </c>
      <c r="M52" s="64">
        <v>49.24</v>
      </c>
      <c r="N52" s="64">
        <v>937.4</v>
      </c>
      <c r="O52" s="64">
        <v>0</v>
      </c>
      <c r="P52" s="64">
        <v>0.47</v>
      </c>
      <c r="Q52" s="64">
        <v>9.1199999999999992</v>
      </c>
      <c r="S52" s="198"/>
      <c r="T52" s="198"/>
      <c r="U52" s="198"/>
    </row>
    <row r="53" spans="1:21" s="12" customFormat="1" x14ac:dyDescent="0.25">
      <c r="A53" s="214" t="s">
        <v>2404</v>
      </c>
      <c r="B53" s="64">
        <v>1.68</v>
      </c>
      <c r="C53" s="64">
        <v>29.65</v>
      </c>
      <c r="D53" s="64">
        <v>16.760000000000002</v>
      </c>
      <c r="E53" s="64">
        <v>0.98</v>
      </c>
      <c r="F53" s="64">
        <v>9.08</v>
      </c>
      <c r="G53" s="64">
        <v>30.59</v>
      </c>
      <c r="H53" s="64">
        <v>20.58</v>
      </c>
      <c r="I53" s="64">
        <v>6.09</v>
      </c>
      <c r="J53" s="64">
        <v>0.16</v>
      </c>
      <c r="K53" s="64">
        <v>187.92</v>
      </c>
      <c r="L53" s="64">
        <v>30.89</v>
      </c>
      <c r="M53" s="64">
        <v>50.62</v>
      </c>
      <c r="N53" s="64">
        <v>950.3</v>
      </c>
      <c r="O53" s="64">
        <v>0</v>
      </c>
      <c r="P53" s="64">
        <v>0.5</v>
      </c>
      <c r="Q53" s="64">
        <v>9.1300000000000008</v>
      </c>
      <c r="S53" s="198"/>
      <c r="T53" s="198"/>
      <c r="U53" s="198"/>
    </row>
    <row r="54" spans="1:21" s="12" customFormat="1" x14ac:dyDescent="0.25">
      <c r="A54" s="214" t="s">
        <v>2405</v>
      </c>
      <c r="B54" s="64">
        <v>1.65</v>
      </c>
      <c r="C54" s="64">
        <v>28.19</v>
      </c>
      <c r="D54" s="64">
        <v>15.97</v>
      </c>
      <c r="E54" s="64">
        <v>0.99</v>
      </c>
      <c r="F54" s="64">
        <v>12.34</v>
      </c>
      <c r="G54" s="64">
        <v>30.59</v>
      </c>
      <c r="H54" s="64">
        <v>20.58</v>
      </c>
      <c r="I54" s="64">
        <v>5.67</v>
      </c>
      <c r="J54" s="64">
        <v>0.32</v>
      </c>
      <c r="K54" s="64">
        <v>176.7</v>
      </c>
      <c r="L54" s="64">
        <v>30.57</v>
      </c>
      <c r="M54" s="64">
        <v>48.67</v>
      </c>
      <c r="N54" s="64">
        <v>958.8</v>
      </c>
      <c r="O54" s="64">
        <v>0</v>
      </c>
      <c r="P54" s="64">
        <v>0.57999999999999996</v>
      </c>
      <c r="Q54" s="64">
        <v>9.1300000000000008</v>
      </c>
      <c r="S54" s="198"/>
      <c r="T54" s="198"/>
      <c r="U54" s="198"/>
    </row>
    <row r="55" spans="1:21" s="12" customFormat="1" x14ac:dyDescent="0.25">
      <c r="A55" s="214" t="s">
        <v>2406</v>
      </c>
      <c r="B55" s="64">
        <v>1.35</v>
      </c>
      <c r="C55" s="64">
        <v>26.18</v>
      </c>
      <c r="D55" s="64">
        <v>14.68</v>
      </c>
      <c r="E55" s="64">
        <v>1.83</v>
      </c>
      <c r="F55" s="64">
        <v>29.52</v>
      </c>
      <c r="G55" s="64">
        <v>30.59</v>
      </c>
      <c r="H55" s="64">
        <v>20.58</v>
      </c>
      <c r="I55" s="64">
        <v>5.44</v>
      </c>
      <c r="J55" s="64">
        <v>0.32</v>
      </c>
      <c r="K55" s="64">
        <v>176.22</v>
      </c>
      <c r="L55" s="64">
        <v>31.55</v>
      </c>
      <c r="M55" s="64">
        <v>39.32</v>
      </c>
      <c r="N55" s="64">
        <v>984.4</v>
      </c>
      <c r="O55" s="64">
        <v>0</v>
      </c>
      <c r="P55" s="64">
        <v>0.71</v>
      </c>
      <c r="Q55" s="64">
        <v>9.16</v>
      </c>
      <c r="S55" s="198"/>
      <c r="T55" s="198"/>
      <c r="U55" s="198"/>
    </row>
    <row r="56" spans="1:21" s="12" customFormat="1" x14ac:dyDescent="0.25">
      <c r="A56" s="214" t="s">
        <v>2407</v>
      </c>
      <c r="B56" s="64">
        <v>1.03</v>
      </c>
      <c r="C56" s="64">
        <v>26.99</v>
      </c>
      <c r="D56" s="64">
        <v>14.85</v>
      </c>
      <c r="E56" s="64">
        <v>2.11</v>
      </c>
      <c r="F56" s="64">
        <v>19.010000000000002</v>
      </c>
      <c r="G56" s="64">
        <v>31.85</v>
      </c>
      <c r="H56" s="64">
        <v>20.91</v>
      </c>
      <c r="I56" s="64">
        <v>5.34</v>
      </c>
      <c r="J56" s="64">
        <v>7.0000000000000007E-2</v>
      </c>
      <c r="K56" s="64">
        <v>358.32</v>
      </c>
      <c r="L56" s="64">
        <v>32.049999999999997</v>
      </c>
      <c r="M56" s="64">
        <v>41.51</v>
      </c>
      <c r="N56" s="64">
        <v>973.1</v>
      </c>
      <c r="O56" s="64">
        <v>0</v>
      </c>
      <c r="P56" s="64">
        <v>0.74</v>
      </c>
      <c r="Q56" s="64">
        <v>9.1300000000000008</v>
      </c>
      <c r="S56" s="198"/>
      <c r="T56" s="198"/>
      <c r="U56" s="198"/>
    </row>
    <row r="57" spans="1:21" s="12" customFormat="1" x14ac:dyDescent="0.25">
      <c r="A57" s="214" t="s">
        <v>2408</v>
      </c>
      <c r="B57" s="64">
        <v>1.04</v>
      </c>
      <c r="C57" s="64">
        <v>25.29</v>
      </c>
      <c r="D57" s="64">
        <v>13.97</v>
      </c>
      <c r="E57" s="64">
        <v>1.39</v>
      </c>
      <c r="F57" s="64">
        <v>8.65</v>
      </c>
      <c r="G57" s="64">
        <v>49.48</v>
      </c>
      <c r="H57" s="64">
        <v>26.56</v>
      </c>
      <c r="I57" s="64">
        <v>5.31</v>
      </c>
      <c r="J57" s="64">
        <v>0.66</v>
      </c>
      <c r="K57" s="64">
        <v>145.15</v>
      </c>
      <c r="L57" s="64">
        <v>32.19</v>
      </c>
      <c r="M57" s="64">
        <v>41.49</v>
      </c>
      <c r="N57" s="64">
        <v>973.3</v>
      </c>
      <c r="O57" s="64">
        <v>0</v>
      </c>
      <c r="P57" s="64">
        <v>0.73</v>
      </c>
      <c r="Q57" s="64">
        <v>9.16</v>
      </c>
      <c r="S57" s="198"/>
      <c r="T57" s="198"/>
      <c r="U57" s="198"/>
    </row>
    <row r="58" spans="1:21" s="12" customFormat="1" x14ac:dyDescent="0.25">
      <c r="A58" s="214" t="s">
        <v>2409</v>
      </c>
      <c r="B58" s="64">
        <v>1.18</v>
      </c>
      <c r="C58" s="64">
        <v>23.41</v>
      </c>
      <c r="D58" s="64">
        <v>13.1</v>
      </c>
      <c r="E58" s="64">
        <v>1.35</v>
      </c>
      <c r="F58" s="64">
        <v>8.0399999999999991</v>
      </c>
      <c r="G58" s="64">
        <v>49.48</v>
      </c>
      <c r="H58" s="64">
        <v>26.56</v>
      </c>
      <c r="I58" s="64">
        <v>4.84</v>
      </c>
      <c r="J58" s="64">
        <v>1.1000000000000001</v>
      </c>
      <c r="K58" s="64">
        <v>149.53</v>
      </c>
      <c r="L58" s="64">
        <v>31.61</v>
      </c>
      <c r="M58" s="64">
        <v>42.78</v>
      </c>
      <c r="N58" s="64">
        <v>954.5</v>
      </c>
      <c r="O58" s="64">
        <v>0</v>
      </c>
      <c r="P58" s="64">
        <v>0.71</v>
      </c>
      <c r="Q58" s="64">
        <v>9.1300000000000008</v>
      </c>
      <c r="S58" s="198"/>
      <c r="T58" s="198"/>
      <c r="U58" s="198"/>
    </row>
    <row r="59" spans="1:21" s="12" customFormat="1" x14ac:dyDescent="0.25">
      <c r="A59" s="214" t="s">
        <v>2410</v>
      </c>
      <c r="B59" s="64">
        <v>1.34</v>
      </c>
      <c r="C59" s="64">
        <v>22.75</v>
      </c>
      <c r="D59" s="64">
        <v>12.88</v>
      </c>
      <c r="E59" s="64">
        <v>1.23</v>
      </c>
      <c r="F59" s="64">
        <v>6.02</v>
      </c>
      <c r="G59" s="64">
        <v>49.48</v>
      </c>
      <c r="H59" s="64">
        <v>26.56</v>
      </c>
      <c r="I59" s="64">
        <v>5.07</v>
      </c>
      <c r="J59" s="64">
        <v>0.11</v>
      </c>
      <c r="K59" s="64">
        <v>133.13</v>
      </c>
      <c r="L59" s="64">
        <v>32.76</v>
      </c>
      <c r="M59" s="64">
        <v>41.99</v>
      </c>
      <c r="N59" s="64">
        <v>940.5</v>
      </c>
      <c r="O59" s="64">
        <v>0</v>
      </c>
      <c r="P59" s="64">
        <v>0.7</v>
      </c>
      <c r="Q59" s="64">
        <v>9.1300000000000008</v>
      </c>
      <c r="S59" s="198"/>
      <c r="T59" s="198"/>
      <c r="U59" s="198"/>
    </row>
    <row r="60" spans="1:21" s="12" customFormat="1" x14ac:dyDescent="0.25">
      <c r="A60" s="214" t="s">
        <v>2411</v>
      </c>
      <c r="B60" s="64">
        <v>1.63</v>
      </c>
      <c r="C60" s="64">
        <v>22.57</v>
      </c>
      <c r="D60" s="64">
        <v>13.02</v>
      </c>
      <c r="E60" s="64">
        <v>1.05</v>
      </c>
      <c r="F60" s="64">
        <v>5.43</v>
      </c>
      <c r="G60" s="64">
        <v>49.05</v>
      </c>
      <c r="H60" s="64">
        <v>25.04</v>
      </c>
      <c r="I60" s="64">
        <v>5.39</v>
      </c>
      <c r="J60" s="64">
        <v>0.61</v>
      </c>
      <c r="K60" s="64">
        <v>155.72</v>
      </c>
      <c r="L60" s="64">
        <v>33.5</v>
      </c>
      <c r="M60" s="64">
        <v>38.43</v>
      </c>
      <c r="N60" s="64">
        <v>928.1</v>
      </c>
      <c r="O60" s="64">
        <v>0</v>
      </c>
      <c r="P60" s="64">
        <v>0.69</v>
      </c>
      <c r="Q60" s="64">
        <v>9.1199999999999992</v>
      </c>
      <c r="S60" s="198"/>
      <c r="T60" s="198"/>
      <c r="U60" s="198"/>
    </row>
    <row r="61" spans="1:21" s="12" customFormat="1" x14ac:dyDescent="0.25">
      <c r="A61" s="214" t="s">
        <v>2412</v>
      </c>
      <c r="B61" s="64">
        <v>1.74</v>
      </c>
      <c r="C61" s="64">
        <v>22.07</v>
      </c>
      <c r="D61" s="64">
        <v>12.85</v>
      </c>
      <c r="E61" s="64">
        <v>1.03</v>
      </c>
      <c r="F61" s="64">
        <v>5.63</v>
      </c>
      <c r="G61" s="64">
        <v>42.99</v>
      </c>
      <c r="H61" s="64">
        <v>3.72</v>
      </c>
      <c r="I61" s="64">
        <v>5.69</v>
      </c>
      <c r="J61" s="64">
        <v>0.23</v>
      </c>
      <c r="K61" s="64">
        <v>176.24</v>
      </c>
      <c r="L61" s="64">
        <v>33.369999999999997</v>
      </c>
      <c r="M61" s="64">
        <v>37</v>
      </c>
      <c r="N61" s="64">
        <v>891.3</v>
      </c>
      <c r="O61" s="64">
        <v>0</v>
      </c>
      <c r="P61" s="64">
        <v>0.62</v>
      </c>
      <c r="Q61" s="64">
        <v>9.15</v>
      </c>
      <c r="S61" s="198"/>
      <c r="T61" s="198"/>
      <c r="U61" s="198"/>
    </row>
    <row r="62" spans="1:21" s="12" customFormat="1" x14ac:dyDescent="0.25">
      <c r="A62" s="214" t="s">
        <v>2413</v>
      </c>
      <c r="B62" s="64">
        <v>1.8</v>
      </c>
      <c r="C62" s="64">
        <v>25.15</v>
      </c>
      <c r="D62" s="64">
        <v>14.5</v>
      </c>
      <c r="E62" s="64">
        <v>1.17</v>
      </c>
      <c r="F62" s="64">
        <v>6.23</v>
      </c>
      <c r="G62" s="64">
        <v>42.99</v>
      </c>
      <c r="H62" s="64">
        <v>3.72</v>
      </c>
      <c r="I62" s="64">
        <v>5.72</v>
      </c>
      <c r="J62" s="64">
        <v>0.24</v>
      </c>
      <c r="K62" s="64">
        <v>185.49</v>
      </c>
      <c r="L62" s="64">
        <v>34.130000000000003</v>
      </c>
      <c r="M62" s="64">
        <v>33.520000000000003</v>
      </c>
      <c r="N62" s="64">
        <v>852.3</v>
      </c>
      <c r="O62" s="64">
        <v>0</v>
      </c>
      <c r="P62" s="64">
        <v>0.66</v>
      </c>
      <c r="Q62" s="64">
        <v>9.1199999999999992</v>
      </c>
      <c r="S62" s="198"/>
      <c r="T62" s="198"/>
      <c r="U62" s="198"/>
    </row>
    <row r="63" spans="1:21" s="12" customFormat="1" x14ac:dyDescent="0.25">
      <c r="A63" s="214" t="s">
        <v>2414</v>
      </c>
      <c r="B63" s="64">
        <v>1.94</v>
      </c>
      <c r="C63" s="64">
        <v>26.48</v>
      </c>
      <c r="D63" s="64">
        <v>15.31</v>
      </c>
      <c r="E63" s="64">
        <v>1.94</v>
      </c>
      <c r="F63" s="64">
        <v>6.01</v>
      </c>
      <c r="G63" s="64">
        <v>42.99</v>
      </c>
      <c r="H63" s="64">
        <v>3.72</v>
      </c>
      <c r="I63" s="64">
        <v>5.71</v>
      </c>
      <c r="J63" s="64">
        <v>0.75</v>
      </c>
      <c r="K63" s="64">
        <v>317.01</v>
      </c>
      <c r="L63" s="64">
        <v>35.090000000000003</v>
      </c>
      <c r="M63" s="64">
        <v>32.93</v>
      </c>
      <c r="N63" s="64">
        <v>825.1</v>
      </c>
      <c r="O63" s="64">
        <v>0</v>
      </c>
      <c r="P63" s="64">
        <v>0.65</v>
      </c>
      <c r="Q63" s="64">
        <v>9.11</v>
      </c>
      <c r="S63" s="198"/>
      <c r="T63" s="198"/>
      <c r="U63" s="198"/>
    </row>
    <row r="64" spans="1:21" s="12" customFormat="1" x14ac:dyDescent="0.25">
      <c r="A64" s="214" t="s">
        <v>2415</v>
      </c>
      <c r="B64" s="64">
        <v>2.1800000000000002</v>
      </c>
      <c r="C64" s="64">
        <v>30.42</v>
      </c>
      <c r="D64" s="64">
        <v>17.559999999999999</v>
      </c>
      <c r="E64" s="64">
        <v>1.75</v>
      </c>
      <c r="F64" s="64">
        <v>6.76</v>
      </c>
      <c r="G64" s="211" t="s">
        <v>40</v>
      </c>
      <c r="H64" s="211" t="s">
        <v>40</v>
      </c>
      <c r="I64" s="64">
        <v>5.63</v>
      </c>
      <c r="J64" s="64">
        <v>0.69</v>
      </c>
      <c r="K64" s="64">
        <v>308.18</v>
      </c>
      <c r="L64" s="64">
        <v>36.04</v>
      </c>
      <c r="M64" s="64">
        <v>30.74</v>
      </c>
      <c r="N64" s="64">
        <v>786.6</v>
      </c>
      <c r="O64" s="64">
        <v>0</v>
      </c>
      <c r="P64" s="64">
        <v>0.66</v>
      </c>
      <c r="Q64" s="64">
        <v>9.1300000000000008</v>
      </c>
      <c r="S64" s="198"/>
      <c r="T64" s="198"/>
      <c r="U64" s="198"/>
    </row>
    <row r="65" spans="1:21" s="12" customFormat="1" x14ac:dyDescent="0.25">
      <c r="A65" s="214" t="s">
        <v>2416</v>
      </c>
      <c r="B65" s="64">
        <v>1.59</v>
      </c>
      <c r="C65" s="64">
        <v>31.44</v>
      </c>
      <c r="D65" s="64">
        <v>17.62</v>
      </c>
      <c r="E65" s="64">
        <v>2.12</v>
      </c>
      <c r="F65" s="64">
        <v>11.77</v>
      </c>
      <c r="G65" s="211" t="s">
        <v>40</v>
      </c>
      <c r="H65" s="211" t="s">
        <v>40</v>
      </c>
      <c r="I65" s="64">
        <v>5.61</v>
      </c>
      <c r="J65" s="64">
        <v>0.14000000000000001</v>
      </c>
      <c r="K65" s="64">
        <v>338.41</v>
      </c>
      <c r="L65" s="64">
        <v>35.07</v>
      </c>
      <c r="M65" s="64">
        <v>30.26</v>
      </c>
      <c r="N65" s="64">
        <v>727</v>
      </c>
      <c r="O65" s="64">
        <v>0</v>
      </c>
      <c r="P65" s="64">
        <v>0.67</v>
      </c>
      <c r="Q65" s="64">
        <v>9.11</v>
      </c>
      <c r="S65" s="198"/>
      <c r="T65" s="198"/>
      <c r="U65" s="198"/>
    </row>
    <row r="66" spans="1:21" s="12" customFormat="1" x14ac:dyDescent="0.25">
      <c r="A66" s="214" t="s">
        <v>2417</v>
      </c>
      <c r="B66" s="211" t="s">
        <v>40</v>
      </c>
      <c r="C66" s="211" t="s">
        <v>40</v>
      </c>
      <c r="D66" s="211" t="s">
        <v>40</v>
      </c>
      <c r="E66" s="64">
        <v>2.02</v>
      </c>
      <c r="F66" s="64">
        <v>11.06</v>
      </c>
      <c r="G66" s="211" t="s">
        <v>40</v>
      </c>
      <c r="H66" s="211" t="s">
        <v>40</v>
      </c>
      <c r="I66" s="64">
        <v>5.57</v>
      </c>
      <c r="J66" s="64">
        <v>0.22</v>
      </c>
      <c r="K66" s="64">
        <v>306.49</v>
      </c>
      <c r="L66" s="64">
        <v>35.24</v>
      </c>
      <c r="M66" s="64">
        <v>30.54</v>
      </c>
      <c r="N66" s="64">
        <v>445.2</v>
      </c>
      <c r="O66" s="64">
        <v>0</v>
      </c>
      <c r="P66" s="64">
        <v>0.66</v>
      </c>
      <c r="Q66" s="64">
        <v>9.1199999999999992</v>
      </c>
      <c r="S66" s="198"/>
      <c r="T66" s="198"/>
      <c r="U66" s="198"/>
    </row>
    <row r="67" spans="1:21" s="12" customFormat="1" x14ac:dyDescent="0.25">
      <c r="A67" s="214" t="s">
        <v>2418</v>
      </c>
      <c r="B67" s="211" t="s">
        <v>40</v>
      </c>
      <c r="C67" s="211" t="s">
        <v>40</v>
      </c>
      <c r="D67" s="211" t="s">
        <v>40</v>
      </c>
      <c r="E67" s="64">
        <v>1.43</v>
      </c>
      <c r="F67" s="64">
        <v>9.7100000000000009</v>
      </c>
      <c r="G67" s="211" t="s">
        <v>40</v>
      </c>
      <c r="H67" s="211" t="s">
        <v>40</v>
      </c>
      <c r="I67" s="64">
        <v>5.37</v>
      </c>
      <c r="J67" s="64">
        <v>0.31</v>
      </c>
      <c r="K67" s="64">
        <v>297.83999999999997</v>
      </c>
      <c r="L67" s="64">
        <v>34.380000000000003</v>
      </c>
      <c r="M67" s="64">
        <v>31.13</v>
      </c>
      <c r="N67" s="64">
        <v>489.7</v>
      </c>
      <c r="O67" s="64">
        <v>0</v>
      </c>
      <c r="P67" s="64">
        <v>0.63</v>
      </c>
      <c r="Q67" s="64">
        <v>9.11</v>
      </c>
      <c r="S67" s="198"/>
      <c r="T67" s="198"/>
      <c r="U67" s="198"/>
    </row>
    <row r="68" spans="1:21" s="12" customFormat="1" x14ac:dyDescent="0.25">
      <c r="A68" s="214" t="s">
        <v>2419</v>
      </c>
      <c r="B68" s="211" t="s">
        <v>40</v>
      </c>
      <c r="C68" s="211" t="s">
        <v>40</v>
      </c>
      <c r="D68" s="211" t="s">
        <v>40</v>
      </c>
      <c r="E68" s="64">
        <v>1.59</v>
      </c>
      <c r="F68" s="64">
        <v>7.12</v>
      </c>
      <c r="G68" s="64">
        <v>33.78</v>
      </c>
      <c r="H68" s="64">
        <v>1.91</v>
      </c>
      <c r="I68" s="64">
        <v>5.2</v>
      </c>
      <c r="J68" s="64">
        <v>0.6</v>
      </c>
      <c r="K68" s="64">
        <v>324.05</v>
      </c>
      <c r="L68" s="64">
        <v>35.24</v>
      </c>
      <c r="M68" s="64">
        <v>30.01</v>
      </c>
      <c r="N68" s="64">
        <v>225.3</v>
      </c>
      <c r="O68" s="64">
        <v>0</v>
      </c>
      <c r="P68" s="64">
        <v>0.62</v>
      </c>
      <c r="Q68" s="64">
        <v>9.1199999999999992</v>
      </c>
      <c r="S68" s="198"/>
      <c r="T68" s="198"/>
      <c r="U68" s="198"/>
    </row>
    <row r="69" spans="1:21" s="12" customFormat="1" x14ac:dyDescent="0.25">
      <c r="A69" s="214" t="s">
        <v>2420</v>
      </c>
      <c r="B69" s="211" t="s">
        <v>40</v>
      </c>
      <c r="C69" s="211" t="s">
        <v>40</v>
      </c>
      <c r="D69" s="211" t="s">
        <v>40</v>
      </c>
      <c r="E69" s="64">
        <v>1.03</v>
      </c>
      <c r="F69" s="64">
        <v>6.2</v>
      </c>
      <c r="G69" s="64">
        <v>32.51</v>
      </c>
      <c r="H69" s="64">
        <v>20.38</v>
      </c>
      <c r="I69" s="64">
        <v>5.03</v>
      </c>
      <c r="J69" s="64">
        <v>0.33</v>
      </c>
      <c r="K69" s="64">
        <v>305.87</v>
      </c>
      <c r="L69" s="64">
        <v>34.89</v>
      </c>
      <c r="M69" s="64">
        <v>29.91</v>
      </c>
      <c r="N69" s="64">
        <v>246.7</v>
      </c>
      <c r="O69" s="64">
        <v>0</v>
      </c>
      <c r="P69" s="64">
        <v>0.62</v>
      </c>
      <c r="Q69" s="64">
        <v>9.1199999999999992</v>
      </c>
      <c r="S69" s="198"/>
      <c r="T69" s="198"/>
      <c r="U69" s="198"/>
    </row>
    <row r="70" spans="1:21" s="12" customFormat="1" x14ac:dyDescent="0.25">
      <c r="A70" s="214" t="s">
        <v>2421</v>
      </c>
      <c r="B70" s="64">
        <v>1.44</v>
      </c>
      <c r="C70" s="64">
        <v>29.91</v>
      </c>
      <c r="D70" s="64">
        <v>16.7</v>
      </c>
      <c r="E70" s="64">
        <v>1.29</v>
      </c>
      <c r="F70" s="64">
        <v>7.07</v>
      </c>
      <c r="G70" s="64">
        <v>32.51</v>
      </c>
      <c r="H70" s="64">
        <v>20.38</v>
      </c>
      <c r="I70" s="64">
        <v>4.99</v>
      </c>
      <c r="J70" s="64">
        <v>0.3</v>
      </c>
      <c r="K70" s="64">
        <v>331.02</v>
      </c>
      <c r="L70" s="64">
        <v>34.39</v>
      </c>
      <c r="M70" s="64">
        <v>31.1</v>
      </c>
      <c r="N70" s="64">
        <v>265.89999999999998</v>
      </c>
      <c r="O70" s="64">
        <v>0</v>
      </c>
      <c r="P70" s="64">
        <v>0.59</v>
      </c>
      <c r="Q70" s="64">
        <v>9.14</v>
      </c>
      <c r="S70" s="198"/>
      <c r="T70" s="198"/>
      <c r="U70" s="198"/>
    </row>
    <row r="71" spans="1:21" s="12" customFormat="1" x14ac:dyDescent="0.25">
      <c r="A71" s="214" t="s">
        <v>2422</v>
      </c>
      <c r="B71" s="64">
        <v>1.28</v>
      </c>
      <c r="C71" s="64">
        <v>28.74</v>
      </c>
      <c r="D71" s="64">
        <v>15.97</v>
      </c>
      <c r="E71" s="64">
        <v>0.97</v>
      </c>
      <c r="F71" s="64">
        <v>6.47</v>
      </c>
      <c r="G71" s="64">
        <v>32.51</v>
      </c>
      <c r="H71" s="64">
        <v>20.38</v>
      </c>
      <c r="I71" s="64">
        <v>4.97</v>
      </c>
      <c r="J71" s="64">
        <v>0.53</v>
      </c>
      <c r="K71" s="64">
        <v>318.08</v>
      </c>
      <c r="L71" s="64">
        <v>34.369999999999997</v>
      </c>
      <c r="M71" s="64">
        <v>30.84</v>
      </c>
      <c r="N71" s="64">
        <v>202.1</v>
      </c>
      <c r="O71" s="64">
        <v>0</v>
      </c>
      <c r="P71" s="64">
        <v>0.57999999999999996</v>
      </c>
      <c r="Q71" s="64">
        <v>9.1199999999999992</v>
      </c>
      <c r="S71" s="198"/>
      <c r="T71" s="198"/>
      <c r="U71" s="198"/>
    </row>
    <row r="72" spans="1:21" s="12" customFormat="1" x14ac:dyDescent="0.25">
      <c r="A72" s="214" t="s">
        <v>2423</v>
      </c>
      <c r="B72" s="64">
        <v>1.35</v>
      </c>
      <c r="C72" s="64">
        <v>26.18</v>
      </c>
      <c r="D72" s="64">
        <v>14.68</v>
      </c>
      <c r="E72" s="64">
        <v>0.42</v>
      </c>
      <c r="F72" s="64">
        <v>6.38</v>
      </c>
      <c r="G72" s="64">
        <v>32.54</v>
      </c>
      <c r="H72" s="64">
        <v>20.170000000000002</v>
      </c>
      <c r="I72" s="64">
        <v>4.76</v>
      </c>
      <c r="J72" s="64">
        <v>0.18</v>
      </c>
      <c r="K72" s="64">
        <v>341.2</v>
      </c>
      <c r="L72" s="64">
        <v>34.159999999999997</v>
      </c>
      <c r="M72" s="64">
        <v>29.68</v>
      </c>
      <c r="N72" s="64">
        <v>276.3</v>
      </c>
      <c r="O72" s="64">
        <v>0</v>
      </c>
      <c r="P72" s="64">
        <v>0.56999999999999995</v>
      </c>
      <c r="Q72" s="64">
        <v>9.1</v>
      </c>
      <c r="S72" s="198"/>
      <c r="T72" s="198"/>
      <c r="U72" s="198"/>
    </row>
    <row r="73" spans="1:21" s="12" customFormat="1" x14ac:dyDescent="0.25">
      <c r="A73" s="214" t="s">
        <v>2424</v>
      </c>
      <c r="B73" s="64">
        <v>1.39</v>
      </c>
      <c r="C73" s="64">
        <v>24.79</v>
      </c>
      <c r="D73" s="64">
        <v>13.99</v>
      </c>
      <c r="E73" s="64">
        <v>0.76</v>
      </c>
      <c r="F73" s="64">
        <v>6.02</v>
      </c>
      <c r="G73" s="64">
        <v>33.04</v>
      </c>
      <c r="H73" s="64">
        <v>17.21</v>
      </c>
      <c r="I73" s="64">
        <v>4.59</v>
      </c>
      <c r="J73" s="64">
        <v>0.18</v>
      </c>
      <c r="K73" s="64">
        <v>290.95</v>
      </c>
      <c r="L73" s="64">
        <v>33.630000000000003</v>
      </c>
      <c r="M73" s="64">
        <v>30.43</v>
      </c>
      <c r="N73" s="64">
        <v>138.69999999999999</v>
      </c>
      <c r="O73" s="64">
        <v>0</v>
      </c>
      <c r="P73" s="64">
        <v>0.55000000000000004</v>
      </c>
      <c r="Q73" s="64">
        <v>9.1</v>
      </c>
      <c r="S73" s="198"/>
      <c r="T73" s="198"/>
      <c r="U73" s="198"/>
    </row>
    <row r="74" spans="1:21" s="12" customFormat="1" x14ac:dyDescent="0.25">
      <c r="A74" s="214" t="s">
        <v>2425</v>
      </c>
      <c r="B74" s="64">
        <v>1.59</v>
      </c>
      <c r="C74" s="64">
        <v>25.02</v>
      </c>
      <c r="D74" s="64">
        <v>14.27</v>
      </c>
      <c r="E74" s="64">
        <v>1.24</v>
      </c>
      <c r="F74" s="64">
        <v>6.62</v>
      </c>
      <c r="G74" s="64">
        <v>33.04</v>
      </c>
      <c r="H74" s="64">
        <v>17.21</v>
      </c>
      <c r="I74" s="64">
        <v>4.58</v>
      </c>
      <c r="J74" s="64">
        <v>0.36</v>
      </c>
      <c r="K74" s="64">
        <v>308.26</v>
      </c>
      <c r="L74" s="64">
        <v>33.630000000000003</v>
      </c>
      <c r="M74" s="64">
        <v>29.42</v>
      </c>
      <c r="N74" s="64">
        <v>131.9</v>
      </c>
      <c r="O74" s="64">
        <v>0</v>
      </c>
      <c r="P74" s="64">
        <v>0.55000000000000004</v>
      </c>
      <c r="Q74" s="64">
        <v>9.15</v>
      </c>
      <c r="S74" s="198"/>
      <c r="T74" s="198"/>
      <c r="U74" s="198"/>
    </row>
    <row r="75" spans="1:21" s="12" customFormat="1" x14ac:dyDescent="0.25">
      <c r="A75" s="214" t="s">
        <v>2426</v>
      </c>
      <c r="B75" s="64">
        <v>1.61</v>
      </c>
      <c r="C75" s="64">
        <v>27.46</v>
      </c>
      <c r="D75" s="64">
        <v>15.56</v>
      </c>
      <c r="E75" s="64">
        <v>1.1299999999999999</v>
      </c>
      <c r="F75" s="64">
        <v>7.11</v>
      </c>
      <c r="G75" s="64">
        <v>33.04</v>
      </c>
      <c r="H75" s="64">
        <v>17.21</v>
      </c>
      <c r="I75" s="64">
        <v>4.5599999999999996</v>
      </c>
      <c r="J75" s="64">
        <v>0.3</v>
      </c>
      <c r="K75" s="64">
        <v>6.32</v>
      </c>
      <c r="L75" s="64">
        <v>33.47</v>
      </c>
      <c r="M75" s="64">
        <v>28.87</v>
      </c>
      <c r="N75" s="64">
        <v>106.2</v>
      </c>
      <c r="O75" s="64">
        <v>0</v>
      </c>
      <c r="P75" s="64">
        <v>0.55000000000000004</v>
      </c>
      <c r="Q75" s="64">
        <v>9.15</v>
      </c>
      <c r="S75" s="198"/>
      <c r="T75" s="198"/>
      <c r="U75" s="198"/>
    </row>
    <row r="76" spans="1:21" s="12" customFormat="1" x14ac:dyDescent="0.25">
      <c r="A76" s="214" t="s">
        <v>2427</v>
      </c>
      <c r="B76" s="64">
        <v>1.49</v>
      </c>
      <c r="C76" s="64">
        <v>27.49</v>
      </c>
      <c r="D76" s="64">
        <v>15.48</v>
      </c>
      <c r="E76" s="64">
        <v>0.75</v>
      </c>
      <c r="F76" s="64">
        <v>6.4</v>
      </c>
      <c r="G76" s="64">
        <v>32.270000000000003</v>
      </c>
      <c r="H76" s="64">
        <v>17.53</v>
      </c>
      <c r="I76" s="64">
        <v>4.6100000000000003</v>
      </c>
      <c r="J76" s="64">
        <v>0.25</v>
      </c>
      <c r="K76" s="64">
        <v>12.74</v>
      </c>
      <c r="L76" s="64">
        <v>33.25</v>
      </c>
      <c r="M76" s="64">
        <v>29.75</v>
      </c>
      <c r="N76" s="64">
        <v>88.7</v>
      </c>
      <c r="O76" s="64">
        <v>0</v>
      </c>
      <c r="P76" s="64">
        <v>0.55000000000000004</v>
      </c>
      <c r="Q76" s="64">
        <v>9.11</v>
      </c>
      <c r="S76" s="198"/>
      <c r="T76" s="198"/>
      <c r="U76" s="198"/>
    </row>
    <row r="77" spans="1:21" s="12" customFormat="1" x14ac:dyDescent="0.25">
      <c r="A77" s="214" t="s">
        <v>2428</v>
      </c>
      <c r="B77" s="64">
        <v>1.54</v>
      </c>
      <c r="C77" s="64">
        <v>27.02</v>
      </c>
      <c r="D77" s="64">
        <v>15.28</v>
      </c>
      <c r="E77" s="64">
        <v>0.86</v>
      </c>
      <c r="F77" s="64">
        <v>6.11</v>
      </c>
      <c r="G77" s="64">
        <v>21.58</v>
      </c>
      <c r="H77" s="64">
        <v>22.93</v>
      </c>
      <c r="I77" s="64">
        <v>4.5199999999999996</v>
      </c>
      <c r="J77" s="64">
        <v>0.13</v>
      </c>
      <c r="K77" s="64">
        <v>243.98</v>
      </c>
      <c r="L77" s="64">
        <v>32.979999999999997</v>
      </c>
      <c r="M77" s="64">
        <v>29.99</v>
      </c>
      <c r="N77" s="64">
        <v>92</v>
      </c>
      <c r="O77" s="64">
        <v>0</v>
      </c>
      <c r="P77" s="64">
        <v>0.54</v>
      </c>
      <c r="Q77" s="64">
        <v>9.11</v>
      </c>
      <c r="S77" s="198"/>
      <c r="T77" s="198"/>
      <c r="U77" s="198"/>
    </row>
    <row r="78" spans="1:21" s="12" customFormat="1" x14ac:dyDescent="0.25">
      <c r="A78" s="214" t="s">
        <v>2429</v>
      </c>
      <c r="B78" s="64">
        <v>1.53</v>
      </c>
      <c r="C78" s="64">
        <v>27.47</v>
      </c>
      <c r="D78" s="64">
        <v>15.5</v>
      </c>
      <c r="E78" s="64">
        <v>1.1200000000000001</v>
      </c>
      <c r="F78" s="64">
        <v>5.96</v>
      </c>
      <c r="G78" s="64">
        <v>21.58</v>
      </c>
      <c r="H78" s="64">
        <v>22.93</v>
      </c>
      <c r="I78" s="64">
        <v>4.38</v>
      </c>
      <c r="J78" s="64">
        <v>0.03</v>
      </c>
      <c r="K78" s="64">
        <v>274.47000000000003</v>
      </c>
      <c r="L78" s="64">
        <v>32.659999999999997</v>
      </c>
      <c r="M78" s="64">
        <v>31.55</v>
      </c>
      <c r="N78" s="64">
        <v>53.5</v>
      </c>
      <c r="O78" s="64">
        <v>0</v>
      </c>
      <c r="P78" s="64">
        <v>0.53</v>
      </c>
      <c r="Q78" s="64">
        <v>9.11</v>
      </c>
      <c r="S78" s="198"/>
      <c r="T78" s="198"/>
      <c r="U78" s="198"/>
    </row>
    <row r="79" spans="1:21" s="12" customFormat="1" x14ac:dyDescent="0.25">
      <c r="A79" s="214" t="s">
        <v>2430</v>
      </c>
      <c r="B79" s="64">
        <v>1.61</v>
      </c>
      <c r="C79" s="64">
        <v>27.36</v>
      </c>
      <c r="D79" s="64">
        <v>15.5</v>
      </c>
      <c r="E79" s="64">
        <v>0.92</v>
      </c>
      <c r="F79" s="64">
        <v>5.58</v>
      </c>
      <c r="G79" s="64">
        <v>21.58</v>
      </c>
      <c r="H79" s="64">
        <v>22.93</v>
      </c>
      <c r="I79" s="64">
        <v>4.37</v>
      </c>
      <c r="J79" s="64">
        <v>0.13</v>
      </c>
      <c r="K79" s="64">
        <v>193.2</v>
      </c>
      <c r="L79" s="64">
        <v>32.07</v>
      </c>
      <c r="M79" s="64">
        <v>34.07</v>
      </c>
      <c r="N79" s="64">
        <v>39.6</v>
      </c>
      <c r="O79" s="64">
        <v>0</v>
      </c>
      <c r="P79" s="64">
        <v>0.52</v>
      </c>
      <c r="Q79" s="64">
        <v>9.16</v>
      </c>
      <c r="S79" s="198"/>
      <c r="T79" s="198"/>
      <c r="U79" s="198"/>
    </row>
    <row r="80" spans="1:21" s="12" customFormat="1" x14ac:dyDescent="0.25">
      <c r="A80" s="214" t="s">
        <v>2431</v>
      </c>
      <c r="B80" s="64">
        <v>1.48</v>
      </c>
      <c r="C80" s="64">
        <v>27.84</v>
      </c>
      <c r="D80" s="64">
        <v>15.66</v>
      </c>
      <c r="E80" s="64">
        <v>0.93</v>
      </c>
      <c r="F80" s="64">
        <v>6.17</v>
      </c>
      <c r="G80" s="64">
        <v>21.95</v>
      </c>
      <c r="H80" s="64">
        <v>22.41</v>
      </c>
      <c r="I80" s="64">
        <v>4.33</v>
      </c>
      <c r="J80" s="64">
        <v>0.43</v>
      </c>
      <c r="K80" s="64">
        <v>164.53</v>
      </c>
      <c r="L80" s="64">
        <v>31.52</v>
      </c>
      <c r="M80" s="64">
        <v>36.729999999999997</v>
      </c>
      <c r="N80" s="64">
        <v>37.9</v>
      </c>
      <c r="O80" s="64">
        <v>0</v>
      </c>
      <c r="P80" s="64">
        <v>0.5</v>
      </c>
      <c r="Q80" s="64">
        <v>9.1300000000000008</v>
      </c>
      <c r="S80" s="198"/>
      <c r="T80" s="198"/>
      <c r="U80" s="198"/>
    </row>
    <row r="81" spans="1:26" s="12" customFormat="1" x14ac:dyDescent="0.25">
      <c r="A81" s="214" t="s">
        <v>2432</v>
      </c>
      <c r="B81" s="64">
        <v>1.42</v>
      </c>
      <c r="C81" s="64">
        <v>30.51</v>
      </c>
      <c r="D81" s="64">
        <v>17</v>
      </c>
      <c r="E81" s="64">
        <v>0.87</v>
      </c>
      <c r="F81" s="64">
        <v>6.46</v>
      </c>
      <c r="G81" s="64">
        <v>27.14</v>
      </c>
      <c r="H81" s="64">
        <v>13.54</v>
      </c>
      <c r="I81" s="64">
        <v>4.33</v>
      </c>
      <c r="J81" s="64">
        <v>0.53</v>
      </c>
      <c r="K81" s="64">
        <v>141.51</v>
      </c>
      <c r="L81" s="64">
        <v>31.43</v>
      </c>
      <c r="M81" s="64">
        <v>36.22</v>
      </c>
      <c r="N81" s="64">
        <v>23.9</v>
      </c>
      <c r="O81" s="64">
        <v>0</v>
      </c>
      <c r="P81" s="64">
        <v>0.5</v>
      </c>
      <c r="Q81" s="64">
        <v>9.11</v>
      </c>
      <c r="S81" s="198"/>
      <c r="T81" s="198"/>
      <c r="U81" s="198"/>
    </row>
    <row r="82" spans="1:26" s="12" customFormat="1" x14ac:dyDescent="0.25">
      <c r="A82" s="214" t="s">
        <v>2433</v>
      </c>
      <c r="B82" s="64">
        <v>1.83</v>
      </c>
      <c r="C82" s="64">
        <v>32.83</v>
      </c>
      <c r="D82" s="64">
        <v>18.55</v>
      </c>
      <c r="E82" s="64">
        <v>0.91</v>
      </c>
      <c r="F82" s="64">
        <v>4.96</v>
      </c>
      <c r="G82" s="64">
        <v>27.14</v>
      </c>
      <c r="H82" s="64">
        <v>13.54</v>
      </c>
      <c r="I82" s="64">
        <v>4.34</v>
      </c>
      <c r="J82" s="64">
        <v>0.1</v>
      </c>
      <c r="K82" s="64">
        <v>308.2</v>
      </c>
      <c r="L82" s="64">
        <v>30.62</v>
      </c>
      <c r="M82" s="64">
        <v>43.41</v>
      </c>
      <c r="N82" s="64">
        <v>18.2</v>
      </c>
      <c r="O82" s="64">
        <v>0</v>
      </c>
      <c r="P82" s="64">
        <v>0.5</v>
      </c>
      <c r="Q82" s="64">
        <v>9.1199999999999992</v>
      </c>
      <c r="S82" s="198"/>
      <c r="T82" s="198"/>
      <c r="U82" s="198"/>
    </row>
    <row r="83" spans="1:26" s="12" customFormat="1" x14ac:dyDescent="0.25">
      <c r="A83" s="214" t="s">
        <v>2434</v>
      </c>
      <c r="B83" s="64">
        <v>3.63</v>
      </c>
      <c r="C83" s="64">
        <v>34.369999999999997</v>
      </c>
      <c r="D83" s="64">
        <v>20.79</v>
      </c>
      <c r="E83" s="64">
        <v>0.6</v>
      </c>
      <c r="F83" s="64">
        <v>4.01</v>
      </c>
      <c r="G83" s="64">
        <v>27.14</v>
      </c>
      <c r="H83" s="64">
        <v>13.54</v>
      </c>
      <c r="I83" s="64">
        <v>4.33</v>
      </c>
      <c r="J83" s="64">
        <v>0.09</v>
      </c>
      <c r="K83" s="64">
        <v>254.34</v>
      </c>
      <c r="L83" s="64">
        <v>29.71</v>
      </c>
      <c r="M83" s="64">
        <v>47.27</v>
      </c>
      <c r="N83" s="64">
        <v>17.399999999999999</v>
      </c>
      <c r="O83" s="64">
        <v>0</v>
      </c>
      <c r="P83" s="64">
        <v>0.59</v>
      </c>
      <c r="Q83" s="64">
        <v>9.14</v>
      </c>
      <c r="S83" s="198"/>
      <c r="T83" s="198"/>
      <c r="U83" s="198"/>
    </row>
    <row r="84" spans="1:26" s="12" customFormat="1" x14ac:dyDescent="0.25">
      <c r="A84" s="214" t="s">
        <v>2435</v>
      </c>
      <c r="B84" s="64">
        <v>7.17</v>
      </c>
      <c r="C84" s="64">
        <v>35.53</v>
      </c>
      <c r="D84" s="64">
        <v>24.23</v>
      </c>
      <c r="E84" s="64">
        <v>0.98</v>
      </c>
      <c r="F84" s="64">
        <v>3.26</v>
      </c>
      <c r="G84" s="64">
        <v>28.75</v>
      </c>
      <c r="H84" s="64">
        <v>14.21</v>
      </c>
      <c r="I84" s="64">
        <v>4.59</v>
      </c>
      <c r="J84" s="64">
        <v>0.19</v>
      </c>
      <c r="K84" s="64">
        <v>83.66</v>
      </c>
      <c r="L84" s="64">
        <v>29.09</v>
      </c>
      <c r="M84" s="64">
        <v>51.6</v>
      </c>
      <c r="N84" s="64">
        <v>17.100000000000001</v>
      </c>
      <c r="O84" s="64">
        <v>0</v>
      </c>
      <c r="P84" s="64">
        <v>0.68</v>
      </c>
      <c r="Q84" s="64">
        <v>9.1199999999999992</v>
      </c>
      <c r="S84" s="198"/>
      <c r="T84" s="198"/>
      <c r="U84" s="198"/>
    </row>
    <row r="85" spans="1:26" s="12" customFormat="1" x14ac:dyDescent="0.25">
      <c r="A85" s="214" t="s">
        <v>2436</v>
      </c>
      <c r="B85" s="64">
        <v>11.19</v>
      </c>
      <c r="C85" s="64">
        <v>36.01</v>
      </c>
      <c r="D85" s="64">
        <v>27.71</v>
      </c>
      <c r="E85" s="64">
        <v>0.89</v>
      </c>
      <c r="F85" s="64">
        <v>3.78</v>
      </c>
      <c r="G85" s="64">
        <v>51.24</v>
      </c>
      <c r="H85" s="64">
        <v>23.47</v>
      </c>
      <c r="I85" s="64">
        <v>5.0999999999999996</v>
      </c>
      <c r="J85" s="64">
        <v>0.16</v>
      </c>
      <c r="K85" s="64">
        <v>118.97</v>
      </c>
      <c r="L85" s="64">
        <v>28.93</v>
      </c>
      <c r="M85" s="64">
        <v>49.71</v>
      </c>
      <c r="N85" s="64">
        <v>16.899999999999999</v>
      </c>
      <c r="O85" s="64">
        <v>0</v>
      </c>
      <c r="P85" s="64">
        <v>0.71</v>
      </c>
      <c r="Q85" s="64">
        <v>9.11</v>
      </c>
      <c r="S85" s="198"/>
      <c r="T85" s="198"/>
      <c r="U85" s="198"/>
    </row>
    <row r="86" spans="1:26" s="12" customFormat="1" x14ac:dyDescent="0.25">
      <c r="A86" s="214" t="s">
        <v>2437</v>
      </c>
      <c r="B86" s="64">
        <v>16.98</v>
      </c>
      <c r="C86" s="64">
        <v>36.78</v>
      </c>
      <c r="D86" s="64">
        <v>32.75</v>
      </c>
      <c r="E86" s="64">
        <v>1.36</v>
      </c>
      <c r="F86" s="64">
        <v>3.61</v>
      </c>
      <c r="G86" s="64">
        <v>51.24</v>
      </c>
      <c r="H86" s="64">
        <v>23.47</v>
      </c>
      <c r="I86" s="64">
        <v>5.65</v>
      </c>
      <c r="J86" s="64">
        <v>0.12</v>
      </c>
      <c r="K86" s="64">
        <v>140.58000000000001</v>
      </c>
      <c r="L86" s="64">
        <v>28.42</v>
      </c>
      <c r="M86" s="64">
        <v>54.19</v>
      </c>
      <c r="N86" s="64">
        <v>17</v>
      </c>
      <c r="O86" s="64">
        <v>0</v>
      </c>
      <c r="P86" s="64">
        <v>0.83</v>
      </c>
      <c r="Q86" s="64">
        <v>9.16</v>
      </c>
      <c r="S86" s="198"/>
      <c r="T86" s="198"/>
      <c r="U86" s="198"/>
    </row>
    <row r="87" spans="1:26" s="12" customFormat="1" x14ac:dyDescent="0.25">
      <c r="A87" s="214" t="s">
        <v>2438</v>
      </c>
      <c r="B87" s="64">
        <v>22.91</v>
      </c>
      <c r="C87" s="64">
        <v>37.24</v>
      </c>
      <c r="D87" s="64">
        <v>37.75</v>
      </c>
      <c r="E87" s="64">
        <v>1.19</v>
      </c>
      <c r="F87" s="64">
        <v>3.44</v>
      </c>
      <c r="G87" s="64">
        <v>51.24</v>
      </c>
      <c r="H87" s="64">
        <v>23.47</v>
      </c>
      <c r="I87" s="64">
        <v>5.93</v>
      </c>
      <c r="J87" s="64">
        <v>0.28999999999999998</v>
      </c>
      <c r="K87" s="64">
        <v>1.92</v>
      </c>
      <c r="L87" s="64">
        <v>27.95</v>
      </c>
      <c r="M87" s="64">
        <v>63.33</v>
      </c>
      <c r="N87" s="64">
        <v>17</v>
      </c>
      <c r="O87" s="64">
        <v>0</v>
      </c>
      <c r="P87" s="64">
        <v>0.92</v>
      </c>
      <c r="Q87" s="64">
        <v>9.27</v>
      </c>
      <c r="S87" s="198"/>
      <c r="T87" s="198"/>
      <c r="U87" s="198"/>
    </row>
    <row r="88" spans="1:26" s="12" customFormat="1" x14ac:dyDescent="0.25">
      <c r="A88" s="214" t="s">
        <v>2439</v>
      </c>
      <c r="B88" s="64">
        <v>27.9</v>
      </c>
      <c r="C88" s="64">
        <v>38.020000000000003</v>
      </c>
      <c r="D88" s="64">
        <v>42.16</v>
      </c>
      <c r="E88" s="64">
        <v>1.76</v>
      </c>
      <c r="F88" s="64">
        <v>3.54</v>
      </c>
      <c r="G88" s="64">
        <v>53.07</v>
      </c>
      <c r="H88" s="64">
        <v>23.8</v>
      </c>
      <c r="I88" s="64">
        <v>6.22</v>
      </c>
      <c r="J88" s="64">
        <v>0.19</v>
      </c>
      <c r="K88" s="64">
        <v>79.86</v>
      </c>
      <c r="L88" s="64">
        <v>27.77</v>
      </c>
      <c r="M88" s="64">
        <v>61.1</v>
      </c>
      <c r="N88" s="64">
        <v>16.5</v>
      </c>
      <c r="O88" s="64">
        <v>0</v>
      </c>
      <c r="P88" s="64">
        <v>1.1499999999999999</v>
      </c>
      <c r="Q88" s="64">
        <v>9.23</v>
      </c>
      <c r="S88" s="198"/>
      <c r="T88" s="198"/>
      <c r="U88" s="198"/>
    </row>
    <row r="89" spans="1:26" s="12" customFormat="1" x14ac:dyDescent="0.25">
      <c r="A89" s="214" t="s">
        <v>2440</v>
      </c>
      <c r="B89" s="64">
        <v>31.65</v>
      </c>
      <c r="C89" s="64">
        <v>37.89</v>
      </c>
      <c r="D89" s="64">
        <v>45.1</v>
      </c>
      <c r="E89" s="64">
        <v>1.93</v>
      </c>
      <c r="F89" s="64">
        <v>3.46</v>
      </c>
      <c r="G89" s="64">
        <v>78.7</v>
      </c>
      <c r="H89" s="64">
        <v>29.29</v>
      </c>
      <c r="I89" s="64">
        <v>6.88</v>
      </c>
      <c r="J89" s="64">
        <v>0.17</v>
      </c>
      <c r="K89" s="64">
        <v>20.77</v>
      </c>
      <c r="L89" s="64">
        <v>27.88</v>
      </c>
      <c r="M89" s="64">
        <v>65.569999999999993</v>
      </c>
      <c r="N89" s="64">
        <v>16.600000000000001</v>
      </c>
      <c r="O89" s="64">
        <v>0</v>
      </c>
      <c r="P89" s="64">
        <v>1.4</v>
      </c>
      <c r="Q89" s="64">
        <v>9.23</v>
      </c>
      <c r="S89" s="198"/>
      <c r="T89" s="198"/>
      <c r="U89" s="198"/>
    </row>
    <row r="90" spans="1:26" s="12" customFormat="1" x14ac:dyDescent="0.25">
      <c r="A90" s="214" t="s">
        <v>2441</v>
      </c>
      <c r="B90" s="64">
        <v>36.81</v>
      </c>
      <c r="C90" s="64">
        <v>37.450000000000003</v>
      </c>
      <c r="D90" s="64">
        <v>49.01</v>
      </c>
      <c r="E90" s="64">
        <v>2.2999999999999998</v>
      </c>
      <c r="F90" s="64">
        <v>3.37</v>
      </c>
      <c r="G90" s="64">
        <v>78.7</v>
      </c>
      <c r="H90" s="64">
        <v>29.29</v>
      </c>
      <c r="I90" s="64">
        <v>8.09</v>
      </c>
      <c r="J90" s="64">
        <v>0.1</v>
      </c>
      <c r="K90" s="64">
        <v>357.82</v>
      </c>
      <c r="L90" s="64">
        <v>27.51</v>
      </c>
      <c r="M90" s="64">
        <v>69.400000000000006</v>
      </c>
      <c r="N90" s="64">
        <v>16.899999999999999</v>
      </c>
      <c r="O90" s="64">
        <v>0</v>
      </c>
      <c r="P90" s="64">
        <v>1.64</v>
      </c>
      <c r="Q90" s="64">
        <v>9.27</v>
      </c>
      <c r="S90" s="198"/>
      <c r="T90" s="198"/>
      <c r="U90" s="198"/>
    </row>
    <row r="91" spans="1:26" s="12" customFormat="1" x14ac:dyDescent="0.25">
      <c r="A91" s="214" t="s">
        <v>2442</v>
      </c>
      <c r="B91" s="64">
        <v>41.47</v>
      </c>
      <c r="C91" s="64">
        <v>36.340000000000003</v>
      </c>
      <c r="D91" s="64">
        <v>52.16</v>
      </c>
      <c r="E91" s="64">
        <v>2.21</v>
      </c>
      <c r="F91" s="64">
        <v>3.51</v>
      </c>
      <c r="G91" s="64">
        <v>78.7</v>
      </c>
      <c r="H91" s="64">
        <v>29.29</v>
      </c>
      <c r="I91" s="64">
        <v>11.02</v>
      </c>
      <c r="J91" s="64">
        <v>0.19</v>
      </c>
      <c r="K91" s="64">
        <v>330.27</v>
      </c>
      <c r="L91" s="64">
        <v>27.12</v>
      </c>
      <c r="M91" s="64">
        <v>71.89</v>
      </c>
      <c r="N91" s="64">
        <v>16.8</v>
      </c>
      <c r="O91" s="64">
        <v>0</v>
      </c>
      <c r="P91" s="64">
        <v>1.76</v>
      </c>
      <c r="Q91" s="64">
        <v>9.23</v>
      </c>
      <c r="S91" s="198"/>
      <c r="T91" s="198"/>
      <c r="U91" s="198"/>
    </row>
    <row r="92" spans="1:26" s="12" customFormat="1" x14ac:dyDescent="0.25">
      <c r="A92" s="214" t="s">
        <v>2443</v>
      </c>
      <c r="B92" s="64">
        <v>46.04</v>
      </c>
      <c r="C92" s="64">
        <v>35.57</v>
      </c>
      <c r="D92" s="64">
        <v>55.42</v>
      </c>
      <c r="E92" s="64">
        <v>2.4700000000000002</v>
      </c>
      <c r="F92" s="64">
        <v>3.46</v>
      </c>
      <c r="G92" s="64">
        <v>80.86</v>
      </c>
      <c r="H92" s="64">
        <v>29.86</v>
      </c>
      <c r="I92" s="64">
        <v>12.48</v>
      </c>
      <c r="J92" s="64">
        <v>0.13</v>
      </c>
      <c r="K92" s="64">
        <v>8.73</v>
      </c>
      <c r="L92" s="64">
        <v>26.93</v>
      </c>
      <c r="M92" s="64">
        <v>72.739999999999995</v>
      </c>
      <c r="N92" s="64">
        <v>16.8</v>
      </c>
      <c r="O92" s="64">
        <v>0</v>
      </c>
      <c r="P92" s="64">
        <v>2</v>
      </c>
      <c r="Q92" s="64">
        <v>9.34</v>
      </c>
      <c r="S92" s="198"/>
      <c r="T92" s="198"/>
      <c r="U92" s="198"/>
    </row>
    <row r="93" spans="1:26" s="12" customFormat="1" x14ac:dyDescent="0.25">
      <c r="A93" s="214" t="s">
        <v>2444</v>
      </c>
      <c r="B93" s="64">
        <v>49.3</v>
      </c>
      <c r="C93" s="64">
        <v>35.03</v>
      </c>
      <c r="D93" s="64">
        <v>57.76</v>
      </c>
      <c r="E93" s="64">
        <v>2.42</v>
      </c>
      <c r="F93" s="64">
        <v>3.67</v>
      </c>
      <c r="G93" s="64">
        <v>111.17</v>
      </c>
      <c r="H93" s="64">
        <v>37.840000000000003</v>
      </c>
      <c r="I93" s="64">
        <v>13.24</v>
      </c>
      <c r="J93" s="64">
        <v>0.14000000000000001</v>
      </c>
      <c r="K93" s="64">
        <v>202.25</v>
      </c>
      <c r="L93" s="64">
        <v>27.38</v>
      </c>
      <c r="M93" s="64">
        <v>62.91</v>
      </c>
      <c r="N93" s="64">
        <v>16</v>
      </c>
      <c r="O93" s="64">
        <v>0</v>
      </c>
      <c r="P93" s="64">
        <v>2.2000000000000002</v>
      </c>
      <c r="Q93" s="64">
        <v>9.2899999999999991</v>
      </c>
      <c r="S93" s="198"/>
      <c r="T93" s="198"/>
      <c r="U93" s="198"/>
    </row>
    <row r="94" spans="1:26" s="12" customFormat="1" x14ac:dyDescent="0.25">
      <c r="A94" s="214" t="s">
        <v>2445</v>
      </c>
      <c r="B94" s="64">
        <v>51.74</v>
      </c>
      <c r="C94" s="64">
        <v>34.47</v>
      </c>
      <c r="D94" s="64">
        <v>59.42</v>
      </c>
      <c r="E94" s="64">
        <v>2.65</v>
      </c>
      <c r="F94" s="64">
        <v>3.46</v>
      </c>
      <c r="G94" s="64">
        <v>111.17</v>
      </c>
      <c r="H94" s="64">
        <v>37.840000000000003</v>
      </c>
      <c r="I94" s="64">
        <v>13.75</v>
      </c>
      <c r="J94" s="64">
        <v>0.18</v>
      </c>
      <c r="K94" s="64">
        <v>246.72</v>
      </c>
      <c r="L94" s="64">
        <v>27.82</v>
      </c>
      <c r="M94" s="64">
        <v>60.88</v>
      </c>
      <c r="N94" s="64">
        <v>16.600000000000001</v>
      </c>
      <c r="O94" s="64">
        <v>0</v>
      </c>
      <c r="P94" s="64">
        <v>2.34</v>
      </c>
      <c r="Q94" s="64">
        <v>9.31</v>
      </c>
      <c r="S94" s="198"/>
      <c r="T94" s="198"/>
      <c r="U94" s="198"/>
    </row>
    <row r="95" spans="1:26" s="12" customFormat="1" x14ac:dyDescent="0.25">
      <c r="A95" s="214" t="s">
        <v>2446</v>
      </c>
      <c r="B95" s="64">
        <v>54.3</v>
      </c>
      <c r="C95" s="64">
        <v>34</v>
      </c>
      <c r="D95" s="64">
        <v>61.23</v>
      </c>
      <c r="E95" s="64">
        <v>2.71</v>
      </c>
      <c r="F95" s="64">
        <v>3.42</v>
      </c>
      <c r="G95" s="64">
        <v>111.17</v>
      </c>
      <c r="H95" s="64">
        <v>37.840000000000003</v>
      </c>
      <c r="I95" s="64">
        <v>14.57</v>
      </c>
      <c r="J95" s="64">
        <v>0.39</v>
      </c>
      <c r="K95" s="64">
        <v>343.17</v>
      </c>
      <c r="L95" s="64">
        <v>27.73</v>
      </c>
      <c r="M95" s="64">
        <v>63.79</v>
      </c>
      <c r="N95" s="64">
        <v>16.399999999999999</v>
      </c>
      <c r="O95" s="64">
        <v>0</v>
      </c>
      <c r="P95" s="64">
        <v>2.37</v>
      </c>
      <c r="Q95" s="64">
        <v>9.35</v>
      </c>
      <c r="S95" s="198"/>
      <c r="T95" s="198"/>
      <c r="U95" s="198"/>
    </row>
    <row r="96" spans="1:26" s="12" customFormat="1" x14ac:dyDescent="0.25">
      <c r="A96" s="214" t="s">
        <v>2447</v>
      </c>
      <c r="B96" s="64">
        <v>56.05</v>
      </c>
      <c r="C96" s="64">
        <v>34.950000000000003</v>
      </c>
      <c r="D96" s="64">
        <v>63.12</v>
      </c>
      <c r="E96" s="64">
        <v>2.88</v>
      </c>
      <c r="F96" s="64">
        <v>3.47</v>
      </c>
      <c r="G96" s="64">
        <v>112.63</v>
      </c>
      <c r="H96" s="64">
        <v>37.92</v>
      </c>
      <c r="I96" s="64">
        <v>14.52</v>
      </c>
      <c r="J96" s="64">
        <v>1.35</v>
      </c>
      <c r="K96" s="64">
        <v>341.67</v>
      </c>
      <c r="L96" s="64">
        <v>27.82</v>
      </c>
      <c r="M96" s="64">
        <v>55.98</v>
      </c>
      <c r="N96" s="64">
        <v>15.4</v>
      </c>
      <c r="O96" s="64">
        <v>0</v>
      </c>
      <c r="P96" s="64">
        <v>2.34</v>
      </c>
      <c r="Q96" s="64">
        <v>9.27</v>
      </c>
      <c r="S96" s="198"/>
      <c r="T96" s="198"/>
      <c r="U96" s="198"/>
      <c r="Z96" s="109"/>
    </row>
    <row r="97" spans="1:33" s="12" customFormat="1" x14ac:dyDescent="0.25">
      <c r="A97" s="214" t="s">
        <v>2448</v>
      </c>
      <c r="B97" s="64">
        <v>54.15</v>
      </c>
      <c r="C97" s="64">
        <v>34.81</v>
      </c>
      <c r="D97" s="64">
        <v>61.53</v>
      </c>
      <c r="E97" s="64">
        <v>2.71</v>
      </c>
      <c r="F97" s="64">
        <v>3.65</v>
      </c>
      <c r="G97" s="64">
        <v>133.07</v>
      </c>
      <c r="H97" s="64">
        <v>39</v>
      </c>
      <c r="I97" s="64">
        <v>13.57</v>
      </c>
      <c r="J97" s="64">
        <v>1.89</v>
      </c>
      <c r="K97" s="64">
        <v>341.22</v>
      </c>
      <c r="L97" s="64">
        <v>27.82</v>
      </c>
      <c r="M97" s="64">
        <v>53.08</v>
      </c>
      <c r="N97" s="64">
        <v>16.600000000000001</v>
      </c>
      <c r="O97" s="64">
        <v>0</v>
      </c>
      <c r="P97" s="64">
        <v>2.27</v>
      </c>
      <c r="Q97" s="64">
        <v>9.3699999999999992</v>
      </c>
      <c r="S97" s="198"/>
      <c r="T97" s="198"/>
      <c r="U97" s="198"/>
    </row>
    <row r="98" spans="1:33" s="12" customFormat="1" x14ac:dyDescent="0.25">
      <c r="A98" s="214" t="s">
        <v>2449</v>
      </c>
      <c r="B98" s="64">
        <v>47.84</v>
      </c>
      <c r="C98" s="64">
        <v>34.92</v>
      </c>
      <c r="D98" s="64">
        <v>56.53</v>
      </c>
      <c r="E98" s="64">
        <v>2.58</v>
      </c>
      <c r="F98" s="64">
        <v>3.7</v>
      </c>
      <c r="G98" s="64">
        <v>133.07</v>
      </c>
      <c r="H98" s="64">
        <v>39</v>
      </c>
      <c r="I98" s="64">
        <v>12.5</v>
      </c>
      <c r="J98" s="64">
        <v>3.65</v>
      </c>
      <c r="K98" s="64">
        <v>313.11</v>
      </c>
      <c r="L98" s="64">
        <v>26.21</v>
      </c>
      <c r="M98" s="64">
        <v>54.19</v>
      </c>
      <c r="N98" s="64">
        <v>23.3</v>
      </c>
      <c r="O98" s="64">
        <v>0</v>
      </c>
      <c r="P98" s="64">
        <v>2.0499999999999998</v>
      </c>
      <c r="Q98" s="64">
        <v>9.39</v>
      </c>
      <c r="S98" s="198"/>
      <c r="T98" s="198"/>
      <c r="U98" s="198"/>
    </row>
    <row r="99" spans="1:33" s="12" customFormat="1" x14ac:dyDescent="0.25">
      <c r="A99" s="214" t="s">
        <v>2450</v>
      </c>
      <c r="B99" s="64">
        <v>29.17</v>
      </c>
      <c r="C99" s="64">
        <v>40.21</v>
      </c>
      <c r="D99" s="64">
        <v>44.32</v>
      </c>
      <c r="E99" s="64">
        <v>2.0299999999999998</v>
      </c>
      <c r="F99" s="64">
        <v>4.08</v>
      </c>
      <c r="G99" s="64">
        <v>133.07</v>
      </c>
      <c r="H99" s="64">
        <v>39</v>
      </c>
      <c r="I99" s="64">
        <v>11.93</v>
      </c>
      <c r="J99" s="64">
        <v>2.73</v>
      </c>
      <c r="K99" s="64">
        <v>309.52999999999997</v>
      </c>
      <c r="L99" s="64">
        <v>23.03</v>
      </c>
      <c r="M99" s="64">
        <v>63.58</v>
      </c>
      <c r="N99" s="64">
        <v>20.2</v>
      </c>
      <c r="O99" s="64">
        <v>0</v>
      </c>
      <c r="P99" s="64">
        <v>1.58</v>
      </c>
      <c r="Q99" s="64">
        <v>9.1999999999999993</v>
      </c>
      <c r="S99" s="198"/>
      <c r="T99" s="198"/>
      <c r="U99" s="198"/>
    </row>
    <row r="100" spans="1:33" s="12" customFormat="1" x14ac:dyDescent="0.25">
      <c r="A100" s="214" t="s">
        <v>2451</v>
      </c>
      <c r="B100" s="64">
        <v>16.57</v>
      </c>
      <c r="C100" s="64">
        <v>43.04</v>
      </c>
      <c r="D100" s="64">
        <v>35.700000000000003</v>
      </c>
      <c r="E100" s="64">
        <v>1.94</v>
      </c>
      <c r="F100" s="64">
        <v>4.54</v>
      </c>
      <c r="G100" s="64">
        <v>130.51</v>
      </c>
      <c r="H100" s="64">
        <v>37.79</v>
      </c>
      <c r="I100" s="64">
        <v>10.67</v>
      </c>
      <c r="J100" s="64">
        <v>2.2200000000000002</v>
      </c>
      <c r="K100" s="64">
        <v>315.01</v>
      </c>
      <c r="L100" s="64">
        <v>22.12</v>
      </c>
      <c r="M100" s="64">
        <v>71.13</v>
      </c>
      <c r="N100" s="64">
        <v>18.399999999999999</v>
      </c>
      <c r="O100" s="64">
        <v>0</v>
      </c>
      <c r="P100" s="64">
        <v>1.29</v>
      </c>
      <c r="Q100" s="64">
        <v>9.18</v>
      </c>
      <c r="S100" s="198"/>
      <c r="T100" s="198"/>
      <c r="U100" s="198"/>
      <c r="AB100" s="110"/>
      <c r="AG100" s="109"/>
    </row>
    <row r="101" spans="1:33" s="12" customFormat="1" x14ac:dyDescent="0.25">
      <c r="A101" s="214" t="s">
        <v>2452</v>
      </c>
      <c r="B101" s="64">
        <v>9.1999999999999993</v>
      </c>
      <c r="C101" s="64">
        <v>42.22</v>
      </c>
      <c r="D101" s="64">
        <v>29.36</v>
      </c>
      <c r="E101" s="64">
        <v>1.59</v>
      </c>
      <c r="F101" s="64">
        <v>4.66</v>
      </c>
      <c r="G101" s="64">
        <v>94.76</v>
      </c>
      <c r="H101" s="64">
        <v>20.85</v>
      </c>
      <c r="I101" s="64">
        <v>8.58</v>
      </c>
      <c r="J101" s="64">
        <v>3.02</v>
      </c>
      <c r="K101" s="64">
        <v>331.68</v>
      </c>
      <c r="L101" s="64">
        <v>21.53</v>
      </c>
      <c r="M101" s="64">
        <v>71.64</v>
      </c>
      <c r="N101" s="64">
        <v>14.1</v>
      </c>
      <c r="O101" s="64">
        <v>0</v>
      </c>
      <c r="P101" s="64">
        <v>1.1100000000000001</v>
      </c>
      <c r="Q101" s="64">
        <v>9.19</v>
      </c>
      <c r="S101" s="198"/>
      <c r="T101" s="198"/>
      <c r="U101" s="198"/>
    </row>
    <row r="102" spans="1:33" s="12" customFormat="1" x14ac:dyDescent="0.25">
      <c r="A102" s="214" t="s">
        <v>2453</v>
      </c>
      <c r="B102" s="64">
        <v>5.2</v>
      </c>
      <c r="C102" s="64">
        <v>39.47</v>
      </c>
      <c r="D102" s="64">
        <v>24.71</v>
      </c>
      <c r="E102" s="64">
        <v>1.61</v>
      </c>
      <c r="F102" s="64">
        <v>5.29</v>
      </c>
      <c r="G102" s="64">
        <v>94.76</v>
      </c>
      <c r="H102" s="64">
        <v>20.85</v>
      </c>
      <c r="I102" s="64">
        <v>7.12</v>
      </c>
      <c r="J102" s="64">
        <v>2.92</v>
      </c>
      <c r="K102" s="64">
        <v>333.62</v>
      </c>
      <c r="L102" s="64">
        <v>22</v>
      </c>
      <c r="M102" s="64">
        <v>65.62</v>
      </c>
      <c r="N102" s="64">
        <v>15.3</v>
      </c>
      <c r="O102" s="64">
        <v>0</v>
      </c>
      <c r="P102" s="64">
        <v>0.97</v>
      </c>
      <c r="Q102" s="64">
        <v>9.15</v>
      </c>
      <c r="S102" s="198"/>
      <c r="T102" s="198"/>
      <c r="U102" s="198"/>
    </row>
    <row r="103" spans="1:33" s="12" customFormat="1" x14ac:dyDescent="0.25">
      <c r="A103" s="214" t="s">
        <v>2454</v>
      </c>
      <c r="B103" s="64">
        <v>3.03</v>
      </c>
      <c r="C103" s="64">
        <v>36.130000000000003</v>
      </c>
      <c r="D103" s="64">
        <v>21.23</v>
      </c>
      <c r="E103" s="64">
        <v>1.69</v>
      </c>
      <c r="F103" s="64">
        <v>5.56</v>
      </c>
      <c r="G103" s="64">
        <v>94.76</v>
      </c>
      <c r="H103" s="64">
        <v>20.85</v>
      </c>
      <c r="I103" s="64">
        <v>6.28</v>
      </c>
      <c r="J103" s="64">
        <v>2.71</v>
      </c>
      <c r="K103" s="64">
        <v>332.65</v>
      </c>
      <c r="L103" s="64">
        <v>22.8</v>
      </c>
      <c r="M103" s="64">
        <v>57.5</v>
      </c>
      <c r="N103" s="64">
        <v>15.1</v>
      </c>
      <c r="O103" s="64">
        <v>0</v>
      </c>
      <c r="P103" s="64">
        <v>0.86</v>
      </c>
      <c r="Q103" s="64">
        <v>9.1300000000000008</v>
      </c>
      <c r="S103" s="198"/>
      <c r="T103" s="198"/>
      <c r="U103" s="198"/>
    </row>
    <row r="104" spans="1:33" s="12" customFormat="1" x14ac:dyDescent="0.25">
      <c r="A104" s="214" t="s">
        <v>2455</v>
      </c>
      <c r="B104" s="64">
        <v>2.0099999999999998</v>
      </c>
      <c r="C104" s="64">
        <v>32.71</v>
      </c>
      <c r="D104" s="64">
        <v>18.63</v>
      </c>
      <c r="E104" s="64">
        <v>3.2</v>
      </c>
      <c r="F104" s="64">
        <v>5.62</v>
      </c>
      <c r="G104" s="64">
        <v>88.66</v>
      </c>
      <c r="H104" s="64">
        <v>20.58</v>
      </c>
      <c r="I104" s="64">
        <v>5.56</v>
      </c>
      <c r="J104" s="64">
        <v>2.66</v>
      </c>
      <c r="K104" s="64">
        <v>348.88</v>
      </c>
      <c r="L104" s="64">
        <v>23.54</v>
      </c>
      <c r="M104" s="64">
        <v>50.53</v>
      </c>
      <c r="N104" s="64">
        <v>15.3</v>
      </c>
      <c r="O104" s="64">
        <v>0</v>
      </c>
      <c r="P104" s="64">
        <v>0.77</v>
      </c>
      <c r="Q104" s="64">
        <v>9.1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1.03</v>
      </c>
      <c r="C106" s="67">
        <f>MIN(C9:C104)</f>
        <v>22.07</v>
      </c>
      <c r="D106" s="67">
        <f t="shared" ref="D106:Q106" si="0">MIN(D9:D104)</f>
        <v>12.85</v>
      </c>
      <c r="E106" s="67">
        <f t="shared" si="0"/>
        <v>0.42</v>
      </c>
      <c r="F106" s="67">
        <f t="shared" si="0"/>
        <v>2.77</v>
      </c>
      <c r="G106" s="67">
        <f t="shared" si="0"/>
        <v>17.64</v>
      </c>
      <c r="H106" s="67">
        <f t="shared" si="0"/>
        <v>1.91</v>
      </c>
      <c r="I106" s="67">
        <f t="shared" si="0"/>
        <v>4.25</v>
      </c>
      <c r="J106" s="67">
        <f t="shared" si="0"/>
        <v>0.03</v>
      </c>
      <c r="K106" s="67">
        <f t="shared" si="0"/>
        <v>1.92</v>
      </c>
      <c r="L106" s="67">
        <f t="shared" si="0"/>
        <v>18.96</v>
      </c>
      <c r="M106" s="67">
        <f t="shared" si="0"/>
        <v>28.87</v>
      </c>
      <c r="N106" s="67">
        <f t="shared" si="0"/>
        <v>14.1</v>
      </c>
      <c r="O106" s="67">
        <f t="shared" si="0"/>
        <v>0</v>
      </c>
      <c r="P106" s="67">
        <f t="shared" si="0"/>
        <v>0.42</v>
      </c>
      <c r="Q106" s="67">
        <f t="shared" si="0"/>
        <v>9.1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56.05</v>
      </c>
      <c r="C107" s="66">
        <f t="shared" ref="C107:Q107" si="1">MAX(C9:C104)</f>
        <v>43.04</v>
      </c>
      <c r="D107" s="66">
        <f t="shared" si="1"/>
        <v>63.12</v>
      </c>
      <c r="E107" s="66">
        <f t="shared" si="1"/>
        <v>3.2</v>
      </c>
      <c r="F107" s="66">
        <f t="shared" si="1"/>
        <v>29.52</v>
      </c>
      <c r="G107" s="66">
        <f t="shared" si="1"/>
        <v>133.07</v>
      </c>
      <c r="H107" s="66">
        <f t="shared" si="1"/>
        <v>98.85</v>
      </c>
      <c r="I107" s="66">
        <f t="shared" si="1"/>
        <v>14.57</v>
      </c>
      <c r="J107" s="66">
        <f t="shared" si="1"/>
        <v>3.65</v>
      </c>
      <c r="K107" s="66">
        <f t="shared" si="1"/>
        <v>358.45</v>
      </c>
      <c r="L107" s="66">
        <f t="shared" si="1"/>
        <v>36.04</v>
      </c>
      <c r="M107" s="66">
        <f t="shared" si="1"/>
        <v>97.93</v>
      </c>
      <c r="N107" s="66">
        <f t="shared" si="1"/>
        <v>984.4</v>
      </c>
      <c r="O107" s="66">
        <f t="shared" si="1"/>
        <v>1.2</v>
      </c>
      <c r="P107" s="66">
        <f t="shared" si="1"/>
        <v>2.37</v>
      </c>
      <c r="Q107" s="66">
        <f t="shared" si="1"/>
        <v>9.39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11.561195652173915</v>
      </c>
      <c r="C108" s="67">
        <f t="shared" ref="C108:Q108" si="2">AVERAGE(C9:C104)</f>
        <v>29.771847826086947</v>
      </c>
      <c r="D108" s="67">
        <f t="shared" si="2"/>
        <v>24.74663043478261</v>
      </c>
      <c r="E108" s="67">
        <f t="shared" si="2"/>
        <v>1.4330208333333332</v>
      </c>
      <c r="F108" s="67">
        <f t="shared" si="2"/>
        <v>5.2743749999999991</v>
      </c>
      <c r="G108" s="67">
        <f t="shared" si="2"/>
        <v>49.734891304347819</v>
      </c>
      <c r="H108" s="67">
        <f t="shared" si="2"/>
        <v>28.62173913043479</v>
      </c>
      <c r="I108" s="67">
        <f t="shared" si="2"/>
        <v>6.4685416666666642</v>
      </c>
      <c r="J108" s="67">
        <f t="shared" si="2"/>
        <v>0.65625</v>
      </c>
      <c r="K108" s="67">
        <f t="shared" si="2"/>
        <v>237.93197916666665</v>
      </c>
      <c r="L108" s="67">
        <f t="shared" si="2"/>
        <v>26.726770833333344</v>
      </c>
      <c r="M108" s="67">
        <f t="shared" si="2"/>
        <v>63.958645833333328</v>
      </c>
      <c r="N108" s="67">
        <f t="shared" si="2"/>
        <v>243.31041666666667</v>
      </c>
      <c r="O108" s="67">
        <f t="shared" si="2"/>
        <v>2.7083333333333334E-2</v>
      </c>
      <c r="P108" s="67">
        <f t="shared" si="2"/>
        <v>0.74385416666666659</v>
      </c>
      <c r="Q108" s="67">
        <f t="shared" si="2"/>
        <v>9.1719791666666683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14.086302897635594</v>
      </c>
      <c r="C109" s="67">
        <f t="shared" ref="C109:Q109" si="3">STDEV(C9:C104)</f>
        <v>4.8407407773286621</v>
      </c>
      <c r="D109" s="67">
        <f t="shared" si="3"/>
        <v>12.762852111333386</v>
      </c>
      <c r="E109" s="67">
        <f t="shared" si="3"/>
        <v>0.55207764479028942</v>
      </c>
      <c r="F109" s="67">
        <f t="shared" si="3"/>
        <v>3.5619822430775838</v>
      </c>
      <c r="G109" s="67">
        <f t="shared" si="3"/>
        <v>29.849561172416902</v>
      </c>
      <c r="H109" s="67">
        <f t="shared" si="3"/>
        <v>20.576403513674897</v>
      </c>
      <c r="I109" s="67">
        <f t="shared" si="3"/>
        <v>2.4096477048322922</v>
      </c>
      <c r="J109" s="67">
        <f t="shared" si="3"/>
        <v>0.78391493899462528</v>
      </c>
      <c r="K109" s="67">
        <f t="shared" si="3"/>
        <v>104.82877069543139</v>
      </c>
      <c r="L109" s="67">
        <f t="shared" si="3"/>
        <v>5.2787353937714698</v>
      </c>
      <c r="M109" s="67">
        <f t="shared" si="3"/>
        <v>24.720885975427546</v>
      </c>
      <c r="N109" s="67">
        <f t="shared" si="3"/>
        <v>344.55566763714273</v>
      </c>
      <c r="O109" s="67">
        <f t="shared" si="3"/>
        <v>0.15250826839822346</v>
      </c>
      <c r="P109" s="67">
        <f t="shared" si="3"/>
        <v>0.49143906789767966</v>
      </c>
      <c r="Q109" s="67">
        <f t="shared" si="3"/>
        <v>6.0639049285469614E-2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COUNT(B9:B104)+4</f>
        <v>96</v>
      </c>
      <c r="C110" s="66">
        <f>COUNT(C9:C104)+4</f>
        <v>96</v>
      </c>
      <c r="D110" s="66">
        <f>COUNT(D9:D104)+4</f>
        <v>96</v>
      </c>
      <c r="E110" s="66">
        <f t="shared" ref="E110:Q110" si="4">COUNT(E9:E104)</f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26" sqref="H12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2456</v>
      </c>
      <c r="B9" s="64">
        <v>2.17</v>
      </c>
      <c r="C9" s="64">
        <v>30.28</v>
      </c>
      <c r="D9" s="64">
        <v>17.48</v>
      </c>
      <c r="E9" s="64">
        <v>2.57</v>
      </c>
      <c r="F9" s="64">
        <v>5.6</v>
      </c>
      <c r="G9" s="212" t="s">
        <v>42</v>
      </c>
      <c r="H9" s="212" t="s">
        <v>42</v>
      </c>
      <c r="I9" s="64">
        <v>5.0199999999999996</v>
      </c>
      <c r="J9" s="64">
        <v>2.4</v>
      </c>
      <c r="K9" s="64">
        <v>352.86</v>
      </c>
      <c r="L9" s="64">
        <v>24.25</v>
      </c>
      <c r="M9" s="64">
        <v>44.28</v>
      </c>
      <c r="N9" s="64">
        <v>15.7</v>
      </c>
      <c r="O9" s="64">
        <v>0</v>
      </c>
      <c r="P9" s="64">
        <v>0.7</v>
      </c>
      <c r="Q9" s="64">
        <v>9.14</v>
      </c>
      <c r="R9" s="198"/>
      <c r="S9" s="198"/>
      <c r="T9" s="198"/>
      <c r="U9" s="198"/>
    </row>
    <row r="10" spans="1:21" s="12" customFormat="1" x14ac:dyDescent="0.25">
      <c r="A10" s="214" t="s">
        <v>2457</v>
      </c>
      <c r="B10" s="64">
        <v>2.42</v>
      </c>
      <c r="C10" s="64">
        <v>29.45</v>
      </c>
      <c r="D10" s="64">
        <v>17.25</v>
      </c>
      <c r="E10" s="64">
        <v>2.4</v>
      </c>
      <c r="F10" s="64">
        <v>4.92</v>
      </c>
      <c r="G10" s="212" t="s">
        <v>42</v>
      </c>
      <c r="H10" s="212" t="s">
        <v>42</v>
      </c>
      <c r="I10" s="64">
        <v>4.62</v>
      </c>
      <c r="J10" s="64">
        <v>2.15</v>
      </c>
      <c r="K10" s="64">
        <v>357.57</v>
      </c>
      <c r="L10" s="64">
        <v>24.64</v>
      </c>
      <c r="M10" s="64">
        <v>41.59</v>
      </c>
      <c r="N10" s="64">
        <v>16.399999999999999</v>
      </c>
      <c r="O10" s="64">
        <v>0</v>
      </c>
      <c r="P10" s="64">
        <v>0.66</v>
      </c>
      <c r="Q10" s="64">
        <v>9.1199999999999992</v>
      </c>
      <c r="R10" s="198"/>
      <c r="S10" s="198"/>
      <c r="T10" s="198"/>
      <c r="U10" s="198"/>
    </row>
    <row r="11" spans="1:21" s="12" customFormat="1" x14ac:dyDescent="0.25">
      <c r="A11" s="214" t="s">
        <v>2458</v>
      </c>
      <c r="B11" s="64">
        <v>2.4</v>
      </c>
      <c r="C11" s="64">
        <v>30.02</v>
      </c>
      <c r="D11" s="64">
        <v>17.53</v>
      </c>
      <c r="E11" s="64">
        <v>2.62</v>
      </c>
      <c r="F11" s="64">
        <v>4.5199999999999996</v>
      </c>
      <c r="G11" s="212" t="s">
        <v>42</v>
      </c>
      <c r="H11" s="212" t="s">
        <v>42</v>
      </c>
      <c r="I11" s="64">
        <v>4.37</v>
      </c>
      <c r="J11" s="64">
        <v>1.31</v>
      </c>
      <c r="K11" s="64">
        <v>0.24</v>
      </c>
      <c r="L11" s="64">
        <v>24.78</v>
      </c>
      <c r="M11" s="64">
        <v>40.369999999999997</v>
      </c>
      <c r="N11" s="64">
        <v>16.600000000000001</v>
      </c>
      <c r="O11" s="64">
        <v>0</v>
      </c>
      <c r="P11" s="64">
        <v>0.61</v>
      </c>
      <c r="Q11" s="64">
        <v>9.16</v>
      </c>
      <c r="R11" s="198"/>
      <c r="S11" s="198"/>
      <c r="T11" s="198"/>
      <c r="U11" s="198"/>
    </row>
    <row r="12" spans="1:21" s="12" customFormat="1" x14ac:dyDescent="0.25">
      <c r="A12" s="214" t="s">
        <v>2459</v>
      </c>
      <c r="B12" s="64">
        <v>2.5299999999999998</v>
      </c>
      <c r="C12" s="64">
        <v>28.55</v>
      </c>
      <c r="D12" s="64">
        <v>16.87</v>
      </c>
      <c r="E12" s="64">
        <v>2.4500000000000002</v>
      </c>
      <c r="F12" s="64">
        <v>4.28</v>
      </c>
      <c r="G12" s="212" t="s">
        <v>42</v>
      </c>
      <c r="H12" s="212" t="s">
        <v>42</v>
      </c>
      <c r="I12" s="64">
        <v>4.2</v>
      </c>
      <c r="J12" s="64">
        <v>0.59</v>
      </c>
      <c r="K12" s="64">
        <v>359.25</v>
      </c>
      <c r="L12" s="64">
        <v>24.92</v>
      </c>
      <c r="M12" s="64">
        <v>40.299999999999997</v>
      </c>
      <c r="N12" s="64">
        <v>16.899999999999999</v>
      </c>
      <c r="O12" s="64">
        <v>0</v>
      </c>
      <c r="P12" s="64">
        <v>0.6</v>
      </c>
      <c r="Q12" s="64">
        <v>9.11</v>
      </c>
      <c r="R12" s="198"/>
      <c r="S12" s="198"/>
      <c r="T12" s="198"/>
      <c r="U12" s="198"/>
    </row>
    <row r="13" spans="1:21" s="12" customFormat="1" x14ac:dyDescent="0.25">
      <c r="A13" s="214" t="s">
        <v>2460</v>
      </c>
      <c r="B13" s="64">
        <v>2.91</v>
      </c>
      <c r="C13" s="64">
        <v>27.14</v>
      </c>
      <c r="D13" s="64">
        <v>16.43</v>
      </c>
      <c r="E13" s="64">
        <v>2.42</v>
      </c>
      <c r="F13" s="64">
        <v>3.89</v>
      </c>
      <c r="G13" s="212" t="s">
        <v>42</v>
      </c>
      <c r="H13" s="212" t="s">
        <v>42</v>
      </c>
      <c r="I13" s="64">
        <v>4.24</v>
      </c>
      <c r="J13" s="64">
        <v>0.39</v>
      </c>
      <c r="K13" s="64">
        <v>90.79</v>
      </c>
      <c r="L13" s="64">
        <v>24.79</v>
      </c>
      <c r="M13" s="64">
        <v>40.83</v>
      </c>
      <c r="N13" s="64">
        <v>16.899999999999999</v>
      </c>
      <c r="O13" s="64">
        <v>0</v>
      </c>
      <c r="P13" s="64">
        <v>0.56999999999999995</v>
      </c>
      <c r="Q13" s="64">
        <v>9.1199999999999992</v>
      </c>
      <c r="R13" s="198"/>
      <c r="S13" s="198"/>
      <c r="T13" s="198"/>
      <c r="U13" s="198"/>
    </row>
    <row r="14" spans="1:21" s="12" customFormat="1" x14ac:dyDescent="0.25">
      <c r="A14" s="214" t="s">
        <v>2461</v>
      </c>
      <c r="B14" s="64">
        <v>3.39</v>
      </c>
      <c r="C14" s="64">
        <v>25.77</v>
      </c>
      <c r="D14" s="64">
        <v>16.100000000000001</v>
      </c>
      <c r="E14" s="64">
        <v>2.2999999999999998</v>
      </c>
      <c r="F14" s="64">
        <v>3.87</v>
      </c>
      <c r="G14" s="212" t="s">
        <v>42</v>
      </c>
      <c r="H14" s="212" t="s">
        <v>42</v>
      </c>
      <c r="I14" s="64">
        <v>4.66</v>
      </c>
      <c r="J14" s="64">
        <v>0.41</v>
      </c>
      <c r="K14" s="64">
        <v>106.03</v>
      </c>
      <c r="L14" s="64">
        <v>24.74</v>
      </c>
      <c r="M14" s="64">
        <v>41.6</v>
      </c>
      <c r="N14" s="64">
        <v>16.7</v>
      </c>
      <c r="O14" s="64">
        <v>0</v>
      </c>
      <c r="P14" s="64">
        <v>0.6</v>
      </c>
      <c r="Q14" s="64">
        <v>9.1300000000000008</v>
      </c>
      <c r="R14" s="198"/>
      <c r="S14" s="198"/>
      <c r="T14" s="198"/>
      <c r="U14" s="198"/>
    </row>
    <row r="15" spans="1:21" s="12" customFormat="1" x14ac:dyDescent="0.25">
      <c r="A15" s="214" t="s">
        <v>2462</v>
      </c>
      <c r="B15" s="64">
        <v>3.76</v>
      </c>
      <c r="C15" s="64">
        <v>25.04</v>
      </c>
      <c r="D15" s="64">
        <v>16.02</v>
      </c>
      <c r="E15" s="64">
        <v>2.35</v>
      </c>
      <c r="F15" s="64">
        <v>3.52</v>
      </c>
      <c r="G15" s="212" t="s">
        <v>42</v>
      </c>
      <c r="H15" s="212" t="s">
        <v>42</v>
      </c>
      <c r="I15" s="64">
        <v>5.0599999999999996</v>
      </c>
      <c r="J15" s="64">
        <v>0.14000000000000001</v>
      </c>
      <c r="K15" s="64">
        <v>79.849999999999994</v>
      </c>
      <c r="L15" s="64">
        <v>24.57</v>
      </c>
      <c r="M15" s="64">
        <v>44.84</v>
      </c>
      <c r="N15" s="64">
        <v>16.899999999999999</v>
      </c>
      <c r="O15" s="64">
        <v>0</v>
      </c>
      <c r="P15" s="64">
        <v>0.59</v>
      </c>
      <c r="Q15" s="64">
        <v>9.15</v>
      </c>
      <c r="R15" s="198"/>
      <c r="S15" s="198"/>
      <c r="T15" s="198"/>
      <c r="U15" s="198"/>
    </row>
    <row r="16" spans="1:21" s="12" customFormat="1" x14ac:dyDescent="0.25">
      <c r="A16" s="214" t="s">
        <v>2463</v>
      </c>
      <c r="B16" s="64">
        <v>4.22</v>
      </c>
      <c r="C16" s="64">
        <v>24.22</v>
      </c>
      <c r="D16" s="64">
        <v>15.96</v>
      </c>
      <c r="E16" s="64">
        <v>2.37</v>
      </c>
      <c r="F16" s="64">
        <v>3.47</v>
      </c>
      <c r="G16" s="212" t="s">
        <v>42</v>
      </c>
      <c r="H16" s="212" t="s">
        <v>42</v>
      </c>
      <c r="I16" s="64">
        <v>5.34</v>
      </c>
      <c r="J16" s="64">
        <v>0.2</v>
      </c>
      <c r="K16" s="64">
        <v>259.85000000000002</v>
      </c>
      <c r="L16" s="64">
        <v>23.97</v>
      </c>
      <c r="M16" s="64">
        <v>50.47</v>
      </c>
      <c r="N16" s="64">
        <v>17.100000000000001</v>
      </c>
      <c r="O16" s="64">
        <v>0</v>
      </c>
      <c r="P16" s="64">
        <v>0.6</v>
      </c>
      <c r="Q16" s="64">
        <v>9.1300000000000008</v>
      </c>
      <c r="R16" s="198"/>
      <c r="S16" s="198"/>
      <c r="T16" s="198"/>
      <c r="U16" s="198"/>
    </row>
    <row r="17" spans="1:21" s="12" customFormat="1" x14ac:dyDescent="0.25">
      <c r="A17" s="214" t="s">
        <v>2464</v>
      </c>
      <c r="B17" s="64">
        <v>4.8099999999999996</v>
      </c>
      <c r="C17" s="64">
        <v>23.47</v>
      </c>
      <c r="D17" s="64">
        <v>16.04</v>
      </c>
      <c r="E17" s="64">
        <v>2.57</v>
      </c>
      <c r="F17" s="64">
        <v>3.77</v>
      </c>
      <c r="G17" s="64">
        <v>55.92</v>
      </c>
      <c r="H17" s="64">
        <v>19.63</v>
      </c>
      <c r="I17" s="64">
        <v>5.68</v>
      </c>
      <c r="J17" s="64">
        <v>0.46</v>
      </c>
      <c r="K17" s="64">
        <v>162.66999999999999</v>
      </c>
      <c r="L17" s="64">
        <v>23.88</v>
      </c>
      <c r="M17" s="64">
        <v>54.12</v>
      </c>
      <c r="N17" s="64">
        <v>16.600000000000001</v>
      </c>
      <c r="O17" s="64">
        <v>0</v>
      </c>
      <c r="P17" s="64">
        <v>0.6</v>
      </c>
      <c r="Q17" s="64">
        <v>9.1300000000000008</v>
      </c>
      <c r="R17" s="198"/>
      <c r="S17" s="198"/>
      <c r="T17" s="198"/>
      <c r="U17" s="198"/>
    </row>
    <row r="18" spans="1:21" s="12" customFormat="1" x14ac:dyDescent="0.25">
      <c r="A18" s="214" t="s">
        <v>2465</v>
      </c>
      <c r="B18" s="64">
        <v>5.6</v>
      </c>
      <c r="C18" s="64">
        <v>23.66</v>
      </c>
      <c r="D18" s="64">
        <v>16.77</v>
      </c>
      <c r="E18" s="64">
        <v>2.2799999999999998</v>
      </c>
      <c r="F18" s="64">
        <v>3.17</v>
      </c>
      <c r="G18" s="64">
        <v>55.92</v>
      </c>
      <c r="H18" s="64">
        <v>19.63</v>
      </c>
      <c r="I18" s="64">
        <v>5.87</v>
      </c>
      <c r="J18" s="64">
        <v>0.15</v>
      </c>
      <c r="K18" s="64">
        <v>305.45999999999998</v>
      </c>
      <c r="L18" s="64">
        <v>24.06</v>
      </c>
      <c r="M18" s="64">
        <v>53.05</v>
      </c>
      <c r="N18" s="64">
        <v>17.100000000000001</v>
      </c>
      <c r="O18" s="64">
        <v>0</v>
      </c>
      <c r="P18" s="64">
        <v>0.59</v>
      </c>
      <c r="Q18" s="64">
        <v>9.14</v>
      </c>
      <c r="R18" s="198"/>
      <c r="S18" s="198"/>
      <c r="T18" s="198"/>
      <c r="U18" s="198"/>
    </row>
    <row r="19" spans="1:21" s="12" customFormat="1" x14ac:dyDescent="0.25">
      <c r="A19" s="214" t="s">
        <v>2466</v>
      </c>
      <c r="B19" s="64">
        <v>6.08</v>
      </c>
      <c r="C19" s="64">
        <v>24.05</v>
      </c>
      <c r="D19" s="64">
        <v>17.36</v>
      </c>
      <c r="E19" s="64">
        <v>2.2400000000000002</v>
      </c>
      <c r="F19" s="64">
        <v>3.79</v>
      </c>
      <c r="G19" s="64">
        <v>55.92</v>
      </c>
      <c r="H19" s="64">
        <v>19.63</v>
      </c>
      <c r="I19" s="64">
        <v>5.91</v>
      </c>
      <c r="J19" s="64">
        <v>0.36</v>
      </c>
      <c r="K19" s="64">
        <v>207.9</v>
      </c>
      <c r="L19" s="64">
        <v>23.86</v>
      </c>
      <c r="M19" s="64">
        <v>51.16</v>
      </c>
      <c r="N19" s="64">
        <v>16.8</v>
      </c>
      <c r="O19" s="64">
        <v>0</v>
      </c>
      <c r="P19" s="64">
        <v>0.57999999999999996</v>
      </c>
      <c r="Q19" s="64">
        <v>9.16</v>
      </c>
      <c r="R19" s="198"/>
      <c r="S19" s="198"/>
      <c r="T19" s="198"/>
      <c r="U19" s="198"/>
    </row>
    <row r="20" spans="1:21" s="12" customFormat="1" x14ac:dyDescent="0.25">
      <c r="A20" s="214" t="s">
        <v>2467</v>
      </c>
      <c r="B20" s="64">
        <v>5.95</v>
      </c>
      <c r="C20" s="64">
        <v>23.87</v>
      </c>
      <c r="D20" s="64">
        <v>17.16</v>
      </c>
      <c r="E20" s="64">
        <v>2.41</v>
      </c>
      <c r="F20" s="64">
        <v>3.86</v>
      </c>
      <c r="G20" s="64">
        <v>55.55</v>
      </c>
      <c r="H20" s="64">
        <v>19.43</v>
      </c>
      <c r="I20" s="64">
        <v>6.11</v>
      </c>
      <c r="J20" s="64">
        <v>0.65</v>
      </c>
      <c r="K20" s="64">
        <v>308.89999999999998</v>
      </c>
      <c r="L20" s="64">
        <v>23.66</v>
      </c>
      <c r="M20" s="64">
        <v>51.8</v>
      </c>
      <c r="N20" s="64">
        <v>16.7</v>
      </c>
      <c r="O20" s="64">
        <v>0</v>
      </c>
      <c r="P20" s="64">
        <v>0.56000000000000005</v>
      </c>
      <c r="Q20" s="64">
        <v>9.1300000000000008</v>
      </c>
      <c r="R20" s="198"/>
      <c r="S20" s="198"/>
      <c r="T20" s="198"/>
      <c r="U20" s="198"/>
    </row>
    <row r="21" spans="1:21" s="12" customFormat="1" x14ac:dyDescent="0.25">
      <c r="A21" s="214" t="s">
        <v>2468</v>
      </c>
      <c r="B21" s="64">
        <v>4.9800000000000004</v>
      </c>
      <c r="C21" s="64">
        <v>23.98</v>
      </c>
      <c r="D21" s="64">
        <v>16.440000000000001</v>
      </c>
      <c r="E21" s="64">
        <v>2.4300000000000002</v>
      </c>
      <c r="F21" s="64">
        <v>4.1500000000000004</v>
      </c>
      <c r="G21" s="64">
        <v>50.27</v>
      </c>
      <c r="H21" s="64">
        <v>15.99</v>
      </c>
      <c r="I21" s="64">
        <v>5.87</v>
      </c>
      <c r="J21" s="64">
        <v>0.04</v>
      </c>
      <c r="K21" s="64">
        <v>195.44</v>
      </c>
      <c r="L21" s="64">
        <v>24.21</v>
      </c>
      <c r="M21" s="64">
        <v>47.05</v>
      </c>
      <c r="N21" s="64">
        <v>16.8</v>
      </c>
      <c r="O21" s="64">
        <v>0</v>
      </c>
      <c r="P21" s="64">
        <v>0.52</v>
      </c>
      <c r="Q21" s="64">
        <v>9.1199999999999992</v>
      </c>
      <c r="R21" s="198"/>
      <c r="S21" s="198"/>
      <c r="T21" s="198"/>
      <c r="U21" s="198"/>
    </row>
    <row r="22" spans="1:21" s="12" customFormat="1" x14ac:dyDescent="0.25">
      <c r="A22" s="214" t="s">
        <v>2469</v>
      </c>
      <c r="B22" s="64">
        <v>4.2300000000000004</v>
      </c>
      <c r="C22" s="64">
        <v>23.77</v>
      </c>
      <c r="D22" s="64">
        <v>15.73</v>
      </c>
      <c r="E22" s="64">
        <v>2.3199999999999998</v>
      </c>
      <c r="F22" s="64">
        <v>3.6</v>
      </c>
      <c r="G22" s="64">
        <v>50.27</v>
      </c>
      <c r="H22" s="64">
        <v>15.99</v>
      </c>
      <c r="I22" s="64">
        <v>5.45</v>
      </c>
      <c r="J22" s="64">
        <v>1.43</v>
      </c>
      <c r="K22" s="64">
        <v>150.44</v>
      </c>
      <c r="L22" s="64">
        <v>23.96</v>
      </c>
      <c r="M22" s="64">
        <v>48.76</v>
      </c>
      <c r="N22" s="64">
        <v>16.100000000000001</v>
      </c>
      <c r="O22" s="64">
        <v>0</v>
      </c>
      <c r="P22" s="64">
        <v>0.5</v>
      </c>
      <c r="Q22" s="64">
        <v>9.15</v>
      </c>
      <c r="R22" s="198"/>
      <c r="S22" s="198"/>
      <c r="T22" s="198"/>
      <c r="U22" s="198"/>
    </row>
    <row r="23" spans="1:21" s="12" customFormat="1" x14ac:dyDescent="0.25">
      <c r="A23" s="214" t="s">
        <v>2470</v>
      </c>
      <c r="B23" s="64">
        <v>4.0199999999999996</v>
      </c>
      <c r="C23" s="64">
        <v>23</v>
      </c>
      <c r="D23" s="64">
        <v>15.16</v>
      </c>
      <c r="E23" s="64">
        <v>2.17</v>
      </c>
      <c r="F23" s="64">
        <v>4.01</v>
      </c>
      <c r="G23" s="64">
        <v>50.27</v>
      </c>
      <c r="H23" s="64">
        <v>15.99</v>
      </c>
      <c r="I23" s="64">
        <v>5.19</v>
      </c>
      <c r="J23" s="64">
        <v>1.41</v>
      </c>
      <c r="K23" s="64">
        <v>156.84</v>
      </c>
      <c r="L23" s="64">
        <v>23.85</v>
      </c>
      <c r="M23" s="64">
        <v>49.16</v>
      </c>
      <c r="N23" s="64">
        <v>16.8</v>
      </c>
      <c r="O23" s="64">
        <v>0</v>
      </c>
      <c r="P23" s="64">
        <v>0.47</v>
      </c>
      <c r="Q23" s="64">
        <v>9.15</v>
      </c>
      <c r="R23" s="198"/>
      <c r="S23" s="198"/>
      <c r="T23" s="198"/>
      <c r="U23" s="198"/>
    </row>
    <row r="24" spans="1:21" s="12" customFormat="1" x14ac:dyDescent="0.25">
      <c r="A24" s="214" t="s">
        <v>2471</v>
      </c>
      <c r="B24" s="64">
        <v>3.98</v>
      </c>
      <c r="C24" s="64">
        <v>22.64</v>
      </c>
      <c r="D24" s="64">
        <v>14.94</v>
      </c>
      <c r="E24" s="64">
        <v>1.49</v>
      </c>
      <c r="F24" s="64">
        <v>3.92</v>
      </c>
      <c r="G24" s="64">
        <v>48.1</v>
      </c>
      <c r="H24" s="64">
        <v>15.51</v>
      </c>
      <c r="I24" s="64">
        <v>5.04</v>
      </c>
      <c r="J24" s="64">
        <v>0.22</v>
      </c>
      <c r="K24" s="64">
        <v>175.06</v>
      </c>
      <c r="L24" s="64">
        <v>23.86</v>
      </c>
      <c r="M24" s="64">
        <v>50.62</v>
      </c>
      <c r="N24" s="64">
        <v>17</v>
      </c>
      <c r="O24" s="64">
        <v>0</v>
      </c>
      <c r="P24" s="64">
        <v>0.46</v>
      </c>
      <c r="Q24" s="64">
        <v>9.1300000000000008</v>
      </c>
      <c r="R24" s="198"/>
      <c r="S24" s="198"/>
      <c r="T24" s="198"/>
      <c r="U24" s="198"/>
    </row>
    <row r="25" spans="1:21" s="12" customFormat="1" x14ac:dyDescent="0.25">
      <c r="A25" s="214" t="s">
        <v>2472</v>
      </c>
      <c r="B25" s="64">
        <v>4.18</v>
      </c>
      <c r="C25" s="64">
        <v>22.4</v>
      </c>
      <c r="D25" s="64">
        <v>14.98</v>
      </c>
      <c r="E25" s="64">
        <v>1.05</v>
      </c>
      <c r="F25" s="64">
        <v>3.55</v>
      </c>
      <c r="G25" s="64">
        <v>11.31</v>
      </c>
      <c r="H25" s="64">
        <v>7.28</v>
      </c>
      <c r="I25" s="64">
        <v>4.8899999999999997</v>
      </c>
      <c r="J25" s="64">
        <v>0.21</v>
      </c>
      <c r="K25" s="64">
        <v>179.93</v>
      </c>
      <c r="L25" s="64">
        <v>23.3</v>
      </c>
      <c r="M25" s="64">
        <v>54.43</v>
      </c>
      <c r="N25" s="64">
        <v>17.3</v>
      </c>
      <c r="O25" s="64">
        <v>0</v>
      </c>
      <c r="P25" s="64">
        <v>0.44</v>
      </c>
      <c r="Q25" s="64">
        <v>9.1199999999999992</v>
      </c>
      <c r="R25" s="198"/>
      <c r="S25" s="198"/>
      <c r="T25" s="198"/>
      <c r="U25" s="198"/>
    </row>
    <row r="26" spans="1:21" s="12" customFormat="1" x14ac:dyDescent="0.25">
      <c r="A26" s="214" t="s">
        <v>2473</v>
      </c>
      <c r="B26" s="64">
        <v>4.18</v>
      </c>
      <c r="C26" s="64">
        <v>22.4</v>
      </c>
      <c r="D26" s="64">
        <v>14.98</v>
      </c>
      <c r="E26" s="64">
        <v>1.05</v>
      </c>
      <c r="F26" s="64">
        <v>3.55</v>
      </c>
      <c r="G26" s="64">
        <v>11.31</v>
      </c>
      <c r="H26" s="64">
        <v>7.28</v>
      </c>
      <c r="I26" s="64">
        <v>4.8899999999999997</v>
      </c>
      <c r="J26" s="64">
        <v>0.21</v>
      </c>
      <c r="K26" s="64">
        <v>179.93</v>
      </c>
      <c r="L26" s="64">
        <v>23.3</v>
      </c>
      <c r="M26" s="64">
        <v>54.43</v>
      </c>
      <c r="N26" s="64">
        <v>17.3</v>
      </c>
      <c r="O26" s="64">
        <v>0</v>
      </c>
      <c r="P26" s="64">
        <v>0.44</v>
      </c>
      <c r="Q26" s="64">
        <v>9.1199999999999992</v>
      </c>
      <c r="R26" s="198"/>
      <c r="S26" s="198"/>
      <c r="T26" s="198"/>
      <c r="U26" s="198"/>
    </row>
    <row r="27" spans="1:21" s="12" customFormat="1" x14ac:dyDescent="0.25">
      <c r="A27" s="214" t="s">
        <v>2474</v>
      </c>
      <c r="B27" s="64">
        <v>4.18</v>
      </c>
      <c r="C27" s="64">
        <v>22.4</v>
      </c>
      <c r="D27" s="64">
        <v>14.98</v>
      </c>
      <c r="E27" s="64">
        <v>1.05</v>
      </c>
      <c r="F27" s="64">
        <v>3.55</v>
      </c>
      <c r="G27" s="64">
        <v>11.31</v>
      </c>
      <c r="H27" s="64">
        <v>7.28</v>
      </c>
      <c r="I27" s="64">
        <v>4.8899999999999997</v>
      </c>
      <c r="J27" s="64">
        <v>0.21</v>
      </c>
      <c r="K27" s="64">
        <v>179.93</v>
      </c>
      <c r="L27" s="64">
        <v>23.3</v>
      </c>
      <c r="M27" s="64">
        <v>54.43</v>
      </c>
      <c r="N27" s="64">
        <v>17.3</v>
      </c>
      <c r="O27" s="64">
        <v>0</v>
      </c>
      <c r="P27" s="64">
        <v>0.44</v>
      </c>
      <c r="Q27" s="64">
        <v>9.1199999999999992</v>
      </c>
      <c r="R27" s="198"/>
      <c r="S27" s="198"/>
      <c r="T27" s="198"/>
      <c r="U27" s="198"/>
    </row>
    <row r="28" spans="1:21" s="12" customFormat="1" x14ac:dyDescent="0.25">
      <c r="A28" s="214" t="s">
        <v>2475</v>
      </c>
      <c r="B28" s="64">
        <v>4.18</v>
      </c>
      <c r="C28" s="64">
        <v>22.4</v>
      </c>
      <c r="D28" s="64">
        <v>14.98</v>
      </c>
      <c r="E28" s="64">
        <v>1.05</v>
      </c>
      <c r="F28" s="64">
        <v>3.55</v>
      </c>
      <c r="G28" s="64">
        <v>11.31</v>
      </c>
      <c r="H28" s="64">
        <v>7.28</v>
      </c>
      <c r="I28" s="64">
        <v>4.8899999999999997</v>
      </c>
      <c r="J28" s="64">
        <v>0.21</v>
      </c>
      <c r="K28" s="64">
        <v>179.93</v>
      </c>
      <c r="L28" s="64">
        <v>23.3</v>
      </c>
      <c r="M28" s="64">
        <v>54.43</v>
      </c>
      <c r="N28" s="64">
        <v>17.3</v>
      </c>
      <c r="O28" s="64">
        <v>0</v>
      </c>
      <c r="P28" s="64">
        <v>0.44</v>
      </c>
      <c r="Q28" s="64">
        <v>9.1199999999999992</v>
      </c>
      <c r="R28" s="198"/>
      <c r="S28" s="198"/>
      <c r="T28" s="198"/>
      <c r="U28" s="198"/>
    </row>
    <row r="29" spans="1:21" s="12" customFormat="1" x14ac:dyDescent="0.25">
      <c r="A29" s="214" t="s">
        <v>2476</v>
      </c>
      <c r="B29" s="64">
        <v>3.34</v>
      </c>
      <c r="C29" s="64">
        <v>22.32</v>
      </c>
      <c r="D29" s="64">
        <v>14.27</v>
      </c>
      <c r="E29" s="64">
        <v>1.24</v>
      </c>
      <c r="F29" s="64">
        <v>4.2</v>
      </c>
      <c r="G29" s="64">
        <v>9.9499999999999993</v>
      </c>
      <c r="H29" s="64">
        <v>6.1</v>
      </c>
      <c r="I29" s="64">
        <v>4.5599999999999996</v>
      </c>
      <c r="J29" s="64">
        <v>0.27</v>
      </c>
      <c r="K29" s="64">
        <v>212.41</v>
      </c>
      <c r="L29" s="64">
        <v>22.84</v>
      </c>
      <c r="M29" s="64">
        <v>57.7</v>
      </c>
      <c r="N29" s="64">
        <v>17</v>
      </c>
      <c r="O29" s="64">
        <v>0</v>
      </c>
      <c r="P29" s="64">
        <v>0.39</v>
      </c>
      <c r="Q29" s="64">
        <v>9.1300000000000008</v>
      </c>
      <c r="R29" s="198"/>
      <c r="S29" s="198"/>
      <c r="T29" s="198"/>
      <c r="U29" s="198"/>
    </row>
    <row r="30" spans="1:21" s="12" customFormat="1" x14ac:dyDescent="0.25">
      <c r="A30" s="214" t="s">
        <v>2477</v>
      </c>
      <c r="B30" s="64">
        <v>2.29</v>
      </c>
      <c r="C30" s="64">
        <v>22.66</v>
      </c>
      <c r="D30" s="64">
        <v>13.59</v>
      </c>
      <c r="E30" s="64">
        <v>1.27</v>
      </c>
      <c r="F30" s="64">
        <v>4.1500000000000004</v>
      </c>
      <c r="G30" s="64">
        <v>7.29</v>
      </c>
      <c r="H30" s="64">
        <v>3.84</v>
      </c>
      <c r="I30" s="64">
        <v>3.86</v>
      </c>
      <c r="J30" s="64">
        <v>0.1</v>
      </c>
      <c r="K30" s="64">
        <v>221.74</v>
      </c>
      <c r="L30" s="64">
        <v>22.44</v>
      </c>
      <c r="M30" s="64">
        <v>61.8</v>
      </c>
      <c r="N30" s="64">
        <v>17.7</v>
      </c>
      <c r="O30" s="64">
        <v>0</v>
      </c>
      <c r="P30" s="64">
        <v>0.35</v>
      </c>
      <c r="Q30" s="64">
        <v>9.1199999999999992</v>
      </c>
      <c r="R30" s="198"/>
      <c r="S30" s="198"/>
      <c r="T30" s="198"/>
      <c r="U30" s="198"/>
    </row>
    <row r="31" spans="1:21" s="12" customFormat="1" x14ac:dyDescent="0.25">
      <c r="A31" s="214" t="s">
        <v>2478</v>
      </c>
      <c r="B31" s="64">
        <v>2.54</v>
      </c>
      <c r="C31" s="64">
        <v>22.58</v>
      </c>
      <c r="D31" s="64">
        <v>13.75</v>
      </c>
      <c r="E31" s="64">
        <v>0.98</v>
      </c>
      <c r="F31" s="64">
        <v>3.75</v>
      </c>
      <c r="G31" s="64">
        <v>7.29</v>
      </c>
      <c r="H31" s="64">
        <v>3.84</v>
      </c>
      <c r="I31" s="64">
        <v>3.77</v>
      </c>
      <c r="J31" s="64">
        <v>0.13</v>
      </c>
      <c r="K31" s="64">
        <v>6.33</v>
      </c>
      <c r="L31" s="64">
        <v>22.88</v>
      </c>
      <c r="M31" s="64">
        <v>59.3</v>
      </c>
      <c r="N31" s="64">
        <v>19.2</v>
      </c>
      <c r="O31" s="64">
        <v>0</v>
      </c>
      <c r="P31" s="64">
        <v>0.34</v>
      </c>
      <c r="Q31" s="64">
        <v>9.1300000000000008</v>
      </c>
      <c r="R31" s="198"/>
      <c r="S31" s="198"/>
      <c r="T31" s="198"/>
      <c r="U31" s="198"/>
    </row>
    <row r="32" spans="1:21" s="12" customFormat="1" x14ac:dyDescent="0.25">
      <c r="A32" s="214" t="s">
        <v>2479</v>
      </c>
      <c r="B32" s="64">
        <v>2.67</v>
      </c>
      <c r="C32" s="64">
        <v>22.58</v>
      </c>
      <c r="D32" s="64">
        <v>13.86</v>
      </c>
      <c r="E32" s="64">
        <v>0.95</v>
      </c>
      <c r="F32" s="64">
        <v>3.82</v>
      </c>
      <c r="G32" s="64">
        <v>8.5299999999999994</v>
      </c>
      <c r="H32" s="64">
        <v>4.0199999999999996</v>
      </c>
      <c r="I32" s="64">
        <v>3.88</v>
      </c>
      <c r="J32" s="64">
        <v>0.18</v>
      </c>
      <c r="K32" s="64">
        <v>338.82</v>
      </c>
      <c r="L32" s="64">
        <v>23.13</v>
      </c>
      <c r="M32" s="64">
        <v>59.33</v>
      </c>
      <c r="N32" s="64">
        <v>23.5</v>
      </c>
      <c r="O32" s="64">
        <v>0</v>
      </c>
      <c r="P32" s="64">
        <v>0.34</v>
      </c>
      <c r="Q32" s="64">
        <v>9.14</v>
      </c>
      <c r="R32" s="198"/>
      <c r="S32" s="198"/>
      <c r="T32" s="198"/>
      <c r="U32" s="198"/>
    </row>
    <row r="33" spans="1:21" s="12" customFormat="1" x14ac:dyDescent="0.25">
      <c r="A33" s="214" t="s">
        <v>2480</v>
      </c>
      <c r="B33" s="64">
        <v>2.83</v>
      </c>
      <c r="C33" s="64">
        <v>22.57</v>
      </c>
      <c r="D33" s="64">
        <v>13.98</v>
      </c>
      <c r="E33" s="64">
        <v>1.21</v>
      </c>
      <c r="F33" s="64">
        <v>3.8</v>
      </c>
      <c r="G33" s="64">
        <v>29.65</v>
      </c>
      <c r="H33" s="64">
        <v>6.57</v>
      </c>
      <c r="I33" s="64">
        <v>3.8</v>
      </c>
      <c r="J33" s="64">
        <v>0.01</v>
      </c>
      <c r="K33" s="64">
        <v>310.51</v>
      </c>
      <c r="L33" s="64">
        <v>23.18</v>
      </c>
      <c r="M33" s="64">
        <v>59.54</v>
      </c>
      <c r="N33" s="64">
        <v>28.5</v>
      </c>
      <c r="O33" s="64">
        <v>0</v>
      </c>
      <c r="P33" s="64">
        <v>0.33</v>
      </c>
      <c r="Q33" s="64">
        <v>9.1300000000000008</v>
      </c>
      <c r="R33" s="198"/>
      <c r="S33" s="198"/>
      <c r="T33" s="198"/>
      <c r="U33" s="198"/>
    </row>
    <row r="34" spans="1:21" s="12" customFormat="1" x14ac:dyDescent="0.25">
      <c r="A34" s="214" t="s">
        <v>2481</v>
      </c>
      <c r="B34" s="64">
        <v>2.95</v>
      </c>
      <c r="C34" s="64">
        <v>22.46</v>
      </c>
      <c r="D34" s="64">
        <v>14.02</v>
      </c>
      <c r="E34" s="64">
        <v>1.26</v>
      </c>
      <c r="F34" s="64">
        <v>3.83</v>
      </c>
      <c r="G34" s="64">
        <v>29.65</v>
      </c>
      <c r="H34" s="64">
        <v>6.57</v>
      </c>
      <c r="I34" s="64">
        <v>3.77</v>
      </c>
      <c r="J34" s="64">
        <v>0.28999999999999998</v>
      </c>
      <c r="K34" s="64">
        <v>191.17</v>
      </c>
      <c r="L34" s="64">
        <v>23.2</v>
      </c>
      <c r="M34" s="64">
        <v>59.69</v>
      </c>
      <c r="N34" s="64">
        <v>51.1</v>
      </c>
      <c r="O34" s="64">
        <v>0</v>
      </c>
      <c r="P34" s="64">
        <v>0.33</v>
      </c>
      <c r="Q34" s="64">
        <v>9.1300000000000008</v>
      </c>
      <c r="R34" s="198"/>
      <c r="S34" s="198"/>
      <c r="T34" s="198"/>
      <c r="U34" s="198"/>
    </row>
    <row r="35" spans="1:21" s="12" customFormat="1" x14ac:dyDescent="0.25">
      <c r="A35" s="214" t="s">
        <v>2482</v>
      </c>
      <c r="B35" s="64">
        <v>3.16</v>
      </c>
      <c r="C35" s="64">
        <v>22.03</v>
      </c>
      <c r="D35" s="64">
        <v>13.96</v>
      </c>
      <c r="E35" s="64">
        <v>1.27</v>
      </c>
      <c r="F35" s="64">
        <v>3.85</v>
      </c>
      <c r="G35" s="64">
        <v>29.65</v>
      </c>
      <c r="H35" s="64">
        <v>6.57</v>
      </c>
      <c r="I35" s="64">
        <v>3.68</v>
      </c>
      <c r="J35" s="64">
        <v>0.06</v>
      </c>
      <c r="K35" s="64">
        <v>214.61</v>
      </c>
      <c r="L35" s="64">
        <v>23.2</v>
      </c>
      <c r="M35" s="64">
        <v>61.13</v>
      </c>
      <c r="N35" s="64">
        <v>66.3</v>
      </c>
      <c r="O35" s="64">
        <v>0</v>
      </c>
      <c r="P35" s="64">
        <v>0.32</v>
      </c>
      <c r="Q35" s="64">
        <v>9.1199999999999992</v>
      </c>
      <c r="R35" s="198"/>
      <c r="S35" s="198"/>
      <c r="T35" s="198"/>
      <c r="U35" s="198"/>
    </row>
    <row r="36" spans="1:21" s="12" customFormat="1" x14ac:dyDescent="0.25">
      <c r="A36" s="214" t="s">
        <v>2483</v>
      </c>
      <c r="B36" s="64">
        <v>3.5</v>
      </c>
      <c r="C36" s="64">
        <v>21.83</v>
      </c>
      <c r="D36" s="64">
        <v>14.13</v>
      </c>
      <c r="E36" s="64">
        <v>0.98</v>
      </c>
      <c r="F36" s="64">
        <v>3.77</v>
      </c>
      <c r="G36" s="64">
        <v>29</v>
      </c>
      <c r="H36" s="64">
        <v>6.57</v>
      </c>
      <c r="I36" s="64">
        <v>3.76</v>
      </c>
      <c r="J36" s="64">
        <v>0.11</v>
      </c>
      <c r="K36" s="64">
        <v>319.97000000000003</v>
      </c>
      <c r="L36" s="64">
        <v>23.48</v>
      </c>
      <c r="M36" s="64">
        <v>62.08</v>
      </c>
      <c r="N36" s="64">
        <v>94.4</v>
      </c>
      <c r="O36" s="64">
        <v>0</v>
      </c>
      <c r="P36" s="64">
        <v>0.32</v>
      </c>
      <c r="Q36" s="64">
        <v>9.11</v>
      </c>
      <c r="R36" s="198"/>
      <c r="S36" s="198"/>
      <c r="T36" s="198"/>
      <c r="U36" s="198"/>
    </row>
    <row r="37" spans="1:21" s="12" customFormat="1" x14ac:dyDescent="0.25">
      <c r="A37" s="214" t="s">
        <v>2484</v>
      </c>
      <c r="B37" s="64">
        <v>4.6100000000000003</v>
      </c>
      <c r="C37" s="64">
        <v>22.03</v>
      </c>
      <c r="D37" s="64">
        <v>15.13</v>
      </c>
      <c r="E37" s="64">
        <v>1.1499999999999999</v>
      </c>
      <c r="F37" s="64">
        <v>3.52</v>
      </c>
      <c r="G37" s="64">
        <v>19.88</v>
      </c>
      <c r="H37" s="64">
        <v>6.7</v>
      </c>
      <c r="I37" s="64">
        <v>3.93</v>
      </c>
      <c r="J37" s="64">
        <v>0.11</v>
      </c>
      <c r="K37" s="64">
        <v>110.98</v>
      </c>
      <c r="L37" s="64">
        <v>24.39</v>
      </c>
      <c r="M37" s="64">
        <v>60.77</v>
      </c>
      <c r="N37" s="64">
        <v>195.9</v>
      </c>
      <c r="O37" s="64">
        <v>0</v>
      </c>
      <c r="P37" s="64">
        <v>0.32</v>
      </c>
      <c r="Q37" s="64">
        <v>9.16</v>
      </c>
      <c r="R37" s="198"/>
      <c r="S37" s="198"/>
      <c r="T37" s="198"/>
      <c r="U37" s="198"/>
    </row>
    <row r="38" spans="1:21" s="12" customFormat="1" x14ac:dyDescent="0.25">
      <c r="A38" s="214" t="s">
        <v>2485</v>
      </c>
      <c r="B38" s="64">
        <v>5.76</v>
      </c>
      <c r="C38" s="64">
        <v>21.89</v>
      </c>
      <c r="D38" s="64">
        <v>15.97</v>
      </c>
      <c r="E38" s="64">
        <v>1.41</v>
      </c>
      <c r="F38" s="64">
        <v>3.66</v>
      </c>
      <c r="G38" s="64">
        <v>19.88</v>
      </c>
      <c r="H38" s="64">
        <v>6.7</v>
      </c>
      <c r="I38" s="64">
        <v>4.1100000000000003</v>
      </c>
      <c r="J38" s="64">
        <v>0.13</v>
      </c>
      <c r="K38" s="64">
        <v>285.75</v>
      </c>
      <c r="L38" s="64">
        <v>25.2</v>
      </c>
      <c r="M38" s="64">
        <v>55.61</v>
      </c>
      <c r="N38" s="64">
        <v>151.9</v>
      </c>
      <c r="O38" s="64">
        <v>0</v>
      </c>
      <c r="P38" s="64">
        <v>0.35</v>
      </c>
      <c r="Q38" s="64">
        <v>9.14</v>
      </c>
      <c r="R38" s="198"/>
      <c r="S38" s="198"/>
      <c r="T38" s="198"/>
      <c r="U38" s="198"/>
    </row>
    <row r="39" spans="1:21" s="12" customFormat="1" x14ac:dyDescent="0.25">
      <c r="A39" s="214" t="s">
        <v>2486</v>
      </c>
      <c r="B39" s="64">
        <v>6</v>
      </c>
      <c r="C39" s="64">
        <v>21.83</v>
      </c>
      <c r="D39" s="64">
        <v>16.14</v>
      </c>
      <c r="E39" s="64">
        <v>1.17</v>
      </c>
      <c r="F39" s="64">
        <v>3.45</v>
      </c>
      <c r="G39" s="64">
        <v>19.88</v>
      </c>
      <c r="H39" s="64">
        <v>6.7</v>
      </c>
      <c r="I39" s="64">
        <v>4.18</v>
      </c>
      <c r="J39" s="64">
        <v>0.02</v>
      </c>
      <c r="K39" s="64">
        <v>301.20999999999998</v>
      </c>
      <c r="L39" s="64">
        <v>25.57</v>
      </c>
      <c r="M39" s="64">
        <v>54.13</v>
      </c>
      <c r="N39" s="64">
        <v>161.19999999999999</v>
      </c>
      <c r="O39" s="64">
        <v>0</v>
      </c>
      <c r="P39" s="64">
        <v>0.36</v>
      </c>
      <c r="Q39" s="64">
        <v>9.14</v>
      </c>
      <c r="R39" s="198"/>
      <c r="S39" s="198"/>
      <c r="T39" s="198"/>
      <c r="U39" s="198"/>
    </row>
    <row r="40" spans="1:21" s="12" customFormat="1" x14ac:dyDescent="0.25">
      <c r="A40" s="214" t="s">
        <v>2487</v>
      </c>
      <c r="B40" s="64">
        <v>6.12</v>
      </c>
      <c r="C40" s="64">
        <v>22.12</v>
      </c>
      <c r="D40" s="64">
        <v>16.39</v>
      </c>
      <c r="E40" s="64">
        <v>1.63</v>
      </c>
      <c r="F40" s="64">
        <v>3.52</v>
      </c>
      <c r="G40" s="64">
        <v>20.62</v>
      </c>
      <c r="H40" s="64">
        <v>6.77</v>
      </c>
      <c r="I40" s="64">
        <v>4.28</v>
      </c>
      <c r="J40" s="64">
        <v>0.76</v>
      </c>
      <c r="K40" s="64">
        <v>348.79</v>
      </c>
      <c r="L40" s="64">
        <v>26.88</v>
      </c>
      <c r="M40" s="64">
        <v>54.19</v>
      </c>
      <c r="N40" s="64">
        <v>339</v>
      </c>
      <c r="O40" s="64">
        <v>0</v>
      </c>
      <c r="P40" s="64">
        <v>0.37</v>
      </c>
      <c r="Q40" s="64">
        <v>9.15</v>
      </c>
      <c r="R40" s="198"/>
      <c r="S40" s="198"/>
      <c r="T40" s="198"/>
      <c r="U40" s="198"/>
    </row>
    <row r="41" spans="1:21" s="12" customFormat="1" x14ac:dyDescent="0.25">
      <c r="A41" s="214" t="s">
        <v>2488</v>
      </c>
      <c r="B41" s="64">
        <v>6.55</v>
      </c>
      <c r="C41" s="64">
        <v>22.5</v>
      </c>
      <c r="D41" s="64">
        <v>16.920000000000002</v>
      </c>
      <c r="E41" s="64">
        <v>1.17</v>
      </c>
      <c r="F41" s="64">
        <v>3.9</v>
      </c>
      <c r="G41" s="64">
        <v>33.21</v>
      </c>
      <c r="H41" s="64">
        <v>7.87</v>
      </c>
      <c r="I41" s="64">
        <v>4.32</v>
      </c>
      <c r="J41" s="64">
        <v>0.95</v>
      </c>
      <c r="K41" s="64">
        <v>342.82</v>
      </c>
      <c r="L41" s="64">
        <v>30.4</v>
      </c>
      <c r="M41" s="64">
        <v>44.66</v>
      </c>
      <c r="N41" s="64">
        <v>522.29999999999995</v>
      </c>
      <c r="O41" s="64">
        <v>0</v>
      </c>
      <c r="P41" s="64">
        <v>0.39</v>
      </c>
      <c r="Q41" s="64">
        <v>9.1300000000000008</v>
      </c>
      <c r="R41" s="198"/>
      <c r="S41" s="198"/>
      <c r="T41" s="198"/>
      <c r="U41" s="198"/>
    </row>
    <row r="42" spans="1:21" s="12" customFormat="1" x14ac:dyDescent="0.25">
      <c r="A42" s="214" t="s">
        <v>2489</v>
      </c>
      <c r="B42" s="64">
        <v>6.64</v>
      </c>
      <c r="C42" s="64">
        <v>22.83</v>
      </c>
      <c r="D42" s="64">
        <v>17.170000000000002</v>
      </c>
      <c r="E42" s="64">
        <v>1.6</v>
      </c>
      <c r="F42" s="64">
        <v>4.05</v>
      </c>
      <c r="G42" s="64">
        <v>33.21</v>
      </c>
      <c r="H42" s="64">
        <v>7.87</v>
      </c>
      <c r="I42" s="64">
        <v>4.43</v>
      </c>
      <c r="J42" s="64">
        <v>0.78</v>
      </c>
      <c r="K42" s="64">
        <v>340.07</v>
      </c>
      <c r="L42" s="64">
        <v>32.229999999999997</v>
      </c>
      <c r="M42" s="64">
        <v>41.44</v>
      </c>
      <c r="N42" s="64">
        <v>576.4</v>
      </c>
      <c r="O42" s="64">
        <v>0</v>
      </c>
      <c r="P42" s="64">
        <v>0.39</v>
      </c>
      <c r="Q42" s="64">
        <v>9.11</v>
      </c>
      <c r="R42" s="198"/>
      <c r="S42" s="198"/>
      <c r="T42" s="198"/>
      <c r="U42" s="198"/>
    </row>
    <row r="43" spans="1:21" s="12" customFormat="1" x14ac:dyDescent="0.25">
      <c r="A43" s="214" t="s">
        <v>2490</v>
      </c>
      <c r="B43" s="64">
        <v>6.57</v>
      </c>
      <c r="C43" s="64">
        <v>23.2</v>
      </c>
      <c r="D43" s="64">
        <v>17.309999999999999</v>
      </c>
      <c r="E43" s="64">
        <v>1.61</v>
      </c>
      <c r="F43" s="64">
        <v>3.76</v>
      </c>
      <c r="G43" s="64">
        <v>33.21</v>
      </c>
      <c r="H43" s="64">
        <v>7.87</v>
      </c>
      <c r="I43" s="64">
        <v>4.45</v>
      </c>
      <c r="J43" s="64">
        <v>0.31</v>
      </c>
      <c r="K43" s="64">
        <v>53.93</v>
      </c>
      <c r="L43" s="64">
        <v>31.13</v>
      </c>
      <c r="M43" s="64">
        <v>43.96</v>
      </c>
      <c r="N43" s="64">
        <v>600.4</v>
      </c>
      <c r="O43" s="64">
        <v>0</v>
      </c>
      <c r="P43" s="64">
        <v>0.41</v>
      </c>
      <c r="Q43" s="64">
        <v>9.11</v>
      </c>
      <c r="R43" s="198"/>
      <c r="S43" s="198"/>
      <c r="T43" s="198"/>
      <c r="U43" s="198"/>
    </row>
    <row r="44" spans="1:21" s="12" customFormat="1" x14ac:dyDescent="0.25">
      <c r="A44" s="214" t="s">
        <v>2491</v>
      </c>
      <c r="B44" s="64">
        <v>6.39</v>
      </c>
      <c r="C44" s="64">
        <v>23.37</v>
      </c>
      <c r="D44" s="64">
        <v>17.260000000000002</v>
      </c>
      <c r="E44" s="64">
        <v>1.05</v>
      </c>
      <c r="F44" s="64">
        <v>3.54</v>
      </c>
      <c r="G44" s="64">
        <v>33.020000000000003</v>
      </c>
      <c r="H44" s="64">
        <v>8.02</v>
      </c>
      <c r="I44" s="64">
        <v>4.54</v>
      </c>
      <c r="J44" s="64">
        <v>0.38</v>
      </c>
      <c r="K44" s="64">
        <v>355.74</v>
      </c>
      <c r="L44" s="64">
        <v>31.58</v>
      </c>
      <c r="M44" s="64">
        <v>40.700000000000003</v>
      </c>
      <c r="N44" s="64">
        <v>670.3</v>
      </c>
      <c r="O44" s="64">
        <v>0</v>
      </c>
      <c r="P44" s="64">
        <v>0.41</v>
      </c>
      <c r="Q44" s="64">
        <v>9.14</v>
      </c>
      <c r="R44" s="198"/>
      <c r="S44" s="198"/>
      <c r="T44" s="198"/>
      <c r="U44" s="198"/>
    </row>
    <row r="45" spans="1:21" s="12" customFormat="1" x14ac:dyDescent="0.25">
      <c r="A45" s="214" t="s">
        <v>2492</v>
      </c>
      <c r="B45" s="64">
        <v>6.07</v>
      </c>
      <c r="C45" s="64">
        <v>23.98</v>
      </c>
      <c r="D45" s="64">
        <v>17.32</v>
      </c>
      <c r="E45" s="64">
        <v>1.28</v>
      </c>
      <c r="F45" s="64">
        <v>3.82</v>
      </c>
      <c r="G45" s="64">
        <v>30.3</v>
      </c>
      <c r="H45" s="64">
        <v>10.44</v>
      </c>
      <c r="I45" s="64">
        <v>4.62</v>
      </c>
      <c r="J45" s="64">
        <v>0.53</v>
      </c>
      <c r="K45" s="64">
        <v>344.65</v>
      </c>
      <c r="L45" s="64">
        <v>34.049999999999997</v>
      </c>
      <c r="M45" s="64">
        <v>35.270000000000003</v>
      </c>
      <c r="N45" s="64">
        <v>715.6</v>
      </c>
      <c r="O45" s="64">
        <v>0</v>
      </c>
      <c r="P45" s="64">
        <v>0.42</v>
      </c>
      <c r="Q45" s="64">
        <v>9.1199999999999992</v>
      </c>
      <c r="R45" s="198"/>
      <c r="S45" s="198"/>
      <c r="T45" s="198"/>
      <c r="U45" s="198"/>
    </row>
    <row r="46" spans="1:21" s="12" customFormat="1" x14ac:dyDescent="0.25">
      <c r="A46" s="214" t="s">
        <v>2493</v>
      </c>
      <c r="B46" s="64">
        <v>5.69</v>
      </c>
      <c r="C46" s="64">
        <v>24.71</v>
      </c>
      <c r="D46" s="64">
        <v>17.39</v>
      </c>
      <c r="E46" s="64">
        <v>1.19</v>
      </c>
      <c r="F46" s="64">
        <v>3.87</v>
      </c>
      <c r="G46" s="64">
        <v>30.3</v>
      </c>
      <c r="H46" s="64">
        <v>10.44</v>
      </c>
      <c r="I46" s="64">
        <v>4.8099999999999996</v>
      </c>
      <c r="J46" s="64">
        <v>0.18</v>
      </c>
      <c r="K46" s="64">
        <v>164.82</v>
      </c>
      <c r="L46" s="64">
        <v>33.67</v>
      </c>
      <c r="M46" s="64">
        <v>35.090000000000003</v>
      </c>
      <c r="N46" s="64">
        <v>762.8</v>
      </c>
      <c r="O46" s="64">
        <v>0</v>
      </c>
      <c r="P46" s="64">
        <v>0.44</v>
      </c>
      <c r="Q46" s="64">
        <v>9.1199999999999992</v>
      </c>
      <c r="R46" s="198"/>
      <c r="S46" s="198"/>
      <c r="T46" s="198"/>
      <c r="U46" s="198"/>
    </row>
    <row r="47" spans="1:21" s="12" customFormat="1" x14ac:dyDescent="0.25">
      <c r="A47" s="214" t="s">
        <v>2494</v>
      </c>
      <c r="B47" s="64">
        <v>5.03</v>
      </c>
      <c r="C47" s="64">
        <v>25.86</v>
      </c>
      <c r="D47" s="64">
        <v>17.47</v>
      </c>
      <c r="E47" s="64">
        <v>1.37</v>
      </c>
      <c r="F47" s="64">
        <v>4.16</v>
      </c>
      <c r="G47" s="64">
        <v>30.3</v>
      </c>
      <c r="H47" s="64">
        <v>10.44</v>
      </c>
      <c r="I47" s="64">
        <v>4.99</v>
      </c>
      <c r="J47" s="64">
        <v>0.04</v>
      </c>
      <c r="K47" s="64">
        <v>325.10000000000002</v>
      </c>
      <c r="L47" s="64">
        <v>33</v>
      </c>
      <c r="M47" s="64">
        <v>37.17</v>
      </c>
      <c r="N47" s="64">
        <v>813.1</v>
      </c>
      <c r="O47" s="64">
        <v>0</v>
      </c>
      <c r="P47" s="64">
        <v>0.44</v>
      </c>
      <c r="Q47" s="64">
        <v>9.1199999999999992</v>
      </c>
      <c r="R47" s="198"/>
      <c r="S47" s="198"/>
      <c r="T47" s="198"/>
      <c r="U47" s="198"/>
    </row>
    <row r="48" spans="1:21" s="12" customFormat="1" x14ac:dyDescent="0.25">
      <c r="A48" s="214" t="s">
        <v>2495</v>
      </c>
      <c r="B48" s="64">
        <v>4.45</v>
      </c>
      <c r="C48" s="64">
        <v>26.13</v>
      </c>
      <c r="D48" s="64">
        <v>17.14</v>
      </c>
      <c r="E48" s="64">
        <v>1.27</v>
      </c>
      <c r="F48" s="64">
        <v>4.1399999999999997</v>
      </c>
      <c r="G48" s="64">
        <v>30.72</v>
      </c>
      <c r="H48" s="64">
        <v>10.66</v>
      </c>
      <c r="I48" s="64">
        <v>5.0599999999999996</v>
      </c>
      <c r="J48" s="64">
        <v>0.25</v>
      </c>
      <c r="K48" s="64">
        <v>334.72</v>
      </c>
      <c r="L48" s="64">
        <v>34</v>
      </c>
      <c r="M48" s="64">
        <v>36.42</v>
      </c>
      <c r="N48" s="64">
        <v>846.4</v>
      </c>
      <c r="O48" s="64">
        <v>0</v>
      </c>
      <c r="P48" s="64">
        <v>0.44</v>
      </c>
      <c r="Q48" s="64">
        <v>9.1199999999999992</v>
      </c>
      <c r="R48" s="198"/>
      <c r="S48" s="198"/>
      <c r="T48" s="198"/>
      <c r="U48" s="198"/>
    </row>
    <row r="49" spans="1:21" s="12" customFormat="1" x14ac:dyDescent="0.25">
      <c r="A49" s="214" t="s">
        <v>2496</v>
      </c>
      <c r="B49" s="64">
        <v>4.0199999999999996</v>
      </c>
      <c r="C49" s="64">
        <v>26.75</v>
      </c>
      <c r="D49" s="64">
        <v>17.12</v>
      </c>
      <c r="E49" s="64">
        <v>1.19</v>
      </c>
      <c r="F49" s="64">
        <v>4.5599999999999996</v>
      </c>
      <c r="G49" s="64">
        <v>36.61</v>
      </c>
      <c r="H49" s="64">
        <v>14.27</v>
      </c>
      <c r="I49" s="64">
        <v>5.14</v>
      </c>
      <c r="J49" s="64">
        <v>0.37</v>
      </c>
      <c r="K49" s="64">
        <v>348.31</v>
      </c>
      <c r="L49" s="64">
        <v>34.39</v>
      </c>
      <c r="M49" s="64">
        <v>35.67</v>
      </c>
      <c r="N49" s="64">
        <v>864</v>
      </c>
      <c r="O49" s="64">
        <v>0</v>
      </c>
      <c r="P49" s="64">
        <v>0.45</v>
      </c>
      <c r="Q49" s="64">
        <v>9.1199999999999992</v>
      </c>
      <c r="R49" s="198"/>
      <c r="S49" s="198"/>
      <c r="T49" s="198"/>
      <c r="U49" s="198"/>
    </row>
    <row r="50" spans="1:21" s="12" customFormat="1" x14ac:dyDescent="0.25">
      <c r="A50" s="214" t="s">
        <v>2497</v>
      </c>
      <c r="B50" s="64">
        <v>3.81</v>
      </c>
      <c r="C50" s="64">
        <v>27.51</v>
      </c>
      <c r="D50" s="64">
        <v>17.34</v>
      </c>
      <c r="E50" s="64">
        <v>1.46</v>
      </c>
      <c r="F50" s="64">
        <v>4.42</v>
      </c>
      <c r="G50" s="64">
        <v>36.61</v>
      </c>
      <c r="H50" s="64">
        <v>14.27</v>
      </c>
      <c r="I50" s="64">
        <v>5.32</v>
      </c>
      <c r="J50" s="64">
        <v>0.69</v>
      </c>
      <c r="K50" s="64">
        <v>348.82</v>
      </c>
      <c r="L50" s="64">
        <v>36.130000000000003</v>
      </c>
      <c r="M50" s="64">
        <v>32.799999999999997</v>
      </c>
      <c r="N50" s="64">
        <v>894.7</v>
      </c>
      <c r="O50" s="64">
        <v>0</v>
      </c>
      <c r="P50" s="64">
        <v>0.48</v>
      </c>
      <c r="Q50" s="64">
        <v>9.1300000000000008</v>
      </c>
      <c r="R50" s="198"/>
      <c r="S50" s="198"/>
      <c r="T50" s="198"/>
      <c r="U50" s="198"/>
    </row>
    <row r="51" spans="1:21" s="12" customFormat="1" x14ac:dyDescent="0.25">
      <c r="A51" s="214" t="s">
        <v>2498</v>
      </c>
      <c r="B51" s="64">
        <v>3.76</v>
      </c>
      <c r="C51" s="64">
        <v>27.89</v>
      </c>
      <c r="D51" s="64">
        <v>17.5</v>
      </c>
      <c r="E51" s="64">
        <v>1.22</v>
      </c>
      <c r="F51" s="64">
        <v>4.4800000000000004</v>
      </c>
      <c r="G51" s="64">
        <v>36.61</v>
      </c>
      <c r="H51" s="64">
        <v>14.27</v>
      </c>
      <c r="I51" s="64">
        <v>5.58</v>
      </c>
      <c r="J51" s="64">
        <v>0.45</v>
      </c>
      <c r="K51" s="64">
        <v>326.01</v>
      </c>
      <c r="L51" s="64">
        <v>36.5</v>
      </c>
      <c r="M51" s="64">
        <v>32.22</v>
      </c>
      <c r="N51" s="64">
        <v>908.4</v>
      </c>
      <c r="O51" s="64">
        <v>0</v>
      </c>
      <c r="P51" s="64">
        <v>0.52</v>
      </c>
      <c r="Q51" s="64">
        <v>9.1300000000000008</v>
      </c>
      <c r="R51" s="198"/>
      <c r="S51" s="198"/>
      <c r="T51" s="198"/>
      <c r="U51" s="198"/>
    </row>
    <row r="52" spans="1:21" s="12" customFormat="1" x14ac:dyDescent="0.25">
      <c r="A52" s="214" t="s">
        <v>2499</v>
      </c>
      <c r="B52" s="64">
        <v>3.58</v>
      </c>
      <c r="C52" s="64">
        <v>28.41</v>
      </c>
      <c r="D52" s="64">
        <v>17.63</v>
      </c>
      <c r="E52" s="64">
        <v>1.24</v>
      </c>
      <c r="F52" s="64">
        <v>4.6500000000000004</v>
      </c>
      <c r="G52" s="64">
        <v>37.74</v>
      </c>
      <c r="H52" s="64">
        <v>14.06</v>
      </c>
      <c r="I52" s="64">
        <v>6.02</v>
      </c>
      <c r="J52" s="64">
        <v>0.78</v>
      </c>
      <c r="K52" s="64">
        <v>327.69</v>
      </c>
      <c r="L52" s="64">
        <v>37.619999999999997</v>
      </c>
      <c r="M52" s="64">
        <v>30.72</v>
      </c>
      <c r="N52" s="64">
        <v>930.8</v>
      </c>
      <c r="O52" s="64">
        <v>0</v>
      </c>
      <c r="P52" s="64">
        <v>0.56999999999999995</v>
      </c>
      <c r="Q52" s="64">
        <v>9.14</v>
      </c>
      <c r="R52" s="198"/>
      <c r="S52" s="198"/>
      <c r="T52" s="198"/>
      <c r="U52" s="198"/>
    </row>
    <row r="53" spans="1:21" s="12" customFormat="1" x14ac:dyDescent="0.25">
      <c r="A53" s="214" t="s">
        <v>2500</v>
      </c>
      <c r="B53" s="64">
        <v>3.39</v>
      </c>
      <c r="C53" s="64">
        <v>29.23</v>
      </c>
      <c r="D53" s="64">
        <v>17.91</v>
      </c>
      <c r="E53" s="64">
        <v>1.1599999999999999</v>
      </c>
      <c r="F53" s="64">
        <v>4.66</v>
      </c>
      <c r="G53" s="64">
        <v>53.6</v>
      </c>
      <c r="H53" s="64">
        <v>10.53</v>
      </c>
      <c r="I53" s="64">
        <v>6.38</v>
      </c>
      <c r="J53" s="64">
        <v>0.53</v>
      </c>
      <c r="K53" s="64">
        <v>318.04000000000002</v>
      </c>
      <c r="L53" s="64">
        <v>38.1</v>
      </c>
      <c r="M53" s="64">
        <v>29.18</v>
      </c>
      <c r="N53" s="64">
        <v>948.6</v>
      </c>
      <c r="O53" s="64">
        <v>0</v>
      </c>
      <c r="P53" s="64">
        <v>0.61</v>
      </c>
      <c r="Q53" s="64">
        <v>9.1199999999999992</v>
      </c>
      <c r="R53" s="198"/>
      <c r="S53" s="198"/>
      <c r="T53" s="198"/>
      <c r="U53" s="198"/>
    </row>
    <row r="54" spans="1:21" s="12" customFormat="1" x14ac:dyDescent="0.25">
      <c r="A54" s="214" t="s">
        <v>2501</v>
      </c>
      <c r="B54" s="64">
        <v>3.11</v>
      </c>
      <c r="C54" s="64">
        <v>29.83</v>
      </c>
      <c r="D54" s="64">
        <v>18</v>
      </c>
      <c r="E54" s="64">
        <v>1.25</v>
      </c>
      <c r="F54" s="64">
        <v>4.92</v>
      </c>
      <c r="G54" s="64">
        <v>53.6</v>
      </c>
      <c r="H54" s="64">
        <v>10.53</v>
      </c>
      <c r="I54" s="64">
        <v>6.65</v>
      </c>
      <c r="J54" s="64">
        <v>0.69</v>
      </c>
      <c r="K54" s="64">
        <v>329.46</v>
      </c>
      <c r="L54" s="64">
        <v>38.119999999999997</v>
      </c>
      <c r="M54" s="64">
        <v>28.87</v>
      </c>
      <c r="N54" s="64">
        <v>968.6</v>
      </c>
      <c r="O54" s="64">
        <v>0</v>
      </c>
      <c r="P54" s="64">
        <v>0.65</v>
      </c>
      <c r="Q54" s="64">
        <v>9.11</v>
      </c>
      <c r="R54" s="198"/>
      <c r="S54" s="198"/>
      <c r="T54" s="198"/>
      <c r="U54" s="198"/>
    </row>
    <row r="55" spans="1:21" s="12" customFormat="1" x14ac:dyDescent="0.25">
      <c r="A55" s="214" t="s">
        <v>2502</v>
      </c>
      <c r="B55" s="64">
        <v>2.8</v>
      </c>
      <c r="C55" s="64">
        <v>31.13</v>
      </c>
      <c r="D55" s="64">
        <v>18.43</v>
      </c>
      <c r="E55" s="64">
        <v>1.47</v>
      </c>
      <c r="F55" s="64">
        <v>5.61</v>
      </c>
      <c r="G55" s="64">
        <v>53.6</v>
      </c>
      <c r="H55" s="64">
        <v>10.53</v>
      </c>
      <c r="I55" s="64">
        <v>6.85</v>
      </c>
      <c r="J55" s="64">
        <v>0.99</v>
      </c>
      <c r="K55" s="64">
        <v>331.25</v>
      </c>
      <c r="L55" s="64">
        <v>38.47</v>
      </c>
      <c r="M55" s="64">
        <v>28.01</v>
      </c>
      <c r="N55" s="64">
        <v>833.3</v>
      </c>
      <c r="O55" s="64">
        <v>0</v>
      </c>
      <c r="P55" s="64">
        <v>0.69</v>
      </c>
      <c r="Q55" s="64">
        <v>9.1</v>
      </c>
      <c r="R55" s="198"/>
      <c r="S55" s="198"/>
      <c r="T55" s="198"/>
      <c r="U55" s="198"/>
    </row>
    <row r="56" spans="1:21" s="12" customFormat="1" x14ac:dyDescent="0.25">
      <c r="A56" s="214" t="s">
        <v>2503</v>
      </c>
      <c r="B56" s="64">
        <v>2.67</v>
      </c>
      <c r="C56" s="64">
        <v>34.06</v>
      </c>
      <c r="D56" s="64">
        <v>19.86</v>
      </c>
      <c r="E56" s="64">
        <v>1.86</v>
      </c>
      <c r="F56" s="64">
        <v>5.53</v>
      </c>
      <c r="G56" s="64">
        <v>53.99</v>
      </c>
      <c r="H56" s="64">
        <v>10.62</v>
      </c>
      <c r="I56" s="64">
        <v>7</v>
      </c>
      <c r="J56" s="64">
        <v>0.59</v>
      </c>
      <c r="K56" s="64">
        <v>344.8</v>
      </c>
      <c r="L56" s="64">
        <v>37.97</v>
      </c>
      <c r="M56" s="64">
        <v>27.36</v>
      </c>
      <c r="N56" s="64">
        <v>655</v>
      </c>
      <c r="O56" s="64">
        <v>0</v>
      </c>
      <c r="P56" s="64">
        <v>0.72</v>
      </c>
      <c r="Q56" s="64">
        <v>9.14</v>
      </c>
      <c r="R56" s="198"/>
      <c r="S56" s="198"/>
      <c r="T56" s="198"/>
      <c r="U56" s="198"/>
    </row>
    <row r="57" spans="1:21" s="12" customFormat="1" x14ac:dyDescent="0.25">
      <c r="A57" s="214" t="s">
        <v>2504</v>
      </c>
      <c r="B57" s="64">
        <v>2.63</v>
      </c>
      <c r="C57" s="64">
        <v>36.75</v>
      </c>
      <c r="D57" s="64">
        <v>21.23</v>
      </c>
      <c r="E57" s="64">
        <v>2.1</v>
      </c>
      <c r="F57" s="64">
        <v>4.3899999999999997</v>
      </c>
      <c r="G57" s="64">
        <v>59.4</v>
      </c>
      <c r="H57" s="64">
        <v>12.06</v>
      </c>
      <c r="I57" s="64">
        <v>7.1</v>
      </c>
      <c r="J57" s="64">
        <v>0.15</v>
      </c>
      <c r="K57" s="64">
        <v>324.12</v>
      </c>
      <c r="L57" s="64">
        <v>36.869999999999997</v>
      </c>
      <c r="M57" s="64">
        <v>28.89</v>
      </c>
      <c r="N57" s="64">
        <v>658.3</v>
      </c>
      <c r="O57" s="64">
        <v>0</v>
      </c>
      <c r="P57" s="64">
        <v>0.74</v>
      </c>
      <c r="Q57" s="64">
        <v>9.14</v>
      </c>
      <c r="R57" s="198"/>
      <c r="S57" s="198"/>
      <c r="T57" s="198"/>
      <c r="U57" s="198"/>
    </row>
    <row r="58" spans="1:21" s="12" customFormat="1" x14ac:dyDescent="0.25">
      <c r="A58" s="214" t="s">
        <v>2505</v>
      </c>
      <c r="B58" s="64">
        <v>2.33</v>
      </c>
      <c r="C58" s="64">
        <v>35.32</v>
      </c>
      <c r="D58" s="64">
        <v>20.239999999999998</v>
      </c>
      <c r="E58" s="64">
        <v>1.99</v>
      </c>
      <c r="F58" s="64">
        <v>5.68</v>
      </c>
      <c r="G58" s="64">
        <v>59.4</v>
      </c>
      <c r="H58" s="64">
        <v>12.06</v>
      </c>
      <c r="I58" s="64">
        <v>7.21</v>
      </c>
      <c r="J58" s="64">
        <v>0.66</v>
      </c>
      <c r="K58" s="64">
        <v>321.89999999999998</v>
      </c>
      <c r="L58" s="64">
        <v>37.24</v>
      </c>
      <c r="M58" s="64">
        <v>28.73</v>
      </c>
      <c r="N58" s="64">
        <v>688.8</v>
      </c>
      <c r="O58" s="64">
        <v>0</v>
      </c>
      <c r="P58" s="64">
        <v>0.77</v>
      </c>
      <c r="Q58" s="64">
        <v>9.16</v>
      </c>
      <c r="R58" s="198"/>
      <c r="S58" s="198"/>
      <c r="T58" s="198"/>
      <c r="U58" s="198"/>
    </row>
    <row r="59" spans="1:21" s="12" customFormat="1" x14ac:dyDescent="0.25">
      <c r="A59" s="214" t="s">
        <v>2506</v>
      </c>
      <c r="B59" s="64">
        <v>2.23</v>
      </c>
      <c r="C59" s="64">
        <v>36.130000000000003</v>
      </c>
      <c r="D59" s="64">
        <v>20.59</v>
      </c>
      <c r="E59" s="64">
        <v>1.93</v>
      </c>
      <c r="F59" s="64">
        <v>4.33</v>
      </c>
      <c r="G59" s="64">
        <v>59.4</v>
      </c>
      <c r="H59" s="64">
        <v>12.06</v>
      </c>
      <c r="I59" s="64">
        <v>7.25</v>
      </c>
      <c r="J59" s="64">
        <v>0.37</v>
      </c>
      <c r="K59" s="64">
        <v>11.69</v>
      </c>
      <c r="L59" s="64">
        <v>36.72</v>
      </c>
      <c r="M59" s="64">
        <v>28.27</v>
      </c>
      <c r="N59" s="64">
        <v>446.7</v>
      </c>
      <c r="O59" s="64">
        <v>0</v>
      </c>
      <c r="P59" s="64">
        <v>0.79</v>
      </c>
      <c r="Q59" s="64">
        <v>9.1300000000000008</v>
      </c>
      <c r="R59" s="198"/>
      <c r="S59" s="198"/>
      <c r="T59" s="198"/>
      <c r="U59" s="198"/>
    </row>
    <row r="60" spans="1:21" s="12" customFormat="1" x14ac:dyDescent="0.25">
      <c r="A60" s="214" t="s">
        <v>2507</v>
      </c>
      <c r="B60" s="64">
        <v>2.0299999999999998</v>
      </c>
      <c r="C60" s="64">
        <v>34.19</v>
      </c>
      <c r="D60" s="64">
        <v>19.41</v>
      </c>
      <c r="E60" s="64">
        <v>1.91</v>
      </c>
      <c r="F60" s="64">
        <v>5.25</v>
      </c>
      <c r="G60" s="64">
        <v>59.14</v>
      </c>
      <c r="H60" s="64">
        <v>11.76</v>
      </c>
      <c r="I60" s="64">
        <v>7.47</v>
      </c>
      <c r="J60" s="64">
        <v>0.16</v>
      </c>
      <c r="K60" s="64">
        <v>347.84</v>
      </c>
      <c r="L60" s="64">
        <v>35.869999999999997</v>
      </c>
      <c r="M60" s="64">
        <v>28.52</v>
      </c>
      <c r="N60" s="64">
        <v>462.2</v>
      </c>
      <c r="O60" s="64">
        <v>0</v>
      </c>
      <c r="P60" s="64">
        <v>0.81</v>
      </c>
      <c r="Q60" s="64">
        <v>9.09</v>
      </c>
      <c r="R60" s="198"/>
      <c r="S60" s="198"/>
      <c r="T60" s="198"/>
      <c r="U60" s="198"/>
    </row>
    <row r="61" spans="1:21" s="12" customFormat="1" x14ac:dyDescent="0.25">
      <c r="A61" s="214" t="s">
        <v>2508</v>
      </c>
      <c r="B61" s="64">
        <v>1.87</v>
      </c>
      <c r="C61" s="64">
        <v>33.26</v>
      </c>
      <c r="D61" s="64">
        <v>18.8</v>
      </c>
      <c r="E61" s="64">
        <v>1.96</v>
      </c>
      <c r="F61" s="64">
        <v>5.45</v>
      </c>
      <c r="G61" s="64">
        <v>55.48</v>
      </c>
      <c r="H61" s="64">
        <v>7.48</v>
      </c>
      <c r="I61" s="64">
        <v>7.74</v>
      </c>
      <c r="J61" s="64">
        <v>0.65</v>
      </c>
      <c r="K61" s="64">
        <v>326.55</v>
      </c>
      <c r="L61" s="64">
        <v>37.5</v>
      </c>
      <c r="M61" s="64">
        <v>27.5</v>
      </c>
      <c r="N61" s="64">
        <v>768.3</v>
      </c>
      <c r="O61" s="64">
        <v>0</v>
      </c>
      <c r="P61" s="64">
        <v>0.7</v>
      </c>
      <c r="Q61" s="64">
        <v>9.1</v>
      </c>
      <c r="R61" s="198"/>
      <c r="S61" s="198"/>
      <c r="T61" s="198"/>
      <c r="U61" s="198"/>
    </row>
    <row r="62" spans="1:21" s="12" customFormat="1" x14ac:dyDescent="0.25">
      <c r="A62" s="214" t="s">
        <v>2509</v>
      </c>
      <c r="B62" s="64">
        <v>1.69</v>
      </c>
      <c r="C62" s="64">
        <v>32.28</v>
      </c>
      <c r="D62" s="64">
        <v>18.14</v>
      </c>
      <c r="E62" s="64">
        <v>2</v>
      </c>
      <c r="F62" s="64">
        <v>5.89</v>
      </c>
      <c r="G62" s="64">
        <v>55.48</v>
      </c>
      <c r="H62" s="64">
        <v>7.48</v>
      </c>
      <c r="I62" s="64">
        <v>7.99</v>
      </c>
      <c r="J62" s="64">
        <v>0.28999999999999998</v>
      </c>
      <c r="K62" s="64">
        <v>302.85000000000002</v>
      </c>
      <c r="L62" s="64">
        <v>38.08</v>
      </c>
      <c r="M62" s="64">
        <v>25.41</v>
      </c>
      <c r="N62" s="64">
        <v>760.2</v>
      </c>
      <c r="O62" s="64">
        <v>0</v>
      </c>
      <c r="P62" s="64">
        <v>0.75</v>
      </c>
      <c r="Q62" s="64">
        <v>9.14</v>
      </c>
      <c r="R62" s="198"/>
      <c r="S62" s="198"/>
      <c r="T62" s="198"/>
      <c r="U62" s="198"/>
    </row>
    <row r="63" spans="1:21" s="12" customFormat="1" x14ac:dyDescent="0.25">
      <c r="A63" s="214" t="s">
        <v>2510</v>
      </c>
      <c r="B63" s="64">
        <v>1.46</v>
      </c>
      <c r="C63" s="64">
        <v>31.6</v>
      </c>
      <c r="D63" s="64">
        <v>17.600000000000001</v>
      </c>
      <c r="E63" s="64">
        <v>2.06</v>
      </c>
      <c r="F63" s="64">
        <v>6.23</v>
      </c>
      <c r="G63" s="64">
        <v>55.48</v>
      </c>
      <c r="H63" s="64">
        <v>7.48</v>
      </c>
      <c r="I63" s="64">
        <v>8.2100000000000009</v>
      </c>
      <c r="J63" s="64">
        <v>0.28999999999999998</v>
      </c>
      <c r="K63" s="64">
        <v>191.85</v>
      </c>
      <c r="L63" s="64">
        <v>36.83</v>
      </c>
      <c r="M63" s="64">
        <v>25.91</v>
      </c>
      <c r="N63" s="64">
        <v>760.8</v>
      </c>
      <c r="O63" s="64">
        <v>0</v>
      </c>
      <c r="P63" s="64">
        <v>0.72</v>
      </c>
      <c r="Q63" s="64">
        <v>9.1199999999999992</v>
      </c>
      <c r="R63" s="198"/>
      <c r="S63" s="198"/>
      <c r="T63" s="198"/>
      <c r="U63" s="198"/>
    </row>
    <row r="64" spans="1:21" s="12" customFormat="1" x14ac:dyDescent="0.25">
      <c r="A64" s="214" t="s">
        <v>2511</v>
      </c>
      <c r="B64" s="64">
        <v>1.28</v>
      </c>
      <c r="C64" s="64">
        <v>30.46</v>
      </c>
      <c r="D64" s="64">
        <v>16.86</v>
      </c>
      <c r="E64" s="64">
        <v>1.67</v>
      </c>
      <c r="F64" s="64">
        <v>6.47</v>
      </c>
      <c r="G64" s="64">
        <v>54.86</v>
      </c>
      <c r="H64" s="64">
        <v>12.87</v>
      </c>
      <c r="I64" s="64">
        <v>8.0500000000000007</v>
      </c>
      <c r="J64" s="64">
        <v>0.49</v>
      </c>
      <c r="K64" s="64">
        <v>313.73</v>
      </c>
      <c r="L64" s="64">
        <v>36.42</v>
      </c>
      <c r="M64" s="64">
        <v>27.53</v>
      </c>
      <c r="N64" s="64">
        <v>574.9</v>
      </c>
      <c r="O64" s="64">
        <v>0</v>
      </c>
      <c r="P64" s="64">
        <v>0.71</v>
      </c>
      <c r="Q64" s="64">
        <v>9.1300000000000008</v>
      </c>
      <c r="R64" s="198"/>
      <c r="S64" s="198"/>
      <c r="T64" s="198"/>
      <c r="U64" s="198"/>
    </row>
    <row r="65" spans="1:21" s="12" customFormat="1" x14ac:dyDescent="0.25">
      <c r="A65" s="214" t="s">
        <v>2512</v>
      </c>
      <c r="B65" s="64">
        <v>1.25</v>
      </c>
      <c r="C65" s="64">
        <v>29.89</v>
      </c>
      <c r="D65" s="64">
        <v>16.54</v>
      </c>
      <c r="E65" s="64">
        <v>1.69</v>
      </c>
      <c r="F65" s="64">
        <v>6.37</v>
      </c>
      <c r="G65" s="64">
        <v>46.14</v>
      </c>
      <c r="H65" s="64">
        <v>88.35</v>
      </c>
      <c r="I65" s="64">
        <v>7.82</v>
      </c>
      <c r="J65" s="64">
        <v>1</v>
      </c>
      <c r="K65" s="64">
        <v>321.33</v>
      </c>
      <c r="L65" s="64">
        <v>36.450000000000003</v>
      </c>
      <c r="M65" s="64">
        <v>27.4</v>
      </c>
      <c r="N65" s="64">
        <v>389.1</v>
      </c>
      <c r="O65" s="64">
        <v>0</v>
      </c>
      <c r="P65" s="64">
        <v>0.68</v>
      </c>
      <c r="Q65" s="64">
        <v>9.11</v>
      </c>
      <c r="R65" s="198"/>
      <c r="S65" s="198"/>
      <c r="T65" s="198"/>
      <c r="U65" s="198"/>
    </row>
    <row r="66" spans="1:21" s="12" customFormat="1" x14ac:dyDescent="0.25">
      <c r="A66" s="214" t="s">
        <v>2513</v>
      </c>
      <c r="B66" s="64">
        <v>1.32</v>
      </c>
      <c r="C66" s="64">
        <v>29.07</v>
      </c>
      <c r="D66" s="64">
        <v>16.16</v>
      </c>
      <c r="E66" s="64">
        <v>1.96</v>
      </c>
      <c r="F66" s="64">
        <v>6.04</v>
      </c>
      <c r="G66" s="64">
        <v>46.14</v>
      </c>
      <c r="H66" s="64">
        <v>88.35</v>
      </c>
      <c r="I66" s="64">
        <v>7.55</v>
      </c>
      <c r="J66" s="64">
        <v>1.53</v>
      </c>
      <c r="K66" s="64">
        <v>321.14</v>
      </c>
      <c r="L66" s="64">
        <v>36.619999999999997</v>
      </c>
      <c r="M66" s="64">
        <v>27.94</v>
      </c>
      <c r="N66" s="64">
        <v>407.6</v>
      </c>
      <c r="O66" s="64">
        <v>0</v>
      </c>
      <c r="P66" s="64">
        <v>0.65</v>
      </c>
      <c r="Q66" s="64">
        <v>9.1199999999999992</v>
      </c>
      <c r="R66" s="198"/>
      <c r="S66" s="198"/>
      <c r="T66" s="198"/>
      <c r="U66" s="198"/>
    </row>
    <row r="67" spans="1:21" s="12" customFormat="1" x14ac:dyDescent="0.25">
      <c r="A67" s="214" t="s">
        <v>2514</v>
      </c>
      <c r="B67" s="64">
        <v>1.45</v>
      </c>
      <c r="C67" s="64">
        <v>25.91</v>
      </c>
      <c r="D67" s="64">
        <v>14.62</v>
      </c>
      <c r="E67" s="64">
        <v>1.71</v>
      </c>
      <c r="F67" s="64">
        <v>5.91</v>
      </c>
      <c r="G67" s="64">
        <v>46.14</v>
      </c>
      <c r="H67" s="64">
        <v>88.35</v>
      </c>
      <c r="I67" s="64">
        <v>7.25</v>
      </c>
      <c r="J67" s="64">
        <v>1.1100000000000001</v>
      </c>
      <c r="K67" s="64">
        <v>322.02</v>
      </c>
      <c r="L67" s="64">
        <v>36.869999999999997</v>
      </c>
      <c r="M67" s="64">
        <v>26.27</v>
      </c>
      <c r="N67" s="64">
        <v>539.29999999999995</v>
      </c>
      <c r="O67" s="64">
        <v>0</v>
      </c>
      <c r="P67" s="64">
        <v>0.62</v>
      </c>
      <c r="Q67" s="64">
        <v>9.1300000000000008</v>
      </c>
      <c r="R67" s="198"/>
      <c r="S67" s="198"/>
      <c r="T67" s="198"/>
      <c r="U67" s="198"/>
    </row>
    <row r="68" spans="1:21" s="12" customFormat="1" x14ac:dyDescent="0.25">
      <c r="A68" s="214" t="s">
        <v>2515</v>
      </c>
      <c r="B68" s="64">
        <v>1.58</v>
      </c>
      <c r="C68" s="64">
        <v>25.47</v>
      </c>
      <c r="D68" s="64">
        <v>14.49</v>
      </c>
      <c r="E68" s="64">
        <v>1.71</v>
      </c>
      <c r="F68" s="64">
        <v>5.65</v>
      </c>
      <c r="G68" s="64">
        <v>45.09</v>
      </c>
      <c r="H68" s="64">
        <v>83.94</v>
      </c>
      <c r="I68" s="64">
        <v>6.89</v>
      </c>
      <c r="J68" s="64">
        <v>0.67</v>
      </c>
      <c r="K68" s="64">
        <v>312.61</v>
      </c>
      <c r="L68" s="64">
        <v>36.83</v>
      </c>
      <c r="M68" s="64">
        <v>25.28</v>
      </c>
      <c r="N68" s="64">
        <v>235</v>
      </c>
      <c r="O68" s="64">
        <v>0</v>
      </c>
      <c r="P68" s="64">
        <v>0.6</v>
      </c>
      <c r="Q68" s="64">
        <v>9.11</v>
      </c>
      <c r="R68" s="198"/>
      <c r="S68" s="198"/>
      <c r="T68" s="198"/>
      <c r="U68" s="198"/>
    </row>
    <row r="69" spans="1:21" s="12" customFormat="1" x14ac:dyDescent="0.25">
      <c r="A69" s="214" t="s">
        <v>2516</v>
      </c>
      <c r="B69" s="64">
        <v>1.7</v>
      </c>
      <c r="C69" s="64">
        <v>26.07</v>
      </c>
      <c r="D69" s="64">
        <v>14.9</v>
      </c>
      <c r="E69" s="64">
        <v>1.88</v>
      </c>
      <c r="F69" s="64">
        <v>5.44</v>
      </c>
      <c r="G69" s="64">
        <v>30.3</v>
      </c>
      <c r="H69" s="64">
        <v>22.08</v>
      </c>
      <c r="I69" s="64">
        <v>6.56</v>
      </c>
      <c r="J69" s="64">
        <v>0.64</v>
      </c>
      <c r="K69" s="64">
        <v>316.85000000000002</v>
      </c>
      <c r="L69" s="64">
        <v>36.31</v>
      </c>
      <c r="M69" s="64">
        <v>25.31</v>
      </c>
      <c r="N69" s="64">
        <v>285.60000000000002</v>
      </c>
      <c r="O69" s="64">
        <v>0</v>
      </c>
      <c r="P69" s="64">
        <v>0.6</v>
      </c>
      <c r="Q69" s="64">
        <v>9.11</v>
      </c>
      <c r="R69" s="198"/>
      <c r="S69" s="198"/>
      <c r="T69" s="198"/>
      <c r="U69" s="198"/>
    </row>
    <row r="70" spans="1:21" s="12" customFormat="1" x14ac:dyDescent="0.25">
      <c r="A70" s="214" t="s">
        <v>2517</v>
      </c>
      <c r="B70" s="64">
        <v>1.71</v>
      </c>
      <c r="C70" s="64">
        <v>26.06</v>
      </c>
      <c r="D70" s="64">
        <v>14.9</v>
      </c>
      <c r="E70" s="64">
        <v>1.66</v>
      </c>
      <c r="F70" s="64">
        <v>5.51</v>
      </c>
      <c r="G70" s="64">
        <v>30.3</v>
      </c>
      <c r="H70" s="64">
        <v>22.08</v>
      </c>
      <c r="I70" s="64">
        <v>6.36</v>
      </c>
      <c r="J70" s="64">
        <v>0.97</v>
      </c>
      <c r="K70" s="64">
        <v>307.39</v>
      </c>
      <c r="L70" s="64">
        <v>35.909999999999997</v>
      </c>
      <c r="M70" s="64">
        <v>25.06</v>
      </c>
      <c r="N70" s="64">
        <v>301.2</v>
      </c>
      <c r="O70" s="64">
        <v>0</v>
      </c>
      <c r="P70" s="64">
        <v>0.59</v>
      </c>
      <c r="Q70" s="64">
        <v>9.1300000000000008</v>
      </c>
      <c r="R70" s="198"/>
      <c r="S70" s="198"/>
      <c r="T70" s="198"/>
      <c r="U70" s="198"/>
    </row>
    <row r="71" spans="1:21" s="12" customFormat="1" x14ac:dyDescent="0.25">
      <c r="A71" s="214" t="s">
        <v>2518</v>
      </c>
      <c r="B71" s="64">
        <v>1.69</v>
      </c>
      <c r="C71" s="64">
        <v>26.04</v>
      </c>
      <c r="D71" s="64">
        <v>14.88</v>
      </c>
      <c r="E71" s="64">
        <v>1.93</v>
      </c>
      <c r="F71" s="64">
        <v>5.74</v>
      </c>
      <c r="G71" s="64">
        <v>30.3</v>
      </c>
      <c r="H71" s="64">
        <v>22.08</v>
      </c>
      <c r="I71" s="64">
        <v>6.3</v>
      </c>
      <c r="J71" s="64">
        <v>0.46</v>
      </c>
      <c r="K71" s="64">
        <v>319</v>
      </c>
      <c r="L71" s="64">
        <v>35.35</v>
      </c>
      <c r="M71" s="64">
        <v>24.7</v>
      </c>
      <c r="N71" s="64">
        <v>218.3</v>
      </c>
      <c r="O71" s="64">
        <v>0</v>
      </c>
      <c r="P71" s="64">
        <v>0.57999999999999996</v>
      </c>
      <c r="Q71" s="64">
        <v>9.1199999999999992</v>
      </c>
      <c r="R71" s="198"/>
      <c r="S71" s="198"/>
      <c r="T71" s="198"/>
      <c r="U71" s="198"/>
    </row>
    <row r="72" spans="1:21" s="12" customFormat="1" x14ac:dyDescent="0.25">
      <c r="A72" s="214" t="s">
        <v>2519</v>
      </c>
      <c r="B72" s="64">
        <v>1.51</v>
      </c>
      <c r="C72" s="64">
        <v>26.08</v>
      </c>
      <c r="D72" s="64">
        <v>14.76</v>
      </c>
      <c r="E72" s="64">
        <v>0.72</v>
      </c>
      <c r="F72" s="64">
        <v>6.18</v>
      </c>
      <c r="G72" s="64">
        <v>29.88</v>
      </c>
      <c r="H72" s="64">
        <v>20.64</v>
      </c>
      <c r="I72" s="64">
        <v>6.21</v>
      </c>
      <c r="J72" s="64">
        <v>0.3</v>
      </c>
      <c r="K72" s="64">
        <v>322.58999999999997</v>
      </c>
      <c r="L72" s="64">
        <v>34.950000000000003</v>
      </c>
      <c r="M72" s="64">
        <v>24.69</v>
      </c>
      <c r="N72" s="64">
        <v>313.39999999999998</v>
      </c>
      <c r="O72" s="64">
        <v>0</v>
      </c>
      <c r="P72" s="64">
        <v>0.55000000000000004</v>
      </c>
      <c r="Q72" s="64">
        <v>9.1</v>
      </c>
      <c r="R72" s="198"/>
      <c r="S72" s="198"/>
      <c r="T72" s="198"/>
      <c r="U72" s="198"/>
    </row>
    <row r="73" spans="1:21" s="12" customFormat="1" x14ac:dyDescent="0.25">
      <c r="A73" s="214" t="s">
        <v>2520</v>
      </c>
      <c r="B73" s="64">
        <v>1.45</v>
      </c>
      <c r="C73" s="64">
        <v>26.75</v>
      </c>
      <c r="D73" s="64">
        <v>15.06</v>
      </c>
      <c r="E73" s="64">
        <v>1.05</v>
      </c>
      <c r="F73" s="64">
        <v>6.38</v>
      </c>
      <c r="G73" s="64">
        <v>23.94</v>
      </c>
      <c r="H73" s="212" t="s">
        <v>42</v>
      </c>
      <c r="I73" s="64">
        <v>5.9</v>
      </c>
      <c r="J73" s="64">
        <v>0.5</v>
      </c>
      <c r="K73" s="64">
        <v>313.87</v>
      </c>
      <c r="L73" s="64">
        <v>34.67</v>
      </c>
      <c r="M73" s="64">
        <v>25.63</v>
      </c>
      <c r="N73" s="64">
        <v>143.6</v>
      </c>
      <c r="O73" s="64">
        <v>0</v>
      </c>
      <c r="P73" s="64">
        <v>0.54</v>
      </c>
      <c r="Q73" s="64">
        <v>9.1300000000000008</v>
      </c>
      <c r="R73" s="198"/>
      <c r="S73" s="198"/>
      <c r="T73" s="198"/>
      <c r="U73" s="198"/>
    </row>
    <row r="74" spans="1:21" s="12" customFormat="1" x14ac:dyDescent="0.25">
      <c r="A74" s="214" t="s">
        <v>2521</v>
      </c>
      <c r="B74" s="64">
        <v>1.62</v>
      </c>
      <c r="C74" s="64">
        <v>27.1</v>
      </c>
      <c r="D74" s="64">
        <v>15.38</v>
      </c>
      <c r="E74" s="64">
        <v>1.05</v>
      </c>
      <c r="F74" s="64">
        <v>5.79</v>
      </c>
      <c r="G74" s="64">
        <v>23.94</v>
      </c>
      <c r="H74" s="212" t="s">
        <v>42</v>
      </c>
      <c r="I74" s="64">
        <v>5.72</v>
      </c>
      <c r="J74" s="64">
        <v>0.24</v>
      </c>
      <c r="K74" s="64">
        <v>313.76</v>
      </c>
      <c r="L74" s="64">
        <v>34.47</v>
      </c>
      <c r="M74" s="64">
        <v>26</v>
      </c>
      <c r="N74" s="64">
        <v>131.69999999999999</v>
      </c>
      <c r="O74" s="64">
        <v>0</v>
      </c>
      <c r="P74" s="64">
        <v>0.54</v>
      </c>
      <c r="Q74" s="64">
        <v>9.11</v>
      </c>
      <c r="R74" s="198"/>
      <c r="S74" s="198"/>
      <c r="T74" s="198"/>
      <c r="U74" s="198"/>
    </row>
    <row r="75" spans="1:21" s="12" customFormat="1" x14ac:dyDescent="0.25">
      <c r="A75" s="214" t="s">
        <v>2522</v>
      </c>
      <c r="B75" s="64">
        <v>1.78</v>
      </c>
      <c r="C75" s="64">
        <v>30.55</v>
      </c>
      <c r="D75" s="64">
        <v>17.309999999999999</v>
      </c>
      <c r="E75" s="64">
        <v>1.08</v>
      </c>
      <c r="F75" s="64">
        <v>5.52</v>
      </c>
      <c r="G75" s="64">
        <v>23.94</v>
      </c>
      <c r="H75" s="212" t="s">
        <v>42</v>
      </c>
      <c r="I75" s="64">
        <v>5.47</v>
      </c>
      <c r="J75" s="64">
        <v>0.12</v>
      </c>
      <c r="K75" s="64">
        <v>0.78</v>
      </c>
      <c r="L75" s="64">
        <v>34.299999999999997</v>
      </c>
      <c r="M75" s="64">
        <v>24.75</v>
      </c>
      <c r="N75" s="64">
        <v>102.4</v>
      </c>
      <c r="O75" s="64">
        <v>0</v>
      </c>
      <c r="P75" s="64">
        <v>0.55000000000000004</v>
      </c>
      <c r="Q75" s="64">
        <v>9.11</v>
      </c>
      <c r="R75" s="198"/>
      <c r="S75" s="198"/>
      <c r="T75" s="198"/>
      <c r="U75" s="198"/>
    </row>
    <row r="76" spans="1:21" s="12" customFormat="1" x14ac:dyDescent="0.25">
      <c r="A76" s="214" t="s">
        <v>2523</v>
      </c>
      <c r="B76" s="64">
        <v>1.76</v>
      </c>
      <c r="C76" s="64">
        <v>33.04</v>
      </c>
      <c r="D76" s="64">
        <v>18.59</v>
      </c>
      <c r="E76" s="64">
        <v>0.97</v>
      </c>
      <c r="F76" s="64">
        <v>4.95</v>
      </c>
      <c r="G76" s="64">
        <v>24.1</v>
      </c>
      <c r="H76" s="212" t="s">
        <v>42</v>
      </c>
      <c r="I76" s="64">
        <v>5.42</v>
      </c>
      <c r="J76" s="64">
        <v>0.21</v>
      </c>
      <c r="K76" s="64">
        <v>23.44</v>
      </c>
      <c r="L76" s="64">
        <v>34.04</v>
      </c>
      <c r="M76" s="64">
        <v>25.07</v>
      </c>
      <c r="N76" s="64">
        <v>88.5</v>
      </c>
      <c r="O76" s="64">
        <v>0</v>
      </c>
      <c r="P76" s="64">
        <v>0.55000000000000004</v>
      </c>
      <c r="Q76" s="64">
        <v>9.17</v>
      </c>
      <c r="R76" s="198"/>
      <c r="S76" s="198"/>
      <c r="T76" s="198"/>
      <c r="U76" s="198"/>
    </row>
    <row r="77" spans="1:21" s="12" customFormat="1" x14ac:dyDescent="0.25">
      <c r="A77" s="214" t="s">
        <v>2524</v>
      </c>
      <c r="B77" s="64">
        <v>1.69</v>
      </c>
      <c r="C77" s="64">
        <v>30.14</v>
      </c>
      <c r="D77" s="64">
        <v>17.02</v>
      </c>
      <c r="E77" s="64">
        <v>0.97</v>
      </c>
      <c r="F77" s="64">
        <v>5.14</v>
      </c>
      <c r="G77" s="64">
        <v>26.28</v>
      </c>
      <c r="H77" s="212" t="s">
        <v>42</v>
      </c>
      <c r="I77" s="64">
        <v>5.38</v>
      </c>
      <c r="J77" s="64">
        <v>0.21</v>
      </c>
      <c r="K77" s="64">
        <v>357.44</v>
      </c>
      <c r="L77" s="64">
        <v>33.68</v>
      </c>
      <c r="M77" s="64">
        <v>26.92</v>
      </c>
      <c r="N77" s="64">
        <v>80.2</v>
      </c>
      <c r="O77" s="64">
        <v>0</v>
      </c>
      <c r="P77" s="64">
        <v>0.55000000000000004</v>
      </c>
      <c r="Q77" s="64">
        <v>9.14</v>
      </c>
      <c r="R77" s="198"/>
      <c r="S77" s="198"/>
      <c r="T77" s="198"/>
      <c r="U77" s="198"/>
    </row>
    <row r="78" spans="1:21" s="12" customFormat="1" x14ac:dyDescent="0.25">
      <c r="A78" s="214" t="s">
        <v>2525</v>
      </c>
      <c r="B78" s="64">
        <v>1.68</v>
      </c>
      <c r="C78" s="64">
        <v>29.03</v>
      </c>
      <c r="D78" s="64">
        <v>16.440000000000001</v>
      </c>
      <c r="E78" s="64">
        <v>1.19</v>
      </c>
      <c r="F78" s="64">
        <v>5.01</v>
      </c>
      <c r="G78" s="64">
        <v>26.28</v>
      </c>
      <c r="H78" s="212" t="s">
        <v>42</v>
      </c>
      <c r="I78" s="64">
        <v>5.37</v>
      </c>
      <c r="J78" s="64">
        <v>0.2</v>
      </c>
      <c r="K78" s="64">
        <v>354.8</v>
      </c>
      <c r="L78" s="64">
        <v>32.799999999999997</v>
      </c>
      <c r="M78" s="64">
        <v>30.19</v>
      </c>
      <c r="N78" s="64">
        <v>62.6</v>
      </c>
      <c r="O78" s="64">
        <v>0</v>
      </c>
      <c r="P78" s="64">
        <v>0.56000000000000005</v>
      </c>
      <c r="Q78" s="64">
        <v>9.1300000000000008</v>
      </c>
      <c r="R78" s="198"/>
      <c r="S78" s="198"/>
      <c r="T78" s="198"/>
      <c r="U78" s="198"/>
    </row>
    <row r="79" spans="1:21" s="12" customFormat="1" x14ac:dyDescent="0.25">
      <c r="A79" s="214" t="s">
        <v>2526</v>
      </c>
      <c r="B79" s="64">
        <v>1.86</v>
      </c>
      <c r="C79" s="64">
        <v>29.56</v>
      </c>
      <c r="D79" s="64">
        <v>16.850000000000001</v>
      </c>
      <c r="E79" s="64">
        <v>1.19</v>
      </c>
      <c r="F79" s="64">
        <v>4.0999999999999996</v>
      </c>
      <c r="G79" s="64">
        <v>26.28</v>
      </c>
      <c r="H79" s="212" t="s">
        <v>42</v>
      </c>
      <c r="I79" s="64">
        <v>5.39</v>
      </c>
      <c r="J79" s="64">
        <v>0.13</v>
      </c>
      <c r="K79" s="64">
        <v>337.95</v>
      </c>
      <c r="L79" s="64">
        <v>32.14</v>
      </c>
      <c r="M79" s="64">
        <v>31.2</v>
      </c>
      <c r="N79" s="64">
        <v>47</v>
      </c>
      <c r="O79" s="64">
        <v>0</v>
      </c>
      <c r="P79" s="64">
        <v>0.56999999999999995</v>
      </c>
      <c r="Q79" s="64">
        <v>9.1</v>
      </c>
      <c r="R79" s="198"/>
      <c r="S79" s="198"/>
      <c r="T79" s="198"/>
      <c r="U79" s="198"/>
    </row>
    <row r="80" spans="1:21" s="12" customFormat="1" x14ac:dyDescent="0.25">
      <c r="A80" s="214" t="s">
        <v>2527</v>
      </c>
      <c r="B80" s="64">
        <v>2.1800000000000002</v>
      </c>
      <c r="C80" s="64">
        <v>29.65</v>
      </c>
      <c r="D80" s="64">
        <v>17.16</v>
      </c>
      <c r="E80" s="64">
        <v>1.1399999999999999</v>
      </c>
      <c r="F80" s="64">
        <v>4.13</v>
      </c>
      <c r="G80" s="64">
        <v>27.33</v>
      </c>
      <c r="H80" s="212" t="s">
        <v>42</v>
      </c>
      <c r="I80" s="64">
        <v>5.43</v>
      </c>
      <c r="J80" s="64">
        <v>0.17</v>
      </c>
      <c r="K80" s="64">
        <v>3.37</v>
      </c>
      <c r="L80" s="64">
        <v>31.86</v>
      </c>
      <c r="M80" s="64">
        <v>32.74</v>
      </c>
      <c r="N80" s="64">
        <v>31.1</v>
      </c>
      <c r="O80" s="64">
        <v>0</v>
      </c>
      <c r="P80" s="64">
        <v>0.59</v>
      </c>
      <c r="Q80" s="64">
        <v>9.1</v>
      </c>
      <c r="R80" s="198"/>
      <c r="S80" s="198"/>
      <c r="T80" s="198"/>
      <c r="U80" s="198"/>
    </row>
    <row r="81" spans="1:26" s="12" customFormat="1" x14ac:dyDescent="0.25">
      <c r="A81" s="214" t="s">
        <v>2528</v>
      </c>
      <c r="B81" s="64">
        <v>2.2400000000000002</v>
      </c>
      <c r="C81" s="64">
        <v>29.03</v>
      </c>
      <c r="D81" s="64">
        <v>16.88</v>
      </c>
      <c r="E81" s="64">
        <v>0.91</v>
      </c>
      <c r="F81" s="64">
        <v>4.41</v>
      </c>
      <c r="G81" s="64">
        <v>42.06</v>
      </c>
      <c r="H81" s="212" t="s">
        <v>42</v>
      </c>
      <c r="I81" s="64">
        <v>5.58</v>
      </c>
      <c r="J81" s="64">
        <v>0.23</v>
      </c>
      <c r="K81" s="64">
        <v>10.81</v>
      </c>
      <c r="L81" s="64">
        <v>30.8</v>
      </c>
      <c r="M81" s="64">
        <v>36.31</v>
      </c>
      <c r="N81" s="64">
        <v>24.2</v>
      </c>
      <c r="O81" s="64">
        <v>0</v>
      </c>
      <c r="P81" s="64">
        <v>0.57999999999999996</v>
      </c>
      <c r="Q81" s="64">
        <v>9.15</v>
      </c>
      <c r="R81" s="198"/>
      <c r="S81" s="198"/>
      <c r="T81" s="198"/>
      <c r="U81" s="198"/>
    </row>
    <row r="82" spans="1:26" s="12" customFormat="1" x14ac:dyDescent="0.25">
      <c r="A82" s="214" t="s">
        <v>2529</v>
      </c>
      <c r="B82" s="64">
        <v>2.27</v>
      </c>
      <c r="C82" s="64">
        <v>28.27</v>
      </c>
      <c r="D82" s="64">
        <v>16.510000000000002</v>
      </c>
      <c r="E82" s="64">
        <v>1.1399999999999999</v>
      </c>
      <c r="F82" s="64">
        <v>4.18</v>
      </c>
      <c r="G82" s="64">
        <v>42.06</v>
      </c>
      <c r="H82" s="212" t="s">
        <v>42</v>
      </c>
      <c r="I82" s="64">
        <v>5.51</v>
      </c>
      <c r="J82" s="64">
        <v>0.16</v>
      </c>
      <c r="K82" s="64">
        <v>312.52</v>
      </c>
      <c r="L82" s="64">
        <v>30.56</v>
      </c>
      <c r="M82" s="64">
        <v>37.979999999999997</v>
      </c>
      <c r="N82" s="64">
        <v>19.899999999999999</v>
      </c>
      <c r="O82" s="64">
        <v>0</v>
      </c>
      <c r="P82" s="64">
        <v>0.61</v>
      </c>
      <c r="Q82" s="64">
        <v>9.1</v>
      </c>
      <c r="R82" s="198"/>
      <c r="S82" s="198"/>
      <c r="T82" s="198"/>
      <c r="U82" s="198"/>
    </row>
    <row r="83" spans="1:26" s="12" customFormat="1" x14ac:dyDescent="0.25">
      <c r="A83" s="214" t="s">
        <v>2530</v>
      </c>
      <c r="B83" s="64">
        <v>3.02</v>
      </c>
      <c r="C83" s="64">
        <v>29.39</v>
      </c>
      <c r="D83" s="64">
        <v>17.690000000000001</v>
      </c>
      <c r="E83" s="64">
        <v>0.92</v>
      </c>
      <c r="F83" s="64">
        <v>3.92</v>
      </c>
      <c r="G83" s="64">
        <v>42.06</v>
      </c>
      <c r="H83" s="212" t="s">
        <v>42</v>
      </c>
      <c r="I83" s="64">
        <v>5.47</v>
      </c>
      <c r="J83" s="64">
        <v>0.17</v>
      </c>
      <c r="K83" s="64">
        <v>329.56</v>
      </c>
      <c r="L83" s="64">
        <v>29.69</v>
      </c>
      <c r="M83" s="64">
        <v>42.49</v>
      </c>
      <c r="N83" s="64">
        <v>19.100000000000001</v>
      </c>
      <c r="O83" s="64">
        <v>0</v>
      </c>
      <c r="P83" s="64">
        <v>0.7</v>
      </c>
      <c r="Q83" s="64">
        <v>9.1</v>
      </c>
      <c r="R83" s="198"/>
      <c r="S83" s="198"/>
      <c r="T83" s="198"/>
      <c r="U83" s="198"/>
    </row>
    <row r="84" spans="1:26" s="12" customFormat="1" x14ac:dyDescent="0.25">
      <c r="A84" s="214" t="s">
        <v>2531</v>
      </c>
      <c r="B84" s="64">
        <v>5.2</v>
      </c>
      <c r="C84" s="64">
        <v>33.19</v>
      </c>
      <c r="D84" s="64">
        <v>21.43</v>
      </c>
      <c r="E84" s="64">
        <v>1.06</v>
      </c>
      <c r="F84" s="64">
        <v>3.61</v>
      </c>
      <c r="G84" s="64">
        <v>42.56</v>
      </c>
      <c r="H84" s="212" t="s">
        <v>42</v>
      </c>
      <c r="I84" s="64">
        <v>5.48</v>
      </c>
      <c r="J84" s="64">
        <v>0.11</v>
      </c>
      <c r="K84" s="64">
        <v>104.66</v>
      </c>
      <c r="L84" s="64">
        <v>29.41</v>
      </c>
      <c r="M84" s="64">
        <v>40.950000000000003</v>
      </c>
      <c r="N84" s="64">
        <v>19.100000000000001</v>
      </c>
      <c r="O84" s="64">
        <v>0</v>
      </c>
      <c r="P84" s="64">
        <v>0.89</v>
      </c>
      <c r="Q84" s="64">
        <v>9.1300000000000008</v>
      </c>
      <c r="R84" s="198"/>
      <c r="S84" s="198"/>
      <c r="T84" s="198"/>
      <c r="U84" s="198"/>
    </row>
    <row r="85" spans="1:26" s="12" customFormat="1" x14ac:dyDescent="0.25">
      <c r="A85" s="214" t="s">
        <v>2532</v>
      </c>
      <c r="B85" s="64">
        <v>7.72</v>
      </c>
      <c r="C85" s="64">
        <v>33.29</v>
      </c>
      <c r="D85" s="64">
        <v>23.51</v>
      </c>
      <c r="E85" s="64">
        <v>1.26</v>
      </c>
      <c r="F85" s="64">
        <v>3.76</v>
      </c>
      <c r="G85" s="64">
        <v>49.48</v>
      </c>
      <c r="H85" s="212" t="s">
        <v>42</v>
      </c>
      <c r="I85" s="64">
        <v>5.81</v>
      </c>
      <c r="J85" s="64">
        <v>0.17</v>
      </c>
      <c r="K85" s="64">
        <v>64.67</v>
      </c>
      <c r="L85" s="64">
        <v>29.23</v>
      </c>
      <c r="M85" s="64">
        <v>44.81</v>
      </c>
      <c r="N85" s="64">
        <v>19</v>
      </c>
      <c r="O85" s="64">
        <v>0</v>
      </c>
      <c r="P85" s="64">
        <v>0.9</v>
      </c>
      <c r="Q85" s="64">
        <v>9.1199999999999992</v>
      </c>
      <c r="R85" s="198"/>
      <c r="S85" s="198"/>
      <c r="T85" s="198"/>
      <c r="U85" s="198"/>
    </row>
    <row r="86" spans="1:26" s="12" customFormat="1" x14ac:dyDescent="0.25">
      <c r="A86" s="214" t="s">
        <v>2533</v>
      </c>
      <c r="B86" s="64">
        <v>11.92</v>
      </c>
      <c r="C86" s="64">
        <v>34.020000000000003</v>
      </c>
      <c r="D86" s="64">
        <v>27.26</v>
      </c>
      <c r="E86" s="64">
        <v>1.17</v>
      </c>
      <c r="F86" s="64">
        <v>3.67</v>
      </c>
      <c r="G86" s="64">
        <v>49.48</v>
      </c>
      <c r="H86" s="212" t="s">
        <v>42</v>
      </c>
      <c r="I86" s="64">
        <v>6.98</v>
      </c>
      <c r="J86" s="64">
        <v>7.0000000000000007E-2</v>
      </c>
      <c r="K86" s="64">
        <v>166.85</v>
      </c>
      <c r="L86" s="64">
        <v>28.83</v>
      </c>
      <c r="M86" s="64">
        <v>43.68</v>
      </c>
      <c r="N86" s="64">
        <v>18.8</v>
      </c>
      <c r="O86" s="64">
        <v>0</v>
      </c>
      <c r="P86" s="64">
        <v>0.96</v>
      </c>
      <c r="Q86" s="64">
        <v>9.14</v>
      </c>
      <c r="R86" s="198"/>
      <c r="S86" s="198"/>
      <c r="T86" s="198"/>
      <c r="U86" s="198"/>
    </row>
    <row r="87" spans="1:26" s="12" customFormat="1" x14ac:dyDescent="0.25">
      <c r="A87" s="214" t="s">
        <v>2534</v>
      </c>
      <c r="B87" s="64">
        <v>15.99</v>
      </c>
      <c r="C87" s="64">
        <v>34.369999999999997</v>
      </c>
      <c r="D87" s="64">
        <v>30.7</v>
      </c>
      <c r="E87" s="64">
        <v>1.67</v>
      </c>
      <c r="F87" s="64">
        <v>3.57</v>
      </c>
      <c r="G87" s="64">
        <v>49.48</v>
      </c>
      <c r="H87" s="212" t="s">
        <v>42</v>
      </c>
      <c r="I87" s="64">
        <v>7.5</v>
      </c>
      <c r="J87" s="64">
        <v>0.17</v>
      </c>
      <c r="K87" s="64">
        <v>253.82</v>
      </c>
      <c r="L87" s="64">
        <v>28.68</v>
      </c>
      <c r="M87" s="64">
        <v>43.33</v>
      </c>
      <c r="N87" s="64">
        <v>18.5</v>
      </c>
      <c r="O87" s="64">
        <v>0</v>
      </c>
      <c r="P87" s="64">
        <v>1.01</v>
      </c>
      <c r="Q87" s="64">
        <v>9.1199999999999992</v>
      </c>
      <c r="R87" s="198"/>
      <c r="S87" s="198"/>
      <c r="T87" s="198"/>
      <c r="U87" s="198"/>
    </row>
    <row r="88" spans="1:26" s="12" customFormat="1" x14ac:dyDescent="0.25">
      <c r="A88" s="214" t="s">
        <v>2535</v>
      </c>
      <c r="B88" s="64">
        <v>19.489999999999998</v>
      </c>
      <c r="C88" s="64">
        <v>34.200000000000003</v>
      </c>
      <c r="D88" s="64">
        <v>33.42</v>
      </c>
      <c r="E88" s="64">
        <v>0.02</v>
      </c>
      <c r="F88" s="64">
        <v>3.69</v>
      </c>
      <c r="G88" s="64">
        <v>51.58</v>
      </c>
      <c r="H88" s="212" t="s">
        <v>42</v>
      </c>
      <c r="I88" s="64">
        <v>7.74</v>
      </c>
      <c r="J88" s="64">
        <v>0.35</v>
      </c>
      <c r="K88" s="64">
        <v>355.06</v>
      </c>
      <c r="L88" s="64">
        <v>28.53</v>
      </c>
      <c r="M88" s="64">
        <v>54.5</v>
      </c>
      <c r="N88" s="64">
        <v>19.100000000000001</v>
      </c>
      <c r="O88" s="64">
        <v>0</v>
      </c>
      <c r="P88" s="64">
        <v>1.21</v>
      </c>
      <c r="Q88" s="64">
        <v>9.1199999999999992</v>
      </c>
      <c r="R88" s="198"/>
      <c r="S88" s="198"/>
      <c r="T88" s="198"/>
      <c r="U88" s="198"/>
    </row>
    <row r="89" spans="1:26" s="12" customFormat="1" x14ac:dyDescent="0.25">
      <c r="A89" s="214" t="s">
        <v>2536</v>
      </c>
      <c r="B89" s="64">
        <v>24.04</v>
      </c>
      <c r="C89" s="64">
        <v>34.020000000000003</v>
      </c>
      <c r="D89" s="64">
        <v>36.97</v>
      </c>
      <c r="E89" s="64">
        <v>0.43</v>
      </c>
      <c r="F89" s="64">
        <v>3.48</v>
      </c>
      <c r="G89" s="64">
        <v>80.930000000000007</v>
      </c>
      <c r="H89" s="64">
        <v>63.87</v>
      </c>
      <c r="I89" s="64">
        <v>8.07</v>
      </c>
      <c r="J89" s="64">
        <v>0.11</v>
      </c>
      <c r="K89" s="64">
        <v>357.18</v>
      </c>
      <c r="L89" s="64">
        <v>27.86</v>
      </c>
      <c r="M89" s="64">
        <v>54.35</v>
      </c>
      <c r="N89" s="64">
        <v>19.2</v>
      </c>
      <c r="O89" s="64">
        <v>0</v>
      </c>
      <c r="P89" s="64">
        <v>1.48</v>
      </c>
      <c r="Q89" s="64">
        <v>9.1999999999999993</v>
      </c>
      <c r="R89" s="198"/>
      <c r="S89" s="198"/>
      <c r="T89" s="198"/>
      <c r="U89" s="198"/>
    </row>
    <row r="90" spans="1:26" s="12" customFormat="1" x14ac:dyDescent="0.25">
      <c r="A90" s="214" t="s">
        <v>2537</v>
      </c>
      <c r="B90" s="64">
        <v>28.82</v>
      </c>
      <c r="C90" s="64">
        <v>34.01</v>
      </c>
      <c r="D90" s="64">
        <v>40.799999999999997</v>
      </c>
      <c r="E90" s="64">
        <v>0.75</v>
      </c>
      <c r="F90" s="64">
        <v>3.69</v>
      </c>
      <c r="G90" s="64">
        <v>80.930000000000007</v>
      </c>
      <c r="H90" s="64">
        <v>63.87</v>
      </c>
      <c r="I90" s="64">
        <v>9.75</v>
      </c>
      <c r="J90" s="64">
        <v>0.26</v>
      </c>
      <c r="K90" s="64">
        <v>349.22</v>
      </c>
      <c r="L90" s="64">
        <v>27.6</v>
      </c>
      <c r="M90" s="64">
        <v>54.74</v>
      </c>
      <c r="N90" s="64">
        <v>18.899999999999999</v>
      </c>
      <c r="O90" s="64">
        <v>0</v>
      </c>
      <c r="P90" s="64">
        <v>1.45</v>
      </c>
      <c r="Q90" s="64">
        <v>9.1999999999999993</v>
      </c>
      <c r="R90" s="198"/>
      <c r="S90" s="198"/>
      <c r="T90" s="198"/>
      <c r="U90" s="198"/>
    </row>
    <row r="91" spans="1:26" s="12" customFormat="1" x14ac:dyDescent="0.25">
      <c r="A91" s="214" t="s">
        <v>2538</v>
      </c>
      <c r="B91" s="64">
        <v>32.57</v>
      </c>
      <c r="C91" s="64">
        <v>34.08</v>
      </c>
      <c r="D91" s="64">
        <v>43.84</v>
      </c>
      <c r="E91" s="64">
        <v>0.78</v>
      </c>
      <c r="F91" s="64">
        <v>3.85</v>
      </c>
      <c r="G91" s="64">
        <v>80.930000000000007</v>
      </c>
      <c r="H91" s="64">
        <v>63.87</v>
      </c>
      <c r="I91" s="64">
        <v>11.26</v>
      </c>
      <c r="J91" s="64">
        <v>0.55000000000000004</v>
      </c>
      <c r="K91" s="64">
        <v>357.39</v>
      </c>
      <c r="L91" s="64">
        <v>27.84</v>
      </c>
      <c r="M91" s="64">
        <v>49.68</v>
      </c>
      <c r="N91" s="64">
        <v>17.600000000000001</v>
      </c>
      <c r="O91" s="64">
        <v>0</v>
      </c>
      <c r="P91" s="64">
        <v>1.43</v>
      </c>
      <c r="Q91" s="64">
        <v>9.1300000000000008</v>
      </c>
      <c r="R91" s="198"/>
      <c r="S91" s="198"/>
      <c r="T91" s="198"/>
      <c r="U91" s="198"/>
    </row>
    <row r="92" spans="1:26" s="12" customFormat="1" x14ac:dyDescent="0.25">
      <c r="A92" s="214" t="s">
        <v>2539</v>
      </c>
      <c r="B92" s="64">
        <v>34.25</v>
      </c>
      <c r="C92" s="64">
        <v>34.28</v>
      </c>
      <c r="D92" s="64">
        <v>45.3</v>
      </c>
      <c r="E92" s="64">
        <v>0.87</v>
      </c>
      <c r="F92" s="64">
        <v>3.34</v>
      </c>
      <c r="G92" s="64">
        <v>81.8</v>
      </c>
      <c r="H92" s="64">
        <v>65.95</v>
      </c>
      <c r="I92" s="64">
        <v>10.64</v>
      </c>
      <c r="J92" s="64">
        <v>0.34</v>
      </c>
      <c r="K92" s="64">
        <v>0.08</v>
      </c>
      <c r="L92" s="64">
        <v>28.37</v>
      </c>
      <c r="M92" s="64">
        <v>42.98</v>
      </c>
      <c r="N92" s="64">
        <v>18.5</v>
      </c>
      <c r="O92" s="64">
        <v>0</v>
      </c>
      <c r="P92" s="64">
        <v>1.45</v>
      </c>
      <c r="Q92" s="64">
        <v>9.2200000000000006</v>
      </c>
      <c r="R92" s="198"/>
      <c r="S92" s="198"/>
      <c r="T92" s="198"/>
      <c r="U92" s="198"/>
    </row>
    <row r="93" spans="1:26" s="12" customFormat="1" x14ac:dyDescent="0.25">
      <c r="A93" s="214" t="s">
        <v>2540</v>
      </c>
      <c r="B93" s="64">
        <v>35.94</v>
      </c>
      <c r="C93" s="64">
        <v>34.28</v>
      </c>
      <c r="D93" s="64">
        <v>46.65</v>
      </c>
      <c r="E93" s="64">
        <v>1.01</v>
      </c>
      <c r="F93" s="64">
        <v>3.44</v>
      </c>
      <c r="G93" s="64">
        <v>93.97</v>
      </c>
      <c r="H93" s="64">
        <v>95.08</v>
      </c>
      <c r="I93" s="64">
        <v>9.5500000000000007</v>
      </c>
      <c r="J93" s="64">
        <v>0.23</v>
      </c>
      <c r="K93" s="64">
        <v>39.03</v>
      </c>
      <c r="L93" s="64">
        <v>28.1</v>
      </c>
      <c r="M93" s="64">
        <v>40.81</v>
      </c>
      <c r="N93" s="64">
        <v>19.2</v>
      </c>
      <c r="O93" s="64">
        <v>0</v>
      </c>
      <c r="P93" s="64">
        <v>1.49</v>
      </c>
      <c r="Q93" s="64">
        <v>9.32</v>
      </c>
      <c r="R93" s="198"/>
      <c r="S93" s="198"/>
      <c r="T93" s="198"/>
      <c r="U93" s="198"/>
    </row>
    <row r="94" spans="1:26" s="12" customFormat="1" x14ac:dyDescent="0.25">
      <c r="A94" s="214" t="s">
        <v>2541</v>
      </c>
      <c r="B94" s="64">
        <v>38.15</v>
      </c>
      <c r="C94" s="64">
        <v>34.07</v>
      </c>
      <c r="D94" s="64">
        <v>48.31</v>
      </c>
      <c r="E94" s="64">
        <v>1</v>
      </c>
      <c r="F94" s="64">
        <v>3.42</v>
      </c>
      <c r="G94" s="64">
        <v>93.97</v>
      </c>
      <c r="H94" s="64">
        <v>95.08</v>
      </c>
      <c r="I94" s="64">
        <v>9.43</v>
      </c>
      <c r="J94" s="64">
        <v>0.42</v>
      </c>
      <c r="K94" s="64">
        <v>357.22</v>
      </c>
      <c r="L94" s="64">
        <v>27.81</v>
      </c>
      <c r="M94" s="64">
        <v>42.8</v>
      </c>
      <c r="N94" s="64">
        <v>19.100000000000001</v>
      </c>
      <c r="O94" s="64">
        <v>0</v>
      </c>
      <c r="P94" s="64">
        <v>1.51</v>
      </c>
      <c r="Q94" s="64">
        <v>9.3699999999999992</v>
      </c>
      <c r="R94" s="198"/>
      <c r="S94" s="198"/>
      <c r="T94" s="198"/>
      <c r="U94" s="198"/>
    </row>
    <row r="95" spans="1:26" s="12" customFormat="1" x14ac:dyDescent="0.25">
      <c r="A95" s="214" t="s">
        <v>2542</v>
      </c>
      <c r="B95" s="64">
        <v>40.15</v>
      </c>
      <c r="C95" s="64">
        <v>33.9</v>
      </c>
      <c r="D95" s="64">
        <v>49.83</v>
      </c>
      <c r="E95" s="64">
        <v>1.36</v>
      </c>
      <c r="F95" s="64">
        <v>3.42</v>
      </c>
      <c r="G95" s="64">
        <v>93.97</v>
      </c>
      <c r="H95" s="64">
        <v>95.08</v>
      </c>
      <c r="I95" s="64">
        <v>9.26</v>
      </c>
      <c r="J95" s="64">
        <v>0.34</v>
      </c>
      <c r="K95" s="64">
        <v>342.98</v>
      </c>
      <c r="L95" s="64">
        <v>27.25</v>
      </c>
      <c r="M95" s="64">
        <v>46.03</v>
      </c>
      <c r="N95" s="64">
        <v>19.600000000000001</v>
      </c>
      <c r="O95" s="64">
        <v>0</v>
      </c>
      <c r="P95" s="64">
        <v>1.56</v>
      </c>
      <c r="Q95" s="64">
        <v>9.26</v>
      </c>
      <c r="R95" s="198"/>
      <c r="S95" s="198"/>
      <c r="T95" s="198"/>
      <c r="U95" s="198"/>
    </row>
    <row r="96" spans="1:26" s="12" customFormat="1" x14ac:dyDescent="0.25">
      <c r="A96" s="214" t="s">
        <v>2543</v>
      </c>
      <c r="B96" s="64">
        <v>42.41</v>
      </c>
      <c r="C96" s="64">
        <v>33.450000000000003</v>
      </c>
      <c r="D96" s="64">
        <v>51.41</v>
      </c>
      <c r="E96" s="64">
        <v>1.08</v>
      </c>
      <c r="F96" s="64">
        <v>3.49</v>
      </c>
      <c r="G96" s="64">
        <v>95.25</v>
      </c>
      <c r="H96" s="64">
        <v>93.3</v>
      </c>
      <c r="I96" s="64">
        <v>9.59</v>
      </c>
      <c r="J96" s="64">
        <v>0.06</v>
      </c>
      <c r="K96" s="64">
        <v>342.57</v>
      </c>
      <c r="L96" s="64">
        <v>26.5</v>
      </c>
      <c r="M96" s="64">
        <v>49.86</v>
      </c>
      <c r="N96" s="64">
        <v>19.600000000000001</v>
      </c>
      <c r="O96" s="64">
        <v>0</v>
      </c>
      <c r="P96" s="64">
        <v>1.6</v>
      </c>
      <c r="Q96" s="64">
        <v>9.33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2544</v>
      </c>
      <c r="B97" s="64">
        <v>43.02</v>
      </c>
      <c r="C97" s="64">
        <v>33.130000000000003</v>
      </c>
      <c r="D97" s="64">
        <v>51.73</v>
      </c>
      <c r="E97" s="64">
        <v>1.2</v>
      </c>
      <c r="F97" s="64">
        <v>3.43</v>
      </c>
      <c r="G97" s="64">
        <v>113.26</v>
      </c>
      <c r="H97" s="64">
        <v>68.45</v>
      </c>
      <c r="I97" s="64">
        <v>9.69</v>
      </c>
      <c r="J97" s="64">
        <v>0.22</v>
      </c>
      <c r="K97" s="64">
        <v>210.43</v>
      </c>
      <c r="L97" s="64">
        <v>26.61</v>
      </c>
      <c r="M97" s="64">
        <v>46.89</v>
      </c>
      <c r="N97" s="64">
        <v>19.100000000000001</v>
      </c>
      <c r="O97" s="64">
        <v>0</v>
      </c>
      <c r="P97" s="64">
        <v>1.63</v>
      </c>
      <c r="Q97" s="64">
        <v>9.27</v>
      </c>
      <c r="R97" s="198"/>
      <c r="S97" s="198"/>
      <c r="T97" s="198"/>
      <c r="U97" s="198"/>
    </row>
    <row r="98" spans="1:33" s="12" customFormat="1" x14ac:dyDescent="0.25">
      <c r="A98" s="214" t="s">
        <v>2545</v>
      </c>
      <c r="B98" s="64">
        <v>43.63</v>
      </c>
      <c r="C98" s="64">
        <v>32.99</v>
      </c>
      <c r="D98" s="64">
        <v>52.14</v>
      </c>
      <c r="E98" s="64">
        <v>1.45</v>
      </c>
      <c r="F98" s="64">
        <v>3.25</v>
      </c>
      <c r="G98" s="64">
        <v>113.26</v>
      </c>
      <c r="H98" s="64">
        <v>68.45</v>
      </c>
      <c r="I98" s="64">
        <v>9.82</v>
      </c>
      <c r="J98" s="64">
        <v>0.15</v>
      </c>
      <c r="K98" s="64">
        <v>254.78</v>
      </c>
      <c r="L98" s="64">
        <v>26.76</v>
      </c>
      <c r="M98" s="64">
        <v>48.16</v>
      </c>
      <c r="N98" s="64">
        <v>19.2</v>
      </c>
      <c r="O98" s="64">
        <v>0</v>
      </c>
      <c r="P98" s="64">
        <v>1.62</v>
      </c>
      <c r="Q98" s="64">
        <v>9.27</v>
      </c>
      <c r="R98" s="198"/>
      <c r="S98" s="198"/>
      <c r="T98" s="198"/>
      <c r="U98" s="198"/>
    </row>
    <row r="99" spans="1:33" s="12" customFormat="1" x14ac:dyDescent="0.25">
      <c r="A99" s="214" t="s">
        <v>2546</v>
      </c>
      <c r="B99" s="64">
        <v>46.3</v>
      </c>
      <c r="C99" s="64">
        <v>32.619999999999997</v>
      </c>
      <c r="D99" s="64">
        <v>54.09</v>
      </c>
      <c r="E99" s="64">
        <v>1.1499999999999999</v>
      </c>
      <c r="F99" s="64">
        <v>3.41</v>
      </c>
      <c r="G99" s="64">
        <v>113.26</v>
      </c>
      <c r="H99" s="64">
        <v>68.45</v>
      </c>
      <c r="I99" s="64">
        <v>9.34</v>
      </c>
      <c r="J99" s="64">
        <v>0.14000000000000001</v>
      </c>
      <c r="K99" s="64">
        <v>336.48</v>
      </c>
      <c r="L99" s="64">
        <v>26.17</v>
      </c>
      <c r="M99" s="64">
        <v>55.52</v>
      </c>
      <c r="N99" s="64">
        <v>19.899999999999999</v>
      </c>
      <c r="O99" s="64">
        <v>0</v>
      </c>
      <c r="P99" s="64">
        <v>1.66</v>
      </c>
      <c r="Q99" s="64">
        <v>9.33</v>
      </c>
      <c r="R99" s="198"/>
      <c r="S99" s="198"/>
      <c r="T99" s="198"/>
      <c r="U99" s="198"/>
    </row>
    <row r="100" spans="1:33" s="12" customFormat="1" x14ac:dyDescent="0.25">
      <c r="A100" s="214" t="s">
        <v>2547</v>
      </c>
      <c r="B100" s="64">
        <v>50.28</v>
      </c>
      <c r="C100" s="64">
        <v>32.42</v>
      </c>
      <c r="D100" s="64">
        <v>57.18</v>
      </c>
      <c r="E100" s="64">
        <v>1.28</v>
      </c>
      <c r="F100" s="64">
        <v>3.36</v>
      </c>
      <c r="G100" s="64">
        <v>114.27</v>
      </c>
      <c r="H100" s="64">
        <v>67.42</v>
      </c>
      <c r="I100" s="64">
        <v>9.3000000000000007</v>
      </c>
      <c r="J100" s="64">
        <v>0.13</v>
      </c>
      <c r="K100" s="64">
        <v>309.05</v>
      </c>
      <c r="L100" s="64">
        <v>25.79</v>
      </c>
      <c r="M100" s="64">
        <v>57.95</v>
      </c>
      <c r="N100" s="64">
        <v>19.7</v>
      </c>
      <c r="O100" s="64">
        <v>0</v>
      </c>
      <c r="P100" s="64">
        <v>1.72</v>
      </c>
      <c r="Q100" s="64">
        <v>9.31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2548</v>
      </c>
      <c r="B101" s="64">
        <v>55.42</v>
      </c>
      <c r="C101" s="64">
        <v>31.32</v>
      </c>
      <c r="D101" s="64">
        <v>60.72</v>
      </c>
      <c r="E101" s="64">
        <v>1.4</v>
      </c>
      <c r="F101" s="64">
        <v>3.19</v>
      </c>
      <c r="G101" s="64">
        <v>128.33000000000001</v>
      </c>
      <c r="H101" s="64">
        <v>53.06</v>
      </c>
      <c r="I101" s="64">
        <v>9.52</v>
      </c>
      <c r="J101" s="64">
        <v>0.21</v>
      </c>
      <c r="K101" s="64">
        <v>264.74</v>
      </c>
      <c r="L101" s="64">
        <v>25.87</v>
      </c>
      <c r="M101" s="64">
        <v>54.25</v>
      </c>
      <c r="N101" s="64">
        <v>19.399999999999999</v>
      </c>
      <c r="O101" s="64">
        <v>0</v>
      </c>
      <c r="P101" s="64">
        <v>1.73</v>
      </c>
      <c r="Q101" s="64">
        <v>9.3699999999999992</v>
      </c>
      <c r="R101" s="198"/>
      <c r="S101" s="198"/>
      <c r="T101" s="198"/>
      <c r="U101" s="198"/>
    </row>
    <row r="102" spans="1:33" s="12" customFormat="1" x14ac:dyDescent="0.25">
      <c r="A102" s="214" t="s">
        <v>2549</v>
      </c>
      <c r="B102" s="64">
        <v>56.1</v>
      </c>
      <c r="C102" s="64">
        <v>32.770000000000003</v>
      </c>
      <c r="D102" s="64">
        <v>62.03</v>
      </c>
      <c r="E102" s="64">
        <v>1.3</v>
      </c>
      <c r="F102" s="64">
        <v>3.37</v>
      </c>
      <c r="G102" s="64">
        <v>128.33000000000001</v>
      </c>
      <c r="H102" s="64">
        <v>53.06</v>
      </c>
      <c r="I102" s="64">
        <v>9.6</v>
      </c>
      <c r="J102" s="64">
        <v>0.13</v>
      </c>
      <c r="K102" s="64">
        <v>313.56</v>
      </c>
      <c r="L102" s="64">
        <v>25.6</v>
      </c>
      <c r="M102" s="64">
        <v>59.54</v>
      </c>
      <c r="N102" s="64">
        <v>19.7</v>
      </c>
      <c r="O102" s="64">
        <v>0</v>
      </c>
      <c r="P102" s="64">
        <v>1.73</v>
      </c>
      <c r="Q102" s="64">
        <v>9.39</v>
      </c>
      <c r="R102" s="198"/>
      <c r="S102" s="198"/>
      <c r="T102" s="198"/>
      <c r="U102" s="198"/>
    </row>
    <row r="103" spans="1:33" s="12" customFormat="1" x14ac:dyDescent="0.25">
      <c r="A103" s="214" t="s">
        <v>2550</v>
      </c>
      <c r="B103" s="64">
        <v>58.3</v>
      </c>
      <c r="C103" s="64">
        <v>33.97</v>
      </c>
      <c r="D103" s="64">
        <v>64.430000000000007</v>
      </c>
      <c r="E103" s="64">
        <v>1.29</v>
      </c>
      <c r="F103" s="64">
        <v>3.62</v>
      </c>
      <c r="G103" s="64">
        <v>128.33000000000001</v>
      </c>
      <c r="H103" s="64">
        <v>53.06</v>
      </c>
      <c r="I103" s="64">
        <v>9.5399999999999991</v>
      </c>
      <c r="J103" s="64">
        <v>0.22</v>
      </c>
      <c r="K103" s="64">
        <v>344.54</v>
      </c>
      <c r="L103" s="64">
        <v>25.14</v>
      </c>
      <c r="M103" s="64">
        <v>63.24</v>
      </c>
      <c r="N103" s="64">
        <v>19.899999999999999</v>
      </c>
      <c r="O103" s="64">
        <v>0</v>
      </c>
      <c r="P103" s="64">
        <v>1.75</v>
      </c>
      <c r="Q103" s="64">
        <v>9.43</v>
      </c>
      <c r="R103" s="198"/>
      <c r="S103" s="198"/>
      <c r="T103" s="198"/>
      <c r="U103" s="198"/>
    </row>
    <row r="104" spans="1:33" s="12" customFormat="1" x14ac:dyDescent="0.25">
      <c r="A104" s="214" t="s">
        <v>2551</v>
      </c>
      <c r="B104" s="64">
        <v>59.9</v>
      </c>
      <c r="C104" s="64">
        <v>34.1</v>
      </c>
      <c r="D104" s="64">
        <v>65.77</v>
      </c>
      <c r="E104" s="64">
        <v>1.65</v>
      </c>
      <c r="F104" s="64">
        <v>2.89</v>
      </c>
      <c r="G104" s="64">
        <v>129.38999999999999</v>
      </c>
      <c r="H104" s="64">
        <v>52.94</v>
      </c>
      <c r="I104" s="64">
        <v>9.39</v>
      </c>
      <c r="J104" s="64">
        <v>0.2</v>
      </c>
      <c r="K104" s="64">
        <v>252.09</v>
      </c>
      <c r="L104" s="64">
        <v>25.31</v>
      </c>
      <c r="M104" s="64">
        <v>60.06</v>
      </c>
      <c r="N104" s="64">
        <v>19.3</v>
      </c>
      <c r="O104" s="64">
        <v>0</v>
      </c>
      <c r="P104" s="64">
        <v>1.73</v>
      </c>
      <c r="Q104" s="64">
        <v>9.33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1.25</v>
      </c>
      <c r="C106" s="67">
        <f>MIN(C9:C104)</f>
        <v>21.83</v>
      </c>
      <c r="D106" s="67">
        <f t="shared" ref="D106:Q106" si="0">MIN(D9:D104)</f>
        <v>13.59</v>
      </c>
      <c r="E106" s="67">
        <f t="shared" si="0"/>
        <v>0.02</v>
      </c>
      <c r="F106" s="67">
        <f t="shared" si="0"/>
        <v>2.89</v>
      </c>
      <c r="G106" s="67">
        <f t="shared" si="0"/>
        <v>7.29</v>
      </c>
      <c r="H106" s="67">
        <f t="shared" si="0"/>
        <v>3.84</v>
      </c>
      <c r="I106" s="67">
        <f t="shared" si="0"/>
        <v>3.68</v>
      </c>
      <c r="J106" s="67">
        <f t="shared" si="0"/>
        <v>0.01</v>
      </c>
      <c r="K106" s="67">
        <f t="shared" si="0"/>
        <v>0.08</v>
      </c>
      <c r="L106" s="67">
        <f t="shared" si="0"/>
        <v>22.44</v>
      </c>
      <c r="M106" s="67">
        <f t="shared" si="0"/>
        <v>24.69</v>
      </c>
      <c r="N106" s="67">
        <f t="shared" si="0"/>
        <v>15.7</v>
      </c>
      <c r="O106" s="67">
        <f t="shared" si="0"/>
        <v>0</v>
      </c>
      <c r="P106" s="67">
        <f t="shared" si="0"/>
        <v>0.32</v>
      </c>
      <c r="Q106" s="67">
        <f t="shared" si="0"/>
        <v>9.09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59.9</v>
      </c>
      <c r="C107" s="66">
        <f t="shared" ref="C107:Q107" si="1">MAX(C9:C104)</f>
        <v>36.75</v>
      </c>
      <c r="D107" s="66">
        <f t="shared" si="1"/>
        <v>65.77</v>
      </c>
      <c r="E107" s="66">
        <f t="shared" si="1"/>
        <v>2.62</v>
      </c>
      <c r="F107" s="66">
        <f t="shared" si="1"/>
        <v>6.47</v>
      </c>
      <c r="G107" s="66">
        <f t="shared" si="1"/>
        <v>129.38999999999999</v>
      </c>
      <c r="H107" s="66">
        <f t="shared" si="1"/>
        <v>95.08</v>
      </c>
      <c r="I107" s="66">
        <f t="shared" si="1"/>
        <v>11.26</v>
      </c>
      <c r="J107" s="66">
        <f t="shared" si="1"/>
        <v>2.4</v>
      </c>
      <c r="K107" s="66">
        <f t="shared" si="1"/>
        <v>359.25</v>
      </c>
      <c r="L107" s="66">
        <f t="shared" si="1"/>
        <v>38.47</v>
      </c>
      <c r="M107" s="66">
        <f t="shared" si="1"/>
        <v>63.24</v>
      </c>
      <c r="N107" s="66">
        <f t="shared" si="1"/>
        <v>968.6</v>
      </c>
      <c r="O107" s="66">
        <f t="shared" si="1"/>
        <v>0</v>
      </c>
      <c r="P107" s="66">
        <f t="shared" si="1"/>
        <v>1.75</v>
      </c>
      <c r="Q107" s="66">
        <f t="shared" si="1"/>
        <v>9.43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10.409895833333332</v>
      </c>
      <c r="C108" s="67">
        <f t="shared" ref="C108:Q108" si="2">AVERAGE(C9:C104)</f>
        <v>28.170520833333338</v>
      </c>
      <c r="D108" s="67">
        <f t="shared" si="2"/>
        <v>22.985937500000002</v>
      </c>
      <c r="E108" s="67">
        <f t="shared" si="2"/>
        <v>1.4705208333333328</v>
      </c>
      <c r="F108" s="67">
        <f t="shared" si="2"/>
        <v>4.2806249999999997</v>
      </c>
      <c r="G108" s="67">
        <f t="shared" si="2"/>
        <v>49.083181818181828</v>
      </c>
      <c r="H108" s="67">
        <f t="shared" si="2"/>
        <v>28.537083333333328</v>
      </c>
      <c r="I108" s="67">
        <f t="shared" si="2"/>
        <v>6.247812500000002</v>
      </c>
      <c r="J108" s="67">
        <f t="shared" si="2"/>
        <v>0.42177083333333348</v>
      </c>
      <c r="K108" s="67">
        <f t="shared" si="2"/>
        <v>252.1411458333333</v>
      </c>
      <c r="L108" s="67">
        <f t="shared" si="2"/>
        <v>29.604583333333327</v>
      </c>
      <c r="M108" s="67">
        <f t="shared" si="2"/>
        <v>42.222395833333316</v>
      </c>
      <c r="N108" s="67">
        <f t="shared" si="2"/>
        <v>239.32395833333328</v>
      </c>
      <c r="O108" s="67">
        <f t="shared" si="2"/>
        <v>0</v>
      </c>
      <c r="P108" s="67">
        <f t="shared" si="2"/>
        <v>0.73781249999999998</v>
      </c>
      <c r="Q108" s="67">
        <f t="shared" si="2"/>
        <v>9.1546875000000032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15.529044535951382</v>
      </c>
      <c r="C109" s="67">
        <f t="shared" ref="C109:Q109" si="3">STDEV(C9:C104)</f>
        <v>4.5288184516474477</v>
      </c>
      <c r="D109" s="67">
        <f t="shared" si="3"/>
        <v>13.768460035291564</v>
      </c>
      <c r="E109" s="67">
        <f t="shared" si="3"/>
        <v>0.53348974200500143</v>
      </c>
      <c r="F109" s="67">
        <f t="shared" si="3"/>
        <v>0.90908839533145269</v>
      </c>
      <c r="G109" s="67">
        <f t="shared" si="3"/>
        <v>30.614265082495027</v>
      </c>
      <c r="H109" s="67">
        <f t="shared" si="3"/>
        <v>29.556071964399948</v>
      </c>
      <c r="I109" s="67">
        <f t="shared" si="3"/>
        <v>1.8940878672026247</v>
      </c>
      <c r="J109" s="67">
        <f t="shared" si="3"/>
        <v>0.42674778645660705</v>
      </c>
      <c r="K109" s="67">
        <f t="shared" si="3"/>
        <v>111.48942106878222</v>
      </c>
      <c r="L109" s="67">
        <f t="shared" si="3"/>
        <v>5.278558997275641</v>
      </c>
      <c r="M109" s="67">
        <f t="shared" si="3"/>
        <v>12.107594375761998</v>
      </c>
      <c r="N109" s="67">
        <f t="shared" si="3"/>
        <v>312.43025082485616</v>
      </c>
      <c r="O109" s="67">
        <f t="shared" si="3"/>
        <v>0</v>
      </c>
      <c r="P109" s="67">
        <f t="shared" si="3"/>
        <v>0.41849153453048965</v>
      </c>
      <c r="Q109" s="67">
        <f t="shared" si="3"/>
        <v>7.2488882995220313E-2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COUNT(G9:G104)+8</f>
        <v>96</v>
      </c>
      <c r="H110" s="66">
        <f>COUNT(H9:H104)+24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2552</v>
      </c>
      <c r="B9" s="64">
        <v>61.11</v>
      </c>
      <c r="C9" s="64">
        <v>33.69</v>
      </c>
      <c r="D9" s="64">
        <v>66.53</v>
      </c>
      <c r="E9" s="64">
        <v>1.69</v>
      </c>
      <c r="F9" s="64">
        <v>3.2</v>
      </c>
      <c r="G9" s="64">
        <v>144.22999999999999</v>
      </c>
      <c r="H9" s="64">
        <v>51.32</v>
      </c>
      <c r="I9" s="64">
        <v>9.4</v>
      </c>
      <c r="J9" s="64">
        <v>0.2</v>
      </c>
      <c r="K9" s="64">
        <v>305.2</v>
      </c>
      <c r="L9" s="64">
        <v>24.98</v>
      </c>
      <c r="M9" s="64">
        <v>62.58</v>
      </c>
      <c r="N9" s="64">
        <v>19.899999999999999</v>
      </c>
      <c r="O9" s="64">
        <v>0</v>
      </c>
      <c r="P9" s="64">
        <v>1.7</v>
      </c>
      <c r="Q9" s="64">
        <v>9.44</v>
      </c>
      <c r="R9" s="198"/>
      <c r="S9" s="198"/>
      <c r="T9" s="198"/>
      <c r="U9" s="198"/>
    </row>
    <row r="10" spans="1:21" s="12" customFormat="1" x14ac:dyDescent="0.25">
      <c r="A10" s="214" t="s">
        <v>2553</v>
      </c>
      <c r="B10" s="64">
        <v>62.07</v>
      </c>
      <c r="C10" s="64">
        <v>32.81</v>
      </c>
      <c r="D10" s="64">
        <v>66.83</v>
      </c>
      <c r="E10" s="64">
        <v>1.81</v>
      </c>
      <c r="F10" s="64">
        <v>3.46</v>
      </c>
      <c r="G10" s="64">
        <v>144.22999999999999</v>
      </c>
      <c r="H10" s="64">
        <v>51.32</v>
      </c>
      <c r="I10" s="64">
        <v>9.33</v>
      </c>
      <c r="J10" s="64">
        <v>0.13</v>
      </c>
      <c r="K10" s="64">
        <v>257.81</v>
      </c>
      <c r="L10" s="64">
        <v>24.62</v>
      </c>
      <c r="M10" s="64">
        <v>63.81</v>
      </c>
      <c r="N10" s="64">
        <v>19.8</v>
      </c>
      <c r="O10" s="64">
        <v>0</v>
      </c>
      <c r="P10" s="64">
        <v>1.72</v>
      </c>
      <c r="Q10" s="64">
        <v>9.4499999999999993</v>
      </c>
      <c r="R10" s="198"/>
      <c r="S10" s="198"/>
      <c r="T10" s="198"/>
      <c r="U10" s="198"/>
    </row>
    <row r="11" spans="1:21" s="12" customFormat="1" x14ac:dyDescent="0.25">
      <c r="A11" s="214" t="s">
        <v>2554</v>
      </c>
      <c r="B11" s="64">
        <v>62.34</v>
      </c>
      <c r="C11" s="64">
        <v>31.89</v>
      </c>
      <c r="D11" s="64">
        <v>66.569999999999993</v>
      </c>
      <c r="E11" s="64">
        <v>1.51</v>
      </c>
      <c r="F11" s="64">
        <v>3.05</v>
      </c>
      <c r="G11" s="64">
        <v>144.22999999999999</v>
      </c>
      <c r="H11" s="64">
        <v>51.32</v>
      </c>
      <c r="I11" s="64">
        <v>8.9600000000000009</v>
      </c>
      <c r="J11" s="64">
        <v>0.12</v>
      </c>
      <c r="K11" s="64">
        <v>242.53</v>
      </c>
      <c r="L11" s="64">
        <v>24.59</v>
      </c>
      <c r="M11" s="64">
        <v>59.26</v>
      </c>
      <c r="N11" s="64">
        <v>19.8</v>
      </c>
      <c r="O11" s="64">
        <v>0</v>
      </c>
      <c r="P11" s="64">
        <v>1.64</v>
      </c>
      <c r="Q11" s="64">
        <v>9.1999999999999993</v>
      </c>
      <c r="R11" s="198"/>
      <c r="S11" s="198"/>
      <c r="T11" s="198"/>
      <c r="U11" s="198"/>
    </row>
    <row r="12" spans="1:21" s="12" customFormat="1" x14ac:dyDescent="0.25">
      <c r="A12" s="214" t="s">
        <v>2555</v>
      </c>
      <c r="B12" s="64">
        <v>61.9</v>
      </c>
      <c r="C12" s="64">
        <v>30.65</v>
      </c>
      <c r="D12" s="64">
        <v>65.569999999999993</v>
      </c>
      <c r="E12" s="64">
        <v>1.74</v>
      </c>
      <c r="F12" s="64">
        <v>3.38</v>
      </c>
      <c r="G12" s="64">
        <v>143.47999999999999</v>
      </c>
      <c r="H12" s="64">
        <v>50.25</v>
      </c>
      <c r="I12" s="64">
        <v>9.16</v>
      </c>
      <c r="J12" s="64">
        <v>0.17</v>
      </c>
      <c r="K12" s="64">
        <v>248.05</v>
      </c>
      <c r="L12" s="64">
        <v>24.78</v>
      </c>
      <c r="M12" s="64">
        <v>59.49</v>
      </c>
      <c r="N12" s="64">
        <v>19.5</v>
      </c>
      <c r="O12" s="64">
        <v>0</v>
      </c>
      <c r="P12" s="64">
        <v>1.6</v>
      </c>
      <c r="Q12" s="64">
        <v>9.51</v>
      </c>
      <c r="R12" s="198"/>
      <c r="S12" s="198"/>
      <c r="T12" s="198"/>
      <c r="U12" s="198"/>
    </row>
    <row r="13" spans="1:21" s="12" customFormat="1" x14ac:dyDescent="0.25">
      <c r="A13" s="214" t="s">
        <v>2556</v>
      </c>
      <c r="B13" s="64">
        <v>61.02</v>
      </c>
      <c r="C13" s="64">
        <v>30.13</v>
      </c>
      <c r="D13" s="64">
        <v>64.59</v>
      </c>
      <c r="E13" s="64">
        <v>1.55</v>
      </c>
      <c r="F13" s="64">
        <v>3.95</v>
      </c>
      <c r="G13" s="64">
        <v>132.93</v>
      </c>
      <c r="H13" s="64">
        <v>35.25</v>
      </c>
      <c r="I13" s="64">
        <v>8.41</v>
      </c>
      <c r="J13" s="64">
        <v>0.18</v>
      </c>
      <c r="K13" s="64">
        <v>244.85</v>
      </c>
      <c r="L13" s="64">
        <v>24.48</v>
      </c>
      <c r="M13" s="64">
        <v>59.53</v>
      </c>
      <c r="N13" s="64">
        <v>19.8</v>
      </c>
      <c r="O13" s="64">
        <v>0</v>
      </c>
      <c r="P13" s="64">
        <v>1.41</v>
      </c>
      <c r="Q13" s="64">
        <v>9.48</v>
      </c>
      <c r="R13" s="198"/>
      <c r="S13" s="198"/>
      <c r="T13" s="198"/>
      <c r="U13" s="198"/>
    </row>
    <row r="14" spans="1:21" s="12" customFormat="1" x14ac:dyDescent="0.25">
      <c r="A14" s="214" t="s">
        <v>2557</v>
      </c>
      <c r="B14" s="64">
        <v>59.91</v>
      </c>
      <c r="C14" s="64">
        <v>29.82</v>
      </c>
      <c r="D14" s="64">
        <v>63.54</v>
      </c>
      <c r="E14" s="64">
        <v>1.83</v>
      </c>
      <c r="F14" s="64">
        <v>3.71</v>
      </c>
      <c r="G14" s="64">
        <v>132.93</v>
      </c>
      <c r="H14" s="64">
        <v>35.25</v>
      </c>
      <c r="I14" s="64">
        <v>8.99</v>
      </c>
      <c r="J14" s="64">
        <v>0.16</v>
      </c>
      <c r="K14" s="64">
        <v>335.85</v>
      </c>
      <c r="L14" s="64">
        <v>24.61</v>
      </c>
      <c r="M14" s="64">
        <v>61.59</v>
      </c>
      <c r="N14" s="64">
        <v>20</v>
      </c>
      <c r="O14" s="64">
        <v>0</v>
      </c>
      <c r="P14" s="64">
        <v>1.49</v>
      </c>
      <c r="Q14" s="64">
        <v>9.1999999999999993</v>
      </c>
      <c r="R14" s="198"/>
      <c r="S14" s="198"/>
      <c r="T14" s="198"/>
      <c r="U14" s="198"/>
    </row>
    <row r="15" spans="1:21" s="12" customFormat="1" x14ac:dyDescent="0.25">
      <c r="A15" s="214" t="s">
        <v>2558</v>
      </c>
      <c r="B15" s="64">
        <v>58.63</v>
      </c>
      <c r="C15" s="64">
        <v>27.86</v>
      </c>
      <c r="D15" s="64">
        <v>61.5</v>
      </c>
      <c r="E15" s="64">
        <v>1.36</v>
      </c>
      <c r="F15" s="64">
        <v>3.67</v>
      </c>
      <c r="G15" s="64">
        <v>132.93</v>
      </c>
      <c r="H15" s="64">
        <v>35.25</v>
      </c>
      <c r="I15" s="64">
        <v>9.73</v>
      </c>
      <c r="J15" s="64">
        <v>0.27</v>
      </c>
      <c r="K15" s="64">
        <v>338.69</v>
      </c>
      <c r="L15" s="64">
        <v>23.95</v>
      </c>
      <c r="M15" s="64">
        <v>68.540000000000006</v>
      </c>
      <c r="N15" s="64">
        <v>20.2</v>
      </c>
      <c r="O15" s="64">
        <v>0</v>
      </c>
      <c r="P15" s="64">
        <v>1.44</v>
      </c>
      <c r="Q15" s="64">
        <v>9.49</v>
      </c>
      <c r="R15" s="198"/>
      <c r="S15" s="198"/>
      <c r="T15" s="198"/>
      <c r="U15" s="198"/>
    </row>
    <row r="16" spans="1:21" s="12" customFormat="1" x14ac:dyDescent="0.25">
      <c r="A16" s="214" t="s">
        <v>2559</v>
      </c>
      <c r="B16" s="64">
        <v>57.49</v>
      </c>
      <c r="C16" s="64">
        <v>26.59</v>
      </c>
      <c r="D16" s="64">
        <v>59.92</v>
      </c>
      <c r="E16" s="64">
        <v>1.1299999999999999</v>
      </c>
      <c r="F16" s="64">
        <v>3.4</v>
      </c>
      <c r="G16" s="64">
        <v>131.41999999999999</v>
      </c>
      <c r="H16" s="64">
        <v>34.26</v>
      </c>
      <c r="I16" s="64">
        <v>11.04</v>
      </c>
      <c r="J16" s="64">
        <v>0.11</v>
      </c>
      <c r="K16" s="64">
        <v>274.70999999999998</v>
      </c>
      <c r="L16" s="64">
        <v>23.62</v>
      </c>
      <c r="M16" s="64">
        <v>66.709999999999994</v>
      </c>
      <c r="N16" s="64">
        <v>20.100000000000001</v>
      </c>
      <c r="O16" s="64">
        <v>0</v>
      </c>
      <c r="P16" s="64">
        <v>1.39</v>
      </c>
      <c r="Q16" s="64">
        <v>9.42</v>
      </c>
      <c r="R16" s="198"/>
      <c r="S16" s="198"/>
      <c r="T16" s="198"/>
      <c r="U16" s="198"/>
    </row>
    <row r="17" spans="1:21" s="12" customFormat="1" x14ac:dyDescent="0.25">
      <c r="A17" s="214" t="s">
        <v>2560</v>
      </c>
      <c r="B17" s="64">
        <v>56.23</v>
      </c>
      <c r="C17" s="64">
        <v>26.06</v>
      </c>
      <c r="D17" s="64">
        <v>58.63</v>
      </c>
      <c r="E17" s="64">
        <v>1.47</v>
      </c>
      <c r="F17" s="64">
        <v>3.54</v>
      </c>
      <c r="G17" s="64">
        <v>105.72</v>
      </c>
      <c r="H17" s="64">
        <v>17.39</v>
      </c>
      <c r="I17" s="64">
        <v>11.17</v>
      </c>
      <c r="J17" s="64">
        <v>0.2</v>
      </c>
      <c r="K17" s="64">
        <v>338.74</v>
      </c>
      <c r="L17" s="64">
        <v>23.51</v>
      </c>
      <c r="M17" s="64">
        <v>70.739999999999995</v>
      </c>
      <c r="N17" s="64">
        <v>20.3</v>
      </c>
      <c r="O17" s="64">
        <v>0</v>
      </c>
      <c r="P17" s="64">
        <v>1.34</v>
      </c>
      <c r="Q17" s="64">
        <v>9.48</v>
      </c>
      <c r="R17" s="198"/>
      <c r="S17" s="198"/>
      <c r="T17" s="198"/>
      <c r="U17" s="198"/>
    </row>
    <row r="18" spans="1:21" s="12" customFormat="1" x14ac:dyDescent="0.25">
      <c r="A18" s="214" t="s">
        <v>2561</v>
      </c>
      <c r="B18" s="64">
        <v>55.47</v>
      </c>
      <c r="C18" s="64">
        <v>25.75</v>
      </c>
      <c r="D18" s="64">
        <v>57.85</v>
      </c>
      <c r="E18" s="64">
        <v>1.57</v>
      </c>
      <c r="F18" s="64">
        <v>3.54</v>
      </c>
      <c r="G18" s="64">
        <v>105.72</v>
      </c>
      <c r="H18" s="64">
        <v>17.39</v>
      </c>
      <c r="I18" s="64">
        <v>10.88</v>
      </c>
      <c r="J18" s="64">
        <v>0.11</v>
      </c>
      <c r="K18" s="64">
        <v>289.81</v>
      </c>
      <c r="L18" s="64">
        <v>23.26</v>
      </c>
      <c r="M18" s="64">
        <v>68.81</v>
      </c>
      <c r="N18" s="64">
        <v>20.100000000000001</v>
      </c>
      <c r="O18" s="64">
        <v>0</v>
      </c>
      <c r="P18" s="64">
        <v>1.29</v>
      </c>
      <c r="Q18" s="64">
        <v>9.48</v>
      </c>
      <c r="R18" s="198"/>
      <c r="S18" s="198"/>
      <c r="T18" s="198"/>
      <c r="U18" s="198"/>
    </row>
    <row r="19" spans="1:21" s="12" customFormat="1" x14ac:dyDescent="0.25">
      <c r="A19" s="214" t="s">
        <v>2562</v>
      </c>
      <c r="B19" s="64">
        <v>54.17</v>
      </c>
      <c r="C19" s="64">
        <v>25.33</v>
      </c>
      <c r="D19" s="64">
        <v>56.6</v>
      </c>
      <c r="E19" s="64">
        <v>1.73</v>
      </c>
      <c r="F19" s="64">
        <v>3.75</v>
      </c>
      <c r="G19" s="64">
        <v>105.72</v>
      </c>
      <c r="H19" s="64">
        <v>17.39</v>
      </c>
      <c r="I19" s="64">
        <v>10.47</v>
      </c>
      <c r="J19" s="64">
        <v>0.19</v>
      </c>
      <c r="K19" s="64">
        <v>267.60000000000002</v>
      </c>
      <c r="L19" s="64">
        <v>23.42</v>
      </c>
      <c r="M19" s="64">
        <v>67.989999999999995</v>
      </c>
      <c r="N19" s="64">
        <v>20</v>
      </c>
      <c r="O19" s="64">
        <v>0</v>
      </c>
      <c r="P19" s="64">
        <v>1.25</v>
      </c>
      <c r="Q19" s="64">
        <v>9.35</v>
      </c>
      <c r="R19" s="198"/>
      <c r="S19" s="198"/>
      <c r="T19" s="198"/>
      <c r="U19" s="198"/>
    </row>
    <row r="20" spans="1:21" s="12" customFormat="1" x14ac:dyDescent="0.25">
      <c r="A20" s="214" t="s">
        <v>2563</v>
      </c>
      <c r="B20" s="64">
        <v>52.44</v>
      </c>
      <c r="C20" s="64">
        <v>25.02</v>
      </c>
      <c r="D20" s="64">
        <v>55.04</v>
      </c>
      <c r="E20" s="64">
        <v>1.49</v>
      </c>
      <c r="F20" s="64">
        <v>3.42</v>
      </c>
      <c r="G20" s="64">
        <v>104.57</v>
      </c>
      <c r="H20" s="64">
        <v>17.579999999999998</v>
      </c>
      <c r="I20" s="64">
        <v>10.37</v>
      </c>
      <c r="J20" s="64">
        <v>0.2</v>
      </c>
      <c r="K20" s="64">
        <v>321.58999999999997</v>
      </c>
      <c r="L20" s="64">
        <v>23.28</v>
      </c>
      <c r="M20" s="64">
        <v>73</v>
      </c>
      <c r="N20" s="64">
        <v>20.2</v>
      </c>
      <c r="O20" s="64">
        <v>0</v>
      </c>
      <c r="P20" s="64">
        <v>1.2</v>
      </c>
      <c r="Q20" s="64">
        <v>9.24</v>
      </c>
      <c r="R20" s="198"/>
      <c r="S20" s="198"/>
      <c r="T20" s="198"/>
      <c r="U20" s="198"/>
    </row>
    <row r="21" spans="1:21" s="12" customFormat="1" x14ac:dyDescent="0.25">
      <c r="A21" s="214" t="s">
        <v>2564</v>
      </c>
      <c r="B21" s="64">
        <v>51.31</v>
      </c>
      <c r="C21" s="64">
        <v>24.3</v>
      </c>
      <c r="D21" s="64">
        <v>53.76</v>
      </c>
      <c r="E21" s="64">
        <v>1.3</v>
      </c>
      <c r="F21" s="64">
        <v>3.26</v>
      </c>
      <c r="G21" s="64">
        <v>88.45</v>
      </c>
      <c r="H21" s="64">
        <v>20.28</v>
      </c>
      <c r="I21" s="64">
        <v>10.19</v>
      </c>
      <c r="J21" s="64">
        <v>0.11</v>
      </c>
      <c r="K21" s="64">
        <v>356.49</v>
      </c>
      <c r="L21" s="64">
        <v>23.06</v>
      </c>
      <c r="M21" s="64">
        <v>74.900000000000006</v>
      </c>
      <c r="N21" s="64">
        <v>20.5</v>
      </c>
      <c r="O21" s="64">
        <v>0</v>
      </c>
      <c r="P21" s="64">
        <v>1.17</v>
      </c>
      <c r="Q21" s="64">
        <v>9.4600000000000009</v>
      </c>
      <c r="R21" s="198"/>
      <c r="S21" s="198"/>
      <c r="T21" s="198"/>
      <c r="U21" s="198"/>
    </row>
    <row r="22" spans="1:21" s="12" customFormat="1" x14ac:dyDescent="0.25">
      <c r="A22" s="214" t="s">
        <v>2565</v>
      </c>
      <c r="B22" s="64">
        <v>50.42</v>
      </c>
      <c r="C22" s="64">
        <v>24.16</v>
      </c>
      <c r="D22" s="64">
        <v>52.97</v>
      </c>
      <c r="E22" s="64">
        <v>1.55</v>
      </c>
      <c r="F22" s="64">
        <v>3.25</v>
      </c>
      <c r="G22" s="64">
        <v>88.45</v>
      </c>
      <c r="H22" s="64">
        <v>20.28</v>
      </c>
      <c r="I22" s="64">
        <v>9.8699999999999992</v>
      </c>
      <c r="J22" s="64">
        <v>0.09</v>
      </c>
      <c r="K22" s="64">
        <v>198.24</v>
      </c>
      <c r="L22" s="64">
        <v>23.14</v>
      </c>
      <c r="M22" s="64">
        <v>69.819999999999993</v>
      </c>
      <c r="N22" s="64">
        <v>20.3</v>
      </c>
      <c r="O22" s="64">
        <v>0</v>
      </c>
      <c r="P22" s="64">
        <v>1.1299999999999999</v>
      </c>
      <c r="Q22" s="64">
        <v>9.3800000000000008</v>
      </c>
      <c r="R22" s="198"/>
      <c r="S22" s="198"/>
      <c r="T22" s="198"/>
      <c r="U22" s="198"/>
    </row>
    <row r="23" spans="1:21" s="12" customFormat="1" x14ac:dyDescent="0.25">
      <c r="A23" s="214" t="s">
        <v>2566</v>
      </c>
      <c r="B23" s="64">
        <v>48.9</v>
      </c>
      <c r="C23" s="64">
        <v>23.75</v>
      </c>
      <c r="D23" s="64">
        <v>51.54</v>
      </c>
      <c r="E23" s="64">
        <v>1.6</v>
      </c>
      <c r="F23" s="64">
        <v>3.54</v>
      </c>
      <c r="G23" s="64">
        <v>88.45</v>
      </c>
      <c r="H23" s="64">
        <v>20.28</v>
      </c>
      <c r="I23" s="64">
        <v>9.85</v>
      </c>
      <c r="J23" s="64">
        <v>0.17</v>
      </c>
      <c r="K23" s="64">
        <v>301.60000000000002</v>
      </c>
      <c r="L23" s="64">
        <v>23.41</v>
      </c>
      <c r="M23" s="64">
        <v>66.790000000000006</v>
      </c>
      <c r="N23" s="64">
        <v>20.100000000000001</v>
      </c>
      <c r="O23" s="64">
        <v>0</v>
      </c>
      <c r="P23" s="64">
        <v>1.0900000000000001</v>
      </c>
      <c r="Q23" s="64">
        <v>9.36</v>
      </c>
      <c r="R23" s="198"/>
      <c r="S23" s="198"/>
      <c r="T23" s="198"/>
      <c r="U23" s="198"/>
    </row>
    <row r="24" spans="1:21" s="12" customFormat="1" x14ac:dyDescent="0.25">
      <c r="A24" s="214" t="s">
        <v>2567</v>
      </c>
      <c r="B24" s="64">
        <v>47.58</v>
      </c>
      <c r="C24" s="64">
        <v>23.69</v>
      </c>
      <c r="D24" s="64">
        <v>50.45</v>
      </c>
      <c r="E24" s="64">
        <v>2.14</v>
      </c>
      <c r="F24" s="64">
        <v>3.68</v>
      </c>
      <c r="G24" s="64">
        <v>87.61</v>
      </c>
      <c r="H24" s="64">
        <v>19.329999999999998</v>
      </c>
      <c r="I24" s="64">
        <v>9.7100000000000009</v>
      </c>
      <c r="J24" s="64">
        <v>0.18</v>
      </c>
      <c r="K24" s="64">
        <v>253.98</v>
      </c>
      <c r="L24" s="64">
        <v>23.36</v>
      </c>
      <c r="M24" s="64">
        <v>67.540000000000006</v>
      </c>
      <c r="N24" s="64">
        <v>20.399999999999999</v>
      </c>
      <c r="O24" s="64">
        <v>0</v>
      </c>
      <c r="P24" s="64">
        <v>1.04</v>
      </c>
      <c r="Q24" s="64">
        <v>9.23</v>
      </c>
      <c r="R24" s="198"/>
      <c r="S24" s="198"/>
      <c r="T24" s="198"/>
      <c r="U24" s="198"/>
    </row>
    <row r="25" spans="1:21" s="12" customFormat="1" x14ac:dyDescent="0.25">
      <c r="A25" s="214" t="s">
        <v>2568</v>
      </c>
      <c r="B25" s="64">
        <v>46.66</v>
      </c>
      <c r="C25" s="64">
        <v>25.27</v>
      </c>
      <c r="D25" s="64">
        <v>50.54</v>
      </c>
      <c r="E25" s="64">
        <v>1.97</v>
      </c>
      <c r="F25" s="64">
        <v>3.49</v>
      </c>
      <c r="G25" s="64">
        <v>75.77</v>
      </c>
      <c r="H25" s="64">
        <v>3.24</v>
      </c>
      <c r="I25" s="64">
        <v>9.57</v>
      </c>
      <c r="J25" s="64">
        <v>0.13</v>
      </c>
      <c r="K25" s="64">
        <v>301.57</v>
      </c>
      <c r="L25" s="64">
        <v>23.24</v>
      </c>
      <c r="M25" s="64">
        <v>69.81</v>
      </c>
      <c r="N25" s="64">
        <v>20.7</v>
      </c>
      <c r="O25" s="64">
        <v>0</v>
      </c>
      <c r="P25" s="64">
        <v>1</v>
      </c>
      <c r="Q25" s="64">
        <v>9.3699999999999992</v>
      </c>
      <c r="R25" s="198"/>
      <c r="S25" s="198"/>
      <c r="T25" s="198"/>
      <c r="U25" s="198"/>
    </row>
    <row r="26" spans="1:21" s="12" customFormat="1" x14ac:dyDescent="0.25">
      <c r="A26" s="214" t="s">
        <v>2569</v>
      </c>
      <c r="B26" s="64">
        <v>46.9</v>
      </c>
      <c r="C26" s="64">
        <v>25.56</v>
      </c>
      <c r="D26" s="64">
        <v>50.89</v>
      </c>
      <c r="E26" s="64">
        <v>2.15</v>
      </c>
      <c r="F26" s="64">
        <v>3.35</v>
      </c>
      <c r="G26" s="64">
        <v>75.77</v>
      </c>
      <c r="H26" s="64">
        <v>3.24</v>
      </c>
      <c r="I26" s="64">
        <v>9.02</v>
      </c>
      <c r="J26" s="64">
        <v>0.19</v>
      </c>
      <c r="K26" s="64">
        <v>307.44</v>
      </c>
      <c r="L26" s="64">
        <v>22.94</v>
      </c>
      <c r="M26" s="64">
        <v>74.760000000000005</v>
      </c>
      <c r="N26" s="64">
        <v>20.5</v>
      </c>
      <c r="O26" s="64">
        <v>0</v>
      </c>
      <c r="P26" s="64">
        <v>1</v>
      </c>
      <c r="Q26" s="64">
        <v>9.24</v>
      </c>
      <c r="R26" s="198"/>
      <c r="S26" s="198"/>
      <c r="T26" s="198"/>
      <c r="U26" s="198"/>
    </row>
    <row r="27" spans="1:21" s="12" customFormat="1" x14ac:dyDescent="0.25">
      <c r="A27" s="214" t="s">
        <v>2570</v>
      </c>
      <c r="B27" s="64">
        <v>47.81</v>
      </c>
      <c r="C27" s="64">
        <v>25.44</v>
      </c>
      <c r="D27" s="64">
        <v>51.56</v>
      </c>
      <c r="E27" s="64">
        <v>2.11</v>
      </c>
      <c r="F27" s="64">
        <v>3.35</v>
      </c>
      <c r="G27" s="64">
        <v>75.77</v>
      </c>
      <c r="H27" s="64">
        <v>3.24</v>
      </c>
      <c r="I27" s="64">
        <v>7.81</v>
      </c>
      <c r="J27" s="64">
        <v>0.3</v>
      </c>
      <c r="K27" s="64">
        <v>348.16</v>
      </c>
      <c r="L27" s="64">
        <v>22.76</v>
      </c>
      <c r="M27" s="64">
        <v>77.69</v>
      </c>
      <c r="N27" s="64">
        <v>20.6</v>
      </c>
      <c r="O27" s="64">
        <v>0</v>
      </c>
      <c r="P27" s="64">
        <v>0.99</v>
      </c>
      <c r="Q27" s="64">
        <v>9.3000000000000007</v>
      </c>
      <c r="R27" s="198"/>
      <c r="S27" s="198"/>
      <c r="T27" s="198"/>
      <c r="U27" s="198"/>
    </row>
    <row r="28" spans="1:21" s="12" customFormat="1" x14ac:dyDescent="0.25">
      <c r="A28" s="214" t="s">
        <v>2571</v>
      </c>
      <c r="B28" s="64">
        <v>48.28</v>
      </c>
      <c r="C28" s="64">
        <v>25.27</v>
      </c>
      <c r="D28" s="64">
        <v>51.84</v>
      </c>
      <c r="E28" s="64">
        <v>2.2999999999999998</v>
      </c>
      <c r="F28" s="64">
        <v>3.49</v>
      </c>
      <c r="G28" s="64">
        <v>75.3</v>
      </c>
      <c r="H28" s="64">
        <v>4.74</v>
      </c>
      <c r="I28" s="64">
        <v>8.5399999999999991</v>
      </c>
      <c r="J28" s="64">
        <v>0.09</v>
      </c>
      <c r="K28" s="64">
        <v>338.5</v>
      </c>
      <c r="L28" s="64">
        <v>22.61</v>
      </c>
      <c r="M28" s="64">
        <v>74.650000000000006</v>
      </c>
      <c r="N28" s="64">
        <v>20.7</v>
      </c>
      <c r="O28" s="64">
        <v>0</v>
      </c>
      <c r="P28" s="64">
        <v>0.97</v>
      </c>
      <c r="Q28" s="64">
        <v>9.17</v>
      </c>
      <c r="R28" s="198"/>
      <c r="S28" s="198"/>
      <c r="T28" s="198"/>
      <c r="U28" s="198"/>
    </row>
    <row r="29" spans="1:21" s="12" customFormat="1" x14ac:dyDescent="0.25">
      <c r="A29" s="214" t="s">
        <v>2572</v>
      </c>
      <c r="B29" s="64">
        <v>48.22</v>
      </c>
      <c r="C29" s="64">
        <v>25.16</v>
      </c>
      <c r="D29" s="64">
        <v>51.74</v>
      </c>
      <c r="E29" s="64">
        <v>2.1800000000000002</v>
      </c>
      <c r="F29" s="64">
        <v>3.45</v>
      </c>
      <c r="G29" s="64">
        <v>68.73</v>
      </c>
      <c r="H29" s="64">
        <v>25.73</v>
      </c>
      <c r="I29" s="64">
        <v>8.86</v>
      </c>
      <c r="J29" s="64">
        <v>0.17</v>
      </c>
      <c r="K29" s="64">
        <v>320.08</v>
      </c>
      <c r="L29" s="64">
        <v>22.59</v>
      </c>
      <c r="M29" s="64">
        <v>77.680000000000007</v>
      </c>
      <c r="N29" s="64">
        <v>20.8</v>
      </c>
      <c r="O29" s="64">
        <v>0</v>
      </c>
      <c r="P29" s="64">
        <v>0.95</v>
      </c>
      <c r="Q29" s="64">
        <v>9.41</v>
      </c>
      <c r="R29" s="198"/>
      <c r="S29" s="198"/>
      <c r="T29" s="198"/>
      <c r="U29" s="198"/>
    </row>
    <row r="30" spans="1:21" s="12" customFormat="1" x14ac:dyDescent="0.25">
      <c r="A30" s="214" t="s">
        <v>2573</v>
      </c>
      <c r="B30" s="64">
        <v>48.18</v>
      </c>
      <c r="C30" s="64">
        <v>24.81</v>
      </c>
      <c r="D30" s="64">
        <v>51.52</v>
      </c>
      <c r="E30" s="64">
        <v>2.39</v>
      </c>
      <c r="F30" s="64">
        <v>3.28</v>
      </c>
      <c r="G30" s="64">
        <v>68.73</v>
      </c>
      <c r="H30" s="64">
        <v>25.73</v>
      </c>
      <c r="I30" s="64">
        <v>8.64</v>
      </c>
      <c r="J30" s="64">
        <v>0.09</v>
      </c>
      <c r="K30" s="64">
        <v>249.92</v>
      </c>
      <c r="L30" s="64">
        <v>22.47</v>
      </c>
      <c r="M30" s="64">
        <v>75.430000000000007</v>
      </c>
      <c r="N30" s="64">
        <v>22.5</v>
      </c>
      <c r="O30" s="64">
        <v>0</v>
      </c>
      <c r="P30" s="64">
        <v>0.93</v>
      </c>
      <c r="Q30" s="64">
        <v>9.32</v>
      </c>
      <c r="R30" s="198"/>
      <c r="S30" s="198"/>
      <c r="T30" s="198"/>
      <c r="U30" s="198"/>
    </row>
    <row r="31" spans="1:21" s="12" customFormat="1" x14ac:dyDescent="0.25">
      <c r="A31" s="214" t="s">
        <v>2574</v>
      </c>
      <c r="B31" s="64">
        <v>48.61</v>
      </c>
      <c r="C31" s="64">
        <v>24.34</v>
      </c>
      <c r="D31" s="64">
        <v>51.62</v>
      </c>
      <c r="E31" s="64">
        <v>2.52</v>
      </c>
      <c r="F31" s="64">
        <v>3.57</v>
      </c>
      <c r="G31" s="64">
        <v>68.73</v>
      </c>
      <c r="H31" s="64">
        <v>25.73</v>
      </c>
      <c r="I31" s="64">
        <v>8.7899999999999991</v>
      </c>
      <c r="J31" s="64">
        <v>0.12</v>
      </c>
      <c r="K31" s="64">
        <v>212.37</v>
      </c>
      <c r="L31" s="64">
        <v>22.61</v>
      </c>
      <c r="M31" s="64">
        <v>78.069999999999993</v>
      </c>
      <c r="N31" s="64">
        <v>31</v>
      </c>
      <c r="O31" s="64">
        <v>0</v>
      </c>
      <c r="P31" s="64">
        <v>0.93</v>
      </c>
      <c r="Q31" s="64">
        <v>9.35</v>
      </c>
      <c r="R31" s="198"/>
      <c r="S31" s="198"/>
      <c r="T31" s="198"/>
      <c r="U31" s="198"/>
    </row>
    <row r="32" spans="1:21" s="12" customFormat="1" x14ac:dyDescent="0.25">
      <c r="A32" s="214" t="s">
        <v>2575</v>
      </c>
      <c r="B32" s="64">
        <v>49.64</v>
      </c>
      <c r="C32" s="64">
        <v>24.27</v>
      </c>
      <c r="D32" s="64">
        <v>52.41</v>
      </c>
      <c r="E32" s="64">
        <v>2.41</v>
      </c>
      <c r="F32" s="64">
        <v>3.49</v>
      </c>
      <c r="G32" s="64">
        <v>70.03</v>
      </c>
      <c r="H32" s="64">
        <v>24.59</v>
      </c>
      <c r="I32" s="64">
        <v>9.5500000000000007</v>
      </c>
      <c r="J32" s="64">
        <v>0.2</v>
      </c>
      <c r="K32" s="64">
        <v>345.09</v>
      </c>
      <c r="L32" s="64">
        <v>23.15</v>
      </c>
      <c r="M32" s="64">
        <v>74.430000000000007</v>
      </c>
      <c r="N32" s="64">
        <v>48.8</v>
      </c>
      <c r="O32" s="64">
        <v>0</v>
      </c>
      <c r="P32" s="64">
        <v>0.92</v>
      </c>
      <c r="Q32" s="64">
        <v>9.1999999999999993</v>
      </c>
      <c r="R32" s="198"/>
      <c r="S32" s="198"/>
      <c r="T32" s="198"/>
      <c r="U32" s="198"/>
    </row>
    <row r="33" spans="1:21" s="12" customFormat="1" x14ac:dyDescent="0.25">
      <c r="A33" s="214" t="s">
        <v>2576</v>
      </c>
      <c r="B33" s="64">
        <v>51.55</v>
      </c>
      <c r="C33" s="64">
        <v>24.42</v>
      </c>
      <c r="D33" s="64">
        <v>54.02</v>
      </c>
      <c r="E33" s="64">
        <v>2.4500000000000002</v>
      </c>
      <c r="F33" s="64">
        <v>3.47</v>
      </c>
      <c r="G33" s="64">
        <v>88.31</v>
      </c>
      <c r="H33" s="64">
        <v>5.15</v>
      </c>
      <c r="I33" s="64">
        <v>9.6999999999999993</v>
      </c>
      <c r="J33" s="64">
        <v>0.17</v>
      </c>
      <c r="K33" s="64">
        <v>165</v>
      </c>
      <c r="L33" s="64">
        <v>24.03</v>
      </c>
      <c r="M33" s="64">
        <v>70.489999999999995</v>
      </c>
      <c r="N33" s="64">
        <v>79.7</v>
      </c>
      <c r="O33" s="64">
        <v>0</v>
      </c>
      <c r="P33" s="64">
        <v>0.92</v>
      </c>
      <c r="Q33" s="64">
        <v>9.4</v>
      </c>
      <c r="R33" s="198"/>
      <c r="S33" s="198"/>
      <c r="T33" s="198"/>
      <c r="U33" s="198"/>
    </row>
    <row r="34" spans="1:21" s="12" customFormat="1" x14ac:dyDescent="0.25">
      <c r="A34" s="214" t="s">
        <v>2577</v>
      </c>
      <c r="B34" s="64">
        <v>52.33</v>
      </c>
      <c r="C34" s="64">
        <v>24.43</v>
      </c>
      <c r="D34" s="64">
        <v>54.65</v>
      </c>
      <c r="E34" s="64">
        <v>2.46</v>
      </c>
      <c r="F34" s="64">
        <v>3.79</v>
      </c>
      <c r="G34" s="64">
        <v>88.31</v>
      </c>
      <c r="H34" s="64">
        <v>5.15</v>
      </c>
      <c r="I34" s="64">
        <v>9.9</v>
      </c>
      <c r="J34" s="64">
        <v>0.2</v>
      </c>
      <c r="K34" s="64">
        <v>205.99</v>
      </c>
      <c r="L34" s="64">
        <v>24.89</v>
      </c>
      <c r="M34" s="64">
        <v>67.12</v>
      </c>
      <c r="N34" s="64">
        <v>119.6</v>
      </c>
      <c r="O34" s="64">
        <v>0</v>
      </c>
      <c r="P34" s="64">
        <v>0.91</v>
      </c>
      <c r="Q34" s="64">
        <v>9.24</v>
      </c>
      <c r="R34" s="198"/>
      <c r="S34" s="198"/>
      <c r="T34" s="198"/>
      <c r="U34" s="198"/>
    </row>
    <row r="35" spans="1:21" s="12" customFormat="1" x14ac:dyDescent="0.25">
      <c r="A35" s="214" t="s">
        <v>2578</v>
      </c>
      <c r="B35" s="64">
        <v>50.98</v>
      </c>
      <c r="C35" s="64">
        <v>23.87</v>
      </c>
      <c r="D35" s="64">
        <v>53.27</v>
      </c>
      <c r="E35" s="64">
        <v>2.37</v>
      </c>
      <c r="F35" s="64">
        <v>3.64</v>
      </c>
      <c r="G35" s="64">
        <v>88.31</v>
      </c>
      <c r="H35" s="64">
        <v>5.15</v>
      </c>
      <c r="I35" s="64">
        <v>10.66</v>
      </c>
      <c r="J35" s="64">
        <v>0.51</v>
      </c>
      <c r="K35" s="64">
        <v>171.8</v>
      </c>
      <c r="L35" s="64">
        <v>25.54</v>
      </c>
      <c r="M35" s="64">
        <v>63.02</v>
      </c>
      <c r="N35" s="64">
        <v>162.6</v>
      </c>
      <c r="O35" s="64">
        <v>0</v>
      </c>
      <c r="P35" s="64">
        <v>0.88</v>
      </c>
      <c r="Q35" s="64">
        <v>9.4</v>
      </c>
      <c r="R35" s="198"/>
      <c r="S35" s="198"/>
      <c r="T35" s="198"/>
      <c r="U35" s="198"/>
    </row>
    <row r="36" spans="1:21" s="12" customFormat="1" x14ac:dyDescent="0.25">
      <c r="A36" s="214" t="s">
        <v>2579</v>
      </c>
      <c r="B36" s="64">
        <v>48.95</v>
      </c>
      <c r="C36" s="64">
        <v>23.43</v>
      </c>
      <c r="D36" s="64">
        <v>51.42</v>
      </c>
      <c r="E36" s="64">
        <v>2.4700000000000002</v>
      </c>
      <c r="F36" s="64">
        <v>3.47</v>
      </c>
      <c r="G36" s="64">
        <v>88.13</v>
      </c>
      <c r="H36" s="64">
        <v>4.88</v>
      </c>
      <c r="I36" s="64">
        <v>10.58</v>
      </c>
      <c r="J36" s="64">
        <v>0.71</v>
      </c>
      <c r="K36" s="64">
        <v>149.82</v>
      </c>
      <c r="L36" s="64">
        <v>26.11</v>
      </c>
      <c r="M36" s="64">
        <v>59.98</v>
      </c>
      <c r="N36" s="64">
        <v>216.7</v>
      </c>
      <c r="O36" s="64">
        <v>0</v>
      </c>
      <c r="P36" s="64">
        <v>0.86</v>
      </c>
      <c r="Q36" s="64">
        <v>9.3699999999999992</v>
      </c>
      <c r="R36" s="198"/>
      <c r="S36" s="198"/>
      <c r="T36" s="198"/>
      <c r="U36" s="198"/>
    </row>
    <row r="37" spans="1:21" s="12" customFormat="1" x14ac:dyDescent="0.25">
      <c r="A37" s="214" t="s">
        <v>2580</v>
      </c>
      <c r="B37" s="64">
        <v>46.64</v>
      </c>
      <c r="C37" s="64">
        <v>23.53</v>
      </c>
      <c r="D37" s="64">
        <v>49.62</v>
      </c>
      <c r="E37" s="64">
        <v>2.5299999999999998</v>
      </c>
      <c r="F37" s="64">
        <v>3.31</v>
      </c>
      <c r="G37" s="64">
        <v>85.09</v>
      </c>
      <c r="H37" s="64">
        <v>1.1299999999999999</v>
      </c>
      <c r="I37" s="64">
        <v>10.47</v>
      </c>
      <c r="J37" s="64">
        <v>0.51</v>
      </c>
      <c r="K37" s="64">
        <v>152.96</v>
      </c>
      <c r="L37" s="64">
        <v>27.05</v>
      </c>
      <c r="M37" s="64">
        <v>55.69</v>
      </c>
      <c r="N37" s="64">
        <v>273</v>
      </c>
      <c r="O37" s="64">
        <v>0</v>
      </c>
      <c r="P37" s="64">
        <v>0.85</v>
      </c>
      <c r="Q37" s="64">
        <v>9.32</v>
      </c>
      <c r="R37" s="198"/>
      <c r="S37" s="198"/>
      <c r="T37" s="198"/>
      <c r="U37" s="198"/>
    </row>
    <row r="38" spans="1:21" s="12" customFormat="1" x14ac:dyDescent="0.25">
      <c r="A38" s="214" t="s">
        <v>2581</v>
      </c>
      <c r="B38" s="64">
        <v>44</v>
      </c>
      <c r="C38" s="64">
        <v>23.93</v>
      </c>
      <c r="D38" s="64">
        <v>47.71</v>
      </c>
      <c r="E38" s="64">
        <v>2.44</v>
      </c>
      <c r="F38" s="64">
        <v>3.41</v>
      </c>
      <c r="G38" s="64">
        <v>85.09</v>
      </c>
      <c r="H38" s="64">
        <v>1.1299999999999999</v>
      </c>
      <c r="I38" s="64">
        <v>10.46</v>
      </c>
      <c r="J38" s="64">
        <v>0.73</v>
      </c>
      <c r="K38" s="64">
        <v>150.04</v>
      </c>
      <c r="L38" s="64">
        <v>26.82</v>
      </c>
      <c r="M38" s="64">
        <v>55.51</v>
      </c>
      <c r="N38" s="64">
        <v>223.1</v>
      </c>
      <c r="O38" s="64">
        <v>0</v>
      </c>
      <c r="P38" s="64">
        <v>0.89</v>
      </c>
      <c r="Q38" s="64">
        <v>9.34</v>
      </c>
      <c r="R38" s="198"/>
      <c r="S38" s="198"/>
      <c r="T38" s="198"/>
      <c r="U38" s="198"/>
    </row>
    <row r="39" spans="1:21" s="12" customFormat="1" x14ac:dyDescent="0.25">
      <c r="A39" s="214" t="s">
        <v>2582</v>
      </c>
      <c r="B39" s="64">
        <v>41.31</v>
      </c>
      <c r="C39" s="64">
        <v>24.42</v>
      </c>
      <c r="D39" s="64">
        <v>45.81</v>
      </c>
      <c r="E39" s="64">
        <v>2.0699999999999998</v>
      </c>
      <c r="F39" s="64">
        <v>3.74</v>
      </c>
      <c r="G39" s="64">
        <v>85.09</v>
      </c>
      <c r="H39" s="64">
        <v>1.1299999999999999</v>
      </c>
      <c r="I39" s="64">
        <v>10.4</v>
      </c>
      <c r="J39" s="64">
        <v>0.26</v>
      </c>
      <c r="K39" s="64">
        <v>152.47</v>
      </c>
      <c r="L39" s="64">
        <v>28.01</v>
      </c>
      <c r="M39" s="64">
        <v>51.09</v>
      </c>
      <c r="N39" s="64">
        <v>310.5</v>
      </c>
      <c r="O39" s="64">
        <v>0</v>
      </c>
      <c r="P39" s="64">
        <v>0.87</v>
      </c>
      <c r="Q39" s="64">
        <v>9.34</v>
      </c>
      <c r="R39" s="198"/>
      <c r="S39" s="198"/>
      <c r="T39" s="198"/>
      <c r="U39" s="198"/>
    </row>
    <row r="40" spans="1:21" s="12" customFormat="1" x14ac:dyDescent="0.25">
      <c r="A40" s="214" t="s">
        <v>2583</v>
      </c>
      <c r="B40" s="64">
        <v>38.83</v>
      </c>
      <c r="C40" s="64">
        <v>25.08</v>
      </c>
      <c r="D40" s="64">
        <v>44.16</v>
      </c>
      <c r="E40" s="64">
        <v>0.75</v>
      </c>
      <c r="F40" s="64">
        <v>3.46</v>
      </c>
      <c r="G40" s="64">
        <v>83.82</v>
      </c>
      <c r="H40" s="64">
        <v>1.08</v>
      </c>
      <c r="I40" s="64">
        <v>10.38</v>
      </c>
      <c r="J40" s="64">
        <v>7.0000000000000007E-2</v>
      </c>
      <c r="K40" s="64">
        <v>274.55</v>
      </c>
      <c r="L40" s="64">
        <v>30.31</v>
      </c>
      <c r="M40" s="64">
        <v>43.89</v>
      </c>
      <c r="N40" s="64">
        <v>436.3</v>
      </c>
      <c r="O40" s="64">
        <v>0</v>
      </c>
      <c r="P40" s="64">
        <v>0.85</v>
      </c>
      <c r="Q40" s="64">
        <v>9.34</v>
      </c>
      <c r="R40" s="198"/>
      <c r="S40" s="198"/>
      <c r="T40" s="198"/>
      <c r="U40" s="198"/>
    </row>
    <row r="41" spans="1:21" s="12" customFormat="1" x14ac:dyDescent="0.25">
      <c r="A41" s="214" t="s">
        <v>2584</v>
      </c>
      <c r="B41" s="64">
        <v>36.369999999999997</v>
      </c>
      <c r="C41" s="64">
        <v>25.6</v>
      </c>
      <c r="D41" s="64">
        <v>42.46</v>
      </c>
      <c r="E41" s="64">
        <v>1.1100000000000001</v>
      </c>
      <c r="F41" s="64">
        <v>3.4</v>
      </c>
      <c r="G41" s="64">
        <v>62.2</v>
      </c>
      <c r="H41" s="64">
        <v>0.27</v>
      </c>
      <c r="I41" s="64">
        <v>10.28</v>
      </c>
      <c r="J41" s="64">
        <v>0.4</v>
      </c>
      <c r="K41" s="64">
        <v>170.47</v>
      </c>
      <c r="L41" s="64">
        <v>30.16</v>
      </c>
      <c r="M41" s="64">
        <v>43.29</v>
      </c>
      <c r="N41" s="64">
        <v>502.4</v>
      </c>
      <c r="O41" s="64">
        <v>0</v>
      </c>
      <c r="P41" s="64">
        <v>0.83</v>
      </c>
      <c r="Q41" s="64">
        <v>9.27</v>
      </c>
      <c r="R41" s="198"/>
      <c r="S41" s="198"/>
      <c r="T41" s="198"/>
      <c r="U41" s="198"/>
    </row>
    <row r="42" spans="1:21" s="12" customFormat="1" x14ac:dyDescent="0.25">
      <c r="A42" s="214" t="s">
        <v>2585</v>
      </c>
      <c r="B42" s="64">
        <v>33.17</v>
      </c>
      <c r="C42" s="64">
        <v>25.94</v>
      </c>
      <c r="D42" s="64">
        <v>40.07</v>
      </c>
      <c r="E42" s="64">
        <v>1.18</v>
      </c>
      <c r="F42" s="64">
        <v>3.6</v>
      </c>
      <c r="G42" s="64">
        <v>62.2</v>
      </c>
      <c r="H42" s="64">
        <v>0.27</v>
      </c>
      <c r="I42" s="64">
        <v>10.17</v>
      </c>
      <c r="J42" s="64">
        <v>0.31</v>
      </c>
      <c r="K42" s="64">
        <v>206.32</v>
      </c>
      <c r="L42" s="64">
        <v>30.15</v>
      </c>
      <c r="M42" s="64">
        <v>45.26</v>
      </c>
      <c r="N42" s="64">
        <v>562</v>
      </c>
      <c r="O42" s="64">
        <v>0</v>
      </c>
      <c r="P42" s="64">
        <v>0.8</v>
      </c>
      <c r="Q42" s="64">
        <v>9.16</v>
      </c>
      <c r="R42" s="198"/>
      <c r="S42" s="198"/>
      <c r="T42" s="198"/>
      <c r="U42" s="198"/>
    </row>
    <row r="43" spans="1:21" s="12" customFormat="1" x14ac:dyDescent="0.25">
      <c r="A43" s="214" t="s">
        <v>2586</v>
      </c>
      <c r="B43" s="64">
        <v>29.63</v>
      </c>
      <c r="C43" s="64">
        <v>27.81</v>
      </c>
      <c r="D43" s="64">
        <v>38.21</v>
      </c>
      <c r="E43" s="64">
        <v>0.96</v>
      </c>
      <c r="F43" s="64">
        <v>3.4</v>
      </c>
      <c r="G43" s="64">
        <v>62.2</v>
      </c>
      <c r="H43" s="64">
        <v>0.27</v>
      </c>
      <c r="I43" s="64">
        <v>9.98</v>
      </c>
      <c r="J43" s="64">
        <v>1.02</v>
      </c>
      <c r="K43" s="64">
        <v>155.88999999999999</v>
      </c>
      <c r="L43" s="64">
        <v>30.7</v>
      </c>
      <c r="M43" s="64">
        <v>44.09</v>
      </c>
      <c r="N43" s="64">
        <v>604.20000000000005</v>
      </c>
      <c r="O43" s="64">
        <v>0</v>
      </c>
      <c r="P43" s="64">
        <v>0.78</v>
      </c>
      <c r="Q43" s="64">
        <v>9.3000000000000007</v>
      </c>
      <c r="R43" s="198"/>
      <c r="S43" s="198"/>
      <c r="T43" s="198"/>
      <c r="U43" s="198"/>
    </row>
    <row r="44" spans="1:21" s="12" customFormat="1" x14ac:dyDescent="0.25">
      <c r="A44" s="214" t="s">
        <v>2587</v>
      </c>
      <c r="B44" s="64">
        <v>26.72</v>
      </c>
      <c r="C44" s="64">
        <v>27.92</v>
      </c>
      <c r="D44" s="64">
        <v>35.94</v>
      </c>
      <c r="E44" s="64">
        <v>1.0900000000000001</v>
      </c>
      <c r="F44" s="64">
        <v>3.3</v>
      </c>
      <c r="G44" s="64">
        <v>61.39</v>
      </c>
      <c r="H44" s="64">
        <v>0.39</v>
      </c>
      <c r="I44" s="64">
        <v>9.69</v>
      </c>
      <c r="J44" s="64">
        <v>1.55</v>
      </c>
      <c r="K44" s="64">
        <v>151.87</v>
      </c>
      <c r="L44" s="64">
        <v>30.52</v>
      </c>
      <c r="M44" s="64">
        <v>45.56</v>
      </c>
      <c r="N44" s="64">
        <v>657.9</v>
      </c>
      <c r="O44" s="64">
        <v>0</v>
      </c>
      <c r="P44" s="64">
        <v>0.75</v>
      </c>
      <c r="Q44" s="64">
        <v>9.2100000000000009</v>
      </c>
      <c r="R44" s="198"/>
      <c r="S44" s="198"/>
      <c r="T44" s="198"/>
      <c r="U44" s="198"/>
    </row>
    <row r="45" spans="1:21" s="12" customFormat="1" x14ac:dyDescent="0.25">
      <c r="A45" s="214" t="s">
        <v>2588</v>
      </c>
      <c r="B45" s="64">
        <v>23.9</v>
      </c>
      <c r="C45" s="64">
        <v>28.65</v>
      </c>
      <c r="D45" s="64">
        <v>34.049999999999997</v>
      </c>
      <c r="E45" s="64">
        <v>0.83</v>
      </c>
      <c r="F45" s="64">
        <v>3.62</v>
      </c>
      <c r="G45" s="64">
        <v>47.69</v>
      </c>
      <c r="H45" s="64">
        <v>2.4300000000000002</v>
      </c>
      <c r="I45" s="64">
        <v>9.51</v>
      </c>
      <c r="J45" s="64">
        <v>0.27</v>
      </c>
      <c r="K45" s="64">
        <v>183.38</v>
      </c>
      <c r="L45" s="64">
        <v>31.53</v>
      </c>
      <c r="M45" s="64">
        <v>42.72</v>
      </c>
      <c r="N45" s="64">
        <v>688.8</v>
      </c>
      <c r="O45" s="64">
        <v>0</v>
      </c>
      <c r="P45" s="64">
        <v>0.71</v>
      </c>
      <c r="Q45" s="64">
        <v>9.17</v>
      </c>
      <c r="R45" s="198"/>
      <c r="S45" s="198"/>
      <c r="T45" s="198"/>
      <c r="U45" s="198"/>
    </row>
    <row r="46" spans="1:21" s="12" customFormat="1" x14ac:dyDescent="0.25">
      <c r="A46" s="214" t="s">
        <v>2589</v>
      </c>
      <c r="B46" s="64">
        <v>20.12</v>
      </c>
      <c r="C46" s="64">
        <v>29.88</v>
      </c>
      <c r="D46" s="64">
        <v>31.67</v>
      </c>
      <c r="E46" s="64">
        <v>0.87</v>
      </c>
      <c r="F46" s="64">
        <v>3.62</v>
      </c>
      <c r="G46" s="64">
        <v>47.69</v>
      </c>
      <c r="H46" s="64">
        <v>2.4300000000000002</v>
      </c>
      <c r="I46" s="64">
        <v>9.93</v>
      </c>
      <c r="J46" s="64">
        <v>0.36</v>
      </c>
      <c r="K46" s="64">
        <v>186.29</v>
      </c>
      <c r="L46" s="64">
        <v>31.99</v>
      </c>
      <c r="M46" s="64">
        <v>42.63</v>
      </c>
      <c r="N46" s="64">
        <v>706.5</v>
      </c>
      <c r="O46" s="64">
        <v>0</v>
      </c>
      <c r="P46" s="64">
        <v>0.7</v>
      </c>
      <c r="Q46" s="64">
        <v>9.24</v>
      </c>
      <c r="R46" s="198"/>
      <c r="S46" s="198"/>
      <c r="T46" s="198"/>
      <c r="U46" s="198"/>
    </row>
    <row r="47" spans="1:21" s="12" customFormat="1" x14ac:dyDescent="0.25">
      <c r="A47" s="214" t="s">
        <v>2590</v>
      </c>
      <c r="B47" s="64">
        <v>16.739999999999998</v>
      </c>
      <c r="C47" s="64">
        <v>30.35</v>
      </c>
      <c r="D47" s="64">
        <v>29.2</v>
      </c>
      <c r="E47" s="64">
        <v>1.05</v>
      </c>
      <c r="F47" s="64">
        <v>3.78</v>
      </c>
      <c r="G47" s="64">
        <v>47.69</v>
      </c>
      <c r="H47" s="64">
        <v>2.4300000000000002</v>
      </c>
      <c r="I47" s="64">
        <v>9.98</v>
      </c>
      <c r="J47" s="64">
        <v>0.06</v>
      </c>
      <c r="K47" s="64">
        <v>264.98</v>
      </c>
      <c r="L47" s="64">
        <v>32.869999999999997</v>
      </c>
      <c r="M47" s="64">
        <v>41.76</v>
      </c>
      <c r="N47" s="64">
        <v>775.6</v>
      </c>
      <c r="O47" s="64">
        <v>0</v>
      </c>
      <c r="P47" s="64">
        <v>0.67</v>
      </c>
      <c r="Q47" s="64">
        <v>9.2200000000000006</v>
      </c>
      <c r="R47" s="198"/>
      <c r="S47" s="198"/>
      <c r="T47" s="198"/>
      <c r="U47" s="198"/>
    </row>
    <row r="48" spans="1:21" s="12" customFormat="1" x14ac:dyDescent="0.25">
      <c r="A48" s="214" t="s">
        <v>2591</v>
      </c>
      <c r="B48" s="64">
        <v>9.8000000000000007</v>
      </c>
      <c r="C48" s="64">
        <v>32.71</v>
      </c>
      <c r="D48" s="64">
        <v>24.87</v>
      </c>
      <c r="E48" s="64">
        <v>1.35</v>
      </c>
      <c r="F48" s="64">
        <v>13.06</v>
      </c>
      <c r="G48" s="64">
        <v>46.13</v>
      </c>
      <c r="H48" s="64">
        <v>2.33</v>
      </c>
      <c r="I48" s="64">
        <v>9.66</v>
      </c>
      <c r="J48" s="64">
        <v>0.23</v>
      </c>
      <c r="K48" s="64">
        <v>161.68</v>
      </c>
      <c r="L48" s="64">
        <v>33.81</v>
      </c>
      <c r="M48" s="64">
        <v>39.79</v>
      </c>
      <c r="N48" s="64">
        <v>807.8</v>
      </c>
      <c r="O48" s="64">
        <v>0</v>
      </c>
      <c r="P48" s="64">
        <v>0.56999999999999995</v>
      </c>
      <c r="Q48" s="64">
        <v>9.15</v>
      </c>
      <c r="R48" s="198"/>
      <c r="S48" s="198"/>
      <c r="T48" s="198"/>
      <c r="U48" s="198"/>
    </row>
    <row r="49" spans="1:21" s="12" customFormat="1" x14ac:dyDescent="0.25">
      <c r="A49" s="214" t="s">
        <v>2592</v>
      </c>
      <c r="B49" s="64">
        <v>2.81</v>
      </c>
      <c r="C49" s="64">
        <v>27.53</v>
      </c>
      <c r="D49" s="64">
        <v>16.55</v>
      </c>
      <c r="E49" s="64">
        <v>2.2999999999999998</v>
      </c>
      <c r="F49" s="64">
        <v>36.83</v>
      </c>
      <c r="G49" s="64">
        <v>8.0500000000000007</v>
      </c>
      <c r="H49" s="64">
        <v>0.27</v>
      </c>
      <c r="I49" s="64">
        <v>9.11</v>
      </c>
      <c r="J49" s="64">
        <v>0.11</v>
      </c>
      <c r="K49" s="64">
        <v>150.19</v>
      </c>
      <c r="L49" s="64">
        <v>34.32</v>
      </c>
      <c r="M49" s="64">
        <v>37.78</v>
      </c>
      <c r="N49" s="64">
        <v>842.7</v>
      </c>
      <c r="O49" s="64">
        <v>0</v>
      </c>
      <c r="P49" s="64">
        <v>0.36</v>
      </c>
      <c r="Q49" s="64">
        <v>9.1300000000000008</v>
      </c>
      <c r="R49" s="198"/>
      <c r="S49" s="198"/>
      <c r="T49" s="198"/>
      <c r="U49" s="198"/>
    </row>
    <row r="50" spans="1:21" s="12" customFormat="1" x14ac:dyDescent="0.25">
      <c r="A50" s="214" t="s">
        <v>2593</v>
      </c>
      <c r="B50" s="64">
        <v>1.26</v>
      </c>
      <c r="C50" s="64">
        <v>24.03</v>
      </c>
      <c r="D50" s="64">
        <v>13.49</v>
      </c>
      <c r="E50" s="64">
        <v>1.76</v>
      </c>
      <c r="F50" s="64">
        <v>23.2</v>
      </c>
      <c r="G50" s="212" t="s">
        <v>42</v>
      </c>
      <c r="H50" s="212" t="s">
        <v>42</v>
      </c>
      <c r="I50" s="64">
        <v>7.13</v>
      </c>
      <c r="J50" s="64">
        <v>0.54</v>
      </c>
      <c r="K50" s="64">
        <v>330.41</v>
      </c>
      <c r="L50" s="64">
        <v>37.090000000000003</v>
      </c>
      <c r="M50" s="64">
        <v>31.7</v>
      </c>
      <c r="N50" s="64">
        <v>883.1</v>
      </c>
      <c r="O50" s="64">
        <v>0</v>
      </c>
      <c r="P50" s="64">
        <v>0.33</v>
      </c>
      <c r="Q50" s="64">
        <v>9.1</v>
      </c>
      <c r="R50" s="198"/>
      <c r="S50" s="198"/>
      <c r="T50" s="198"/>
      <c r="U50" s="198"/>
    </row>
    <row r="51" spans="1:21" s="12" customFormat="1" x14ac:dyDescent="0.25">
      <c r="A51" s="214" t="s">
        <v>2594</v>
      </c>
      <c r="B51" s="64">
        <v>1.19</v>
      </c>
      <c r="C51" s="64">
        <v>25.93</v>
      </c>
      <c r="D51" s="64">
        <v>14.42</v>
      </c>
      <c r="E51" s="64">
        <v>1.21</v>
      </c>
      <c r="F51" s="64">
        <v>9.1300000000000008</v>
      </c>
      <c r="G51" s="212" t="s">
        <v>42</v>
      </c>
      <c r="H51" s="212" t="s">
        <v>42</v>
      </c>
      <c r="I51" s="64">
        <v>3.85</v>
      </c>
      <c r="J51" s="64">
        <v>0.53</v>
      </c>
      <c r="K51" s="64">
        <v>320.97000000000003</v>
      </c>
      <c r="L51" s="64">
        <v>37.78</v>
      </c>
      <c r="M51" s="64">
        <v>28.47</v>
      </c>
      <c r="N51" s="64">
        <v>897.7</v>
      </c>
      <c r="O51" s="64">
        <v>0</v>
      </c>
      <c r="P51" s="64">
        <v>0.35</v>
      </c>
      <c r="Q51" s="64">
        <v>9.14</v>
      </c>
      <c r="R51" s="198"/>
      <c r="S51" s="198"/>
      <c r="T51" s="198"/>
      <c r="U51" s="198"/>
    </row>
    <row r="52" spans="1:21" s="12" customFormat="1" x14ac:dyDescent="0.25">
      <c r="A52" s="214" t="s">
        <v>2595</v>
      </c>
      <c r="B52" s="64">
        <v>1.4</v>
      </c>
      <c r="C52" s="64">
        <v>28.88</v>
      </c>
      <c r="D52" s="64">
        <v>16.13</v>
      </c>
      <c r="E52" s="64">
        <v>1.21</v>
      </c>
      <c r="F52" s="64">
        <v>7.25</v>
      </c>
      <c r="G52" s="212" t="s">
        <v>42</v>
      </c>
      <c r="H52" s="212" t="s">
        <v>42</v>
      </c>
      <c r="I52" s="64">
        <v>2.94</v>
      </c>
      <c r="J52" s="64">
        <v>0.98</v>
      </c>
      <c r="K52" s="64">
        <v>325.83999999999997</v>
      </c>
      <c r="L52" s="64">
        <v>39.450000000000003</v>
      </c>
      <c r="M52" s="64">
        <v>25.35</v>
      </c>
      <c r="N52" s="64">
        <v>920.6</v>
      </c>
      <c r="O52" s="64">
        <v>0</v>
      </c>
      <c r="P52" s="64">
        <v>0.39</v>
      </c>
      <c r="Q52" s="64">
        <v>9.11</v>
      </c>
      <c r="R52" s="198"/>
      <c r="S52" s="198"/>
      <c r="T52" s="198"/>
      <c r="U52" s="198"/>
    </row>
    <row r="53" spans="1:21" s="12" customFormat="1" x14ac:dyDescent="0.25">
      <c r="A53" s="214" t="s">
        <v>2596</v>
      </c>
      <c r="B53" s="64">
        <v>1.74</v>
      </c>
      <c r="C53" s="64">
        <v>34.880000000000003</v>
      </c>
      <c r="D53" s="64">
        <v>19.54</v>
      </c>
      <c r="E53" s="64">
        <v>1.23</v>
      </c>
      <c r="F53" s="64">
        <v>5.17</v>
      </c>
      <c r="G53" s="64">
        <v>29.04</v>
      </c>
      <c r="H53" s="64">
        <v>40.270000000000003</v>
      </c>
      <c r="I53" s="64">
        <v>3.73</v>
      </c>
      <c r="J53" s="64">
        <v>0.47</v>
      </c>
      <c r="K53" s="64">
        <v>321.99</v>
      </c>
      <c r="L53" s="64">
        <v>40.130000000000003</v>
      </c>
      <c r="M53" s="64">
        <v>24.16</v>
      </c>
      <c r="N53" s="64">
        <v>901.9</v>
      </c>
      <c r="O53" s="64">
        <v>0</v>
      </c>
      <c r="P53" s="64">
        <v>0.43</v>
      </c>
      <c r="Q53" s="64">
        <v>9.09</v>
      </c>
      <c r="R53" s="198"/>
      <c r="S53" s="198"/>
      <c r="T53" s="198"/>
      <c r="U53" s="198"/>
    </row>
    <row r="54" spans="1:21" s="12" customFormat="1" x14ac:dyDescent="0.25">
      <c r="A54" s="214" t="s">
        <v>2597</v>
      </c>
      <c r="B54" s="64">
        <v>1.83</v>
      </c>
      <c r="C54" s="64">
        <v>30.23</v>
      </c>
      <c r="D54" s="64">
        <v>17.18</v>
      </c>
      <c r="E54" s="64">
        <v>1.2</v>
      </c>
      <c r="F54" s="64">
        <v>4.4400000000000004</v>
      </c>
      <c r="G54" s="64">
        <v>84.3</v>
      </c>
      <c r="H54" s="64">
        <v>116.91</v>
      </c>
      <c r="I54" s="64">
        <v>3.93</v>
      </c>
      <c r="J54" s="64">
        <v>0.2</v>
      </c>
      <c r="K54" s="64">
        <v>108.8</v>
      </c>
      <c r="L54" s="64">
        <v>37.9</v>
      </c>
      <c r="M54" s="64">
        <v>26.45</v>
      </c>
      <c r="N54" s="64">
        <v>885.8</v>
      </c>
      <c r="O54" s="64">
        <v>0</v>
      </c>
      <c r="P54" s="64">
        <v>0.48</v>
      </c>
      <c r="Q54" s="64">
        <v>9.1</v>
      </c>
      <c r="R54" s="198"/>
      <c r="S54" s="198"/>
      <c r="T54" s="198"/>
      <c r="U54" s="198"/>
    </row>
    <row r="55" spans="1:21" s="12" customFormat="1" x14ac:dyDescent="0.25">
      <c r="A55" s="214" t="s">
        <v>2598</v>
      </c>
      <c r="B55" s="64">
        <v>1.76</v>
      </c>
      <c r="C55" s="64">
        <v>26.72</v>
      </c>
      <c r="D55" s="64">
        <v>15.29</v>
      </c>
      <c r="E55" s="64">
        <v>1.08</v>
      </c>
      <c r="F55" s="64">
        <v>4.8600000000000003</v>
      </c>
      <c r="G55" s="64">
        <v>84.3</v>
      </c>
      <c r="H55" s="64">
        <v>116.91</v>
      </c>
      <c r="I55" s="64">
        <v>4.0199999999999996</v>
      </c>
      <c r="J55" s="64">
        <v>0.92</v>
      </c>
      <c r="K55" s="64">
        <v>346.3</v>
      </c>
      <c r="L55" s="64">
        <v>38.57</v>
      </c>
      <c r="M55" s="64">
        <v>25.48</v>
      </c>
      <c r="N55" s="64">
        <v>755.3</v>
      </c>
      <c r="O55" s="64">
        <v>0</v>
      </c>
      <c r="P55" s="64">
        <v>0.51</v>
      </c>
      <c r="Q55" s="64">
        <v>9.11</v>
      </c>
      <c r="R55" s="198"/>
      <c r="S55" s="198"/>
      <c r="T55" s="198"/>
      <c r="U55" s="198"/>
    </row>
    <row r="56" spans="1:21" s="12" customFormat="1" x14ac:dyDescent="0.25">
      <c r="A56" s="214" t="s">
        <v>2599</v>
      </c>
      <c r="B56" s="64">
        <v>1.68</v>
      </c>
      <c r="C56" s="64">
        <v>25.8</v>
      </c>
      <c r="D56" s="64">
        <v>14.74</v>
      </c>
      <c r="E56" s="64">
        <v>1.48</v>
      </c>
      <c r="F56" s="64">
        <v>9.7200000000000006</v>
      </c>
      <c r="G56" s="64">
        <v>84.3</v>
      </c>
      <c r="H56" s="64">
        <v>116.91</v>
      </c>
      <c r="I56" s="64">
        <v>4.51</v>
      </c>
      <c r="J56" s="64">
        <v>1.08</v>
      </c>
      <c r="K56" s="64">
        <v>327.14</v>
      </c>
      <c r="L56" s="64">
        <v>39.33</v>
      </c>
      <c r="M56" s="64">
        <v>23.85</v>
      </c>
      <c r="N56" s="64">
        <v>962.1</v>
      </c>
      <c r="O56" s="64">
        <v>0</v>
      </c>
      <c r="P56" s="64">
        <v>0.51</v>
      </c>
      <c r="Q56" s="64">
        <v>9.1</v>
      </c>
      <c r="R56" s="198"/>
      <c r="S56" s="198"/>
      <c r="T56" s="198"/>
      <c r="U56" s="198"/>
    </row>
    <row r="57" spans="1:21" s="12" customFormat="1" x14ac:dyDescent="0.25">
      <c r="A57" s="214" t="s">
        <v>2600</v>
      </c>
      <c r="B57" s="64">
        <v>1.31</v>
      </c>
      <c r="C57" s="64">
        <v>27.73</v>
      </c>
      <c r="D57" s="64">
        <v>15.46</v>
      </c>
      <c r="E57" s="64">
        <v>1.57</v>
      </c>
      <c r="F57" s="64">
        <v>13.38</v>
      </c>
      <c r="G57" s="64">
        <v>77.45</v>
      </c>
      <c r="H57" s="64">
        <v>80.36</v>
      </c>
      <c r="I57" s="64">
        <v>4.83</v>
      </c>
      <c r="J57" s="64">
        <v>0.96</v>
      </c>
      <c r="K57" s="64">
        <v>341.36</v>
      </c>
      <c r="L57" s="64">
        <v>40.33</v>
      </c>
      <c r="M57" s="64">
        <v>20.78</v>
      </c>
      <c r="N57" s="64">
        <v>959.8</v>
      </c>
      <c r="O57" s="64">
        <v>0</v>
      </c>
      <c r="P57" s="64">
        <v>0.47</v>
      </c>
      <c r="Q57" s="64">
        <v>9.08</v>
      </c>
      <c r="R57" s="198"/>
      <c r="S57" s="198"/>
      <c r="T57" s="198"/>
      <c r="U57" s="198"/>
    </row>
    <row r="58" spans="1:21" s="12" customFormat="1" x14ac:dyDescent="0.25">
      <c r="A58" s="214" t="s">
        <v>2601</v>
      </c>
      <c r="B58" s="64">
        <v>1.1200000000000001</v>
      </c>
      <c r="C58" s="64">
        <v>31.02</v>
      </c>
      <c r="D58" s="64">
        <v>17.02</v>
      </c>
      <c r="E58" s="64">
        <v>1.85</v>
      </c>
      <c r="F58" s="64">
        <v>11.7</v>
      </c>
      <c r="G58" s="64">
        <v>64.41</v>
      </c>
      <c r="H58" s="64">
        <v>10.79</v>
      </c>
      <c r="I58" s="64">
        <v>4.78</v>
      </c>
      <c r="J58" s="64">
        <v>1.19</v>
      </c>
      <c r="K58" s="64">
        <v>338.52</v>
      </c>
      <c r="L58" s="64">
        <v>40.21</v>
      </c>
      <c r="M58" s="64">
        <v>21.93</v>
      </c>
      <c r="N58" s="64">
        <v>906.5</v>
      </c>
      <c r="O58" s="64">
        <v>0</v>
      </c>
      <c r="P58" s="64">
        <v>0.45</v>
      </c>
      <c r="Q58" s="64">
        <v>9.09</v>
      </c>
      <c r="R58" s="198"/>
      <c r="S58" s="198"/>
      <c r="T58" s="198"/>
      <c r="U58" s="198"/>
    </row>
    <row r="59" spans="1:21" s="12" customFormat="1" x14ac:dyDescent="0.25">
      <c r="A59" s="214" t="s">
        <v>2602</v>
      </c>
      <c r="B59" s="64">
        <v>1.23</v>
      </c>
      <c r="C59" s="64">
        <v>31.51</v>
      </c>
      <c r="D59" s="64">
        <v>17.37</v>
      </c>
      <c r="E59" s="64">
        <v>1.79</v>
      </c>
      <c r="F59" s="64">
        <v>9.56</v>
      </c>
      <c r="G59" s="64">
        <v>64.41</v>
      </c>
      <c r="H59" s="64">
        <v>10.79</v>
      </c>
      <c r="I59" s="64">
        <v>4.43</v>
      </c>
      <c r="J59" s="64">
        <v>1.05</v>
      </c>
      <c r="K59" s="64">
        <v>349.85</v>
      </c>
      <c r="L59" s="64">
        <v>39.58</v>
      </c>
      <c r="M59" s="64">
        <v>21.7</v>
      </c>
      <c r="N59" s="64">
        <v>715.9</v>
      </c>
      <c r="O59" s="64">
        <v>0</v>
      </c>
      <c r="P59" s="64">
        <v>0.45</v>
      </c>
      <c r="Q59" s="64">
        <v>9.09</v>
      </c>
      <c r="R59" s="198"/>
      <c r="S59" s="198"/>
      <c r="T59" s="198"/>
      <c r="U59" s="198"/>
    </row>
    <row r="60" spans="1:21" s="12" customFormat="1" x14ac:dyDescent="0.25">
      <c r="A60" s="214" t="s">
        <v>2603</v>
      </c>
      <c r="B60" s="64">
        <v>1.44</v>
      </c>
      <c r="C60" s="64">
        <v>31.21</v>
      </c>
      <c r="D60" s="64">
        <v>17.38</v>
      </c>
      <c r="E60" s="64">
        <v>1.49</v>
      </c>
      <c r="F60" s="64">
        <v>6.79</v>
      </c>
      <c r="G60" s="64">
        <v>64.41</v>
      </c>
      <c r="H60" s="64">
        <v>10.79</v>
      </c>
      <c r="I60" s="64">
        <v>4.21</v>
      </c>
      <c r="J60" s="64">
        <v>0.99</v>
      </c>
      <c r="K60" s="64">
        <v>335.79</v>
      </c>
      <c r="L60" s="64">
        <v>40.44</v>
      </c>
      <c r="M60" s="64">
        <v>18.98</v>
      </c>
      <c r="N60" s="64">
        <v>801.3</v>
      </c>
      <c r="O60" s="64">
        <v>0</v>
      </c>
      <c r="P60" s="64">
        <v>0.45</v>
      </c>
      <c r="Q60" s="64">
        <v>9.1</v>
      </c>
      <c r="R60" s="198"/>
      <c r="S60" s="198"/>
      <c r="T60" s="198"/>
      <c r="U60" s="198"/>
    </row>
    <row r="61" spans="1:21" s="12" customFormat="1" x14ac:dyDescent="0.25">
      <c r="A61" s="214" t="s">
        <v>2604</v>
      </c>
      <c r="B61" s="64">
        <v>1.52</v>
      </c>
      <c r="C61" s="64">
        <v>33.36</v>
      </c>
      <c r="D61" s="64">
        <v>18.57</v>
      </c>
      <c r="E61" s="64">
        <v>1.71</v>
      </c>
      <c r="F61" s="64">
        <v>12.52</v>
      </c>
      <c r="G61" s="64">
        <v>63.46</v>
      </c>
      <c r="H61" s="64">
        <v>16.03</v>
      </c>
      <c r="I61" s="64">
        <v>4.3</v>
      </c>
      <c r="J61" s="64">
        <v>0.2</v>
      </c>
      <c r="K61" s="64">
        <v>306.33</v>
      </c>
      <c r="L61" s="64">
        <v>38.380000000000003</v>
      </c>
      <c r="M61" s="64">
        <v>18.72</v>
      </c>
      <c r="N61" s="64">
        <v>326.10000000000002</v>
      </c>
      <c r="O61" s="64">
        <v>0</v>
      </c>
      <c r="P61" s="64">
        <v>0.44</v>
      </c>
      <c r="Q61" s="64">
        <v>9.1</v>
      </c>
      <c r="R61" s="198"/>
      <c r="S61" s="198"/>
      <c r="T61" s="198"/>
      <c r="U61" s="198"/>
    </row>
    <row r="62" spans="1:21" s="12" customFormat="1" x14ac:dyDescent="0.25">
      <c r="A62" s="214" t="s">
        <v>2605</v>
      </c>
      <c r="B62" s="64">
        <v>1.07</v>
      </c>
      <c r="C62" s="64">
        <v>33.630000000000003</v>
      </c>
      <c r="D62" s="64">
        <v>18.350000000000001</v>
      </c>
      <c r="E62" s="64">
        <v>2.08</v>
      </c>
      <c r="F62" s="64">
        <v>21.59</v>
      </c>
      <c r="G62" s="64">
        <v>61.65</v>
      </c>
      <c r="H62" s="64">
        <v>26</v>
      </c>
      <c r="I62" s="64">
        <v>4.33</v>
      </c>
      <c r="J62" s="64">
        <v>1.33</v>
      </c>
      <c r="K62" s="64">
        <v>339.56</v>
      </c>
      <c r="L62" s="64">
        <v>37.47</v>
      </c>
      <c r="M62" s="64">
        <v>22.75</v>
      </c>
      <c r="N62" s="64">
        <v>361.4</v>
      </c>
      <c r="O62" s="64">
        <v>0</v>
      </c>
      <c r="P62" s="64">
        <v>0.44</v>
      </c>
      <c r="Q62" s="64">
        <v>9.1</v>
      </c>
      <c r="R62" s="198"/>
      <c r="S62" s="198"/>
      <c r="T62" s="198"/>
      <c r="U62" s="198"/>
    </row>
    <row r="63" spans="1:21" s="12" customFormat="1" x14ac:dyDescent="0.25">
      <c r="A63" s="214" t="s">
        <v>2606</v>
      </c>
      <c r="B63" s="64">
        <v>0.92</v>
      </c>
      <c r="C63" s="64">
        <v>36.96</v>
      </c>
      <c r="D63" s="64">
        <v>19.97</v>
      </c>
      <c r="E63" s="64">
        <v>4.53</v>
      </c>
      <c r="F63" s="64">
        <v>23.79</v>
      </c>
      <c r="G63" s="64">
        <v>61.65</v>
      </c>
      <c r="H63" s="64">
        <v>26</v>
      </c>
      <c r="I63" s="64">
        <v>3.96</v>
      </c>
      <c r="J63" s="64">
        <v>0.91</v>
      </c>
      <c r="K63" s="64">
        <v>337.62</v>
      </c>
      <c r="L63" s="64">
        <v>37.49</v>
      </c>
      <c r="M63" s="64">
        <v>23.48</v>
      </c>
      <c r="N63" s="64">
        <v>424.7</v>
      </c>
      <c r="O63" s="64">
        <v>0</v>
      </c>
      <c r="P63" s="64">
        <v>0.44</v>
      </c>
      <c r="Q63" s="64">
        <v>9.1300000000000008</v>
      </c>
      <c r="R63" s="198"/>
      <c r="S63" s="198"/>
      <c r="T63" s="198"/>
      <c r="U63" s="198"/>
    </row>
    <row r="64" spans="1:21" s="12" customFormat="1" x14ac:dyDescent="0.25">
      <c r="A64" s="214" t="s">
        <v>2607</v>
      </c>
      <c r="B64" s="64">
        <v>0.85</v>
      </c>
      <c r="C64" s="64">
        <v>36.28</v>
      </c>
      <c r="D64" s="64">
        <v>19.559999999999999</v>
      </c>
      <c r="E64" s="64">
        <v>2.19</v>
      </c>
      <c r="F64" s="64">
        <v>12.21</v>
      </c>
      <c r="G64" s="64">
        <v>61.65</v>
      </c>
      <c r="H64" s="64">
        <v>26</v>
      </c>
      <c r="I64" s="64">
        <v>3.5</v>
      </c>
      <c r="J64" s="64">
        <v>0.3</v>
      </c>
      <c r="K64" s="64">
        <v>190.68</v>
      </c>
      <c r="L64" s="64">
        <v>35.33</v>
      </c>
      <c r="M64" s="64">
        <v>26.41</v>
      </c>
      <c r="N64" s="64">
        <v>426.1</v>
      </c>
      <c r="O64" s="64">
        <v>0</v>
      </c>
      <c r="P64" s="64">
        <v>0.45</v>
      </c>
      <c r="Q64" s="64">
        <v>9.1300000000000008</v>
      </c>
      <c r="R64" s="198"/>
      <c r="S64" s="198"/>
      <c r="T64" s="198"/>
      <c r="U64" s="198"/>
    </row>
    <row r="65" spans="1:21" s="12" customFormat="1" x14ac:dyDescent="0.25">
      <c r="A65" s="214" t="s">
        <v>2608</v>
      </c>
      <c r="B65" s="64">
        <v>0.96</v>
      </c>
      <c r="C65" s="64">
        <v>33.39</v>
      </c>
      <c r="D65" s="64">
        <v>18.14</v>
      </c>
      <c r="E65" s="64">
        <v>1.64</v>
      </c>
      <c r="F65" s="64">
        <v>7.45</v>
      </c>
      <c r="G65" s="64">
        <v>59.77</v>
      </c>
      <c r="H65" s="64">
        <v>20.49</v>
      </c>
      <c r="I65" s="64">
        <v>3.01</v>
      </c>
      <c r="J65" s="64">
        <v>1.53</v>
      </c>
      <c r="K65" s="64">
        <v>157.24</v>
      </c>
      <c r="L65" s="64">
        <v>35.06</v>
      </c>
      <c r="M65" s="64">
        <v>27.14</v>
      </c>
      <c r="N65" s="64">
        <v>648.1</v>
      </c>
      <c r="O65" s="64">
        <v>0</v>
      </c>
      <c r="P65" s="64">
        <v>0.44</v>
      </c>
      <c r="Q65" s="64">
        <v>9.11</v>
      </c>
      <c r="R65" s="198"/>
      <c r="S65" s="198"/>
      <c r="T65" s="198"/>
      <c r="U65" s="198"/>
    </row>
    <row r="66" spans="1:21" s="12" customFormat="1" x14ac:dyDescent="0.25">
      <c r="A66" s="214" t="s">
        <v>2609</v>
      </c>
      <c r="B66" s="64">
        <v>1.1200000000000001</v>
      </c>
      <c r="C66" s="64">
        <v>30.27</v>
      </c>
      <c r="D66" s="64">
        <v>16.63</v>
      </c>
      <c r="E66" s="64">
        <v>1.6</v>
      </c>
      <c r="F66" s="64">
        <v>7.22</v>
      </c>
      <c r="G66" s="64">
        <v>56.2</v>
      </c>
      <c r="H66" s="64">
        <v>9.98</v>
      </c>
      <c r="I66" s="64">
        <v>3.4</v>
      </c>
      <c r="J66" s="64">
        <v>0.56999999999999995</v>
      </c>
      <c r="K66" s="64">
        <v>210.73</v>
      </c>
      <c r="L66" s="64">
        <v>34.5</v>
      </c>
      <c r="M66" s="64">
        <v>29.08</v>
      </c>
      <c r="N66" s="64">
        <v>406.5</v>
      </c>
      <c r="O66" s="64">
        <v>0</v>
      </c>
      <c r="P66" s="64">
        <v>0.44</v>
      </c>
      <c r="Q66" s="64">
        <v>9.11</v>
      </c>
      <c r="R66" s="198"/>
      <c r="S66" s="198"/>
      <c r="T66" s="198"/>
      <c r="U66" s="198"/>
    </row>
    <row r="67" spans="1:21" s="12" customFormat="1" x14ac:dyDescent="0.25">
      <c r="A67" s="214" t="s">
        <v>2610</v>
      </c>
      <c r="B67" s="64">
        <v>1.05</v>
      </c>
      <c r="C67" s="64">
        <v>27.47</v>
      </c>
      <c r="D67" s="64">
        <v>15.12</v>
      </c>
      <c r="E67" s="64">
        <v>1.3</v>
      </c>
      <c r="F67" s="64">
        <v>7.97</v>
      </c>
      <c r="G67" s="64">
        <v>56.2</v>
      </c>
      <c r="H67" s="64">
        <v>9.98</v>
      </c>
      <c r="I67" s="64">
        <v>3.85</v>
      </c>
      <c r="J67" s="64">
        <v>1.06</v>
      </c>
      <c r="K67" s="64">
        <v>163.6</v>
      </c>
      <c r="L67" s="64">
        <v>34.15</v>
      </c>
      <c r="M67" s="64">
        <v>29.46</v>
      </c>
      <c r="N67" s="64">
        <v>440.2</v>
      </c>
      <c r="O67" s="64">
        <v>0</v>
      </c>
      <c r="P67" s="64">
        <v>0.43</v>
      </c>
      <c r="Q67" s="64">
        <v>9.16</v>
      </c>
      <c r="R67" s="198"/>
      <c r="S67" s="198"/>
      <c r="T67" s="198"/>
      <c r="U67" s="198"/>
    </row>
    <row r="68" spans="1:21" s="12" customFormat="1" x14ac:dyDescent="0.25">
      <c r="A68" s="214" t="s">
        <v>2611</v>
      </c>
      <c r="B68" s="64">
        <v>1.1299999999999999</v>
      </c>
      <c r="C68" s="64">
        <v>25.37</v>
      </c>
      <c r="D68" s="64">
        <v>14.08</v>
      </c>
      <c r="E68" s="64">
        <v>1.68</v>
      </c>
      <c r="F68" s="64">
        <v>6.79</v>
      </c>
      <c r="G68" s="64">
        <v>56.2</v>
      </c>
      <c r="H68" s="64">
        <v>9.98</v>
      </c>
      <c r="I68" s="64">
        <v>4.24</v>
      </c>
      <c r="J68" s="64">
        <v>0.8</v>
      </c>
      <c r="K68" s="64">
        <v>167.77</v>
      </c>
      <c r="L68" s="64">
        <v>34.17</v>
      </c>
      <c r="M68" s="64">
        <v>27.83</v>
      </c>
      <c r="N68" s="64">
        <v>223.8</v>
      </c>
      <c r="O68" s="64">
        <v>0</v>
      </c>
      <c r="P68" s="64">
        <v>0.42</v>
      </c>
      <c r="Q68" s="64">
        <v>9.1300000000000008</v>
      </c>
      <c r="R68" s="198"/>
      <c r="S68" s="198"/>
      <c r="T68" s="198"/>
      <c r="U68" s="198"/>
    </row>
    <row r="69" spans="1:21" s="12" customFormat="1" x14ac:dyDescent="0.25">
      <c r="A69" s="214" t="s">
        <v>2612</v>
      </c>
      <c r="B69" s="64">
        <v>1.28</v>
      </c>
      <c r="C69" s="64">
        <v>24.1</v>
      </c>
      <c r="D69" s="64">
        <v>13.53</v>
      </c>
      <c r="E69" s="64">
        <v>1.57</v>
      </c>
      <c r="F69" s="64">
        <v>6.02</v>
      </c>
      <c r="G69" s="64">
        <v>52.61</v>
      </c>
      <c r="H69" s="64">
        <v>27.72</v>
      </c>
      <c r="I69" s="64">
        <v>4.24</v>
      </c>
      <c r="J69" s="64">
        <v>0.53</v>
      </c>
      <c r="K69" s="64">
        <v>173.46</v>
      </c>
      <c r="L69" s="64">
        <v>34.26</v>
      </c>
      <c r="M69" s="64">
        <v>27.73</v>
      </c>
      <c r="N69" s="64">
        <v>215</v>
      </c>
      <c r="O69" s="64">
        <v>0</v>
      </c>
      <c r="P69" s="64">
        <v>0.42</v>
      </c>
      <c r="Q69" s="64">
        <v>9.1</v>
      </c>
      <c r="R69" s="198"/>
      <c r="S69" s="198"/>
      <c r="T69" s="198"/>
      <c r="U69" s="198"/>
    </row>
    <row r="70" spans="1:21" s="12" customFormat="1" x14ac:dyDescent="0.25">
      <c r="A70" s="214" t="s">
        <v>2613</v>
      </c>
      <c r="B70" s="64">
        <v>1.35</v>
      </c>
      <c r="C70" s="64">
        <v>25.3</v>
      </c>
      <c r="D70" s="64">
        <v>14.22</v>
      </c>
      <c r="E70" s="64">
        <v>1.69</v>
      </c>
      <c r="F70" s="64">
        <v>5.55</v>
      </c>
      <c r="G70" s="64">
        <v>45.77</v>
      </c>
      <c r="H70" s="64">
        <v>61.47</v>
      </c>
      <c r="I70" s="64">
        <v>4.53</v>
      </c>
      <c r="J70" s="64">
        <v>0.71</v>
      </c>
      <c r="K70" s="64">
        <v>163.6</v>
      </c>
      <c r="L70" s="64">
        <v>33.86</v>
      </c>
      <c r="M70" s="64">
        <v>29.82</v>
      </c>
      <c r="N70" s="64">
        <v>166.2</v>
      </c>
      <c r="O70" s="64">
        <v>0</v>
      </c>
      <c r="P70" s="64">
        <v>0.43</v>
      </c>
      <c r="Q70" s="64">
        <v>9.11</v>
      </c>
      <c r="R70" s="198"/>
      <c r="S70" s="198"/>
      <c r="T70" s="198"/>
      <c r="U70" s="198"/>
    </row>
    <row r="71" spans="1:21" s="12" customFormat="1" x14ac:dyDescent="0.25">
      <c r="A71" s="214" t="s">
        <v>2614</v>
      </c>
      <c r="B71" s="64">
        <v>1.38</v>
      </c>
      <c r="C71" s="64">
        <v>24.89</v>
      </c>
      <c r="D71" s="64">
        <v>14.03</v>
      </c>
      <c r="E71" s="64">
        <v>1.78</v>
      </c>
      <c r="F71" s="64">
        <v>5.0999999999999996</v>
      </c>
      <c r="G71" s="64">
        <v>45.77</v>
      </c>
      <c r="H71" s="64">
        <v>61.47</v>
      </c>
      <c r="I71" s="64">
        <v>4.78</v>
      </c>
      <c r="J71" s="64">
        <v>0.47</v>
      </c>
      <c r="K71" s="64">
        <v>207.85</v>
      </c>
      <c r="L71" s="64">
        <v>32.85</v>
      </c>
      <c r="M71" s="64">
        <v>30.21</v>
      </c>
      <c r="N71" s="64">
        <v>156.5</v>
      </c>
      <c r="O71" s="64">
        <v>0</v>
      </c>
      <c r="P71" s="64">
        <v>0.42</v>
      </c>
      <c r="Q71" s="64">
        <v>9.14</v>
      </c>
      <c r="R71" s="198"/>
      <c r="S71" s="198"/>
      <c r="T71" s="198"/>
      <c r="U71" s="198"/>
    </row>
    <row r="72" spans="1:21" s="12" customFormat="1" x14ac:dyDescent="0.25">
      <c r="A72" s="214" t="s">
        <v>2615</v>
      </c>
      <c r="B72" s="64">
        <v>1.1000000000000001</v>
      </c>
      <c r="C72" s="64">
        <v>31.36</v>
      </c>
      <c r="D72" s="64">
        <v>17.190000000000001</v>
      </c>
      <c r="E72" s="64">
        <v>1.44</v>
      </c>
      <c r="F72" s="64">
        <v>18.66</v>
      </c>
      <c r="G72" s="64">
        <v>45.77</v>
      </c>
      <c r="H72" s="64">
        <v>61.47</v>
      </c>
      <c r="I72" s="64">
        <v>5.03</v>
      </c>
      <c r="J72" s="64">
        <v>0.76</v>
      </c>
      <c r="K72" s="64">
        <v>201.5</v>
      </c>
      <c r="L72" s="64">
        <v>32.630000000000003</v>
      </c>
      <c r="M72" s="64">
        <v>31.54</v>
      </c>
      <c r="N72" s="64">
        <v>149.5</v>
      </c>
      <c r="O72" s="64">
        <v>0</v>
      </c>
      <c r="P72" s="64">
        <v>0.41</v>
      </c>
      <c r="Q72" s="64">
        <v>9.1300000000000008</v>
      </c>
      <c r="R72" s="198"/>
      <c r="S72" s="198"/>
      <c r="T72" s="198"/>
      <c r="U72" s="198"/>
    </row>
    <row r="73" spans="1:21" s="12" customFormat="1" x14ac:dyDescent="0.25">
      <c r="A73" s="214" t="s">
        <v>2616</v>
      </c>
      <c r="B73" s="64">
        <v>0.71</v>
      </c>
      <c r="C73" s="64">
        <v>40.99</v>
      </c>
      <c r="D73" s="64">
        <v>21.9</v>
      </c>
      <c r="E73" s="64">
        <v>3.02</v>
      </c>
      <c r="F73" s="64">
        <v>32.51</v>
      </c>
      <c r="G73" s="64">
        <v>41.18</v>
      </c>
      <c r="H73" s="64">
        <v>47.87</v>
      </c>
      <c r="I73" s="64">
        <v>4.82</v>
      </c>
      <c r="J73" s="64">
        <v>0.46</v>
      </c>
      <c r="K73" s="64">
        <v>193.42</v>
      </c>
      <c r="L73" s="64">
        <v>32.130000000000003</v>
      </c>
      <c r="M73" s="64">
        <v>32.68</v>
      </c>
      <c r="N73" s="64">
        <v>166.6</v>
      </c>
      <c r="O73" s="64">
        <v>0</v>
      </c>
      <c r="P73" s="64">
        <v>0.32</v>
      </c>
      <c r="Q73" s="64">
        <v>9.1300000000000008</v>
      </c>
      <c r="R73" s="198"/>
      <c r="S73" s="198"/>
      <c r="T73" s="198"/>
      <c r="U73" s="198"/>
    </row>
    <row r="74" spans="1:21" s="12" customFormat="1" x14ac:dyDescent="0.25">
      <c r="A74" s="214" t="s">
        <v>2617</v>
      </c>
      <c r="B74" s="64">
        <v>0.47</v>
      </c>
      <c r="C74" s="64">
        <v>35.369999999999997</v>
      </c>
      <c r="D74" s="64">
        <v>18.78</v>
      </c>
      <c r="E74" s="64">
        <v>4.29</v>
      </c>
      <c r="F74" s="64">
        <v>39.68</v>
      </c>
      <c r="G74" s="64">
        <v>32.44</v>
      </c>
      <c r="H74" s="64">
        <v>21.98</v>
      </c>
      <c r="I74" s="64">
        <v>3.79</v>
      </c>
      <c r="J74" s="64">
        <v>0.72</v>
      </c>
      <c r="K74" s="64">
        <v>186.66</v>
      </c>
      <c r="L74" s="64">
        <v>32.1</v>
      </c>
      <c r="M74" s="64">
        <v>31.08</v>
      </c>
      <c r="N74" s="64">
        <v>202.8</v>
      </c>
      <c r="O74" s="64">
        <v>0</v>
      </c>
      <c r="P74" s="64">
        <v>0.27</v>
      </c>
      <c r="Q74" s="64">
        <v>9.1</v>
      </c>
      <c r="R74" s="198"/>
      <c r="S74" s="198"/>
      <c r="T74" s="198"/>
      <c r="U74" s="198"/>
    </row>
    <row r="75" spans="1:21" s="12" customFormat="1" x14ac:dyDescent="0.25">
      <c r="A75" s="214" t="s">
        <v>2618</v>
      </c>
      <c r="B75" s="64">
        <v>0.28000000000000003</v>
      </c>
      <c r="C75" s="64">
        <v>23.14</v>
      </c>
      <c r="D75" s="64">
        <v>12.23</v>
      </c>
      <c r="E75" s="64">
        <v>4.7699999999999996</v>
      </c>
      <c r="F75" s="64">
        <v>38.159999999999997</v>
      </c>
      <c r="G75" s="64">
        <v>32.44</v>
      </c>
      <c r="H75" s="64">
        <v>21.98</v>
      </c>
      <c r="I75" s="64">
        <v>2.13</v>
      </c>
      <c r="J75" s="64">
        <v>0.57999999999999996</v>
      </c>
      <c r="K75" s="64">
        <v>178.43</v>
      </c>
      <c r="L75" s="64">
        <v>32.58</v>
      </c>
      <c r="M75" s="64">
        <v>29.21</v>
      </c>
      <c r="N75" s="64">
        <v>169.2</v>
      </c>
      <c r="O75" s="64">
        <v>0</v>
      </c>
      <c r="P75" s="64">
        <v>0.24</v>
      </c>
      <c r="Q75" s="64">
        <v>9.08</v>
      </c>
      <c r="R75" s="198"/>
      <c r="S75" s="198"/>
      <c r="T75" s="198"/>
      <c r="U75" s="198"/>
    </row>
    <row r="76" spans="1:21" s="12" customFormat="1" x14ac:dyDescent="0.25">
      <c r="A76" s="214" t="s">
        <v>2619</v>
      </c>
      <c r="B76" s="64">
        <v>0.5</v>
      </c>
      <c r="C76" s="64">
        <v>31.04</v>
      </c>
      <c r="D76" s="64">
        <v>16.54</v>
      </c>
      <c r="E76" s="64">
        <v>2.54</v>
      </c>
      <c r="F76" s="64">
        <v>18.13</v>
      </c>
      <c r="G76" s="64">
        <v>32.44</v>
      </c>
      <c r="H76" s="64">
        <v>21.98</v>
      </c>
      <c r="I76" s="64">
        <v>1.51</v>
      </c>
      <c r="J76" s="64">
        <v>0.55000000000000004</v>
      </c>
      <c r="K76" s="64">
        <v>169.11</v>
      </c>
      <c r="L76" s="64">
        <v>32.74</v>
      </c>
      <c r="M76" s="64">
        <v>29.09</v>
      </c>
      <c r="N76" s="64">
        <v>131.1</v>
      </c>
      <c r="O76" s="64">
        <v>0</v>
      </c>
      <c r="P76" s="64">
        <v>0.23</v>
      </c>
      <c r="Q76" s="64">
        <v>9.11</v>
      </c>
      <c r="R76" s="198"/>
      <c r="S76" s="198"/>
      <c r="T76" s="198"/>
      <c r="U76" s="198"/>
    </row>
    <row r="77" spans="1:21" s="12" customFormat="1" x14ac:dyDescent="0.25">
      <c r="A77" s="214" t="s">
        <v>2620</v>
      </c>
      <c r="B77" s="64">
        <v>0.61</v>
      </c>
      <c r="C77" s="64">
        <v>32.15</v>
      </c>
      <c r="D77" s="64">
        <v>17.21</v>
      </c>
      <c r="E77" s="64">
        <v>2.04</v>
      </c>
      <c r="F77" s="64">
        <v>11.11</v>
      </c>
      <c r="G77" s="64">
        <v>35.78</v>
      </c>
      <c r="H77" s="64">
        <v>27.08</v>
      </c>
      <c r="I77" s="64">
        <v>1.42</v>
      </c>
      <c r="J77" s="64">
        <v>0.33</v>
      </c>
      <c r="K77" s="64">
        <v>182.7</v>
      </c>
      <c r="L77" s="64">
        <v>32.590000000000003</v>
      </c>
      <c r="M77" s="64">
        <v>29.85</v>
      </c>
      <c r="N77" s="64">
        <v>100.4</v>
      </c>
      <c r="O77" s="64">
        <v>0</v>
      </c>
      <c r="P77" s="64">
        <v>0.23</v>
      </c>
      <c r="Q77" s="64">
        <v>9.1</v>
      </c>
      <c r="R77" s="198"/>
      <c r="S77" s="198"/>
      <c r="T77" s="198"/>
      <c r="U77" s="198"/>
    </row>
    <row r="78" spans="1:21" s="12" customFormat="1" x14ac:dyDescent="0.25">
      <c r="A78" s="214" t="s">
        <v>2621</v>
      </c>
      <c r="B78" s="64">
        <v>0.67</v>
      </c>
      <c r="C78" s="64">
        <v>28.61</v>
      </c>
      <c r="D78" s="64">
        <v>15.41</v>
      </c>
      <c r="E78" s="64">
        <v>1.79</v>
      </c>
      <c r="F78" s="64">
        <v>10.99</v>
      </c>
      <c r="G78" s="64">
        <v>42.13</v>
      </c>
      <c r="H78" s="64">
        <v>36.79</v>
      </c>
      <c r="I78" s="64">
        <v>1.62</v>
      </c>
      <c r="J78" s="64">
        <v>7.0000000000000007E-2</v>
      </c>
      <c r="K78" s="64">
        <v>118.16</v>
      </c>
      <c r="L78" s="64">
        <v>31.77</v>
      </c>
      <c r="M78" s="64">
        <v>34.21</v>
      </c>
      <c r="N78" s="64">
        <v>75.3</v>
      </c>
      <c r="O78" s="64">
        <v>0</v>
      </c>
      <c r="P78" s="64">
        <v>0.23</v>
      </c>
      <c r="Q78" s="64">
        <v>9.1</v>
      </c>
      <c r="R78" s="198"/>
      <c r="S78" s="198"/>
      <c r="T78" s="198"/>
      <c r="U78" s="198"/>
    </row>
    <row r="79" spans="1:21" s="12" customFormat="1" x14ac:dyDescent="0.25">
      <c r="A79" s="214" t="s">
        <v>2622</v>
      </c>
      <c r="B79" s="64">
        <v>0.65</v>
      </c>
      <c r="C79" s="64">
        <v>27.26</v>
      </c>
      <c r="D79" s="64">
        <v>14.68</v>
      </c>
      <c r="E79" s="64">
        <v>1.84</v>
      </c>
      <c r="F79" s="64">
        <v>13.28</v>
      </c>
      <c r="G79" s="64">
        <v>42.13</v>
      </c>
      <c r="H79" s="64">
        <v>36.79</v>
      </c>
      <c r="I79" s="64">
        <v>2.08</v>
      </c>
      <c r="J79" s="64">
        <v>0.1</v>
      </c>
      <c r="K79" s="64">
        <v>222.37</v>
      </c>
      <c r="L79" s="64">
        <v>31.64</v>
      </c>
      <c r="M79" s="64">
        <v>35.32</v>
      </c>
      <c r="N79" s="64">
        <v>58.2</v>
      </c>
      <c r="O79" s="64">
        <v>0</v>
      </c>
      <c r="P79" s="64">
        <v>0.26</v>
      </c>
      <c r="Q79" s="64">
        <v>9.1</v>
      </c>
      <c r="R79" s="198"/>
      <c r="S79" s="198"/>
      <c r="T79" s="198"/>
      <c r="U79" s="198"/>
    </row>
    <row r="80" spans="1:21" s="12" customFormat="1" x14ac:dyDescent="0.25">
      <c r="A80" s="214" t="s">
        <v>2623</v>
      </c>
      <c r="B80" s="64">
        <v>0.66</v>
      </c>
      <c r="C80" s="64">
        <v>30.18</v>
      </c>
      <c r="D80" s="64">
        <v>16.22</v>
      </c>
      <c r="E80" s="64">
        <v>1.57</v>
      </c>
      <c r="F80" s="64">
        <v>9.4499999999999993</v>
      </c>
      <c r="G80" s="64">
        <v>42.13</v>
      </c>
      <c r="H80" s="64">
        <v>36.79</v>
      </c>
      <c r="I80" s="64">
        <v>2.23</v>
      </c>
      <c r="J80" s="64">
        <v>0.2</v>
      </c>
      <c r="K80" s="64">
        <v>268.3</v>
      </c>
      <c r="L80" s="64">
        <v>30.99</v>
      </c>
      <c r="M80" s="64">
        <v>38.840000000000003</v>
      </c>
      <c r="N80" s="64">
        <v>40.1</v>
      </c>
      <c r="O80" s="64">
        <v>0</v>
      </c>
      <c r="P80" s="64">
        <v>0.27</v>
      </c>
      <c r="Q80" s="64">
        <v>9.11</v>
      </c>
      <c r="R80" s="198"/>
      <c r="S80" s="198"/>
      <c r="T80" s="198"/>
      <c r="U80" s="198"/>
    </row>
    <row r="81" spans="1:26" s="12" customFormat="1" x14ac:dyDescent="0.25">
      <c r="A81" s="214" t="s">
        <v>2624</v>
      </c>
      <c r="B81" s="64">
        <v>0.88</v>
      </c>
      <c r="C81" s="64">
        <v>29.93</v>
      </c>
      <c r="D81" s="64">
        <v>16.260000000000002</v>
      </c>
      <c r="E81" s="64">
        <v>1.48</v>
      </c>
      <c r="F81" s="64">
        <v>6.06</v>
      </c>
      <c r="G81" s="64">
        <v>39.270000000000003</v>
      </c>
      <c r="H81" s="64">
        <v>35.89</v>
      </c>
      <c r="I81" s="64">
        <v>2.36</v>
      </c>
      <c r="J81" s="64">
        <v>0.28000000000000003</v>
      </c>
      <c r="K81" s="64">
        <v>213.57</v>
      </c>
      <c r="L81" s="64">
        <v>31.29</v>
      </c>
      <c r="M81" s="64">
        <v>36.49</v>
      </c>
      <c r="N81" s="64">
        <v>25.7</v>
      </c>
      <c r="O81" s="64">
        <v>0</v>
      </c>
      <c r="P81" s="64">
        <v>0.28999999999999998</v>
      </c>
      <c r="Q81" s="64">
        <v>9.11</v>
      </c>
      <c r="R81" s="198"/>
      <c r="S81" s="198"/>
      <c r="T81" s="198"/>
      <c r="U81" s="198"/>
    </row>
    <row r="82" spans="1:26" s="12" customFormat="1" x14ac:dyDescent="0.25">
      <c r="A82" s="214" t="s">
        <v>2625</v>
      </c>
      <c r="B82" s="64">
        <v>1.22</v>
      </c>
      <c r="C82" s="64">
        <v>29.89</v>
      </c>
      <c r="D82" s="64">
        <v>16.510000000000002</v>
      </c>
      <c r="E82" s="64">
        <v>1.29</v>
      </c>
      <c r="F82" s="64">
        <v>4.83</v>
      </c>
      <c r="G82" s="64">
        <v>33.81</v>
      </c>
      <c r="H82" s="64">
        <v>34.17</v>
      </c>
      <c r="I82" s="64">
        <v>2.9</v>
      </c>
      <c r="J82" s="64">
        <v>0.13</v>
      </c>
      <c r="K82" s="64">
        <v>317.3</v>
      </c>
      <c r="L82" s="64">
        <v>30.18</v>
      </c>
      <c r="M82" s="64">
        <v>43.07</v>
      </c>
      <c r="N82" s="64">
        <v>19.100000000000001</v>
      </c>
      <c r="O82" s="64">
        <v>0</v>
      </c>
      <c r="P82" s="64">
        <v>0.31</v>
      </c>
      <c r="Q82" s="64">
        <v>9.1</v>
      </c>
      <c r="R82" s="198"/>
      <c r="S82" s="198"/>
      <c r="T82" s="198"/>
      <c r="U82" s="198"/>
    </row>
    <row r="83" spans="1:26" s="12" customFormat="1" x14ac:dyDescent="0.25">
      <c r="A83" s="214" t="s">
        <v>2626</v>
      </c>
      <c r="B83" s="64">
        <v>1.63</v>
      </c>
      <c r="C83" s="64">
        <v>27.37</v>
      </c>
      <c r="D83" s="64">
        <v>15.52</v>
      </c>
      <c r="E83" s="64">
        <v>1.43</v>
      </c>
      <c r="F83" s="64">
        <v>4.42</v>
      </c>
      <c r="G83" s="64">
        <v>33.81</v>
      </c>
      <c r="H83" s="64">
        <v>34.17</v>
      </c>
      <c r="I83" s="64">
        <v>3.6</v>
      </c>
      <c r="J83" s="64">
        <v>0.17</v>
      </c>
      <c r="K83" s="64">
        <v>297.58</v>
      </c>
      <c r="L83" s="64">
        <v>29.65</v>
      </c>
      <c r="M83" s="64">
        <v>44.51</v>
      </c>
      <c r="N83" s="64">
        <v>17.8</v>
      </c>
      <c r="O83" s="64">
        <v>0</v>
      </c>
      <c r="P83" s="64">
        <v>0.36</v>
      </c>
      <c r="Q83" s="64">
        <v>9.1</v>
      </c>
      <c r="R83" s="198"/>
      <c r="S83" s="198"/>
      <c r="T83" s="198"/>
      <c r="U83" s="198"/>
    </row>
    <row r="84" spans="1:26" s="12" customFormat="1" x14ac:dyDescent="0.25">
      <c r="A84" s="214" t="s">
        <v>2627</v>
      </c>
      <c r="B84" s="64">
        <v>2.12</v>
      </c>
      <c r="C84" s="64">
        <v>27.32</v>
      </c>
      <c r="D84" s="64">
        <v>15.89</v>
      </c>
      <c r="E84" s="64">
        <v>1.19</v>
      </c>
      <c r="F84" s="64">
        <v>3.56</v>
      </c>
      <c r="G84" s="64">
        <v>33.81</v>
      </c>
      <c r="H84" s="64">
        <v>34.17</v>
      </c>
      <c r="I84" s="64">
        <v>4.1100000000000003</v>
      </c>
      <c r="J84" s="64">
        <v>0.17</v>
      </c>
      <c r="K84" s="64">
        <v>213.9</v>
      </c>
      <c r="L84" s="64">
        <v>30.53</v>
      </c>
      <c r="M84" s="64">
        <v>39.04</v>
      </c>
      <c r="N84" s="64">
        <v>17.100000000000001</v>
      </c>
      <c r="O84" s="64">
        <v>0</v>
      </c>
      <c r="P84" s="64">
        <v>0.4</v>
      </c>
      <c r="Q84" s="64">
        <v>9.11</v>
      </c>
      <c r="R84" s="198"/>
      <c r="S84" s="198"/>
      <c r="T84" s="198"/>
      <c r="U84" s="198"/>
    </row>
    <row r="85" spans="1:26" s="12" customFormat="1" x14ac:dyDescent="0.25">
      <c r="A85" s="214" t="s">
        <v>2628</v>
      </c>
      <c r="B85" s="64">
        <v>2.48</v>
      </c>
      <c r="C85" s="64">
        <v>27.96</v>
      </c>
      <c r="D85" s="64">
        <v>16.52</v>
      </c>
      <c r="E85" s="64">
        <v>1.32</v>
      </c>
      <c r="F85" s="64">
        <v>3.77</v>
      </c>
      <c r="G85" s="64">
        <v>44.44</v>
      </c>
      <c r="H85" s="64">
        <v>31.56</v>
      </c>
      <c r="I85" s="64">
        <v>4.72</v>
      </c>
      <c r="J85" s="64">
        <v>0.14000000000000001</v>
      </c>
      <c r="K85" s="64">
        <v>215.04</v>
      </c>
      <c r="L85" s="64">
        <v>30.4</v>
      </c>
      <c r="M85" s="64">
        <v>39.17</v>
      </c>
      <c r="N85" s="64">
        <v>17.5</v>
      </c>
      <c r="O85" s="64">
        <v>0</v>
      </c>
      <c r="P85" s="64">
        <v>0.41</v>
      </c>
      <c r="Q85" s="64">
        <v>9.17</v>
      </c>
      <c r="R85" s="198"/>
      <c r="S85" s="198"/>
      <c r="T85" s="198"/>
      <c r="U85" s="198"/>
    </row>
    <row r="86" spans="1:26" s="12" customFormat="1" x14ac:dyDescent="0.25">
      <c r="A86" s="214" t="s">
        <v>2629</v>
      </c>
      <c r="B86" s="64">
        <v>2.79</v>
      </c>
      <c r="C86" s="64">
        <v>28.34</v>
      </c>
      <c r="D86" s="64">
        <v>16.97</v>
      </c>
      <c r="E86" s="64">
        <v>0.94</v>
      </c>
      <c r="F86" s="64">
        <v>3.64</v>
      </c>
      <c r="G86" s="64">
        <v>64.680000000000007</v>
      </c>
      <c r="H86" s="64">
        <v>26.58</v>
      </c>
      <c r="I86" s="64">
        <v>5.03</v>
      </c>
      <c r="J86" s="64">
        <v>0.06</v>
      </c>
      <c r="K86" s="64">
        <v>206.43</v>
      </c>
      <c r="L86" s="64">
        <v>29.97</v>
      </c>
      <c r="M86" s="64">
        <v>41.17</v>
      </c>
      <c r="N86" s="64">
        <v>17.8</v>
      </c>
      <c r="O86" s="64">
        <v>0</v>
      </c>
      <c r="P86" s="64">
        <v>0.46</v>
      </c>
      <c r="Q86" s="64">
        <v>9.1199999999999992</v>
      </c>
      <c r="R86" s="198"/>
      <c r="S86" s="198"/>
      <c r="T86" s="198"/>
      <c r="U86" s="198"/>
    </row>
    <row r="87" spans="1:26" s="12" customFormat="1" x14ac:dyDescent="0.25">
      <c r="A87" s="214" t="s">
        <v>2630</v>
      </c>
      <c r="B87" s="64">
        <v>3.41</v>
      </c>
      <c r="C87" s="64">
        <v>29.26</v>
      </c>
      <c r="D87" s="64">
        <v>17.940000000000001</v>
      </c>
      <c r="E87" s="64">
        <v>1.07</v>
      </c>
      <c r="F87" s="64">
        <v>3.78</v>
      </c>
      <c r="G87" s="64">
        <v>64.680000000000007</v>
      </c>
      <c r="H87" s="64">
        <v>26.58</v>
      </c>
      <c r="I87" s="64">
        <v>5.31</v>
      </c>
      <c r="J87" s="64">
        <v>0.12</v>
      </c>
      <c r="K87" s="64">
        <v>313.5</v>
      </c>
      <c r="L87" s="64">
        <v>29.44</v>
      </c>
      <c r="M87" s="64">
        <v>44.35</v>
      </c>
      <c r="N87" s="64">
        <v>17.8</v>
      </c>
      <c r="O87" s="64">
        <v>0</v>
      </c>
      <c r="P87" s="64">
        <v>0.5</v>
      </c>
      <c r="Q87" s="64">
        <v>9.14</v>
      </c>
      <c r="R87" s="198"/>
      <c r="S87" s="198"/>
      <c r="T87" s="198"/>
      <c r="U87" s="198"/>
    </row>
    <row r="88" spans="1:26" s="12" customFormat="1" x14ac:dyDescent="0.25">
      <c r="A88" s="214" t="s">
        <v>2631</v>
      </c>
      <c r="B88" s="64">
        <v>7.3</v>
      </c>
      <c r="C88" s="64">
        <v>31.13</v>
      </c>
      <c r="D88" s="64">
        <v>22.03</v>
      </c>
      <c r="E88" s="64">
        <v>1.75</v>
      </c>
      <c r="F88" s="64">
        <v>3.45</v>
      </c>
      <c r="G88" s="64">
        <v>64.680000000000007</v>
      </c>
      <c r="H88" s="64">
        <v>26.58</v>
      </c>
      <c r="I88" s="64">
        <v>5.62</v>
      </c>
      <c r="J88" s="64">
        <v>0.1</v>
      </c>
      <c r="K88" s="64">
        <v>283.25</v>
      </c>
      <c r="L88" s="64">
        <v>29.16</v>
      </c>
      <c r="M88" s="64">
        <v>43.15</v>
      </c>
      <c r="N88" s="64">
        <v>17.399999999999999</v>
      </c>
      <c r="O88" s="64">
        <v>0</v>
      </c>
      <c r="P88" s="64">
        <v>0.65</v>
      </c>
      <c r="Q88" s="64">
        <v>9.1300000000000008</v>
      </c>
      <c r="R88" s="198"/>
      <c r="S88" s="198"/>
      <c r="T88" s="198"/>
      <c r="U88" s="198"/>
    </row>
    <row r="89" spans="1:26" s="12" customFormat="1" x14ac:dyDescent="0.25">
      <c r="A89" s="214" t="s">
        <v>2632</v>
      </c>
      <c r="B89" s="64">
        <v>13.34</v>
      </c>
      <c r="C89" s="64">
        <v>32.979999999999997</v>
      </c>
      <c r="D89" s="64">
        <v>27.85</v>
      </c>
      <c r="E89" s="64">
        <v>2.84</v>
      </c>
      <c r="F89" s="64">
        <v>3.71</v>
      </c>
      <c r="G89" s="64">
        <v>69.47</v>
      </c>
      <c r="H89" s="64">
        <v>28.69</v>
      </c>
      <c r="I89" s="64">
        <v>6.05</v>
      </c>
      <c r="J89" s="64">
        <v>0.14000000000000001</v>
      </c>
      <c r="K89" s="64">
        <v>289.83999999999997</v>
      </c>
      <c r="L89" s="64">
        <v>29.15</v>
      </c>
      <c r="M89" s="64">
        <v>42.55</v>
      </c>
      <c r="N89" s="64">
        <v>17.7</v>
      </c>
      <c r="O89" s="64">
        <v>0</v>
      </c>
      <c r="P89" s="64">
        <v>0.77</v>
      </c>
      <c r="Q89" s="64">
        <v>9.11</v>
      </c>
      <c r="R89" s="198"/>
      <c r="S89" s="198"/>
      <c r="T89" s="198"/>
      <c r="U89" s="198"/>
    </row>
    <row r="90" spans="1:26" s="12" customFormat="1" x14ac:dyDescent="0.25">
      <c r="A90" s="214" t="s">
        <v>2633</v>
      </c>
      <c r="B90" s="64">
        <v>18.86</v>
      </c>
      <c r="C90" s="64">
        <v>34.71</v>
      </c>
      <c r="D90" s="64">
        <v>33.18</v>
      </c>
      <c r="E90" s="64">
        <v>2.95</v>
      </c>
      <c r="F90" s="64">
        <v>3.57</v>
      </c>
      <c r="G90" s="64">
        <v>78.59</v>
      </c>
      <c r="H90" s="64">
        <v>32.71</v>
      </c>
      <c r="I90" s="64">
        <v>6.59</v>
      </c>
      <c r="J90" s="64">
        <v>0.06</v>
      </c>
      <c r="K90" s="64">
        <v>306</v>
      </c>
      <c r="L90" s="64">
        <v>28.8</v>
      </c>
      <c r="M90" s="64">
        <v>43.99</v>
      </c>
      <c r="N90" s="64">
        <v>17.600000000000001</v>
      </c>
      <c r="O90" s="64">
        <v>0</v>
      </c>
      <c r="P90" s="64">
        <v>0.86</v>
      </c>
      <c r="Q90" s="64">
        <v>9.32</v>
      </c>
      <c r="R90" s="198"/>
      <c r="S90" s="198"/>
      <c r="T90" s="198"/>
      <c r="U90" s="198"/>
    </row>
    <row r="91" spans="1:26" s="12" customFormat="1" x14ac:dyDescent="0.25">
      <c r="A91" s="214" t="s">
        <v>2634</v>
      </c>
      <c r="B91" s="64">
        <v>22.81</v>
      </c>
      <c r="C91" s="64">
        <v>35.75</v>
      </c>
      <c r="D91" s="64">
        <v>36.89</v>
      </c>
      <c r="E91" s="64">
        <v>3.01</v>
      </c>
      <c r="F91" s="64">
        <v>3.29</v>
      </c>
      <c r="G91" s="64">
        <v>78.59</v>
      </c>
      <c r="H91" s="64">
        <v>32.71</v>
      </c>
      <c r="I91" s="64">
        <v>6.73</v>
      </c>
      <c r="J91" s="64">
        <v>0.05</v>
      </c>
      <c r="K91" s="64">
        <v>5.05</v>
      </c>
      <c r="L91" s="64">
        <v>28.62</v>
      </c>
      <c r="M91" s="64">
        <v>44.08</v>
      </c>
      <c r="N91" s="64">
        <v>17.7</v>
      </c>
      <c r="O91" s="64">
        <v>0</v>
      </c>
      <c r="P91" s="64">
        <v>0.97</v>
      </c>
      <c r="Q91" s="64">
        <v>9.16</v>
      </c>
      <c r="R91" s="198"/>
      <c r="S91" s="198"/>
      <c r="T91" s="198"/>
      <c r="U91" s="198"/>
    </row>
    <row r="92" spans="1:26" s="12" customFormat="1" x14ac:dyDescent="0.25">
      <c r="A92" s="214" t="s">
        <v>2635</v>
      </c>
      <c r="B92" s="64">
        <v>26.55</v>
      </c>
      <c r="C92" s="64">
        <v>36.4</v>
      </c>
      <c r="D92" s="64">
        <v>40.229999999999997</v>
      </c>
      <c r="E92" s="64">
        <v>2.62</v>
      </c>
      <c r="F92" s="64">
        <v>3.32</v>
      </c>
      <c r="G92" s="64">
        <v>78.59</v>
      </c>
      <c r="H92" s="64">
        <v>32.71</v>
      </c>
      <c r="I92" s="64">
        <v>6.9</v>
      </c>
      <c r="J92" s="64">
        <v>0.1</v>
      </c>
      <c r="K92" s="64">
        <v>33.79</v>
      </c>
      <c r="L92" s="64">
        <v>28.39</v>
      </c>
      <c r="M92" s="64">
        <v>45.08</v>
      </c>
      <c r="N92" s="64">
        <v>17.7</v>
      </c>
      <c r="O92" s="64">
        <v>0</v>
      </c>
      <c r="P92" s="64">
        <v>1.05</v>
      </c>
      <c r="Q92" s="64">
        <v>9.23</v>
      </c>
      <c r="R92" s="198"/>
      <c r="S92" s="198"/>
      <c r="T92" s="198"/>
      <c r="U92" s="198"/>
    </row>
    <row r="93" spans="1:26" s="12" customFormat="1" x14ac:dyDescent="0.25">
      <c r="A93" s="214" t="s">
        <v>2636</v>
      </c>
      <c r="B93" s="64">
        <v>29.18</v>
      </c>
      <c r="C93" s="64">
        <v>37.11</v>
      </c>
      <c r="D93" s="64">
        <v>42.71</v>
      </c>
      <c r="E93" s="64">
        <v>3</v>
      </c>
      <c r="F93" s="64">
        <v>3.25</v>
      </c>
      <c r="G93" s="64">
        <v>79.19</v>
      </c>
      <c r="H93" s="64">
        <v>31.62</v>
      </c>
      <c r="I93" s="64">
        <v>7.01</v>
      </c>
      <c r="J93" s="64">
        <v>0.11</v>
      </c>
      <c r="K93" s="64">
        <v>59.85</v>
      </c>
      <c r="L93" s="64">
        <v>28.17</v>
      </c>
      <c r="M93" s="64">
        <v>46.35</v>
      </c>
      <c r="N93" s="64">
        <v>17.600000000000001</v>
      </c>
      <c r="O93" s="64">
        <v>0</v>
      </c>
      <c r="P93" s="64">
        <v>1.1100000000000001</v>
      </c>
      <c r="Q93" s="64">
        <v>9.23</v>
      </c>
      <c r="R93" s="198"/>
      <c r="S93" s="198"/>
      <c r="T93" s="198"/>
      <c r="U93" s="198"/>
    </row>
    <row r="94" spans="1:26" s="12" customFormat="1" x14ac:dyDescent="0.25">
      <c r="A94" s="214" t="s">
        <v>2637</v>
      </c>
      <c r="B94" s="64">
        <v>32.82</v>
      </c>
      <c r="C94" s="64">
        <v>37.6</v>
      </c>
      <c r="D94" s="64">
        <v>45.88</v>
      </c>
      <c r="E94" s="64">
        <v>2.89</v>
      </c>
      <c r="F94" s="64">
        <v>3.44</v>
      </c>
      <c r="G94" s="64">
        <v>80.33</v>
      </c>
      <c r="H94" s="64">
        <v>29.56</v>
      </c>
      <c r="I94" s="64">
        <v>6.78</v>
      </c>
      <c r="J94" s="64">
        <v>0.17</v>
      </c>
      <c r="K94" s="64">
        <v>69.56</v>
      </c>
      <c r="L94" s="64">
        <v>27.94</v>
      </c>
      <c r="M94" s="64">
        <v>53.07</v>
      </c>
      <c r="N94" s="64">
        <v>17.5</v>
      </c>
      <c r="O94" s="64">
        <v>0</v>
      </c>
      <c r="P94" s="64">
        <v>1.1299999999999999</v>
      </c>
      <c r="Q94" s="64">
        <v>9.19</v>
      </c>
      <c r="R94" s="198"/>
      <c r="S94" s="198"/>
      <c r="T94" s="198"/>
      <c r="U94" s="198"/>
    </row>
    <row r="95" spans="1:26" s="12" customFormat="1" x14ac:dyDescent="0.25">
      <c r="A95" s="214" t="s">
        <v>2638</v>
      </c>
      <c r="B95" s="64">
        <v>37.53</v>
      </c>
      <c r="C95" s="64">
        <v>38.020000000000003</v>
      </c>
      <c r="D95" s="64">
        <v>49.88</v>
      </c>
      <c r="E95" s="64">
        <v>2.6</v>
      </c>
      <c r="F95" s="64">
        <v>3.41</v>
      </c>
      <c r="G95" s="64">
        <v>80.33</v>
      </c>
      <c r="H95" s="64">
        <v>29.56</v>
      </c>
      <c r="I95" s="64">
        <v>6.85</v>
      </c>
      <c r="J95" s="64">
        <v>0.2</v>
      </c>
      <c r="K95" s="64">
        <v>236.82</v>
      </c>
      <c r="L95" s="64">
        <v>27.93</v>
      </c>
      <c r="M95" s="64">
        <v>49.79</v>
      </c>
      <c r="N95" s="64">
        <v>17.2</v>
      </c>
      <c r="O95" s="64">
        <v>0</v>
      </c>
      <c r="P95" s="64">
        <v>1.17</v>
      </c>
      <c r="Q95" s="64">
        <v>9.34</v>
      </c>
      <c r="R95" s="198"/>
      <c r="S95" s="198"/>
      <c r="T95" s="198"/>
      <c r="U95" s="198"/>
    </row>
    <row r="96" spans="1:26" s="12" customFormat="1" x14ac:dyDescent="0.25">
      <c r="A96" s="214" t="s">
        <v>2639</v>
      </c>
      <c r="B96" s="64">
        <v>39.53</v>
      </c>
      <c r="C96" s="64">
        <v>37.909999999999997</v>
      </c>
      <c r="D96" s="64">
        <v>51.43</v>
      </c>
      <c r="E96" s="64">
        <v>2.9</v>
      </c>
      <c r="F96" s="64">
        <v>3.42</v>
      </c>
      <c r="G96" s="64">
        <v>80.33</v>
      </c>
      <c r="H96" s="64">
        <v>29.56</v>
      </c>
      <c r="I96" s="64">
        <v>6.96</v>
      </c>
      <c r="J96" s="64">
        <v>0.25</v>
      </c>
      <c r="K96" s="64">
        <v>357.94</v>
      </c>
      <c r="L96" s="64">
        <v>27.58</v>
      </c>
      <c r="M96" s="64">
        <v>54.64</v>
      </c>
      <c r="N96" s="64">
        <v>17.7</v>
      </c>
      <c r="O96" s="64">
        <v>0</v>
      </c>
      <c r="P96" s="64">
        <v>1.22</v>
      </c>
      <c r="Q96" s="64">
        <v>9.16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2640</v>
      </c>
      <c r="B97" s="64">
        <v>42.38</v>
      </c>
      <c r="C97" s="64">
        <v>37.86</v>
      </c>
      <c r="D97" s="64">
        <v>53.69</v>
      </c>
      <c r="E97" s="64">
        <v>2.86</v>
      </c>
      <c r="F97" s="64">
        <v>3.45</v>
      </c>
      <c r="G97" s="64">
        <v>84.75</v>
      </c>
      <c r="H97" s="64">
        <v>26.81</v>
      </c>
      <c r="I97" s="64">
        <v>7.06</v>
      </c>
      <c r="J97" s="64">
        <v>0.23</v>
      </c>
      <c r="K97" s="64">
        <v>328.91</v>
      </c>
      <c r="L97" s="64">
        <v>27.11</v>
      </c>
      <c r="M97" s="64">
        <v>53.25</v>
      </c>
      <c r="N97" s="64">
        <v>17.3</v>
      </c>
      <c r="O97" s="64">
        <v>0</v>
      </c>
      <c r="P97" s="64">
        <v>1.31</v>
      </c>
      <c r="Q97" s="64">
        <v>9.1999999999999993</v>
      </c>
      <c r="R97" s="198"/>
      <c r="S97" s="198"/>
      <c r="T97" s="198"/>
      <c r="U97" s="198"/>
    </row>
    <row r="98" spans="1:33" s="12" customFormat="1" x14ac:dyDescent="0.25">
      <c r="A98" s="214" t="s">
        <v>2641</v>
      </c>
      <c r="B98" s="64">
        <v>43.95</v>
      </c>
      <c r="C98" s="64">
        <v>38.770000000000003</v>
      </c>
      <c r="D98" s="64">
        <v>55.42</v>
      </c>
      <c r="E98" s="64">
        <v>3.03</v>
      </c>
      <c r="F98" s="64">
        <v>3.47</v>
      </c>
      <c r="G98" s="64">
        <v>93.18</v>
      </c>
      <c r="H98" s="64">
        <v>21.57</v>
      </c>
      <c r="I98" s="64">
        <v>7.26</v>
      </c>
      <c r="J98" s="64">
        <v>0.38</v>
      </c>
      <c r="K98" s="64">
        <v>314.36</v>
      </c>
      <c r="L98" s="64">
        <v>27.36</v>
      </c>
      <c r="M98" s="64">
        <v>50.37</v>
      </c>
      <c r="N98" s="64">
        <v>16.7</v>
      </c>
      <c r="O98" s="64">
        <v>0</v>
      </c>
      <c r="P98" s="64">
        <v>1.34</v>
      </c>
      <c r="Q98" s="64">
        <v>9.41</v>
      </c>
      <c r="R98" s="198"/>
      <c r="S98" s="198"/>
      <c r="T98" s="198"/>
      <c r="U98" s="198"/>
    </row>
    <row r="99" spans="1:33" s="12" customFormat="1" x14ac:dyDescent="0.25">
      <c r="A99" s="214" t="s">
        <v>2642</v>
      </c>
      <c r="B99" s="64">
        <v>44.43</v>
      </c>
      <c r="C99" s="64">
        <v>36.97</v>
      </c>
      <c r="D99" s="64">
        <v>54.86</v>
      </c>
      <c r="E99" s="64">
        <v>3.04</v>
      </c>
      <c r="F99" s="64">
        <v>3.47</v>
      </c>
      <c r="G99" s="64">
        <v>93.18</v>
      </c>
      <c r="H99" s="64">
        <v>21.57</v>
      </c>
      <c r="I99" s="64">
        <v>7.52</v>
      </c>
      <c r="J99" s="64">
        <v>0.46</v>
      </c>
      <c r="K99" s="64">
        <v>317.57</v>
      </c>
      <c r="L99" s="64">
        <v>27.95</v>
      </c>
      <c r="M99" s="64">
        <v>44.71</v>
      </c>
      <c r="N99" s="64">
        <v>16.7</v>
      </c>
      <c r="O99" s="64">
        <v>0</v>
      </c>
      <c r="P99" s="64">
        <v>1.32</v>
      </c>
      <c r="Q99" s="64">
        <v>9.27</v>
      </c>
      <c r="R99" s="198"/>
      <c r="S99" s="198"/>
      <c r="T99" s="198"/>
      <c r="U99" s="198"/>
    </row>
    <row r="100" spans="1:33" s="12" customFormat="1" x14ac:dyDescent="0.25">
      <c r="A100" s="214" t="s">
        <v>2643</v>
      </c>
      <c r="B100" s="64">
        <v>44.17</v>
      </c>
      <c r="C100" s="64">
        <v>36.35</v>
      </c>
      <c r="D100" s="64">
        <v>54.33</v>
      </c>
      <c r="E100" s="64">
        <v>3.04</v>
      </c>
      <c r="F100" s="64">
        <v>3.55</v>
      </c>
      <c r="G100" s="64">
        <v>93.18</v>
      </c>
      <c r="H100" s="64">
        <v>21.57</v>
      </c>
      <c r="I100" s="64">
        <v>7.71</v>
      </c>
      <c r="J100" s="64">
        <v>0.38</v>
      </c>
      <c r="K100" s="64">
        <v>308.02999999999997</v>
      </c>
      <c r="L100" s="64">
        <v>27.76</v>
      </c>
      <c r="M100" s="64">
        <v>45.62</v>
      </c>
      <c r="N100" s="64">
        <v>17.3</v>
      </c>
      <c r="O100" s="64">
        <v>0</v>
      </c>
      <c r="P100" s="64">
        <v>1.29</v>
      </c>
      <c r="Q100" s="64">
        <v>9.39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2644</v>
      </c>
      <c r="B101" s="64">
        <v>42.82</v>
      </c>
      <c r="C101" s="64">
        <v>35.68</v>
      </c>
      <c r="D101" s="64">
        <v>52.9</v>
      </c>
      <c r="E101" s="64">
        <v>3.07</v>
      </c>
      <c r="F101" s="64">
        <v>3.22</v>
      </c>
      <c r="G101" s="64">
        <v>89.43</v>
      </c>
      <c r="H101" s="64">
        <v>24.47</v>
      </c>
      <c r="I101" s="64">
        <v>7.86</v>
      </c>
      <c r="J101" s="64">
        <v>0.53</v>
      </c>
      <c r="K101" s="64">
        <v>315</v>
      </c>
      <c r="L101" s="64">
        <v>27.62</v>
      </c>
      <c r="M101" s="64">
        <v>46.08</v>
      </c>
      <c r="N101" s="64">
        <v>17.100000000000001</v>
      </c>
      <c r="O101" s="64">
        <v>0</v>
      </c>
      <c r="P101" s="64">
        <v>1.28</v>
      </c>
      <c r="Q101" s="64">
        <v>9.23</v>
      </c>
      <c r="R101" s="198"/>
      <c r="S101" s="198"/>
      <c r="T101" s="198"/>
      <c r="U101" s="198"/>
    </row>
    <row r="102" spans="1:33" s="12" customFormat="1" x14ac:dyDescent="0.25">
      <c r="A102" s="214" t="s">
        <v>2645</v>
      </c>
      <c r="B102" s="64">
        <v>41.34</v>
      </c>
      <c r="C102" s="64">
        <v>34.85</v>
      </c>
      <c r="D102" s="64">
        <v>51.28</v>
      </c>
      <c r="E102" s="64">
        <v>2.73</v>
      </c>
      <c r="F102" s="64">
        <v>3.36</v>
      </c>
      <c r="G102" s="64">
        <v>82.3</v>
      </c>
      <c r="H102" s="64">
        <v>30</v>
      </c>
      <c r="I102" s="64">
        <v>7.86</v>
      </c>
      <c r="J102" s="64">
        <v>0.65</v>
      </c>
      <c r="K102" s="64">
        <v>312.3</v>
      </c>
      <c r="L102" s="64">
        <v>27.38</v>
      </c>
      <c r="M102" s="64">
        <v>45.96</v>
      </c>
      <c r="N102" s="64">
        <v>17</v>
      </c>
      <c r="O102" s="64">
        <v>0</v>
      </c>
      <c r="P102" s="64">
        <v>1.25</v>
      </c>
      <c r="Q102" s="64">
        <v>9.32</v>
      </c>
      <c r="R102" s="198"/>
      <c r="S102" s="198"/>
      <c r="T102" s="198"/>
      <c r="U102" s="198"/>
    </row>
    <row r="103" spans="1:33" s="12" customFormat="1" x14ac:dyDescent="0.25">
      <c r="A103" s="214" t="s">
        <v>2646</v>
      </c>
      <c r="B103" s="64">
        <v>39.6</v>
      </c>
      <c r="C103" s="64">
        <v>33.909999999999997</v>
      </c>
      <c r="D103" s="64">
        <v>49.39</v>
      </c>
      <c r="E103" s="64">
        <v>2.59</v>
      </c>
      <c r="F103" s="64">
        <v>3.47</v>
      </c>
      <c r="G103" s="64">
        <v>82.3</v>
      </c>
      <c r="H103" s="64">
        <v>30</v>
      </c>
      <c r="I103" s="64">
        <v>8.6</v>
      </c>
      <c r="J103" s="64">
        <v>0.43</v>
      </c>
      <c r="K103" s="64">
        <v>304.02999999999997</v>
      </c>
      <c r="L103" s="64">
        <v>27.32</v>
      </c>
      <c r="M103" s="64">
        <v>43.73</v>
      </c>
      <c r="N103" s="64">
        <v>17.399999999999999</v>
      </c>
      <c r="O103" s="64">
        <v>0</v>
      </c>
      <c r="P103" s="64">
        <v>1.22</v>
      </c>
      <c r="Q103" s="64">
        <v>9.26</v>
      </c>
      <c r="R103" s="198"/>
      <c r="S103" s="198"/>
      <c r="T103" s="198"/>
      <c r="U103" s="198"/>
    </row>
    <row r="104" spans="1:33" s="12" customFormat="1" x14ac:dyDescent="0.25">
      <c r="A104" s="214" t="s">
        <v>2647</v>
      </c>
      <c r="B104" s="64">
        <v>37.81</v>
      </c>
      <c r="C104" s="64">
        <v>33.26</v>
      </c>
      <c r="D104" s="64">
        <v>47.62</v>
      </c>
      <c r="E104" s="64">
        <v>2.2799999999999998</v>
      </c>
      <c r="F104" s="64">
        <v>3.84</v>
      </c>
      <c r="G104" s="64">
        <v>82.3</v>
      </c>
      <c r="H104" s="64">
        <v>30</v>
      </c>
      <c r="I104" s="64">
        <v>8.66</v>
      </c>
      <c r="J104" s="64">
        <v>0.28999999999999998</v>
      </c>
      <c r="K104" s="64">
        <v>319.69</v>
      </c>
      <c r="L104" s="64">
        <v>27.2</v>
      </c>
      <c r="M104" s="64">
        <v>41.56</v>
      </c>
      <c r="N104" s="64">
        <v>17.7</v>
      </c>
      <c r="O104" s="64">
        <v>0</v>
      </c>
      <c r="P104" s="64">
        <v>1.18</v>
      </c>
      <c r="Q104" s="64">
        <v>9.32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0.28000000000000003</v>
      </c>
      <c r="C106" s="67">
        <f>MIN(C9:C104)</f>
        <v>23.14</v>
      </c>
      <c r="D106" s="67">
        <f t="shared" ref="D106:Q106" si="0">MIN(D9:D104)</f>
        <v>12.23</v>
      </c>
      <c r="E106" s="67">
        <f t="shared" si="0"/>
        <v>0.75</v>
      </c>
      <c r="F106" s="67">
        <f t="shared" si="0"/>
        <v>3.05</v>
      </c>
      <c r="G106" s="67">
        <f t="shared" si="0"/>
        <v>8.0500000000000007</v>
      </c>
      <c r="H106" s="67">
        <f t="shared" si="0"/>
        <v>0.27</v>
      </c>
      <c r="I106" s="67">
        <f t="shared" si="0"/>
        <v>1.42</v>
      </c>
      <c r="J106" s="67">
        <f t="shared" si="0"/>
        <v>0.05</v>
      </c>
      <c r="K106" s="67">
        <f t="shared" si="0"/>
        <v>5.05</v>
      </c>
      <c r="L106" s="67">
        <f t="shared" si="0"/>
        <v>22.47</v>
      </c>
      <c r="M106" s="67">
        <f t="shared" si="0"/>
        <v>18.72</v>
      </c>
      <c r="N106" s="67">
        <f t="shared" si="0"/>
        <v>16.7</v>
      </c>
      <c r="O106" s="67">
        <f t="shared" si="0"/>
        <v>0</v>
      </c>
      <c r="P106" s="67">
        <f t="shared" si="0"/>
        <v>0.23</v>
      </c>
      <c r="Q106" s="67">
        <f t="shared" si="0"/>
        <v>9.08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62.34</v>
      </c>
      <c r="C107" s="66">
        <f t="shared" ref="C107:Q107" si="1">MAX(C9:C104)</f>
        <v>40.99</v>
      </c>
      <c r="D107" s="66">
        <f t="shared" si="1"/>
        <v>66.83</v>
      </c>
      <c r="E107" s="66">
        <f t="shared" si="1"/>
        <v>4.7699999999999996</v>
      </c>
      <c r="F107" s="66">
        <f t="shared" si="1"/>
        <v>39.68</v>
      </c>
      <c r="G107" s="66">
        <f t="shared" si="1"/>
        <v>144.22999999999999</v>
      </c>
      <c r="H107" s="66">
        <f t="shared" si="1"/>
        <v>116.91</v>
      </c>
      <c r="I107" s="66">
        <f t="shared" si="1"/>
        <v>11.17</v>
      </c>
      <c r="J107" s="66">
        <f t="shared" si="1"/>
        <v>1.55</v>
      </c>
      <c r="K107" s="66">
        <f t="shared" si="1"/>
        <v>357.94</v>
      </c>
      <c r="L107" s="66">
        <f t="shared" si="1"/>
        <v>40.44</v>
      </c>
      <c r="M107" s="66">
        <f t="shared" si="1"/>
        <v>78.069999999999993</v>
      </c>
      <c r="N107" s="66">
        <f t="shared" si="1"/>
        <v>962.1</v>
      </c>
      <c r="O107" s="66">
        <f t="shared" si="1"/>
        <v>0</v>
      </c>
      <c r="P107" s="66">
        <f t="shared" si="1"/>
        <v>1.72</v>
      </c>
      <c r="Q107" s="66">
        <f t="shared" si="1"/>
        <v>9.51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25.753437500000004</v>
      </c>
      <c r="C108" s="67">
        <f t="shared" ref="C108:Q108" si="2">AVERAGE(C9:C104)</f>
        <v>29.474062499999999</v>
      </c>
      <c r="D108" s="67">
        <f t="shared" si="2"/>
        <v>35.971354166666664</v>
      </c>
      <c r="E108" s="67">
        <f t="shared" si="2"/>
        <v>1.964999999999999</v>
      </c>
      <c r="F108" s="67">
        <f t="shared" si="2"/>
        <v>7.1697916666666686</v>
      </c>
      <c r="G108" s="67">
        <f t="shared" si="2"/>
        <v>73.360215053763483</v>
      </c>
      <c r="H108" s="67">
        <f t="shared" si="2"/>
        <v>26.45870967741935</v>
      </c>
      <c r="I108" s="67">
        <f t="shared" si="2"/>
        <v>6.9411458333333327</v>
      </c>
      <c r="J108" s="67">
        <f t="shared" si="2"/>
        <v>0.39625000000000021</v>
      </c>
      <c r="K108" s="67">
        <f t="shared" si="2"/>
        <v>245.60354166666662</v>
      </c>
      <c r="L108" s="67">
        <f t="shared" si="2"/>
        <v>29.767187499999995</v>
      </c>
      <c r="M108" s="67">
        <f t="shared" si="2"/>
        <v>46.337187499999992</v>
      </c>
      <c r="N108" s="67">
        <f t="shared" si="2"/>
        <v>243.76979166666661</v>
      </c>
      <c r="O108" s="67">
        <f t="shared" si="2"/>
        <v>0</v>
      </c>
      <c r="P108" s="67">
        <f t="shared" si="2"/>
        <v>0.79885416666666664</v>
      </c>
      <c r="Q108" s="67">
        <f t="shared" si="2"/>
        <v>9.2254166666666713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22.937779538666625</v>
      </c>
      <c r="C109" s="67">
        <f t="shared" ref="C109:Q109" si="3">STDEV(C9:C104)</f>
        <v>4.6057784251216134</v>
      </c>
      <c r="D109" s="67">
        <f t="shared" si="3"/>
        <v>18.149625115443598</v>
      </c>
      <c r="E109" s="67">
        <f t="shared" si="3"/>
        <v>0.7774777031834238</v>
      </c>
      <c r="F109" s="67">
        <f t="shared" si="3"/>
        <v>7.6922974432961384</v>
      </c>
      <c r="G109" s="67">
        <f t="shared" si="3"/>
        <v>28.414712354942292</v>
      </c>
      <c r="H109" s="67">
        <f t="shared" si="3"/>
        <v>23.282558466623755</v>
      </c>
      <c r="I109" s="67">
        <f t="shared" si="3"/>
        <v>2.8597375182428202</v>
      </c>
      <c r="J109" s="67">
        <f t="shared" si="3"/>
        <v>0.35087634649020666</v>
      </c>
      <c r="K109" s="67">
        <f t="shared" si="3"/>
        <v>81.866703622788137</v>
      </c>
      <c r="L109" s="67">
        <f t="shared" si="3"/>
        <v>5.2090346015613509</v>
      </c>
      <c r="M109" s="67">
        <f t="shared" si="3"/>
        <v>17.019165957864015</v>
      </c>
      <c r="N109" s="67">
        <f t="shared" si="3"/>
        <v>311.76354539257085</v>
      </c>
      <c r="O109" s="67">
        <f t="shared" si="3"/>
        <v>0</v>
      </c>
      <c r="P109" s="67">
        <f t="shared" si="3"/>
        <v>0.40504936617045595</v>
      </c>
      <c r="Q109" s="67">
        <f t="shared" si="3"/>
        <v>0.12516024815930277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1" sqref="G13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2648</v>
      </c>
      <c r="B9" s="64">
        <v>36.11</v>
      </c>
      <c r="C9" s="64">
        <v>32.68</v>
      </c>
      <c r="D9" s="64">
        <v>45.95</v>
      </c>
      <c r="E9" s="64">
        <v>2.35</v>
      </c>
      <c r="F9" s="64">
        <v>3.45</v>
      </c>
      <c r="G9" s="64">
        <v>75.88</v>
      </c>
      <c r="H9" s="64">
        <v>23.16</v>
      </c>
      <c r="I9" s="64">
        <v>8.4600000000000009</v>
      </c>
      <c r="J9" s="64">
        <v>0.25</v>
      </c>
      <c r="K9" s="64">
        <v>315.77999999999997</v>
      </c>
      <c r="L9" s="64">
        <v>27.08</v>
      </c>
      <c r="M9" s="64">
        <v>41.04</v>
      </c>
      <c r="N9" s="64">
        <v>17.5</v>
      </c>
      <c r="O9" s="64">
        <v>0</v>
      </c>
      <c r="P9" s="64">
        <v>1.1399999999999999</v>
      </c>
      <c r="Q9" s="64">
        <v>9.36</v>
      </c>
      <c r="R9" s="198"/>
      <c r="S9" s="198"/>
      <c r="T9" s="198"/>
      <c r="U9" s="198"/>
    </row>
    <row r="10" spans="1:21" s="12" customFormat="1" x14ac:dyDescent="0.25">
      <c r="A10" s="214" t="s">
        <v>2649</v>
      </c>
      <c r="B10" s="64">
        <v>33.97</v>
      </c>
      <c r="C10" s="64">
        <v>34.380000000000003</v>
      </c>
      <c r="D10" s="64">
        <v>45.12</v>
      </c>
      <c r="E10" s="64">
        <v>2.2000000000000002</v>
      </c>
      <c r="F10" s="64">
        <v>3.66</v>
      </c>
      <c r="G10" s="64">
        <v>63.66</v>
      </c>
      <c r="H10" s="64">
        <v>10.130000000000001</v>
      </c>
      <c r="I10" s="64">
        <v>8.48</v>
      </c>
      <c r="J10" s="64">
        <v>0.18</v>
      </c>
      <c r="K10" s="64">
        <v>320.11</v>
      </c>
      <c r="L10" s="64">
        <v>26.79</v>
      </c>
      <c r="M10" s="64">
        <v>40.729999999999997</v>
      </c>
      <c r="N10" s="64">
        <v>17.7</v>
      </c>
      <c r="O10" s="64">
        <v>0</v>
      </c>
      <c r="P10" s="64">
        <v>1.1000000000000001</v>
      </c>
      <c r="Q10" s="64">
        <v>9.23</v>
      </c>
      <c r="R10" s="198"/>
      <c r="S10" s="198"/>
      <c r="T10" s="198"/>
      <c r="U10" s="198"/>
    </row>
    <row r="11" spans="1:21" s="12" customFormat="1" x14ac:dyDescent="0.25">
      <c r="A11" s="214" t="s">
        <v>2650</v>
      </c>
      <c r="B11" s="64">
        <v>31.31</v>
      </c>
      <c r="C11" s="64">
        <v>34.11</v>
      </c>
      <c r="D11" s="64">
        <v>42.85</v>
      </c>
      <c r="E11" s="64">
        <v>2.21</v>
      </c>
      <c r="F11" s="64">
        <v>3.69</v>
      </c>
      <c r="G11" s="64">
        <v>63.66</v>
      </c>
      <c r="H11" s="64">
        <v>10.130000000000001</v>
      </c>
      <c r="I11" s="64">
        <v>8.1199999999999992</v>
      </c>
      <c r="J11" s="64">
        <v>0.17</v>
      </c>
      <c r="K11" s="64">
        <v>312.54000000000002</v>
      </c>
      <c r="L11" s="64">
        <v>26.57</v>
      </c>
      <c r="M11" s="64">
        <v>41.18</v>
      </c>
      <c r="N11" s="64">
        <v>17.7</v>
      </c>
      <c r="O11" s="64">
        <v>0</v>
      </c>
      <c r="P11" s="64">
        <v>1.05</v>
      </c>
      <c r="Q11" s="64">
        <v>9.14</v>
      </c>
      <c r="R11" s="198"/>
      <c r="S11" s="198"/>
      <c r="T11" s="198"/>
      <c r="U11" s="198"/>
    </row>
    <row r="12" spans="1:21" s="12" customFormat="1" x14ac:dyDescent="0.25">
      <c r="A12" s="214" t="s">
        <v>2651</v>
      </c>
      <c r="B12" s="64">
        <v>28.75</v>
      </c>
      <c r="C12" s="64">
        <v>33.25</v>
      </c>
      <c r="D12" s="64">
        <v>40.35</v>
      </c>
      <c r="E12" s="64">
        <v>2.2999999999999998</v>
      </c>
      <c r="F12" s="64">
        <v>3.67</v>
      </c>
      <c r="G12" s="64">
        <v>63.66</v>
      </c>
      <c r="H12" s="64">
        <v>10.130000000000001</v>
      </c>
      <c r="I12" s="64">
        <v>8.27</v>
      </c>
      <c r="J12" s="64">
        <v>0.08</v>
      </c>
      <c r="K12" s="64">
        <v>301.99</v>
      </c>
      <c r="L12" s="64">
        <v>26.21</v>
      </c>
      <c r="M12" s="64">
        <v>43.6</v>
      </c>
      <c r="N12" s="64">
        <v>17.8</v>
      </c>
      <c r="O12" s="64">
        <v>0</v>
      </c>
      <c r="P12" s="64">
        <v>1.01</v>
      </c>
      <c r="Q12" s="64">
        <v>9.17</v>
      </c>
      <c r="R12" s="198"/>
      <c r="S12" s="198"/>
      <c r="T12" s="198"/>
      <c r="U12" s="198"/>
    </row>
    <row r="13" spans="1:21" s="12" customFormat="1" x14ac:dyDescent="0.25">
      <c r="A13" s="214" t="s">
        <v>2652</v>
      </c>
      <c r="B13" s="64">
        <v>26.71</v>
      </c>
      <c r="C13" s="64">
        <v>32.840000000000003</v>
      </c>
      <c r="D13" s="64">
        <v>38.5</v>
      </c>
      <c r="E13" s="64">
        <v>1.97</v>
      </c>
      <c r="F13" s="64">
        <v>3.49</v>
      </c>
      <c r="G13" s="64">
        <v>58.9</v>
      </c>
      <c r="H13" s="64">
        <v>12.63</v>
      </c>
      <c r="I13" s="64">
        <v>8.11</v>
      </c>
      <c r="J13" s="64">
        <v>0.16</v>
      </c>
      <c r="K13" s="64">
        <v>232.76</v>
      </c>
      <c r="L13" s="64">
        <v>26.34</v>
      </c>
      <c r="M13" s="64">
        <v>42.69</v>
      </c>
      <c r="N13" s="64">
        <v>17.2</v>
      </c>
      <c r="O13" s="64">
        <v>0</v>
      </c>
      <c r="P13" s="64">
        <v>0.93</v>
      </c>
      <c r="Q13" s="64">
        <v>9.3699999999999992</v>
      </c>
      <c r="R13" s="198"/>
      <c r="S13" s="198"/>
      <c r="T13" s="198"/>
      <c r="U13" s="198"/>
    </row>
    <row r="14" spans="1:21" s="12" customFormat="1" x14ac:dyDescent="0.25">
      <c r="A14" s="214" t="s">
        <v>2653</v>
      </c>
      <c r="B14" s="64">
        <v>24.89</v>
      </c>
      <c r="C14" s="64">
        <v>36.65</v>
      </c>
      <c r="D14" s="64">
        <v>39.03</v>
      </c>
      <c r="E14" s="64">
        <v>2.31</v>
      </c>
      <c r="F14" s="64">
        <v>3.53</v>
      </c>
      <c r="G14" s="64">
        <v>49.84</v>
      </c>
      <c r="H14" s="64">
        <v>17.399999999999999</v>
      </c>
      <c r="I14" s="64">
        <v>7.89</v>
      </c>
      <c r="J14" s="64">
        <v>0.25</v>
      </c>
      <c r="K14" s="64">
        <v>209.22</v>
      </c>
      <c r="L14" s="64">
        <v>26.57</v>
      </c>
      <c r="M14" s="64">
        <v>42.83</v>
      </c>
      <c r="N14" s="64">
        <v>16.899999999999999</v>
      </c>
      <c r="O14" s="64">
        <v>0</v>
      </c>
      <c r="P14" s="64">
        <v>0.93</v>
      </c>
      <c r="Q14" s="64">
        <v>9.18</v>
      </c>
      <c r="R14" s="198"/>
      <c r="S14" s="198"/>
      <c r="T14" s="198"/>
      <c r="U14" s="198"/>
    </row>
    <row r="15" spans="1:21" s="12" customFormat="1" x14ac:dyDescent="0.25">
      <c r="A15" s="214" t="s">
        <v>2654</v>
      </c>
      <c r="B15" s="64">
        <v>23.38</v>
      </c>
      <c r="C15" s="64">
        <v>36.24</v>
      </c>
      <c r="D15" s="64">
        <v>37.6</v>
      </c>
      <c r="E15" s="64">
        <v>2.27</v>
      </c>
      <c r="F15" s="64">
        <v>3.66</v>
      </c>
      <c r="G15" s="64">
        <v>49.84</v>
      </c>
      <c r="H15" s="64">
        <v>17.399999999999999</v>
      </c>
      <c r="I15" s="64">
        <v>7.76</v>
      </c>
      <c r="J15" s="64">
        <v>0.17</v>
      </c>
      <c r="K15" s="64">
        <v>331.21</v>
      </c>
      <c r="L15" s="64">
        <v>25.72</v>
      </c>
      <c r="M15" s="64">
        <v>48.18</v>
      </c>
      <c r="N15" s="64">
        <v>17.899999999999999</v>
      </c>
      <c r="O15" s="64">
        <v>0</v>
      </c>
      <c r="P15" s="64">
        <v>0.89</v>
      </c>
      <c r="Q15" s="64">
        <v>9.18</v>
      </c>
      <c r="R15" s="198"/>
      <c r="S15" s="198"/>
      <c r="T15" s="198"/>
      <c r="U15" s="198"/>
    </row>
    <row r="16" spans="1:21" s="12" customFormat="1" x14ac:dyDescent="0.25">
      <c r="A16" s="214" t="s">
        <v>2655</v>
      </c>
      <c r="B16" s="64">
        <v>22.11</v>
      </c>
      <c r="C16" s="64">
        <v>33.36</v>
      </c>
      <c r="D16" s="64">
        <v>35.08</v>
      </c>
      <c r="E16" s="64">
        <v>1.98</v>
      </c>
      <c r="F16" s="64">
        <v>3.78</v>
      </c>
      <c r="G16" s="64">
        <v>49.84</v>
      </c>
      <c r="H16" s="64">
        <v>17.399999999999999</v>
      </c>
      <c r="I16" s="64">
        <v>7.62</v>
      </c>
      <c r="J16" s="64">
        <v>0.14000000000000001</v>
      </c>
      <c r="K16" s="64">
        <v>246.74</v>
      </c>
      <c r="L16" s="64">
        <v>25.12</v>
      </c>
      <c r="M16" s="64">
        <v>49.86</v>
      </c>
      <c r="N16" s="64">
        <v>17.899999999999999</v>
      </c>
      <c r="O16" s="64">
        <v>0</v>
      </c>
      <c r="P16" s="64">
        <v>0.86</v>
      </c>
      <c r="Q16" s="64">
        <v>9.4</v>
      </c>
      <c r="R16" s="198"/>
      <c r="S16" s="198"/>
      <c r="T16" s="198"/>
      <c r="U16" s="198"/>
    </row>
    <row r="17" spans="1:21" s="12" customFormat="1" x14ac:dyDescent="0.25">
      <c r="A17" s="214" t="s">
        <v>2656</v>
      </c>
      <c r="B17" s="64">
        <v>21.32</v>
      </c>
      <c r="C17" s="64">
        <v>34.35</v>
      </c>
      <c r="D17" s="64">
        <v>34.96</v>
      </c>
      <c r="E17" s="64">
        <v>1.94</v>
      </c>
      <c r="F17" s="64">
        <v>3.06</v>
      </c>
      <c r="G17" s="64">
        <v>49.79</v>
      </c>
      <c r="H17" s="64">
        <v>16.02</v>
      </c>
      <c r="I17" s="64">
        <v>7.48</v>
      </c>
      <c r="J17" s="64">
        <v>0.15</v>
      </c>
      <c r="K17" s="64">
        <v>239.44</v>
      </c>
      <c r="L17" s="64">
        <v>24.78</v>
      </c>
      <c r="M17" s="64">
        <v>52.88</v>
      </c>
      <c r="N17" s="64">
        <v>17.5</v>
      </c>
      <c r="O17" s="64">
        <v>0</v>
      </c>
      <c r="P17" s="64">
        <v>0.83</v>
      </c>
      <c r="Q17" s="64">
        <v>9.35</v>
      </c>
      <c r="R17" s="198"/>
      <c r="S17" s="198"/>
      <c r="T17" s="198"/>
      <c r="U17" s="198"/>
    </row>
    <row r="18" spans="1:21" s="12" customFormat="1" x14ac:dyDescent="0.25">
      <c r="A18" s="214" t="s">
        <v>2657</v>
      </c>
      <c r="B18" s="64">
        <v>20.92</v>
      </c>
      <c r="C18" s="64">
        <v>29.51</v>
      </c>
      <c r="D18" s="64">
        <v>32.119999999999997</v>
      </c>
      <c r="E18" s="64">
        <v>1.63</v>
      </c>
      <c r="F18" s="64">
        <v>3.64</v>
      </c>
      <c r="G18" s="64">
        <v>49.68</v>
      </c>
      <c r="H18" s="64">
        <v>13.4</v>
      </c>
      <c r="I18" s="64">
        <v>7.38</v>
      </c>
      <c r="J18" s="64">
        <v>0.16</v>
      </c>
      <c r="K18" s="64">
        <v>286.92</v>
      </c>
      <c r="L18" s="64">
        <v>25.06</v>
      </c>
      <c r="M18" s="64">
        <v>52.92</v>
      </c>
      <c r="N18" s="64">
        <v>17.399999999999999</v>
      </c>
      <c r="O18" s="64">
        <v>0</v>
      </c>
      <c r="P18" s="64">
        <v>0.8</v>
      </c>
      <c r="Q18" s="64">
        <v>9.3800000000000008</v>
      </c>
      <c r="R18" s="198"/>
      <c r="S18" s="198"/>
      <c r="T18" s="198"/>
      <c r="U18" s="198"/>
    </row>
    <row r="19" spans="1:21" s="12" customFormat="1" x14ac:dyDescent="0.25">
      <c r="A19" s="214" t="s">
        <v>2658</v>
      </c>
      <c r="B19" s="64">
        <v>20.46</v>
      </c>
      <c r="C19" s="64">
        <v>27.49</v>
      </c>
      <c r="D19" s="64">
        <v>30.69</v>
      </c>
      <c r="E19" s="64">
        <v>2.0699999999999998</v>
      </c>
      <c r="F19" s="64">
        <v>3.53</v>
      </c>
      <c r="G19" s="64">
        <v>49.68</v>
      </c>
      <c r="H19" s="64">
        <v>13.4</v>
      </c>
      <c r="I19" s="64">
        <v>7.34</v>
      </c>
      <c r="J19" s="64">
        <v>0.26</v>
      </c>
      <c r="K19" s="64">
        <v>349.85</v>
      </c>
      <c r="L19" s="64">
        <v>24.4</v>
      </c>
      <c r="M19" s="64">
        <v>58.68</v>
      </c>
      <c r="N19" s="64">
        <v>17.899999999999999</v>
      </c>
      <c r="O19" s="64">
        <v>0</v>
      </c>
      <c r="P19" s="64">
        <v>0.79</v>
      </c>
      <c r="Q19" s="64">
        <v>9.43</v>
      </c>
      <c r="R19" s="198"/>
      <c r="S19" s="198"/>
      <c r="T19" s="198"/>
      <c r="U19" s="198"/>
    </row>
    <row r="20" spans="1:21" s="12" customFormat="1" x14ac:dyDescent="0.25">
      <c r="A20" s="214" t="s">
        <v>2659</v>
      </c>
      <c r="B20" s="64">
        <v>20.05</v>
      </c>
      <c r="C20" s="64">
        <v>27.77</v>
      </c>
      <c r="D20" s="64">
        <v>30.51</v>
      </c>
      <c r="E20" s="64">
        <v>2.15</v>
      </c>
      <c r="F20" s="64">
        <v>3.75</v>
      </c>
      <c r="G20" s="64">
        <v>49.68</v>
      </c>
      <c r="H20" s="64">
        <v>13.4</v>
      </c>
      <c r="I20" s="64">
        <v>7.31</v>
      </c>
      <c r="J20" s="64">
        <v>0.08</v>
      </c>
      <c r="K20" s="64">
        <v>66.55</v>
      </c>
      <c r="L20" s="64">
        <v>23.96</v>
      </c>
      <c r="M20" s="64">
        <v>60.68</v>
      </c>
      <c r="N20" s="64">
        <v>17.8</v>
      </c>
      <c r="O20" s="64">
        <v>0</v>
      </c>
      <c r="P20" s="64">
        <v>0.78</v>
      </c>
      <c r="Q20" s="64">
        <v>9.4499999999999993</v>
      </c>
      <c r="R20" s="198"/>
      <c r="S20" s="198"/>
      <c r="T20" s="198"/>
      <c r="U20" s="198"/>
    </row>
    <row r="21" spans="1:21" s="12" customFormat="1" x14ac:dyDescent="0.25">
      <c r="A21" s="214" t="s">
        <v>2660</v>
      </c>
      <c r="B21" s="64">
        <v>19.87</v>
      </c>
      <c r="C21" s="64">
        <v>26.75</v>
      </c>
      <c r="D21" s="64">
        <v>29.83</v>
      </c>
      <c r="E21" s="64">
        <v>2.02</v>
      </c>
      <c r="F21" s="64">
        <v>3.52</v>
      </c>
      <c r="G21" s="64">
        <v>52.42</v>
      </c>
      <c r="H21" s="64">
        <v>13.58</v>
      </c>
      <c r="I21" s="64">
        <v>7.29</v>
      </c>
      <c r="J21" s="64">
        <v>0.14000000000000001</v>
      </c>
      <c r="K21" s="64">
        <v>300.24</v>
      </c>
      <c r="L21" s="64">
        <v>23.67</v>
      </c>
      <c r="M21" s="64">
        <v>66.150000000000006</v>
      </c>
      <c r="N21" s="64">
        <v>17.600000000000001</v>
      </c>
      <c r="O21" s="64">
        <v>0</v>
      </c>
      <c r="P21" s="64">
        <v>0.77</v>
      </c>
      <c r="Q21" s="64">
        <v>9.4600000000000009</v>
      </c>
      <c r="R21" s="198"/>
      <c r="S21" s="198"/>
      <c r="T21" s="198"/>
      <c r="U21" s="198"/>
    </row>
    <row r="22" spans="1:21" s="12" customFormat="1" x14ac:dyDescent="0.25">
      <c r="A22" s="214" t="s">
        <v>2661</v>
      </c>
      <c r="B22" s="64">
        <v>19.87</v>
      </c>
      <c r="C22" s="64">
        <v>26.67</v>
      </c>
      <c r="D22" s="64">
        <v>29.79</v>
      </c>
      <c r="E22" s="64">
        <v>1.68</v>
      </c>
      <c r="F22" s="64">
        <v>3.4</v>
      </c>
      <c r="G22" s="64">
        <v>57.64</v>
      </c>
      <c r="H22" s="64">
        <v>13.91</v>
      </c>
      <c r="I22" s="64">
        <v>7.26</v>
      </c>
      <c r="J22" s="64">
        <v>0.16</v>
      </c>
      <c r="K22" s="64">
        <v>297.10000000000002</v>
      </c>
      <c r="L22" s="64">
        <v>23.59</v>
      </c>
      <c r="M22" s="64">
        <v>66.099999999999994</v>
      </c>
      <c r="N22" s="64">
        <v>17.5</v>
      </c>
      <c r="O22" s="64">
        <v>0</v>
      </c>
      <c r="P22" s="64">
        <v>0.77</v>
      </c>
      <c r="Q22" s="64">
        <v>9.51</v>
      </c>
      <c r="R22" s="198"/>
      <c r="S22" s="198"/>
      <c r="T22" s="198"/>
      <c r="U22" s="198"/>
    </row>
    <row r="23" spans="1:21" s="12" customFormat="1" x14ac:dyDescent="0.25">
      <c r="A23" s="214" t="s">
        <v>2662</v>
      </c>
      <c r="B23" s="64">
        <v>19.739999999999998</v>
      </c>
      <c r="C23" s="64">
        <v>25.96</v>
      </c>
      <c r="D23" s="64">
        <v>29.31</v>
      </c>
      <c r="E23" s="64">
        <v>2.11</v>
      </c>
      <c r="F23" s="64">
        <v>3.5</v>
      </c>
      <c r="G23" s="64">
        <v>57.64</v>
      </c>
      <c r="H23" s="64">
        <v>13.91</v>
      </c>
      <c r="I23" s="64">
        <v>7.32</v>
      </c>
      <c r="J23" s="64">
        <v>0.11</v>
      </c>
      <c r="K23" s="64">
        <v>222.97</v>
      </c>
      <c r="L23" s="64">
        <v>23.48</v>
      </c>
      <c r="M23" s="64">
        <v>64.09</v>
      </c>
      <c r="N23" s="64">
        <v>17.399999999999999</v>
      </c>
      <c r="O23" s="64">
        <v>0</v>
      </c>
      <c r="P23" s="64">
        <v>0.76</v>
      </c>
      <c r="Q23" s="64">
        <v>9.51</v>
      </c>
      <c r="R23" s="198"/>
      <c r="S23" s="198"/>
      <c r="T23" s="198"/>
      <c r="U23" s="198"/>
    </row>
    <row r="24" spans="1:21" s="12" customFormat="1" x14ac:dyDescent="0.25">
      <c r="A24" s="214" t="s">
        <v>2663</v>
      </c>
      <c r="B24" s="64">
        <v>19.579999999999998</v>
      </c>
      <c r="C24" s="64">
        <v>25.03</v>
      </c>
      <c r="D24" s="64">
        <v>28.7</v>
      </c>
      <c r="E24" s="64">
        <v>1.25</v>
      </c>
      <c r="F24" s="64">
        <v>3.45</v>
      </c>
      <c r="G24" s="64">
        <v>57.64</v>
      </c>
      <c r="H24" s="64">
        <v>13.91</v>
      </c>
      <c r="I24" s="64">
        <v>7.42</v>
      </c>
      <c r="J24" s="64">
        <v>0.04</v>
      </c>
      <c r="K24" s="64">
        <v>39.54</v>
      </c>
      <c r="L24" s="64">
        <v>23.49</v>
      </c>
      <c r="M24" s="64">
        <v>64.86</v>
      </c>
      <c r="N24" s="64">
        <v>17.399999999999999</v>
      </c>
      <c r="O24" s="64">
        <v>0</v>
      </c>
      <c r="P24" s="64">
        <v>0.76</v>
      </c>
      <c r="Q24" s="64">
        <v>9.4600000000000009</v>
      </c>
      <c r="R24" s="198"/>
      <c r="S24" s="198"/>
      <c r="T24" s="198"/>
      <c r="U24" s="198"/>
    </row>
    <row r="25" spans="1:21" s="12" customFormat="1" x14ac:dyDescent="0.25">
      <c r="A25" s="214" t="s">
        <v>2664</v>
      </c>
      <c r="B25" s="64">
        <v>19.7</v>
      </c>
      <c r="C25" s="64">
        <v>24.58</v>
      </c>
      <c r="D25" s="64">
        <v>28.56</v>
      </c>
      <c r="E25" s="64">
        <v>1.86</v>
      </c>
      <c r="F25" s="64">
        <v>3.36</v>
      </c>
      <c r="G25" s="64">
        <v>58.76</v>
      </c>
      <c r="H25" s="64">
        <v>15.5</v>
      </c>
      <c r="I25" s="64">
        <v>7.53</v>
      </c>
      <c r="J25" s="64">
        <v>0.16</v>
      </c>
      <c r="K25" s="64">
        <v>192.67</v>
      </c>
      <c r="L25" s="64">
        <v>23.62</v>
      </c>
      <c r="M25" s="64">
        <v>63.42</v>
      </c>
      <c r="N25" s="64">
        <v>17</v>
      </c>
      <c r="O25" s="64">
        <v>0</v>
      </c>
      <c r="P25" s="64">
        <v>0.75</v>
      </c>
      <c r="Q25" s="64">
        <v>9.31</v>
      </c>
      <c r="R25" s="198"/>
      <c r="S25" s="198"/>
      <c r="T25" s="198"/>
      <c r="U25" s="198"/>
    </row>
    <row r="26" spans="1:21" s="12" customFormat="1" x14ac:dyDescent="0.25">
      <c r="A26" s="214" t="s">
        <v>2665</v>
      </c>
      <c r="B26" s="64">
        <v>20.2</v>
      </c>
      <c r="C26" s="64">
        <v>24.21</v>
      </c>
      <c r="D26" s="64">
        <v>28.77</v>
      </c>
      <c r="E26" s="64">
        <v>1.82</v>
      </c>
      <c r="F26" s="64">
        <v>3.45</v>
      </c>
      <c r="G26" s="64">
        <v>60.91</v>
      </c>
      <c r="H26" s="64">
        <v>18.53</v>
      </c>
      <c r="I26" s="64">
        <v>7.92</v>
      </c>
      <c r="J26" s="64">
        <v>0.59</v>
      </c>
      <c r="K26" s="64">
        <v>154.69999999999999</v>
      </c>
      <c r="L26" s="64">
        <v>24.25</v>
      </c>
      <c r="M26" s="64">
        <v>60.09</v>
      </c>
      <c r="N26" s="64">
        <v>16.100000000000001</v>
      </c>
      <c r="O26" s="64">
        <v>0</v>
      </c>
      <c r="P26" s="64">
        <v>0.74</v>
      </c>
      <c r="Q26" s="64">
        <v>9.36</v>
      </c>
      <c r="R26" s="198"/>
      <c r="S26" s="198"/>
      <c r="T26" s="198"/>
      <c r="U26" s="198"/>
    </row>
    <row r="27" spans="1:21" s="12" customFormat="1" x14ac:dyDescent="0.25">
      <c r="A27" s="214" t="s">
        <v>2666</v>
      </c>
      <c r="B27" s="64">
        <v>20.13</v>
      </c>
      <c r="C27" s="64">
        <v>23.73</v>
      </c>
      <c r="D27" s="64">
        <v>28.46</v>
      </c>
      <c r="E27" s="64">
        <v>1.86</v>
      </c>
      <c r="F27" s="64">
        <v>3.44</v>
      </c>
      <c r="G27" s="64">
        <v>60.91</v>
      </c>
      <c r="H27" s="64">
        <v>18.53</v>
      </c>
      <c r="I27" s="64">
        <v>7.83</v>
      </c>
      <c r="J27" s="64">
        <v>0.67</v>
      </c>
      <c r="K27" s="64">
        <v>160.55000000000001</v>
      </c>
      <c r="L27" s="64">
        <v>24.41</v>
      </c>
      <c r="M27" s="64">
        <v>58.92</v>
      </c>
      <c r="N27" s="64">
        <v>16.8</v>
      </c>
      <c r="O27" s="64">
        <v>0</v>
      </c>
      <c r="P27" s="64">
        <v>0.73</v>
      </c>
      <c r="Q27" s="64">
        <v>9.24</v>
      </c>
      <c r="R27" s="198"/>
      <c r="S27" s="198"/>
      <c r="T27" s="198"/>
      <c r="U27" s="198"/>
    </row>
    <row r="28" spans="1:21" s="12" customFormat="1" x14ac:dyDescent="0.25">
      <c r="A28" s="214" t="s">
        <v>2667</v>
      </c>
      <c r="B28" s="64">
        <v>19.59</v>
      </c>
      <c r="C28" s="64">
        <v>24.78</v>
      </c>
      <c r="D28" s="64">
        <v>28.58</v>
      </c>
      <c r="E28" s="64">
        <v>1.85</v>
      </c>
      <c r="F28" s="64">
        <v>3.73</v>
      </c>
      <c r="G28" s="64">
        <v>60.91</v>
      </c>
      <c r="H28" s="64">
        <v>18.53</v>
      </c>
      <c r="I28" s="64">
        <v>8.0399999999999991</v>
      </c>
      <c r="J28" s="64">
        <v>0.18</v>
      </c>
      <c r="K28" s="64">
        <v>286.31</v>
      </c>
      <c r="L28" s="64">
        <v>23.92</v>
      </c>
      <c r="M28" s="64">
        <v>61.59</v>
      </c>
      <c r="N28" s="64">
        <v>18</v>
      </c>
      <c r="O28" s="64">
        <v>0</v>
      </c>
      <c r="P28" s="64">
        <v>0.72</v>
      </c>
      <c r="Q28" s="64">
        <v>9.23</v>
      </c>
      <c r="R28" s="198"/>
      <c r="S28" s="198"/>
      <c r="T28" s="198"/>
      <c r="U28" s="198"/>
    </row>
    <row r="29" spans="1:21" s="12" customFormat="1" x14ac:dyDescent="0.25">
      <c r="A29" s="214" t="s">
        <v>2668</v>
      </c>
      <c r="B29" s="64">
        <v>18.760000000000002</v>
      </c>
      <c r="C29" s="64">
        <v>25.53</v>
      </c>
      <c r="D29" s="64">
        <v>28.31</v>
      </c>
      <c r="E29" s="64">
        <v>2.08</v>
      </c>
      <c r="F29" s="64">
        <v>3.51</v>
      </c>
      <c r="G29" s="64">
        <v>57.6</v>
      </c>
      <c r="H29" s="64">
        <v>17.190000000000001</v>
      </c>
      <c r="I29" s="64">
        <v>8.8699999999999992</v>
      </c>
      <c r="J29" s="64">
        <v>0.14000000000000001</v>
      </c>
      <c r="K29" s="64">
        <v>219.26</v>
      </c>
      <c r="L29" s="64">
        <v>23.78</v>
      </c>
      <c r="M29" s="64">
        <v>61.59</v>
      </c>
      <c r="N29" s="64">
        <v>17.600000000000001</v>
      </c>
      <c r="O29" s="64">
        <v>0</v>
      </c>
      <c r="P29" s="64">
        <v>0.7</v>
      </c>
      <c r="Q29" s="64">
        <v>9.33</v>
      </c>
      <c r="R29" s="198"/>
      <c r="S29" s="198"/>
      <c r="T29" s="198"/>
      <c r="U29" s="198"/>
    </row>
    <row r="30" spans="1:21" s="12" customFormat="1" x14ac:dyDescent="0.25">
      <c r="A30" s="214" t="s">
        <v>2669</v>
      </c>
      <c r="B30" s="64">
        <v>18.07</v>
      </c>
      <c r="C30" s="64">
        <v>25.08</v>
      </c>
      <c r="D30" s="64">
        <v>27.51</v>
      </c>
      <c r="E30" s="64">
        <v>1.82</v>
      </c>
      <c r="F30" s="64">
        <v>3.62</v>
      </c>
      <c r="G30" s="64">
        <v>51.29</v>
      </c>
      <c r="H30" s="64">
        <v>14.64</v>
      </c>
      <c r="I30" s="64">
        <v>8.9700000000000006</v>
      </c>
      <c r="J30" s="64">
        <v>0.15</v>
      </c>
      <c r="K30" s="64">
        <v>134.58000000000001</v>
      </c>
      <c r="L30" s="64">
        <v>23.62</v>
      </c>
      <c r="M30" s="64">
        <v>64.02</v>
      </c>
      <c r="N30" s="64">
        <v>19.399999999999999</v>
      </c>
      <c r="O30" s="64">
        <v>0</v>
      </c>
      <c r="P30" s="64">
        <v>0.68</v>
      </c>
      <c r="Q30" s="64">
        <v>9.33</v>
      </c>
      <c r="R30" s="198"/>
      <c r="S30" s="198"/>
      <c r="T30" s="198"/>
      <c r="U30" s="198"/>
    </row>
    <row r="31" spans="1:21" s="12" customFormat="1" x14ac:dyDescent="0.25">
      <c r="A31" s="214" t="s">
        <v>2670</v>
      </c>
      <c r="B31" s="64">
        <v>17.46</v>
      </c>
      <c r="C31" s="64">
        <v>24.46</v>
      </c>
      <c r="D31" s="64">
        <v>26.7</v>
      </c>
      <c r="E31" s="64">
        <v>1.8</v>
      </c>
      <c r="F31" s="64">
        <v>3.51</v>
      </c>
      <c r="G31" s="64">
        <v>51.29</v>
      </c>
      <c r="H31" s="64">
        <v>14.64</v>
      </c>
      <c r="I31" s="64">
        <v>8.8000000000000007</v>
      </c>
      <c r="J31" s="64">
        <v>0.24</v>
      </c>
      <c r="K31" s="64">
        <v>148.63</v>
      </c>
      <c r="L31" s="64">
        <v>23.39</v>
      </c>
      <c r="M31" s="64">
        <v>65.900000000000006</v>
      </c>
      <c r="N31" s="64">
        <v>28.4</v>
      </c>
      <c r="O31" s="64">
        <v>0</v>
      </c>
      <c r="P31" s="64">
        <v>0.68</v>
      </c>
      <c r="Q31" s="64">
        <v>9.26</v>
      </c>
      <c r="R31" s="198"/>
      <c r="S31" s="198"/>
      <c r="T31" s="198"/>
      <c r="U31" s="198"/>
    </row>
    <row r="32" spans="1:21" s="12" customFormat="1" x14ac:dyDescent="0.25">
      <c r="A32" s="214" t="s">
        <v>2671</v>
      </c>
      <c r="B32" s="64">
        <v>16.98</v>
      </c>
      <c r="C32" s="64">
        <v>24.14</v>
      </c>
      <c r="D32" s="64">
        <v>26.15</v>
      </c>
      <c r="E32" s="64">
        <v>2.0099999999999998</v>
      </c>
      <c r="F32" s="64">
        <v>3.47</v>
      </c>
      <c r="G32" s="64">
        <v>51.29</v>
      </c>
      <c r="H32" s="64">
        <v>14.64</v>
      </c>
      <c r="I32" s="64">
        <v>8.51</v>
      </c>
      <c r="J32" s="64">
        <v>0.34</v>
      </c>
      <c r="K32" s="64">
        <v>164.55</v>
      </c>
      <c r="L32" s="64">
        <v>23.54</v>
      </c>
      <c r="M32" s="64">
        <v>65.59</v>
      </c>
      <c r="N32" s="64">
        <v>46.5</v>
      </c>
      <c r="O32" s="64">
        <v>0</v>
      </c>
      <c r="P32" s="64">
        <v>0.66</v>
      </c>
      <c r="Q32" s="64">
        <v>9.27</v>
      </c>
      <c r="R32" s="198"/>
      <c r="S32" s="198"/>
      <c r="T32" s="198"/>
      <c r="U32" s="198"/>
    </row>
    <row r="33" spans="1:21" s="12" customFormat="1" x14ac:dyDescent="0.25">
      <c r="A33" s="214" t="s">
        <v>2672</v>
      </c>
      <c r="B33" s="64">
        <v>16.38</v>
      </c>
      <c r="C33" s="64">
        <v>24.19</v>
      </c>
      <c r="D33" s="64">
        <v>25.69</v>
      </c>
      <c r="E33" s="64">
        <v>1.82</v>
      </c>
      <c r="F33" s="64">
        <v>3.17</v>
      </c>
      <c r="G33" s="64">
        <v>51.84</v>
      </c>
      <c r="H33" s="64">
        <v>16.649999999999999</v>
      </c>
      <c r="I33" s="64">
        <v>8.32</v>
      </c>
      <c r="J33" s="64">
        <v>0.18</v>
      </c>
      <c r="K33" s="64">
        <v>153.58000000000001</v>
      </c>
      <c r="L33" s="64">
        <v>24.28</v>
      </c>
      <c r="M33" s="64">
        <v>62.46</v>
      </c>
      <c r="N33" s="64">
        <v>90.8</v>
      </c>
      <c r="O33" s="64">
        <v>0</v>
      </c>
      <c r="P33" s="64">
        <v>0.65</v>
      </c>
      <c r="Q33" s="64">
        <v>9.2200000000000006</v>
      </c>
      <c r="R33" s="198"/>
      <c r="S33" s="198"/>
      <c r="T33" s="198"/>
      <c r="U33" s="198"/>
    </row>
    <row r="34" spans="1:21" s="12" customFormat="1" x14ac:dyDescent="0.25">
      <c r="A34" s="214" t="s">
        <v>2673</v>
      </c>
      <c r="B34" s="64">
        <v>15.77</v>
      </c>
      <c r="C34" s="64">
        <v>24.19</v>
      </c>
      <c r="D34" s="64">
        <v>25.2</v>
      </c>
      <c r="E34" s="64">
        <v>1.89</v>
      </c>
      <c r="F34" s="64">
        <v>3.41</v>
      </c>
      <c r="G34" s="64">
        <v>52.89</v>
      </c>
      <c r="H34" s="64">
        <v>20.48</v>
      </c>
      <c r="I34" s="64">
        <v>8.17</v>
      </c>
      <c r="J34" s="64">
        <v>0.26</v>
      </c>
      <c r="K34" s="64">
        <v>159.03</v>
      </c>
      <c r="L34" s="64">
        <v>25.25</v>
      </c>
      <c r="M34" s="64">
        <v>59.97</v>
      </c>
      <c r="N34" s="64">
        <v>137.5</v>
      </c>
      <c r="O34" s="64">
        <v>0</v>
      </c>
      <c r="P34" s="64">
        <v>0.64</v>
      </c>
      <c r="Q34" s="64">
        <v>9.31</v>
      </c>
      <c r="R34" s="198"/>
      <c r="S34" s="198"/>
      <c r="T34" s="198"/>
      <c r="U34" s="198"/>
    </row>
    <row r="35" spans="1:21" s="12" customFormat="1" x14ac:dyDescent="0.25">
      <c r="A35" s="214" t="s">
        <v>2674</v>
      </c>
      <c r="B35" s="64">
        <v>15.45</v>
      </c>
      <c r="C35" s="64">
        <v>24.57</v>
      </c>
      <c r="D35" s="64">
        <v>25.14</v>
      </c>
      <c r="E35" s="64">
        <v>1.92</v>
      </c>
      <c r="F35" s="64">
        <v>3.2</v>
      </c>
      <c r="G35" s="64">
        <v>52.89</v>
      </c>
      <c r="H35" s="64">
        <v>20.48</v>
      </c>
      <c r="I35" s="64">
        <v>7.92</v>
      </c>
      <c r="J35" s="64">
        <v>0.1</v>
      </c>
      <c r="K35" s="64">
        <v>110.23</v>
      </c>
      <c r="L35" s="64">
        <v>26.43</v>
      </c>
      <c r="M35" s="64">
        <v>55.61</v>
      </c>
      <c r="N35" s="64">
        <v>183.3</v>
      </c>
      <c r="O35" s="64">
        <v>0</v>
      </c>
      <c r="P35" s="64">
        <v>0.63</v>
      </c>
      <c r="Q35" s="64">
        <v>9.2799999999999994</v>
      </c>
      <c r="R35" s="198"/>
      <c r="S35" s="198"/>
      <c r="T35" s="198"/>
      <c r="U35" s="198"/>
    </row>
    <row r="36" spans="1:21" s="12" customFormat="1" x14ac:dyDescent="0.25">
      <c r="A36" s="214" t="s">
        <v>2675</v>
      </c>
      <c r="B36" s="64">
        <v>15.1</v>
      </c>
      <c r="C36" s="64">
        <v>24.37</v>
      </c>
      <c r="D36" s="64">
        <v>24.76</v>
      </c>
      <c r="E36" s="64">
        <v>1.8</v>
      </c>
      <c r="F36" s="64">
        <v>3.4</v>
      </c>
      <c r="G36" s="64">
        <v>52.89</v>
      </c>
      <c r="H36" s="64">
        <v>20.48</v>
      </c>
      <c r="I36" s="64">
        <v>7.87</v>
      </c>
      <c r="J36" s="64">
        <v>0.44</v>
      </c>
      <c r="K36" s="64">
        <v>162.80000000000001</v>
      </c>
      <c r="L36" s="64">
        <v>27.23</v>
      </c>
      <c r="M36" s="64">
        <v>52.43</v>
      </c>
      <c r="N36" s="64">
        <v>238.3</v>
      </c>
      <c r="O36" s="64">
        <v>0</v>
      </c>
      <c r="P36" s="64">
        <v>0.62</v>
      </c>
      <c r="Q36" s="64">
        <v>9.27</v>
      </c>
      <c r="R36" s="198"/>
      <c r="S36" s="198"/>
      <c r="T36" s="198"/>
      <c r="U36" s="198"/>
    </row>
    <row r="37" spans="1:21" s="12" customFormat="1" x14ac:dyDescent="0.25">
      <c r="A37" s="214" t="s">
        <v>2676</v>
      </c>
      <c r="B37" s="64">
        <v>14.19</v>
      </c>
      <c r="C37" s="64">
        <v>24.14</v>
      </c>
      <c r="D37" s="64">
        <v>23.91</v>
      </c>
      <c r="E37" s="64">
        <v>1.88</v>
      </c>
      <c r="F37" s="64">
        <v>3.86</v>
      </c>
      <c r="G37" s="64">
        <v>53.48</v>
      </c>
      <c r="H37" s="64">
        <v>19.63</v>
      </c>
      <c r="I37" s="64">
        <v>7.72</v>
      </c>
      <c r="J37" s="64">
        <v>0.5</v>
      </c>
      <c r="K37" s="64">
        <v>192.27</v>
      </c>
      <c r="L37" s="64">
        <v>26.94</v>
      </c>
      <c r="M37" s="64">
        <v>53.61</v>
      </c>
      <c r="N37" s="64">
        <v>288.3</v>
      </c>
      <c r="O37" s="64">
        <v>0</v>
      </c>
      <c r="P37" s="64">
        <v>0.53</v>
      </c>
      <c r="Q37" s="64">
        <v>9.24</v>
      </c>
      <c r="R37" s="198"/>
      <c r="S37" s="198"/>
      <c r="T37" s="198"/>
      <c r="U37" s="198"/>
    </row>
    <row r="38" spans="1:21" s="12" customFormat="1" x14ac:dyDescent="0.25">
      <c r="A38" s="214" t="s">
        <v>2677</v>
      </c>
      <c r="B38" s="64">
        <v>12.87</v>
      </c>
      <c r="C38" s="64">
        <v>25.29</v>
      </c>
      <c r="D38" s="64">
        <v>23.45</v>
      </c>
      <c r="E38" s="64">
        <v>1.81</v>
      </c>
      <c r="F38" s="64">
        <v>3.58</v>
      </c>
      <c r="G38" s="64">
        <v>54.61</v>
      </c>
      <c r="H38" s="64">
        <v>18.02</v>
      </c>
      <c r="I38" s="64">
        <v>7.55</v>
      </c>
      <c r="J38" s="64">
        <v>0.09</v>
      </c>
      <c r="K38" s="64">
        <v>231.47</v>
      </c>
      <c r="L38" s="64">
        <v>27.8</v>
      </c>
      <c r="M38" s="64">
        <v>52.1</v>
      </c>
      <c r="N38" s="64">
        <v>341.7</v>
      </c>
      <c r="O38" s="64">
        <v>0</v>
      </c>
      <c r="P38" s="64">
        <v>0.55000000000000004</v>
      </c>
      <c r="Q38" s="64">
        <v>9.2100000000000009</v>
      </c>
      <c r="R38" s="198"/>
      <c r="S38" s="198"/>
      <c r="T38" s="198"/>
      <c r="U38" s="198"/>
    </row>
    <row r="39" spans="1:21" s="12" customFormat="1" x14ac:dyDescent="0.25">
      <c r="A39" s="214" t="s">
        <v>2678</v>
      </c>
      <c r="B39" s="64">
        <v>11.73</v>
      </c>
      <c r="C39" s="64">
        <v>26.5</v>
      </c>
      <c r="D39" s="64">
        <v>23.17</v>
      </c>
      <c r="E39" s="64">
        <v>1.88</v>
      </c>
      <c r="F39" s="64">
        <v>3.49</v>
      </c>
      <c r="G39" s="64">
        <v>54.61</v>
      </c>
      <c r="H39" s="64">
        <v>18.02</v>
      </c>
      <c r="I39" s="64">
        <v>7.39</v>
      </c>
      <c r="J39" s="64">
        <v>0.66</v>
      </c>
      <c r="K39" s="64">
        <v>167.11</v>
      </c>
      <c r="L39" s="64">
        <v>28.08</v>
      </c>
      <c r="M39" s="64">
        <v>51.69</v>
      </c>
      <c r="N39" s="64">
        <v>429.1</v>
      </c>
      <c r="O39" s="64">
        <v>0</v>
      </c>
      <c r="P39" s="64">
        <v>0.54</v>
      </c>
      <c r="Q39" s="64">
        <v>9.1999999999999993</v>
      </c>
      <c r="R39" s="198"/>
      <c r="S39" s="198"/>
      <c r="T39" s="198"/>
      <c r="U39" s="198"/>
    </row>
    <row r="40" spans="1:21" s="12" customFormat="1" x14ac:dyDescent="0.25">
      <c r="A40" s="214" t="s">
        <v>2679</v>
      </c>
      <c r="B40" s="64">
        <v>10.65</v>
      </c>
      <c r="C40" s="64">
        <v>26.11</v>
      </c>
      <c r="D40" s="64">
        <v>22.1</v>
      </c>
      <c r="E40" s="64">
        <v>0.55000000000000004</v>
      </c>
      <c r="F40" s="64">
        <v>3.8</v>
      </c>
      <c r="G40" s="64">
        <v>54.61</v>
      </c>
      <c r="H40" s="64">
        <v>18.02</v>
      </c>
      <c r="I40" s="64">
        <v>7.29</v>
      </c>
      <c r="J40" s="64">
        <v>0.93</v>
      </c>
      <c r="K40" s="64">
        <v>154.41</v>
      </c>
      <c r="L40" s="64">
        <v>28.39</v>
      </c>
      <c r="M40" s="64">
        <v>51.13</v>
      </c>
      <c r="N40" s="64">
        <v>455.7</v>
      </c>
      <c r="O40" s="64">
        <v>0</v>
      </c>
      <c r="P40" s="64">
        <v>0.53</v>
      </c>
      <c r="Q40" s="64">
        <v>9.17</v>
      </c>
      <c r="R40" s="198"/>
      <c r="S40" s="198"/>
      <c r="T40" s="198"/>
      <c r="U40" s="198"/>
    </row>
    <row r="41" spans="1:21" s="12" customFormat="1" x14ac:dyDescent="0.25">
      <c r="A41" s="214" t="s">
        <v>2680</v>
      </c>
      <c r="B41" s="64">
        <v>9.77</v>
      </c>
      <c r="C41" s="64">
        <v>25.84</v>
      </c>
      <c r="D41" s="64">
        <v>21.26</v>
      </c>
      <c r="E41" s="64">
        <v>0.84</v>
      </c>
      <c r="F41" s="64">
        <v>3.69</v>
      </c>
      <c r="G41" s="64">
        <v>51.82</v>
      </c>
      <c r="H41" s="64">
        <v>18.690000000000001</v>
      </c>
      <c r="I41" s="64">
        <v>7.19</v>
      </c>
      <c r="J41" s="64">
        <v>1.1599999999999999</v>
      </c>
      <c r="K41" s="64">
        <v>149.1</v>
      </c>
      <c r="L41" s="64">
        <v>29.03</v>
      </c>
      <c r="M41" s="64">
        <v>48.55</v>
      </c>
      <c r="N41" s="64">
        <v>496.2</v>
      </c>
      <c r="O41" s="64">
        <v>0</v>
      </c>
      <c r="P41" s="64">
        <v>0.53</v>
      </c>
      <c r="Q41" s="64">
        <v>9.19</v>
      </c>
      <c r="R41" s="198"/>
      <c r="S41" s="198"/>
      <c r="T41" s="198"/>
      <c r="U41" s="198"/>
    </row>
    <row r="42" spans="1:21" s="12" customFormat="1" x14ac:dyDescent="0.25">
      <c r="A42" s="214" t="s">
        <v>2681</v>
      </c>
      <c r="B42" s="64">
        <v>9.06</v>
      </c>
      <c r="C42" s="64">
        <v>25.61</v>
      </c>
      <c r="D42" s="64">
        <v>20.57</v>
      </c>
      <c r="E42" s="64">
        <v>0.95</v>
      </c>
      <c r="F42" s="64">
        <v>3.65</v>
      </c>
      <c r="G42" s="64">
        <v>46.5</v>
      </c>
      <c r="H42" s="64">
        <v>19.97</v>
      </c>
      <c r="I42" s="64">
        <v>7.49</v>
      </c>
      <c r="J42" s="64">
        <v>0.63</v>
      </c>
      <c r="K42" s="64">
        <v>164.86</v>
      </c>
      <c r="L42" s="64">
        <v>29.73</v>
      </c>
      <c r="M42" s="64">
        <v>45.46</v>
      </c>
      <c r="N42" s="64">
        <v>534.70000000000005</v>
      </c>
      <c r="O42" s="64">
        <v>0</v>
      </c>
      <c r="P42" s="64">
        <v>0.52</v>
      </c>
      <c r="Q42" s="64">
        <v>9.2200000000000006</v>
      </c>
      <c r="R42" s="198"/>
      <c r="S42" s="198"/>
      <c r="T42" s="198"/>
      <c r="U42" s="198"/>
    </row>
    <row r="43" spans="1:21" s="12" customFormat="1" x14ac:dyDescent="0.25">
      <c r="A43" s="214" t="s">
        <v>2682</v>
      </c>
      <c r="B43" s="64">
        <v>8.1300000000000008</v>
      </c>
      <c r="C43" s="64">
        <v>25.45</v>
      </c>
      <c r="D43" s="64">
        <v>19.739999999999998</v>
      </c>
      <c r="E43" s="64">
        <v>0.77</v>
      </c>
      <c r="F43" s="64">
        <v>3.93</v>
      </c>
      <c r="G43" s="64">
        <v>46.5</v>
      </c>
      <c r="H43" s="64">
        <v>19.97</v>
      </c>
      <c r="I43" s="64">
        <v>7.98</v>
      </c>
      <c r="J43" s="64">
        <v>0.66</v>
      </c>
      <c r="K43" s="64">
        <v>149.57</v>
      </c>
      <c r="L43" s="64">
        <v>30.49</v>
      </c>
      <c r="M43" s="64">
        <v>42.06</v>
      </c>
      <c r="N43" s="64">
        <v>578.29999999999995</v>
      </c>
      <c r="O43" s="64">
        <v>0</v>
      </c>
      <c r="P43" s="64">
        <v>0.51</v>
      </c>
      <c r="Q43" s="64">
        <v>9.16</v>
      </c>
      <c r="R43" s="198"/>
      <c r="S43" s="198"/>
      <c r="T43" s="198"/>
      <c r="U43" s="198"/>
    </row>
    <row r="44" spans="1:21" s="12" customFormat="1" x14ac:dyDescent="0.25">
      <c r="A44" s="214" t="s">
        <v>2683</v>
      </c>
      <c r="B44" s="64">
        <v>7.25</v>
      </c>
      <c r="C44" s="64">
        <v>25.18</v>
      </c>
      <c r="D44" s="64">
        <v>18.88</v>
      </c>
      <c r="E44" s="64">
        <v>0.9</v>
      </c>
      <c r="F44" s="64">
        <v>4.0599999999999996</v>
      </c>
      <c r="G44" s="64">
        <v>46.5</v>
      </c>
      <c r="H44" s="64">
        <v>19.97</v>
      </c>
      <c r="I44" s="64">
        <v>8.2100000000000009</v>
      </c>
      <c r="J44" s="64">
        <v>0.42</v>
      </c>
      <c r="K44" s="64">
        <v>158.35</v>
      </c>
      <c r="L44" s="64">
        <v>31.41</v>
      </c>
      <c r="M44" s="64">
        <v>40.71</v>
      </c>
      <c r="N44" s="64">
        <v>615.5</v>
      </c>
      <c r="O44" s="64">
        <v>0</v>
      </c>
      <c r="P44" s="64">
        <v>0.51</v>
      </c>
      <c r="Q44" s="64">
        <v>9.14</v>
      </c>
      <c r="R44" s="198"/>
      <c r="S44" s="198"/>
      <c r="T44" s="198"/>
      <c r="U44" s="198"/>
    </row>
    <row r="45" spans="1:21" s="12" customFormat="1" x14ac:dyDescent="0.25">
      <c r="A45" s="214" t="s">
        <v>2684</v>
      </c>
      <c r="B45" s="64">
        <v>6.45</v>
      </c>
      <c r="C45" s="64">
        <v>25.11</v>
      </c>
      <c r="D45" s="64">
        <v>18.21</v>
      </c>
      <c r="E45" s="64">
        <v>1.1000000000000001</v>
      </c>
      <c r="F45" s="64">
        <v>4.04</v>
      </c>
      <c r="G45" s="64">
        <v>45.72</v>
      </c>
      <c r="H45" s="64">
        <v>20.28</v>
      </c>
      <c r="I45" s="64">
        <v>8.14</v>
      </c>
      <c r="J45" s="64">
        <v>0.14000000000000001</v>
      </c>
      <c r="K45" s="64">
        <v>213.37</v>
      </c>
      <c r="L45" s="64">
        <v>33.11</v>
      </c>
      <c r="M45" s="64">
        <v>36.92</v>
      </c>
      <c r="N45" s="64">
        <v>660.2</v>
      </c>
      <c r="O45" s="64">
        <v>0</v>
      </c>
      <c r="P45" s="64">
        <v>0.52</v>
      </c>
      <c r="Q45" s="64">
        <v>9.18</v>
      </c>
      <c r="R45" s="198"/>
      <c r="S45" s="198"/>
      <c r="T45" s="198"/>
      <c r="U45" s="198"/>
    </row>
    <row r="46" spans="1:21" s="12" customFormat="1" x14ac:dyDescent="0.25">
      <c r="A46" s="214" t="s">
        <v>2685</v>
      </c>
      <c r="B46" s="64">
        <v>5.55</v>
      </c>
      <c r="C46" s="64">
        <v>25.98</v>
      </c>
      <c r="D46" s="64">
        <v>17.940000000000001</v>
      </c>
      <c r="E46" s="64">
        <v>1.02</v>
      </c>
      <c r="F46" s="64">
        <v>4</v>
      </c>
      <c r="G46" s="64">
        <v>44.24</v>
      </c>
      <c r="H46" s="64">
        <v>20.86</v>
      </c>
      <c r="I46" s="64">
        <v>8.2799999999999994</v>
      </c>
      <c r="J46" s="64">
        <v>0.06</v>
      </c>
      <c r="K46" s="64">
        <v>264.19</v>
      </c>
      <c r="L46" s="64">
        <v>32.630000000000003</v>
      </c>
      <c r="M46" s="64">
        <v>37.659999999999997</v>
      </c>
      <c r="N46" s="64">
        <v>699.6</v>
      </c>
      <c r="O46" s="64">
        <v>0</v>
      </c>
      <c r="P46" s="64">
        <v>0.51</v>
      </c>
      <c r="Q46" s="64">
        <v>9.16</v>
      </c>
      <c r="R46" s="198"/>
      <c r="S46" s="198"/>
      <c r="T46" s="198"/>
      <c r="U46" s="198"/>
    </row>
    <row r="47" spans="1:21" s="12" customFormat="1" x14ac:dyDescent="0.25">
      <c r="A47" s="214" t="s">
        <v>2686</v>
      </c>
      <c r="B47" s="64">
        <v>4.2300000000000004</v>
      </c>
      <c r="C47" s="64">
        <v>26.94</v>
      </c>
      <c r="D47" s="64">
        <v>17.39</v>
      </c>
      <c r="E47" s="64">
        <v>1.05</v>
      </c>
      <c r="F47" s="64">
        <v>4.78</v>
      </c>
      <c r="G47" s="64">
        <v>44.24</v>
      </c>
      <c r="H47" s="64">
        <v>20.86</v>
      </c>
      <c r="I47" s="64">
        <v>8.56</v>
      </c>
      <c r="J47" s="64">
        <v>0.02</v>
      </c>
      <c r="K47" s="64">
        <v>357.11</v>
      </c>
      <c r="L47" s="64">
        <v>32.93</v>
      </c>
      <c r="M47" s="64">
        <v>35.659999999999997</v>
      </c>
      <c r="N47" s="64">
        <v>748.2</v>
      </c>
      <c r="O47" s="64">
        <v>0</v>
      </c>
      <c r="P47" s="64">
        <v>0.53</v>
      </c>
      <c r="Q47" s="64">
        <v>9.14</v>
      </c>
      <c r="R47" s="198"/>
      <c r="S47" s="198"/>
      <c r="T47" s="198"/>
      <c r="U47" s="198"/>
    </row>
    <row r="48" spans="1:21" s="12" customFormat="1" x14ac:dyDescent="0.25">
      <c r="A48" s="214" t="s">
        <v>2687</v>
      </c>
      <c r="B48" s="64">
        <v>3.05</v>
      </c>
      <c r="C48" s="64">
        <v>27.75</v>
      </c>
      <c r="D48" s="64">
        <v>16.86</v>
      </c>
      <c r="E48" s="64">
        <v>1.1299999999999999</v>
      </c>
      <c r="F48" s="64">
        <v>5.0199999999999996</v>
      </c>
      <c r="G48" s="64">
        <v>44.24</v>
      </c>
      <c r="H48" s="64">
        <v>20.86</v>
      </c>
      <c r="I48" s="64">
        <v>8.82</v>
      </c>
      <c r="J48" s="64">
        <v>0.1</v>
      </c>
      <c r="K48" s="64">
        <v>311.08</v>
      </c>
      <c r="L48" s="64">
        <v>34.409999999999997</v>
      </c>
      <c r="M48" s="64">
        <v>31.88</v>
      </c>
      <c r="N48" s="64">
        <v>798.7</v>
      </c>
      <c r="O48" s="64">
        <v>0</v>
      </c>
      <c r="P48" s="64">
        <v>0.53</v>
      </c>
      <c r="Q48" s="64">
        <v>9.1999999999999993</v>
      </c>
      <c r="R48" s="198"/>
      <c r="S48" s="198"/>
      <c r="T48" s="198"/>
      <c r="U48" s="198"/>
    </row>
    <row r="49" spans="1:21" s="12" customFormat="1" x14ac:dyDescent="0.25">
      <c r="A49" s="214" t="s">
        <v>2688</v>
      </c>
      <c r="B49" s="64">
        <v>2.2400000000000002</v>
      </c>
      <c r="C49" s="64">
        <v>27.81</v>
      </c>
      <c r="D49" s="64">
        <v>16.25</v>
      </c>
      <c r="E49" s="64">
        <v>1.18</v>
      </c>
      <c r="F49" s="64">
        <v>5.52</v>
      </c>
      <c r="G49" s="64">
        <v>44.25</v>
      </c>
      <c r="H49" s="64">
        <v>20.329999999999998</v>
      </c>
      <c r="I49" s="64">
        <v>8.52</v>
      </c>
      <c r="J49" s="64">
        <v>0.81</v>
      </c>
      <c r="K49" s="64">
        <v>160.35</v>
      </c>
      <c r="L49" s="64">
        <v>33.67</v>
      </c>
      <c r="M49" s="64">
        <v>35.409999999999997</v>
      </c>
      <c r="N49" s="64">
        <v>834.4</v>
      </c>
      <c r="O49" s="64">
        <v>0</v>
      </c>
      <c r="P49" s="64">
        <v>0.52</v>
      </c>
      <c r="Q49" s="64">
        <v>9.15</v>
      </c>
      <c r="R49" s="198"/>
      <c r="S49" s="198"/>
      <c r="T49" s="198"/>
      <c r="U49" s="198"/>
    </row>
    <row r="50" spans="1:21" s="12" customFormat="1" x14ac:dyDescent="0.25">
      <c r="A50" s="214" t="s">
        <v>2689</v>
      </c>
      <c r="B50" s="64">
        <v>1.52</v>
      </c>
      <c r="C50" s="64">
        <v>27.12</v>
      </c>
      <c r="D50" s="64">
        <v>15.3</v>
      </c>
      <c r="E50" s="64">
        <v>1.94</v>
      </c>
      <c r="F50" s="64">
        <v>33.67</v>
      </c>
      <c r="G50" s="64">
        <v>44.24</v>
      </c>
      <c r="H50" s="64">
        <v>19.309999999999999</v>
      </c>
      <c r="I50" s="64">
        <v>8.26</v>
      </c>
      <c r="J50" s="64">
        <v>0.71</v>
      </c>
      <c r="K50" s="64">
        <v>148.85</v>
      </c>
      <c r="L50" s="64">
        <v>33.72</v>
      </c>
      <c r="M50" s="64">
        <v>36.31</v>
      </c>
      <c r="N50" s="64">
        <v>851.4</v>
      </c>
      <c r="O50" s="64">
        <v>0</v>
      </c>
      <c r="P50" s="64">
        <v>0.46</v>
      </c>
      <c r="Q50" s="64">
        <v>0</v>
      </c>
      <c r="R50" s="198"/>
      <c r="S50" s="198"/>
      <c r="T50" s="198"/>
      <c r="U50" s="198"/>
    </row>
    <row r="51" spans="1:21" s="12" customFormat="1" x14ac:dyDescent="0.25">
      <c r="A51" s="214" t="s">
        <v>2690</v>
      </c>
      <c r="B51" s="64">
        <v>1.1200000000000001</v>
      </c>
      <c r="C51" s="64">
        <v>30.47</v>
      </c>
      <c r="D51" s="64">
        <v>16.739999999999998</v>
      </c>
      <c r="E51" s="64">
        <v>2.58</v>
      </c>
      <c r="F51" s="64">
        <v>36.26</v>
      </c>
      <c r="G51" s="64">
        <v>44.28</v>
      </c>
      <c r="H51" s="64">
        <v>19.309999999999999</v>
      </c>
      <c r="I51" s="64">
        <v>7.71</v>
      </c>
      <c r="J51" s="64">
        <v>0.19</v>
      </c>
      <c r="K51" s="64">
        <v>149</v>
      </c>
      <c r="L51" s="64">
        <v>34.93</v>
      </c>
      <c r="M51" s="64">
        <v>31.16</v>
      </c>
      <c r="N51" s="64">
        <v>874.2</v>
      </c>
      <c r="O51" s="64">
        <v>0</v>
      </c>
      <c r="P51" s="64">
        <v>0.44</v>
      </c>
      <c r="Q51" s="64">
        <v>9.11</v>
      </c>
      <c r="R51" s="198"/>
      <c r="S51" s="198"/>
      <c r="T51" s="198"/>
      <c r="U51" s="198"/>
    </row>
    <row r="52" spans="1:21" s="12" customFormat="1" x14ac:dyDescent="0.25">
      <c r="A52" s="214" t="s">
        <v>2691</v>
      </c>
      <c r="B52" s="64">
        <v>0.97</v>
      </c>
      <c r="C52" s="64">
        <v>28.51</v>
      </c>
      <c r="D52" s="64">
        <v>15.6</v>
      </c>
      <c r="E52" s="64">
        <v>2.15</v>
      </c>
      <c r="F52" s="64">
        <v>21.21</v>
      </c>
      <c r="G52" s="64">
        <v>44.28</v>
      </c>
      <c r="H52" s="64">
        <v>19.309999999999999</v>
      </c>
      <c r="I52" s="64">
        <v>6.47</v>
      </c>
      <c r="J52" s="64">
        <v>0.15</v>
      </c>
      <c r="K52" s="64">
        <v>281.37</v>
      </c>
      <c r="L52" s="64">
        <v>36.31</v>
      </c>
      <c r="M52" s="64">
        <v>28.11</v>
      </c>
      <c r="N52" s="64">
        <v>900.4</v>
      </c>
      <c r="O52" s="64">
        <v>0</v>
      </c>
      <c r="P52" s="64">
        <v>0.44</v>
      </c>
      <c r="Q52" s="64">
        <v>9.11</v>
      </c>
      <c r="R52" s="198"/>
      <c r="S52" s="198"/>
      <c r="T52" s="198"/>
      <c r="U52" s="198"/>
    </row>
    <row r="53" spans="1:21" s="12" customFormat="1" x14ac:dyDescent="0.25">
      <c r="A53" s="214" t="s">
        <v>2692</v>
      </c>
      <c r="B53" s="64">
        <v>1.1100000000000001</v>
      </c>
      <c r="C53" s="64">
        <v>29.67</v>
      </c>
      <c r="D53" s="64">
        <v>16.309999999999999</v>
      </c>
      <c r="E53" s="64">
        <v>2.09</v>
      </c>
      <c r="F53" s="64">
        <v>15.62</v>
      </c>
      <c r="G53" s="64">
        <v>41.67</v>
      </c>
      <c r="H53" s="64">
        <v>18.579999999999998</v>
      </c>
      <c r="I53" s="64">
        <v>4.7699999999999996</v>
      </c>
      <c r="J53" s="64">
        <v>0.21</v>
      </c>
      <c r="K53" s="64">
        <v>304.05</v>
      </c>
      <c r="L53" s="64">
        <v>36.03</v>
      </c>
      <c r="M53" s="64">
        <v>28.29</v>
      </c>
      <c r="N53" s="64">
        <v>913.9</v>
      </c>
      <c r="O53" s="64">
        <v>0</v>
      </c>
      <c r="P53" s="64">
        <v>0.45</v>
      </c>
      <c r="Q53" s="64">
        <v>9.1199999999999992</v>
      </c>
      <c r="R53" s="198"/>
      <c r="S53" s="198"/>
      <c r="T53" s="198"/>
      <c r="U53" s="198"/>
    </row>
    <row r="54" spans="1:21" s="12" customFormat="1" x14ac:dyDescent="0.25">
      <c r="A54" s="214" t="s">
        <v>2693</v>
      </c>
      <c r="B54" s="64">
        <v>0.96</v>
      </c>
      <c r="C54" s="64">
        <v>30.79</v>
      </c>
      <c r="D54" s="64">
        <v>16.78</v>
      </c>
      <c r="E54" s="64">
        <v>1.87</v>
      </c>
      <c r="F54" s="64">
        <v>18.760000000000002</v>
      </c>
      <c r="G54" s="64">
        <v>36.700000000000003</v>
      </c>
      <c r="H54" s="64">
        <v>17.2</v>
      </c>
      <c r="I54" s="64">
        <v>4.3099999999999996</v>
      </c>
      <c r="J54" s="64">
        <v>0.08</v>
      </c>
      <c r="K54" s="64">
        <v>312.14999999999998</v>
      </c>
      <c r="L54" s="64">
        <v>36.24</v>
      </c>
      <c r="M54" s="64">
        <v>27.38</v>
      </c>
      <c r="N54" s="64">
        <v>898.8</v>
      </c>
      <c r="O54" s="64">
        <v>0</v>
      </c>
      <c r="P54" s="64">
        <v>0.46</v>
      </c>
      <c r="Q54" s="64">
        <v>9.1199999999999992</v>
      </c>
      <c r="R54" s="198"/>
      <c r="S54" s="198"/>
      <c r="T54" s="198"/>
      <c r="U54" s="198"/>
    </row>
    <row r="55" spans="1:21" s="12" customFormat="1" x14ac:dyDescent="0.25">
      <c r="A55" s="214" t="s">
        <v>2694</v>
      </c>
      <c r="B55" s="64">
        <v>0.91</v>
      </c>
      <c r="C55" s="64">
        <v>30.23</v>
      </c>
      <c r="D55" s="64">
        <v>16.440000000000001</v>
      </c>
      <c r="E55" s="64">
        <v>1.65</v>
      </c>
      <c r="F55" s="64">
        <v>13.13</v>
      </c>
      <c r="G55" s="64">
        <v>36.700000000000003</v>
      </c>
      <c r="H55" s="64">
        <v>17.2</v>
      </c>
      <c r="I55" s="64">
        <v>4.24</v>
      </c>
      <c r="J55" s="64">
        <v>0.18</v>
      </c>
      <c r="K55" s="64">
        <v>186.41</v>
      </c>
      <c r="L55" s="64">
        <v>36.24</v>
      </c>
      <c r="M55" s="64">
        <v>26.63</v>
      </c>
      <c r="N55" s="64">
        <v>886.3</v>
      </c>
      <c r="O55" s="64">
        <v>0</v>
      </c>
      <c r="P55" s="64">
        <v>0.48</v>
      </c>
      <c r="Q55" s="64">
        <v>9.1199999999999992</v>
      </c>
      <c r="R55" s="198"/>
      <c r="S55" s="198"/>
      <c r="T55" s="198"/>
      <c r="U55" s="198"/>
    </row>
    <row r="56" spans="1:21" s="12" customFormat="1" x14ac:dyDescent="0.25">
      <c r="A56" s="214" t="s">
        <v>2695</v>
      </c>
      <c r="B56" s="64">
        <v>1.04</v>
      </c>
      <c r="C56" s="64">
        <v>29.62</v>
      </c>
      <c r="D56" s="64">
        <v>16.23</v>
      </c>
      <c r="E56" s="64">
        <v>1.87</v>
      </c>
      <c r="F56" s="64">
        <v>9.5299999999999994</v>
      </c>
      <c r="G56" s="64">
        <v>36.700000000000003</v>
      </c>
      <c r="H56" s="64">
        <v>17.2</v>
      </c>
      <c r="I56" s="64">
        <v>4.33</v>
      </c>
      <c r="J56" s="64">
        <v>0.19</v>
      </c>
      <c r="K56" s="64">
        <v>297.58</v>
      </c>
      <c r="L56" s="64">
        <v>37.71</v>
      </c>
      <c r="M56" s="64">
        <v>24.39</v>
      </c>
      <c r="N56" s="64">
        <v>895.4</v>
      </c>
      <c r="O56" s="64">
        <v>0</v>
      </c>
      <c r="P56" s="64">
        <v>0.51</v>
      </c>
      <c r="Q56" s="64">
        <v>9.11</v>
      </c>
      <c r="R56" s="198"/>
      <c r="S56" s="198"/>
      <c r="T56" s="198"/>
      <c r="U56" s="198"/>
    </row>
    <row r="57" spans="1:21" s="12" customFormat="1" x14ac:dyDescent="0.25">
      <c r="A57" s="214" t="s">
        <v>2696</v>
      </c>
      <c r="B57" s="64">
        <v>1.0900000000000001</v>
      </c>
      <c r="C57" s="64">
        <v>32.04</v>
      </c>
      <c r="D57" s="64">
        <v>17.53</v>
      </c>
      <c r="E57" s="64">
        <v>1.23</v>
      </c>
      <c r="F57" s="64">
        <v>8.42</v>
      </c>
      <c r="G57" s="64">
        <v>42.09</v>
      </c>
      <c r="H57" s="64">
        <v>18.809999999999999</v>
      </c>
      <c r="I57" s="64">
        <v>4.76</v>
      </c>
      <c r="J57" s="64">
        <v>0.24</v>
      </c>
      <c r="K57" s="64">
        <v>193.65</v>
      </c>
      <c r="L57" s="64">
        <v>36.6</v>
      </c>
      <c r="M57" s="64">
        <v>23.97</v>
      </c>
      <c r="N57" s="64">
        <v>899.2</v>
      </c>
      <c r="O57" s="64">
        <v>0</v>
      </c>
      <c r="P57" s="64">
        <v>0.54</v>
      </c>
      <c r="Q57" s="64">
        <v>9.14</v>
      </c>
      <c r="R57" s="198"/>
      <c r="S57" s="198"/>
      <c r="T57" s="198"/>
      <c r="U57" s="198"/>
    </row>
    <row r="58" spans="1:21" s="12" customFormat="1" x14ac:dyDescent="0.25">
      <c r="A58" s="214" t="s">
        <v>2697</v>
      </c>
      <c r="B58" s="64">
        <v>0.99</v>
      </c>
      <c r="C58" s="64">
        <v>31.23</v>
      </c>
      <c r="D58" s="64">
        <v>17.03</v>
      </c>
      <c r="E58" s="64">
        <v>1.45</v>
      </c>
      <c r="F58" s="64">
        <v>15.07</v>
      </c>
      <c r="G58" s="64">
        <v>52.35</v>
      </c>
      <c r="H58" s="64">
        <v>21.86</v>
      </c>
      <c r="I58" s="64">
        <v>5.09</v>
      </c>
      <c r="J58" s="64">
        <v>0.61</v>
      </c>
      <c r="K58" s="64">
        <v>325.14</v>
      </c>
      <c r="L58" s="64">
        <v>37.17</v>
      </c>
      <c r="M58" s="64">
        <v>23.68</v>
      </c>
      <c r="N58" s="64">
        <v>889.3</v>
      </c>
      <c r="O58" s="64">
        <v>0</v>
      </c>
      <c r="P58" s="64">
        <v>0.56000000000000005</v>
      </c>
      <c r="Q58" s="64">
        <v>9.1199999999999992</v>
      </c>
      <c r="R58" s="198"/>
      <c r="S58" s="198"/>
      <c r="T58" s="198"/>
      <c r="U58" s="198"/>
    </row>
    <row r="59" spans="1:21" s="12" customFormat="1" x14ac:dyDescent="0.25">
      <c r="A59" s="214" t="s">
        <v>2698</v>
      </c>
      <c r="B59" s="64">
        <v>0.98</v>
      </c>
      <c r="C59" s="64">
        <v>31.98</v>
      </c>
      <c r="D59" s="64">
        <v>17.41</v>
      </c>
      <c r="E59" s="64">
        <v>1.37</v>
      </c>
      <c r="F59" s="64">
        <v>12.54</v>
      </c>
      <c r="G59" s="64">
        <v>52.35</v>
      </c>
      <c r="H59" s="64">
        <v>21.86</v>
      </c>
      <c r="I59" s="64">
        <v>5.4</v>
      </c>
      <c r="J59" s="64">
        <v>0.42</v>
      </c>
      <c r="K59" s="64">
        <v>193.47</v>
      </c>
      <c r="L59" s="64">
        <v>36.99</v>
      </c>
      <c r="M59" s="64">
        <v>22.88</v>
      </c>
      <c r="N59" s="64">
        <v>875.8</v>
      </c>
      <c r="O59" s="64">
        <v>0</v>
      </c>
      <c r="P59" s="64">
        <v>0.57999999999999996</v>
      </c>
      <c r="Q59" s="64">
        <v>9.1199999999999992</v>
      </c>
      <c r="R59" s="198"/>
      <c r="S59" s="198"/>
      <c r="T59" s="198"/>
      <c r="U59" s="198"/>
    </row>
    <row r="60" spans="1:21" s="12" customFormat="1" x14ac:dyDescent="0.25">
      <c r="A60" s="214" t="s">
        <v>2699</v>
      </c>
      <c r="B60" s="64">
        <v>1.02</v>
      </c>
      <c r="C60" s="64">
        <v>30.81</v>
      </c>
      <c r="D60" s="64">
        <v>16.829999999999998</v>
      </c>
      <c r="E60" s="64">
        <v>1.59</v>
      </c>
      <c r="F60" s="64">
        <v>9.75</v>
      </c>
      <c r="G60" s="64">
        <v>52.35</v>
      </c>
      <c r="H60" s="64">
        <v>21.86</v>
      </c>
      <c r="I60" s="64">
        <v>5.76</v>
      </c>
      <c r="J60" s="64">
        <v>0.12</v>
      </c>
      <c r="K60" s="64">
        <v>312.44</v>
      </c>
      <c r="L60" s="64">
        <v>37.31</v>
      </c>
      <c r="M60" s="64">
        <v>22.25</v>
      </c>
      <c r="N60" s="64">
        <v>870</v>
      </c>
      <c r="O60" s="64">
        <v>0</v>
      </c>
      <c r="P60" s="64">
        <v>0.59</v>
      </c>
      <c r="Q60" s="64">
        <v>9.15</v>
      </c>
      <c r="R60" s="198"/>
      <c r="S60" s="198"/>
      <c r="T60" s="198"/>
      <c r="U60" s="198"/>
    </row>
    <row r="61" spans="1:21" s="12" customFormat="1" x14ac:dyDescent="0.25">
      <c r="A61" s="214" t="s">
        <v>2700</v>
      </c>
      <c r="B61" s="64">
        <v>1.05</v>
      </c>
      <c r="C61" s="64">
        <v>29.79</v>
      </c>
      <c r="D61" s="64">
        <v>16.32</v>
      </c>
      <c r="E61" s="64">
        <v>1.21</v>
      </c>
      <c r="F61" s="64">
        <v>8.3800000000000008</v>
      </c>
      <c r="G61" s="64">
        <v>53.24</v>
      </c>
      <c r="H61" s="64">
        <v>19.739999999999998</v>
      </c>
      <c r="I61" s="64">
        <v>5.95</v>
      </c>
      <c r="J61" s="64">
        <v>0.24</v>
      </c>
      <c r="K61" s="64">
        <v>325.85000000000002</v>
      </c>
      <c r="L61" s="64">
        <v>38.54</v>
      </c>
      <c r="M61" s="64">
        <v>21.6</v>
      </c>
      <c r="N61" s="64">
        <v>833.5</v>
      </c>
      <c r="O61" s="64">
        <v>0</v>
      </c>
      <c r="P61" s="64">
        <v>0.61</v>
      </c>
      <c r="Q61" s="64">
        <v>9.1199999999999992</v>
      </c>
      <c r="R61" s="198"/>
      <c r="S61" s="198"/>
      <c r="T61" s="198"/>
      <c r="U61" s="198"/>
    </row>
    <row r="62" spans="1:21" s="12" customFormat="1" x14ac:dyDescent="0.25">
      <c r="A62" s="214" t="s">
        <v>2701</v>
      </c>
      <c r="B62" s="64">
        <v>1.17</v>
      </c>
      <c r="C62" s="64">
        <v>29.18</v>
      </c>
      <c r="D62" s="64">
        <v>16.100000000000001</v>
      </c>
      <c r="E62" s="64">
        <v>1.42</v>
      </c>
      <c r="F62" s="64">
        <v>7.09</v>
      </c>
      <c r="G62" s="64">
        <v>54.93</v>
      </c>
      <c r="H62" s="64">
        <v>15.7</v>
      </c>
      <c r="I62" s="64">
        <v>6.15</v>
      </c>
      <c r="J62" s="64">
        <v>0.11</v>
      </c>
      <c r="K62" s="64">
        <v>200.84</v>
      </c>
      <c r="L62" s="64">
        <v>38.15</v>
      </c>
      <c r="M62" s="64">
        <v>21.05</v>
      </c>
      <c r="N62" s="64">
        <v>806.9</v>
      </c>
      <c r="O62" s="64">
        <v>0</v>
      </c>
      <c r="P62" s="64">
        <v>0.63</v>
      </c>
      <c r="Q62" s="64">
        <v>9.11</v>
      </c>
      <c r="R62" s="198"/>
      <c r="S62" s="198"/>
      <c r="T62" s="198"/>
      <c r="U62" s="198"/>
    </row>
    <row r="63" spans="1:21" s="12" customFormat="1" x14ac:dyDescent="0.25">
      <c r="A63" s="214" t="s">
        <v>2702</v>
      </c>
      <c r="B63" s="64">
        <v>1.17</v>
      </c>
      <c r="C63" s="64">
        <v>28.41</v>
      </c>
      <c r="D63" s="64">
        <v>15.7</v>
      </c>
      <c r="E63" s="64">
        <v>1.99</v>
      </c>
      <c r="F63" s="64">
        <v>7.43</v>
      </c>
      <c r="G63" s="64">
        <v>54.93</v>
      </c>
      <c r="H63" s="64">
        <v>15.7</v>
      </c>
      <c r="I63" s="64">
        <v>6.15</v>
      </c>
      <c r="J63" s="64">
        <v>0.43</v>
      </c>
      <c r="K63" s="64">
        <v>315.06</v>
      </c>
      <c r="L63" s="64">
        <v>38.44</v>
      </c>
      <c r="M63" s="64">
        <v>21.22</v>
      </c>
      <c r="N63" s="64">
        <v>778</v>
      </c>
      <c r="O63" s="64">
        <v>0</v>
      </c>
      <c r="P63" s="64">
        <v>0.63</v>
      </c>
      <c r="Q63" s="64">
        <v>9.11</v>
      </c>
      <c r="R63" s="198"/>
      <c r="S63" s="198"/>
      <c r="T63" s="198"/>
      <c r="U63" s="198"/>
    </row>
    <row r="64" spans="1:21" s="12" customFormat="1" x14ac:dyDescent="0.25">
      <c r="A64" s="214" t="s">
        <v>2703</v>
      </c>
      <c r="B64" s="64">
        <v>1.23</v>
      </c>
      <c r="C64" s="64">
        <v>27.17</v>
      </c>
      <c r="D64" s="64">
        <v>15.1</v>
      </c>
      <c r="E64" s="64">
        <v>1.25</v>
      </c>
      <c r="F64" s="64">
        <v>6.46</v>
      </c>
      <c r="G64" s="64">
        <v>54.93</v>
      </c>
      <c r="H64" s="64">
        <v>15.7</v>
      </c>
      <c r="I64" s="64">
        <v>6.32</v>
      </c>
      <c r="J64" s="64">
        <v>0.4</v>
      </c>
      <c r="K64" s="64">
        <v>310.43</v>
      </c>
      <c r="L64" s="64">
        <v>39.47</v>
      </c>
      <c r="M64" s="64">
        <v>19.88</v>
      </c>
      <c r="N64" s="64">
        <v>753.5</v>
      </c>
      <c r="O64" s="64">
        <v>0</v>
      </c>
      <c r="P64" s="64">
        <v>0.62</v>
      </c>
      <c r="Q64" s="64">
        <v>9.14</v>
      </c>
      <c r="R64" s="198"/>
      <c r="S64" s="198"/>
      <c r="T64" s="198"/>
      <c r="U64" s="198"/>
    </row>
    <row r="65" spans="1:21" s="12" customFormat="1" x14ac:dyDescent="0.25">
      <c r="A65" s="214" t="s">
        <v>2704</v>
      </c>
      <c r="B65" s="64">
        <v>1.1100000000000001</v>
      </c>
      <c r="C65" s="64">
        <v>26.3</v>
      </c>
      <c r="D65" s="64">
        <v>14.56</v>
      </c>
      <c r="E65" s="64">
        <v>2.34</v>
      </c>
      <c r="F65" s="64">
        <v>29.25</v>
      </c>
      <c r="G65" s="64">
        <v>48.61</v>
      </c>
      <c r="H65" s="64">
        <v>20.28</v>
      </c>
      <c r="I65" s="64">
        <v>6.33</v>
      </c>
      <c r="J65" s="64">
        <v>0.26</v>
      </c>
      <c r="K65" s="64">
        <v>187.9</v>
      </c>
      <c r="L65" s="64">
        <v>37.69</v>
      </c>
      <c r="M65" s="64">
        <v>20.93</v>
      </c>
      <c r="N65" s="64">
        <v>706</v>
      </c>
      <c r="O65" s="64">
        <v>0</v>
      </c>
      <c r="P65" s="64">
        <v>0.59</v>
      </c>
      <c r="Q65" s="64">
        <v>9.11</v>
      </c>
      <c r="R65" s="198"/>
      <c r="S65" s="198"/>
      <c r="T65" s="198"/>
      <c r="U65" s="198"/>
    </row>
    <row r="66" spans="1:21" s="12" customFormat="1" x14ac:dyDescent="0.25">
      <c r="A66" s="214" t="s">
        <v>2705</v>
      </c>
      <c r="B66" s="64">
        <v>0.72</v>
      </c>
      <c r="C66" s="64">
        <v>29.25</v>
      </c>
      <c r="D66" s="64">
        <v>15.78</v>
      </c>
      <c r="E66" s="64">
        <v>5.26</v>
      </c>
      <c r="F66" s="64">
        <v>62.96</v>
      </c>
      <c r="G66" s="64">
        <v>36.58</v>
      </c>
      <c r="H66" s="64">
        <v>28.97</v>
      </c>
      <c r="I66" s="64">
        <v>6.34</v>
      </c>
      <c r="J66" s="64">
        <v>0.02</v>
      </c>
      <c r="K66" s="64">
        <v>242.76</v>
      </c>
      <c r="L66" s="64">
        <v>38.51</v>
      </c>
      <c r="M66" s="64">
        <v>20.86</v>
      </c>
      <c r="N66" s="64">
        <v>355</v>
      </c>
      <c r="O66" s="64">
        <v>0</v>
      </c>
      <c r="P66" s="64">
        <v>0.55000000000000004</v>
      </c>
      <c r="Q66" s="64">
        <v>9.1300000000000008</v>
      </c>
      <c r="R66" s="198"/>
      <c r="S66" s="198"/>
      <c r="T66" s="198"/>
      <c r="U66" s="198"/>
    </row>
    <row r="67" spans="1:21" s="12" customFormat="1" x14ac:dyDescent="0.25">
      <c r="A67" s="214" t="s">
        <v>2706</v>
      </c>
      <c r="B67" s="64">
        <v>0.63</v>
      </c>
      <c r="C67" s="64">
        <v>28.76</v>
      </c>
      <c r="D67" s="64">
        <v>15.45</v>
      </c>
      <c r="E67" s="64">
        <v>2.95</v>
      </c>
      <c r="F67" s="64">
        <v>30.98</v>
      </c>
      <c r="G67" s="64">
        <v>36.58</v>
      </c>
      <c r="H67" s="64">
        <v>28.97</v>
      </c>
      <c r="I67" s="64">
        <v>5.78</v>
      </c>
      <c r="J67" s="64">
        <v>0.32</v>
      </c>
      <c r="K67" s="64">
        <v>314.33</v>
      </c>
      <c r="L67" s="64">
        <v>38.799999999999997</v>
      </c>
      <c r="M67" s="64">
        <v>20.6</v>
      </c>
      <c r="N67" s="64">
        <v>498.5</v>
      </c>
      <c r="O67" s="64">
        <v>0</v>
      </c>
      <c r="P67" s="64">
        <v>0.52</v>
      </c>
      <c r="Q67" s="64">
        <v>9.1</v>
      </c>
      <c r="R67" s="198"/>
      <c r="S67" s="198"/>
      <c r="T67" s="198"/>
      <c r="U67" s="198"/>
    </row>
    <row r="68" spans="1:21" s="12" customFormat="1" x14ac:dyDescent="0.25">
      <c r="A68" s="214" t="s">
        <v>2707</v>
      </c>
      <c r="B68" s="64">
        <v>0.66</v>
      </c>
      <c r="C68" s="64">
        <v>29.22</v>
      </c>
      <c r="D68" s="64">
        <v>15.71</v>
      </c>
      <c r="E68" s="64">
        <v>2.16</v>
      </c>
      <c r="F68" s="64">
        <v>22.09</v>
      </c>
      <c r="G68" s="64">
        <v>36.58</v>
      </c>
      <c r="H68" s="64">
        <v>28.97</v>
      </c>
      <c r="I68" s="64">
        <v>4.66</v>
      </c>
      <c r="J68" s="64">
        <v>0.86</v>
      </c>
      <c r="K68" s="64">
        <v>311.66000000000003</v>
      </c>
      <c r="L68" s="64">
        <v>38.299999999999997</v>
      </c>
      <c r="M68" s="64">
        <v>19.010000000000002</v>
      </c>
      <c r="N68" s="64">
        <v>280</v>
      </c>
      <c r="O68" s="64">
        <v>0</v>
      </c>
      <c r="P68" s="64">
        <v>0.47</v>
      </c>
      <c r="Q68" s="64">
        <v>9.1</v>
      </c>
      <c r="R68" s="198"/>
      <c r="S68" s="198"/>
      <c r="T68" s="198"/>
      <c r="U68" s="198"/>
    </row>
    <row r="69" spans="1:21" s="12" customFormat="1" x14ac:dyDescent="0.25">
      <c r="A69" s="214" t="s">
        <v>2708</v>
      </c>
      <c r="B69" s="64">
        <v>0.74</v>
      </c>
      <c r="C69" s="64">
        <v>28.82</v>
      </c>
      <c r="D69" s="64">
        <v>15.57</v>
      </c>
      <c r="E69" s="64">
        <v>1.98</v>
      </c>
      <c r="F69" s="64">
        <v>13.26</v>
      </c>
      <c r="G69" s="64">
        <v>35.54</v>
      </c>
      <c r="H69" s="64">
        <v>27.56</v>
      </c>
      <c r="I69" s="64">
        <v>4.38</v>
      </c>
      <c r="J69" s="64">
        <v>0.61</v>
      </c>
      <c r="K69" s="64">
        <v>319.08999999999997</v>
      </c>
      <c r="L69" s="64">
        <v>38.25</v>
      </c>
      <c r="M69" s="64">
        <v>18.39</v>
      </c>
      <c r="N69" s="64">
        <v>257.39999999999998</v>
      </c>
      <c r="O69" s="64">
        <v>0</v>
      </c>
      <c r="P69" s="64">
        <v>0.45</v>
      </c>
      <c r="Q69" s="64">
        <v>9.11</v>
      </c>
      <c r="R69" s="198"/>
      <c r="S69" s="198"/>
      <c r="T69" s="198"/>
      <c r="U69" s="198"/>
    </row>
    <row r="70" spans="1:21" s="12" customFormat="1" x14ac:dyDescent="0.25">
      <c r="A70" s="214" t="s">
        <v>2709</v>
      </c>
      <c r="B70" s="64">
        <v>0.87</v>
      </c>
      <c r="C70" s="64">
        <v>27.89</v>
      </c>
      <c r="D70" s="64">
        <v>15.19</v>
      </c>
      <c r="E70" s="64">
        <v>1.68</v>
      </c>
      <c r="F70" s="64">
        <v>10</v>
      </c>
      <c r="G70" s="64">
        <v>33.57</v>
      </c>
      <c r="H70" s="64">
        <v>24.88</v>
      </c>
      <c r="I70" s="64">
        <v>4.0599999999999996</v>
      </c>
      <c r="J70" s="64">
        <v>0.78</v>
      </c>
      <c r="K70" s="64">
        <v>307.93</v>
      </c>
      <c r="L70" s="64">
        <v>37.4</v>
      </c>
      <c r="M70" s="64">
        <v>19.010000000000002</v>
      </c>
      <c r="N70" s="64">
        <v>316.39999999999998</v>
      </c>
      <c r="O70" s="64">
        <v>0</v>
      </c>
      <c r="P70" s="64">
        <v>0.43</v>
      </c>
      <c r="Q70" s="64">
        <v>9.1300000000000008</v>
      </c>
      <c r="R70" s="198"/>
      <c r="S70" s="198"/>
      <c r="T70" s="198"/>
      <c r="U70" s="198"/>
    </row>
    <row r="71" spans="1:21" s="12" customFormat="1" x14ac:dyDescent="0.25">
      <c r="A71" s="214" t="s">
        <v>2710</v>
      </c>
      <c r="B71" s="64">
        <v>0.98</v>
      </c>
      <c r="C71" s="64">
        <v>26.84</v>
      </c>
      <c r="D71" s="64">
        <v>14.73</v>
      </c>
      <c r="E71" s="64">
        <v>1.5</v>
      </c>
      <c r="F71" s="64">
        <v>8.41</v>
      </c>
      <c r="G71" s="64">
        <v>33.57</v>
      </c>
      <c r="H71" s="64">
        <v>24.88</v>
      </c>
      <c r="I71" s="64">
        <v>3.76</v>
      </c>
      <c r="J71" s="64">
        <v>0.84</v>
      </c>
      <c r="K71" s="64">
        <v>309.27999999999997</v>
      </c>
      <c r="L71" s="64">
        <v>37.06</v>
      </c>
      <c r="M71" s="64">
        <v>19.22</v>
      </c>
      <c r="N71" s="64">
        <v>276.39999999999998</v>
      </c>
      <c r="O71" s="64">
        <v>0</v>
      </c>
      <c r="P71" s="64">
        <v>0.4</v>
      </c>
      <c r="Q71" s="64">
        <v>9.1199999999999992</v>
      </c>
      <c r="R71" s="198"/>
      <c r="S71" s="198"/>
      <c r="T71" s="198"/>
      <c r="U71" s="198"/>
    </row>
    <row r="72" spans="1:21" s="12" customFormat="1" x14ac:dyDescent="0.25">
      <c r="A72" s="214" t="s">
        <v>2711</v>
      </c>
      <c r="B72" s="64">
        <v>1.07</v>
      </c>
      <c r="C72" s="64">
        <v>26.11</v>
      </c>
      <c r="D72" s="64">
        <v>14.42</v>
      </c>
      <c r="E72" s="64">
        <v>2.0299999999999998</v>
      </c>
      <c r="F72" s="64">
        <v>8.66</v>
      </c>
      <c r="G72" s="64">
        <v>33.57</v>
      </c>
      <c r="H72" s="64">
        <v>24.88</v>
      </c>
      <c r="I72" s="64">
        <v>3.57</v>
      </c>
      <c r="J72" s="64">
        <v>0.81</v>
      </c>
      <c r="K72" s="64">
        <v>311.49</v>
      </c>
      <c r="L72" s="64">
        <v>36.54</v>
      </c>
      <c r="M72" s="64">
        <v>18.91</v>
      </c>
      <c r="N72" s="64">
        <v>278.5</v>
      </c>
      <c r="O72" s="64">
        <v>0</v>
      </c>
      <c r="P72" s="64">
        <v>0.38</v>
      </c>
      <c r="Q72" s="64">
        <v>9.11</v>
      </c>
      <c r="R72" s="198"/>
      <c r="S72" s="198"/>
      <c r="T72" s="198"/>
      <c r="U72" s="198"/>
    </row>
    <row r="73" spans="1:21" s="12" customFormat="1" x14ac:dyDescent="0.25">
      <c r="A73" s="214" t="s">
        <v>2712</v>
      </c>
      <c r="B73" s="64">
        <v>1.03</v>
      </c>
      <c r="C73" s="64">
        <v>25.73</v>
      </c>
      <c r="D73" s="64">
        <v>14.19</v>
      </c>
      <c r="E73" s="64">
        <v>1.82</v>
      </c>
      <c r="F73" s="64">
        <v>9.68</v>
      </c>
      <c r="G73" s="64">
        <v>37.89</v>
      </c>
      <c r="H73" s="64">
        <v>24.23</v>
      </c>
      <c r="I73" s="64">
        <v>3.43</v>
      </c>
      <c r="J73" s="64">
        <v>0.7</v>
      </c>
      <c r="K73" s="64">
        <v>309.7</v>
      </c>
      <c r="L73" s="64">
        <v>36.200000000000003</v>
      </c>
      <c r="M73" s="64">
        <v>18.93</v>
      </c>
      <c r="N73" s="64">
        <v>167</v>
      </c>
      <c r="O73" s="64">
        <v>0</v>
      </c>
      <c r="P73" s="64">
        <v>0.35</v>
      </c>
      <c r="Q73" s="64">
        <v>9.09</v>
      </c>
      <c r="R73" s="198"/>
      <c r="S73" s="198"/>
      <c r="T73" s="198"/>
      <c r="U73" s="198"/>
    </row>
    <row r="74" spans="1:21" s="12" customFormat="1" x14ac:dyDescent="0.25">
      <c r="A74" s="214" t="s">
        <v>2713</v>
      </c>
      <c r="B74" s="64">
        <v>1.08</v>
      </c>
      <c r="C74" s="64">
        <v>26.44</v>
      </c>
      <c r="D74" s="64">
        <v>14.6</v>
      </c>
      <c r="E74" s="64">
        <v>1.98</v>
      </c>
      <c r="F74" s="64">
        <v>9.06</v>
      </c>
      <c r="G74" s="64">
        <v>46.1</v>
      </c>
      <c r="H74" s="64">
        <v>22.99</v>
      </c>
      <c r="I74" s="64">
        <v>3.39</v>
      </c>
      <c r="J74" s="64">
        <v>0.46</v>
      </c>
      <c r="K74" s="64">
        <v>312.26</v>
      </c>
      <c r="L74" s="64">
        <v>36</v>
      </c>
      <c r="M74" s="64">
        <v>18.96</v>
      </c>
      <c r="N74" s="64">
        <v>147.4</v>
      </c>
      <c r="O74" s="64">
        <v>0</v>
      </c>
      <c r="P74" s="64">
        <v>0.34</v>
      </c>
      <c r="Q74" s="64">
        <v>9.14</v>
      </c>
      <c r="R74" s="198"/>
      <c r="S74" s="198"/>
      <c r="T74" s="198"/>
      <c r="U74" s="198"/>
    </row>
    <row r="75" spans="1:21" s="12" customFormat="1" x14ac:dyDescent="0.25">
      <c r="A75" s="214" t="s">
        <v>2714</v>
      </c>
      <c r="B75" s="64">
        <v>1.1499999999999999</v>
      </c>
      <c r="C75" s="64">
        <v>29.87</v>
      </c>
      <c r="D75" s="64">
        <v>16.45</v>
      </c>
      <c r="E75" s="64">
        <v>2.09</v>
      </c>
      <c r="F75" s="64">
        <v>7.59</v>
      </c>
      <c r="G75" s="64">
        <v>46.1</v>
      </c>
      <c r="H75" s="64">
        <v>22.99</v>
      </c>
      <c r="I75" s="64">
        <v>2.76</v>
      </c>
      <c r="J75" s="64">
        <v>0.38</v>
      </c>
      <c r="K75" s="64">
        <v>330.96</v>
      </c>
      <c r="L75" s="64">
        <v>35.950000000000003</v>
      </c>
      <c r="M75" s="64">
        <v>19.260000000000002</v>
      </c>
      <c r="N75" s="64">
        <v>117.6</v>
      </c>
      <c r="O75" s="64">
        <v>0</v>
      </c>
      <c r="P75" s="64">
        <v>0.35</v>
      </c>
      <c r="Q75" s="64">
        <v>9.1199999999999992</v>
      </c>
      <c r="R75" s="198"/>
      <c r="S75" s="198"/>
      <c r="T75" s="198"/>
      <c r="U75" s="198"/>
    </row>
    <row r="76" spans="1:21" s="12" customFormat="1" x14ac:dyDescent="0.25">
      <c r="A76" s="214" t="s">
        <v>2715</v>
      </c>
      <c r="B76" s="64">
        <v>1.37</v>
      </c>
      <c r="C76" s="64">
        <v>29.9</v>
      </c>
      <c r="D76" s="64">
        <v>16.64</v>
      </c>
      <c r="E76" s="64">
        <v>1.67</v>
      </c>
      <c r="F76" s="64">
        <v>6.74</v>
      </c>
      <c r="G76" s="64">
        <v>46.1</v>
      </c>
      <c r="H76" s="64">
        <v>22.99</v>
      </c>
      <c r="I76" s="64">
        <v>2.66</v>
      </c>
      <c r="J76" s="64">
        <v>0.34</v>
      </c>
      <c r="K76" s="64">
        <v>337.17</v>
      </c>
      <c r="L76" s="64">
        <v>35.43</v>
      </c>
      <c r="M76" s="64">
        <v>20.260000000000002</v>
      </c>
      <c r="N76" s="64">
        <v>105.8</v>
      </c>
      <c r="O76" s="64">
        <v>0</v>
      </c>
      <c r="P76" s="64">
        <v>0.34</v>
      </c>
      <c r="Q76" s="64">
        <v>9.1199999999999992</v>
      </c>
      <c r="R76" s="198"/>
      <c r="S76" s="198"/>
      <c r="T76" s="198"/>
      <c r="U76" s="198"/>
    </row>
    <row r="77" spans="1:21" s="12" customFormat="1" x14ac:dyDescent="0.25">
      <c r="A77" s="214" t="s">
        <v>2716</v>
      </c>
      <c r="B77" s="64">
        <v>1.48</v>
      </c>
      <c r="C77" s="64">
        <v>31.08</v>
      </c>
      <c r="D77" s="64">
        <v>17.34</v>
      </c>
      <c r="E77" s="64">
        <v>1.75</v>
      </c>
      <c r="F77" s="64">
        <v>6.74</v>
      </c>
      <c r="G77" s="64">
        <v>39.75</v>
      </c>
      <c r="H77" s="64">
        <v>21.1</v>
      </c>
      <c r="I77" s="64">
        <v>2.5299999999999998</v>
      </c>
      <c r="J77" s="64">
        <v>0.34</v>
      </c>
      <c r="K77" s="64">
        <v>342.58</v>
      </c>
      <c r="L77" s="64">
        <v>34.99</v>
      </c>
      <c r="M77" s="64">
        <v>21.07</v>
      </c>
      <c r="N77" s="64">
        <v>104.6</v>
      </c>
      <c r="O77" s="64">
        <v>0</v>
      </c>
      <c r="P77" s="64">
        <v>0.34</v>
      </c>
      <c r="Q77" s="64">
        <v>9.1199999999999992</v>
      </c>
      <c r="R77" s="198"/>
      <c r="S77" s="198"/>
      <c r="T77" s="198"/>
      <c r="U77" s="198"/>
    </row>
    <row r="78" spans="1:21" s="12" customFormat="1" x14ac:dyDescent="0.25">
      <c r="A78" s="214" t="s">
        <v>2717</v>
      </c>
      <c r="B78" s="64">
        <v>1.31</v>
      </c>
      <c r="C78" s="64">
        <v>32.08</v>
      </c>
      <c r="D78" s="64">
        <v>17.73</v>
      </c>
      <c r="E78" s="64">
        <v>1.78</v>
      </c>
      <c r="F78" s="64">
        <v>8.2799999999999994</v>
      </c>
      <c r="G78" s="64">
        <v>27.66</v>
      </c>
      <c r="H78" s="64">
        <v>17.489999999999998</v>
      </c>
      <c r="I78" s="64">
        <v>2.5499999999999998</v>
      </c>
      <c r="J78" s="64">
        <v>0.2</v>
      </c>
      <c r="K78" s="64">
        <v>354.41</v>
      </c>
      <c r="L78" s="64">
        <v>34.76</v>
      </c>
      <c r="M78" s="64">
        <v>21.51</v>
      </c>
      <c r="N78" s="64">
        <v>82</v>
      </c>
      <c r="O78" s="64">
        <v>0</v>
      </c>
      <c r="P78" s="64">
        <v>0.34</v>
      </c>
      <c r="Q78" s="64">
        <v>9.11</v>
      </c>
      <c r="R78" s="198"/>
      <c r="S78" s="198"/>
      <c r="T78" s="198"/>
      <c r="U78" s="198"/>
    </row>
    <row r="79" spans="1:21" s="12" customFormat="1" x14ac:dyDescent="0.25">
      <c r="A79" s="214" t="s">
        <v>2718</v>
      </c>
      <c r="B79" s="64">
        <v>1.2</v>
      </c>
      <c r="C79" s="64">
        <v>33.840000000000003</v>
      </c>
      <c r="D79" s="64">
        <v>18.559999999999999</v>
      </c>
      <c r="E79" s="64">
        <v>1.72</v>
      </c>
      <c r="F79" s="64">
        <v>8.92</v>
      </c>
      <c r="G79" s="64">
        <v>27.66</v>
      </c>
      <c r="H79" s="64">
        <v>17.489999999999998</v>
      </c>
      <c r="I79" s="64">
        <v>2.5099999999999998</v>
      </c>
      <c r="J79" s="64">
        <v>0.3</v>
      </c>
      <c r="K79" s="64">
        <v>333.15</v>
      </c>
      <c r="L79" s="64">
        <v>34.18</v>
      </c>
      <c r="M79" s="64">
        <v>22.66</v>
      </c>
      <c r="N79" s="64">
        <v>49.8</v>
      </c>
      <c r="O79" s="64">
        <v>0</v>
      </c>
      <c r="P79" s="64">
        <v>0.37</v>
      </c>
      <c r="Q79" s="64">
        <v>9.1300000000000008</v>
      </c>
      <c r="R79" s="198"/>
      <c r="S79" s="198"/>
      <c r="T79" s="198"/>
      <c r="U79" s="198"/>
    </row>
    <row r="80" spans="1:21" s="12" customFormat="1" x14ac:dyDescent="0.25">
      <c r="A80" s="214" t="s">
        <v>2719</v>
      </c>
      <c r="B80" s="64">
        <v>1.21</v>
      </c>
      <c r="C80" s="64">
        <v>35.28</v>
      </c>
      <c r="D80" s="64">
        <v>19.32</v>
      </c>
      <c r="E80" s="64">
        <v>1.69</v>
      </c>
      <c r="F80" s="64">
        <v>6.82</v>
      </c>
      <c r="G80" s="64">
        <v>27.66</v>
      </c>
      <c r="H80" s="64">
        <v>17.489999999999998</v>
      </c>
      <c r="I80" s="64">
        <v>2.4</v>
      </c>
      <c r="J80" s="64">
        <v>0.27</v>
      </c>
      <c r="K80" s="64">
        <v>319.64</v>
      </c>
      <c r="L80" s="64">
        <v>33.729999999999997</v>
      </c>
      <c r="M80" s="64">
        <v>22.74</v>
      </c>
      <c r="N80" s="64">
        <v>40.5</v>
      </c>
      <c r="O80" s="64">
        <v>0</v>
      </c>
      <c r="P80" s="64">
        <v>0.39</v>
      </c>
      <c r="Q80" s="64">
        <v>9.15</v>
      </c>
      <c r="R80" s="198"/>
      <c r="S80" s="198"/>
      <c r="T80" s="198"/>
      <c r="U80" s="198"/>
    </row>
    <row r="81" spans="1:26" s="12" customFormat="1" x14ac:dyDescent="0.25">
      <c r="A81" s="214" t="s">
        <v>2720</v>
      </c>
      <c r="B81" s="64">
        <v>1.54</v>
      </c>
      <c r="C81" s="64">
        <v>35.25</v>
      </c>
      <c r="D81" s="64">
        <v>19.57</v>
      </c>
      <c r="E81" s="64">
        <v>1.54</v>
      </c>
      <c r="F81" s="64">
        <v>4.59</v>
      </c>
      <c r="G81" s="64">
        <v>32.75</v>
      </c>
      <c r="H81" s="64">
        <v>23.8</v>
      </c>
      <c r="I81" s="64">
        <v>2.54</v>
      </c>
      <c r="J81" s="64">
        <v>0.2</v>
      </c>
      <c r="K81" s="64">
        <v>356.88</v>
      </c>
      <c r="L81" s="64">
        <v>33.44</v>
      </c>
      <c r="M81" s="64">
        <v>23.05</v>
      </c>
      <c r="N81" s="64">
        <v>29.3</v>
      </c>
      <c r="O81" s="64">
        <v>0</v>
      </c>
      <c r="P81" s="64">
        <v>0.42</v>
      </c>
      <c r="Q81" s="64">
        <v>9.1300000000000008</v>
      </c>
      <c r="R81" s="198"/>
      <c r="S81" s="198"/>
      <c r="T81" s="198"/>
      <c r="U81" s="198"/>
    </row>
    <row r="82" spans="1:26" s="12" customFormat="1" x14ac:dyDescent="0.25">
      <c r="A82" s="214" t="s">
        <v>2721</v>
      </c>
      <c r="B82" s="64">
        <v>1.99</v>
      </c>
      <c r="C82" s="64">
        <v>31.59</v>
      </c>
      <c r="D82" s="64">
        <v>18.02</v>
      </c>
      <c r="E82" s="64">
        <v>1.44</v>
      </c>
      <c r="F82" s="64">
        <v>4.46</v>
      </c>
      <c r="G82" s="64">
        <v>42.42</v>
      </c>
      <c r="H82" s="64">
        <v>35.799999999999997</v>
      </c>
      <c r="I82" s="64">
        <v>2.88</v>
      </c>
      <c r="J82" s="64">
        <v>0.28999999999999998</v>
      </c>
      <c r="K82" s="64">
        <v>352.88</v>
      </c>
      <c r="L82" s="64">
        <v>33.090000000000003</v>
      </c>
      <c r="M82" s="64">
        <v>23.39</v>
      </c>
      <c r="N82" s="64">
        <v>24.8</v>
      </c>
      <c r="O82" s="64">
        <v>0</v>
      </c>
      <c r="P82" s="64">
        <v>0.44</v>
      </c>
      <c r="Q82" s="64">
        <v>9.1199999999999992</v>
      </c>
      <c r="R82" s="198"/>
      <c r="S82" s="198"/>
      <c r="T82" s="198"/>
      <c r="U82" s="198"/>
    </row>
    <row r="83" spans="1:26" s="12" customFormat="1" x14ac:dyDescent="0.25">
      <c r="A83" s="214" t="s">
        <v>2722</v>
      </c>
      <c r="B83" s="64">
        <v>2.3199999999999998</v>
      </c>
      <c r="C83" s="64">
        <v>33.17</v>
      </c>
      <c r="D83" s="64">
        <v>19.11</v>
      </c>
      <c r="E83" s="64">
        <v>1.66</v>
      </c>
      <c r="F83" s="64">
        <v>4.5</v>
      </c>
      <c r="G83" s="64">
        <v>42.42</v>
      </c>
      <c r="H83" s="64">
        <v>35.799999999999997</v>
      </c>
      <c r="I83" s="64">
        <v>3.46</v>
      </c>
      <c r="J83" s="64">
        <v>0.32</v>
      </c>
      <c r="K83" s="64">
        <v>341.75</v>
      </c>
      <c r="L83" s="64">
        <v>32.880000000000003</v>
      </c>
      <c r="M83" s="64">
        <v>23.53</v>
      </c>
      <c r="N83" s="64">
        <v>23.7</v>
      </c>
      <c r="O83" s="64">
        <v>0</v>
      </c>
      <c r="P83" s="64">
        <v>0.45</v>
      </c>
      <c r="Q83" s="64">
        <v>9.1199999999999992</v>
      </c>
      <c r="R83" s="198"/>
      <c r="S83" s="198"/>
      <c r="T83" s="198"/>
      <c r="U83" s="198"/>
    </row>
    <row r="84" spans="1:26" s="12" customFormat="1" x14ac:dyDescent="0.25">
      <c r="A84" s="214" t="s">
        <v>2723</v>
      </c>
      <c r="B84" s="64">
        <v>2.4300000000000002</v>
      </c>
      <c r="C84" s="64">
        <v>33.53</v>
      </c>
      <c r="D84" s="64">
        <v>19.38</v>
      </c>
      <c r="E84" s="64">
        <v>1.59</v>
      </c>
      <c r="F84" s="64">
        <v>4.46</v>
      </c>
      <c r="G84" s="64">
        <v>42.42</v>
      </c>
      <c r="H84" s="64">
        <v>35.799999999999997</v>
      </c>
      <c r="I84" s="64">
        <v>3.82</v>
      </c>
      <c r="J84" s="64">
        <v>0.24</v>
      </c>
      <c r="K84" s="64">
        <v>333.49</v>
      </c>
      <c r="L84" s="64">
        <v>32.380000000000003</v>
      </c>
      <c r="M84" s="64">
        <v>24.64</v>
      </c>
      <c r="N84" s="64">
        <v>23.7</v>
      </c>
      <c r="O84" s="64">
        <v>0</v>
      </c>
      <c r="P84" s="64">
        <v>0.47</v>
      </c>
      <c r="Q84" s="64">
        <v>9.1199999999999992</v>
      </c>
      <c r="R84" s="198"/>
      <c r="S84" s="198"/>
      <c r="T84" s="198"/>
      <c r="U84" s="198"/>
    </row>
    <row r="85" spans="1:26" s="12" customFormat="1" x14ac:dyDescent="0.25">
      <c r="A85" s="214" t="s">
        <v>2724</v>
      </c>
      <c r="B85" s="64">
        <v>2.68</v>
      </c>
      <c r="C85" s="64">
        <v>33.36</v>
      </c>
      <c r="D85" s="64">
        <v>19.5</v>
      </c>
      <c r="E85" s="64">
        <v>1.57</v>
      </c>
      <c r="F85" s="64">
        <v>4.3</v>
      </c>
      <c r="G85" s="64">
        <v>42.41</v>
      </c>
      <c r="H85" s="64">
        <v>31.59</v>
      </c>
      <c r="I85" s="64">
        <v>4.1399999999999997</v>
      </c>
      <c r="J85" s="64">
        <v>0.45</v>
      </c>
      <c r="K85" s="64">
        <v>309.26</v>
      </c>
      <c r="L85" s="64">
        <v>31.77</v>
      </c>
      <c r="M85" s="64">
        <v>26.98</v>
      </c>
      <c r="N85" s="64">
        <v>23.4</v>
      </c>
      <c r="O85" s="64">
        <v>0</v>
      </c>
      <c r="P85" s="64">
        <v>0.5</v>
      </c>
      <c r="Q85" s="64">
        <v>9.15</v>
      </c>
      <c r="R85" s="198"/>
      <c r="S85" s="198"/>
      <c r="T85" s="198"/>
      <c r="U85" s="198"/>
    </row>
    <row r="86" spans="1:26" s="12" customFormat="1" x14ac:dyDescent="0.25">
      <c r="A86" s="214" t="s">
        <v>2725</v>
      </c>
      <c r="B86" s="64">
        <v>3.12</v>
      </c>
      <c r="C86" s="64">
        <v>33.03</v>
      </c>
      <c r="D86" s="64">
        <v>19.68</v>
      </c>
      <c r="E86" s="64">
        <v>1.52</v>
      </c>
      <c r="F86" s="64">
        <v>4.2300000000000004</v>
      </c>
      <c r="G86" s="64">
        <v>42.4</v>
      </c>
      <c r="H86" s="64">
        <v>23.57</v>
      </c>
      <c r="I86" s="64">
        <v>4</v>
      </c>
      <c r="J86" s="64">
        <v>0.84</v>
      </c>
      <c r="K86" s="64">
        <v>309.27</v>
      </c>
      <c r="L86" s="64">
        <v>31.62</v>
      </c>
      <c r="M86" s="64">
        <v>27.43</v>
      </c>
      <c r="N86" s="64">
        <v>23</v>
      </c>
      <c r="O86" s="64">
        <v>0</v>
      </c>
      <c r="P86" s="64">
        <v>0.55000000000000004</v>
      </c>
      <c r="Q86" s="64">
        <v>9.1199999999999992</v>
      </c>
      <c r="R86" s="198"/>
      <c r="S86" s="198"/>
      <c r="T86" s="198"/>
      <c r="U86" s="198"/>
    </row>
    <row r="87" spans="1:26" s="12" customFormat="1" x14ac:dyDescent="0.25">
      <c r="A87" s="214" t="s">
        <v>2726</v>
      </c>
      <c r="B87" s="64">
        <v>3.34</v>
      </c>
      <c r="C87" s="64">
        <v>33.64</v>
      </c>
      <c r="D87" s="64">
        <v>20.170000000000002</v>
      </c>
      <c r="E87" s="64">
        <v>1.58</v>
      </c>
      <c r="F87" s="64">
        <v>4.5</v>
      </c>
      <c r="G87" s="64">
        <v>42.4</v>
      </c>
      <c r="H87" s="64">
        <v>23.57</v>
      </c>
      <c r="I87" s="64">
        <v>4.3499999999999996</v>
      </c>
      <c r="J87" s="64">
        <v>1.18</v>
      </c>
      <c r="K87" s="64">
        <v>314.74</v>
      </c>
      <c r="L87" s="64">
        <v>31.34</v>
      </c>
      <c r="M87" s="64">
        <v>28.68</v>
      </c>
      <c r="N87" s="64">
        <v>23.6</v>
      </c>
      <c r="O87" s="64">
        <v>0</v>
      </c>
      <c r="P87" s="64">
        <v>0.56999999999999995</v>
      </c>
      <c r="Q87" s="64">
        <v>9.15</v>
      </c>
      <c r="R87" s="198"/>
      <c r="S87" s="198"/>
      <c r="T87" s="198"/>
      <c r="U87" s="198"/>
    </row>
    <row r="88" spans="1:26" s="12" customFormat="1" x14ac:dyDescent="0.25">
      <c r="A88" s="214" t="s">
        <v>2727</v>
      </c>
      <c r="B88" s="64">
        <v>3.26</v>
      </c>
      <c r="C88" s="64">
        <v>33.24</v>
      </c>
      <c r="D88" s="64">
        <v>19.899999999999999</v>
      </c>
      <c r="E88" s="64">
        <v>0.95</v>
      </c>
      <c r="F88" s="64">
        <v>4.54</v>
      </c>
      <c r="G88" s="64">
        <v>42.4</v>
      </c>
      <c r="H88" s="64">
        <v>23.57</v>
      </c>
      <c r="I88" s="64">
        <v>4.1900000000000004</v>
      </c>
      <c r="J88" s="64">
        <v>0.77</v>
      </c>
      <c r="K88" s="64">
        <v>313.24</v>
      </c>
      <c r="L88" s="64">
        <v>30.92</v>
      </c>
      <c r="M88" s="64">
        <v>29.58</v>
      </c>
      <c r="N88" s="64">
        <v>23.8</v>
      </c>
      <c r="O88" s="64">
        <v>0</v>
      </c>
      <c r="P88" s="64">
        <v>0.57999999999999996</v>
      </c>
      <c r="Q88" s="64">
        <v>9.15</v>
      </c>
      <c r="R88" s="198"/>
      <c r="S88" s="198"/>
      <c r="T88" s="198"/>
      <c r="U88" s="198"/>
    </row>
    <row r="89" spans="1:26" s="12" customFormat="1" x14ac:dyDescent="0.25">
      <c r="A89" s="214" t="s">
        <v>2728</v>
      </c>
      <c r="B89" s="64">
        <v>3.1</v>
      </c>
      <c r="C89" s="64">
        <v>33.270000000000003</v>
      </c>
      <c r="D89" s="64">
        <v>19.79</v>
      </c>
      <c r="E89" s="64">
        <v>1.3</v>
      </c>
      <c r="F89" s="64">
        <v>4.62</v>
      </c>
      <c r="G89" s="64">
        <v>43.58</v>
      </c>
      <c r="H89" s="64">
        <v>23.99</v>
      </c>
      <c r="I89" s="64">
        <v>4.17</v>
      </c>
      <c r="J89" s="64">
        <v>0.82</v>
      </c>
      <c r="K89" s="64">
        <v>312.87</v>
      </c>
      <c r="L89" s="64">
        <v>30.7</v>
      </c>
      <c r="M89" s="64">
        <v>30.33</v>
      </c>
      <c r="N89" s="64">
        <v>23.5</v>
      </c>
      <c r="O89" s="64">
        <v>0</v>
      </c>
      <c r="P89" s="64">
        <v>0.59</v>
      </c>
      <c r="Q89" s="64">
        <v>9.1300000000000008</v>
      </c>
      <c r="R89" s="198"/>
      <c r="S89" s="198"/>
      <c r="T89" s="198"/>
      <c r="U89" s="198"/>
    </row>
    <row r="90" spans="1:26" s="12" customFormat="1" x14ac:dyDescent="0.25">
      <c r="A90" s="214" t="s">
        <v>2729</v>
      </c>
      <c r="B90" s="64">
        <v>2.94</v>
      </c>
      <c r="C90" s="64">
        <v>32.75</v>
      </c>
      <c r="D90" s="64">
        <v>19.39</v>
      </c>
      <c r="E90" s="64">
        <v>1.72</v>
      </c>
      <c r="F90" s="64">
        <v>4.26</v>
      </c>
      <c r="G90" s="64">
        <v>45.84</v>
      </c>
      <c r="H90" s="64">
        <v>24.77</v>
      </c>
      <c r="I90" s="64">
        <v>4.17</v>
      </c>
      <c r="J90" s="64">
        <v>0.96</v>
      </c>
      <c r="K90" s="64">
        <v>313.79000000000002</v>
      </c>
      <c r="L90" s="64">
        <v>30.47</v>
      </c>
      <c r="M90" s="64">
        <v>31.5</v>
      </c>
      <c r="N90" s="64">
        <v>23.6</v>
      </c>
      <c r="O90" s="64">
        <v>0</v>
      </c>
      <c r="P90" s="64">
        <v>0.6</v>
      </c>
      <c r="Q90" s="64">
        <v>9.1300000000000008</v>
      </c>
      <c r="R90" s="198"/>
      <c r="S90" s="198"/>
      <c r="T90" s="198"/>
      <c r="U90" s="198"/>
    </row>
    <row r="91" spans="1:26" s="12" customFormat="1" x14ac:dyDescent="0.25">
      <c r="A91" s="214" t="s">
        <v>2730</v>
      </c>
      <c r="B91" s="64">
        <v>2.95</v>
      </c>
      <c r="C91" s="64">
        <v>32.43</v>
      </c>
      <c r="D91" s="64">
        <v>19.23</v>
      </c>
      <c r="E91" s="64">
        <v>1.7</v>
      </c>
      <c r="F91" s="64">
        <v>4.62</v>
      </c>
      <c r="G91" s="64">
        <v>45.84</v>
      </c>
      <c r="H91" s="64">
        <v>24.77</v>
      </c>
      <c r="I91" s="64">
        <v>4.1500000000000004</v>
      </c>
      <c r="J91" s="64">
        <v>1.22</v>
      </c>
      <c r="K91" s="64">
        <v>317.85000000000002</v>
      </c>
      <c r="L91" s="64">
        <v>30.23</v>
      </c>
      <c r="M91" s="64">
        <v>32.58</v>
      </c>
      <c r="N91" s="64">
        <v>23.3</v>
      </c>
      <c r="O91" s="64">
        <v>0</v>
      </c>
      <c r="P91" s="64">
        <v>0.6</v>
      </c>
      <c r="Q91" s="64">
        <v>9.1199999999999992</v>
      </c>
      <c r="R91" s="198"/>
      <c r="S91" s="198"/>
      <c r="T91" s="198"/>
      <c r="U91" s="198"/>
    </row>
    <row r="92" spans="1:26" s="12" customFormat="1" x14ac:dyDescent="0.25">
      <c r="A92" s="214" t="s">
        <v>2731</v>
      </c>
      <c r="B92" s="64">
        <v>2.97</v>
      </c>
      <c r="C92" s="64">
        <v>31.92</v>
      </c>
      <c r="D92" s="64">
        <v>18.98</v>
      </c>
      <c r="E92" s="64">
        <v>1.51</v>
      </c>
      <c r="F92" s="64">
        <v>4.62</v>
      </c>
      <c r="G92" s="64">
        <v>45.84</v>
      </c>
      <c r="H92" s="64">
        <v>24.77</v>
      </c>
      <c r="I92" s="64">
        <v>4.12</v>
      </c>
      <c r="J92" s="64">
        <v>1.24</v>
      </c>
      <c r="K92" s="64">
        <v>323.77999999999997</v>
      </c>
      <c r="L92" s="64">
        <v>29.98</v>
      </c>
      <c r="M92" s="64">
        <v>33.54</v>
      </c>
      <c r="N92" s="64">
        <v>23.5</v>
      </c>
      <c r="O92" s="64">
        <v>0</v>
      </c>
      <c r="P92" s="64">
        <v>0.6</v>
      </c>
      <c r="Q92" s="64">
        <v>9.16</v>
      </c>
      <c r="R92" s="198"/>
      <c r="S92" s="198"/>
      <c r="T92" s="198"/>
      <c r="U92" s="198"/>
    </row>
    <row r="93" spans="1:26" s="12" customFormat="1" x14ac:dyDescent="0.25">
      <c r="A93" s="214" t="s">
        <v>2732</v>
      </c>
      <c r="B93" s="64">
        <v>3</v>
      </c>
      <c r="C93" s="64">
        <v>32.49</v>
      </c>
      <c r="D93" s="64">
        <v>19.3</v>
      </c>
      <c r="E93" s="64">
        <v>1.57</v>
      </c>
      <c r="F93" s="64">
        <v>4.5</v>
      </c>
      <c r="G93" s="64">
        <v>43.91</v>
      </c>
      <c r="H93" s="64">
        <v>22.31</v>
      </c>
      <c r="I93" s="64">
        <v>4.08</v>
      </c>
      <c r="J93" s="64">
        <v>0.75</v>
      </c>
      <c r="K93" s="64">
        <v>316.38</v>
      </c>
      <c r="L93" s="64">
        <v>29.78</v>
      </c>
      <c r="M93" s="64">
        <v>34.51</v>
      </c>
      <c r="N93" s="64">
        <v>23.7</v>
      </c>
      <c r="O93" s="64">
        <v>0</v>
      </c>
      <c r="P93" s="64">
        <v>0.61</v>
      </c>
      <c r="Q93" s="64">
        <v>9.14</v>
      </c>
      <c r="R93" s="198"/>
      <c r="S93" s="198"/>
      <c r="T93" s="198"/>
      <c r="U93" s="198"/>
    </row>
    <row r="94" spans="1:26" s="12" customFormat="1" x14ac:dyDescent="0.25">
      <c r="A94" s="214" t="s">
        <v>2733</v>
      </c>
      <c r="B94" s="64">
        <v>3.03</v>
      </c>
      <c r="C94" s="64">
        <v>35.47</v>
      </c>
      <c r="D94" s="64">
        <v>20.89</v>
      </c>
      <c r="E94" s="64">
        <v>1.5</v>
      </c>
      <c r="F94" s="64">
        <v>4.13</v>
      </c>
      <c r="G94" s="64">
        <v>40.22</v>
      </c>
      <c r="H94" s="64">
        <v>17.63</v>
      </c>
      <c r="I94" s="64">
        <v>3.98</v>
      </c>
      <c r="J94" s="64">
        <v>0.83</v>
      </c>
      <c r="K94" s="64">
        <v>329.66</v>
      </c>
      <c r="L94" s="64">
        <v>29.66</v>
      </c>
      <c r="M94" s="64">
        <v>34.619999999999997</v>
      </c>
      <c r="N94" s="64">
        <v>23.7</v>
      </c>
      <c r="O94" s="64">
        <v>0</v>
      </c>
      <c r="P94" s="64">
        <v>0.62</v>
      </c>
      <c r="Q94" s="64">
        <v>9.1300000000000008</v>
      </c>
      <c r="R94" s="198"/>
      <c r="S94" s="198"/>
      <c r="T94" s="198"/>
      <c r="U94" s="198"/>
    </row>
    <row r="95" spans="1:26" s="12" customFormat="1" x14ac:dyDescent="0.25">
      <c r="A95" s="214" t="s">
        <v>2734</v>
      </c>
      <c r="B95" s="64">
        <v>3.3</v>
      </c>
      <c r="C95" s="64">
        <v>34.770000000000003</v>
      </c>
      <c r="D95" s="64">
        <v>20.74</v>
      </c>
      <c r="E95" s="64">
        <v>1.55</v>
      </c>
      <c r="F95" s="64">
        <v>3.94</v>
      </c>
      <c r="G95" s="64">
        <v>40.22</v>
      </c>
      <c r="H95" s="64">
        <v>17.63</v>
      </c>
      <c r="I95" s="64">
        <v>3.95</v>
      </c>
      <c r="J95" s="64">
        <v>0.81</v>
      </c>
      <c r="K95" s="64">
        <v>327.67</v>
      </c>
      <c r="L95" s="64">
        <v>29.35</v>
      </c>
      <c r="M95" s="64">
        <v>35.130000000000003</v>
      </c>
      <c r="N95" s="64">
        <v>23.5</v>
      </c>
      <c r="O95" s="64">
        <v>0</v>
      </c>
      <c r="P95" s="64">
        <v>0.62</v>
      </c>
      <c r="Q95" s="64">
        <v>9.17</v>
      </c>
      <c r="R95" s="198"/>
      <c r="S95" s="198"/>
      <c r="T95" s="198"/>
      <c r="U95" s="198"/>
    </row>
    <row r="96" spans="1:26" s="12" customFormat="1" x14ac:dyDescent="0.25">
      <c r="A96" s="214" t="s">
        <v>2735</v>
      </c>
      <c r="B96" s="64">
        <v>3.68</v>
      </c>
      <c r="C96" s="64">
        <v>33.74</v>
      </c>
      <c r="D96" s="64">
        <v>20.5</v>
      </c>
      <c r="E96" s="64">
        <v>1.34</v>
      </c>
      <c r="F96" s="64">
        <v>3.97</v>
      </c>
      <c r="G96" s="64">
        <v>40.22</v>
      </c>
      <c r="H96" s="64">
        <v>17.63</v>
      </c>
      <c r="I96" s="64">
        <v>3.98</v>
      </c>
      <c r="J96" s="64">
        <v>0.78</v>
      </c>
      <c r="K96" s="64">
        <v>324.72000000000003</v>
      </c>
      <c r="L96" s="64">
        <v>28.9</v>
      </c>
      <c r="M96" s="64">
        <v>36.72</v>
      </c>
      <c r="N96" s="64">
        <v>23.6</v>
      </c>
      <c r="O96" s="64">
        <v>0</v>
      </c>
      <c r="P96" s="64">
        <v>0.63</v>
      </c>
      <c r="Q96" s="64">
        <v>9.15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2736</v>
      </c>
      <c r="B97" s="64">
        <v>3.89</v>
      </c>
      <c r="C97" s="64">
        <v>32.65</v>
      </c>
      <c r="D97" s="64">
        <v>20.100000000000001</v>
      </c>
      <c r="E97" s="64">
        <v>1.43</v>
      </c>
      <c r="F97" s="64">
        <v>4.0199999999999996</v>
      </c>
      <c r="G97" s="64">
        <v>40.21</v>
      </c>
      <c r="H97" s="64">
        <v>21.7</v>
      </c>
      <c r="I97" s="64">
        <v>4.24</v>
      </c>
      <c r="J97" s="64">
        <v>1.57</v>
      </c>
      <c r="K97" s="64">
        <v>329.8</v>
      </c>
      <c r="L97" s="64">
        <v>28.89</v>
      </c>
      <c r="M97" s="64">
        <v>35.5</v>
      </c>
      <c r="N97" s="64">
        <v>22.8</v>
      </c>
      <c r="O97" s="64">
        <v>0</v>
      </c>
      <c r="P97" s="64">
        <v>0.62</v>
      </c>
      <c r="Q97" s="64">
        <v>9.18</v>
      </c>
      <c r="R97" s="198"/>
      <c r="S97" s="198"/>
      <c r="T97" s="198"/>
      <c r="U97" s="198"/>
    </row>
    <row r="98" spans="1:33" s="12" customFormat="1" x14ac:dyDescent="0.25">
      <c r="A98" s="214" t="s">
        <v>2737</v>
      </c>
      <c r="B98" s="64">
        <v>3.89</v>
      </c>
      <c r="C98" s="64">
        <v>32.630000000000003</v>
      </c>
      <c r="D98" s="64">
        <v>20.09</v>
      </c>
      <c r="E98" s="64">
        <v>1.49</v>
      </c>
      <c r="F98" s="64">
        <v>4.2</v>
      </c>
      <c r="G98" s="64">
        <v>40.200000000000003</v>
      </c>
      <c r="H98" s="64">
        <v>29.46</v>
      </c>
      <c r="I98" s="64">
        <v>4.6900000000000004</v>
      </c>
      <c r="J98" s="64">
        <v>2.09</v>
      </c>
      <c r="K98" s="64">
        <v>335.63</v>
      </c>
      <c r="L98" s="64">
        <v>28.91</v>
      </c>
      <c r="M98" s="64">
        <v>34.96</v>
      </c>
      <c r="N98" s="64">
        <v>23.6</v>
      </c>
      <c r="O98" s="64">
        <v>0</v>
      </c>
      <c r="P98" s="64">
        <v>0.61</v>
      </c>
      <c r="Q98" s="64">
        <v>9.17</v>
      </c>
      <c r="R98" s="198"/>
      <c r="S98" s="198"/>
      <c r="T98" s="198"/>
      <c r="U98" s="198"/>
    </row>
    <row r="99" spans="1:33" s="12" customFormat="1" x14ac:dyDescent="0.25">
      <c r="A99" s="214" t="s">
        <v>2738</v>
      </c>
      <c r="B99" s="64">
        <v>3.72</v>
      </c>
      <c r="C99" s="64">
        <v>32.64</v>
      </c>
      <c r="D99" s="64">
        <v>19.96</v>
      </c>
      <c r="E99" s="64">
        <v>1.63</v>
      </c>
      <c r="F99" s="64">
        <v>4.63</v>
      </c>
      <c r="G99" s="64">
        <v>40.200000000000003</v>
      </c>
      <c r="H99" s="64">
        <v>29.46</v>
      </c>
      <c r="I99" s="64">
        <v>4.75</v>
      </c>
      <c r="J99" s="64">
        <v>2.58</v>
      </c>
      <c r="K99" s="64">
        <v>345.87</v>
      </c>
      <c r="L99" s="64">
        <v>28.81</v>
      </c>
      <c r="M99" s="64">
        <v>34.44</v>
      </c>
      <c r="N99" s="64">
        <v>23.6</v>
      </c>
      <c r="O99" s="64">
        <v>0</v>
      </c>
      <c r="P99" s="64">
        <v>0.59</v>
      </c>
      <c r="Q99" s="64">
        <v>9.16</v>
      </c>
      <c r="R99" s="198"/>
      <c r="S99" s="198"/>
      <c r="T99" s="198"/>
      <c r="U99" s="198"/>
    </row>
    <row r="100" spans="1:33" s="12" customFormat="1" x14ac:dyDescent="0.25">
      <c r="A100" s="214" t="s">
        <v>2739</v>
      </c>
      <c r="B100" s="64">
        <v>3.49</v>
      </c>
      <c r="C100" s="64">
        <v>32.85</v>
      </c>
      <c r="D100" s="64">
        <v>19.88</v>
      </c>
      <c r="E100" s="64">
        <v>1.39</v>
      </c>
      <c r="F100" s="64">
        <v>4.95</v>
      </c>
      <c r="G100" s="64">
        <v>40.200000000000003</v>
      </c>
      <c r="H100" s="64">
        <v>29.46</v>
      </c>
      <c r="I100" s="64">
        <v>4.5999999999999996</v>
      </c>
      <c r="J100" s="64">
        <v>2.4500000000000002</v>
      </c>
      <c r="K100" s="64">
        <v>355.74</v>
      </c>
      <c r="L100" s="64">
        <v>28.81</v>
      </c>
      <c r="M100" s="64">
        <v>33.49</v>
      </c>
      <c r="N100" s="64">
        <v>23.6</v>
      </c>
      <c r="O100" s="64">
        <v>0</v>
      </c>
      <c r="P100" s="64">
        <v>0.56999999999999995</v>
      </c>
      <c r="Q100" s="64">
        <v>9.15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2740</v>
      </c>
      <c r="B101" s="64">
        <v>3.45</v>
      </c>
      <c r="C101" s="64">
        <v>34.15</v>
      </c>
      <c r="D101" s="64">
        <v>20.53</v>
      </c>
      <c r="E101" s="64">
        <v>1.74</v>
      </c>
      <c r="F101" s="64">
        <v>4.46</v>
      </c>
      <c r="G101" s="64">
        <v>40.81</v>
      </c>
      <c r="H101" s="64">
        <v>29.34</v>
      </c>
      <c r="I101" s="64">
        <v>4.33</v>
      </c>
      <c r="J101" s="64">
        <v>1.72</v>
      </c>
      <c r="K101" s="64">
        <v>356.96</v>
      </c>
      <c r="L101" s="64">
        <v>28.75</v>
      </c>
      <c r="M101" s="64">
        <v>33.79</v>
      </c>
      <c r="N101" s="64">
        <v>24.1</v>
      </c>
      <c r="O101" s="64">
        <v>0</v>
      </c>
      <c r="P101" s="64">
        <v>0.55000000000000004</v>
      </c>
      <c r="Q101" s="64">
        <v>9.1999999999999993</v>
      </c>
      <c r="R101" s="198"/>
      <c r="S101" s="198"/>
      <c r="T101" s="198"/>
      <c r="U101" s="198"/>
    </row>
    <row r="102" spans="1:33" s="12" customFormat="1" x14ac:dyDescent="0.25">
      <c r="A102" s="214" t="s">
        <v>2741</v>
      </c>
      <c r="B102" s="64">
        <v>3.5</v>
      </c>
      <c r="C102" s="64">
        <v>32.51</v>
      </c>
      <c r="D102" s="64">
        <v>19.71</v>
      </c>
      <c r="E102" s="64">
        <v>1.56</v>
      </c>
      <c r="F102" s="64">
        <v>4.21</v>
      </c>
      <c r="G102" s="64">
        <v>41.95</v>
      </c>
      <c r="H102" s="64">
        <v>29.13</v>
      </c>
      <c r="I102" s="64">
        <v>4.28</v>
      </c>
      <c r="J102" s="64">
        <v>0.72</v>
      </c>
      <c r="K102" s="64">
        <v>0.34</v>
      </c>
      <c r="L102" s="64">
        <v>28.69</v>
      </c>
      <c r="M102" s="64">
        <v>34.57</v>
      </c>
      <c r="N102" s="64">
        <v>24.2</v>
      </c>
      <c r="O102" s="64">
        <v>0</v>
      </c>
      <c r="P102" s="64">
        <v>0.54</v>
      </c>
      <c r="Q102" s="64">
        <v>9.15</v>
      </c>
      <c r="R102" s="198"/>
      <c r="S102" s="198"/>
      <c r="T102" s="198"/>
      <c r="U102" s="198"/>
    </row>
    <row r="103" spans="1:33" s="12" customFormat="1" x14ac:dyDescent="0.25">
      <c r="A103" s="214" t="s">
        <v>2742</v>
      </c>
      <c r="B103" s="64">
        <v>3.75</v>
      </c>
      <c r="C103" s="64">
        <v>31.96</v>
      </c>
      <c r="D103" s="64">
        <v>19.62</v>
      </c>
      <c r="E103" s="64">
        <v>1.34</v>
      </c>
      <c r="F103" s="64">
        <v>3.88</v>
      </c>
      <c r="G103" s="64">
        <v>41.95</v>
      </c>
      <c r="H103" s="64">
        <v>29.13</v>
      </c>
      <c r="I103" s="64">
        <v>4.34</v>
      </c>
      <c r="J103" s="64">
        <v>0.42</v>
      </c>
      <c r="K103" s="64">
        <v>19.34</v>
      </c>
      <c r="L103" s="64">
        <v>28.35</v>
      </c>
      <c r="M103" s="64">
        <v>35.64</v>
      </c>
      <c r="N103" s="64">
        <v>24.1</v>
      </c>
      <c r="O103" s="64">
        <v>0</v>
      </c>
      <c r="P103" s="64">
        <v>0.55000000000000004</v>
      </c>
      <c r="Q103" s="64">
        <v>9.14</v>
      </c>
      <c r="R103" s="198"/>
      <c r="S103" s="198"/>
      <c r="T103" s="198"/>
      <c r="U103" s="198"/>
    </row>
    <row r="104" spans="1:33" s="12" customFormat="1" x14ac:dyDescent="0.25">
      <c r="A104" s="214" t="s">
        <v>2743</v>
      </c>
      <c r="B104" s="64">
        <v>4.08</v>
      </c>
      <c r="C104" s="64">
        <v>36.57</v>
      </c>
      <c r="D104" s="64">
        <v>22.3</v>
      </c>
      <c r="E104" s="64">
        <v>1.52</v>
      </c>
      <c r="F104" s="64">
        <v>3.86</v>
      </c>
      <c r="G104" s="64">
        <v>41.95</v>
      </c>
      <c r="H104" s="64">
        <v>29.13</v>
      </c>
      <c r="I104" s="64">
        <v>4.5</v>
      </c>
      <c r="J104" s="64">
        <v>0.47</v>
      </c>
      <c r="K104" s="64">
        <v>9.64</v>
      </c>
      <c r="L104" s="64">
        <v>28.3</v>
      </c>
      <c r="M104" s="64">
        <v>35.94</v>
      </c>
      <c r="N104" s="64">
        <v>24</v>
      </c>
      <c r="O104" s="64">
        <v>0</v>
      </c>
      <c r="P104" s="64">
        <v>0.55000000000000004</v>
      </c>
      <c r="Q104" s="64">
        <v>9.18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0.63</v>
      </c>
      <c r="C106" s="67">
        <f>MIN(C9:C104)</f>
        <v>23.73</v>
      </c>
      <c r="D106" s="67">
        <f t="shared" ref="D106:Q106" si="0">MIN(D9:D104)</f>
        <v>14.19</v>
      </c>
      <c r="E106" s="67">
        <f t="shared" si="0"/>
        <v>0.55000000000000004</v>
      </c>
      <c r="F106" s="67">
        <f t="shared" si="0"/>
        <v>3.06</v>
      </c>
      <c r="G106" s="67">
        <f t="shared" si="0"/>
        <v>27.66</v>
      </c>
      <c r="H106" s="67">
        <f t="shared" si="0"/>
        <v>10.130000000000001</v>
      </c>
      <c r="I106" s="67">
        <f t="shared" si="0"/>
        <v>2.4</v>
      </c>
      <c r="J106" s="67">
        <f t="shared" si="0"/>
        <v>0.02</v>
      </c>
      <c r="K106" s="67">
        <f t="shared" si="0"/>
        <v>0.34</v>
      </c>
      <c r="L106" s="67">
        <f t="shared" si="0"/>
        <v>23.39</v>
      </c>
      <c r="M106" s="67">
        <f t="shared" si="0"/>
        <v>18.39</v>
      </c>
      <c r="N106" s="67">
        <f t="shared" si="0"/>
        <v>16.100000000000001</v>
      </c>
      <c r="O106" s="67">
        <f t="shared" si="0"/>
        <v>0</v>
      </c>
      <c r="P106" s="67">
        <f t="shared" si="0"/>
        <v>0.34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36.11</v>
      </c>
      <c r="C107" s="66">
        <f t="shared" ref="C107:Q107" si="1">MAX(C9:C104)</f>
        <v>36.65</v>
      </c>
      <c r="D107" s="66">
        <f t="shared" si="1"/>
        <v>45.95</v>
      </c>
      <c r="E107" s="66">
        <f t="shared" si="1"/>
        <v>5.26</v>
      </c>
      <c r="F107" s="66">
        <f t="shared" si="1"/>
        <v>62.96</v>
      </c>
      <c r="G107" s="66">
        <f t="shared" si="1"/>
        <v>75.88</v>
      </c>
      <c r="H107" s="66">
        <f t="shared" si="1"/>
        <v>35.799999999999997</v>
      </c>
      <c r="I107" s="66">
        <f t="shared" si="1"/>
        <v>8.9700000000000006</v>
      </c>
      <c r="J107" s="66">
        <f t="shared" si="1"/>
        <v>2.58</v>
      </c>
      <c r="K107" s="66">
        <f t="shared" si="1"/>
        <v>357.11</v>
      </c>
      <c r="L107" s="66">
        <f t="shared" si="1"/>
        <v>39.47</v>
      </c>
      <c r="M107" s="66">
        <f t="shared" si="1"/>
        <v>66.150000000000006</v>
      </c>
      <c r="N107" s="66">
        <f t="shared" si="1"/>
        <v>913.9</v>
      </c>
      <c r="O107" s="66">
        <f t="shared" si="1"/>
        <v>0</v>
      </c>
      <c r="P107" s="66">
        <f t="shared" si="1"/>
        <v>1.1399999999999999</v>
      </c>
      <c r="Q107" s="66">
        <f t="shared" si="1"/>
        <v>9.51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8.5016666666666669</v>
      </c>
      <c r="C108" s="67">
        <f t="shared" ref="C108:Q108" si="2">AVERAGE(C9:C104)</f>
        <v>29.610625000000002</v>
      </c>
      <c r="D108" s="67">
        <f t="shared" si="2"/>
        <v>22.207812500000003</v>
      </c>
      <c r="E108" s="67">
        <f t="shared" si="2"/>
        <v>1.7315625000000008</v>
      </c>
      <c r="F108" s="67">
        <f t="shared" si="2"/>
        <v>7.590416666666667</v>
      </c>
      <c r="G108" s="67">
        <f t="shared" si="2"/>
        <v>46.794374999999974</v>
      </c>
      <c r="H108" s="67">
        <f t="shared" si="2"/>
        <v>20.676979166666673</v>
      </c>
      <c r="I108" s="67">
        <f t="shared" si="2"/>
        <v>5.9363541666666668</v>
      </c>
      <c r="J108" s="67">
        <f t="shared" si="2"/>
        <v>0.49604166666666655</v>
      </c>
      <c r="K108" s="67">
        <f t="shared" si="2"/>
        <v>255.6795833333334</v>
      </c>
      <c r="L108" s="67">
        <f t="shared" si="2"/>
        <v>30.821145833333333</v>
      </c>
      <c r="M108" s="67">
        <f t="shared" si="2"/>
        <v>37.359999999999992</v>
      </c>
      <c r="N108" s="67">
        <f t="shared" si="2"/>
        <v>269.52708333333322</v>
      </c>
      <c r="O108" s="67">
        <f t="shared" si="2"/>
        <v>0</v>
      </c>
      <c r="P108" s="67">
        <f t="shared" si="2"/>
        <v>0.59625000000000028</v>
      </c>
      <c r="Q108" s="67">
        <f t="shared" si="2"/>
        <v>9.0985416666666641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9.2403013925175284</v>
      </c>
      <c r="C109" s="67">
        <f t="shared" ref="C109:Q109" si="3">STDEV(C9:C104)</f>
        <v>3.6744448381247046</v>
      </c>
      <c r="D109" s="67">
        <f t="shared" si="3"/>
        <v>7.3777148370687966</v>
      </c>
      <c r="E109" s="67">
        <f t="shared" si="3"/>
        <v>0.54835126683732727</v>
      </c>
      <c r="F109" s="67">
        <f t="shared" si="3"/>
        <v>8.7217396763751331</v>
      </c>
      <c r="G109" s="67">
        <f t="shared" si="3"/>
        <v>8.7619263458143593</v>
      </c>
      <c r="H109" s="67">
        <f t="shared" si="3"/>
        <v>5.5826138227803437</v>
      </c>
      <c r="I109" s="67">
        <f t="shared" si="3"/>
        <v>2.0105035346199509</v>
      </c>
      <c r="J109" s="67">
        <f t="shared" si="3"/>
        <v>0.48916142888495612</v>
      </c>
      <c r="K109" s="67">
        <f t="shared" si="3"/>
        <v>89.04573902056886</v>
      </c>
      <c r="L109" s="67">
        <f t="shared" si="3"/>
        <v>4.9402601401336295</v>
      </c>
      <c r="M109" s="67">
        <f t="shared" si="3"/>
        <v>15.062761192319353</v>
      </c>
      <c r="N109" s="67">
        <f t="shared" si="3"/>
        <v>330.29323924408612</v>
      </c>
      <c r="O109" s="67">
        <f t="shared" si="3"/>
        <v>0</v>
      </c>
      <c r="P109" s="67">
        <f t="shared" si="3"/>
        <v>0.16724548613214879</v>
      </c>
      <c r="Q109" s="67">
        <f t="shared" si="3"/>
        <v>0.94396696994697971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2744</v>
      </c>
      <c r="B9" s="64">
        <v>4.13</v>
      </c>
      <c r="C9" s="64">
        <v>36.119999999999997</v>
      </c>
      <c r="D9" s="64">
        <v>22.1</v>
      </c>
      <c r="E9" s="64">
        <v>1.79</v>
      </c>
      <c r="F9" s="64">
        <v>3.53</v>
      </c>
      <c r="G9" s="64">
        <v>43.23</v>
      </c>
      <c r="H9" s="64">
        <v>27.14</v>
      </c>
      <c r="I9" s="64">
        <v>4.5</v>
      </c>
      <c r="J9" s="64">
        <v>1.03</v>
      </c>
      <c r="K9" s="64">
        <v>357.44</v>
      </c>
      <c r="L9" s="64">
        <v>28.34</v>
      </c>
      <c r="M9" s="64">
        <v>35.869999999999997</v>
      </c>
      <c r="N9" s="64">
        <v>23.8</v>
      </c>
      <c r="O9" s="64">
        <v>0</v>
      </c>
      <c r="P9" s="64">
        <v>0.54</v>
      </c>
      <c r="Q9" s="64">
        <v>9.18</v>
      </c>
      <c r="R9" s="198"/>
      <c r="S9" s="198"/>
      <c r="T9" s="198"/>
      <c r="U9" s="198"/>
    </row>
    <row r="10" spans="1:21" s="12" customFormat="1" x14ac:dyDescent="0.25">
      <c r="A10" s="214" t="s">
        <v>2745</v>
      </c>
      <c r="B10" s="64">
        <v>3.99</v>
      </c>
      <c r="C10" s="64">
        <v>35.01</v>
      </c>
      <c r="D10" s="64">
        <v>21.41</v>
      </c>
      <c r="E10" s="64">
        <v>1.79</v>
      </c>
      <c r="F10" s="64">
        <v>4.04</v>
      </c>
      <c r="G10" s="64">
        <v>45.66</v>
      </c>
      <c r="H10" s="64">
        <v>23.35</v>
      </c>
      <c r="I10" s="64">
        <v>4.5</v>
      </c>
      <c r="J10" s="64">
        <v>1</v>
      </c>
      <c r="K10" s="64">
        <v>330.66</v>
      </c>
      <c r="L10" s="64">
        <v>28.14</v>
      </c>
      <c r="M10" s="64">
        <v>37.24</v>
      </c>
      <c r="N10" s="64">
        <v>24.2</v>
      </c>
      <c r="O10" s="64">
        <v>0</v>
      </c>
      <c r="P10" s="64">
        <v>0.53</v>
      </c>
      <c r="Q10" s="64">
        <v>9.18</v>
      </c>
      <c r="R10" s="198"/>
      <c r="S10" s="198"/>
      <c r="T10" s="198"/>
      <c r="U10" s="198"/>
    </row>
    <row r="11" spans="1:21" s="12" customFormat="1" x14ac:dyDescent="0.25">
      <c r="A11" s="214" t="s">
        <v>2746</v>
      </c>
      <c r="B11" s="64">
        <v>3.7</v>
      </c>
      <c r="C11" s="64">
        <v>35.97</v>
      </c>
      <c r="D11" s="64">
        <v>21.68</v>
      </c>
      <c r="E11" s="64">
        <v>2.1800000000000002</v>
      </c>
      <c r="F11" s="64">
        <v>4.4000000000000004</v>
      </c>
      <c r="G11" s="64">
        <v>45.66</v>
      </c>
      <c r="H11" s="64">
        <v>23.35</v>
      </c>
      <c r="I11" s="64">
        <v>4.42</v>
      </c>
      <c r="J11" s="64">
        <v>1.45</v>
      </c>
      <c r="K11" s="64">
        <v>335.99</v>
      </c>
      <c r="L11" s="64">
        <v>27.51</v>
      </c>
      <c r="M11" s="64">
        <v>39.5</v>
      </c>
      <c r="N11" s="64">
        <v>24.6</v>
      </c>
      <c r="O11" s="64">
        <v>0</v>
      </c>
      <c r="P11" s="64">
        <v>0.52</v>
      </c>
      <c r="Q11" s="64">
        <v>9.14</v>
      </c>
      <c r="R11" s="198"/>
      <c r="S11" s="198"/>
      <c r="T11" s="198"/>
      <c r="U11" s="198"/>
    </row>
    <row r="12" spans="1:21" s="12" customFormat="1" x14ac:dyDescent="0.25">
      <c r="A12" s="214" t="s">
        <v>2747</v>
      </c>
      <c r="B12" s="64">
        <v>3.55</v>
      </c>
      <c r="C12" s="64">
        <v>33.520000000000003</v>
      </c>
      <c r="D12" s="64">
        <v>20.28</v>
      </c>
      <c r="E12" s="64">
        <v>2.1800000000000002</v>
      </c>
      <c r="F12" s="64">
        <v>4.25</v>
      </c>
      <c r="G12" s="64">
        <v>45.66</v>
      </c>
      <c r="H12" s="64">
        <v>23.35</v>
      </c>
      <c r="I12" s="64">
        <v>4.59</v>
      </c>
      <c r="J12" s="64">
        <v>1.42</v>
      </c>
      <c r="K12" s="64">
        <v>350.4</v>
      </c>
      <c r="L12" s="64">
        <v>27.11</v>
      </c>
      <c r="M12" s="64">
        <v>40.49</v>
      </c>
      <c r="N12" s="64">
        <v>24.1</v>
      </c>
      <c r="O12" s="64">
        <v>0</v>
      </c>
      <c r="P12" s="64">
        <v>0.5</v>
      </c>
      <c r="Q12" s="64">
        <v>9.11</v>
      </c>
      <c r="R12" s="198"/>
      <c r="S12" s="198"/>
      <c r="T12" s="198"/>
      <c r="U12" s="198"/>
    </row>
    <row r="13" spans="1:21" s="12" customFormat="1" x14ac:dyDescent="0.25">
      <c r="A13" s="214" t="s">
        <v>2748</v>
      </c>
      <c r="B13" s="64">
        <v>3.36</v>
      </c>
      <c r="C13" s="64">
        <v>31.9</v>
      </c>
      <c r="D13" s="64">
        <v>19.28</v>
      </c>
      <c r="E13" s="64">
        <v>1.72</v>
      </c>
      <c r="F13" s="64">
        <v>3.99</v>
      </c>
      <c r="G13" s="64">
        <v>45.76</v>
      </c>
      <c r="H13" s="64">
        <v>22.67</v>
      </c>
      <c r="I13" s="64">
        <v>4.46</v>
      </c>
      <c r="J13" s="64">
        <v>0.54</v>
      </c>
      <c r="K13" s="64">
        <v>11.25</v>
      </c>
      <c r="L13" s="64">
        <v>27.13</v>
      </c>
      <c r="M13" s="64">
        <v>39.65</v>
      </c>
      <c r="N13" s="64">
        <v>24</v>
      </c>
      <c r="O13" s="64">
        <v>0</v>
      </c>
      <c r="P13" s="64">
        <v>0.46</v>
      </c>
      <c r="Q13" s="64">
        <v>9.17</v>
      </c>
      <c r="R13" s="198"/>
      <c r="S13" s="198"/>
      <c r="T13" s="198"/>
      <c r="U13" s="198"/>
    </row>
    <row r="14" spans="1:21" s="12" customFormat="1" x14ac:dyDescent="0.25">
      <c r="A14" s="214" t="s">
        <v>2749</v>
      </c>
      <c r="B14" s="64">
        <v>3.23</v>
      </c>
      <c r="C14" s="64">
        <v>31.13</v>
      </c>
      <c r="D14" s="64">
        <v>18.78</v>
      </c>
      <c r="E14" s="64">
        <v>1.69</v>
      </c>
      <c r="F14" s="64">
        <v>3.14</v>
      </c>
      <c r="G14" s="64">
        <v>45.94</v>
      </c>
      <c r="H14" s="64">
        <v>21.37</v>
      </c>
      <c r="I14" s="64">
        <v>4.4400000000000004</v>
      </c>
      <c r="J14" s="64">
        <v>0.8</v>
      </c>
      <c r="K14" s="64">
        <v>356.15</v>
      </c>
      <c r="L14" s="64">
        <v>27.07</v>
      </c>
      <c r="M14" s="64">
        <v>39.68</v>
      </c>
      <c r="N14" s="64">
        <v>23.7</v>
      </c>
      <c r="O14" s="64">
        <v>0</v>
      </c>
      <c r="P14" s="64">
        <v>0.46</v>
      </c>
      <c r="Q14" s="64">
        <v>9.18</v>
      </c>
      <c r="R14" s="198"/>
      <c r="S14" s="198"/>
      <c r="T14" s="198"/>
      <c r="U14" s="198"/>
    </row>
    <row r="15" spans="1:21" s="12" customFormat="1" x14ac:dyDescent="0.25">
      <c r="A15" s="214" t="s">
        <v>2750</v>
      </c>
      <c r="B15" s="64">
        <v>3.27</v>
      </c>
      <c r="C15" s="64">
        <v>26.6</v>
      </c>
      <c r="D15" s="64">
        <v>16.440000000000001</v>
      </c>
      <c r="E15" s="64">
        <v>1.64</v>
      </c>
      <c r="F15" s="64">
        <v>3.92</v>
      </c>
      <c r="G15" s="64">
        <v>45.94</v>
      </c>
      <c r="H15" s="64">
        <v>21.37</v>
      </c>
      <c r="I15" s="64">
        <v>4.4000000000000004</v>
      </c>
      <c r="J15" s="64">
        <v>1</v>
      </c>
      <c r="K15" s="64">
        <v>359.26</v>
      </c>
      <c r="L15" s="64">
        <v>27.03</v>
      </c>
      <c r="M15" s="64">
        <v>39.51</v>
      </c>
      <c r="N15" s="64">
        <v>23.5</v>
      </c>
      <c r="O15" s="64">
        <v>0</v>
      </c>
      <c r="P15" s="64">
        <v>0.46</v>
      </c>
      <c r="Q15" s="64">
        <v>9.14</v>
      </c>
      <c r="R15" s="198"/>
      <c r="S15" s="198"/>
      <c r="T15" s="198"/>
      <c r="U15" s="198"/>
    </row>
    <row r="16" spans="1:21" s="12" customFormat="1" x14ac:dyDescent="0.25">
      <c r="A16" s="214" t="s">
        <v>2751</v>
      </c>
      <c r="B16" s="64">
        <v>3.32</v>
      </c>
      <c r="C16" s="64">
        <v>28.28</v>
      </c>
      <c r="D16" s="64">
        <v>17.350000000000001</v>
      </c>
      <c r="E16" s="64">
        <v>1.94</v>
      </c>
      <c r="F16" s="64">
        <v>4.01</v>
      </c>
      <c r="G16" s="64">
        <v>45.94</v>
      </c>
      <c r="H16" s="64">
        <v>21.37</v>
      </c>
      <c r="I16" s="64">
        <v>4.54</v>
      </c>
      <c r="J16" s="64">
        <v>0.96</v>
      </c>
      <c r="K16" s="64">
        <v>359.45</v>
      </c>
      <c r="L16" s="64">
        <v>26.96</v>
      </c>
      <c r="M16" s="64">
        <v>39.61</v>
      </c>
      <c r="N16" s="64">
        <v>23.6</v>
      </c>
      <c r="O16" s="64">
        <v>0</v>
      </c>
      <c r="P16" s="64">
        <v>0.45</v>
      </c>
      <c r="Q16" s="64">
        <v>9.1300000000000008</v>
      </c>
      <c r="R16" s="198"/>
      <c r="S16" s="198"/>
      <c r="T16" s="198"/>
      <c r="U16" s="198"/>
    </row>
    <row r="17" spans="1:21" s="12" customFormat="1" x14ac:dyDescent="0.25">
      <c r="A17" s="214" t="s">
        <v>2752</v>
      </c>
      <c r="B17" s="64">
        <v>3.45</v>
      </c>
      <c r="C17" s="64">
        <v>29.78</v>
      </c>
      <c r="D17" s="64">
        <v>18.239999999999998</v>
      </c>
      <c r="E17" s="64">
        <v>1.51</v>
      </c>
      <c r="F17" s="64">
        <v>3.5</v>
      </c>
      <c r="G17" s="64">
        <v>46.9</v>
      </c>
      <c r="H17" s="64">
        <v>21.77</v>
      </c>
      <c r="I17" s="64">
        <v>4.4800000000000004</v>
      </c>
      <c r="J17" s="64">
        <v>1.0900000000000001</v>
      </c>
      <c r="K17" s="64">
        <v>357.31</v>
      </c>
      <c r="L17" s="64">
        <v>26.85</v>
      </c>
      <c r="M17" s="64">
        <v>39.92</v>
      </c>
      <c r="N17" s="64">
        <v>23.4</v>
      </c>
      <c r="O17" s="64">
        <v>0</v>
      </c>
      <c r="P17" s="64">
        <v>0.44</v>
      </c>
      <c r="Q17" s="64">
        <v>9.16</v>
      </c>
      <c r="R17" s="198"/>
      <c r="S17" s="198"/>
      <c r="T17" s="198"/>
      <c r="U17" s="198"/>
    </row>
    <row r="18" spans="1:21" s="12" customFormat="1" x14ac:dyDescent="0.25">
      <c r="A18" s="214" t="s">
        <v>2753</v>
      </c>
      <c r="B18" s="64">
        <v>3.7</v>
      </c>
      <c r="C18" s="64">
        <v>31.42</v>
      </c>
      <c r="D18" s="64">
        <v>19.3</v>
      </c>
      <c r="E18" s="64">
        <v>1.64</v>
      </c>
      <c r="F18" s="64">
        <v>3.59</v>
      </c>
      <c r="G18" s="64">
        <v>48.73</v>
      </c>
      <c r="H18" s="64">
        <v>22.54</v>
      </c>
      <c r="I18" s="64">
        <v>4.42</v>
      </c>
      <c r="J18" s="64">
        <v>0.95</v>
      </c>
      <c r="K18" s="64">
        <v>349.25</v>
      </c>
      <c r="L18" s="64">
        <v>26.73</v>
      </c>
      <c r="M18" s="64">
        <v>40.729999999999997</v>
      </c>
      <c r="N18" s="64">
        <v>23.9</v>
      </c>
      <c r="O18" s="64">
        <v>0</v>
      </c>
      <c r="P18" s="64">
        <v>0.44</v>
      </c>
      <c r="Q18" s="64">
        <v>9.16</v>
      </c>
      <c r="R18" s="198"/>
      <c r="S18" s="198"/>
      <c r="T18" s="198"/>
      <c r="U18" s="198"/>
    </row>
    <row r="19" spans="1:21" s="12" customFormat="1" x14ac:dyDescent="0.25">
      <c r="A19" s="214" t="s">
        <v>2754</v>
      </c>
      <c r="B19" s="64">
        <v>3.85</v>
      </c>
      <c r="C19" s="64">
        <v>31.7</v>
      </c>
      <c r="D19" s="64">
        <v>19.57</v>
      </c>
      <c r="E19" s="64">
        <v>1.74</v>
      </c>
      <c r="F19" s="64">
        <v>3.95</v>
      </c>
      <c r="G19" s="64">
        <v>48.73</v>
      </c>
      <c r="H19" s="64">
        <v>22.54</v>
      </c>
      <c r="I19" s="64">
        <v>4.8</v>
      </c>
      <c r="J19" s="64">
        <v>0.7</v>
      </c>
      <c r="K19" s="64">
        <v>338.07</v>
      </c>
      <c r="L19" s="64">
        <v>26.24</v>
      </c>
      <c r="M19" s="64">
        <v>42.66</v>
      </c>
      <c r="N19" s="64">
        <v>23.9</v>
      </c>
      <c r="O19" s="64">
        <v>0</v>
      </c>
      <c r="P19" s="64">
        <v>0.43</v>
      </c>
      <c r="Q19" s="64">
        <v>9.14</v>
      </c>
      <c r="R19" s="198"/>
      <c r="S19" s="198"/>
      <c r="T19" s="198"/>
      <c r="U19" s="198"/>
    </row>
    <row r="20" spans="1:21" s="12" customFormat="1" x14ac:dyDescent="0.25">
      <c r="A20" s="214" t="s">
        <v>2755</v>
      </c>
      <c r="B20" s="64">
        <v>3.96</v>
      </c>
      <c r="C20" s="64">
        <v>31.21</v>
      </c>
      <c r="D20" s="64">
        <v>19.399999999999999</v>
      </c>
      <c r="E20" s="64">
        <v>1.53</v>
      </c>
      <c r="F20" s="64">
        <v>4.3899999999999997</v>
      </c>
      <c r="G20" s="64">
        <v>48.73</v>
      </c>
      <c r="H20" s="64">
        <v>22.54</v>
      </c>
      <c r="I20" s="64">
        <v>5.13</v>
      </c>
      <c r="J20" s="64">
        <v>0.31</v>
      </c>
      <c r="K20" s="64">
        <v>202.3</v>
      </c>
      <c r="L20" s="64">
        <v>26.12</v>
      </c>
      <c r="M20" s="64">
        <v>43.06</v>
      </c>
      <c r="N20" s="64">
        <v>24</v>
      </c>
      <c r="O20" s="64">
        <v>0</v>
      </c>
      <c r="P20" s="64">
        <v>0.43</v>
      </c>
      <c r="Q20" s="64">
        <v>9.1199999999999992</v>
      </c>
      <c r="R20" s="198"/>
      <c r="S20" s="198"/>
      <c r="T20" s="198"/>
      <c r="U20" s="198"/>
    </row>
    <row r="21" spans="1:21" s="12" customFormat="1" x14ac:dyDescent="0.25">
      <c r="A21" s="214" t="s">
        <v>2756</v>
      </c>
      <c r="B21" s="64">
        <v>4.2300000000000004</v>
      </c>
      <c r="C21" s="64">
        <v>31</v>
      </c>
      <c r="D21" s="64">
        <v>19.510000000000002</v>
      </c>
      <c r="E21" s="64">
        <v>2.0099999999999998</v>
      </c>
      <c r="F21" s="64">
        <v>3.56</v>
      </c>
      <c r="G21" s="64">
        <v>50.02</v>
      </c>
      <c r="H21" s="64">
        <v>22.23</v>
      </c>
      <c r="I21" s="64">
        <v>5.07</v>
      </c>
      <c r="J21" s="64">
        <v>0.28000000000000003</v>
      </c>
      <c r="K21" s="64">
        <v>207.21</v>
      </c>
      <c r="L21" s="64">
        <v>26.01</v>
      </c>
      <c r="M21" s="64">
        <v>44.35</v>
      </c>
      <c r="N21" s="64">
        <v>23.9</v>
      </c>
      <c r="O21" s="64">
        <v>0</v>
      </c>
      <c r="P21" s="64">
        <v>0.43</v>
      </c>
      <c r="Q21" s="64">
        <v>9.17</v>
      </c>
      <c r="R21" s="198"/>
      <c r="S21" s="198"/>
      <c r="T21" s="198"/>
      <c r="U21" s="198"/>
    </row>
    <row r="22" spans="1:21" s="12" customFormat="1" x14ac:dyDescent="0.25">
      <c r="A22" s="214" t="s">
        <v>2757</v>
      </c>
      <c r="B22" s="64">
        <v>4.66</v>
      </c>
      <c r="C22" s="64">
        <v>30.69</v>
      </c>
      <c r="D22" s="64">
        <v>19.690000000000001</v>
      </c>
      <c r="E22" s="64">
        <v>1.92</v>
      </c>
      <c r="F22" s="64">
        <v>3.93</v>
      </c>
      <c r="G22" s="64">
        <v>52.5</v>
      </c>
      <c r="H22" s="64">
        <v>21.63</v>
      </c>
      <c r="I22" s="64">
        <v>4.96</v>
      </c>
      <c r="J22" s="64">
        <v>0.69</v>
      </c>
      <c r="K22" s="64">
        <v>168.14</v>
      </c>
      <c r="L22" s="64">
        <v>25.21</v>
      </c>
      <c r="M22" s="64">
        <v>49.98</v>
      </c>
      <c r="N22" s="64">
        <v>24.3</v>
      </c>
      <c r="O22" s="64">
        <v>0</v>
      </c>
      <c r="P22" s="64">
        <v>0.42</v>
      </c>
      <c r="Q22" s="64">
        <v>9.18</v>
      </c>
      <c r="R22" s="198"/>
      <c r="S22" s="198"/>
      <c r="T22" s="198"/>
      <c r="U22" s="198"/>
    </row>
    <row r="23" spans="1:21" s="12" customFormat="1" x14ac:dyDescent="0.25">
      <c r="A23" s="214" t="s">
        <v>2758</v>
      </c>
      <c r="B23" s="64">
        <v>5.08</v>
      </c>
      <c r="C23" s="64">
        <v>30.57</v>
      </c>
      <c r="D23" s="64">
        <v>19.96</v>
      </c>
      <c r="E23" s="64">
        <v>1.98</v>
      </c>
      <c r="F23" s="64">
        <v>3.84</v>
      </c>
      <c r="G23" s="64">
        <v>52.5</v>
      </c>
      <c r="H23" s="64">
        <v>21.63</v>
      </c>
      <c r="I23" s="64">
        <v>5.32</v>
      </c>
      <c r="J23" s="64">
        <v>0.17</v>
      </c>
      <c r="K23" s="64">
        <v>21.66</v>
      </c>
      <c r="L23" s="64">
        <v>24.62</v>
      </c>
      <c r="M23" s="64">
        <v>52.77</v>
      </c>
      <c r="N23" s="64">
        <v>24.4</v>
      </c>
      <c r="O23" s="64">
        <v>0</v>
      </c>
      <c r="P23" s="64">
        <v>0.43</v>
      </c>
      <c r="Q23" s="64">
        <v>9.14</v>
      </c>
      <c r="R23" s="198"/>
      <c r="S23" s="198"/>
      <c r="T23" s="198"/>
      <c r="U23" s="198"/>
    </row>
    <row r="24" spans="1:21" s="12" customFormat="1" x14ac:dyDescent="0.25">
      <c r="A24" s="214" t="s">
        <v>2759</v>
      </c>
      <c r="B24" s="64">
        <v>5.29</v>
      </c>
      <c r="C24" s="64">
        <v>29.03</v>
      </c>
      <c r="D24" s="64">
        <v>19.329999999999998</v>
      </c>
      <c r="E24" s="64">
        <v>1.1399999999999999</v>
      </c>
      <c r="F24" s="64">
        <v>3.7</v>
      </c>
      <c r="G24" s="64">
        <v>52.5</v>
      </c>
      <c r="H24" s="64">
        <v>21.63</v>
      </c>
      <c r="I24" s="64">
        <v>5.59</v>
      </c>
      <c r="J24" s="64">
        <v>0.17</v>
      </c>
      <c r="K24" s="64">
        <v>42.37</v>
      </c>
      <c r="L24" s="64">
        <v>24.78</v>
      </c>
      <c r="M24" s="64">
        <v>50.67</v>
      </c>
      <c r="N24" s="64">
        <v>23.3</v>
      </c>
      <c r="O24" s="64">
        <v>0</v>
      </c>
      <c r="P24" s="64">
        <v>0.42</v>
      </c>
      <c r="Q24" s="64">
        <v>9.1999999999999993</v>
      </c>
      <c r="R24" s="198"/>
      <c r="S24" s="198"/>
      <c r="T24" s="198"/>
      <c r="U24" s="198"/>
    </row>
    <row r="25" spans="1:21" s="12" customFormat="1" x14ac:dyDescent="0.25">
      <c r="A25" s="214" t="s">
        <v>2760</v>
      </c>
      <c r="B25" s="64">
        <v>4.8</v>
      </c>
      <c r="C25" s="64">
        <v>29.78</v>
      </c>
      <c r="D25" s="64">
        <v>19.329999999999998</v>
      </c>
      <c r="E25" s="64">
        <v>1.96</v>
      </c>
      <c r="F25" s="64">
        <v>5.25</v>
      </c>
      <c r="G25" s="64">
        <v>52.03</v>
      </c>
      <c r="H25" s="64">
        <v>21.58</v>
      </c>
      <c r="I25" s="64">
        <v>5.72</v>
      </c>
      <c r="J25" s="64">
        <v>0.15</v>
      </c>
      <c r="K25" s="64">
        <v>28.05</v>
      </c>
      <c r="L25" s="64">
        <v>24.82</v>
      </c>
      <c r="M25" s="64">
        <v>50.08</v>
      </c>
      <c r="N25" s="64">
        <v>23.5</v>
      </c>
      <c r="O25" s="64">
        <v>0</v>
      </c>
      <c r="P25" s="64">
        <v>0.4</v>
      </c>
      <c r="Q25" s="64">
        <v>9.19</v>
      </c>
      <c r="R25" s="198"/>
      <c r="S25" s="198"/>
      <c r="T25" s="198"/>
      <c r="U25" s="198"/>
    </row>
    <row r="26" spans="1:21" s="12" customFormat="1" x14ac:dyDescent="0.25">
      <c r="A26" s="214" t="s">
        <v>2761</v>
      </c>
      <c r="B26" s="64">
        <v>4.22</v>
      </c>
      <c r="C26" s="64">
        <v>35.96</v>
      </c>
      <c r="D26" s="64">
        <v>22.09</v>
      </c>
      <c r="E26" s="64">
        <v>1.89</v>
      </c>
      <c r="F26" s="64">
        <v>4.09</v>
      </c>
      <c r="G26" s="64">
        <v>51.16</v>
      </c>
      <c r="H26" s="64">
        <v>21.47</v>
      </c>
      <c r="I26" s="64">
        <v>5.49</v>
      </c>
      <c r="J26" s="64">
        <v>0.26</v>
      </c>
      <c r="K26" s="64">
        <v>316.64999999999998</v>
      </c>
      <c r="L26" s="64">
        <v>24.66</v>
      </c>
      <c r="M26" s="64">
        <v>50.54</v>
      </c>
      <c r="N26" s="64">
        <v>23.6</v>
      </c>
      <c r="O26" s="64">
        <v>0</v>
      </c>
      <c r="P26" s="64">
        <v>0.39</v>
      </c>
      <c r="Q26" s="64">
        <v>9.1300000000000008</v>
      </c>
      <c r="R26" s="198"/>
      <c r="S26" s="198"/>
      <c r="T26" s="198"/>
      <c r="U26" s="198"/>
    </row>
    <row r="27" spans="1:21" s="12" customFormat="1" x14ac:dyDescent="0.25">
      <c r="A27" s="214" t="s">
        <v>2762</v>
      </c>
      <c r="B27" s="64">
        <v>3.96</v>
      </c>
      <c r="C27" s="64">
        <v>34.729999999999997</v>
      </c>
      <c r="D27" s="64">
        <v>21.24</v>
      </c>
      <c r="E27" s="64">
        <v>1.99</v>
      </c>
      <c r="F27" s="64">
        <v>3.82</v>
      </c>
      <c r="G27" s="64">
        <v>51.16</v>
      </c>
      <c r="H27" s="64">
        <v>21.47</v>
      </c>
      <c r="I27" s="64">
        <v>5.14</v>
      </c>
      <c r="J27" s="64">
        <v>0.3</v>
      </c>
      <c r="K27" s="64">
        <v>327.33999999999997</v>
      </c>
      <c r="L27" s="64">
        <v>24.5</v>
      </c>
      <c r="M27" s="64">
        <v>51.11</v>
      </c>
      <c r="N27" s="64">
        <v>23.5</v>
      </c>
      <c r="O27" s="64">
        <v>0</v>
      </c>
      <c r="P27" s="64">
        <v>0.4</v>
      </c>
      <c r="Q27" s="64">
        <v>9.11</v>
      </c>
      <c r="R27" s="198"/>
      <c r="S27" s="198"/>
      <c r="T27" s="198"/>
      <c r="U27" s="198"/>
    </row>
    <row r="28" spans="1:21" s="12" customFormat="1" x14ac:dyDescent="0.25">
      <c r="A28" s="214" t="s">
        <v>2763</v>
      </c>
      <c r="B28" s="64">
        <v>3.93</v>
      </c>
      <c r="C28" s="64">
        <v>33.700000000000003</v>
      </c>
      <c r="D28" s="64">
        <v>20.68</v>
      </c>
      <c r="E28" s="64">
        <v>2.0699999999999998</v>
      </c>
      <c r="F28" s="64">
        <v>3.07</v>
      </c>
      <c r="G28" s="64">
        <v>51.16</v>
      </c>
      <c r="H28" s="64">
        <v>21.47</v>
      </c>
      <c r="I28" s="64">
        <v>4.87</v>
      </c>
      <c r="J28" s="64">
        <v>0.76</v>
      </c>
      <c r="K28" s="64">
        <v>304.91000000000003</v>
      </c>
      <c r="L28" s="64">
        <v>24.5</v>
      </c>
      <c r="M28" s="64">
        <v>49.6</v>
      </c>
      <c r="N28" s="64">
        <v>22.8</v>
      </c>
      <c r="O28" s="64">
        <v>0</v>
      </c>
      <c r="P28" s="64">
        <v>0.39</v>
      </c>
      <c r="Q28" s="64">
        <v>9.15</v>
      </c>
      <c r="R28" s="198"/>
      <c r="S28" s="198"/>
      <c r="T28" s="198"/>
      <c r="U28" s="198"/>
    </row>
    <row r="29" spans="1:21" s="12" customFormat="1" x14ac:dyDescent="0.25">
      <c r="A29" s="214" t="s">
        <v>2764</v>
      </c>
      <c r="B29" s="64">
        <v>3.78</v>
      </c>
      <c r="C29" s="64">
        <v>28.7</v>
      </c>
      <c r="D29" s="64">
        <v>17.940000000000001</v>
      </c>
      <c r="E29" s="64">
        <v>1.64</v>
      </c>
      <c r="F29" s="64">
        <v>3.51</v>
      </c>
      <c r="G29" s="64">
        <v>49.26</v>
      </c>
      <c r="H29" s="64">
        <v>20.64</v>
      </c>
      <c r="I29" s="64">
        <v>4.7300000000000004</v>
      </c>
      <c r="J29" s="64">
        <v>0.56999999999999995</v>
      </c>
      <c r="K29" s="64">
        <v>317.86</v>
      </c>
      <c r="L29" s="64">
        <v>24.65</v>
      </c>
      <c r="M29" s="64">
        <v>47.91</v>
      </c>
      <c r="N29" s="64">
        <v>23.6</v>
      </c>
      <c r="O29" s="64">
        <v>0</v>
      </c>
      <c r="P29" s="64">
        <v>0.38</v>
      </c>
      <c r="Q29" s="64">
        <v>9.16</v>
      </c>
      <c r="R29" s="198"/>
      <c r="S29" s="198"/>
      <c r="T29" s="198"/>
      <c r="U29" s="198"/>
    </row>
    <row r="30" spans="1:21" s="12" customFormat="1" x14ac:dyDescent="0.25">
      <c r="A30" s="214" t="s">
        <v>2765</v>
      </c>
      <c r="B30" s="64">
        <v>3.65</v>
      </c>
      <c r="C30" s="64">
        <v>26.56</v>
      </c>
      <c r="D30" s="64">
        <v>16.72</v>
      </c>
      <c r="E30" s="64">
        <v>1.58</v>
      </c>
      <c r="F30" s="64">
        <v>3.67</v>
      </c>
      <c r="G30" s="64">
        <v>45.64</v>
      </c>
      <c r="H30" s="64">
        <v>19.07</v>
      </c>
      <c r="I30" s="64">
        <v>4.87</v>
      </c>
      <c r="J30" s="64">
        <v>0.22</v>
      </c>
      <c r="K30" s="64">
        <v>308.36</v>
      </c>
      <c r="L30" s="64">
        <v>24.59</v>
      </c>
      <c r="M30" s="64">
        <v>48.34</v>
      </c>
      <c r="N30" s="64">
        <v>28.4</v>
      </c>
      <c r="O30" s="64">
        <v>0</v>
      </c>
      <c r="P30" s="64">
        <v>0.37</v>
      </c>
      <c r="Q30" s="64">
        <v>9.1300000000000008</v>
      </c>
      <c r="R30" s="198"/>
      <c r="S30" s="198"/>
      <c r="T30" s="198"/>
      <c r="U30" s="198"/>
    </row>
    <row r="31" spans="1:21" s="12" customFormat="1" x14ac:dyDescent="0.25">
      <c r="A31" s="214" t="s">
        <v>2766</v>
      </c>
      <c r="B31" s="64">
        <v>3.64</v>
      </c>
      <c r="C31" s="64">
        <v>26.46</v>
      </c>
      <c r="D31" s="64">
        <v>16.66</v>
      </c>
      <c r="E31" s="64">
        <v>1.47</v>
      </c>
      <c r="F31" s="64">
        <v>3.76</v>
      </c>
      <c r="G31" s="64">
        <v>45.64</v>
      </c>
      <c r="H31" s="64">
        <v>19.07</v>
      </c>
      <c r="I31" s="64">
        <v>4.46</v>
      </c>
      <c r="J31" s="64">
        <v>0.12</v>
      </c>
      <c r="K31" s="64">
        <v>111.02</v>
      </c>
      <c r="L31" s="64">
        <v>24.73</v>
      </c>
      <c r="M31" s="64">
        <v>47.95</v>
      </c>
      <c r="N31" s="64">
        <v>46.5</v>
      </c>
      <c r="O31" s="64">
        <v>0</v>
      </c>
      <c r="P31" s="64">
        <v>0.36</v>
      </c>
      <c r="Q31" s="64">
        <v>9.1300000000000008</v>
      </c>
      <c r="R31" s="198"/>
      <c r="S31" s="198"/>
      <c r="T31" s="198"/>
      <c r="U31" s="198"/>
    </row>
    <row r="32" spans="1:21" s="12" customFormat="1" x14ac:dyDescent="0.25">
      <c r="A32" s="214" t="s">
        <v>2767</v>
      </c>
      <c r="B32" s="64">
        <v>3.77</v>
      </c>
      <c r="C32" s="64">
        <v>26.66</v>
      </c>
      <c r="D32" s="64">
        <v>16.87</v>
      </c>
      <c r="E32" s="64">
        <v>1.6</v>
      </c>
      <c r="F32" s="64">
        <v>3.62</v>
      </c>
      <c r="G32" s="64">
        <v>45.64</v>
      </c>
      <c r="H32" s="64">
        <v>19.07</v>
      </c>
      <c r="I32" s="64">
        <v>4.37</v>
      </c>
      <c r="J32" s="64">
        <v>0.62</v>
      </c>
      <c r="K32" s="64">
        <v>104.55</v>
      </c>
      <c r="L32" s="64">
        <v>25.27</v>
      </c>
      <c r="M32" s="64">
        <v>46.75</v>
      </c>
      <c r="N32" s="64">
        <v>53.2</v>
      </c>
      <c r="O32" s="64">
        <v>0</v>
      </c>
      <c r="P32" s="64">
        <v>0.37</v>
      </c>
      <c r="Q32" s="64">
        <v>9.1300000000000008</v>
      </c>
      <c r="R32" s="198"/>
      <c r="S32" s="198"/>
      <c r="T32" s="198"/>
      <c r="U32" s="198"/>
    </row>
    <row r="33" spans="1:21" s="12" customFormat="1" x14ac:dyDescent="0.25">
      <c r="A33" s="214" t="s">
        <v>2768</v>
      </c>
      <c r="B33" s="64">
        <v>3.97</v>
      </c>
      <c r="C33" s="64">
        <v>26.79</v>
      </c>
      <c r="D33" s="64">
        <v>17.100000000000001</v>
      </c>
      <c r="E33" s="64">
        <v>1.44</v>
      </c>
      <c r="F33" s="64">
        <v>3.74</v>
      </c>
      <c r="G33" s="64">
        <v>42.95</v>
      </c>
      <c r="H33" s="64">
        <v>18.489999999999998</v>
      </c>
      <c r="I33" s="64">
        <v>4.4000000000000004</v>
      </c>
      <c r="J33" s="64">
        <v>0.48</v>
      </c>
      <c r="K33" s="64">
        <v>95.05</v>
      </c>
      <c r="L33" s="64">
        <v>25.76</v>
      </c>
      <c r="M33" s="64">
        <v>47.95</v>
      </c>
      <c r="N33" s="64">
        <v>59.6</v>
      </c>
      <c r="O33" s="64">
        <v>0</v>
      </c>
      <c r="P33" s="64">
        <v>0.36</v>
      </c>
      <c r="Q33" s="64">
        <v>9.14</v>
      </c>
      <c r="R33" s="198"/>
      <c r="S33" s="198"/>
      <c r="T33" s="198"/>
      <c r="U33" s="198"/>
    </row>
    <row r="34" spans="1:21" s="12" customFormat="1" x14ac:dyDescent="0.25">
      <c r="A34" s="214" t="s">
        <v>2769</v>
      </c>
      <c r="B34" s="64">
        <v>4.29</v>
      </c>
      <c r="C34" s="64">
        <v>27.28</v>
      </c>
      <c r="D34" s="64">
        <v>17.62</v>
      </c>
      <c r="E34" s="64">
        <v>1.24</v>
      </c>
      <c r="F34" s="64">
        <v>3.76</v>
      </c>
      <c r="G34" s="64">
        <v>37.840000000000003</v>
      </c>
      <c r="H34" s="64">
        <v>17.39</v>
      </c>
      <c r="I34" s="64">
        <v>4.51</v>
      </c>
      <c r="J34" s="64">
        <v>0.6</v>
      </c>
      <c r="K34" s="64">
        <v>102.63</v>
      </c>
      <c r="L34" s="64">
        <v>25.86</v>
      </c>
      <c r="M34" s="64">
        <v>46.63</v>
      </c>
      <c r="N34" s="64">
        <v>71.2</v>
      </c>
      <c r="O34" s="64">
        <v>0</v>
      </c>
      <c r="P34" s="64">
        <v>0.36</v>
      </c>
      <c r="Q34" s="64">
        <v>9.2100000000000009</v>
      </c>
      <c r="R34" s="198"/>
      <c r="S34" s="198"/>
      <c r="T34" s="198"/>
      <c r="U34" s="198"/>
    </row>
    <row r="35" spans="1:21" s="12" customFormat="1" x14ac:dyDescent="0.25">
      <c r="A35" s="214" t="s">
        <v>2770</v>
      </c>
      <c r="B35" s="64">
        <v>4.6399999999999997</v>
      </c>
      <c r="C35" s="64">
        <v>27.65</v>
      </c>
      <c r="D35" s="64">
        <v>18.09</v>
      </c>
      <c r="E35" s="64">
        <v>1.66</v>
      </c>
      <c r="F35" s="64">
        <v>3.72</v>
      </c>
      <c r="G35" s="64">
        <v>37.840000000000003</v>
      </c>
      <c r="H35" s="64">
        <v>17.39</v>
      </c>
      <c r="I35" s="64">
        <v>4.83</v>
      </c>
      <c r="J35" s="64">
        <v>0.17</v>
      </c>
      <c r="K35" s="64">
        <v>326.07</v>
      </c>
      <c r="L35" s="64">
        <v>26.24</v>
      </c>
      <c r="M35" s="64">
        <v>47.03</v>
      </c>
      <c r="N35" s="64">
        <v>128.1</v>
      </c>
      <c r="O35" s="64">
        <v>0</v>
      </c>
      <c r="P35" s="64">
        <v>0.36</v>
      </c>
      <c r="Q35" s="64">
        <v>9.16</v>
      </c>
      <c r="R35" s="198"/>
      <c r="S35" s="198"/>
      <c r="T35" s="198"/>
      <c r="U35" s="198"/>
    </row>
    <row r="36" spans="1:21" s="12" customFormat="1" x14ac:dyDescent="0.25">
      <c r="A36" s="214" t="s">
        <v>2771</v>
      </c>
      <c r="B36" s="64">
        <v>5.39</v>
      </c>
      <c r="C36" s="64">
        <v>28.82</v>
      </c>
      <c r="D36" s="64">
        <v>19.3</v>
      </c>
      <c r="E36" s="64">
        <v>1.7</v>
      </c>
      <c r="F36" s="64">
        <v>3.68</v>
      </c>
      <c r="G36" s="64">
        <v>37.840000000000003</v>
      </c>
      <c r="H36" s="64">
        <v>17.39</v>
      </c>
      <c r="I36" s="64">
        <v>4.9400000000000004</v>
      </c>
      <c r="J36" s="64">
        <v>0.23</v>
      </c>
      <c r="K36" s="64">
        <v>330.88</v>
      </c>
      <c r="L36" s="64">
        <v>27.04</v>
      </c>
      <c r="M36" s="64">
        <v>48.1</v>
      </c>
      <c r="N36" s="64">
        <v>127.4</v>
      </c>
      <c r="O36" s="64">
        <v>0</v>
      </c>
      <c r="P36" s="64">
        <v>0.37</v>
      </c>
      <c r="Q36" s="64">
        <v>9.14</v>
      </c>
      <c r="R36" s="198"/>
      <c r="S36" s="198"/>
      <c r="T36" s="198"/>
      <c r="U36" s="198"/>
    </row>
    <row r="37" spans="1:21" s="12" customFormat="1" x14ac:dyDescent="0.25">
      <c r="A37" s="214" t="s">
        <v>2772</v>
      </c>
      <c r="B37" s="64">
        <v>6.11</v>
      </c>
      <c r="C37" s="64">
        <v>29.17</v>
      </c>
      <c r="D37" s="64">
        <v>20.059999999999999</v>
      </c>
      <c r="E37" s="64">
        <v>1.6</v>
      </c>
      <c r="F37" s="64">
        <v>3.63</v>
      </c>
      <c r="G37" s="64">
        <v>38.31</v>
      </c>
      <c r="H37" s="64">
        <v>16.46</v>
      </c>
      <c r="I37" s="64">
        <v>5.13</v>
      </c>
      <c r="J37" s="64">
        <v>0.18</v>
      </c>
      <c r="K37" s="64">
        <v>333.79</v>
      </c>
      <c r="L37" s="64">
        <v>26.8</v>
      </c>
      <c r="M37" s="64">
        <v>48.67</v>
      </c>
      <c r="N37" s="64">
        <v>102.6</v>
      </c>
      <c r="O37" s="64">
        <v>0</v>
      </c>
      <c r="P37" s="64">
        <v>0.41</v>
      </c>
      <c r="Q37" s="64">
        <v>9.16</v>
      </c>
      <c r="R37" s="198"/>
      <c r="S37" s="198"/>
      <c r="T37" s="198"/>
      <c r="U37" s="198"/>
    </row>
    <row r="38" spans="1:21" s="12" customFormat="1" x14ac:dyDescent="0.25">
      <c r="A38" s="214" t="s">
        <v>2773</v>
      </c>
      <c r="B38" s="64">
        <v>6.74</v>
      </c>
      <c r="C38" s="64">
        <v>29.25</v>
      </c>
      <c r="D38" s="64">
        <v>20.6</v>
      </c>
      <c r="E38" s="64">
        <v>1.62</v>
      </c>
      <c r="F38" s="64">
        <v>3.58</v>
      </c>
      <c r="G38" s="64">
        <v>39.22</v>
      </c>
      <c r="H38" s="64">
        <v>14.69</v>
      </c>
      <c r="I38" s="64">
        <v>5.43</v>
      </c>
      <c r="J38" s="64">
        <v>0.13</v>
      </c>
      <c r="K38" s="64">
        <v>50.67</v>
      </c>
      <c r="L38" s="64">
        <v>26.75</v>
      </c>
      <c r="M38" s="64">
        <v>49.78</v>
      </c>
      <c r="N38" s="64">
        <v>167</v>
      </c>
      <c r="O38" s="64">
        <v>0</v>
      </c>
      <c r="P38" s="64">
        <v>0.45</v>
      </c>
      <c r="Q38" s="64">
        <v>9.2100000000000009</v>
      </c>
      <c r="R38" s="198"/>
      <c r="S38" s="198"/>
      <c r="T38" s="198"/>
      <c r="U38" s="198"/>
    </row>
    <row r="39" spans="1:21" s="12" customFormat="1" x14ac:dyDescent="0.25">
      <c r="A39" s="214" t="s">
        <v>2774</v>
      </c>
      <c r="B39" s="64">
        <v>7.22</v>
      </c>
      <c r="C39" s="64">
        <v>29.08</v>
      </c>
      <c r="D39" s="64">
        <v>20.9</v>
      </c>
      <c r="E39" s="64">
        <v>1.95</v>
      </c>
      <c r="F39" s="64">
        <v>3.45</v>
      </c>
      <c r="G39" s="64">
        <v>39.22</v>
      </c>
      <c r="H39" s="64">
        <v>14.69</v>
      </c>
      <c r="I39" s="64">
        <v>5.77</v>
      </c>
      <c r="J39" s="64">
        <v>0.08</v>
      </c>
      <c r="K39" s="64">
        <v>156.66999999999999</v>
      </c>
      <c r="L39" s="64">
        <v>26.92</v>
      </c>
      <c r="M39" s="64">
        <v>45.41</v>
      </c>
      <c r="N39" s="64">
        <v>205.5</v>
      </c>
      <c r="O39" s="64">
        <v>0</v>
      </c>
      <c r="P39" s="64">
        <v>0.45</v>
      </c>
      <c r="Q39" s="64">
        <v>9.14</v>
      </c>
      <c r="R39" s="198"/>
      <c r="S39" s="198"/>
      <c r="T39" s="198"/>
      <c r="U39" s="198"/>
    </row>
    <row r="40" spans="1:21" s="12" customFormat="1" x14ac:dyDescent="0.25">
      <c r="A40" s="214" t="s">
        <v>2775</v>
      </c>
      <c r="B40" s="64">
        <v>7.22</v>
      </c>
      <c r="C40" s="64">
        <v>29.08</v>
      </c>
      <c r="D40" s="64">
        <v>20.9</v>
      </c>
      <c r="E40" s="64">
        <v>1.95</v>
      </c>
      <c r="F40" s="64">
        <v>3.45</v>
      </c>
      <c r="G40" s="64">
        <v>39.22</v>
      </c>
      <c r="H40" s="64">
        <v>14.69</v>
      </c>
      <c r="I40" s="64">
        <v>5.77</v>
      </c>
      <c r="J40" s="64">
        <v>0.08</v>
      </c>
      <c r="K40" s="64">
        <v>156.66999999999999</v>
      </c>
      <c r="L40" s="64">
        <v>26.92</v>
      </c>
      <c r="M40" s="64">
        <v>45.41</v>
      </c>
      <c r="N40" s="64">
        <v>205.5</v>
      </c>
      <c r="O40" s="64">
        <v>0</v>
      </c>
      <c r="P40" s="64">
        <v>0.45</v>
      </c>
      <c r="Q40" s="64">
        <v>9.14</v>
      </c>
      <c r="R40" s="198"/>
      <c r="S40" s="198"/>
      <c r="T40" s="198"/>
      <c r="U40" s="198"/>
    </row>
    <row r="41" spans="1:21" s="12" customFormat="1" x14ac:dyDescent="0.25">
      <c r="A41" s="214" t="s">
        <v>2776</v>
      </c>
      <c r="B41" s="64">
        <v>7.29</v>
      </c>
      <c r="C41" s="64">
        <v>28.27</v>
      </c>
      <c r="D41" s="64">
        <v>20.53</v>
      </c>
      <c r="E41" s="64">
        <v>0.68</v>
      </c>
      <c r="F41" s="64">
        <v>3.54</v>
      </c>
      <c r="G41" s="64">
        <v>39.01</v>
      </c>
      <c r="H41" s="64">
        <v>14.63</v>
      </c>
      <c r="I41" s="64">
        <v>5.75</v>
      </c>
      <c r="J41" s="64">
        <v>0.64</v>
      </c>
      <c r="K41" s="64">
        <v>99.42</v>
      </c>
      <c r="L41" s="64">
        <v>27.52</v>
      </c>
      <c r="M41" s="64">
        <v>42.36</v>
      </c>
      <c r="N41" s="64">
        <v>243.8</v>
      </c>
      <c r="O41" s="64">
        <v>0</v>
      </c>
      <c r="P41" s="64">
        <v>0.45</v>
      </c>
      <c r="Q41" s="64">
        <v>9.15</v>
      </c>
      <c r="R41" s="198"/>
      <c r="S41" s="198"/>
      <c r="T41" s="198"/>
      <c r="U41" s="198"/>
    </row>
    <row r="42" spans="1:21" s="12" customFormat="1" x14ac:dyDescent="0.25">
      <c r="A42" s="214" t="s">
        <v>2777</v>
      </c>
      <c r="B42" s="64">
        <v>7.07</v>
      </c>
      <c r="C42" s="64">
        <v>28.36</v>
      </c>
      <c r="D42" s="64">
        <v>20.41</v>
      </c>
      <c r="E42" s="64">
        <v>1.1599999999999999</v>
      </c>
      <c r="F42" s="64">
        <v>3.55</v>
      </c>
      <c r="G42" s="64">
        <v>38.119999999999997</v>
      </c>
      <c r="H42" s="64">
        <v>14.36</v>
      </c>
      <c r="I42" s="64">
        <v>6.49</v>
      </c>
      <c r="J42" s="64">
        <v>0.49</v>
      </c>
      <c r="K42" s="64">
        <v>159.19</v>
      </c>
      <c r="L42" s="64">
        <v>27.71</v>
      </c>
      <c r="M42" s="64">
        <v>41.74</v>
      </c>
      <c r="N42" s="64">
        <v>139.1</v>
      </c>
      <c r="O42" s="64">
        <v>0</v>
      </c>
      <c r="P42" s="64">
        <v>0.44</v>
      </c>
      <c r="Q42" s="64">
        <v>9.14</v>
      </c>
      <c r="R42" s="198"/>
      <c r="S42" s="198"/>
      <c r="T42" s="198"/>
      <c r="U42" s="198"/>
    </row>
    <row r="43" spans="1:21" s="12" customFormat="1" x14ac:dyDescent="0.25">
      <c r="A43" s="214" t="s">
        <v>2778</v>
      </c>
      <c r="B43" s="64">
        <v>6.61</v>
      </c>
      <c r="C43" s="64">
        <v>27.5</v>
      </c>
      <c r="D43" s="64">
        <v>19.59</v>
      </c>
      <c r="E43" s="64">
        <v>0.89</v>
      </c>
      <c r="F43" s="64">
        <v>3.48</v>
      </c>
      <c r="G43" s="64">
        <v>38.119999999999997</v>
      </c>
      <c r="H43" s="64">
        <v>14.36</v>
      </c>
      <c r="I43" s="64">
        <v>7.42</v>
      </c>
      <c r="J43" s="64">
        <v>0.14000000000000001</v>
      </c>
      <c r="K43" s="64">
        <v>316.83999999999997</v>
      </c>
      <c r="L43" s="64">
        <v>27.64</v>
      </c>
      <c r="M43" s="64">
        <v>44.88</v>
      </c>
      <c r="N43" s="64">
        <v>121.3</v>
      </c>
      <c r="O43" s="64">
        <v>0</v>
      </c>
      <c r="P43" s="64">
        <v>0.44</v>
      </c>
      <c r="Q43" s="64">
        <v>9.14</v>
      </c>
      <c r="R43" s="198"/>
      <c r="S43" s="198"/>
      <c r="T43" s="198"/>
      <c r="U43" s="198"/>
    </row>
    <row r="44" spans="1:21" s="12" customFormat="1" x14ac:dyDescent="0.25">
      <c r="A44" s="214" t="s">
        <v>2779</v>
      </c>
      <c r="B44" s="64">
        <v>6.29</v>
      </c>
      <c r="C44" s="64">
        <v>27.84</v>
      </c>
      <c r="D44" s="64">
        <v>19.510000000000002</v>
      </c>
      <c r="E44" s="64">
        <v>1.05</v>
      </c>
      <c r="F44" s="64">
        <v>3.66</v>
      </c>
      <c r="G44" s="64">
        <v>38.119999999999997</v>
      </c>
      <c r="H44" s="64">
        <v>14.36</v>
      </c>
      <c r="I44" s="64">
        <v>7.59</v>
      </c>
      <c r="J44" s="64">
        <v>0.12</v>
      </c>
      <c r="K44" s="64">
        <v>289.39</v>
      </c>
      <c r="L44" s="64">
        <v>27.5</v>
      </c>
      <c r="M44" s="64">
        <v>51</v>
      </c>
      <c r="N44" s="64">
        <v>90.4</v>
      </c>
      <c r="O44" s="64">
        <v>0</v>
      </c>
      <c r="P44" s="64">
        <v>0.46</v>
      </c>
      <c r="Q44" s="64">
        <v>9.18</v>
      </c>
      <c r="R44" s="198"/>
      <c r="S44" s="198"/>
      <c r="T44" s="198"/>
      <c r="U44" s="198"/>
    </row>
    <row r="45" spans="1:21" s="12" customFormat="1" x14ac:dyDescent="0.25">
      <c r="A45" s="214" t="s">
        <v>2780</v>
      </c>
      <c r="B45" s="64">
        <v>6.5</v>
      </c>
      <c r="C45" s="64">
        <v>27.79</v>
      </c>
      <c r="D45" s="64">
        <v>19.649999999999999</v>
      </c>
      <c r="E45" s="64">
        <v>1.41</v>
      </c>
      <c r="F45" s="64">
        <v>3.78</v>
      </c>
      <c r="G45" s="64">
        <v>40.21</v>
      </c>
      <c r="H45" s="64">
        <v>14.33</v>
      </c>
      <c r="I45" s="64">
        <v>7.45</v>
      </c>
      <c r="J45" s="64">
        <v>0.08</v>
      </c>
      <c r="K45" s="64">
        <v>234.02</v>
      </c>
      <c r="L45" s="64">
        <v>26.8</v>
      </c>
      <c r="M45" s="64">
        <v>52.45</v>
      </c>
      <c r="N45" s="64">
        <v>94.3</v>
      </c>
      <c r="O45" s="64">
        <v>0</v>
      </c>
      <c r="P45" s="64">
        <v>0.47</v>
      </c>
      <c r="Q45" s="64">
        <v>9.14</v>
      </c>
      <c r="R45" s="198"/>
      <c r="S45" s="198"/>
      <c r="T45" s="198"/>
      <c r="U45" s="198"/>
    </row>
    <row r="46" spans="1:21" s="12" customFormat="1" x14ac:dyDescent="0.25">
      <c r="A46" s="214" t="s">
        <v>2781</v>
      </c>
      <c r="B46" s="64">
        <v>6.26</v>
      </c>
      <c r="C46" s="64">
        <v>28.25</v>
      </c>
      <c r="D46" s="64">
        <v>19.7</v>
      </c>
      <c r="E46" s="64">
        <v>1.08</v>
      </c>
      <c r="F46" s="64">
        <v>3.98</v>
      </c>
      <c r="G46" s="64">
        <v>44.18</v>
      </c>
      <c r="H46" s="64">
        <v>14.28</v>
      </c>
      <c r="I46" s="64">
        <v>7.39</v>
      </c>
      <c r="J46" s="64">
        <v>0.3</v>
      </c>
      <c r="K46" s="64">
        <v>164.47</v>
      </c>
      <c r="L46" s="64">
        <v>26.68</v>
      </c>
      <c r="M46" s="64">
        <v>53.93</v>
      </c>
      <c r="N46" s="64">
        <v>148</v>
      </c>
      <c r="O46" s="64">
        <v>0</v>
      </c>
      <c r="P46" s="64">
        <v>0.48</v>
      </c>
      <c r="Q46" s="64">
        <v>9.14</v>
      </c>
      <c r="R46" s="198"/>
      <c r="S46" s="198"/>
      <c r="T46" s="198"/>
      <c r="U46" s="198"/>
    </row>
    <row r="47" spans="1:21" s="12" customFormat="1" x14ac:dyDescent="0.25">
      <c r="A47" s="214" t="s">
        <v>2782</v>
      </c>
      <c r="B47" s="64">
        <v>5.9</v>
      </c>
      <c r="C47" s="64">
        <v>28.44</v>
      </c>
      <c r="D47" s="64">
        <v>19.510000000000002</v>
      </c>
      <c r="E47" s="64">
        <v>0.99</v>
      </c>
      <c r="F47" s="64">
        <v>3.69</v>
      </c>
      <c r="G47" s="64">
        <v>44.18</v>
      </c>
      <c r="H47" s="64">
        <v>14.28</v>
      </c>
      <c r="I47" s="64">
        <v>7.28</v>
      </c>
      <c r="J47" s="64">
        <v>0.03</v>
      </c>
      <c r="K47" s="64">
        <v>318</v>
      </c>
      <c r="L47" s="64">
        <v>26.71</v>
      </c>
      <c r="M47" s="64">
        <v>56.32</v>
      </c>
      <c r="N47" s="64">
        <v>219.7</v>
      </c>
      <c r="O47" s="64">
        <v>0</v>
      </c>
      <c r="P47" s="64">
        <v>0.48</v>
      </c>
      <c r="Q47" s="64">
        <v>9.19</v>
      </c>
      <c r="R47" s="198"/>
      <c r="S47" s="198"/>
      <c r="T47" s="198"/>
      <c r="U47" s="198"/>
    </row>
    <row r="48" spans="1:21" s="12" customFormat="1" x14ac:dyDescent="0.25">
      <c r="A48" s="214" t="s">
        <v>2783</v>
      </c>
      <c r="B48" s="64">
        <v>5.6</v>
      </c>
      <c r="C48" s="64">
        <v>28.09</v>
      </c>
      <c r="D48" s="64">
        <v>19.09</v>
      </c>
      <c r="E48" s="64">
        <v>0.79</v>
      </c>
      <c r="F48" s="64">
        <v>3.77</v>
      </c>
      <c r="G48" s="64">
        <v>44.18</v>
      </c>
      <c r="H48" s="64">
        <v>14.28</v>
      </c>
      <c r="I48" s="64">
        <v>7.08</v>
      </c>
      <c r="J48" s="64">
        <v>0.94</v>
      </c>
      <c r="K48" s="64">
        <v>160.79</v>
      </c>
      <c r="L48" s="64">
        <v>27.04</v>
      </c>
      <c r="M48" s="64">
        <v>52.85</v>
      </c>
      <c r="N48" s="64">
        <v>305.5</v>
      </c>
      <c r="O48" s="64">
        <v>0</v>
      </c>
      <c r="P48" s="64">
        <v>0.49</v>
      </c>
      <c r="Q48" s="64">
        <v>9.15</v>
      </c>
      <c r="R48" s="198"/>
      <c r="S48" s="198"/>
      <c r="T48" s="198"/>
      <c r="U48" s="198"/>
    </row>
    <row r="49" spans="1:21" s="12" customFormat="1" x14ac:dyDescent="0.25">
      <c r="A49" s="214" t="s">
        <v>2784</v>
      </c>
      <c r="B49" s="64">
        <v>5.16</v>
      </c>
      <c r="C49" s="64">
        <v>27.9</v>
      </c>
      <c r="D49" s="64">
        <v>18.63</v>
      </c>
      <c r="E49" s="64">
        <v>0.75</v>
      </c>
      <c r="F49" s="64">
        <v>3.81</v>
      </c>
      <c r="G49" s="64">
        <v>44</v>
      </c>
      <c r="H49" s="64">
        <v>14.88</v>
      </c>
      <c r="I49" s="64">
        <v>6.93</v>
      </c>
      <c r="J49" s="64">
        <v>1.07</v>
      </c>
      <c r="K49" s="64">
        <v>163.22999999999999</v>
      </c>
      <c r="L49" s="64">
        <v>27.5</v>
      </c>
      <c r="M49" s="64">
        <v>50.95</v>
      </c>
      <c r="N49" s="64">
        <v>602.70000000000005</v>
      </c>
      <c r="O49" s="64">
        <v>0</v>
      </c>
      <c r="P49" s="64">
        <v>0.5</v>
      </c>
      <c r="Q49" s="64">
        <v>9.1300000000000008</v>
      </c>
      <c r="R49" s="198"/>
      <c r="S49" s="198"/>
      <c r="T49" s="198"/>
      <c r="U49" s="198"/>
    </row>
    <row r="50" spans="1:21" s="12" customFormat="1" x14ac:dyDescent="0.25">
      <c r="A50" s="214" t="s">
        <v>2785</v>
      </c>
      <c r="B50" s="64">
        <v>4.62</v>
      </c>
      <c r="C50" s="64">
        <v>27.75</v>
      </c>
      <c r="D50" s="64">
        <v>18.12</v>
      </c>
      <c r="E50" s="64">
        <v>0.97</v>
      </c>
      <c r="F50" s="64">
        <v>3.89</v>
      </c>
      <c r="G50" s="64">
        <v>43.66</v>
      </c>
      <c r="H50" s="64">
        <v>16.09</v>
      </c>
      <c r="I50" s="64">
        <v>6.82</v>
      </c>
      <c r="J50" s="64">
        <v>1.1000000000000001</v>
      </c>
      <c r="K50" s="64">
        <v>164.99</v>
      </c>
      <c r="L50" s="64">
        <v>29.67</v>
      </c>
      <c r="M50" s="64">
        <v>42</v>
      </c>
      <c r="N50" s="64">
        <v>950.3</v>
      </c>
      <c r="O50" s="64">
        <v>0</v>
      </c>
      <c r="P50" s="64">
        <v>0.49</v>
      </c>
      <c r="Q50" s="64">
        <v>9.18</v>
      </c>
      <c r="R50" s="198"/>
      <c r="S50" s="198"/>
      <c r="T50" s="198"/>
      <c r="U50" s="198"/>
    </row>
    <row r="51" spans="1:21" s="12" customFormat="1" x14ac:dyDescent="0.25">
      <c r="A51" s="214" t="s">
        <v>2786</v>
      </c>
      <c r="B51" s="64">
        <v>3.87</v>
      </c>
      <c r="C51" s="64">
        <v>27.89</v>
      </c>
      <c r="D51" s="64">
        <v>17.600000000000001</v>
      </c>
      <c r="E51" s="64">
        <v>0.82</v>
      </c>
      <c r="F51" s="64">
        <v>4.21</v>
      </c>
      <c r="G51" s="64">
        <v>43.66</v>
      </c>
      <c r="H51" s="64">
        <v>16.09</v>
      </c>
      <c r="I51" s="64">
        <v>7</v>
      </c>
      <c r="J51" s="64">
        <v>0.49</v>
      </c>
      <c r="K51" s="64">
        <v>191.89</v>
      </c>
      <c r="L51" s="64">
        <v>31.1</v>
      </c>
      <c r="M51" s="64">
        <v>36.799999999999997</v>
      </c>
      <c r="N51" s="64">
        <v>950.8</v>
      </c>
      <c r="O51" s="64">
        <v>0</v>
      </c>
      <c r="P51" s="64">
        <v>0.49</v>
      </c>
      <c r="Q51" s="64">
        <v>9.16</v>
      </c>
      <c r="R51" s="198"/>
      <c r="S51" s="198"/>
      <c r="T51" s="198"/>
      <c r="U51" s="198"/>
    </row>
    <row r="52" spans="1:21" s="12" customFormat="1" x14ac:dyDescent="0.25">
      <c r="A52" s="214" t="s">
        <v>2787</v>
      </c>
      <c r="B52" s="64">
        <v>3.03</v>
      </c>
      <c r="C52" s="64">
        <v>27.85</v>
      </c>
      <c r="D52" s="64">
        <v>16.899999999999999</v>
      </c>
      <c r="E52" s="64">
        <v>1.06</v>
      </c>
      <c r="F52" s="64">
        <v>4.75</v>
      </c>
      <c r="G52" s="64">
        <v>43.66</v>
      </c>
      <c r="H52" s="64">
        <v>16.09</v>
      </c>
      <c r="I52" s="64">
        <v>6.98</v>
      </c>
      <c r="J52" s="64">
        <v>0.28999999999999998</v>
      </c>
      <c r="K52" s="64">
        <v>170.73</v>
      </c>
      <c r="L52" s="64">
        <v>33.090000000000003</v>
      </c>
      <c r="M52" s="64">
        <v>31.78</v>
      </c>
      <c r="N52" s="64">
        <v>971</v>
      </c>
      <c r="O52" s="64">
        <v>0</v>
      </c>
      <c r="P52" s="64">
        <v>0.49</v>
      </c>
      <c r="Q52" s="64">
        <v>9.14</v>
      </c>
      <c r="R52" s="198"/>
      <c r="S52" s="198"/>
      <c r="T52" s="198"/>
      <c r="U52" s="198"/>
    </row>
    <row r="53" spans="1:21" s="12" customFormat="1" x14ac:dyDescent="0.25">
      <c r="A53" s="214" t="s">
        <v>2788</v>
      </c>
      <c r="B53" s="64">
        <v>2.52</v>
      </c>
      <c r="C53" s="64">
        <v>27.78</v>
      </c>
      <c r="D53" s="64">
        <v>16.46</v>
      </c>
      <c r="E53" s="64">
        <v>0.79</v>
      </c>
      <c r="F53" s="64">
        <v>4.57</v>
      </c>
      <c r="G53" s="64">
        <v>43.44</v>
      </c>
      <c r="H53" s="64">
        <v>14.18</v>
      </c>
      <c r="I53" s="64">
        <v>7.18</v>
      </c>
      <c r="J53" s="64">
        <v>0.49</v>
      </c>
      <c r="K53" s="64">
        <v>146.72999999999999</v>
      </c>
      <c r="L53" s="64">
        <v>33.36</v>
      </c>
      <c r="M53" s="64">
        <v>28.94</v>
      </c>
      <c r="N53" s="64">
        <v>789</v>
      </c>
      <c r="O53" s="64">
        <v>0</v>
      </c>
      <c r="P53" s="64">
        <v>0.49</v>
      </c>
      <c r="Q53" s="64">
        <v>9.11</v>
      </c>
      <c r="R53" s="198"/>
      <c r="S53" s="198"/>
      <c r="T53" s="198"/>
      <c r="U53" s="198"/>
    </row>
    <row r="54" spans="1:21" s="12" customFormat="1" x14ac:dyDescent="0.25">
      <c r="A54" s="214" t="s">
        <v>2789</v>
      </c>
      <c r="B54" s="64">
        <v>2.2799999999999998</v>
      </c>
      <c r="C54" s="64">
        <v>28.05</v>
      </c>
      <c r="D54" s="64">
        <v>16.399999999999999</v>
      </c>
      <c r="E54" s="64">
        <v>1.07</v>
      </c>
      <c r="F54" s="64">
        <v>4.8099999999999996</v>
      </c>
      <c r="G54" s="64">
        <v>43.03</v>
      </c>
      <c r="H54" s="64">
        <v>10.56</v>
      </c>
      <c r="I54" s="64">
        <v>6.99</v>
      </c>
      <c r="J54" s="64">
        <v>0.24</v>
      </c>
      <c r="K54" s="64">
        <v>163</v>
      </c>
      <c r="L54" s="64">
        <v>33.369999999999997</v>
      </c>
      <c r="M54" s="64">
        <v>29.78</v>
      </c>
      <c r="N54" s="64">
        <v>608.5</v>
      </c>
      <c r="O54" s="64">
        <v>0</v>
      </c>
      <c r="P54" s="64">
        <v>0.49</v>
      </c>
      <c r="Q54" s="64">
        <v>9.1</v>
      </c>
      <c r="R54" s="198"/>
      <c r="S54" s="198"/>
      <c r="T54" s="198"/>
      <c r="U54" s="198"/>
    </row>
    <row r="55" spans="1:21" s="12" customFormat="1" x14ac:dyDescent="0.25">
      <c r="A55" s="214" t="s">
        <v>2790</v>
      </c>
      <c r="B55" s="64">
        <v>2.0699999999999998</v>
      </c>
      <c r="C55" s="64">
        <v>28.09</v>
      </c>
      <c r="D55" s="64">
        <v>16.260000000000002</v>
      </c>
      <c r="E55" s="64">
        <v>0.92</v>
      </c>
      <c r="F55" s="64">
        <v>5.28</v>
      </c>
      <c r="G55" s="64">
        <v>43.03</v>
      </c>
      <c r="H55" s="64">
        <v>10.56</v>
      </c>
      <c r="I55" s="64">
        <v>6.94</v>
      </c>
      <c r="J55" s="64">
        <v>0.56000000000000005</v>
      </c>
      <c r="K55" s="64">
        <v>174.24</v>
      </c>
      <c r="L55" s="64">
        <v>33.26</v>
      </c>
      <c r="M55" s="64">
        <v>26.48</v>
      </c>
      <c r="N55" s="64">
        <v>667.6</v>
      </c>
      <c r="O55" s="64">
        <v>0</v>
      </c>
      <c r="P55" s="64">
        <v>0.48</v>
      </c>
      <c r="Q55" s="64">
        <v>9.1199999999999992</v>
      </c>
      <c r="R55" s="198"/>
      <c r="S55" s="198"/>
      <c r="T55" s="198"/>
      <c r="U55" s="198"/>
    </row>
    <row r="56" spans="1:21" s="12" customFormat="1" x14ac:dyDescent="0.25">
      <c r="A56" s="214" t="s">
        <v>2791</v>
      </c>
      <c r="B56" s="64">
        <v>1.86</v>
      </c>
      <c r="C56" s="64">
        <v>27.84</v>
      </c>
      <c r="D56" s="64">
        <v>15.95</v>
      </c>
      <c r="E56" s="64">
        <v>1.78</v>
      </c>
      <c r="F56" s="64">
        <v>4.9400000000000004</v>
      </c>
      <c r="G56" s="64">
        <v>43.03</v>
      </c>
      <c r="H56" s="64">
        <v>10.56</v>
      </c>
      <c r="I56" s="64">
        <v>7.19</v>
      </c>
      <c r="J56" s="64">
        <v>0.92</v>
      </c>
      <c r="K56" s="64">
        <v>147.69999999999999</v>
      </c>
      <c r="L56" s="64">
        <v>33.950000000000003</v>
      </c>
      <c r="M56" s="64">
        <v>27.32</v>
      </c>
      <c r="N56" s="64">
        <v>896.5</v>
      </c>
      <c r="O56" s="64">
        <v>0</v>
      </c>
      <c r="P56" s="64">
        <v>0.47</v>
      </c>
      <c r="Q56" s="64">
        <v>9.1199999999999992</v>
      </c>
      <c r="R56" s="198"/>
      <c r="S56" s="198"/>
      <c r="T56" s="198"/>
      <c r="U56" s="198"/>
    </row>
    <row r="57" spans="1:21" s="12" customFormat="1" x14ac:dyDescent="0.25">
      <c r="A57" s="214" t="s">
        <v>2792</v>
      </c>
      <c r="B57" s="64">
        <v>1.77</v>
      </c>
      <c r="C57" s="64">
        <v>27.55</v>
      </c>
      <c r="D57" s="64">
        <v>15.73</v>
      </c>
      <c r="E57" s="64">
        <v>2.12</v>
      </c>
      <c r="F57" s="64">
        <v>4.5599999999999996</v>
      </c>
      <c r="G57" s="64">
        <v>42.4</v>
      </c>
      <c r="H57" s="64">
        <v>12.15</v>
      </c>
      <c r="I57" s="64">
        <v>7.47</v>
      </c>
      <c r="J57" s="64">
        <v>0.7</v>
      </c>
      <c r="K57" s="64">
        <v>153.53</v>
      </c>
      <c r="L57" s="64">
        <v>34.46</v>
      </c>
      <c r="M57" s="64">
        <v>25.91</v>
      </c>
      <c r="N57" s="64">
        <v>780.7</v>
      </c>
      <c r="O57" s="64">
        <v>0</v>
      </c>
      <c r="P57" s="64">
        <v>0.47</v>
      </c>
      <c r="Q57" s="64">
        <v>9.1300000000000008</v>
      </c>
      <c r="R57" s="198"/>
      <c r="S57" s="198"/>
      <c r="T57" s="198"/>
      <c r="U57" s="198"/>
    </row>
    <row r="58" spans="1:21" s="12" customFormat="1" x14ac:dyDescent="0.25">
      <c r="A58" s="214" t="s">
        <v>2793</v>
      </c>
      <c r="B58" s="64">
        <v>1.75</v>
      </c>
      <c r="C58" s="64">
        <v>26.95</v>
      </c>
      <c r="D58" s="64">
        <v>15.41</v>
      </c>
      <c r="E58" s="64">
        <v>2.34</v>
      </c>
      <c r="F58" s="64">
        <v>4.7699999999999996</v>
      </c>
      <c r="G58" s="64">
        <v>41.2</v>
      </c>
      <c r="H58" s="64">
        <v>15.16</v>
      </c>
      <c r="I58" s="64">
        <v>7.66</v>
      </c>
      <c r="J58" s="64">
        <v>0.24</v>
      </c>
      <c r="K58" s="64">
        <v>144.08000000000001</v>
      </c>
      <c r="L58" s="64">
        <v>35.07</v>
      </c>
      <c r="M58" s="64">
        <v>24.7</v>
      </c>
      <c r="N58" s="64">
        <v>1022.6</v>
      </c>
      <c r="O58" s="64">
        <v>0</v>
      </c>
      <c r="P58" s="64">
        <v>0.46</v>
      </c>
      <c r="Q58" s="64">
        <v>9.16</v>
      </c>
      <c r="R58" s="198"/>
      <c r="S58" s="198"/>
      <c r="T58" s="198"/>
      <c r="U58" s="198"/>
    </row>
    <row r="59" spans="1:21" s="12" customFormat="1" x14ac:dyDescent="0.25">
      <c r="A59" s="214" t="s">
        <v>2794</v>
      </c>
      <c r="B59" s="64">
        <v>1.64</v>
      </c>
      <c r="C59" s="64">
        <v>26.78</v>
      </c>
      <c r="D59" s="64">
        <v>15.23</v>
      </c>
      <c r="E59" s="64">
        <v>2.02</v>
      </c>
      <c r="F59" s="64">
        <v>5.44</v>
      </c>
      <c r="G59" s="64">
        <v>41.2</v>
      </c>
      <c r="H59" s="64">
        <v>15.16</v>
      </c>
      <c r="I59" s="64">
        <v>7.72</v>
      </c>
      <c r="J59" s="64">
        <v>0.22</v>
      </c>
      <c r="K59" s="64">
        <v>180.94</v>
      </c>
      <c r="L59" s="64">
        <v>35.71</v>
      </c>
      <c r="M59" s="64">
        <v>23.91</v>
      </c>
      <c r="N59" s="64">
        <v>771.5</v>
      </c>
      <c r="O59" s="64">
        <v>0</v>
      </c>
      <c r="P59" s="64">
        <v>0.45</v>
      </c>
      <c r="Q59" s="64">
        <v>9.1199999999999992</v>
      </c>
      <c r="R59" s="198"/>
      <c r="S59" s="198"/>
      <c r="T59" s="198"/>
      <c r="U59" s="198"/>
    </row>
    <row r="60" spans="1:21" s="12" customFormat="1" x14ac:dyDescent="0.25">
      <c r="A60" s="214" t="s">
        <v>2795</v>
      </c>
      <c r="B60" s="64">
        <v>1.57</v>
      </c>
      <c r="C60" s="64">
        <v>27.66</v>
      </c>
      <c r="D60" s="64">
        <v>15.63</v>
      </c>
      <c r="E60" s="64">
        <v>2.39</v>
      </c>
      <c r="F60" s="64">
        <v>5.61</v>
      </c>
      <c r="G60" s="64">
        <v>41.2</v>
      </c>
      <c r="H60" s="64">
        <v>15.16</v>
      </c>
      <c r="I60" s="64">
        <v>7.84</v>
      </c>
      <c r="J60" s="64">
        <v>0.28000000000000003</v>
      </c>
      <c r="K60" s="64">
        <v>325.47000000000003</v>
      </c>
      <c r="L60" s="64">
        <v>36.020000000000003</v>
      </c>
      <c r="M60" s="64">
        <v>23.01</v>
      </c>
      <c r="N60" s="64">
        <v>665.5</v>
      </c>
      <c r="O60" s="64">
        <v>0</v>
      </c>
      <c r="P60" s="64">
        <v>0.45</v>
      </c>
      <c r="Q60" s="64">
        <v>9.11</v>
      </c>
      <c r="R60" s="198"/>
      <c r="S60" s="198"/>
      <c r="T60" s="198"/>
      <c r="U60" s="198"/>
    </row>
    <row r="61" spans="1:21" s="12" customFormat="1" x14ac:dyDescent="0.25">
      <c r="A61" s="214" t="s">
        <v>2796</v>
      </c>
      <c r="B61" s="64">
        <v>1.74</v>
      </c>
      <c r="C61" s="64">
        <v>27.15</v>
      </c>
      <c r="D61" s="64">
        <v>15.5</v>
      </c>
      <c r="E61" s="64">
        <v>2.27</v>
      </c>
      <c r="F61" s="64">
        <v>5.31</v>
      </c>
      <c r="G61" s="64">
        <v>39.74</v>
      </c>
      <c r="H61" s="64">
        <v>13.99</v>
      </c>
      <c r="I61" s="64">
        <v>8.0500000000000007</v>
      </c>
      <c r="J61" s="64">
        <v>0.09</v>
      </c>
      <c r="K61" s="64">
        <v>198.49</v>
      </c>
      <c r="L61" s="64">
        <v>36.39</v>
      </c>
      <c r="M61" s="64">
        <v>19.57</v>
      </c>
      <c r="N61" s="64">
        <v>575</v>
      </c>
      <c r="O61" s="64">
        <v>0</v>
      </c>
      <c r="P61" s="64">
        <v>0.43</v>
      </c>
      <c r="Q61" s="64">
        <v>9.15</v>
      </c>
      <c r="R61" s="198"/>
      <c r="S61" s="198"/>
      <c r="T61" s="198"/>
      <c r="U61" s="198"/>
    </row>
    <row r="62" spans="1:21" s="12" customFormat="1" x14ac:dyDescent="0.25">
      <c r="A62" s="214" t="s">
        <v>2797</v>
      </c>
      <c r="B62" s="64">
        <v>1.7</v>
      </c>
      <c r="C62" s="64">
        <v>28.14</v>
      </c>
      <c r="D62" s="64">
        <v>15.99</v>
      </c>
      <c r="E62" s="64">
        <v>2.35</v>
      </c>
      <c r="F62" s="64">
        <v>5.58</v>
      </c>
      <c r="G62" s="64">
        <v>36.96</v>
      </c>
      <c r="H62" s="64">
        <v>10.46</v>
      </c>
      <c r="I62" s="64">
        <v>7.79</v>
      </c>
      <c r="J62" s="64">
        <v>0.17</v>
      </c>
      <c r="K62" s="64">
        <v>350.56</v>
      </c>
      <c r="L62" s="64">
        <v>35.74</v>
      </c>
      <c r="M62" s="64">
        <v>22.13</v>
      </c>
      <c r="N62" s="64">
        <v>533.9</v>
      </c>
      <c r="O62" s="64">
        <v>0</v>
      </c>
      <c r="P62" s="64">
        <v>0.45</v>
      </c>
      <c r="Q62" s="64">
        <v>9.1199999999999992</v>
      </c>
      <c r="R62" s="198"/>
      <c r="S62" s="198"/>
      <c r="T62" s="198"/>
      <c r="U62" s="198"/>
    </row>
    <row r="63" spans="1:21" s="12" customFormat="1" x14ac:dyDescent="0.25">
      <c r="A63" s="214" t="s">
        <v>2798</v>
      </c>
      <c r="B63" s="64">
        <v>1.97</v>
      </c>
      <c r="C63" s="64">
        <v>32.9</v>
      </c>
      <c r="D63" s="64">
        <v>18.690000000000001</v>
      </c>
      <c r="E63" s="64">
        <v>2.14</v>
      </c>
      <c r="F63" s="64">
        <v>5.56</v>
      </c>
      <c r="G63" s="64">
        <v>36.96</v>
      </c>
      <c r="H63" s="64">
        <v>10.46</v>
      </c>
      <c r="I63" s="64">
        <v>7.62</v>
      </c>
      <c r="J63" s="64">
        <v>0.52</v>
      </c>
      <c r="K63" s="64">
        <v>84.22</v>
      </c>
      <c r="L63" s="64">
        <v>36.270000000000003</v>
      </c>
      <c r="M63" s="64">
        <v>22.21</v>
      </c>
      <c r="N63" s="64">
        <v>700</v>
      </c>
      <c r="O63" s="64">
        <v>0</v>
      </c>
      <c r="P63" s="64">
        <v>0.46</v>
      </c>
      <c r="Q63" s="64">
        <v>9.18</v>
      </c>
      <c r="R63" s="198"/>
      <c r="S63" s="198"/>
      <c r="T63" s="198"/>
      <c r="U63" s="198"/>
    </row>
    <row r="64" spans="1:21" s="12" customFormat="1" x14ac:dyDescent="0.25">
      <c r="A64" s="214" t="s">
        <v>2799</v>
      </c>
      <c r="B64" s="64">
        <v>1.89</v>
      </c>
      <c r="C64" s="64">
        <v>33.76</v>
      </c>
      <c r="D64" s="64">
        <v>19.07</v>
      </c>
      <c r="E64" s="64">
        <v>2.52</v>
      </c>
      <c r="F64" s="64">
        <v>5.19</v>
      </c>
      <c r="G64" s="64">
        <v>36.96</v>
      </c>
      <c r="H64" s="64">
        <v>10.46</v>
      </c>
      <c r="I64" s="64">
        <v>7.41</v>
      </c>
      <c r="J64" s="64">
        <v>0.44</v>
      </c>
      <c r="K64" s="64">
        <v>128.43</v>
      </c>
      <c r="L64" s="64">
        <v>35.909999999999997</v>
      </c>
      <c r="M64" s="64">
        <v>21.92</v>
      </c>
      <c r="N64" s="64">
        <v>786.4</v>
      </c>
      <c r="O64" s="64">
        <v>0</v>
      </c>
      <c r="P64" s="64">
        <v>0.46</v>
      </c>
      <c r="Q64" s="64">
        <v>9.1199999999999992</v>
      </c>
      <c r="R64" s="198"/>
      <c r="S64" s="198"/>
      <c r="T64" s="198"/>
      <c r="U64" s="198"/>
    </row>
    <row r="65" spans="1:21" s="12" customFormat="1" x14ac:dyDescent="0.25">
      <c r="A65" s="214" t="s">
        <v>2800</v>
      </c>
      <c r="B65" s="64">
        <v>1.77</v>
      </c>
      <c r="C65" s="64">
        <v>33.630000000000003</v>
      </c>
      <c r="D65" s="64">
        <v>18.91</v>
      </c>
      <c r="E65" s="64">
        <v>2.63</v>
      </c>
      <c r="F65" s="64">
        <v>5.09</v>
      </c>
      <c r="G65" s="64">
        <v>35.76</v>
      </c>
      <c r="H65" s="64">
        <v>12.95</v>
      </c>
      <c r="I65" s="64">
        <v>7.37</v>
      </c>
      <c r="J65" s="64">
        <v>0.14000000000000001</v>
      </c>
      <c r="K65" s="64">
        <v>355.54</v>
      </c>
      <c r="L65" s="64">
        <v>37.119999999999997</v>
      </c>
      <c r="M65" s="64">
        <v>21.27</v>
      </c>
      <c r="N65" s="64">
        <v>632.70000000000005</v>
      </c>
      <c r="O65" s="64">
        <v>0</v>
      </c>
      <c r="P65" s="64">
        <v>0.46</v>
      </c>
      <c r="Q65" s="64">
        <v>9.14</v>
      </c>
      <c r="R65" s="198"/>
      <c r="S65" s="198"/>
      <c r="T65" s="198"/>
      <c r="U65" s="198"/>
    </row>
    <row r="66" spans="1:21" s="12" customFormat="1" x14ac:dyDescent="0.25">
      <c r="A66" s="214" t="s">
        <v>2801</v>
      </c>
      <c r="B66" s="64">
        <v>1.69</v>
      </c>
      <c r="C66" s="64">
        <v>32.46</v>
      </c>
      <c r="D66" s="64">
        <v>18.23</v>
      </c>
      <c r="E66" s="64">
        <v>2.29</v>
      </c>
      <c r="F66" s="64">
        <v>5.44</v>
      </c>
      <c r="G66" s="64">
        <v>33.47</v>
      </c>
      <c r="H66" s="64">
        <v>17.84</v>
      </c>
      <c r="I66" s="64">
        <v>7.45</v>
      </c>
      <c r="J66" s="64">
        <v>0.8</v>
      </c>
      <c r="K66" s="64">
        <v>157.22</v>
      </c>
      <c r="L66" s="64">
        <v>35.96</v>
      </c>
      <c r="M66" s="64">
        <v>22.08</v>
      </c>
      <c r="N66" s="64">
        <v>350</v>
      </c>
      <c r="O66" s="64">
        <v>0</v>
      </c>
      <c r="P66" s="64">
        <v>0.46</v>
      </c>
      <c r="Q66" s="64">
        <v>9.14</v>
      </c>
      <c r="R66" s="198"/>
      <c r="S66" s="198"/>
      <c r="T66" s="198"/>
      <c r="U66" s="198"/>
    </row>
    <row r="67" spans="1:21" s="12" customFormat="1" x14ac:dyDescent="0.25">
      <c r="A67" s="214" t="s">
        <v>2802</v>
      </c>
      <c r="B67" s="64">
        <v>1.51</v>
      </c>
      <c r="C67" s="64">
        <v>31.87</v>
      </c>
      <c r="D67" s="64">
        <v>17.78</v>
      </c>
      <c r="E67" s="64">
        <v>2.15</v>
      </c>
      <c r="F67" s="64">
        <v>6.38</v>
      </c>
      <c r="G67" s="64">
        <v>33.47</v>
      </c>
      <c r="H67" s="64">
        <v>17.84</v>
      </c>
      <c r="I67" s="64">
        <v>7.32</v>
      </c>
      <c r="J67" s="64">
        <v>0.84</v>
      </c>
      <c r="K67" s="64">
        <v>160.09</v>
      </c>
      <c r="L67" s="64">
        <v>35.14</v>
      </c>
      <c r="M67" s="64">
        <v>22.87</v>
      </c>
      <c r="N67" s="64">
        <v>454</v>
      </c>
      <c r="O67" s="64">
        <v>0</v>
      </c>
      <c r="P67" s="64">
        <v>0.46</v>
      </c>
      <c r="Q67" s="64">
        <v>9.14</v>
      </c>
      <c r="R67" s="198"/>
      <c r="S67" s="198"/>
      <c r="T67" s="198"/>
      <c r="U67" s="198"/>
    </row>
    <row r="68" spans="1:21" s="12" customFormat="1" x14ac:dyDescent="0.25">
      <c r="A68" s="214" t="s">
        <v>2803</v>
      </c>
      <c r="B68" s="64">
        <v>1.34</v>
      </c>
      <c r="C68" s="64">
        <v>32.58</v>
      </c>
      <c r="D68" s="64">
        <v>18.02</v>
      </c>
      <c r="E68" s="64">
        <v>2.3199999999999998</v>
      </c>
      <c r="F68" s="64">
        <v>6.48</v>
      </c>
      <c r="G68" s="64">
        <v>33.47</v>
      </c>
      <c r="H68" s="64">
        <v>17.84</v>
      </c>
      <c r="I68" s="64">
        <v>7.21</v>
      </c>
      <c r="J68" s="64">
        <v>1.21</v>
      </c>
      <c r="K68" s="64">
        <v>150.16999999999999</v>
      </c>
      <c r="L68" s="64">
        <v>35.17</v>
      </c>
      <c r="M68" s="64">
        <v>23.4</v>
      </c>
      <c r="N68" s="64">
        <v>244.9</v>
      </c>
      <c r="O68" s="64">
        <v>0</v>
      </c>
      <c r="P68" s="64">
        <v>0.47</v>
      </c>
      <c r="Q68" s="64">
        <v>9.1300000000000008</v>
      </c>
      <c r="R68" s="198"/>
      <c r="S68" s="198"/>
      <c r="T68" s="198"/>
      <c r="U68" s="198"/>
    </row>
    <row r="69" spans="1:21" s="12" customFormat="1" x14ac:dyDescent="0.25">
      <c r="A69" s="214" t="s">
        <v>2804</v>
      </c>
      <c r="B69" s="64">
        <v>1.28</v>
      </c>
      <c r="C69" s="64">
        <v>32.14</v>
      </c>
      <c r="D69" s="64">
        <v>17.739999999999998</v>
      </c>
      <c r="E69" s="64">
        <v>2.46</v>
      </c>
      <c r="F69" s="64">
        <v>6.5</v>
      </c>
      <c r="G69" s="64">
        <v>34.04</v>
      </c>
      <c r="H69" s="64">
        <v>17.84</v>
      </c>
      <c r="I69" s="64">
        <v>7.23</v>
      </c>
      <c r="J69" s="64">
        <v>0.76</v>
      </c>
      <c r="K69" s="64">
        <v>169.25</v>
      </c>
      <c r="L69" s="64">
        <v>34.99</v>
      </c>
      <c r="M69" s="64">
        <v>22.29</v>
      </c>
      <c r="N69" s="64">
        <v>232.7</v>
      </c>
      <c r="O69" s="64">
        <v>0</v>
      </c>
      <c r="P69" s="64">
        <v>0.46</v>
      </c>
      <c r="Q69" s="64">
        <v>9.15</v>
      </c>
      <c r="R69" s="198"/>
      <c r="S69" s="198"/>
      <c r="T69" s="198"/>
      <c r="U69" s="198"/>
    </row>
    <row r="70" spans="1:21" s="12" customFormat="1" x14ac:dyDescent="0.25">
      <c r="A70" s="214" t="s">
        <v>2805</v>
      </c>
      <c r="B70" s="64">
        <v>1.25</v>
      </c>
      <c r="C70" s="64">
        <v>31.4</v>
      </c>
      <c r="D70" s="64">
        <v>17.32</v>
      </c>
      <c r="E70" s="64">
        <v>2.44</v>
      </c>
      <c r="F70" s="64">
        <v>6.97</v>
      </c>
      <c r="G70" s="212" t="s">
        <v>42</v>
      </c>
      <c r="H70" s="212" t="s">
        <v>42</v>
      </c>
      <c r="I70" s="64">
        <v>7.4</v>
      </c>
      <c r="J70" s="64">
        <v>0.19</v>
      </c>
      <c r="K70" s="64">
        <v>194.47</v>
      </c>
      <c r="L70" s="64">
        <v>35.409999999999997</v>
      </c>
      <c r="M70" s="64">
        <v>22.32</v>
      </c>
      <c r="N70" s="64">
        <v>293.89999999999998</v>
      </c>
      <c r="O70" s="64">
        <v>0</v>
      </c>
      <c r="P70" s="64">
        <v>0.46</v>
      </c>
      <c r="Q70" s="64">
        <v>9.14</v>
      </c>
      <c r="R70" s="198"/>
      <c r="S70" s="198"/>
      <c r="T70" s="198"/>
      <c r="U70" s="198"/>
    </row>
    <row r="71" spans="1:21" s="12" customFormat="1" x14ac:dyDescent="0.25">
      <c r="A71" s="214" t="s">
        <v>2806</v>
      </c>
      <c r="B71" s="64">
        <v>1.24</v>
      </c>
      <c r="C71" s="64">
        <v>30.96</v>
      </c>
      <c r="D71" s="64">
        <v>17.09</v>
      </c>
      <c r="E71" s="64">
        <v>2.56</v>
      </c>
      <c r="F71" s="64">
        <v>6.27</v>
      </c>
      <c r="G71" s="212" t="s">
        <v>42</v>
      </c>
      <c r="H71" s="212" t="s">
        <v>42</v>
      </c>
      <c r="I71" s="64">
        <v>7.4</v>
      </c>
      <c r="J71" s="64">
        <v>0.1</v>
      </c>
      <c r="K71" s="64">
        <v>13.45</v>
      </c>
      <c r="L71" s="64">
        <v>35.69</v>
      </c>
      <c r="M71" s="64">
        <v>21.69</v>
      </c>
      <c r="N71" s="64">
        <v>290.2</v>
      </c>
      <c r="O71" s="64">
        <v>0</v>
      </c>
      <c r="P71" s="64">
        <v>0.47</v>
      </c>
      <c r="Q71" s="64">
        <v>9.1300000000000008</v>
      </c>
      <c r="R71" s="198"/>
      <c r="S71" s="198"/>
      <c r="T71" s="198"/>
      <c r="U71" s="198"/>
    </row>
    <row r="72" spans="1:21" s="12" customFormat="1" x14ac:dyDescent="0.25">
      <c r="A72" s="214" t="s">
        <v>2807</v>
      </c>
      <c r="B72" s="64">
        <v>1.34</v>
      </c>
      <c r="C72" s="64">
        <v>26.75</v>
      </c>
      <c r="D72" s="64">
        <v>14.96</v>
      </c>
      <c r="E72" s="64">
        <v>1.1599999999999999</v>
      </c>
      <c r="F72" s="64">
        <v>5.6</v>
      </c>
      <c r="G72" s="212" t="s">
        <v>42</v>
      </c>
      <c r="H72" s="212" t="s">
        <v>42</v>
      </c>
      <c r="I72" s="64">
        <v>6.97</v>
      </c>
      <c r="J72" s="64">
        <v>0.46</v>
      </c>
      <c r="K72" s="64">
        <v>161.91999999999999</v>
      </c>
      <c r="L72" s="64">
        <v>35.409999999999997</v>
      </c>
      <c r="M72" s="64">
        <v>22.23</v>
      </c>
      <c r="N72" s="64">
        <v>227.9</v>
      </c>
      <c r="O72" s="64">
        <v>0</v>
      </c>
      <c r="P72" s="64">
        <v>0.47</v>
      </c>
      <c r="Q72" s="64">
        <v>9.1199999999999992</v>
      </c>
      <c r="R72" s="198"/>
      <c r="S72" s="198"/>
      <c r="T72" s="198"/>
      <c r="U72" s="198"/>
    </row>
    <row r="73" spans="1:21" s="12" customFormat="1" x14ac:dyDescent="0.25">
      <c r="A73" s="214" t="s">
        <v>2808</v>
      </c>
      <c r="B73" s="64">
        <v>1.38</v>
      </c>
      <c r="C73" s="64">
        <v>27.03</v>
      </c>
      <c r="D73" s="64">
        <v>15.15</v>
      </c>
      <c r="E73" s="64">
        <v>1.1499999999999999</v>
      </c>
      <c r="F73" s="64">
        <v>5.48</v>
      </c>
      <c r="G73" s="212" t="s">
        <v>42</v>
      </c>
      <c r="H73" s="212" t="s">
        <v>42</v>
      </c>
      <c r="I73" s="64">
        <v>6.59</v>
      </c>
      <c r="J73" s="64">
        <v>0.23</v>
      </c>
      <c r="K73" s="64">
        <v>208.05</v>
      </c>
      <c r="L73" s="64">
        <v>35.200000000000003</v>
      </c>
      <c r="M73" s="64">
        <v>21.94</v>
      </c>
      <c r="N73" s="64">
        <v>157.1</v>
      </c>
      <c r="O73" s="64">
        <v>0</v>
      </c>
      <c r="P73" s="64">
        <v>0.47</v>
      </c>
      <c r="Q73" s="64">
        <v>9.17</v>
      </c>
      <c r="R73" s="198"/>
      <c r="S73" s="198"/>
      <c r="T73" s="198"/>
      <c r="U73" s="198"/>
    </row>
    <row r="74" spans="1:21" s="12" customFormat="1" x14ac:dyDescent="0.25">
      <c r="A74" s="214" t="s">
        <v>2809</v>
      </c>
      <c r="B74" s="64">
        <v>1.4</v>
      </c>
      <c r="C74" s="64">
        <v>27.18</v>
      </c>
      <c r="D74" s="64">
        <v>15.25</v>
      </c>
      <c r="E74" s="64">
        <v>1.49</v>
      </c>
      <c r="F74" s="64">
        <v>5.73</v>
      </c>
      <c r="G74" s="212" t="s">
        <v>42</v>
      </c>
      <c r="H74" s="212" t="s">
        <v>42</v>
      </c>
      <c r="I74" s="64">
        <v>7.02</v>
      </c>
      <c r="J74" s="64">
        <v>0.17</v>
      </c>
      <c r="K74" s="64">
        <v>344.22</v>
      </c>
      <c r="L74" s="64">
        <v>35.26</v>
      </c>
      <c r="M74" s="64">
        <v>22.34</v>
      </c>
      <c r="N74" s="64">
        <v>134.5</v>
      </c>
      <c r="O74" s="64">
        <v>0</v>
      </c>
      <c r="P74" s="64">
        <v>0.47</v>
      </c>
      <c r="Q74" s="64">
        <v>9.15</v>
      </c>
      <c r="R74" s="198"/>
      <c r="S74" s="198"/>
      <c r="T74" s="198"/>
      <c r="U74" s="198"/>
    </row>
    <row r="75" spans="1:21" s="12" customFormat="1" x14ac:dyDescent="0.25">
      <c r="A75" s="214" t="s">
        <v>2810</v>
      </c>
      <c r="B75" s="64">
        <v>1.48</v>
      </c>
      <c r="C75" s="64">
        <v>27.3</v>
      </c>
      <c r="D75" s="64">
        <v>15.37</v>
      </c>
      <c r="E75" s="64">
        <v>1.29</v>
      </c>
      <c r="F75" s="64">
        <v>5.71</v>
      </c>
      <c r="G75" s="212" t="s">
        <v>42</v>
      </c>
      <c r="H75" s="212" t="s">
        <v>42</v>
      </c>
      <c r="I75" s="64">
        <v>7.15</v>
      </c>
      <c r="J75" s="64">
        <v>0.36</v>
      </c>
      <c r="K75" s="64">
        <v>359.5</v>
      </c>
      <c r="L75" s="64">
        <v>35.020000000000003</v>
      </c>
      <c r="M75" s="64">
        <v>23.47</v>
      </c>
      <c r="N75" s="64">
        <v>109.1</v>
      </c>
      <c r="O75" s="64">
        <v>0</v>
      </c>
      <c r="P75" s="64">
        <v>0.48</v>
      </c>
      <c r="Q75" s="64">
        <v>9.11</v>
      </c>
      <c r="R75" s="198"/>
      <c r="S75" s="198"/>
      <c r="T75" s="198"/>
      <c r="U75" s="198"/>
    </row>
    <row r="76" spans="1:21" s="12" customFormat="1" x14ac:dyDescent="0.25">
      <c r="A76" s="214" t="s">
        <v>2811</v>
      </c>
      <c r="B76" s="64">
        <v>1.59</v>
      </c>
      <c r="C76" s="64">
        <v>27.89</v>
      </c>
      <c r="D76" s="64">
        <v>15.77</v>
      </c>
      <c r="E76" s="64">
        <v>1.45</v>
      </c>
      <c r="F76" s="64">
        <v>4.99</v>
      </c>
      <c r="G76" s="212" t="s">
        <v>42</v>
      </c>
      <c r="H76" s="212" t="s">
        <v>42</v>
      </c>
      <c r="I76" s="64">
        <v>6.5</v>
      </c>
      <c r="J76" s="64">
        <v>0.2</v>
      </c>
      <c r="K76" s="64">
        <v>342.79</v>
      </c>
      <c r="L76" s="64">
        <v>34.71</v>
      </c>
      <c r="M76" s="64">
        <v>24.78</v>
      </c>
      <c r="N76" s="64">
        <v>96.1</v>
      </c>
      <c r="O76" s="64">
        <v>0</v>
      </c>
      <c r="P76" s="64">
        <v>0.49</v>
      </c>
      <c r="Q76" s="64">
        <v>9.11</v>
      </c>
      <c r="R76" s="198"/>
      <c r="S76" s="198"/>
      <c r="T76" s="198"/>
      <c r="U76" s="198"/>
    </row>
    <row r="77" spans="1:21" s="12" customFormat="1" x14ac:dyDescent="0.25">
      <c r="A77" s="214" t="s">
        <v>2812</v>
      </c>
      <c r="B77" s="64">
        <v>1.72</v>
      </c>
      <c r="C77" s="64">
        <v>28.22</v>
      </c>
      <c r="D77" s="64">
        <v>16.04</v>
      </c>
      <c r="E77" s="64">
        <v>1.33</v>
      </c>
      <c r="F77" s="64">
        <v>4.97</v>
      </c>
      <c r="G77" s="212" t="s">
        <v>42</v>
      </c>
      <c r="H77" s="212" t="s">
        <v>42</v>
      </c>
      <c r="I77" s="64">
        <v>6.4</v>
      </c>
      <c r="J77" s="64">
        <v>0.06</v>
      </c>
      <c r="K77" s="64">
        <v>315.45999999999998</v>
      </c>
      <c r="L77" s="64">
        <v>34.53</v>
      </c>
      <c r="M77" s="64">
        <v>23.92</v>
      </c>
      <c r="N77" s="64">
        <v>84.8</v>
      </c>
      <c r="O77" s="64">
        <v>0</v>
      </c>
      <c r="P77" s="64">
        <v>0.5</v>
      </c>
      <c r="Q77" s="64">
        <v>9.15</v>
      </c>
      <c r="R77" s="198"/>
      <c r="S77" s="198"/>
      <c r="T77" s="198"/>
      <c r="U77" s="198"/>
    </row>
    <row r="78" spans="1:21" s="12" customFormat="1" x14ac:dyDescent="0.25">
      <c r="A78" s="214" t="s">
        <v>2813</v>
      </c>
      <c r="B78" s="64">
        <v>1.73</v>
      </c>
      <c r="C78" s="64">
        <v>29.17</v>
      </c>
      <c r="D78" s="64">
        <v>16.55</v>
      </c>
      <c r="E78" s="64">
        <v>1.37</v>
      </c>
      <c r="F78" s="64">
        <v>5.18</v>
      </c>
      <c r="G78" s="64">
        <v>32.47</v>
      </c>
      <c r="H78" s="64">
        <v>12.52</v>
      </c>
      <c r="I78" s="64">
        <v>6.51</v>
      </c>
      <c r="J78" s="64">
        <v>0.53</v>
      </c>
      <c r="K78" s="64">
        <v>153.36000000000001</v>
      </c>
      <c r="L78" s="64">
        <v>34.26</v>
      </c>
      <c r="M78" s="64">
        <v>23.75</v>
      </c>
      <c r="N78" s="64">
        <v>65.900000000000006</v>
      </c>
      <c r="O78" s="64">
        <v>0</v>
      </c>
      <c r="P78" s="64">
        <v>0.5</v>
      </c>
      <c r="Q78" s="64">
        <v>9.16</v>
      </c>
      <c r="R78" s="198"/>
      <c r="S78" s="198"/>
      <c r="T78" s="198"/>
      <c r="U78" s="198"/>
    </row>
    <row r="79" spans="1:21" s="12" customFormat="1" x14ac:dyDescent="0.25">
      <c r="A79" s="214" t="s">
        <v>2814</v>
      </c>
      <c r="B79" s="64">
        <v>1.85</v>
      </c>
      <c r="C79" s="64">
        <v>33.25</v>
      </c>
      <c r="D79" s="64">
        <v>18.78</v>
      </c>
      <c r="E79" s="64">
        <v>1.32</v>
      </c>
      <c r="F79" s="64">
        <v>5.33</v>
      </c>
      <c r="G79" s="64">
        <v>32.47</v>
      </c>
      <c r="H79" s="64">
        <v>12.52</v>
      </c>
      <c r="I79" s="64">
        <v>6.45</v>
      </c>
      <c r="J79" s="64">
        <v>0.13</v>
      </c>
      <c r="K79" s="64">
        <v>174.02</v>
      </c>
      <c r="L79" s="64">
        <v>33.840000000000003</v>
      </c>
      <c r="M79" s="64">
        <v>26.85</v>
      </c>
      <c r="N79" s="64">
        <v>53.5</v>
      </c>
      <c r="O79" s="64">
        <v>0</v>
      </c>
      <c r="P79" s="64">
        <v>0.5</v>
      </c>
      <c r="Q79" s="64">
        <v>9.1300000000000008</v>
      </c>
      <c r="R79" s="198"/>
      <c r="S79" s="198"/>
      <c r="T79" s="198"/>
      <c r="U79" s="198"/>
    </row>
    <row r="80" spans="1:21" s="12" customFormat="1" x14ac:dyDescent="0.25">
      <c r="A80" s="214" t="s">
        <v>2815</v>
      </c>
      <c r="B80" s="64">
        <v>2.4900000000000002</v>
      </c>
      <c r="C80" s="64">
        <v>37.03</v>
      </c>
      <c r="D80" s="64">
        <v>21.26</v>
      </c>
      <c r="E80" s="64">
        <v>1.45</v>
      </c>
      <c r="F80" s="64">
        <v>4.88</v>
      </c>
      <c r="G80" s="64">
        <v>32.47</v>
      </c>
      <c r="H80" s="64">
        <v>12.52</v>
      </c>
      <c r="I80" s="64">
        <v>6.77</v>
      </c>
      <c r="J80" s="64">
        <v>0.17</v>
      </c>
      <c r="K80" s="64">
        <v>94.25</v>
      </c>
      <c r="L80" s="64">
        <v>32.96</v>
      </c>
      <c r="M80" s="64">
        <v>32.229999999999997</v>
      </c>
      <c r="N80" s="64">
        <v>42</v>
      </c>
      <c r="O80" s="64">
        <v>0</v>
      </c>
      <c r="P80" s="64">
        <v>0.55000000000000004</v>
      </c>
      <c r="Q80" s="64">
        <v>9.1199999999999992</v>
      </c>
      <c r="R80" s="198"/>
      <c r="S80" s="198"/>
      <c r="T80" s="198"/>
      <c r="U80" s="198"/>
    </row>
    <row r="81" spans="1:26" s="12" customFormat="1" x14ac:dyDescent="0.25">
      <c r="A81" s="214" t="s">
        <v>2816</v>
      </c>
      <c r="B81" s="64">
        <v>3.36</v>
      </c>
      <c r="C81" s="64">
        <v>41.21</v>
      </c>
      <c r="D81" s="64">
        <v>24.14</v>
      </c>
      <c r="E81" s="64">
        <v>1.42</v>
      </c>
      <c r="F81" s="64">
        <v>4.1500000000000004</v>
      </c>
      <c r="G81" s="64">
        <v>35.36</v>
      </c>
      <c r="H81" s="64">
        <v>11.68</v>
      </c>
      <c r="I81" s="64">
        <v>7.12</v>
      </c>
      <c r="J81" s="64">
        <v>0.23</v>
      </c>
      <c r="K81" s="64">
        <v>346.51</v>
      </c>
      <c r="L81" s="64">
        <v>32.33</v>
      </c>
      <c r="M81" s="64">
        <v>34.17</v>
      </c>
      <c r="N81" s="64">
        <v>31.4</v>
      </c>
      <c r="O81" s="64">
        <v>0</v>
      </c>
      <c r="P81" s="64">
        <v>0.59</v>
      </c>
      <c r="Q81" s="64">
        <v>9.1199999999999992</v>
      </c>
      <c r="R81" s="198"/>
      <c r="S81" s="198"/>
      <c r="T81" s="198"/>
      <c r="U81" s="198"/>
    </row>
    <row r="82" spans="1:26" s="12" customFormat="1" x14ac:dyDescent="0.25">
      <c r="A82" s="214" t="s">
        <v>2817</v>
      </c>
      <c r="B82" s="64">
        <v>5.59</v>
      </c>
      <c r="C82" s="64">
        <v>44.52</v>
      </c>
      <c r="D82" s="64">
        <v>27.66</v>
      </c>
      <c r="E82" s="64">
        <v>1.26</v>
      </c>
      <c r="F82" s="64">
        <v>3.62</v>
      </c>
      <c r="G82" s="64">
        <v>40.869999999999997</v>
      </c>
      <c r="H82" s="64">
        <v>10.09</v>
      </c>
      <c r="I82" s="64">
        <v>7.19</v>
      </c>
      <c r="J82" s="64">
        <v>0.23</v>
      </c>
      <c r="K82" s="64">
        <v>336.95</v>
      </c>
      <c r="L82" s="64">
        <v>31.47</v>
      </c>
      <c r="M82" s="64">
        <v>37.03</v>
      </c>
      <c r="N82" s="64">
        <v>25.2</v>
      </c>
      <c r="O82" s="64">
        <v>0</v>
      </c>
      <c r="P82" s="64">
        <v>0.73</v>
      </c>
      <c r="Q82" s="64">
        <v>9.2200000000000006</v>
      </c>
      <c r="R82" s="198"/>
      <c r="S82" s="198"/>
      <c r="T82" s="198"/>
      <c r="U82" s="198"/>
    </row>
    <row r="83" spans="1:26" s="12" customFormat="1" x14ac:dyDescent="0.25">
      <c r="A83" s="214" t="s">
        <v>2818</v>
      </c>
      <c r="B83" s="64">
        <v>8.5299999999999994</v>
      </c>
      <c r="C83" s="64">
        <v>43.93</v>
      </c>
      <c r="D83" s="64">
        <v>29.71</v>
      </c>
      <c r="E83" s="64">
        <v>1.18</v>
      </c>
      <c r="F83" s="64">
        <v>3.65</v>
      </c>
      <c r="G83" s="64">
        <v>40.869999999999997</v>
      </c>
      <c r="H83" s="64">
        <v>10.09</v>
      </c>
      <c r="I83" s="64">
        <v>7.07</v>
      </c>
      <c r="J83" s="64">
        <v>0.2</v>
      </c>
      <c r="K83" s="64">
        <v>253.56</v>
      </c>
      <c r="L83" s="64">
        <v>31.03</v>
      </c>
      <c r="M83" s="64">
        <v>36.49</v>
      </c>
      <c r="N83" s="64">
        <v>23.9</v>
      </c>
      <c r="O83" s="64">
        <v>0</v>
      </c>
      <c r="P83" s="64">
        <v>0.81</v>
      </c>
      <c r="Q83" s="64">
        <v>9.2100000000000009</v>
      </c>
      <c r="R83" s="198"/>
      <c r="S83" s="198"/>
      <c r="T83" s="198"/>
      <c r="U83" s="198"/>
    </row>
    <row r="84" spans="1:26" s="12" customFormat="1" x14ac:dyDescent="0.25">
      <c r="A84" s="214" t="s">
        <v>2819</v>
      </c>
      <c r="B84" s="64">
        <v>10.52</v>
      </c>
      <c r="C84" s="64">
        <v>45.23</v>
      </c>
      <c r="D84" s="64">
        <v>31.99</v>
      </c>
      <c r="E84" s="64">
        <v>1.56</v>
      </c>
      <c r="F84" s="64">
        <v>3.45</v>
      </c>
      <c r="G84" s="64">
        <v>40.869999999999997</v>
      </c>
      <c r="H84" s="64">
        <v>10.09</v>
      </c>
      <c r="I84" s="64">
        <v>7.77</v>
      </c>
      <c r="J84" s="64">
        <v>0.11</v>
      </c>
      <c r="K84" s="64">
        <v>60.27</v>
      </c>
      <c r="L84" s="64">
        <v>30.62</v>
      </c>
      <c r="M84" s="64">
        <v>40.840000000000003</v>
      </c>
      <c r="N84" s="64">
        <v>24.1</v>
      </c>
      <c r="O84" s="64">
        <v>0</v>
      </c>
      <c r="P84" s="64">
        <v>0.87</v>
      </c>
      <c r="Q84" s="64">
        <v>9.15</v>
      </c>
      <c r="R84" s="198"/>
      <c r="S84" s="198"/>
      <c r="T84" s="198"/>
      <c r="U84" s="198"/>
    </row>
    <row r="85" spans="1:26" s="12" customFormat="1" x14ac:dyDescent="0.25">
      <c r="A85" s="214" t="s">
        <v>2820</v>
      </c>
      <c r="B85" s="64">
        <v>12.05</v>
      </c>
      <c r="C85" s="64">
        <v>45.04</v>
      </c>
      <c r="D85" s="64">
        <v>33.119999999999997</v>
      </c>
      <c r="E85" s="64">
        <v>1.37</v>
      </c>
      <c r="F85" s="64">
        <v>3.44</v>
      </c>
      <c r="G85" s="64">
        <v>48.43</v>
      </c>
      <c r="H85" s="64">
        <v>15.63</v>
      </c>
      <c r="I85" s="64">
        <v>7.92</v>
      </c>
      <c r="J85" s="64">
        <v>0.03</v>
      </c>
      <c r="K85" s="64">
        <v>246.33</v>
      </c>
      <c r="L85" s="64">
        <v>30.38</v>
      </c>
      <c r="M85" s="64">
        <v>40.11</v>
      </c>
      <c r="N85" s="64">
        <v>23.4</v>
      </c>
      <c r="O85" s="64">
        <v>0</v>
      </c>
      <c r="P85" s="64">
        <v>0.83</v>
      </c>
      <c r="Q85" s="64">
        <v>9.17</v>
      </c>
      <c r="R85" s="198"/>
      <c r="S85" s="198"/>
      <c r="T85" s="198"/>
      <c r="U85" s="198"/>
    </row>
    <row r="86" spans="1:26" s="12" customFormat="1" x14ac:dyDescent="0.25">
      <c r="A86" s="214" t="s">
        <v>2821</v>
      </c>
      <c r="B86" s="64">
        <v>13.62</v>
      </c>
      <c r="C86" s="64">
        <v>45.85</v>
      </c>
      <c r="D86" s="64">
        <v>34.799999999999997</v>
      </c>
      <c r="E86" s="64">
        <v>1.56</v>
      </c>
      <c r="F86" s="64">
        <v>3.55</v>
      </c>
      <c r="G86" s="64">
        <v>62.81</v>
      </c>
      <c r="H86" s="64">
        <v>26.18</v>
      </c>
      <c r="I86" s="64">
        <v>8.18</v>
      </c>
      <c r="J86" s="64">
        <v>0.05</v>
      </c>
      <c r="K86" s="64">
        <v>152.30000000000001</v>
      </c>
      <c r="L86" s="64">
        <v>30.12</v>
      </c>
      <c r="M86" s="64">
        <v>43.81</v>
      </c>
      <c r="N86" s="64">
        <v>23.6</v>
      </c>
      <c r="O86" s="64">
        <v>0</v>
      </c>
      <c r="P86" s="64">
        <v>1.02</v>
      </c>
      <c r="Q86" s="64">
        <v>9.18</v>
      </c>
      <c r="R86" s="198"/>
      <c r="S86" s="198"/>
      <c r="T86" s="198"/>
      <c r="U86" s="198"/>
    </row>
    <row r="87" spans="1:26" s="12" customFormat="1" x14ac:dyDescent="0.25">
      <c r="A87" s="214" t="s">
        <v>2822</v>
      </c>
      <c r="B87" s="64">
        <v>18.12</v>
      </c>
      <c r="C87" s="64">
        <v>50.35</v>
      </c>
      <c r="D87" s="64">
        <v>40.76</v>
      </c>
      <c r="E87" s="64">
        <v>1.98</v>
      </c>
      <c r="F87" s="64">
        <v>3.55</v>
      </c>
      <c r="G87" s="64">
        <v>62.81</v>
      </c>
      <c r="H87" s="64">
        <v>26.18</v>
      </c>
      <c r="I87" s="64">
        <v>8.36</v>
      </c>
      <c r="J87" s="64">
        <v>0.05</v>
      </c>
      <c r="K87" s="64">
        <v>206.86</v>
      </c>
      <c r="L87" s="64">
        <v>29.86</v>
      </c>
      <c r="M87" s="64">
        <v>46.98</v>
      </c>
      <c r="N87" s="64">
        <v>24</v>
      </c>
      <c r="O87" s="64">
        <v>0</v>
      </c>
      <c r="P87" s="64">
        <v>1.0900000000000001</v>
      </c>
      <c r="Q87" s="64">
        <v>9.31</v>
      </c>
      <c r="R87" s="198"/>
      <c r="S87" s="198"/>
      <c r="T87" s="198"/>
      <c r="U87" s="198"/>
    </row>
    <row r="88" spans="1:26" s="12" customFormat="1" x14ac:dyDescent="0.25">
      <c r="A88" s="214" t="s">
        <v>2823</v>
      </c>
      <c r="B88" s="64">
        <v>21.66</v>
      </c>
      <c r="C88" s="64">
        <v>50.93</v>
      </c>
      <c r="D88" s="64">
        <v>43.9</v>
      </c>
      <c r="E88" s="64">
        <v>1.05</v>
      </c>
      <c r="F88" s="64">
        <v>3.43</v>
      </c>
      <c r="G88" s="64">
        <v>62.81</v>
      </c>
      <c r="H88" s="64">
        <v>26.18</v>
      </c>
      <c r="I88" s="64">
        <v>9.0500000000000007</v>
      </c>
      <c r="J88" s="64">
        <v>0.21</v>
      </c>
      <c r="K88" s="64">
        <v>320.02999999999997</v>
      </c>
      <c r="L88" s="64">
        <v>29.43</v>
      </c>
      <c r="M88" s="64">
        <v>46.4</v>
      </c>
      <c r="N88" s="64">
        <v>23.6</v>
      </c>
      <c r="O88" s="64">
        <v>0</v>
      </c>
      <c r="P88" s="64">
        <v>1.25</v>
      </c>
      <c r="Q88" s="64">
        <v>9.27</v>
      </c>
      <c r="R88" s="198"/>
      <c r="S88" s="198"/>
      <c r="T88" s="198"/>
      <c r="U88" s="198"/>
    </row>
    <row r="89" spans="1:26" s="12" customFormat="1" x14ac:dyDescent="0.25">
      <c r="A89" s="214" t="s">
        <v>2824</v>
      </c>
      <c r="B89" s="64">
        <v>26.34</v>
      </c>
      <c r="C89" s="64">
        <v>50.62</v>
      </c>
      <c r="D89" s="64">
        <v>47.49</v>
      </c>
      <c r="E89" s="64">
        <v>1.44</v>
      </c>
      <c r="F89" s="64">
        <v>3.37</v>
      </c>
      <c r="G89" s="64">
        <v>97.25</v>
      </c>
      <c r="H89" s="64">
        <v>31.31</v>
      </c>
      <c r="I89" s="64">
        <v>9.44</v>
      </c>
      <c r="J89" s="64">
        <v>0.28000000000000003</v>
      </c>
      <c r="K89" s="64">
        <v>108.59</v>
      </c>
      <c r="L89" s="64">
        <v>29.3</v>
      </c>
      <c r="M89" s="64">
        <v>46.79</v>
      </c>
      <c r="N89" s="64">
        <v>23.3</v>
      </c>
      <c r="O89" s="64">
        <v>0</v>
      </c>
      <c r="P89" s="64">
        <v>1.48</v>
      </c>
      <c r="Q89" s="64">
        <v>9.2200000000000006</v>
      </c>
      <c r="R89" s="198"/>
      <c r="S89" s="198"/>
      <c r="T89" s="198"/>
      <c r="U89" s="198"/>
    </row>
    <row r="90" spans="1:26" s="12" customFormat="1" x14ac:dyDescent="0.25">
      <c r="A90" s="214" t="s">
        <v>2825</v>
      </c>
      <c r="B90" s="64">
        <v>31.16</v>
      </c>
      <c r="C90" s="64">
        <v>50.95</v>
      </c>
      <c r="D90" s="64">
        <v>51.53</v>
      </c>
      <c r="E90" s="64">
        <v>1.38</v>
      </c>
      <c r="F90" s="64">
        <v>3.72</v>
      </c>
      <c r="G90" s="64">
        <v>162.79</v>
      </c>
      <c r="H90" s="64">
        <v>41.06</v>
      </c>
      <c r="I90" s="64">
        <v>9.94</v>
      </c>
      <c r="J90" s="64">
        <v>0.21</v>
      </c>
      <c r="K90" s="64">
        <v>343.94</v>
      </c>
      <c r="L90" s="64">
        <v>29.25</v>
      </c>
      <c r="M90" s="64">
        <v>50.3</v>
      </c>
      <c r="N90" s="64">
        <v>23.7</v>
      </c>
      <c r="O90" s="64">
        <v>0</v>
      </c>
      <c r="P90" s="64">
        <v>1.66</v>
      </c>
      <c r="Q90" s="64">
        <v>9.27</v>
      </c>
      <c r="R90" s="198"/>
      <c r="S90" s="198"/>
      <c r="T90" s="198"/>
      <c r="U90" s="198"/>
    </row>
    <row r="91" spans="1:26" s="12" customFormat="1" x14ac:dyDescent="0.25">
      <c r="A91" s="214" t="s">
        <v>2826</v>
      </c>
      <c r="B91" s="64">
        <v>36.46</v>
      </c>
      <c r="C91" s="64">
        <v>50.42</v>
      </c>
      <c r="D91" s="64">
        <v>55.5</v>
      </c>
      <c r="E91" s="64">
        <v>1.29</v>
      </c>
      <c r="F91" s="64">
        <v>3.67</v>
      </c>
      <c r="G91" s="64">
        <v>162.79</v>
      </c>
      <c r="H91" s="64">
        <v>41.06</v>
      </c>
      <c r="I91" s="64">
        <v>11.1</v>
      </c>
      <c r="J91" s="64">
        <v>0.1</v>
      </c>
      <c r="K91" s="64">
        <v>334.44</v>
      </c>
      <c r="L91" s="64">
        <v>28.68</v>
      </c>
      <c r="M91" s="64">
        <v>54.44</v>
      </c>
      <c r="N91" s="64">
        <v>23.8</v>
      </c>
      <c r="O91" s="64">
        <v>0</v>
      </c>
      <c r="P91" s="64">
        <v>1.8</v>
      </c>
      <c r="Q91" s="64">
        <v>9.27</v>
      </c>
      <c r="R91" s="198"/>
      <c r="S91" s="198"/>
      <c r="T91" s="198"/>
      <c r="U91" s="198"/>
    </row>
    <row r="92" spans="1:26" s="12" customFormat="1" x14ac:dyDescent="0.25">
      <c r="A92" s="214" t="s">
        <v>2827</v>
      </c>
      <c r="B92" s="64">
        <v>40.11</v>
      </c>
      <c r="C92" s="64">
        <v>49.31</v>
      </c>
      <c r="D92" s="64">
        <v>57.85</v>
      </c>
      <c r="E92" s="64">
        <v>1.65</v>
      </c>
      <c r="F92" s="64">
        <v>3.76</v>
      </c>
      <c r="G92" s="64">
        <v>162.79</v>
      </c>
      <c r="H92" s="64">
        <v>41.06</v>
      </c>
      <c r="I92" s="64">
        <v>11.86</v>
      </c>
      <c r="J92" s="64">
        <v>0.2</v>
      </c>
      <c r="K92" s="64">
        <v>207.55</v>
      </c>
      <c r="L92" s="64">
        <v>28.96</v>
      </c>
      <c r="M92" s="64">
        <v>47.78</v>
      </c>
      <c r="N92" s="64">
        <v>22.9</v>
      </c>
      <c r="O92" s="64">
        <v>0</v>
      </c>
      <c r="P92" s="64">
        <v>1.87</v>
      </c>
      <c r="Q92" s="64">
        <v>9.17</v>
      </c>
      <c r="R92" s="198"/>
      <c r="S92" s="198"/>
      <c r="T92" s="198"/>
      <c r="U92" s="198"/>
    </row>
    <row r="93" spans="1:26" s="12" customFormat="1" x14ac:dyDescent="0.25">
      <c r="A93" s="214" t="s">
        <v>2828</v>
      </c>
      <c r="B93" s="64">
        <v>42.94</v>
      </c>
      <c r="C93" s="64">
        <v>48.52</v>
      </c>
      <c r="D93" s="64">
        <v>59.71</v>
      </c>
      <c r="E93" s="64">
        <v>1.84</v>
      </c>
      <c r="F93" s="64">
        <v>3.39</v>
      </c>
      <c r="G93" s="64">
        <v>162.31</v>
      </c>
      <c r="H93" s="64">
        <v>42.23</v>
      </c>
      <c r="I93" s="64">
        <v>11.97</v>
      </c>
      <c r="J93" s="64">
        <v>0.23</v>
      </c>
      <c r="K93" s="64">
        <v>332.42</v>
      </c>
      <c r="L93" s="64">
        <v>29.2</v>
      </c>
      <c r="M93" s="64">
        <v>47.04</v>
      </c>
      <c r="N93" s="64">
        <v>23.5</v>
      </c>
      <c r="O93" s="64">
        <v>0</v>
      </c>
      <c r="P93" s="64">
        <v>1.9</v>
      </c>
      <c r="Q93" s="64">
        <v>9.5299999999999994</v>
      </c>
      <c r="R93" s="198"/>
      <c r="S93" s="198"/>
      <c r="T93" s="198"/>
      <c r="U93" s="198"/>
    </row>
    <row r="94" spans="1:26" s="12" customFormat="1" x14ac:dyDescent="0.25">
      <c r="A94" s="214" t="s">
        <v>2829</v>
      </c>
      <c r="B94" s="64">
        <v>45.61</v>
      </c>
      <c r="C94" s="64">
        <v>47.55</v>
      </c>
      <c r="D94" s="64">
        <v>61.34</v>
      </c>
      <c r="E94" s="64">
        <v>1.62</v>
      </c>
      <c r="F94" s="64">
        <v>3.32</v>
      </c>
      <c r="G94" s="64">
        <v>161.41</v>
      </c>
      <c r="H94" s="64">
        <v>44.46</v>
      </c>
      <c r="I94" s="64">
        <v>11.8</v>
      </c>
      <c r="J94" s="64">
        <v>0.11</v>
      </c>
      <c r="K94" s="64">
        <v>334.26</v>
      </c>
      <c r="L94" s="64">
        <v>28.52</v>
      </c>
      <c r="M94" s="64">
        <v>47.39</v>
      </c>
      <c r="N94" s="64">
        <v>23.9</v>
      </c>
      <c r="O94" s="64">
        <v>0</v>
      </c>
      <c r="P94" s="64">
        <v>1.92</v>
      </c>
      <c r="Q94" s="64">
        <v>9.3699999999999992</v>
      </c>
      <c r="R94" s="198"/>
      <c r="S94" s="198"/>
      <c r="T94" s="198"/>
      <c r="U94" s="198"/>
    </row>
    <row r="95" spans="1:26" s="12" customFormat="1" x14ac:dyDescent="0.25">
      <c r="A95" s="214" t="s">
        <v>2830</v>
      </c>
      <c r="B95" s="64">
        <v>47.32</v>
      </c>
      <c r="C95" s="64">
        <v>46.29</v>
      </c>
      <c r="D95" s="64">
        <v>62.05</v>
      </c>
      <c r="E95" s="64">
        <v>1.89</v>
      </c>
      <c r="F95" s="64">
        <v>3.61</v>
      </c>
      <c r="G95" s="64">
        <v>161.41</v>
      </c>
      <c r="H95" s="64">
        <v>44.46</v>
      </c>
      <c r="I95" s="64">
        <v>11.7</v>
      </c>
      <c r="J95" s="64">
        <v>0.03</v>
      </c>
      <c r="K95" s="64">
        <v>0.49</v>
      </c>
      <c r="L95" s="64">
        <v>28.1</v>
      </c>
      <c r="M95" s="64">
        <v>45.77</v>
      </c>
      <c r="N95" s="64">
        <v>23.8</v>
      </c>
      <c r="O95" s="64">
        <v>0</v>
      </c>
      <c r="P95" s="64">
        <v>1.95</v>
      </c>
      <c r="Q95" s="64">
        <v>9.4</v>
      </c>
      <c r="R95" s="198"/>
      <c r="S95" s="198"/>
      <c r="T95" s="198"/>
      <c r="U95" s="198"/>
    </row>
    <row r="96" spans="1:26" s="12" customFormat="1" x14ac:dyDescent="0.25">
      <c r="A96" s="214" t="s">
        <v>2831</v>
      </c>
      <c r="B96" s="64">
        <v>48.96</v>
      </c>
      <c r="C96" s="64">
        <v>45.44</v>
      </c>
      <c r="D96" s="64">
        <v>62.93</v>
      </c>
      <c r="E96" s="64">
        <v>1.84</v>
      </c>
      <c r="F96" s="64">
        <v>3.92</v>
      </c>
      <c r="G96" s="64">
        <v>161.41</v>
      </c>
      <c r="H96" s="64">
        <v>44.46</v>
      </c>
      <c r="I96" s="64">
        <v>11.42</v>
      </c>
      <c r="J96" s="64">
        <v>0.12</v>
      </c>
      <c r="K96" s="64">
        <v>231.02</v>
      </c>
      <c r="L96" s="64">
        <v>27.85</v>
      </c>
      <c r="M96" s="64">
        <v>50.59</v>
      </c>
      <c r="N96" s="64">
        <v>23.6</v>
      </c>
      <c r="O96" s="64">
        <v>0</v>
      </c>
      <c r="P96" s="64">
        <v>2</v>
      </c>
      <c r="Q96" s="64">
        <v>9.23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2832</v>
      </c>
      <c r="B97" s="64">
        <v>52.28</v>
      </c>
      <c r="C97" s="64">
        <v>44.59</v>
      </c>
      <c r="D97" s="64">
        <v>65.14</v>
      </c>
      <c r="E97" s="64">
        <v>1.9</v>
      </c>
      <c r="F97" s="64">
        <v>2.95</v>
      </c>
      <c r="G97" s="64">
        <v>154.02000000000001</v>
      </c>
      <c r="H97" s="64">
        <v>40.25</v>
      </c>
      <c r="I97" s="64">
        <v>11.41</v>
      </c>
      <c r="J97" s="64">
        <v>0.13</v>
      </c>
      <c r="K97" s="64">
        <v>29.41</v>
      </c>
      <c r="L97" s="64">
        <v>27.57</v>
      </c>
      <c r="M97" s="64">
        <v>53.41</v>
      </c>
      <c r="N97" s="64">
        <v>23.9</v>
      </c>
      <c r="O97" s="64">
        <v>0</v>
      </c>
      <c r="P97" s="64">
        <v>2.0099999999999998</v>
      </c>
      <c r="Q97" s="64">
        <v>9.4</v>
      </c>
      <c r="R97" s="198"/>
      <c r="S97" s="198"/>
      <c r="T97" s="198"/>
      <c r="U97" s="198"/>
    </row>
    <row r="98" spans="1:33" s="12" customFormat="1" x14ac:dyDescent="0.25">
      <c r="A98" s="214" t="s">
        <v>2833</v>
      </c>
      <c r="B98" s="64">
        <v>58.44</v>
      </c>
      <c r="C98" s="64">
        <v>42.45</v>
      </c>
      <c r="D98" s="64">
        <v>68.97</v>
      </c>
      <c r="E98" s="64">
        <v>1.83</v>
      </c>
      <c r="F98" s="64">
        <v>3.49</v>
      </c>
      <c r="G98" s="64">
        <v>139.94999999999999</v>
      </c>
      <c r="H98" s="64">
        <v>32.24</v>
      </c>
      <c r="I98" s="64">
        <v>11.74</v>
      </c>
      <c r="J98" s="64">
        <v>0.19</v>
      </c>
      <c r="K98" s="64">
        <v>358.28</v>
      </c>
      <c r="L98" s="64">
        <v>27.16</v>
      </c>
      <c r="M98" s="64">
        <v>54.36</v>
      </c>
      <c r="N98" s="64">
        <v>23.7</v>
      </c>
      <c r="O98" s="64">
        <v>0</v>
      </c>
      <c r="P98" s="64">
        <v>2.08</v>
      </c>
      <c r="Q98" s="64">
        <v>9.41</v>
      </c>
      <c r="R98" s="198"/>
      <c r="S98" s="198"/>
      <c r="T98" s="198"/>
      <c r="U98" s="198"/>
    </row>
    <row r="99" spans="1:33" s="12" customFormat="1" x14ac:dyDescent="0.25">
      <c r="A99" s="214" t="s">
        <v>2834</v>
      </c>
      <c r="B99" s="64">
        <v>64.41</v>
      </c>
      <c r="C99" s="64">
        <v>41.86</v>
      </c>
      <c r="D99" s="64">
        <v>73.44</v>
      </c>
      <c r="E99" s="64">
        <v>2.13</v>
      </c>
      <c r="F99" s="64">
        <v>3.53</v>
      </c>
      <c r="G99" s="64">
        <v>139.94999999999999</v>
      </c>
      <c r="H99" s="64">
        <v>32.24</v>
      </c>
      <c r="I99" s="64">
        <v>11.84</v>
      </c>
      <c r="J99" s="64">
        <v>0.19</v>
      </c>
      <c r="K99" s="64">
        <v>326.37</v>
      </c>
      <c r="L99" s="64">
        <v>27.03</v>
      </c>
      <c r="M99" s="64">
        <v>55.94</v>
      </c>
      <c r="N99" s="64">
        <v>23.5</v>
      </c>
      <c r="O99" s="64">
        <v>0</v>
      </c>
      <c r="P99" s="64">
        <v>2.14</v>
      </c>
      <c r="Q99" s="64">
        <v>9.39</v>
      </c>
      <c r="R99" s="198"/>
      <c r="S99" s="198"/>
      <c r="T99" s="198"/>
      <c r="U99" s="198"/>
    </row>
    <row r="100" spans="1:33" s="12" customFormat="1" x14ac:dyDescent="0.25">
      <c r="A100" s="214" t="s">
        <v>2835</v>
      </c>
      <c r="B100" s="64">
        <v>69.55</v>
      </c>
      <c r="C100" s="64">
        <v>42.27</v>
      </c>
      <c r="D100" s="64">
        <v>77.78</v>
      </c>
      <c r="E100" s="64">
        <v>2.19</v>
      </c>
      <c r="F100" s="64">
        <v>3.56</v>
      </c>
      <c r="G100" s="64">
        <v>139.94999999999999</v>
      </c>
      <c r="H100" s="64">
        <v>32.24</v>
      </c>
      <c r="I100" s="64">
        <v>12.01</v>
      </c>
      <c r="J100" s="64">
        <v>0.17</v>
      </c>
      <c r="K100" s="64">
        <v>0.75</v>
      </c>
      <c r="L100" s="64">
        <v>26.94</v>
      </c>
      <c r="M100" s="64">
        <v>54.25</v>
      </c>
      <c r="N100" s="64">
        <v>23.7</v>
      </c>
      <c r="O100" s="64">
        <v>0</v>
      </c>
      <c r="P100" s="64">
        <v>2.2000000000000002</v>
      </c>
      <c r="Q100" s="64">
        <v>9.42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2836</v>
      </c>
      <c r="B101" s="64">
        <v>72.78</v>
      </c>
      <c r="C101" s="64">
        <v>46.48</v>
      </c>
      <c r="D101" s="64">
        <v>82.57</v>
      </c>
      <c r="E101" s="64">
        <v>2.37</v>
      </c>
      <c r="F101" s="64">
        <v>4.3</v>
      </c>
      <c r="G101" s="64">
        <v>139.22999999999999</v>
      </c>
      <c r="H101" s="64">
        <v>30.66</v>
      </c>
      <c r="I101" s="64">
        <v>11.97</v>
      </c>
      <c r="J101" s="64">
        <v>0.1</v>
      </c>
      <c r="K101" s="64">
        <v>233.36</v>
      </c>
      <c r="L101" s="64">
        <v>26.96</v>
      </c>
      <c r="M101" s="64">
        <v>53.04</v>
      </c>
      <c r="N101" s="64">
        <v>23.4</v>
      </c>
      <c r="O101" s="64">
        <v>0</v>
      </c>
      <c r="P101" s="64">
        <v>2.2200000000000002</v>
      </c>
      <c r="Q101" s="64">
        <v>9.5299999999999994</v>
      </c>
      <c r="R101" s="198"/>
      <c r="S101" s="198"/>
      <c r="T101" s="198"/>
      <c r="U101" s="198"/>
    </row>
    <row r="102" spans="1:33" s="12" customFormat="1" x14ac:dyDescent="0.25">
      <c r="A102" s="214" t="s">
        <v>2837</v>
      </c>
      <c r="B102" s="64">
        <v>73.48</v>
      </c>
      <c r="C102" s="64">
        <v>51.04</v>
      </c>
      <c r="D102" s="64">
        <v>85.51</v>
      </c>
      <c r="E102" s="64">
        <v>2.04</v>
      </c>
      <c r="F102" s="64">
        <v>3.42</v>
      </c>
      <c r="G102" s="64">
        <v>137.86000000000001</v>
      </c>
      <c r="H102" s="64">
        <v>27.67</v>
      </c>
      <c r="I102" s="64">
        <v>12.07</v>
      </c>
      <c r="J102" s="64">
        <v>0.22</v>
      </c>
      <c r="K102" s="64">
        <v>248.36</v>
      </c>
      <c r="L102" s="64">
        <v>27.47</v>
      </c>
      <c r="M102" s="64">
        <v>47.18</v>
      </c>
      <c r="N102" s="64">
        <v>23</v>
      </c>
      <c r="O102" s="64">
        <v>0</v>
      </c>
      <c r="P102" s="64">
        <v>2.2000000000000002</v>
      </c>
      <c r="Q102" s="64">
        <v>9.5299999999999994</v>
      </c>
      <c r="R102" s="198"/>
      <c r="S102" s="198"/>
      <c r="T102" s="198"/>
      <c r="U102" s="198"/>
    </row>
    <row r="103" spans="1:33" s="12" customFormat="1" x14ac:dyDescent="0.25">
      <c r="A103" s="214" t="s">
        <v>2838</v>
      </c>
      <c r="B103" s="64">
        <v>72.08</v>
      </c>
      <c r="C103" s="64">
        <v>50.05</v>
      </c>
      <c r="D103" s="64">
        <v>83.87</v>
      </c>
      <c r="E103" s="64">
        <v>2.11</v>
      </c>
      <c r="F103" s="64">
        <v>3.55</v>
      </c>
      <c r="G103" s="64">
        <v>137.86000000000001</v>
      </c>
      <c r="H103" s="64">
        <v>27.67</v>
      </c>
      <c r="I103" s="64">
        <v>11.86</v>
      </c>
      <c r="J103" s="64">
        <v>0.15</v>
      </c>
      <c r="K103" s="64">
        <v>223.65</v>
      </c>
      <c r="L103" s="64">
        <v>27.35</v>
      </c>
      <c r="M103" s="64">
        <v>48.18</v>
      </c>
      <c r="N103" s="64">
        <v>23.5</v>
      </c>
      <c r="O103" s="64">
        <v>0</v>
      </c>
      <c r="P103" s="64">
        <v>2.13</v>
      </c>
      <c r="Q103" s="64">
        <v>9.65</v>
      </c>
      <c r="R103" s="198"/>
      <c r="S103" s="198"/>
      <c r="T103" s="198"/>
      <c r="U103" s="198"/>
    </row>
    <row r="104" spans="1:33" s="12" customFormat="1" x14ac:dyDescent="0.25">
      <c r="A104" s="214" t="s">
        <v>2839</v>
      </c>
      <c r="B104" s="64">
        <v>70.28</v>
      </c>
      <c r="C104" s="64">
        <v>48.64</v>
      </c>
      <c r="D104" s="64">
        <v>81.7</v>
      </c>
      <c r="E104" s="64">
        <v>1.29</v>
      </c>
      <c r="F104" s="64">
        <v>2.57</v>
      </c>
      <c r="G104" s="64">
        <v>137.86000000000001</v>
      </c>
      <c r="H104" s="64">
        <v>27.67</v>
      </c>
      <c r="I104" s="64">
        <v>11.45</v>
      </c>
      <c r="J104" s="64">
        <v>0.13</v>
      </c>
      <c r="K104" s="64">
        <v>356.75</v>
      </c>
      <c r="L104" s="64">
        <v>26.97</v>
      </c>
      <c r="M104" s="64">
        <v>50.23</v>
      </c>
      <c r="N104" s="64">
        <v>23.9</v>
      </c>
      <c r="O104" s="64">
        <v>0</v>
      </c>
      <c r="P104" s="64">
        <v>2.09</v>
      </c>
      <c r="Q104" s="64">
        <v>9.3699999999999992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1.24</v>
      </c>
      <c r="C106" s="67">
        <f>MIN(C9:C104)</f>
        <v>26.46</v>
      </c>
      <c r="D106" s="67">
        <f t="shared" ref="D106:Q106" si="0">MIN(D9:D104)</f>
        <v>14.96</v>
      </c>
      <c r="E106" s="67">
        <f t="shared" si="0"/>
        <v>0.68</v>
      </c>
      <c r="F106" s="67">
        <f t="shared" si="0"/>
        <v>2.57</v>
      </c>
      <c r="G106" s="67">
        <f t="shared" si="0"/>
        <v>32.47</v>
      </c>
      <c r="H106" s="67">
        <f t="shared" si="0"/>
        <v>10.09</v>
      </c>
      <c r="I106" s="67">
        <f t="shared" si="0"/>
        <v>4.37</v>
      </c>
      <c r="J106" s="67">
        <f t="shared" si="0"/>
        <v>0.03</v>
      </c>
      <c r="K106" s="67">
        <f t="shared" si="0"/>
        <v>0.49</v>
      </c>
      <c r="L106" s="67">
        <f t="shared" si="0"/>
        <v>24.5</v>
      </c>
      <c r="M106" s="67">
        <f t="shared" si="0"/>
        <v>19.57</v>
      </c>
      <c r="N106" s="67">
        <f t="shared" si="0"/>
        <v>22.8</v>
      </c>
      <c r="O106" s="67">
        <f t="shared" si="0"/>
        <v>0</v>
      </c>
      <c r="P106" s="67">
        <f t="shared" si="0"/>
        <v>0.36</v>
      </c>
      <c r="Q106" s="67">
        <f t="shared" si="0"/>
        <v>9.1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73.48</v>
      </c>
      <c r="C107" s="66">
        <f t="shared" ref="C107:Q107" si="1">MAX(C9:C104)</f>
        <v>51.04</v>
      </c>
      <c r="D107" s="66">
        <f t="shared" si="1"/>
        <v>85.51</v>
      </c>
      <c r="E107" s="66">
        <f t="shared" si="1"/>
        <v>2.63</v>
      </c>
      <c r="F107" s="66">
        <f t="shared" si="1"/>
        <v>6.97</v>
      </c>
      <c r="G107" s="66">
        <f t="shared" si="1"/>
        <v>162.79</v>
      </c>
      <c r="H107" s="66">
        <f t="shared" si="1"/>
        <v>44.46</v>
      </c>
      <c r="I107" s="66">
        <f t="shared" si="1"/>
        <v>12.07</v>
      </c>
      <c r="J107" s="66">
        <f t="shared" si="1"/>
        <v>1.45</v>
      </c>
      <c r="K107" s="66">
        <f t="shared" si="1"/>
        <v>359.5</v>
      </c>
      <c r="L107" s="66">
        <f t="shared" si="1"/>
        <v>37.119999999999997</v>
      </c>
      <c r="M107" s="66">
        <f t="shared" si="1"/>
        <v>56.32</v>
      </c>
      <c r="N107" s="66">
        <f t="shared" si="1"/>
        <v>1022.6</v>
      </c>
      <c r="O107" s="66">
        <f t="shared" si="1"/>
        <v>0</v>
      </c>
      <c r="P107" s="66">
        <f t="shared" si="1"/>
        <v>2.2200000000000002</v>
      </c>
      <c r="Q107" s="66">
        <f t="shared" si="1"/>
        <v>9.65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12.518437499999997</v>
      </c>
      <c r="C108" s="67">
        <f t="shared" ref="C108:Q108" si="2">AVERAGE(C9:C104)</f>
        <v>34.006041666666668</v>
      </c>
      <c r="D108" s="67">
        <f t="shared" si="2"/>
        <v>27.725624999999997</v>
      </c>
      <c r="E108" s="67">
        <f t="shared" si="2"/>
        <v>1.6580208333333335</v>
      </c>
      <c r="F108" s="67">
        <f t="shared" si="2"/>
        <v>4.2212500000000013</v>
      </c>
      <c r="G108" s="67">
        <f t="shared" si="2"/>
        <v>62.273522727272692</v>
      </c>
      <c r="H108" s="67">
        <f t="shared" si="2"/>
        <v>20.694659090909095</v>
      </c>
      <c r="I108" s="67">
        <f t="shared" si="2"/>
        <v>7.1673958333333365</v>
      </c>
      <c r="J108" s="67">
        <f t="shared" si="2"/>
        <v>0.39677083333333335</v>
      </c>
      <c r="K108" s="67">
        <f t="shared" si="2"/>
        <v>219.73583333333329</v>
      </c>
      <c r="L108" s="67">
        <f t="shared" si="2"/>
        <v>29.661979166666665</v>
      </c>
      <c r="M108" s="67">
        <f t="shared" si="2"/>
        <v>39.685833333333349</v>
      </c>
      <c r="N108" s="67">
        <f t="shared" si="2"/>
        <v>201.8156250000001</v>
      </c>
      <c r="O108" s="67">
        <f t="shared" si="2"/>
        <v>0</v>
      </c>
      <c r="P108" s="67">
        <f t="shared" si="2"/>
        <v>0.74354166666666643</v>
      </c>
      <c r="Q108" s="67">
        <f t="shared" si="2"/>
        <v>9.190520833333327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19.622859511998541</v>
      </c>
      <c r="C109" s="67">
        <f t="shared" ref="C109:Q109" si="3">STDEV(C9:C104)</f>
        <v>7.9668874565676164</v>
      </c>
      <c r="D109" s="67">
        <f t="shared" si="3"/>
        <v>19.060359847075294</v>
      </c>
      <c r="E109" s="67">
        <f t="shared" si="3"/>
        <v>0.47278485101669321</v>
      </c>
      <c r="F109" s="67">
        <f t="shared" si="3"/>
        <v>0.91741886203687761</v>
      </c>
      <c r="G109" s="67">
        <f t="shared" si="3"/>
        <v>41.46768458039648</v>
      </c>
      <c r="H109" s="67">
        <f t="shared" si="3"/>
        <v>8.9198333767314288</v>
      </c>
      <c r="I109" s="67">
        <f t="shared" si="3"/>
        <v>2.2824738401875102</v>
      </c>
      <c r="J109" s="67">
        <f t="shared" si="3"/>
        <v>0.34599511645980663</v>
      </c>
      <c r="K109" s="67">
        <f t="shared" si="3"/>
        <v>108.60501914025963</v>
      </c>
      <c r="L109" s="67">
        <f t="shared" si="3"/>
        <v>3.8548183436732502</v>
      </c>
      <c r="M109" s="67">
        <f t="shared" si="3"/>
        <v>11.285749250286829</v>
      </c>
      <c r="N109" s="67">
        <f t="shared" si="3"/>
        <v>280.56686540611992</v>
      </c>
      <c r="O109" s="67">
        <f t="shared" si="3"/>
        <v>0</v>
      </c>
      <c r="P109" s="67">
        <f t="shared" si="3"/>
        <v>0.57840794048321587</v>
      </c>
      <c r="Q109" s="67">
        <f t="shared" si="3"/>
        <v>0.10676456924286268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COUNT(G9:G104)+8</f>
        <v>96</v>
      </c>
      <c r="H110" s="66">
        <f>COUNT(H9:H104)+8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247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2840</v>
      </c>
      <c r="B9" s="64">
        <v>69.760000000000005</v>
      </c>
      <c r="C9" s="64">
        <v>41.97</v>
      </c>
      <c r="D9" s="64">
        <v>77.78</v>
      </c>
      <c r="E9" s="64">
        <v>2.06</v>
      </c>
      <c r="F9" s="64">
        <v>3.08</v>
      </c>
      <c r="G9" s="64">
        <v>125.3</v>
      </c>
      <c r="H9" s="64">
        <v>30.27</v>
      </c>
      <c r="I9" s="64">
        <v>10.92</v>
      </c>
      <c r="J9" s="64">
        <v>0.22</v>
      </c>
      <c r="K9" s="64">
        <v>358.17</v>
      </c>
      <c r="L9" s="64">
        <v>26.28</v>
      </c>
      <c r="M9" s="64">
        <v>61.26</v>
      </c>
      <c r="N9" s="64">
        <v>23.9</v>
      </c>
      <c r="O9" s="64">
        <v>0</v>
      </c>
      <c r="P9" s="64">
        <v>2.0499999999999998</v>
      </c>
      <c r="Q9" s="64">
        <v>9.4499999999999993</v>
      </c>
      <c r="R9" s="198"/>
      <c r="S9" s="198"/>
      <c r="T9" s="198"/>
      <c r="U9" s="198"/>
    </row>
    <row r="10" spans="1:21" s="12" customFormat="1" x14ac:dyDescent="0.25">
      <c r="A10" s="214" t="s">
        <v>2841</v>
      </c>
      <c r="B10" s="64">
        <v>69.3</v>
      </c>
      <c r="C10" s="64">
        <v>39.33</v>
      </c>
      <c r="D10" s="64">
        <v>76.040000000000006</v>
      </c>
      <c r="E10" s="64">
        <v>2.16</v>
      </c>
      <c r="F10" s="64">
        <v>3.29</v>
      </c>
      <c r="G10" s="64">
        <v>101.39</v>
      </c>
      <c r="H10" s="64">
        <v>35.22</v>
      </c>
      <c r="I10" s="64">
        <v>10.99</v>
      </c>
      <c r="J10" s="64">
        <v>0.17</v>
      </c>
      <c r="K10" s="64">
        <v>260.83999999999997</v>
      </c>
      <c r="L10" s="64">
        <v>25.96</v>
      </c>
      <c r="M10" s="64">
        <v>62.13</v>
      </c>
      <c r="N10" s="64">
        <v>23.6</v>
      </c>
      <c r="O10" s="64">
        <v>0</v>
      </c>
      <c r="P10" s="64">
        <v>2.0299999999999998</v>
      </c>
      <c r="Q10" s="64">
        <v>9.4700000000000006</v>
      </c>
      <c r="R10" s="198"/>
      <c r="S10" s="198"/>
      <c r="T10" s="198"/>
      <c r="U10" s="198"/>
    </row>
    <row r="11" spans="1:21" s="12" customFormat="1" x14ac:dyDescent="0.25">
      <c r="A11" s="214" t="s">
        <v>2842</v>
      </c>
      <c r="B11" s="64">
        <v>67.7</v>
      </c>
      <c r="C11" s="64">
        <v>39.04</v>
      </c>
      <c r="D11" s="64">
        <v>74.61</v>
      </c>
      <c r="E11" s="64">
        <v>2.0299999999999998</v>
      </c>
      <c r="F11" s="64">
        <v>2.93</v>
      </c>
      <c r="G11" s="64">
        <v>101.39</v>
      </c>
      <c r="H11" s="64">
        <v>35.22</v>
      </c>
      <c r="I11" s="64">
        <v>10.98</v>
      </c>
      <c r="J11" s="64">
        <v>0.16</v>
      </c>
      <c r="K11" s="64">
        <v>275.29000000000002</v>
      </c>
      <c r="L11" s="64">
        <v>26.11</v>
      </c>
      <c r="M11" s="64">
        <v>55.71</v>
      </c>
      <c r="N11" s="64">
        <v>23.7</v>
      </c>
      <c r="O11" s="64">
        <v>0</v>
      </c>
      <c r="P11" s="64">
        <v>1.96</v>
      </c>
      <c r="Q11" s="64">
        <v>9.44</v>
      </c>
      <c r="R11" s="198"/>
      <c r="S11" s="198"/>
      <c r="T11" s="198"/>
      <c r="U11" s="198"/>
    </row>
    <row r="12" spans="1:21" s="12" customFormat="1" x14ac:dyDescent="0.25">
      <c r="A12" s="214" t="s">
        <v>2843</v>
      </c>
      <c r="B12" s="64">
        <v>65.81</v>
      </c>
      <c r="C12" s="64">
        <v>37.909999999999997</v>
      </c>
      <c r="D12" s="64">
        <v>72.5</v>
      </c>
      <c r="E12" s="64">
        <v>1.82</v>
      </c>
      <c r="F12" s="64">
        <v>3.56</v>
      </c>
      <c r="G12" s="64">
        <v>101.39</v>
      </c>
      <c r="H12" s="64">
        <v>35.22</v>
      </c>
      <c r="I12" s="64">
        <v>11.07</v>
      </c>
      <c r="J12" s="64">
        <v>0.08</v>
      </c>
      <c r="K12" s="64">
        <v>231.69</v>
      </c>
      <c r="L12" s="64">
        <v>26.02</v>
      </c>
      <c r="M12" s="64">
        <v>56.57</v>
      </c>
      <c r="N12" s="64">
        <v>23.6</v>
      </c>
      <c r="O12" s="64">
        <v>0</v>
      </c>
      <c r="P12" s="64">
        <v>1.88</v>
      </c>
      <c r="Q12" s="64">
        <v>9.39</v>
      </c>
      <c r="R12" s="198"/>
      <c r="S12" s="198"/>
      <c r="T12" s="198"/>
      <c r="U12" s="198"/>
    </row>
    <row r="13" spans="1:21" s="12" customFormat="1" x14ac:dyDescent="0.25">
      <c r="A13" s="214" t="s">
        <v>2844</v>
      </c>
      <c r="B13" s="64">
        <v>64.19</v>
      </c>
      <c r="C13" s="64">
        <v>37.43</v>
      </c>
      <c r="D13" s="64">
        <v>70.95</v>
      </c>
      <c r="E13" s="64">
        <v>1.71</v>
      </c>
      <c r="F13" s="64">
        <v>3.48</v>
      </c>
      <c r="G13" s="64">
        <v>93.84</v>
      </c>
      <c r="H13" s="64">
        <v>30.83</v>
      </c>
      <c r="I13" s="64">
        <v>10.27</v>
      </c>
      <c r="J13" s="64">
        <v>0.28000000000000003</v>
      </c>
      <c r="K13" s="64">
        <v>227.37</v>
      </c>
      <c r="L13" s="64">
        <v>26.45</v>
      </c>
      <c r="M13" s="64">
        <v>56.74</v>
      </c>
      <c r="N13" s="64">
        <v>22.6</v>
      </c>
      <c r="O13" s="64">
        <v>0</v>
      </c>
      <c r="P13" s="64">
        <v>1.58</v>
      </c>
      <c r="Q13" s="64">
        <v>9.5</v>
      </c>
      <c r="R13" s="198"/>
      <c r="S13" s="198"/>
      <c r="T13" s="198"/>
      <c r="U13" s="198"/>
    </row>
    <row r="14" spans="1:21" s="12" customFormat="1" x14ac:dyDescent="0.25">
      <c r="A14" s="214" t="s">
        <v>2845</v>
      </c>
      <c r="B14" s="64">
        <v>62.07</v>
      </c>
      <c r="C14" s="64">
        <v>37.18</v>
      </c>
      <c r="D14" s="64">
        <v>69.12</v>
      </c>
      <c r="E14" s="64">
        <v>1.95</v>
      </c>
      <c r="F14" s="64">
        <v>3.59</v>
      </c>
      <c r="G14" s="64">
        <v>79.45</v>
      </c>
      <c r="H14" s="64">
        <v>22.47</v>
      </c>
      <c r="I14" s="64">
        <v>8.94</v>
      </c>
      <c r="J14" s="64">
        <v>0.6</v>
      </c>
      <c r="K14" s="64">
        <v>201.4</v>
      </c>
      <c r="L14" s="64">
        <v>26.72</v>
      </c>
      <c r="M14" s="64">
        <v>52.66</v>
      </c>
      <c r="N14" s="64">
        <v>22.7</v>
      </c>
      <c r="O14" s="64">
        <v>0</v>
      </c>
      <c r="P14" s="64">
        <v>1.69</v>
      </c>
      <c r="Q14" s="64">
        <v>9.19</v>
      </c>
      <c r="R14" s="198"/>
      <c r="S14" s="198"/>
      <c r="T14" s="198"/>
      <c r="U14" s="198"/>
    </row>
    <row r="15" spans="1:21" s="12" customFormat="1" x14ac:dyDescent="0.25">
      <c r="A15" s="214" t="s">
        <v>2846</v>
      </c>
      <c r="B15" s="64">
        <v>59.25</v>
      </c>
      <c r="C15" s="64">
        <v>36.57</v>
      </c>
      <c r="D15" s="64">
        <v>66.540000000000006</v>
      </c>
      <c r="E15" s="64">
        <v>1.71</v>
      </c>
      <c r="F15" s="64">
        <v>3.36</v>
      </c>
      <c r="G15" s="64">
        <v>79.45</v>
      </c>
      <c r="H15" s="64">
        <v>22.47</v>
      </c>
      <c r="I15" s="64">
        <v>10.09</v>
      </c>
      <c r="J15" s="64">
        <v>0.04</v>
      </c>
      <c r="K15" s="64">
        <v>246.1</v>
      </c>
      <c r="L15" s="64">
        <v>26.12</v>
      </c>
      <c r="M15" s="64">
        <v>54.38</v>
      </c>
      <c r="N15" s="64">
        <v>24.1</v>
      </c>
      <c r="O15" s="64">
        <v>0</v>
      </c>
      <c r="P15" s="64">
        <v>1.58</v>
      </c>
      <c r="Q15" s="64">
        <v>9.3699999999999992</v>
      </c>
      <c r="R15" s="198"/>
      <c r="S15" s="198"/>
      <c r="T15" s="198"/>
      <c r="U15" s="198"/>
    </row>
    <row r="16" spans="1:21" s="12" customFormat="1" x14ac:dyDescent="0.25">
      <c r="A16" s="214" t="s">
        <v>2847</v>
      </c>
      <c r="B16" s="64">
        <v>56.71</v>
      </c>
      <c r="C16" s="64">
        <v>34.979999999999997</v>
      </c>
      <c r="D16" s="64">
        <v>63.67</v>
      </c>
      <c r="E16" s="64">
        <v>1.79</v>
      </c>
      <c r="F16" s="64">
        <v>3.69</v>
      </c>
      <c r="G16" s="64">
        <v>79.45</v>
      </c>
      <c r="H16" s="64">
        <v>22.47</v>
      </c>
      <c r="I16" s="64">
        <v>11.28</v>
      </c>
      <c r="J16" s="64">
        <v>0.11</v>
      </c>
      <c r="K16" s="64">
        <v>313.79000000000002</v>
      </c>
      <c r="L16" s="64">
        <v>25.53</v>
      </c>
      <c r="M16" s="64">
        <v>57.2</v>
      </c>
      <c r="N16" s="64">
        <v>23.9</v>
      </c>
      <c r="O16" s="64">
        <v>0</v>
      </c>
      <c r="P16" s="64">
        <v>1.52</v>
      </c>
      <c r="Q16" s="64">
        <v>9.42</v>
      </c>
      <c r="R16" s="198"/>
      <c r="S16" s="198"/>
      <c r="T16" s="198"/>
      <c r="U16" s="198"/>
    </row>
    <row r="17" spans="1:21" s="12" customFormat="1" x14ac:dyDescent="0.25">
      <c r="A17" s="214" t="s">
        <v>2848</v>
      </c>
      <c r="B17" s="64">
        <v>54.55</v>
      </c>
      <c r="C17" s="64">
        <v>33.75</v>
      </c>
      <c r="D17" s="64">
        <v>61.29</v>
      </c>
      <c r="E17" s="64">
        <v>1.73</v>
      </c>
      <c r="F17" s="64">
        <v>3.35</v>
      </c>
      <c r="G17" s="64">
        <v>71.95</v>
      </c>
      <c r="H17" s="64">
        <v>21.06</v>
      </c>
      <c r="I17" s="64">
        <v>9.82</v>
      </c>
      <c r="J17" s="64">
        <v>0.05</v>
      </c>
      <c r="K17" s="64">
        <v>169.01</v>
      </c>
      <c r="L17" s="64">
        <v>25.03</v>
      </c>
      <c r="M17" s="64">
        <v>62.28</v>
      </c>
      <c r="N17" s="64">
        <v>23.9</v>
      </c>
      <c r="O17" s="64">
        <v>0</v>
      </c>
      <c r="P17" s="64">
        <v>1.48</v>
      </c>
      <c r="Q17" s="64">
        <v>9.5500000000000007</v>
      </c>
      <c r="R17" s="198"/>
      <c r="S17" s="198"/>
      <c r="T17" s="198"/>
      <c r="U17" s="198"/>
    </row>
    <row r="18" spans="1:21" s="12" customFormat="1" x14ac:dyDescent="0.25">
      <c r="A18" s="214" t="s">
        <v>2849</v>
      </c>
      <c r="B18" s="64">
        <v>52.86</v>
      </c>
      <c r="C18" s="64">
        <v>32.770000000000003</v>
      </c>
      <c r="D18" s="64">
        <v>59.43</v>
      </c>
      <c r="E18" s="64">
        <v>1.77</v>
      </c>
      <c r="F18" s="64">
        <v>3.49</v>
      </c>
      <c r="G18" s="64">
        <v>57.66</v>
      </c>
      <c r="H18" s="64">
        <v>18.37</v>
      </c>
      <c r="I18" s="64">
        <v>9.3000000000000007</v>
      </c>
      <c r="J18" s="64">
        <v>0.18</v>
      </c>
      <c r="K18" s="64">
        <v>239.07</v>
      </c>
      <c r="L18" s="64">
        <v>25.05</v>
      </c>
      <c r="M18" s="64">
        <v>60.93</v>
      </c>
      <c r="N18" s="64">
        <v>23.5</v>
      </c>
      <c r="O18" s="64">
        <v>0</v>
      </c>
      <c r="P18" s="64">
        <v>1.44</v>
      </c>
      <c r="Q18" s="64">
        <v>9.2799999999999994</v>
      </c>
      <c r="R18" s="198"/>
      <c r="S18" s="198"/>
      <c r="T18" s="198"/>
      <c r="U18" s="198"/>
    </row>
    <row r="19" spans="1:21" s="12" customFormat="1" x14ac:dyDescent="0.25">
      <c r="A19" s="214" t="s">
        <v>2850</v>
      </c>
      <c r="B19" s="64">
        <v>51.32</v>
      </c>
      <c r="C19" s="64">
        <v>34.450000000000003</v>
      </c>
      <c r="D19" s="64">
        <v>59.07</v>
      </c>
      <c r="E19" s="64">
        <v>1.83</v>
      </c>
      <c r="F19" s="64">
        <v>3.31</v>
      </c>
      <c r="G19" s="64">
        <v>57.66</v>
      </c>
      <c r="H19" s="64">
        <v>18.37</v>
      </c>
      <c r="I19" s="64">
        <v>9.2799999999999994</v>
      </c>
      <c r="J19" s="64">
        <v>0.17</v>
      </c>
      <c r="K19" s="64">
        <v>310.42</v>
      </c>
      <c r="L19" s="64">
        <v>25.02</v>
      </c>
      <c r="M19" s="64">
        <v>61.78</v>
      </c>
      <c r="N19" s="64">
        <v>23.5</v>
      </c>
      <c r="O19" s="64">
        <v>0</v>
      </c>
      <c r="P19" s="64">
        <v>1.43</v>
      </c>
      <c r="Q19" s="64">
        <v>9.35</v>
      </c>
      <c r="R19" s="198"/>
      <c r="S19" s="198"/>
      <c r="T19" s="198"/>
      <c r="U19" s="198"/>
    </row>
    <row r="20" spans="1:21" s="12" customFormat="1" x14ac:dyDescent="0.25">
      <c r="A20" s="214" t="s">
        <v>2851</v>
      </c>
      <c r="B20" s="64">
        <v>49.41</v>
      </c>
      <c r="C20" s="64">
        <v>35.159999999999997</v>
      </c>
      <c r="D20" s="64">
        <v>57.91</v>
      </c>
      <c r="E20" s="64">
        <v>1.81</v>
      </c>
      <c r="F20" s="64">
        <v>3.62</v>
      </c>
      <c r="G20" s="64">
        <v>57.66</v>
      </c>
      <c r="H20" s="64">
        <v>18.37</v>
      </c>
      <c r="I20" s="64">
        <v>9.39</v>
      </c>
      <c r="J20" s="64">
        <v>0.15</v>
      </c>
      <c r="K20" s="64">
        <v>35.729999999999997</v>
      </c>
      <c r="L20" s="64">
        <v>24.62</v>
      </c>
      <c r="M20" s="64">
        <v>63.56</v>
      </c>
      <c r="N20" s="64">
        <v>23.9</v>
      </c>
      <c r="O20" s="64">
        <v>0</v>
      </c>
      <c r="P20" s="64">
        <v>1.39</v>
      </c>
      <c r="Q20" s="64">
        <v>9.48</v>
      </c>
      <c r="R20" s="198"/>
      <c r="S20" s="198"/>
      <c r="T20" s="198"/>
      <c r="U20" s="198"/>
    </row>
    <row r="21" spans="1:21" s="12" customFormat="1" x14ac:dyDescent="0.25">
      <c r="A21" s="214" t="s">
        <v>2852</v>
      </c>
      <c r="B21" s="64">
        <v>47.03</v>
      </c>
      <c r="C21" s="64">
        <v>33.21</v>
      </c>
      <c r="D21" s="64">
        <v>54.98</v>
      </c>
      <c r="E21" s="64">
        <v>1.57</v>
      </c>
      <c r="F21" s="64">
        <v>3.32</v>
      </c>
      <c r="G21" s="64">
        <v>58.02</v>
      </c>
      <c r="H21" s="64">
        <v>15.17</v>
      </c>
      <c r="I21" s="64">
        <v>10.6</v>
      </c>
      <c r="J21" s="64">
        <v>0.14000000000000001</v>
      </c>
      <c r="K21" s="64">
        <v>10.39</v>
      </c>
      <c r="L21" s="64">
        <v>24.51</v>
      </c>
      <c r="M21" s="64">
        <v>65.38</v>
      </c>
      <c r="N21" s="64">
        <v>23.8</v>
      </c>
      <c r="O21" s="64">
        <v>0</v>
      </c>
      <c r="P21" s="64">
        <v>1.34</v>
      </c>
      <c r="Q21" s="64">
        <v>9.23</v>
      </c>
      <c r="R21" s="198"/>
      <c r="S21" s="198"/>
      <c r="T21" s="198"/>
      <c r="U21" s="198"/>
    </row>
    <row r="22" spans="1:21" s="12" customFormat="1" x14ac:dyDescent="0.25">
      <c r="A22" s="214" t="s">
        <v>2853</v>
      </c>
      <c r="B22" s="64">
        <v>44.89</v>
      </c>
      <c r="C22" s="64">
        <v>32.200000000000003</v>
      </c>
      <c r="D22" s="64">
        <v>52.74</v>
      </c>
      <c r="E22" s="64">
        <v>1.57</v>
      </c>
      <c r="F22" s="64">
        <v>3.25</v>
      </c>
      <c r="G22" s="64">
        <v>58.71</v>
      </c>
      <c r="H22" s="64">
        <v>9.07</v>
      </c>
      <c r="I22" s="64">
        <v>11.46</v>
      </c>
      <c r="J22" s="64">
        <v>7.0000000000000007E-2</v>
      </c>
      <c r="K22" s="64">
        <v>345.99</v>
      </c>
      <c r="L22" s="64">
        <v>24.32</v>
      </c>
      <c r="M22" s="64">
        <v>63.17</v>
      </c>
      <c r="N22" s="64">
        <v>23.8</v>
      </c>
      <c r="O22" s="64">
        <v>0</v>
      </c>
      <c r="P22" s="64">
        <v>1.29</v>
      </c>
      <c r="Q22" s="64">
        <v>9.17</v>
      </c>
      <c r="R22" s="198"/>
      <c r="S22" s="198"/>
      <c r="T22" s="198"/>
      <c r="U22" s="198"/>
    </row>
    <row r="23" spans="1:21" s="12" customFormat="1" x14ac:dyDescent="0.25">
      <c r="A23" s="214" t="s">
        <v>2854</v>
      </c>
      <c r="B23" s="64">
        <v>42.88</v>
      </c>
      <c r="C23" s="64">
        <v>31</v>
      </c>
      <c r="D23" s="64">
        <v>50.5</v>
      </c>
      <c r="E23" s="64">
        <v>1.65</v>
      </c>
      <c r="F23" s="64">
        <v>3.36</v>
      </c>
      <c r="G23" s="64">
        <v>58.71</v>
      </c>
      <c r="H23" s="64">
        <v>9.07</v>
      </c>
      <c r="I23" s="64">
        <v>11.32</v>
      </c>
      <c r="J23" s="64">
        <v>0.04</v>
      </c>
      <c r="K23" s="64">
        <v>50.53</v>
      </c>
      <c r="L23" s="64">
        <v>24.27</v>
      </c>
      <c r="M23" s="64">
        <v>64.37</v>
      </c>
      <c r="N23" s="64">
        <v>23.6</v>
      </c>
      <c r="O23" s="64">
        <v>0</v>
      </c>
      <c r="P23" s="64">
        <v>1.22</v>
      </c>
      <c r="Q23" s="64">
        <v>9.35</v>
      </c>
      <c r="R23" s="198"/>
      <c r="S23" s="198"/>
      <c r="T23" s="198"/>
      <c r="U23" s="198"/>
    </row>
    <row r="24" spans="1:21" s="12" customFormat="1" x14ac:dyDescent="0.25">
      <c r="A24" s="214" t="s">
        <v>2855</v>
      </c>
      <c r="B24" s="64">
        <v>40.92</v>
      </c>
      <c r="C24" s="64">
        <v>29.99</v>
      </c>
      <c r="D24" s="64">
        <v>48.4</v>
      </c>
      <c r="E24" s="64">
        <v>0.63</v>
      </c>
      <c r="F24" s="64">
        <v>3.6</v>
      </c>
      <c r="G24" s="64">
        <v>58.71</v>
      </c>
      <c r="H24" s="64">
        <v>9.07</v>
      </c>
      <c r="I24" s="64">
        <v>11.01</v>
      </c>
      <c r="J24" s="64">
        <v>0.09</v>
      </c>
      <c r="K24" s="64">
        <v>285.14</v>
      </c>
      <c r="L24" s="64">
        <v>24.29</v>
      </c>
      <c r="M24" s="64">
        <v>65.06</v>
      </c>
      <c r="N24" s="64">
        <v>23.7</v>
      </c>
      <c r="O24" s="64">
        <v>0</v>
      </c>
      <c r="P24" s="64">
        <v>1.17</v>
      </c>
      <c r="Q24" s="64">
        <v>9.3000000000000007</v>
      </c>
      <c r="R24" s="198"/>
      <c r="S24" s="198"/>
      <c r="T24" s="198"/>
      <c r="U24" s="198"/>
    </row>
    <row r="25" spans="1:21" s="12" customFormat="1" x14ac:dyDescent="0.25">
      <c r="A25" s="214" t="s">
        <v>2856</v>
      </c>
      <c r="B25" s="64">
        <v>39.14</v>
      </c>
      <c r="C25" s="64">
        <v>29.87</v>
      </c>
      <c r="D25" s="64">
        <v>46.92</v>
      </c>
      <c r="E25" s="64">
        <v>0.45</v>
      </c>
      <c r="F25" s="64">
        <v>3.36</v>
      </c>
      <c r="G25" s="64">
        <v>54.05</v>
      </c>
      <c r="H25" s="64">
        <v>10.02</v>
      </c>
      <c r="I25" s="64">
        <v>10.68</v>
      </c>
      <c r="J25" s="64">
        <v>0.2</v>
      </c>
      <c r="K25" s="64">
        <v>252.64</v>
      </c>
      <c r="L25" s="64">
        <v>24.66</v>
      </c>
      <c r="M25" s="64">
        <v>62.59</v>
      </c>
      <c r="N25" s="64">
        <v>23.4</v>
      </c>
      <c r="O25" s="64">
        <v>0</v>
      </c>
      <c r="P25" s="64">
        <v>1.1200000000000001</v>
      </c>
      <c r="Q25" s="64">
        <v>9.17</v>
      </c>
      <c r="R25" s="198"/>
      <c r="S25" s="198"/>
      <c r="T25" s="198"/>
      <c r="U25" s="198"/>
    </row>
    <row r="26" spans="1:21" s="12" customFormat="1" x14ac:dyDescent="0.25">
      <c r="A26" s="214" t="s">
        <v>2857</v>
      </c>
      <c r="B26" s="64">
        <v>37.79</v>
      </c>
      <c r="C26" s="64">
        <v>29.94</v>
      </c>
      <c r="D26" s="64">
        <v>45.86</v>
      </c>
      <c r="E26" s="64">
        <v>0.61</v>
      </c>
      <c r="F26" s="64">
        <v>3.06</v>
      </c>
      <c r="G26" s="64">
        <v>45.17</v>
      </c>
      <c r="H26" s="64">
        <v>11.83</v>
      </c>
      <c r="I26" s="64">
        <v>10.36</v>
      </c>
      <c r="J26" s="64">
        <v>0.01</v>
      </c>
      <c r="K26" s="64">
        <v>21.2</v>
      </c>
      <c r="L26" s="64">
        <v>24.65</v>
      </c>
      <c r="M26" s="64">
        <v>62.45</v>
      </c>
      <c r="N26" s="64">
        <v>23.7</v>
      </c>
      <c r="O26" s="64">
        <v>0</v>
      </c>
      <c r="P26" s="64">
        <v>1.08</v>
      </c>
      <c r="Q26" s="64">
        <v>9.27</v>
      </c>
      <c r="R26" s="198"/>
      <c r="S26" s="198"/>
      <c r="T26" s="198"/>
      <c r="U26" s="198"/>
    </row>
    <row r="27" spans="1:21" s="12" customFormat="1" x14ac:dyDescent="0.25">
      <c r="A27" s="214" t="s">
        <v>2858</v>
      </c>
      <c r="B27" s="64">
        <v>37.049999999999997</v>
      </c>
      <c r="C27" s="64">
        <v>30.03</v>
      </c>
      <c r="D27" s="64">
        <v>45.32</v>
      </c>
      <c r="E27" s="64">
        <v>0.52</v>
      </c>
      <c r="F27" s="64">
        <v>3.45</v>
      </c>
      <c r="G27" s="64">
        <v>45.17</v>
      </c>
      <c r="H27" s="64">
        <v>11.83</v>
      </c>
      <c r="I27" s="64">
        <v>9.99</v>
      </c>
      <c r="J27" s="64">
        <v>0.15</v>
      </c>
      <c r="K27" s="64">
        <v>270.26</v>
      </c>
      <c r="L27" s="64">
        <v>24.53</v>
      </c>
      <c r="M27" s="64">
        <v>60.26</v>
      </c>
      <c r="N27" s="64">
        <v>23.5</v>
      </c>
      <c r="O27" s="64">
        <v>0</v>
      </c>
      <c r="P27" s="64">
        <v>1.04</v>
      </c>
      <c r="Q27" s="64">
        <v>9.42</v>
      </c>
      <c r="R27" s="198"/>
      <c r="S27" s="198"/>
      <c r="T27" s="198"/>
      <c r="U27" s="198"/>
    </row>
    <row r="28" spans="1:21" s="12" customFormat="1" x14ac:dyDescent="0.25">
      <c r="A28" s="214" t="s">
        <v>2859</v>
      </c>
      <c r="B28" s="64">
        <v>36.950000000000003</v>
      </c>
      <c r="C28" s="64">
        <v>29.75</v>
      </c>
      <c r="D28" s="64">
        <v>45.1</v>
      </c>
      <c r="E28" s="64">
        <v>0.6</v>
      </c>
      <c r="F28" s="64">
        <v>3.7</v>
      </c>
      <c r="G28" s="64">
        <v>45.17</v>
      </c>
      <c r="H28" s="64">
        <v>11.83</v>
      </c>
      <c r="I28" s="64">
        <v>10</v>
      </c>
      <c r="J28" s="64">
        <v>0.2</v>
      </c>
      <c r="K28" s="64">
        <v>239.35</v>
      </c>
      <c r="L28" s="64">
        <v>24.76</v>
      </c>
      <c r="M28" s="64">
        <v>59.49</v>
      </c>
      <c r="N28" s="64">
        <v>23.4</v>
      </c>
      <c r="O28" s="64">
        <v>0</v>
      </c>
      <c r="P28" s="64">
        <v>1</v>
      </c>
      <c r="Q28" s="64">
        <v>9.2100000000000009</v>
      </c>
      <c r="R28" s="198"/>
      <c r="S28" s="198"/>
      <c r="T28" s="198"/>
      <c r="U28" s="198"/>
    </row>
    <row r="29" spans="1:21" s="12" customFormat="1" x14ac:dyDescent="0.25">
      <c r="A29" s="214" t="s">
        <v>2860</v>
      </c>
      <c r="B29" s="64">
        <v>37.57</v>
      </c>
      <c r="C29" s="64">
        <v>29.48</v>
      </c>
      <c r="D29" s="64">
        <v>45.45</v>
      </c>
      <c r="E29" s="64">
        <v>0.53</v>
      </c>
      <c r="F29" s="64">
        <v>3.45</v>
      </c>
      <c r="G29" s="64">
        <v>57.86</v>
      </c>
      <c r="H29" s="64">
        <v>14.79</v>
      </c>
      <c r="I29" s="64">
        <v>9.9</v>
      </c>
      <c r="J29" s="64">
        <v>0.17</v>
      </c>
      <c r="K29" s="64">
        <v>292.48</v>
      </c>
      <c r="L29" s="64">
        <v>24.52</v>
      </c>
      <c r="M29" s="64">
        <v>63.09</v>
      </c>
      <c r="N29" s="64">
        <v>23.9</v>
      </c>
      <c r="O29" s="64">
        <v>0</v>
      </c>
      <c r="P29" s="64">
        <v>0.97</v>
      </c>
      <c r="Q29" s="64">
        <v>9.31</v>
      </c>
      <c r="R29" s="198"/>
      <c r="S29" s="198"/>
      <c r="T29" s="198"/>
      <c r="U29" s="198"/>
    </row>
    <row r="30" spans="1:21" s="12" customFormat="1" x14ac:dyDescent="0.25">
      <c r="A30" s="214" t="s">
        <v>2861</v>
      </c>
      <c r="B30" s="64">
        <v>38.07</v>
      </c>
      <c r="C30" s="64">
        <v>30.48</v>
      </c>
      <c r="D30" s="64">
        <v>46.37</v>
      </c>
      <c r="E30" s="64">
        <v>0.52</v>
      </c>
      <c r="F30" s="64">
        <v>3.23</v>
      </c>
      <c r="G30" s="64">
        <v>82.01</v>
      </c>
      <c r="H30" s="64">
        <v>20.420000000000002</v>
      </c>
      <c r="I30" s="64">
        <v>9.75</v>
      </c>
      <c r="J30" s="64">
        <v>0.12</v>
      </c>
      <c r="K30" s="64">
        <v>238.29</v>
      </c>
      <c r="L30" s="64">
        <v>24.4</v>
      </c>
      <c r="M30" s="64">
        <v>60.55</v>
      </c>
      <c r="N30" s="64">
        <v>26</v>
      </c>
      <c r="O30" s="64">
        <v>0</v>
      </c>
      <c r="P30" s="64">
        <v>0.93</v>
      </c>
      <c r="Q30" s="64">
        <v>9.27</v>
      </c>
      <c r="R30" s="198"/>
      <c r="S30" s="198"/>
      <c r="T30" s="198"/>
      <c r="U30" s="198"/>
    </row>
    <row r="31" spans="1:21" s="12" customFormat="1" x14ac:dyDescent="0.25">
      <c r="A31" s="214" t="s">
        <v>2862</v>
      </c>
      <c r="B31" s="64">
        <v>38.020000000000003</v>
      </c>
      <c r="C31" s="64">
        <v>30.39</v>
      </c>
      <c r="D31" s="64">
        <v>46.29</v>
      </c>
      <c r="E31" s="64">
        <v>0.66</v>
      </c>
      <c r="F31" s="64">
        <v>3.94</v>
      </c>
      <c r="G31" s="64">
        <v>82.01</v>
      </c>
      <c r="H31" s="64">
        <v>20.420000000000002</v>
      </c>
      <c r="I31" s="64">
        <v>9.49</v>
      </c>
      <c r="J31" s="64">
        <v>0.28000000000000003</v>
      </c>
      <c r="K31" s="64">
        <v>195.19</v>
      </c>
      <c r="L31" s="64">
        <v>24.94</v>
      </c>
      <c r="M31" s="64">
        <v>55.56</v>
      </c>
      <c r="N31" s="64">
        <v>35.799999999999997</v>
      </c>
      <c r="O31" s="64">
        <v>0</v>
      </c>
      <c r="P31" s="64">
        <v>0.91</v>
      </c>
      <c r="Q31" s="64">
        <v>9.26</v>
      </c>
      <c r="R31" s="198"/>
      <c r="S31" s="198"/>
      <c r="T31" s="198"/>
      <c r="U31" s="198"/>
    </row>
    <row r="32" spans="1:21" s="12" customFormat="1" x14ac:dyDescent="0.25">
      <c r="A32" s="214" t="s">
        <v>2863</v>
      </c>
      <c r="B32" s="64">
        <v>37.44</v>
      </c>
      <c r="C32" s="64">
        <v>30.41</v>
      </c>
      <c r="D32" s="64">
        <v>45.84</v>
      </c>
      <c r="E32" s="64">
        <v>0.71</v>
      </c>
      <c r="F32" s="64">
        <v>3.47</v>
      </c>
      <c r="G32" s="64">
        <v>82.01</v>
      </c>
      <c r="H32" s="64">
        <v>20.420000000000002</v>
      </c>
      <c r="I32" s="64">
        <v>8.66</v>
      </c>
      <c r="J32" s="64">
        <v>0.49</v>
      </c>
      <c r="K32" s="64">
        <v>191</v>
      </c>
      <c r="L32" s="64">
        <v>25.04</v>
      </c>
      <c r="M32" s="64">
        <v>59.07</v>
      </c>
      <c r="N32" s="64">
        <v>51.4</v>
      </c>
      <c r="O32" s="64">
        <v>0</v>
      </c>
      <c r="P32" s="64">
        <v>0.9</v>
      </c>
      <c r="Q32" s="64">
        <v>9.27</v>
      </c>
      <c r="R32" s="198"/>
      <c r="S32" s="198"/>
      <c r="T32" s="198"/>
      <c r="U32" s="198"/>
    </row>
    <row r="33" spans="1:21" s="12" customFormat="1" x14ac:dyDescent="0.25">
      <c r="A33" s="214" t="s">
        <v>2864</v>
      </c>
      <c r="B33" s="64">
        <v>36.33</v>
      </c>
      <c r="C33" s="64">
        <v>29.97</v>
      </c>
      <c r="D33" s="64">
        <v>44.72</v>
      </c>
      <c r="E33" s="64">
        <v>0.51</v>
      </c>
      <c r="F33" s="64">
        <v>3.07</v>
      </c>
      <c r="G33" s="64">
        <v>77.209999999999994</v>
      </c>
      <c r="H33" s="64">
        <v>23.98</v>
      </c>
      <c r="I33" s="64">
        <v>8.59</v>
      </c>
      <c r="J33" s="64">
        <v>0.03</v>
      </c>
      <c r="K33" s="64">
        <v>157</v>
      </c>
      <c r="L33" s="64">
        <v>25.17</v>
      </c>
      <c r="M33" s="64">
        <v>56.17</v>
      </c>
      <c r="N33" s="64">
        <v>59.9</v>
      </c>
      <c r="O33" s="64">
        <v>0</v>
      </c>
      <c r="P33" s="64">
        <v>0.86</v>
      </c>
      <c r="Q33" s="64">
        <v>9.3699999999999992</v>
      </c>
      <c r="R33" s="198"/>
      <c r="S33" s="198"/>
      <c r="T33" s="198"/>
      <c r="U33" s="198"/>
    </row>
    <row r="34" spans="1:21" s="12" customFormat="1" x14ac:dyDescent="0.25">
      <c r="A34" s="214" t="s">
        <v>2865</v>
      </c>
      <c r="B34" s="64">
        <v>35.24</v>
      </c>
      <c r="C34" s="64">
        <v>29.34</v>
      </c>
      <c r="D34" s="64">
        <v>43.51</v>
      </c>
      <c r="E34" s="64">
        <v>0.55000000000000004</v>
      </c>
      <c r="F34" s="64">
        <v>2.97</v>
      </c>
      <c r="G34" s="64">
        <v>68.06</v>
      </c>
      <c r="H34" s="64">
        <v>30.77</v>
      </c>
      <c r="I34" s="64">
        <v>9.19</v>
      </c>
      <c r="J34" s="64">
        <v>0.11</v>
      </c>
      <c r="K34" s="64">
        <v>326.44</v>
      </c>
      <c r="L34" s="64">
        <v>25.47</v>
      </c>
      <c r="M34" s="64">
        <v>57.37</v>
      </c>
      <c r="N34" s="64">
        <v>105.4</v>
      </c>
      <c r="O34" s="64">
        <v>0</v>
      </c>
      <c r="P34" s="64">
        <v>0.86</v>
      </c>
      <c r="Q34" s="64">
        <v>9.35</v>
      </c>
      <c r="R34" s="198"/>
      <c r="S34" s="198"/>
      <c r="T34" s="198"/>
      <c r="U34" s="198"/>
    </row>
    <row r="35" spans="1:21" s="12" customFormat="1" x14ac:dyDescent="0.25">
      <c r="A35" s="214" t="s">
        <v>2866</v>
      </c>
      <c r="B35" s="64">
        <v>34.06</v>
      </c>
      <c r="C35" s="64">
        <v>29.38</v>
      </c>
      <c r="D35" s="64">
        <v>42.58</v>
      </c>
      <c r="E35" s="64">
        <v>0.23</v>
      </c>
      <c r="F35" s="64">
        <v>3.46</v>
      </c>
      <c r="G35" s="64">
        <v>68.06</v>
      </c>
      <c r="H35" s="64">
        <v>30.77</v>
      </c>
      <c r="I35" s="64">
        <v>9.1300000000000008</v>
      </c>
      <c r="J35" s="64">
        <v>0.18</v>
      </c>
      <c r="K35" s="64">
        <v>325.60000000000002</v>
      </c>
      <c r="L35" s="64">
        <v>26.72</v>
      </c>
      <c r="M35" s="64">
        <v>52.7</v>
      </c>
      <c r="N35" s="64">
        <v>159.69999999999999</v>
      </c>
      <c r="O35" s="64">
        <v>0</v>
      </c>
      <c r="P35" s="64">
        <v>0.84</v>
      </c>
      <c r="Q35" s="64">
        <v>9.24</v>
      </c>
      <c r="R35" s="198"/>
      <c r="S35" s="198"/>
      <c r="T35" s="198"/>
      <c r="U35" s="198"/>
    </row>
    <row r="36" spans="1:21" s="12" customFormat="1" x14ac:dyDescent="0.25">
      <c r="A36" s="214" t="s">
        <v>2867</v>
      </c>
      <c r="B36" s="64">
        <v>33.42</v>
      </c>
      <c r="C36" s="64">
        <v>29.39</v>
      </c>
      <c r="D36" s="64">
        <v>42.07</v>
      </c>
      <c r="E36" s="64">
        <v>0.63</v>
      </c>
      <c r="F36" s="64">
        <v>3.39</v>
      </c>
      <c r="G36" s="64">
        <v>68.06</v>
      </c>
      <c r="H36" s="64">
        <v>30.77</v>
      </c>
      <c r="I36" s="64">
        <v>9.5500000000000007</v>
      </c>
      <c r="J36" s="64">
        <v>0.22</v>
      </c>
      <c r="K36" s="64">
        <v>320.32</v>
      </c>
      <c r="L36" s="64">
        <v>28.37</v>
      </c>
      <c r="M36" s="64">
        <v>47.81</v>
      </c>
      <c r="N36" s="64">
        <v>199.2</v>
      </c>
      <c r="O36" s="64">
        <v>0</v>
      </c>
      <c r="P36" s="64">
        <v>0.82</v>
      </c>
      <c r="Q36" s="64">
        <v>9.24</v>
      </c>
      <c r="R36" s="198"/>
      <c r="S36" s="198"/>
      <c r="T36" s="198"/>
      <c r="U36" s="198"/>
    </row>
    <row r="37" spans="1:21" s="12" customFormat="1" x14ac:dyDescent="0.25">
      <c r="A37" s="214" t="s">
        <v>2868</v>
      </c>
      <c r="B37" s="64">
        <v>33.07</v>
      </c>
      <c r="C37" s="64">
        <v>29.59</v>
      </c>
      <c r="D37" s="64">
        <v>41.9</v>
      </c>
      <c r="E37" s="64">
        <v>0.6</v>
      </c>
      <c r="F37" s="64">
        <v>3.55</v>
      </c>
      <c r="G37" s="64">
        <v>64.48</v>
      </c>
      <c r="H37" s="64">
        <v>28.51</v>
      </c>
      <c r="I37" s="64">
        <v>9.5299999999999994</v>
      </c>
      <c r="J37" s="64">
        <v>7.0000000000000007E-2</v>
      </c>
      <c r="K37" s="64">
        <v>287.99</v>
      </c>
      <c r="L37" s="64">
        <v>29.18</v>
      </c>
      <c r="M37" s="64">
        <v>44.87</v>
      </c>
      <c r="N37" s="64">
        <v>251</v>
      </c>
      <c r="O37" s="64">
        <v>0</v>
      </c>
      <c r="P37" s="64">
        <v>0.86</v>
      </c>
      <c r="Q37" s="64">
        <v>9.3000000000000007</v>
      </c>
      <c r="R37" s="198"/>
      <c r="S37" s="198"/>
      <c r="T37" s="198"/>
      <c r="U37" s="198"/>
    </row>
    <row r="38" spans="1:21" s="12" customFormat="1" x14ac:dyDescent="0.25">
      <c r="A38" s="214" t="s">
        <v>2869</v>
      </c>
      <c r="B38" s="64">
        <v>31.78</v>
      </c>
      <c r="C38" s="64">
        <v>31.25</v>
      </c>
      <c r="D38" s="64">
        <v>41.73</v>
      </c>
      <c r="E38" s="64">
        <v>0.64</v>
      </c>
      <c r="F38" s="64">
        <v>3.64</v>
      </c>
      <c r="G38" s="64">
        <v>57.67</v>
      </c>
      <c r="H38" s="64">
        <v>24.22</v>
      </c>
      <c r="I38" s="64">
        <v>9.24</v>
      </c>
      <c r="J38" s="64">
        <v>0.23</v>
      </c>
      <c r="K38" s="64">
        <v>330.43</v>
      </c>
      <c r="L38" s="64">
        <v>29.77</v>
      </c>
      <c r="M38" s="64">
        <v>43.95</v>
      </c>
      <c r="N38" s="64">
        <v>284.2</v>
      </c>
      <c r="O38" s="64">
        <v>0</v>
      </c>
      <c r="P38" s="64">
        <v>0.91</v>
      </c>
      <c r="Q38" s="64">
        <v>9.25</v>
      </c>
      <c r="R38" s="198"/>
      <c r="S38" s="198"/>
      <c r="T38" s="198"/>
      <c r="U38" s="198"/>
    </row>
    <row r="39" spans="1:21" s="12" customFormat="1" x14ac:dyDescent="0.25">
      <c r="A39" s="214" t="s">
        <v>2870</v>
      </c>
      <c r="B39" s="64">
        <v>30.15</v>
      </c>
      <c r="C39" s="64">
        <v>32.270000000000003</v>
      </c>
      <c r="D39" s="64">
        <v>40.96</v>
      </c>
      <c r="E39" s="64">
        <v>0.59</v>
      </c>
      <c r="F39" s="64">
        <v>3.5</v>
      </c>
      <c r="G39" s="64">
        <v>57.67</v>
      </c>
      <c r="H39" s="64">
        <v>24.22</v>
      </c>
      <c r="I39" s="64">
        <v>9.65</v>
      </c>
      <c r="J39" s="64">
        <v>0.35</v>
      </c>
      <c r="K39" s="64">
        <v>333.59</v>
      </c>
      <c r="L39" s="64">
        <v>31.28</v>
      </c>
      <c r="M39" s="64">
        <v>42.31</v>
      </c>
      <c r="N39" s="64">
        <v>272</v>
      </c>
      <c r="O39" s="64">
        <v>0</v>
      </c>
      <c r="P39" s="64">
        <v>0.91</v>
      </c>
      <c r="Q39" s="64">
        <v>9.17</v>
      </c>
      <c r="R39" s="198"/>
      <c r="S39" s="198"/>
      <c r="T39" s="198"/>
      <c r="U39" s="198"/>
    </row>
    <row r="40" spans="1:21" s="12" customFormat="1" x14ac:dyDescent="0.25">
      <c r="A40" s="214" t="s">
        <v>2871</v>
      </c>
      <c r="B40" s="64">
        <v>28.88</v>
      </c>
      <c r="C40" s="64">
        <v>36.020000000000003</v>
      </c>
      <c r="D40" s="64">
        <v>41.9</v>
      </c>
      <c r="E40" s="64">
        <v>1.34</v>
      </c>
      <c r="F40" s="64">
        <v>4.01</v>
      </c>
      <c r="G40" s="64">
        <v>57.67</v>
      </c>
      <c r="H40" s="64">
        <v>24.22</v>
      </c>
      <c r="I40" s="64">
        <v>10.220000000000001</v>
      </c>
      <c r="J40" s="64">
        <v>0.12</v>
      </c>
      <c r="K40" s="64">
        <v>276.87</v>
      </c>
      <c r="L40" s="64">
        <v>31.31</v>
      </c>
      <c r="M40" s="64">
        <v>41.18</v>
      </c>
      <c r="N40" s="64">
        <v>283.7</v>
      </c>
      <c r="O40" s="64">
        <v>0</v>
      </c>
      <c r="P40" s="64">
        <v>0.92</v>
      </c>
      <c r="Q40" s="64">
        <v>9.39</v>
      </c>
      <c r="R40" s="198"/>
      <c r="S40" s="198"/>
      <c r="T40" s="198"/>
      <c r="U40" s="198"/>
    </row>
    <row r="41" spans="1:21" s="12" customFormat="1" x14ac:dyDescent="0.25">
      <c r="A41" s="214" t="s">
        <v>2872</v>
      </c>
      <c r="B41" s="64">
        <v>27.47</v>
      </c>
      <c r="C41" s="64">
        <v>41.68</v>
      </c>
      <c r="D41" s="64">
        <v>43.73</v>
      </c>
      <c r="E41" s="64">
        <v>1.8</v>
      </c>
      <c r="F41" s="64">
        <v>4.3899999999999997</v>
      </c>
      <c r="G41" s="64">
        <v>70.040000000000006</v>
      </c>
      <c r="H41" s="64">
        <v>24.92</v>
      </c>
      <c r="I41" s="64">
        <v>10.19</v>
      </c>
      <c r="J41" s="64">
        <v>0.18</v>
      </c>
      <c r="K41" s="64">
        <v>291.67</v>
      </c>
      <c r="L41" s="64">
        <v>32.04</v>
      </c>
      <c r="M41" s="64">
        <v>38.92</v>
      </c>
      <c r="N41" s="64">
        <v>326</v>
      </c>
      <c r="O41" s="64">
        <v>0</v>
      </c>
      <c r="P41" s="64">
        <v>0.92</v>
      </c>
      <c r="Q41" s="64">
        <v>9.3000000000000007</v>
      </c>
      <c r="R41" s="198"/>
      <c r="S41" s="198"/>
      <c r="T41" s="198"/>
      <c r="U41" s="198"/>
    </row>
    <row r="42" spans="1:21" s="12" customFormat="1" x14ac:dyDescent="0.25">
      <c r="A42" s="214" t="s">
        <v>2873</v>
      </c>
      <c r="B42" s="64">
        <v>26.41</v>
      </c>
      <c r="C42" s="64">
        <v>43.48</v>
      </c>
      <c r="D42" s="64">
        <v>43.81</v>
      </c>
      <c r="E42" s="64">
        <v>1.67</v>
      </c>
      <c r="F42" s="64">
        <v>3.76</v>
      </c>
      <c r="G42" s="64">
        <v>93.59</v>
      </c>
      <c r="H42" s="64">
        <v>26.26</v>
      </c>
      <c r="I42" s="64">
        <v>10.25</v>
      </c>
      <c r="J42" s="64">
        <v>0.19</v>
      </c>
      <c r="K42" s="64">
        <v>318.89999999999998</v>
      </c>
      <c r="L42" s="64">
        <v>31.86</v>
      </c>
      <c r="M42" s="64">
        <v>42.05</v>
      </c>
      <c r="N42" s="64">
        <v>292.5</v>
      </c>
      <c r="O42" s="64">
        <v>0</v>
      </c>
      <c r="P42" s="64">
        <v>0.93</v>
      </c>
      <c r="Q42" s="64">
        <v>9.32</v>
      </c>
      <c r="R42" s="198"/>
      <c r="S42" s="198"/>
      <c r="T42" s="198"/>
      <c r="U42" s="198"/>
    </row>
    <row r="43" spans="1:21" s="12" customFormat="1" x14ac:dyDescent="0.25">
      <c r="A43" s="214" t="s">
        <v>2874</v>
      </c>
      <c r="B43" s="64">
        <v>25.5</v>
      </c>
      <c r="C43" s="64">
        <v>43.42</v>
      </c>
      <c r="D43" s="64">
        <v>43.05</v>
      </c>
      <c r="E43" s="64">
        <v>1.71</v>
      </c>
      <c r="F43" s="64">
        <v>3.31</v>
      </c>
      <c r="G43" s="64">
        <v>93.59</v>
      </c>
      <c r="H43" s="64">
        <v>26.26</v>
      </c>
      <c r="I43" s="64">
        <v>10.32</v>
      </c>
      <c r="J43" s="64">
        <v>0.24</v>
      </c>
      <c r="K43" s="64">
        <v>311.55</v>
      </c>
      <c r="L43" s="64">
        <v>31.02</v>
      </c>
      <c r="M43" s="64">
        <v>46.33</v>
      </c>
      <c r="N43" s="64">
        <v>298.3</v>
      </c>
      <c r="O43" s="64">
        <v>0</v>
      </c>
      <c r="P43" s="64">
        <v>0.94</v>
      </c>
      <c r="Q43" s="64">
        <v>9.3000000000000007</v>
      </c>
      <c r="R43" s="198"/>
      <c r="S43" s="198"/>
      <c r="T43" s="198"/>
      <c r="U43" s="198"/>
    </row>
    <row r="44" spans="1:21" s="12" customFormat="1" x14ac:dyDescent="0.25">
      <c r="A44" s="214" t="s">
        <v>2875</v>
      </c>
      <c r="B44" s="64">
        <v>24.38</v>
      </c>
      <c r="C44" s="64">
        <v>43.65</v>
      </c>
      <c r="D44" s="64">
        <v>42.27</v>
      </c>
      <c r="E44" s="64">
        <v>1.73</v>
      </c>
      <c r="F44" s="64">
        <v>3.14</v>
      </c>
      <c r="G44" s="64">
        <v>93.59</v>
      </c>
      <c r="H44" s="64">
        <v>26.26</v>
      </c>
      <c r="I44" s="64">
        <v>10.42</v>
      </c>
      <c r="J44" s="64">
        <v>0.24</v>
      </c>
      <c r="K44" s="64">
        <v>321.77</v>
      </c>
      <c r="L44" s="64">
        <v>31.37</v>
      </c>
      <c r="M44" s="64">
        <v>43.39</v>
      </c>
      <c r="N44" s="64">
        <v>418.5</v>
      </c>
      <c r="O44" s="64">
        <v>0</v>
      </c>
      <c r="P44" s="64">
        <v>0.95</v>
      </c>
      <c r="Q44" s="64">
        <v>9.2799999999999994</v>
      </c>
      <c r="R44" s="198"/>
      <c r="S44" s="198"/>
      <c r="T44" s="198"/>
      <c r="U44" s="198"/>
    </row>
    <row r="45" spans="1:21" s="12" customFormat="1" x14ac:dyDescent="0.25">
      <c r="A45" s="214" t="s">
        <v>2876</v>
      </c>
      <c r="B45" s="64">
        <v>22.7</v>
      </c>
      <c r="C45" s="64">
        <v>44.17</v>
      </c>
      <c r="D45" s="64">
        <v>41.21</v>
      </c>
      <c r="E45" s="64">
        <v>1.75</v>
      </c>
      <c r="F45" s="64">
        <v>2.85</v>
      </c>
      <c r="G45" s="64">
        <v>93.7</v>
      </c>
      <c r="H45" s="64">
        <v>26.81</v>
      </c>
      <c r="I45" s="64">
        <v>10.43</v>
      </c>
      <c r="J45" s="64">
        <v>0.14000000000000001</v>
      </c>
      <c r="K45" s="64">
        <v>311.95999999999998</v>
      </c>
      <c r="L45" s="64">
        <v>32.450000000000003</v>
      </c>
      <c r="M45" s="64">
        <v>37.869999999999997</v>
      </c>
      <c r="N45" s="64">
        <v>533.6</v>
      </c>
      <c r="O45" s="64">
        <v>0</v>
      </c>
      <c r="P45" s="64">
        <v>0.97</v>
      </c>
      <c r="Q45" s="64">
        <v>9.24</v>
      </c>
      <c r="R45" s="198"/>
      <c r="S45" s="198"/>
      <c r="T45" s="198"/>
      <c r="U45" s="198"/>
    </row>
    <row r="46" spans="1:21" s="12" customFormat="1" x14ac:dyDescent="0.25">
      <c r="A46" s="214" t="s">
        <v>2877</v>
      </c>
      <c r="B46" s="64">
        <v>20.78</v>
      </c>
      <c r="C46" s="64">
        <v>40.54</v>
      </c>
      <c r="D46" s="64">
        <v>37.76</v>
      </c>
      <c r="E46" s="64">
        <v>1.82</v>
      </c>
      <c r="F46" s="64">
        <v>3.41</v>
      </c>
      <c r="G46" s="64">
        <v>93.89</v>
      </c>
      <c r="H46" s="64">
        <v>27.87</v>
      </c>
      <c r="I46" s="64">
        <v>10.36</v>
      </c>
      <c r="J46" s="64">
        <v>0.28000000000000003</v>
      </c>
      <c r="K46" s="64">
        <v>323.42</v>
      </c>
      <c r="L46" s="64">
        <v>33.020000000000003</v>
      </c>
      <c r="M46" s="64">
        <v>39.270000000000003</v>
      </c>
      <c r="N46" s="64">
        <v>399.5</v>
      </c>
      <c r="O46" s="64">
        <v>0</v>
      </c>
      <c r="P46" s="64">
        <v>1</v>
      </c>
      <c r="Q46" s="64">
        <v>9.3800000000000008</v>
      </c>
      <c r="R46" s="198"/>
      <c r="S46" s="198"/>
      <c r="T46" s="198"/>
      <c r="U46" s="198"/>
    </row>
    <row r="47" spans="1:21" s="12" customFormat="1" x14ac:dyDescent="0.25">
      <c r="A47" s="214" t="s">
        <v>2878</v>
      </c>
      <c r="B47" s="64">
        <v>18.510000000000002</v>
      </c>
      <c r="C47" s="64">
        <v>37.92</v>
      </c>
      <c r="D47" s="64">
        <v>34.57</v>
      </c>
      <c r="E47" s="64">
        <v>1.64</v>
      </c>
      <c r="F47" s="64">
        <v>3.6</v>
      </c>
      <c r="G47" s="64">
        <v>93.89</v>
      </c>
      <c r="H47" s="64">
        <v>27.87</v>
      </c>
      <c r="I47" s="64">
        <v>10.34</v>
      </c>
      <c r="J47" s="64">
        <v>0.44</v>
      </c>
      <c r="K47" s="64">
        <v>336.48</v>
      </c>
      <c r="L47" s="64">
        <v>32.33</v>
      </c>
      <c r="M47" s="64">
        <v>41.85</v>
      </c>
      <c r="N47" s="64">
        <v>245.8</v>
      </c>
      <c r="O47" s="64">
        <v>0</v>
      </c>
      <c r="P47" s="64">
        <v>1.03</v>
      </c>
      <c r="Q47" s="64">
        <v>9.1999999999999993</v>
      </c>
      <c r="R47" s="198"/>
      <c r="S47" s="198"/>
      <c r="T47" s="198"/>
      <c r="U47" s="198"/>
    </row>
    <row r="48" spans="1:21" s="12" customFormat="1" x14ac:dyDescent="0.25">
      <c r="A48" s="214" t="s">
        <v>2879</v>
      </c>
      <c r="B48" s="64">
        <v>16.54</v>
      </c>
      <c r="C48" s="64">
        <v>39.200000000000003</v>
      </c>
      <c r="D48" s="64">
        <v>33.67</v>
      </c>
      <c r="E48" s="64">
        <v>1.53</v>
      </c>
      <c r="F48" s="64">
        <v>3.68</v>
      </c>
      <c r="G48" s="64">
        <v>93.89</v>
      </c>
      <c r="H48" s="64">
        <v>27.87</v>
      </c>
      <c r="I48" s="64">
        <v>10.42</v>
      </c>
      <c r="J48" s="64">
        <v>0.65</v>
      </c>
      <c r="K48" s="64">
        <v>328.74</v>
      </c>
      <c r="L48" s="64">
        <v>31.22</v>
      </c>
      <c r="M48" s="64">
        <v>47.57</v>
      </c>
      <c r="N48" s="64">
        <v>151.69999999999999</v>
      </c>
      <c r="O48" s="64">
        <v>0</v>
      </c>
      <c r="P48" s="64">
        <v>1.04</v>
      </c>
      <c r="Q48" s="64">
        <v>9.16</v>
      </c>
      <c r="R48" s="198"/>
      <c r="S48" s="198"/>
      <c r="T48" s="198"/>
      <c r="U48" s="198"/>
    </row>
    <row r="49" spans="1:21" s="12" customFormat="1" x14ac:dyDescent="0.25">
      <c r="A49" s="214" t="s">
        <v>2880</v>
      </c>
      <c r="B49" s="64">
        <v>14.55</v>
      </c>
      <c r="C49" s="64">
        <v>38.17</v>
      </c>
      <c r="D49" s="64">
        <v>31.53</v>
      </c>
      <c r="E49" s="64">
        <v>1.43</v>
      </c>
      <c r="F49" s="64">
        <v>4.28</v>
      </c>
      <c r="G49" s="64">
        <v>89.94</v>
      </c>
      <c r="H49" s="64">
        <v>29.44</v>
      </c>
      <c r="I49" s="64">
        <v>10.32</v>
      </c>
      <c r="J49" s="64">
        <v>3.17</v>
      </c>
      <c r="K49" s="64">
        <v>317.51</v>
      </c>
      <c r="L49" s="64">
        <v>30.13</v>
      </c>
      <c r="M49" s="64">
        <v>44.96</v>
      </c>
      <c r="N49" s="64">
        <v>99</v>
      </c>
      <c r="O49" s="64">
        <v>0</v>
      </c>
      <c r="P49" s="64">
        <v>1.02</v>
      </c>
      <c r="Q49" s="64">
        <v>9.16</v>
      </c>
      <c r="R49" s="198"/>
      <c r="S49" s="198"/>
      <c r="T49" s="198"/>
      <c r="U49" s="198"/>
    </row>
    <row r="50" spans="1:21" s="12" customFormat="1" x14ac:dyDescent="0.25">
      <c r="A50" s="214" t="s">
        <v>2881</v>
      </c>
      <c r="B50" s="64">
        <v>9.9499999999999993</v>
      </c>
      <c r="C50" s="64">
        <v>38.29</v>
      </c>
      <c r="D50" s="64">
        <v>27.91</v>
      </c>
      <c r="E50" s="64">
        <v>1.73</v>
      </c>
      <c r="F50" s="64">
        <v>4.76</v>
      </c>
      <c r="G50" s="64">
        <v>82.4</v>
      </c>
      <c r="H50" s="64">
        <v>32.42</v>
      </c>
      <c r="I50" s="64">
        <v>10.31</v>
      </c>
      <c r="J50" s="64">
        <v>3.49</v>
      </c>
      <c r="K50" s="64">
        <v>328.13</v>
      </c>
      <c r="L50" s="64">
        <v>26.94</v>
      </c>
      <c r="M50" s="64">
        <v>60.12</v>
      </c>
      <c r="N50" s="64">
        <v>305.7</v>
      </c>
      <c r="O50" s="64">
        <v>0.2</v>
      </c>
      <c r="P50" s="64">
        <v>0.9</v>
      </c>
      <c r="Q50" s="64">
        <v>9.24</v>
      </c>
      <c r="R50" s="198"/>
      <c r="S50" s="198"/>
      <c r="T50" s="198"/>
      <c r="U50" s="198"/>
    </row>
    <row r="51" spans="1:21" s="12" customFormat="1" x14ac:dyDescent="0.25">
      <c r="A51" s="214" t="s">
        <v>2882</v>
      </c>
      <c r="B51" s="64">
        <v>5.88</v>
      </c>
      <c r="C51" s="64">
        <v>37.96</v>
      </c>
      <c r="D51" s="64">
        <v>24.47</v>
      </c>
      <c r="E51" s="64">
        <v>1.73</v>
      </c>
      <c r="F51" s="64">
        <v>6.02</v>
      </c>
      <c r="G51" s="64">
        <v>82.4</v>
      </c>
      <c r="H51" s="64">
        <v>32.42</v>
      </c>
      <c r="I51" s="64">
        <v>9.99</v>
      </c>
      <c r="J51" s="64">
        <v>4.49</v>
      </c>
      <c r="K51" s="64">
        <v>331.83</v>
      </c>
      <c r="L51" s="64">
        <v>27.25</v>
      </c>
      <c r="M51" s="64">
        <v>55.32</v>
      </c>
      <c r="N51" s="64">
        <v>617.4</v>
      </c>
      <c r="O51" s="64">
        <v>0</v>
      </c>
      <c r="P51" s="64">
        <v>0.78</v>
      </c>
      <c r="Q51" s="64">
        <v>9.18</v>
      </c>
      <c r="R51" s="198"/>
      <c r="S51" s="198"/>
      <c r="T51" s="198"/>
      <c r="U51" s="198"/>
    </row>
    <row r="52" spans="1:21" s="12" customFormat="1" x14ac:dyDescent="0.25">
      <c r="A52" s="214" t="s">
        <v>2883</v>
      </c>
      <c r="B52" s="64">
        <v>3.08</v>
      </c>
      <c r="C52" s="64">
        <v>35.97</v>
      </c>
      <c r="D52" s="64">
        <v>21.19</v>
      </c>
      <c r="E52" s="64">
        <v>1.56</v>
      </c>
      <c r="F52" s="64">
        <v>6.83</v>
      </c>
      <c r="G52" s="64">
        <v>82.4</v>
      </c>
      <c r="H52" s="64">
        <v>32.42</v>
      </c>
      <c r="I52" s="64">
        <v>8.7100000000000009</v>
      </c>
      <c r="J52" s="64">
        <v>3.53</v>
      </c>
      <c r="K52" s="64">
        <v>340.05</v>
      </c>
      <c r="L52" s="64">
        <v>27.6</v>
      </c>
      <c r="M52" s="64">
        <v>51.61</v>
      </c>
      <c r="N52" s="64">
        <v>371.7</v>
      </c>
      <c r="O52" s="64">
        <v>0</v>
      </c>
      <c r="P52" s="64">
        <v>0.68</v>
      </c>
      <c r="Q52" s="64">
        <v>9.16</v>
      </c>
      <c r="R52" s="198"/>
      <c r="S52" s="198"/>
      <c r="T52" s="198"/>
      <c r="U52" s="198"/>
    </row>
    <row r="53" spans="1:21" s="12" customFormat="1" x14ac:dyDescent="0.25">
      <c r="A53" s="214" t="s">
        <v>2884</v>
      </c>
      <c r="B53" s="64">
        <v>2.16</v>
      </c>
      <c r="C53" s="64">
        <v>33.979999999999997</v>
      </c>
      <c r="D53" s="64">
        <v>19.41</v>
      </c>
      <c r="E53" s="64">
        <v>1.34</v>
      </c>
      <c r="F53" s="64">
        <v>6.82</v>
      </c>
      <c r="G53" s="64">
        <v>77.930000000000007</v>
      </c>
      <c r="H53" s="64">
        <v>31.45</v>
      </c>
      <c r="I53" s="64">
        <v>7.54</v>
      </c>
      <c r="J53" s="64">
        <v>3.22</v>
      </c>
      <c r="K53" s="64">
        <v>348.44</v>
      </c>
      <c r="L53" s="64">
        <v>27.42</v>
      </c>
      <c r="M53" s="64">
        <v>50.83</v>
      </c>
      <c r="N53" s="64">
        <v>409.3</v>
      </c>
      <c r="O53" s="64">
        <v>0</v>
      </c>
      <c r="P53" s="64">
        <v>0.61</v>
      </c>
      <c r="Q53" s="64">
        <v>9.19</v>
      </c>
      <c r="R53" s="198"/>
      <c r="S53" s="198"/>
      <c r="T53" s="198"/>
      <c r="U53" s="198"/>
    </row>
    <row r="54" spans="1:21" s="12" customFormat="1" x14ac:dyDescent="0.25">
      <c r="A54" s="214" t="s">
        <v>2885</v>
      </c>
      <c r="B54" s="64">
        <v>2.06</v>
      </c>
      <c r="C54" s="64">
        <v>32.71</v>
      </c>
      <c r="D54" s="64">
        <v>18.66</v>
      </c>
      <c r="E54" s="64">
        <v>1.29</v>
      </c>
      <c r="F54" s="64">
        <v>6.26</v>
      </c>
      <c r="G54" s="64">
        <v>69.42</v>
      </c>
      <c r="H54" s="64">
        <v>29.59</v>
      </c>
      <c r="I54" s="64">
        <v>6.51</v>
      </c>
      <c r="J54" s="64">
        <v>2.9</v>
      </c>
      <c r="K54" s="64">
        <v>352.65</v>
      </c>
      <c r="L54" s="64">
        <v>28.57</v>
      </c>
      <c r="M54" s="64">
        <v>47.01</v>
      </c>
      <c r="N54" s="64">
        <v>614.70000000000005</v>
      </c>
      <c r="O54" s="64">
        <v>0</v>
      </c>
      <c r="P54" s="64">
        <v>0.56000000000000005</v>
      </c>
      <c r="Q54" s="64">
        <v>9.15</v>
      </c>
      <c r="R54" s="198"/>
      <c r="S54" s="198"/>
      <c r="T54" s="198"/>
      <c r="U54" s="198"/>
    </row>
    <row r="55" spans="1:21" s="12" customFormat="1" x14ac:dyDescent="0.25">
      <c r="A55" s="214" t="s">
        <v>2886</v>
      </c>
      <c r="B55" s="64">
        <v>2.34</v>
      </c>
      <c r="C55" s="64">
        <v>32.43</v>
      </c>
      <c r="D55" s="64">
        <v>18.739999999999998</v>
      </c>
      <c r="E55" s="64">
        <v>1.39</v>
      </c>
      <c r="F55" s="64">
        <v>5.89</v>
      </c>
      <c r="G55" s="64">
        <v>69.42</v>
      </c>
      <c r="H55" s="64">
        <v>29.59</v>
      </c>
      <c r="I55" s="64">
        <v>5.86</v>
      </c>
      <c r="J55" s="64">
        <v>2.88</v>
      </c>
      <c r="K55" s="64">
        <v>352.95</v>
      </c>
      <c r="L55" s="64">
        <v>28.65</v>
      </c>
      <c r="M55" s="64">
        <v>45.35</v>
      </c>
      <c r="N55" s="64">
        <v>406.4</v>
      </c>
      <c r="O55" s="64">
        <v>0</v>
      </c>
      <c r="P55" s="64">
        <v>0.54</v>
      </c>
      <c r="Q55" s="64">
        <v>9.16</v>
      </c>
      <c r="R55" s="198"/>
      <c r="S55" s="198"/>
      <c r="T55" s="198"/>
      <c r="U55" s="198"/>
    </row>
    <row r="56" spans="1:21" s="12" customFormat="1" x14ac:dyDescent="0.25">
      <c r="A56" s="214" t="s">
        <v>2887</v>
      </c>
      <c r="B56" s="64">
        <v>2.7</v>
      </c>
      <c r="C56" s="64">
        <v>35.9</v>
      </c>
      <c r="D56" s="64">
        <v>20.84</v>
      </c>
      <c r="E56" s="64">
        <v>2.12</v>
      </c>
      <c r="F56" s="64">
        <v>5.37</v>
      </c>
      <c r="G56" s="64">
        <v>69.42</v>
      </c>
      <c r="H56" s="64">
        <v>29.59</v>
      </c>
      <c r="I56" s="64">
        <v>5.45</v>
      </c>
      <c r="J56" s="64">
        <v>2.5</v>
      </c>
      <c r="K56" s="64">
        <v>353.76</v>
      </c>
      <c r="L56" s="64">
        <v>29.58</v>
      </c>
      <c r="M56" s="64">
        <v>43.3</v>
      </c>
      <c r="N56" s="64">
        <v>702.5</v>
      </c>
      <c r="O56" s="64">
        <v>0</v>
      </c>
      <c r="P56" s="64">
        <v>0.51</v>
      </c>
      <c r="Q56" s="64">
        <v>9.1300000000000008</v>
      </c>
      <c r="R56" s="198"/>
      <c r="S56" s="198"/>
      <c r="T56" s="198"/>
      <c r="U56" s="198"/>
    </row>
    <row r="57" spans="1:21" s="12" customFormat="1" x14ac:dyDescent="0.25">
      <c r="A57" s="214" t="s">
        <v>2888</v>
      </c>
      <c r="B57" s="64">
        <v>2.82</v>
      </c>
      <c r="C57" s="64">
        <v>35.54</v>
      </c>
      <c r="D57" s="64">
        <v>20.75</v>
      </c>
      <c r="E57" s="64">
        <v>2.34</v>
      </c>
      <c r="F57" s="64">
        <v>4.9000000000000004</v>
      </c>
      <c r="G57" s="64">
        <v>67.56</v>
      </c>
      <c r="H57" s="64">
        <v>24.5</v>
      </c>
      <c r="I57" s="64">
        <v>5.38</v>
      </c>
      <c r="J57" s="64">
        <v>1.3</v>
      </c>
      <c r="K57" s="64">
        <v>357.69</v>
      </c>
      <c r="L57" s="64">
        <v>29.24</v>
      </c>
      <c r="M57" s="64">
        <v>44.05</v>
      </c>
      <c r="N57" s="64">
        <v>271.89999999999998</v>
      </c>
      <c r="O57" s="64">
        <v>0</v>
      </c>
      <c r="P57" s="64">
        <v>0.49</v>
      </c>
      <c r="Q57" s="64">
        <v>9.14</v>
      </c>
      <c r="R57" s="198"/>
      <c r="S57" s="198"/>
      <c r="T57" s="198"/>
      <c r="U57" s="198"/>
    </row>
    <row r="58" spans="1:21" s="12" customFormat="1" x14ac:dyDescent="0.25">
      <c r="A58" s="214" t="s">
        <v>2889</v>
      </c>
      <c r="B58" s="64">
        <v>3.18</v>
      </c>
      <c r="C58" s="64">
        <v>35.090000000000003</v>
      </c>
      <c r="D58" s="64">
        <v>20.8</v>
      </c>
      <c r="E58" s="64">
        <v>2.44</v>
      </c>
      <c r="F58" s="64">
        <v>4.5199999999999996</v>
      </c>
      <c r="G58" s="64">
        <v>64.03</v>
      </c>
      <c r="H58" s="64">
        <v>14.81</v>
      </c>
      <c r="I58" s="64">
        <v>5.25</v>
      </c>
      <c r="J58" s="64">
        <v>1.19</v>
      </c>
      <c r="K58" s="64">
        <v>356.43</v>
      </c>
      <c r="L58" s="64">
        <v>28.38</v>
      </c>
      <c r="M58" s="64">
        <v>45.49</v>
      </c>
      <c r="N58" s="64">
        <v>185</v>
      </c>
      <c r="O58" s="64">
        <v>0</v>
      </c>
      <c r="P58" s="64">
        <v>0.5</v>
      </c>
      <c r="Q58" s="64">
        <v>9.14</v>
      </c>
      <c r="R58" s="198"/>
      <c r="S58" s="198"/>
      <c r="T58" s="198"/>
      <c r="U58" s="198"/>
    </row>
    <row r="59" spans="1:21" s="12" customFormat="1" x14ac:dyDescent="0.25">
      <c r="A59" s="214" t="s">
        <v>2890</v>
      </c>
      <c r="B59" s="64">
        <v>3.67</v>
      </c>
      <c r="C59" s="64">
        <v>34.9</v>
      </c>
      <c r="D59" s="64">
        <v>21.1</v>
      </c>
      <c r="E59" s="64">
        <v>2.4</v>
      </c>
      <c r="F59" s="64">
        <v>4.26</v>
      </c>
      <c r="G59" s="64">
        <v>64.03</v>
      </c>
      <c r="H59" s="64">
        <v>14.81</v>
      </c>
      <c r="I59" s="64">
        <v>5.12</v>
      </c>
      <c r="J59" s="64">
        <v>0.54</v>
      </c>
      <c r="K59" s="64">
        <v>5.13</v>
      </c>
      <c r="L59" s="64">
        <v>27.97</v>
      </c>
      <c r="M59" s="64">
        <v>46.86</v>
      </c>
      <c r="N59" s="64">
        <v>196.5</v>
      </c>
      <c r="O59" s="64">
        <v>0</v>
      </c>
      <c r="P59" s="64">
        <v>0.51</v>
      </c>
      <c r="Q59" s="64">
        <v>9.17</v>
      </c>
      <c r="R59" s="198"/>
      <c r="S59" s="198"/>
      <c r="T59" s="198"/>
      <c r="U59" s="198"/>
    </row>
    <row r="60" spans="1:21" s="12" customFormat="1" x14ac:dyDescent="0.25">
      <c r="A60" s="214" t="s">
        <v>2891</v>
      </c>
      <c r="B60" s="64">
        <v>4.18</v>
      </c>
      <c r="C60" s="64">
        <v>34.75</v>
      </c>
      <c r="D60" s="64">
        <v>21.42</v>
      </c>
      <c r="E60" s="64">
        <v>2.1800000000000002</v>
      </c>
      <c r="F60" s="64">
        <v>3.98</v>
      </c>
      <c r="G60" s="64">
        <v>64.03</v>
      </c>
      <c r="H60" s="64">
        <v>14.81</v>
      </c>
      <c r="I60" s="64">
        <v>5.0999999999999996</v>
      </c>
      <c r="J60" s="64">
        <v>0.45</v>
      </c>
      <c r="K60" s="64">
        <v>11.25</v>
      </c>
      <c r="L60" s="64">
        <v>28.32</v>
      </c>
      <c r="M60" s="64">
        <v>45.14</v>
      </c>
      <c r="N60" s="64">
        <v>278.8</v>
      </c>
      <c r="O60" s="64">
        <v>0</v>
      </c>
      <c r="P60" s="64">
        <v>0.52</v>
      </c>
      <c r="Q60" s="64">
        <v>9.16</v>
      </c>
      <c r="R60" s="198"/>
      <c r="S60" s="198"/>
      <c r="T60" s="198"/>
      <c r="U60" s="198"/>
    </row>
    <row r="61" spans="1:21" s="12" customFormat="1" x14ac:dyDescent="0.25">
      <c r="A61" s="214" t="s">
        <v>2892</v>
      </c>
      <c r="B61" s="64">
        <v>4.5599999999999996</v>
      </c>
      <c r="C61" s="64">
        <v>34.39</v>
      </c>
      <c r="D61" s="64">
        <v>21.54</v>
      </c>
      <c r="E61" s="64">
        <v>2.3199999999999998</v>
      </c>
      <c r="F61" s="64">
        <v>3.83</v>
      </c>
      <c r="G61" s="64">
        <v>59.91</v>
      </c>
      <c r="H61" s="64">
        <v>17.8</v>
      </c>
      <c r="I61" s="64">
        <v>5.18</v>
      </c>
      <c r="J61" s="64">
        <v>1.1299999999999999</v>
      </c>
      <c r="K61" s="64">
        <v>1.5</v>
      </c>
      <c r="L61" s="64">
        <v>29.06</v>
      </c>
      <c r="M61" s="64">
        <v>43.35</v>
      </c>
      <c r="N61" s="64">
        <v>321.2</v>
      </c>
      <c r="O61" s="64">
        <v>0</v>
      </c>
      <c r="P61" s="64">
        <v>0.54</v>
      </c>
      <c r="Q61" s="64">
        <v>9.18</v>
      </c>
      <c r="R61" s="198"/>
      <c r="S61" s="198"/>
      <c r="T61" s="198"/>
      <c r="U61" s="198"/>
    </row>
    <row r="62" spans="1:21" s="12" customFormat="1" x14ac:dyDescent="0.25">
      <c r="A62" s="214" t="s">
        <v>2893</v>
      </c>
      <c r="B62" s="64">
        <v>4.74</v>
      </c>
      <c r="C62" s="64">
        <v>33.869999999999997</v>
      </c>
      <c r="D62" s="64">
        <v>21.42</v>
      </c>
      <c r="E62" s="64">
        <v>2.2400000000000002</v>
      </c>
      <c r="F62" s="64">
        <v>3.89</v>
      </c>
      <c r="G62" s="64">
        <v>52.07</v>
      </c>
      <c r="H62" s="64">
        <v>23.5</v>
      </c>
      <c r="I62" s="64">
        <v>5.36</v>
      </c>
      <c r="J62" s="64">
        <v>1.0900000000000001</v>
      </c>
      <c r="K62" s="64">
        <v>357.12</v>
      </c>
      <c r="L62" s="64">
        <v>29.75</v>
      </c>
      <c r="M62" s="64">
        <v>41.81</v>
      </c>
      <c r="N62" s="64">
        <v>401.8</v>
      </c>
      <c r="O62" s="64">
        <v>0</v>
      </c>
      <c r="P62" s="64">
        <v>0.57999999999999996</v>
      </c>
      <c r="Q62" s="64">
        <v>9.14</v>
      </c>
      <c r="R62" s="198"/>
      <c r="S62" s="198"/>
      <c r="T62" s="198"/>
      <c r="U62" s="198"/>
    </row>
    <row r="63" spans="1:21" s="12" customFormat="1" x14ac:dyDescent="0.25">
      <c r="A63" s="214" t="s">
        <v>2894</v>
      </c>
      <c r="B63" s="64">
        <v>5.03</v>
      </c>
      <c r="C63" s="64">
        <v>33.89</v>
      </c>
      <c r="D63" s="64">
        <v>21.66</v>
      </c>
      <c r="E63" s="64">
        <v>3.47</v>
      </c>
      <c r="F63" s="64">
        <v>3.86</v>
      </c>
      <c r="G63" s="64">
        <v>52.07</v>
      </c>
      <c r="H63" s="64">
        <v>23.5</v>
      </c>
      <c r="I63" s="64">
        <v>5.42</v>
      </c>
      <c r="J63" s="64">
        <v>0.69</v>
      </c>
      <c r="K63" s="64">
        <v>16.309999999999999</v>
      </c>
      <c r="L63" s="64">
        <v>29.68</v>
      </c>
      <c r="M63" s="64">
        <v>43.75</v>
      </c>
      <c r="N63" s="64">
        <v>400.6</v>
      </c>
      <c r="O63" s="64">
        <v>0</v>
      </c>
      <c r="P63" s="64">
        <v>0.57999999999999996</v>
      </c>
      <c r="Q63" s="64">
        <v>9.1300000000000008</v>
      </c>
      <c r="R63" s="198"/>
      <c r="S63" s="198"/>
      <c r="T63" s="198"/>
      <c r="U63" s="198"/>
    </row>
    <row r="64" spans="1:21" s="12" customFormat="1" x14ac:dyDescent="0.25">
      <c r="A64" s="214" t="s">
        <v>2895</v>
      </c>
      <c r="B64" s="64">
        <v>5.85</v>
      </c>
      <c r="C64" s="64">
        <v>33.92</v>
      </c>
      <c r="D64" s="64">
        <v>22.33</v>
      </c>
      <c r="E64" s="64">
        <v>2.4</v>
      </c>
      <c r="F64" s="64">
        <v>3.65</v>
      </c>
      <c r="G64" s="64">
        <v>52.07</v>
      </c>
      <c r="H64" s="64">
        <v>23.5</v>
      </c>
      <c r="I64" s="64">
        <v>5.41</v>
      </c>
      <c r="J64" s="64">
        <v>1.5</v>
      </c>
      <c r="K64" s="64">
        <v>354.86</v>
      </c>
      <c r="L64" s="64">
        <v>30.17</v>
      </c>
      <c r="M64" s="64">
        <v>42.19</v>
      </c>
      <c r="N64" s="64">
        <v>500.4</v>
      </c>
      <c r="O64" s="64">
        <v>0</v>
      </c>
      <c r="P64" s="64">
        <v>0.59</v>
      </c>
      <c r="Q64" s="64">
        <v>9.15</v>
      </c>
      <c r="R64" s="198"/>
      <c r="S64" s="198"/>
      <c r="T64" s="198"/>
      <c r="U64" s="198"/>
    </row>
    <row r="65" spans="1:21" s="12" customFormat="1" x14ac:dyDescent="0.25">
      <c r="A65" s="214" t="s">
        <v>2896</v>
      </c>
      <c r="B65" s="64">
        <v>6.13</v>
      </c>
      <c r="C65" s="64">
        <v>34.200000000000003</v>
      </c>
      <c r="D65" s="64">
        <v>22.71</v>
      </c>
      <c r="E65" s="64">
        <v>2.1800000000000002</v>
      </c>
      <c r="F65" s="64">
        <v>4.08</v>
      </c>
      <c r="G65" s="64">
        <v>51</v>
      </c>
      <c r="H65" s="64">
        <v>21.18</v>
      </c>
      <c r="I65" s="64">
        <v>5.47</v>
      </c>
      <c r="J65" s="64">
        <v>1.71</v>
      </c>
      <c r="K65" s="64">
        <v>351.95</v>
      </c>
      <c r="L65" s="64">
        <v>30.85</v>
      </c>
      <c r="M65" s="64">
        <v>39.85</v>
      </c>
      <c r="N65" s="64">
        <v>453.5</v>
      </c>
      <c r="O65" s="64">
        <v>0</v>
      </c>
      <c r="P65" s="64">
        <v>0.59</v>
      </c>
      <c r="Q65" s="64">
        <v>9.14</v>
      </c>
      <c r="R65" s="198"/>
      <c r="S65" s="198"/>
      <c r="T65" s="198"/>
      <c r="U65" s="198"/>
    </row>
    <row r="66" spans="1:21" s="12" customFormat="1" x14ac:dyDescent="0.25">
      <c r="A66" s="214" t="s">
        <v>2897</v>
      </c>
      <c r="B66" s="64">
        <v>5.67</v>
      </c>
      <c r="C66" s="64">
        <v>34.65</v>
      </c>
      <c r="D66" s="64">
        <v>22.58</v>
      </c>
      <c r="E66" s="64">
        <v>2.2999999999999998</v>
      </c>
      <c r="F66" s="64">
        <v>4.13</v>
      </c>
      <c r="G66" s="64">
        <v>48.95</v>
      </c>
      <c r="H66" s="64">
        <v>16.78</v>
      </c>
      <c r="I66" s="64">
        <v>5.54</v>
      </c>
      <c r="J66" s="64">
        <v>1.91</v>
      </c>
      <c r="K66" s="64">
        <v>352.22</v>
      </c>
      <c r="L66" s="64">
        <v>31.47</v>
      </c>
      <c r="M66" s="64">
        <v>37.090000000000003</v>
      </c>
      <c r="N66" s="64">
        <v>494.8</v>
      </c>
      <c r="O66" s="64">
        <v>0</v>
      </c>
      <c r="P66" s="64">
        <v>0.57999999999999996</v>
      </c>
      <c r="Q66" s="64">
        <v>9.14</v>
      </c>
      <c r="R66" s="198"/>
      <c r="S66" s="198"/>
      <c r="T66" s="198"/>
      <c r="U66" s="198"/>
    </row>
    <row r="67" spans="1:21" s="12" customFormat="1" x14ac:dyDescent="0.25">
      <c r="A67" s="214" t="s">
        <v>2898</v>
      </c>
      <c r="B67" s="64">
        <v>5.04</v>
      </c>
      <c r="C67" s="64">
        <v>34.729999999999997</v>
      </c>
      <c r="D67" s="64">
        <v>22.11</v>
      </c>
      <c r="E67" s="64">
        <v>2.44</v>
      </c>
      <c r="F67" s="64">
        <v>4.16</v>
      </c>
      <c r="G67" s="64">
        <v>48.95</v>
      </c>
      <c r="H67" s="64">
        <v>16.78</v>
      </c>
      <c r="I67" s="64">
        <v>5.43</v>
      </c>
      <c r="J67" s="64">
        <v>0.67</v>
      </c>
      <c r="K67" s="64">
        <v>28.22</v>
      </c>
      <c r="L67" s="64">
        <v>31.07</v>
      </c>
      <c r="M67" s="64">
        <v>36.04</v>
      </c>
      <c r="N67" s="64">
        <v>380.5</v>
      </c>
      <c r="O67" s="64">
        <v>0</v>
      </c>
      <c r="P67" s="64">
        <v>0.56000000000000005</v>
      </c>
      <c r="Q67" s="64">
        <v>9.1999999999999993</v>
      </c>
      <c r="R67" s="198"/>
      <c r="S67" s="198"/>
      <c r="T67" s="198"/>
      <c r="U67" s="198"/>
    </row>
    <row r="68" spans="1:21" s="12" customFormat="1" x14ac:dyDescent="0.25">
      <c r="A68" s="214" t="s">
        <v>2899</v>
      </c>
      <c r="B68" s="64">
        <v>4.78</v>
      </c>
      <c r="C68" s="64">
        <v>33.49</v>
      </c>
      <c r="D68" s="64">
        <v>21.25</v>
      </c>
      <c r="E68" s="64">
        <v>2.11</v>
      </c>
      <c r="F68" s="64">
        <v>3.99</v>
      </c>
      <c r="G68" s="64">
        <v>48.95</v>
      </c>
      <c r="H68" s="64">
        <v>16.78</v>
      </c>
      <c r="I68" s="64">
        <v>5.34</v>
      </c>
      <c r="J68" s="64">
        <v>1.08</v>
      </c>
      <c r="K68" s="64">
        <v>359.84</v>
      </c>
      <c r="L68" s="64">
        <v>30.98</v>
      </c>
      <c r="M68" s="64">
        <v>33.53</v>
      </c>
      <c r="N68" s="64">
        <v>329.6</v>
      </c>
      <c r="O68" s="64">
        <v>0</v>
      </c>
      <c r="P68" s="64">
        <v>0.55000000000000004</v>
      </c>
      <c r="Q68" s="64">
        <v>9.1300000000000008</v>
      </c>
      <c r="R68" s="198"/>
      <c r="S68" s="198"/>
      <c r="T68" s="198"/>
      <c r="U68" s="198"/>
    </row>
    <row r="69" spans="1:21" s="12" customFormat="1" x14ac:dyDescent="0.25">
      <c r="A69" s="214" t="s">
        <v>2900</v>
      </c>
      <c r="B69" s="64">
        <v>4.7699999999999996</v>
      </c>
      <c r="C69" s="64">
        <v>33.53</v>
      </c>
      <c r="D69" s="64">
        <v>21.26</v>
      </c>
      <c r="E69" s="64">
        <v>2.11</v>
      </c>
      <c r="F69" s="64">
        <v>4.34</v>
      </c>
      <c r="G69" s="64">
        <v>42.43</v>
      </c>
      <c r="H69" s="64">
        <v>16.45</v>
      </c>
      <c r="I69" s="64">
        <v>5.42</v>
      </c>
      <c r="J69" s="64">
        <v>1.58</v>
      </c>
      <c r="K69" s="64">
        <v>354.36</v>
      </c>
      <c r="L69" s="64">
        <v>31.29</v>
      </c>
      <c r="M69" s="64">
        <v>33.82</v>
      </c>
      <c r="N69" s="64">
        <v>355.4</v>
      </c>
      <c r="O69" s="64">
        <v>0</v>
      </c>
      <c r="P69" s="64">
        <v>0.54</v>
      </c>
      <c r="Q69" s="64">
        <v>9.1199999999999992</v>
      </c>
      <c r="R69" s="198"/>
      <c r="S69" s="198"/>
      <c r="T69" s="198"/>
      <c r="U69" s="198"/>
    </row>
    <row r="70" spans="1:21" s="12" customFormat="1" x14ac:dyDescent="0.25">
      <c r="A70" s="214" t="s">
        <v>2901</v>
      </c>
      <c r="B70" s="64">
        <v>4.66</v>
      </c>
      <c r="C70" s="64">
        <v>33.67</v>
      </c>
      <c r="D70" s="64">
        <v>21.25</v>
      </c>
      <c r="E70" s="64">
        <v>2.14</v>
      </c>
      <c r="F70" s="64">
        <v>4.29</v>
      </c>
      <c r="G70" s="64">
        <v>30.01</v>
      </c>
      <c r="H70" s="64">
        <v>15.82</v>
      </c>
      <c r="I70" s="64">
        <v>5.68</v>
      </c>
      <c r="J70" s="64">
        <v>1.48</v>
      </c>
      <c r="K70" s="64">
        <v>350.69</v>
      </c>
      <c r="L70" s="64">
        <v>30.79</v>
      </c>
      <c r="M70" s="64">
        <v>36.01</v>
      </c>
      <c r="N70" s="64">
        <v>350.6</v>
      </c>
      <c r="O70" s="64">
        <v>0</v>
      </c>
      <c r="P70" s="64">
        <v>0.53</v>
      </c>
      <c r="Q70" s="64">
        <v>9.1199999999999992</v>
      </c>
      <c r="R70" s="198"/>
      <c r="S70" s="198"/>
      <c r="T70" s="198"/>
      <c r="U70" s="198"/>
    </row>
    <row r="71" spans="1:21" s="12" customFormat="1" x14ac:dyDescent="0.25">
      <c r="A71" s="214" t="s">
        <v>2902</v>
      </c>
      <c r="B71" s="64">
        <v>4.43</v>
      </c>
      <c r="C71" s="64">
        <v>33.39</v>
      </c>
      <c r="D71" s="64">
        <v>20.92</v>
      </c>
      <c r="E71" s="64">
        <v>2.29</v>
      </c>
      <c r="F71" s="64">
        <v>4.01</v>
      </c>
      <c r="G71" s="64">
        <v>30.01</v>
      </c>
      <c r="H71" s="64">
        <v>15.82</v>
      </c>
      <c r="I71" s="64">
        <v>5.79</v>
      </c>
      <c r="J71" s="64">
        <v>1.48</v>
      </c>
      <c r="K71" s="64">
        <v>350.07</v>
      </c>
      <c r="L71" s="64">
        <v>31.24</v>
      </c>
      <c r="M71" s="64">
        <v>33.75</v>
      </c>
      <c r="N71" s="64">
        <v>300.8</v>
      </c>
      <c r="O71" s="64">
        <v>0</v>
      </c>
      <c r="P71" s="64">
        <v>0.52</v>
      </c>
      <c r="Q71" s="64">
        <v>9.1199999999999992</v>
      </c>
      <c r="R71" s="198"/>
      <c r="S71" s="198"/>
      <c r="T71" s="198"/>
      <c r="U71" s="198"/>
    </row>
    <row r="72" spans="1:21" s="12" customFormat="1" x14ac:dyDescent="0.25">
      <c r="A72" s="214" t="s">
        <v>2903</v>
      </c>
      <c r="B72" s="64">
        <v>4.28</v>
      </c>
      <c r="C72" s="64">
        <v>32.950000000000003</v>
      </c>
      <c r="D72" s="64">
        <v>20.57</v>
      </c>
      <c r="E72" s="64">
        <v>1.5</v>
      </c>
      <c r="F72" s="64">
        <v>4.2</v>
      </c>
      <c r="G72" s="64">
        <v>30.01</v>
      </c>
      <c r="H72" s="64">
        <v>15.82</v>
      </c>
      <c r="I72" s="64">
        <v>5.8</v>
      </c>
      <c r="J72" s="64">
        <v>0.69</v>
      </c>
      <c r="K72" s="64">
        <v>8.58</v>
      </c>
      <c r="L72" s="64">
        <v>30.86</v>
      </c>
      <c r="M72" s="64">
        <v>34.99</v>
      </c>
      <c r="N72" s="64">
        <v>229.9</v>
      </c>
      <c r="O72" s="64">
        <v>0</v>
      </c>
      <c r="P72" s="64">
        <v>0.52</v>
      </c>
      <c r="Q72" s="64">
        <v>9.15</v>
      </c>
      <c r="R72" s="198"/>
      <c r="S72" s="198"/>
      <c r="T72" s="198"/>
      <c r="U72" s="198"/>
    </row>
    <row r="73" spans="1:21" s="12" customFormat="1" x14ac:dyDescent="0.25">
      <c r="A73" s="214" t="s">
        <v>2904</v>
      </c>
      <c r="B73" s="64">
        <v>4.26</v>
      </c>
      <c r="C73" s="64">
        <v>32.47</v>
      </c>
      <c r="D73" s="64">
        <v>20.3</v>
      </c>
      <c r="E73" s="64">
        <v>1.54</v>
      </c>
      <c r="F73" s="64">
        <v>3.61</v>
      </c>
      <c r="G73" s="64">
        <v>31.3</v>
      </c>
      <c r="H73" s="64">
        <v>14.28</v>
      </c>
      <c r="I73" s="64">
        <v>5.75</v>
      </c>
      <c r="J73" s="64">
        <v>0.55000000000000004</v>
      </c>
      <c r="K73" s="64">
        <v>4.41</v>
      </c>
      <c r="L73" s="64">
        <v>30.7</v>
      </c>
      <c r="M73" s="64">
        <v>35.33</v>
      </c>
      <c r="N73" s="64">
        <v>181.2</v>
      </c>
      <c r="O73" s="64">
        <v>0</v>
      </c>
      <c r="P73" s="64">
        <v>0.5</v>
      </c>
      <c r="Q73" s="64">
        <v>9.16</v>
      </c>
      <c r="R73" s="198"/>
      <c r="S73" s="198"/>
      <c r="T73" s="198"/>
      <c r="U73" s="198"/>
    </row>
    <row r="74" spans="1:21" s="12" customFormat="1" x14ac:dyDescent="0.25">
      <c r="A74" s="214" t="s">
        <v>2905</v>
      </c>
      <c r="B74" s="64">
        <v>4.4400000000000004</v>
      </c>
      <c r="C74" s="64">
        <v>33.090000000000003</v>
      </c>
      <c r="D74" s="64">
        <v>20.77</v>
      </c>
      <c r="E74" s="64">
        <v>1.62</v>
      </c>
      <c r="F74" s="64">
        <v>3.91</v>
      </c>
      <c r="G74" s="64">
        <v>33.76</v>
      </c>
      <c r="H74" s="64">
        <v>11.35</v>
      </c>
      <c r="I74" s="64">
        <v>5.87</v>
      </c>
      <c r="J74" s="64">
        <v>0.48</v>
      </c>
      <c r="K74" s="64">
        <v>11.61</v>
      </c>
      <c r="L74" s="64">
        <v>30.47</v>
      </c>
      <c r="M74" s="64">
        <v>36.92</v>
      </c>
      <c r="N74" s="64">
        <v>138.9</v>
      </c>
      <c r="O74" s="64">
        <v>0</v>
      </c>
      <c r="P74" s="64">
        <v>0.5</v>
      </c>
      <c r="Q74" s="64">
        <v>9.11</v>
      </c>
      <c r="R74" s="198"/>
      <c r="S74" s="198"/>
      <c r="T74" s="198"/>
      <c r="U74" s="198"/>
    </row>
    <row r="75" spans="1:21" s="12" customFormat="1" x14ac:dyDescent="0.25">
      <c r="A75" s="214" t="s">
        <v>2906</v>
      </c>
      <c r="B75" s="64">
        <v>4.62</v>
      </c>
      <c r="C75" s="64">
        <v>36.78</v>
      </c>
      <c r="D75" s="64">
        <v>22.84</v>
      </c>
      <c r="E75" s="64">
        <v>1.9</v>
      </c>
      <c r="F75" s="64">
        <v>4.32</v>
      </c>
      <c r="G75" s="64">
        <v>33.76</v>
      </c>
      <c r="H75" s="64">
        <v>11.35</v>
      </c>
      <c r="I75" s="64">
        <v>6.09</v>
      </c>
      <c r="J75" s="64">
        <v>0.66</v>
      </c>
      <c r="K75" s="64">
        <v>81.78</v>
      </c>
      <c r="L75" s="64">
        <v>30.05</v>
      </c>
      <c r="M75" s="64">
        <v>37.42</v>
      </c>
      <c r="N75" s="64">
        <v>133.30000000000001</v>
      </c>
      <c r="O75" s="64">
        <v>0</v>
      </c>
      <c r="P75" s="64">
        <v>0.51</v>
      </c>
      <c r="Q75" s="64">
        <v>9.1300000000000008</v>
      </c>
      <c r="R75" s="198"/>
      <c r="S75" s="198"/>
      <c r="T75" s="198"/>
      <c r="U75" s="198"/>
    </row>
    <row r="76" spans="1:21" s="12" customFormat="1" x14ac:dyDescent="0.25">
      <c r="A76" s="214" t="s">
        <v>2907</v>
      </c>
      <c r="B76" s="64">
        <v>4.3499999999999996</v>
      </c>
      <c r="C76" s="64">
        <v>43.59</v>
      </c>
      <c r="D76" s="64">
        <v>26.18</v>
      </c>
      <c r="E76" s="64">
        <v>1.7</v>
      </c>
      <c r="F76" s="64">
        <v>4.5599999999999996</v>
      </c>
      <c r="G76" s="64">
        <v>33.76</v>
      </c>
      <c r="H76" s="64">
        <v>11.35</v>
      </c>
      <c r="I76" s="64">
        <v>6.29</v>
      </c>
      <c r="J76" s="64">
        <v>0.7</v>
      </c>
      <c r="K76" s="64">
        <v>96.94</v>
      </c>
      <c r="L76" s="64">
        <v>29.59</v>
      </c>
      <c r="M76" s="64">
        <v>38.74</v>
      </c>
      <c r="N76" s="64">
        <v>111.5</v>
      </c>
      <c r="O76" s="64">
        <v>0</v>
      </c>
      <c r="P76" s="64">
        <v>0.5</v>
      </c>
      <c r="Q76" s="64">
        <v>9.19</v>
      </c>
      <c r="R76" s="198"/>
      <c r="S76" s="198"/>
      <c r="T76" s="198"/>
      <c r="U76" s="198"/>
    </row>
    <row r="77" spans="1:21" s="12" customFormat="1" x14ac:dyDescent="0.25">
      <c r="A77" s="214" t="s">
        <v>2908</v>
      </c>
      <c r="B77" s="64">
        <v>4.05</v>
      </c>
      <c r="C77" s="64">
        <v>45.75</v>
      </c>
      <c r="D77" s="64">
        <v>27.07</v>
      </c>
      <c r="E77" s="64">
        <v>1.67</v>
      </c>
      <c r="F77" s="64">
        <v>3.87</v>
      </c>
      <c r="G77" s="64">
        <v>32.83</v>
      </c>
      <c r="H77" s="64">
        <v>11.37</v>
      </c>
      <c r="I77" s="64">
        <v>6.26</v>
      </c>
      <c r="J77" s="64">
        <v>0.5</v>
      </c>
      <c r="K77" s="64">
        <v>85.24</v>
      </c>
      <c r="L77" s="64">
        <v>29.5</v>
      </c>
      <c r="M77" s="64">
        <v>38.11</v>
      </c>
      <c r="N77" s="64">
        <v>93.3</v>
      </c>
      <c r="O77" s="64">
        <v>0</v>
      </c>
      <c r="P77" s="64">
        <v>0.49</v>
      </c>
      <c r="Q77" s="64">
        <v>9.1300000000000008</v>
      </c>
      <c r="R77" s="198"/>
      <c r="S77" s="198"/>
      <c r="T77" s="198"/>
      <c r="U77" s="198"/>
    </row>
    <row r="78" spans="1:21" s="12" customFormat="1" x14ac:dyDescent="0.25">
      <c r="A78" s="214" t="s">
        <v>2909</v>
      </c>
      <c r="B78" s="64">
        <v>4.1399999999999997</v>
      </c>
      <c r="C78" s="64">
        <v>45.98</v>
      </c>
      <c r="D78" s="64">
        <v>27.26</v>
      </c>
      <c r="E78" s="64">
        <v>2.0299999999999998</v>
      </c>
      <c r="F78" s="64">
        <v>4.75</v>
      </c>
      <c r="G78" s="64">
        <v>31.05</v>
      </c>
      <c r="H78" s="64">
        <v>11.41</v>
      </c>
      <c r="I78" s="64">
        <v>6.32</v>
      </c>
      <c r="J78" s="64">
        <v>0.52</v>
      </c>
      <c r="K78" s="64">
        <v>345.26</v>
      </c>
      <c r="L78" s="64">
        <v>29.65</v>
      </c>
      <c r="M78" s="64">
        <v>39.54</v>
      </c>
      <c r="N78" s="64">
        <v>71.3</v>
      </c>
      <c r="O78" s="64">
        <v>0</v>
      </c>
      <c r="P78" s="64">
        <v>0.5</v>
      </c>
      <c r="Q78" s="64">
        <v>9.1300000000000008</v>
      </c>
      <c r="R78" s="198"/>
      <c r="S78" s="198"/>
      <c r="T78" s="198"/>
      <c r="U78" s="198"/>
    </row>
    <row r="79" spans="1:21" s="12" customFormat="1" x14ac:dyDescent="0.25">
      <c r="A79" s="214" t="s">
        <v>2910</v>
      </c>
      <c r="B79" s="64">
        <v>4.6500000000000004</v>
      </c>
      <c r="C79" s="64">
        <v>45.47</v>
      </c>
      <c r="D79" s="64">
        <v>27.4</v>
      </c>
      <c r="E79" s="64">
        <v>1.94</v>
      </c>
      <c r="F79" s="64">
        <v>3.96</v>
      </c>
      <c r="G79" s="64">
        <v>31.05</v>
      </c>
      <c r="H79" s="64">
        <v>11.41</v>
      </c>
      <c r="I79" s="64">
        <v>6.35</v>
      </c>
      <c r="J79" s="64">
        <v>0.39</v>
      </c>
      <c r="K79" s="64">
        <v>344.54</v>
      </c>
      <c r="L79" s="64">
        <v>29.56</v>
      </c>
      <c r="M79" s="64">
        <v>41.76</v>
      </c>
      <c r="N79" s="64">
        <v>56.5</v>
      </c>
      <c r="O79" s="64">
        <v>0</v>
      </c>
      <c r="P79" s="64">
        <v>0.52</v>
      </c>
      <c r="Q79" s="64">
        <v>9.1199999999999992</v>
      </c>
      <c r="R79" s="198"/>
      <c r="S79" s="198"/>
      <c r="T79" s="198"/>
      <c r="U79" s="198"/>
    </row>
    <row r="80" spans="1:21" s="12" customFormat="1" x14ac:dyDescent="0.25">
      <c r="A80" s="214" t="s">
        <v>2911</v>
      </c>
      <c r="B80" s="64">
        <v>4.97</v>
      </c>
      <c r="C80" s="64">
        <v>42.15</v>
      </c>
      <c r="D80" s="64">
        <v>25.93</v>
      </c>
      <c r="E80" s="64">
        <v>1.98</v>
      </c>
      <c r="F80" s="64">
        <v>3.96</v>
      </c>
      <c r="G80" s="64">
        <v>31.05</v>
      </c>
      <c r="H80" s="64">
        <v>11.41</v>
      </c>
      <c r="I80" s="64">
        <v>6.35</v>
      </c>
      <c r="J80" s="64">
        <v>0.18</v>
      </c>
      <c r="K80" s="64">
        <v>57.22</v>
      </c>
      <c r="L80" s="64">
        <v>29.01</v>
      </c>
      <c r="M80" s="64">
        <v>40.619999999999997</v>
      </c>
      <c r="N80" s="64">
        <v>41.5</v>
      </c>
      <c r="O80" s="64">
        <v>0</v>
      </c>
      <c r="P80" s="64">
        <v>0.55000000000000004</v>
      </c>
      <c r="Q80" s="64">
        <v>9.1300000000000008</v>
      </c>
      <c r="R80" s="198"/>
      <c r="S80" s="198"/>
      <c r="T80" s="198"/>
      <c r="U80" s="198"/>
    </row>
    <row r="81" spans="1:26" s="12" customFormat="1" x14ac:dyDescent="0.25">
      <c r="A81" s="214" t="s">
        <v>2912</v>
      </c>
      <c r="B81" s="64">
        <v>4.95</v>
      </c>
      <c r="C81" s="64">
        <v>40.409999999999997</v>
      </c>
      <c r="D81" s="64">
        <v>25</v>
      </c>
      <c r="E81" s="64">
        <v>1.71</v>
      </c>
      <c r="F81" s="64">
        <v>3.44</v>
      </c>
      <c r="G81" s="64">
        <v>32.79</v>
      </c>
      <c r="H81" s="64">
        <v>12.18</v>
      </c>
      <c r="I81" s="64">
        <v>6.37</v>
      </c>
      <c r="J81" s="64">
        <v>0.26</v>
      </c>
      <c r="K81" s="64">
        <v>32.21</v>
      </c>
      <c r="L81" s="64">
        <v>28.78</v>
      </c>
      <c r="M81" s="64">
        <v>42.25</v>
      </c>
      <c r="N81" s="64">
        <v>29.9</v>
      </c>
      <c r="O81" s="64">
        <v>0</v>
      </c>
      <c r="P81" s="64">
        <v>0.54</v>
      </c>
      <c r="Q81" s="64">
        <v>9.17</v>
      </c>
      <c r="R81" s="198"/>
      <c r="S81" s="198"/>
      <c r="T81" s="198"/>
      <c r="U81" s="198"/>
    </row>
    <row r="82" spans="1:26" s="12" customFormat="1" x14ac:dyDescent="0.25">
      <c r="A82" s="214" t="s">
        <v>2913</v>
      </c>
      <c r="B82" s="64">
        <v>5.54</v>
      </c>
      <c r="C82" s="64">
        <v>39.270000000000003</v>
      </c>
      <c r="D82" s="64">
        <v>24.88</v>
      </c>
      <c r="E82" s="64">
        <v>2.16</v>
      </c>
      <c r="F82" s="64">
        <v>3.59</v>
      </c>
      <c r="G82" s="64">
        <v>36.11</v>
      </c>
      <c r="H82" s="64">
        <v>13.65</v>
      </c>
      <c r="I82" s="64">
        <v>6.31</v>
      </c>
      <c r="J82" s="64">
        <v>0.11</v>
      </c>
      <c r="K82" s="64">
        <v>17.7</v>
      </c>
      <c r="L82" s="64">
        <v>28.07</v>
      </c>
      <c r="M82" s="64">
        <v>48.72</v>
      </c>
      <c r="N82" s="64">
        <v>24.2</v>
      </c>
      <c r="O82" s="64">
        <v>0</v>
      </c>
      <c r="P82" s="64">
        <v>0.57999999999999996</v>
      </c>
      <c r="Q82" s="64">
        <v>9.14</v>
      </c>
      <c r="R82" s="198"/>
      <c r="S82" s="198"/>
      <c r="T82" s="198"/>
      <c r="U82" s="198"/>
    </row>
    <row r="83" spans="1:26" s="12" customFormat="1" x14ac:dyDescent="0.25">
      <c r="A83" s="214" t="s">
        <v>2914</v>
      </c>
      <c r="B83" s="64">
        <v>7.95</v>
      </c>
      <c r="C83" s="64">
        <v>36.47</v>
      </c>
      <c r="D83" s="64">
        <v>25.35</v>
      </c>
      <c r="E83" s="64">
        <v>1.85</v>
      </c>
      <c r="F83" s="64">
        <v>3.85</v>
      </c>
      <c r="G83" s="64">
        <v>36.11</v>
      </c>
      <c r="H83" s="64">
        <v>13.65</v>
      </c>
      <c r="I83" s="64">
        <v>6.19</v>
      </c>
      <c r="J83" s="64">
        <v>0.21</v>
      </c>
      <c r="K83" s="64">
        <v>344.04</v>
      </c>
      <c r="L83" s="64">
        <v>27.43</v>
      </c>
      <c r="M83" s="64">
        <v>51.31</v>
      </c>
      <c r="N83" s="64">
        <v>22.8</v>
      </c>
      <c r="O83" s="64">
        <v>0</v>
      </c>
      <c r="P83" s="64">
        <v>0.7</v>
      </c>
      <c r="Q83" s="64">
        <v>9.14</v>
      </c>
      <c r="R83" s="198"/>
      <c r="S83" s="198"/>
      <c r="T83" s="198"/>
      <c r="U83" s="198"/>
    </row>
    <row r="84" spans="1:26" s="12" customFormat="1" x14ac:dyDescent="0.25">
      <c r="A84" s="214" t="s">
        <v>2915</v>
      </c>
      <c r="B84" s="64">
        <v>11.38</v>
      </c>
      <c r="C84" s="64">
        <v>36.39</v>
      </c>
      <c r="D84" s="64">
        <v>28.06</v>
      </c>
      <c r="E84" s="64">
        <v>2.13</v>
      </c>
      <c r="F84" s="64">
        <v>3.64</v>
      </c>
      <c r="G84" s="64">
        <v>36.11</v>
      </c>
      <c r="H84" s="64">
        <v>13.65</v>
      </c>
      <c r="I84" s="64">
        <v>6.45</v>
      </c>
      <c r="J84" s="64">
        <v>0.1</v>
      </c>
      <c r="K84" s="64">
        <v>2.61</v>
      </c>
      <c r="L84" s="64">
        <v>27</v>
      </c>
      <c r="M84" s="64">
        <v>50.64</v>
      </c>
      <c r="N84" s="64">
        <v>22.5</v>
      </c>
      <c r="O84" s="64">
        <v>0</v>
      </c>
      <c r="P84" s="64">
        <v>0.8</v>
      </c>
      <c r="Q84" s="64">
        <v>9.1999999999999993</v>
      </c>
      <c r="R84" s="198"/>
      <c r="S84" s="198"/>
      <c r="T84" s="198"/>
      <c r="U84" s="198"/>
    </row>
    <row r="85" spans="1:26" s="12" customFormat="1" x14ac:dyDescent="0.25">
      <c r="A85" s="214" t="s">
        <v>2916</v>
      </c>
      <c r="B85" s="64">
        <v>14.16</v>
      </c>
      <c r="C85" s="64">
        <v>37.82</v>
      </c>
      <c r="D85" s="64">
        <v>31.04</v>
      </c>
      <c r="E85" s="64">
        <v>2.34</v>
      </c>
      <c r="F85" s="64">
        <v>3.72</v>
      </c>
      <c r="G85" s="64">
        <v>39.409999999999997</v>
      </c>
      <c r="H85" s="64">
        <v>13.37</v>
      </c>
      <c r="I85" s="64">
        <v>6.72</v>
      </c>
      <c r="J85" s="64">
        <v>0.22</v>
      </c>
      <c r="K85" s="64">
        <v>356.85</v>
      </c>
      <c r="L85" s="64">
        <v>26.75</v>
      </c>
      <c r="M85" s="64">
        <v>54.85</v>
      </c>
      <c r="N85" s="64">
        <v>22.3</v>
      </c>
      <c r="O85" s="64">
        <v>0</v>
      </c>
      <c r="P85" s="64">
        <v>0.95</v>
      </c>
      <c r="Q85" s="64">
        <v>9.15</v>
      </c>
      <c r="R85" s="198"/>
      <c r="S85" s="198"/>
      <c r="T85" s="198"/>
      <c r="U85" s="198"/>
    </row>
    <row r="86" spans="1:26" s="12" customFormat="1" x14ac:dyDescent="0.25">
      <c r="A86" s="214" t="s">
        <v>2917</v>
      </c>
      <c r="B86" s="64">
        <v>16.93</v>
      </c>
      <c r="C86" s="64">
        <v>37.840000000000003</v>
      </c>
      <c r="D86" s="64">
        <v>33.270000000000003</v>
      </c>
      <c r="E86" s="64">
        <v>1.81</v>
      </c>
      <c r="F86" s="64">
        <v>3.77</v>
      </c>
      <c r="G86" s="64">
        <v>45.67</v>
      </c>
      <c r="H86" s="64">
        <v>12.84</v>
      </c>
      <c r="I86" s="64">
        <v>6.82</v>
      </c>
      <c r="J86" s="64">
        <v>0.14000000000000001</v>
      </c>
      <c r="K86" s="64">
        <v>234.05</v>
      </c>
      <c r="L86" s="64">
        <v>26.66</v>
      </c>
      <c r="M86" s="64">
        <v>54.04</v>
      </c>
      <c r="N86" s="64">
        <v>22.3</v>
      </c>
      <c r="O86" s="64">
        <v>0</v>
      </c>
      <c r="P86" s="64">
        <v>1.08</v>
      </c>
      <c r="Q86" s="64">
        <v>9.18</v>
      </c>
      <c r="R86" s="198"/>
      <c r="S86" s="198"/>
      <c r="T86" s="198"/>
      <c r="U86" s="198"/>
    </row>
    <row r="87" spans="1:26" s="12" customFormat="1" x14ac:dyDescent="0.25">
      <c r="A87" s="214" t="s">
        <v>2918</v>
      </c>
      <c r="B87" s="64">
        <v>20.6</v>
      </c>
      <c r="C87" s="64">
        <v>37.549999999999997</v>
      </c>
      <c r="D87" s="64">
        <v>36.049999999999997</v>
      </c>
      <c r="E87" s="64">
        <v>2.12</v>
      </c>
      <c r="F87" s="64">
        <v>3.41</v>
      </c>
      <c r="G87" s="64">
        <v>45.67</v>
      </c>
      <c r="H87" s="64">
        <v>12.84</v>
      </c>
      <c r="I87" s="64">
        <v>7.33</v>
      </c>
      <c r="J87" s="64">
        <v>0.2</v>
      </c>
      <c r="K87" s="64">
        <v>332.92</v>
      </c>
      <c r="L87" s="64">
        <v>26.44</v>
      </c>
      <c r="M87" s="64">
        <v>57.16</v>
      </c>
      <c r="N87" s="64">
        <v>22.3</v>
      </c>
      <c r="O87" s="64">
        <v>0</v>
      </c>
      <c r="P87" s="64">
        <v>1.19</v>
      </c>
      <c r="Q87" s="64">
        <v>9.24</v>
      </c>
      <c r="R87" s="198"/>
      <c r="S87" s="198"/>
      <c r="T87" s="198"/>
      <c r="U87" s="198"/>
    </row>
    <row r="88" spans="1:26" s="12" customFormat="1" x14ac:dyDescent="0.25">
      <c r="A88" s="214" t="s">
        <v>2919</v>
      </c>
      <c r="B88" s="64">
        <v>25.37</v>
      </c>
      <c r="C88" s="64">
        <v>37.17</v>
      </c>
      <c r="D88" s="64">
        <v>39.69</v>
      </c>
      <c r="E88" s="64">
        <v>1.7</v>
      </c>
      <c r="F88" s="64">
        <v>3.72</v>
      </c>
      <c r="G88" s="64">
        <v>45.67</v>
      </c>
      <c r="H88" s="64">
        <v>12.84</v>
      </c>
      <c r="I88" s="64">
        <v>8.07</v>
      </c>
      <c r="J88" s="64">
        <v>0.11</v>
      </c>
      <c r="K88" s="64">
        <v>292.10000000000002</v>
      </c>
      <c r="L88" s="64">
        <v>26.3</v>
      </c>
      <c r="M88" s="64">
        <v>57.86</v>
      </c>
      <c r="N88" s="64">
        <v>22.4</v>
      </c>
      <c r="O88" s="64">
        <v>0</v>
      </c>
      <c r="P88" s="64">
        <v>1.27</v>
      </c>
      <c r="Q88" s="64">
        <v>9.25</v>
      </c>
      <c r="R88" s="198"/>
      <c r="S88" s="198"/>
      <c r="T88" s="198"/>
      <c r="U88" s="198"/>
    </row>
    <row r="89" spans="1:26" s="12" customFormat="1" x14ac:dyDescent="0.25">
      <c r="A89" s="214" t="s">
        <v>2920</v>
      </c>
      <c r="B89" s="64">
        <v>29.64</v>
      </c>
      <c r="C89" s="64">
        <v>36.630000000000003</v>
      </c>
      <c r="D89" s="64">
        <v>42.83</v>
      </c>
      <c r="E89" s="64">
        <v>1.89</v>
      </c>
      <c r="F89" s="64">
        <v>3.58</v>
      </c>
      <c r="G89" s="64">
        <v>53.34</v>
      </c>
      <c r="H89" s="64">
        <v>15.35</v>
      </c>
      <c r="I89" s="64">
        <v>8.52</v>
      </c>
      <c r="J89" s="64">
        <v>0.23</v>
      </c>
      <c r="K89" s="64">
        <v>97.25</v>
      </c>
      <c r="L89" s="64">
        <v>26.25</v>
      </c>
      <c r="M89" s="64">
        <v>57.19</v>
      </c>
      <c r="N89" s="64">
        <v>22.1</v>
      </c>
      <c r="O89" s="64">
        <v>0</v>
      </c>
      <c r="P89" s="64">
        <v>1.28</v>
      </c>
      <c r="Q89" s="64">
        <v>9.2899999999999991</v>
      </c>
      <c r="R89" s="198"/>
      <c r="S89" s="198"/>
      <c r="T89" s="198"/>
      <c r="U89" s="198"/>
    </row>
    <row r="90" spans="1:26" s="12" customFormat="1" x14ac:dyDescent="0.25">
      <c r="A90" s="214" t="s">
        <v>2921</v>
      </c>
      <c r="B90" s="64">
        <v>34.74</v>
      </c>
      <c r="C90" s="64">
        <v>36.61</v>
      </c>
      <c r="D90" s="64">
        <v>46.91</v>
      </c>
      <c r="E90" s="64">
        <v>1.97</v>
      </c>
      <c r="F90" s="64">
        <v>3.35</v>
      </c>
      <c r="G90" s="64">
        <v>67.94</v>
      </c>
      <c r="H90" s="64">
        <v>20.13</v>
      </c>
      <c r="I90" s="64">
        <v>8.7100000000000009</v>
      </c>
      <c r="J90" s="64">
        <v>0.31</v>
      </c>
      <c r="K90" s="64">
        <v>154.69999999999999</v>
      </c>
      <c r="L90" s="64">
        <v>26.49</v>
      </c>
      <c r="M90" s="64">
        <v>54.63</v>
      </c>
      <c r="N90" s="64">
        <v>21.3</v>
      </c>
      <c r="O90" s="64">
        <v>0</v>
      </c>
      <c r="P90" s="64">
        <v>1.26</v>
      </c>
      <c r="Q90" s="64">
        <v>9.16</v>
      </c>
      <c r="R90" s="198"/>
      <c r="S90" s="198"/>
      <c r="T90" s="198"/>
      <c r="U90" s="198"/>
    </row>
    <row r="91" spans="1:26" s="12" customFormat="1" x14ac:dyDescent="0.25">
      <c r="A91" s="214" t="s">
        <v>2922</v>
      </c>
      <c r="B91" s="64">
        <v>38.06</v>
      </c>
      <c r="C91" s="64">
        <v>36.32</v>
      </c>
      <c r="D91" s="64">
        <v>49.42</v>
      </c>
      <c r="E91" s="64">
        <v>2.3199999999999998</v>
      </c>
      <c r="F91" s="64">
        <v>3.55</v>
      </c>
      <c r="G91" s="64">
        <v>67.94</v>
      </c>
      <c r="H91" s="64">
        <v>20.13</v>
      </c>
      <c r="I91" s="64">
        <v>8.7100000000000009</v>
      </c>
      <c r="J91" s="64">
        <v>0.11</v>
      </c>
      <c r="K91" s="64">
        <v>289.81</v>
      </c>
      <c r="L91" s="64">
        <v>26.71</v>
      </c>
      <c r="M91" s="64">
        <v>52.88</v>
      </c>
      <c r="N91" s="64">
        <v>22.1</v>
      </c>
      <c r="O91" s="64">
        <v>0</v>
      </c>
      <c r="P91" s="64">
        <v>1.27</v>
      </c>
      <c r="Q91" s="64">
        <v>9.33</v>
      </c>
      <c r="R91" s="198"/>
      <c r="S91" s="198"/>
      <c r="T91" s="198"/>
      <c r="U91" s="198"/>
    </row>
    <row r="92" spans="1:26" s="12" customFormat="1" x14ac:dyDescent="0.25">
      <c r="A92" s="214" t="s">
        <v>2923</v>
      </c>
      <c r="B92" s="64">
        <v>39.85</v>
      </c>
      <c r="C92" s="64">
        <v>35.39</v>
      </c>
      <c r="D92" s="64">
        <v>50.36</v>
      </c>
      <c r="E92" s="64">
        <v>2.13</v>
      </c>
      <c r="F92" s="64">
        <v>3.22</v>
      </c>
      <c r="G92" s="64">
        <v>67.94</v>
      </c>
      <c r="H92" s="64">
        <v>20.13</v>
      </c>
      <c r="I92" s="64">
        <v>8.4700000000000006</v>
      </c>
      <c r="J92" s="64">
        <v>0.22</v>
      </c>
      <c r="K92" s="64">
        <v>7.75</v>
      </c>
      <c r="L92" s="64">
        <v>26.19</v>
      </c>
      <c r="M92" s="64">
        <v>58.19</v>
      </c>
      <c r="N92" s="64">
        <v>22.7</v>
      </c>
      <c r="O92" s="64">
        <v>0</v>
      </c>
      <c r="P92" s="64">
        <v>1.33</v>
      </c>
      <c r="Q92" s="64">
        <v>9.24</v>
      </c>
      <c r="R92" s="198"/>
      <c r="S92" s="198"/>
      <c r="T92" s="198"/>
      <c r="U92" s="198"/>
    </row>
    <row r="93" spans="1:26" s="12" customFormat="1" x14ac:dyDescent="0.25">
      <c r="A93" s="214" t="s">
        <v>2924</v>
      </c>
      <c r="B93" s="64">
        <v>42.96</v>
      </c>
      <c r="C93" s="64">
        <v>34.43</v>
      </c>
      <c r="D93" s="64">
        <v>52.36</v>
      </c>
      <c r="E93" s="64">
        <v>2.0299999999999998</v>
      </c>
      <c r="F93" s="64">
        <v>2.74</v>
      </c>
      <c r="G93" s="64">
        <v>74.790000000000006</v>
      </c>
      <c r="H93" s="64">
        <v>20.72</v>
      </c>
      <c r="I93" s="64">
        <v>9.02</v>
      </c>
      <c r="J93" s="64">
        <v>0.03</v>
      </c>
      <c r="K93" s="64">
        <v>70.319999999999993</v>
      </c>
      <c r="L93" s="64">
        <v>25.86</v>
      </c>
      <c r="M93" s="64">
        <v>58.06</v>
      </c>
      <c r="N93" s="64">
        <v>22.4</v>
      </c>
      <c r="O93" s="64">
        <v>0</v>
      </c>
      <c r="P93" s="64">
        <v>1.4</v>
      </c>
      <c r="Q93" s="64">
        <v>9.41</v>
      </c>
      <c r="R93" s="198"/>
      <c r="S93" s="198"/>
      <c r="T93" s="198"/>
      <c r="U93" s="198"/>
    </row>
    <row r="94" spans="1:26" s="12" customFormat="1" x14ac:dyDescent="0.25">
      <c r="A94" s="214" t="s">
        <v>2925</v>
      </c>
      <c r="B94" s="64">
        <v>48.85</v>
      </c>
      <c r="C94" s="64">
        <v>34</v>
      </c>
      <c r="D94" s="64">
        <v>56.86</v>
      </c>
      <c r="E94" s="64">
        <v>2.4300000000000002</v>
      </c>
      <c r="F94" s="64">
        <v>3.08</v>
      </c>
      <c r="G94" s="64">
        <v>87.82</v>
      </c>
      <c r="H94" s="64">
        <v>21.86</v>
      </c>
      <c r="I94" s="64">
        <v>9.69</v>
      </c>
      <c r="J94" s="64">
        <v>0.23</v>
      </c>
      <c r="K94" s="64">
        <v>345.07</v>
      </c>
      <c r="L94" s="64">
        <v>25.5</v>
      </c>
      <c r="M94" s="64">
        <v>62.96</v>
      </c>
      <c r="N94" s="64">
        <v>22.5</v>
      </c>
      <c r="O94" s="64">
        <v>0</v>
      </c>
      <c r="P94" s="64">
        <v>1.48</v>
      </c>
      <c r="Q94" s="64">
        <v>9.2899999999999991</v>
      </c>
      <c r="R94" s="198"/>
      <c r="S94" s="198"/>
      <c r="T94" s="198"/>
      <c r="U94" s="198"/>
    </row>
    <row r="95" spans="1:26" s="12" customFormat="1" x14ac:dyDescent="0.25">
      <c r="A95" s="214" t="s">
        <v>2926</v>
      </c>
      <c r="B95" s="64">
        <v>55.21</v>
      </c>
      <c r="C95" s="64">
        <v>34.619999999999997</v>
      </c>
      <c r="D95" s="64">
        <v>62.28</v>
      </c>
      <c r="E95" s="64">
        <v>2.54</v>
      </c>
      <c r="F95" s="64">
        <v>2.98</v>
      </c>
      <c r="G95" s="64">
        <v>87.82</v>
      </c>
      <c r="H95" s="64">
        <v>21.86</v>
      </c>
      <c r="I95" s="64">
        <v>10.16</v>
      </c>
      <c r="J95" s="64">
        <v>0.2</v>
      </c>
      <c r="K95" s="64">
        <v>297.16000000000003</v>
      </c>
      <c r="L95" s="64">
        <v>25.16</v>
      </c>
      <c r="M95" s="64">
        <v>62.55</v>
      </c>
      <c r="N95" s="64">
        <v>22.2</v>
      </c>
      <c r="O95" s="64">
        <v>0</v>
      </c>
      <c r="P95" s="64">
        <v>1.57</v>
      </c>
      <c r="Q95" s="64">
        <v>9.3699999999999992</v>
      </c>
      <c r="R95" s="198"/>
      <c r="S95" s="198"/>
      <c r="T95" s="198"/>
      <c r="U95" s="198"/>
    </row>
    <row r="96" spans="1:26" s="12" customFormat="1" x14ac:dyDescent="0.25">
      <c r="A96" s="214" t="s">
        <v>2927</v>
      </c>
      <c r="B96" s="64">
        <v>59.67</v>
      </c>
      <c r="C96" s="64">
        <v>34.96</v>
      </c>
      <c r="D96" s="64">
        <v>66.040000000000006</v>
      </c>
      <c r="E96" s="64">
        <v>2.56</v>
      </c>
      <c r="F96" s="64">
        <v>3.14</v>
      </c>
      <c r="G96" s="64">
        <v>87.82</v>
      </c>
      <c r="H96" s="64">
        <v>21.86</v>
      </c>
      <c r="I96" s="64">
        <v>10.35</v>
      </c>
      <c r="J96" s="64">
        <v>0.18</v>
      </c>
      <c r="K96" s="64">
        <v>311.8</v>
      </c>
      <c r="L96" s="64">
        <v>25.19</v>
      </c>
      <c r="M96" s="64">
        <v>63.04</v>
      </c>
      <c r="N96" s="64">
        <v>22.3</v>
      </c>
      <c r="O96" s="64">
        <v>0</v>
      </c>
      <c r="P96" s="64">
        <v>1.62</v>
      </c>
      <c r="Q96" s="64">
        <v>9.43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2928</v>
      </c>
      <c r="B97" s="64">
        <v>63.67</v>
      </c>
      <c r="C97" s="64">
        <v>35.200000000000003</v>
      </c>
      <c r="D97" s="64">
        <v>69.37</v>
      </c>
      <c r="E97" s="64">
        <v>2.4</v>
      </c>
      <c r="F97" s="64">
        <v>3.19</v>
      </c>
      <c r="G97" s="64">
        <v>93.6</v>
      </c>
      <c r="H97" s="64">
        <v>23.15</v>
      </c>
      <c r="I97" s="64">
        <v>10.44</v>
      </c>
      <c r="J97" s="64">
        <v>0.17</v>
      </c>
      <c r="K97" s="64">
        <v>301.37</v>
      </c>
      <c r="L97" s="64">
        <v>25.11</v>
      </c>
      <c r="M97" s="64">
        <v>62.43</v>
      </c>
      <c r="N97" s="64">
        <v>22.3</v>
      </c>
      <c r="O97" s="64">
        <v>0</v>
      </c>
      <c r="P97" s="64">
        <v>1.67</v>
      </c>
      <c r="Q97" s="64">
        <v>9.52</v>
      </c>
      <c r="R97" s="198"/>
      <c r="S97" s="198"/>
      <c r="T97" s="198"/>
      <c r="U97" s="198"/>
    </row>
    <row r="98" spans="1:33" s="12" customFormat="1" x14ac:dyDescent="0.25">
      <c r="A98" s="214" t="s">
        <v>2929</v>
      </c>
      <c r="B98" s="64">
        <v>67.040000000000006</v>
      </c>
      <c r="C98" s="64">
        <v>35.57</v>
      </c>
      <c r="D98" s="64">
        <v>72.260000000000005</v>
      </c>
      <c r="E98" s="64">
        <v>2.46</v>
      </c>
      <c r="F98" s="64">
        <v>3.14</v>
      </c>
      <c r="G98" s="64">
        <v>104.59</v>
      </c>
      <c r="H98" s="64">
        <v>25.6</v>
      </c>
      <c r="I98" s="64">
        <v>10.49</v>
      </c>
      <c r="J98" s="64">
        <v>0.12</v>
      </c>
      <c r="K98" s="64">
        <v>323.76</v>
      </c>
      <c r="L98" s="64">
        <v>25.34</v>
      </c>
      <c r="M98" s="64">
        <v>58.22</v>
      </c>
      <c r="N98" s="64">
        <v>22.2</v>
      </c>
      <c r="O98" s="64">
        <v>0</v>
      </c>
      <c r="P98" s="64">
        <v>1.68</v>
      </c>
      <c r="Q98" s="64">
        <v>9.1999999999999993</v>
      </c>
      <c r="R98" s="198"/>
      <c r="S98" s="198"/>
      <c r="T98" s="198"/>
      <c r="U98" s="198"/>
    </row>
    <row r="99" spans="1:33" s="12" customFormat="1" x14ac:dyDescent="0.25">
      <c r="A99" s="214" t="s">
        <v>2930</v>
      </c>
      <c r="B99" s="64">
        <v>67.47</v>
      </c>
      <c r="C99" s="64">
        <v>35.81</v>
      </c>
      <c r="D99" s="64">
        <v>72.739999999999995</v>
      </c>
      <c r="E99" s="64">
        <v>2.78</v>
      </c>
      <c r="F99" s="64">
        <v>3.21</v>
      </c>
      <c r="G99" s="64">
        <v>104.59</v>
      </c>
      <c r="H99" s="64">
        <v>25.6</v>
      </c>
      <c r="I99" s="64">
        <v>10.52</v>
      </c>
      <c r="J99" s="64">
        <v>0.2</v>
      </c>
      <c r="K99" s="64">
        <v>315.58999999999997</v>
      </c>
      <c r="L99" s="64">
        <v>25.51</v>
      </c>
      <c r="M99" s="64">
        <v>54.9</v>
      </c>
      <c r="N99" s="64">
        <v>22</v>
      </c>
      <c r="O99" s="64">
        <v>0</v>
      </c>
      <c r="P99" s="64">
        <v>1.65</v>
      </c>
      <c r="Q99" s="64">
        <v>9.5399999999999991</v>
      </c>
      <c r="R99" s="198"/>
      <c r="S99" s="198"/>
      <c r="T99" s="198"/>
      <c r="U99" s="198"/>
    </row>
    <row r="100" spans="1:33" s="12" customFormat="1" x14ac:dyDescent="0.25">
      <c r="A100" s="214" t="s">
        <v>2931</v>
      </c>
      <c r="B100" s="64">
        <v>66.27</v>
      </c>
      <c r="C100" s="64">
        <v>35.39</v>
      </c>
      <c r="D100" s="64">
        <v>71.55</v>
      </c>
      <c r="E100" s="64">
        <v>2.52</v>
      </c>
      <c r="F100" s="64">
        <v>3.34</v>
      </c>
      <c r="G100" s="64">
        <v>104.59</v>
      </c>
      <c r="H100" s="64">
        <v>25.6</v>
      </c>
      <c r="I100" s="64">
        <v>10.48</v>
      </c>
      <c r="J100" s="64">
        <v>0.17</v>
      </c>
      <c r="K100" s="64">
        <v>324.45</v>
      </c>
      <c r="L100" s="64">
        <v>24.96</v>
      </c>
      <c r="M100" s="64">
        <v>60.51</v>
      </c>
      <c r="N100" s="64">
        <v>22.4</v>
      </c>
      <c r="O100" s="64">
        <v>0</v>
      </c>
      <c r="P100" s="64">
        <v>1.63</v>
      </c>
      <c r="Q100" s="64">
        <v>9.42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2932</v>
      </c>
      <c r="B101" s="64">
        <v>65.819999999999993</v>
      </c>
      <c r="C101" s="64">
        <v>35.19</v>
      </c>
      <c r="D101" s="64">
        <v>71.09</v>
      </c>
      <c r="E101" s="64">
        <v>2.5299999999999998</v>
      </c>
      <c r="F101" s="64">
        <v>3.53</v>
      </c>
      <c r="G101" s="64">
        <v>101.56</v>
      </c>
      <c r="H101" s="64">
        <v>25.1</v>
      </c>
      <c r="I101" s="64">
        <v>10.41</v>
      </c>
      <c r="J101" s="64">
        <v>0.24</v>
      </c>
      <c r="K101" s="64">
        <v>344.63</v>
      </c>
      <c r="L101" s="64">
        <v>24.6</v>
      </c>
      <c r="M101" s="64">
        <v>62.4</v>
      </c>
      <c r="N101" s="64">
        <v>22.4</v>
      </c>
      <c r="O101" s="64">
        <v>0</v>
      </c>
      <c r="P101" s="64">
        <v>1.61</v>
      </c>
      <c r="Q101" s="64">
        <v>9.42</v>
      </c>
      <c r="R101" s="198"/>
      <c r="S101" s="198"/>
      <c r="T101" s="198"/>
      <c r="U101" s="198"/>
    </row>
    <row r="102" spans="1:33" s="12" customFormat="1" x14ac:dyDescent="0.25">
      <c r="A102" s="214" t="s">
        <v>2933</v>
      </c>
      <c r="B102" s="64">
        <v>65.58</v>
      </c>
      <c r="C102" s="64">
        <v>34.979999999999997</v>
      </c>
      <c r="D102" s="64">
        <v>70.790000000000006</v>
      </c>
      <c r="E102" s="64">
        <v>2.56</v>
      </c>
      <c r="F102" s="64">
        <v>3.72</v>
      </c>
      <c r="G102" s="64">
        <v>95.81</v>
      </c>
      <c r="H102" s="64">
        <v>24.14</v>
      </c>
      <c r="I102" s="64">
        <v>10.36</v>
      </c>
      <c r="J102" s="64">
        <v>0.16</v>
      </c>
      <c r="K102" s="64">
        <v>285.48</v>
      </c>
      <c r="L102" s="64">
        <v>24.34</v>
      </c>
      <c r="M102" s="64">
        <v>61.79</v>
      </c>
      <c r="N102" s="64">
        <v>22.3</v>
      </c>
      <c r="O102" s="64">
        <v>0</v>
      </c>
      <c r="P102" s="64">
        <v>1.58</v>
      </c>
      <c r="Q102" s="64">
        <v>9.5</v>
      </c>
      <c r="R102" s="198"/>
      <c r="S102" s="198"/>
      <c r="T102" s="198"/>
      <c r="U102" s="198"/>
    </row>
    <row r="103" spans="1:33" s="12" customFormat="1" x14ac:dyDescent="0.25">
      <c r="A103" s="214" t="s">
        <v>2934</v>
      </c>
      <c r="B103" s="64">
        <v>64.06</v>
      </c>
      <c r="C103" s="64">
        <v>34.68</v>
      </c>
      <c r="D103" s="64">
        <v>69.41</v>
      </c>
      <c r="E103" s="64">
        <v>2.7</v>
      </c>
      <c r="F103" s="64">
        <v>3.74</v>
      </c>
      <c r="G103" s="64">
        <v>95.81</v>
      </c>
      <c r="H103" s="64">
        <v>24.14</v>
      </c>
      <c r="I103" s="64">
        <v>10.26</v>
      </c>
      <c r="J103" s="64">
        <v>0.28999999999999998</v>
      </c>
      <c r="K103" s="64">
        <v>325.85000000000002</v>
      </c>
      <c r="L103" s="64">
        <v>24.15</v>
      </c>
      <c r="M103" s="64">
        <v>65</v>
      </c>
      <c r="N103" s="64">
        <v>22.3</v>
      </c>
      <c r="O103" s="64">
        <v>0</v>
      </c>
      <c r="P103" s="64">
        <v>1.54</v>
      </c>
      <c r="Q103" s="64">
        <v>9.52</v>
      </c>
      <c r="R103" s="198"/>
      <c r="S103" s="198"/>
      <c r="T103" s="198"/>
      <c r="U103" s="198"/>
    </row>
    <row r="104" spans="1:33" s="12" customFormat="1" x14ac:dyDescent="0.25">
      <c r="A104" s="214" t="s">
        <v>2935</v>
      </c>
      <c r="B104" s="64">
        <v>62.54</v>
      </c>
      <c r="C104" s="64">
        <v>33.81</v>
      </c>
      <c r="D104" s="64">
        <v>67.73</v>
      </c>
      <c r="E104" s="64">
        <v>1.23</v>
      </c>
      <c r="F104" s="64">
        <v>3.71</v>
      </c>
      <c r="G104" s="64">
        <v>95.81</v>
      </c>
      <c r="H104" s="64">
        <v>24.14</v>
      </c>
      <c r="I104" s="64">
        <v>10.19</v>
      </c>
      <c r="J104" s="64">
        <v>0.08</v>
      </c>
      <c r="K104" s="64">
        <v>311.39999999999998</v>
      </c>
      <c r="L104" s="64">
        <v>24.13</v>
      </c>
      <c r="M104" s="64">
        <v>60.56</v>
      </c>
      <c r="N104" s="64">
        <v>22.3</v>
      </c>
      <c r="O104" s="64">
        <v>0</v>
      </c>
      <c r="P104" s="64">
        <v>1.49</v>
      </c>
      <c r="Q104" s="64">
        <v>9.4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2.06</v>
      </c>
      <c r="C106" s="67">
        <f>MIN(C9:C104)</f>
        <v>29.34</v>
      </c>
      <c r="D106" s="67">
        <f t="shared" ref="D106:Q106" si="0">MIN(D9:D104)</f>
        <v>18.66</v>
      </c>
      <c r="E106" s="67">
        <f t="shared" si="0"/>
        <v>0.23</v>
      </c>
      <c r="F106" s="67">
        <f t="shared" si="0"/>
        <v>2.74</v>
      </c>
      <c r="G106" s="67">
        <f t="shared" si="0"/>
        <v>30.01</v>
      </c>
      <c r="H106" s="67">
        <f t="shared" si="0"/>
        <v>9.07</v>
      </c>
      <c r="I106" s="67">
        <f t="shared" si="0"/>
        <v>5.0999999999999996</v>
      </c>
      <c r="J106" s="67">
        <f t="shared" si="0"/>
        <v>0.01</v>
      </c>
      <c r="K106" s="67">
        <f t="shared" si="0"/>
        <v>1.5</v>
      </c>
      <c r="L106" s="67">
        <f t="shared" si="0"/>
        <v>24.13</v>
      </c>
      <c r="M106" s="67">
        <f t="shared" si="0"/>
        <v>33.53</v>
      </c>
      <c r="N106" s="67">
        <f t="shared" si="0"/>
        <v>21.3</v>
      </c>
      <c r="O106" s="67">
        <f t="shared" si="0"/>
        <v>0</v>
      </c>
      <c r="P106" s="67">
        <f t="shared" si="0"/>
        <v>0.49</v>
      </c>
      <c r="Q106" s="67">
        <f t="shared" si="0"/>
        <v>9.11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69.760000000000005</v>
      </c>
      <c r="C107" s="66">
        <f t="shared" ref="C107:Q107" si="1">MAX(C9:C104)</f>
        <v>45.98</v>
      </c>
      <c r="D107" s="66">
        <f t="shared" si="1"/>
        <v>77.78</v>
      </c>
      <c r="E107" s="66">
        <f t="shared" si="1"/>
        <v>3.47</v>
      </c>
      <c r="F107" s="66">
        <f t="shared" si="1"/>
        <v>6.83</v>
      </c>
      <c r="G107" s="66">
        <f t="shared" si="1"/>
        <v>125.3</v>
      </c>
      <c r="H107" s="66">
        <f t="shared" si="1"/>
        <v>35.22</v>
      </c>
      <c r="I107" s="66">
        <f t="shared" si="1"/>
        <v>11.46</v>
      </c>
      <c r="J107" s="66">
        <f t="shared" si="1"/>
        <v>4.49</v>
      </c>
      <c r="K107" s="66">
        <f t="shared" si="1"/>
        <v>359.84</v>
      </c>
      <c r="L107" s="66">
        <f t="shared" si="1"/>
        <v>33.020000000000003</v>
      </c>
      <c r="M107" s="66">
        <f t="shared" si="1"/>
        <v>65.38</v>
      </c>
      <c r="N107" s="66">
        <f t="shared" si="1"/>
        <v>702.5</v>
      </c>
      <c r="O107" s="66">
        <f t="shared" si="1"/>
        <v>0.2</v>
      </c>
      <c r="P107" s="66">
        <f t="shared" si="1"/>
        <v>2.0499999999999998</v>
      </c>
      <c r="Q107" s="66">
        <f t="shared" si="1"/>
        <v>9.5500000000000007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28.918749999999999</v>
      </c>
      <c r="C108" s="67">
        <f t="shared" ref="C108:Q108" si="2">AVERAGE(C9:C104)</f>
        <v>35.549166666666672</v>
      </c>
      <c r="D108" s="67">
        <f t="shared" si="2"/>
        <v>41.683645833333337</v>
      </c>
      <c r="E108" s="67">
        <f t="shared" si="2"/>
        <v>1.7482291666666665</v>
      </c>
      <c r="F108" s="67">
        <f t="shared" si="2"/>
        <v>3.8051041666666667</v>
      </c>
      <c r="G108" s="67">
        <f t="shared" si="2"/>
        <v>66.422187500000021</v>
      </c>
      <c r="H108" s="67">
        <f t="shared" si="2"/>
        <v>20.873958333333324</v>
      </c>
      <c r="I108" s="67">
        <f t="shared" si="2"/>
        <v>8.4904166666666701</v>
      </c>
      <c r="J108" s="67">
        <f t="shared" si="2"/>
        <v>0.63312499999999983</v>
      </c>
      <c r="K108" s="67">
        <f t="shared" si="2"/>
        <v>242.20291666666662</v>
      </c>
      <c r="L108" s="67">
        <f t="shared" si="2"/>
        <v>27.657187500000006</v>
      </c>
      <c r="M108" s="67">
        <f t="shared" si="2"/>
        <v>50.90260416666667</v>
      </c>
      <c r="N108" s="67">
        <f t="shared" si="2"/>
        <v>158.74895833333321</v>
      </c>
      <c r="O108" s="67">
        <f t="shared" si="2"/>
        <v>2.0833333333333333E-3</v>
      </c>
      <c r="P108" s="67">
        <f t="shared" si="2"/>
        <v>1.0135416666666666</v>
      </c>
      <c r="Q108" s="67">
        <f t="shared" si="2"/>
        <v>9.2595833333333299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22.647738646263857</v>
      </c>
      <c r="C109" s="67">
        <f t="shared" ref="C109:Q109" si="3">STDEV(C9:C104)</f>
        <v>4.0323564135146768</v>
      </c>
      <c r="D109" s="67">
        <f t="shared" si="3"/>
        <v>17.943624061563437</v>
      </c>
      <c r="E109" s="67">
        <f t="shared" si="3"/>
        <v>0.6477328799527865</v>
      </c>
      <c r="F109" s="67">
        <f t="shared" si="3"/>
        <v>0.76801315064353071</v>
      </c>
      <c r="G109" s="67">
        <f t="shared" si="3"/>
        <v>23.045575266740329</v>
      </c>
      <c r="H109" s="67">
        <f t="shared" si="3"/>
        <v>7.1012236868639569</v>
      </c>
      <c r="I109" s="67">
        <f t="shared" si="3"/>
        <v>2.0820616890939907</v>
      </c>
      <c r="J109" s="67">
        <f t="shared" si="3"/>
        <v>0.9141867971043991</v>
      </c>
      <c r="K109" s="67">
        <f t="shared" si="3"/>
        <v>123.80309361764049</v>
      </c>
      <c r="L109" s="67">
        <f t="shared" si="3"/>
        <v>2.5663333266395956</v>
      </c>
      <c r="M109" s="67">
        <f t="shared" si="3"/>
        <v>9.6385071179472313</v>
      </c>
      <c r="N109" s="67">
        <f t="shared" si="3"/>
        <v>174.57841911289083</v>
      </c>
      <c r="O109" s="67">
        <f t="shared" si="3"/>
        <v>2.0412414523193152E-2</v>
      </c>
      <c r="P109" s="67">
        <f t="shared" si="3"/>
        <v>0.43260040919431297</v>
      </c>
      <c r="Q109" s="67">
        <f t="shared" si="3"/>
        <v>0.12181017731801225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COUNT(G9:G104)+6</f>
        <v>102</v>
      </c>
      <c r="H110" s="66">
        <f>COUNT(H9:H104)+6</f>
        <v>102</v>
      </c>
      <c r="I110" s="66">
        <f>COUNT(I9:I104)</f>
        <v>96</v>
      </c>
      <c r="J110" s="66">
        <f>COUNT(J9:J104)+2</f>
        <v>98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2936</v>
      </c>
      <c r="B9" s="64">
        <v>60.95</v>
      </c>
      <c r="C9" s="64">
        <v>33.33</v>
      </c>
      <c r="D9" s="64">
        <v>66.209999999999994</v>
      </c>
      <c r="E9" s="64">
        <v>1.31</v>
      </c>
      <c r="F9" s="64">
        <v>3.61</v>
      </c>
      <c r="G9" s="64">
        <v>91.9</v>
      </c>
      <c r="H9" s="64">
        <v>23.79</v>
      </c>
      <c r="I9" s="64">
        <v>9.7100000000000009</v>
      </c>
      <c r="J9" s="64">
        <v>0.27</v>
      </c>
      <c r="K9" s="64">
        <v>344.67</v>
      </c>
      <c r="L9" s="64">
        <v>24.07</v>
      </c>
      <c r="M9" s="64">
        <v>64.34</v>
      </c>
      <c r="N9" s="64">
        <v>22.3</v>
      </c>
      <c r="O9" s="64">
        <v>0</v>
      </c>
      <c r="P9" s="64">
        <v>1.47</v>
      </c>
      <c r="Q9" s="64">
        <v>9.3699999999999992</v>
      </c>
      <c r="R9" s="198"/>
      <c r="S9" s="198"/>
      <c r="T9" s="198"/>
      <c r="U9" s="198"/>
    </row>
    <row r="10" spans="1:21" s="12" customFormat="1" x14ac:dyDescent="0.25">
      <c r="A10" s="214" t="s">
        <v>2937</v>
      </c>
      <c r="B10" s="64">
        <v>59.56</v>
      </c>
      <c r="C10" s="64">
        <v>32.799999999999997</v>
      </c>
      <c r="D10" s="64">
        <v>64.819999999999993</v>
      </c>
      <c r="E10" s="64">
        <v>1.37</v>
      </c>
      <c r="F10" s="64">
        <v>3.4</v>
      </c>
      <c r="G10" s="64">
        <v>84.44</v>
      </c>
      <c r="H10" s="64">
        <v>23.13</v>
      </c>
      <c r="I10" s="64">
        <v>9.08</v>
      </c>
      <c r="J10" s="64">
        <v>0.16</v>
      </c>
      <c r="K10" s="64">
        <v>107.5</v>
      </c>
      <c r="L10" s="64">
        <v>23.8</v>
      </c>
      <c r="M10" s="64">
        <v>62.95</v>
      </c>
      <c r="N10" s="64">
        <v>22.3</v>
      </c>
      <c r="O10" s="64">
        <v>0</v>
      </c>
      <c r="P10" s="64">
        <v>1.44</v>
      </c>
      <c r="Q10" s="64">
        <v>9.43</v>
      </c>
      <c r="R10" s="198"/>
      <c r="S10" s="198"/>
      <c r="T10" s="198"/>
      <c r="U10" s="198"/>
    </row>
    <row r="11" spans="1:21" s="12" customFormat="1" x14ac:dyDescent="0.25">
      <c r="A11" s="214" t="s">
        <v>2938</v>
      </c>
      <c r="B11" s="64">
        <v>57.9</v>
      </c>
      <c r="C11" s="64">
        <v>32.200000000000003</v>
      </c>
      <c r="D11" s="64">
        <v>63.17</v>
      </c>
      <c r="E11" s="64">
        <v>1.66</v>
      </c>
      <c r="F11" s="64">
        <v>3.51</v>
      </c>
      <c r="G11" s="64">
        <v>84.44</v>
      </c>
      <c r="H11" s="64">
        <v>23.13</v>
      </c>
      <c r="I11" s="64">
        <v>8.83</v>
      </c>
      <c r="J11" s="64">
        <v>0.17</v>
      </c>
      <c r="K11" s="64">
        <v>209.97</v>
      </c>
      <c r="L11" s="64">
        <v>23.82</v>
      </c>
      <c r="M11" s="64">
        <v>63.11</v>
      </c>
      <c r="N11" s="64">
        <v>22.1</v>
      </c>
      <c r="O11" s="64">
        <v>0</v>
      </c>
      <c r="P11" s="64">
        <v>1.39</v>
      </c>
      <c r="Q11" s="64">
        <v>9.36</v>
      </c>
      <c r="R11" s="198"/>
      <c r="S11" s="198"/>
      <c r="T11" s="198"/>
      <c r="U11" s="198"/>
    </row>
    <row r="12" spans="1:21" s="12" customFormat="1" x14ac:dyDescent="0.25">
      <c r="A12" s="214" t="s">
        <v>2939</v>
      </c>
      <c r="B12" s="64">
        <v>56.41</v>
      </c>
      <c r="C12" s="64">
        <v>31.35</v>
      </c>
      <c r="D12" s="64">
        <v>61.54</v>
      </c>
      <c r="E12" s="64">
        <v>1.87</v>
      </c>
      <c r="F12" s="64">
        <v>3.61</v>
      </c>
      <c r="G12" s="64">
        <v>84.44</v>
      </c>
      <c r="H12" s="64">
        <v>23.13</v>
      </c>
      <c r="I12" s="64">
        <v>8.8800000000000008</v>
      </c>
      <c r="J12" s="64">
        <v>0.18</v>
      </c>
      <c r="K12" s="64">
        <v>312.18</v>
      </c>
      <c r="L12" s="64">
        <v>23.72</v>
      </c>
      <c r="M12" s="64">
        <v>67.010000000000005</v>
      </c>
      <c r="N12" s="64">
        <v>22.3</v>
      </c>
      <c r="O12" s="64">
        <v>0</v>
      </c>
      <c r="P12" s="64">
        <v>1.37</v>
      </c>
      <c r="Q12" s="64">
        <v>9.43</v>
      </c>
      <c r="R12" s="198"/>
      <c r="S12" s="198"/>
      <c r="T12" s="198"/>
      <c r="U12" s="198"/>
    </row>
    <row r="13" spans="1:21" s="12" customFormat="1" x14ac:dyDescent="0.25">
      <c r="A13" s="214" t="s">
        <v>2940</v>
      </c>
      <c r="B13" s="64">
        <v>55.33</v>
      </c>
      <c r="C13" s="64">
        <v>30.66</v>
      </c>
      <c r="D13" s="64">
        <v>60.31</v>
      </c>
      <c r="E13" s="64">
        <v>1.72</v>
      </c>
      <c r="F13" s="64">
        <v>3.07</v>
      </c>
      <c r="G13" s="64">
        <v>79.36</v>
      </c>
      <c r="H13" s="64">
        <v>23.22</v>
      </c>
      <c r="I13" s="64">
        <v>8.89</v>
      </c>
      <c r="J13" s="64">
        <v>0.18</v>
      </c>
      <c r="K13" s="64">
        <v>5.77</v>
      </c>
      <c r="L13" s="64">
        <v>23.21</v>
      </c>
      <c r="M13" s="64">
        <v>70.459999999999994</v>
      </c>
      <c r="N13" s="64">
        <v>22.5</v>
      </c>
      <c r="O13" s="64">
        <v>0</v>
      </c>
      <c r="P13" s="64">
        <v>1.2</v>
      </c>
      <c r="Q13" s="64">
        <v>9.52</v>
      </c>
      <c r="R13" s="198"/>
      <c r="S13" s="198"/>
      <c r="T13" s="198"/>
      <c r="U13" s="198"/>
    </row>
    <row r="14" spans="1:21" s="12" customFormat="1" x14ac:dyDescent="0.25">
      <c r="A14" s="214" t="s">
        <v>2941</v>
      </c>
      <c r="B14" s="64">
        <v>53.93</v>
      </c>
      <c r="C14" s="64">
        <v>30.51</v>
      </c>
      <c r="D14" s="64">
        <v>59.11</v>
      </c>
      <c r="E14" s="64">
        <v>1.55</v>
      </c>
      <c r="F14" s="64">
        <v>3.26</v>
      </c>
      <c r="G14" s="64">
        <v>69.69</v>
      </c>
      <c r="H14" s="64">
        <v>23.39</v>
      </c>
      <c r="I14" s="64">
        <v>9.2200000000000006</v>
      </c>
      <c r="J14" s="64">
        <v>0.13</v>
      </c>
      <c r="K14" s="64">
        <v>304.27</v>
      </c>
      <c r="L14" s="64">
        <v>23.08</v>
      </c>
      <c r="M14" s="64">
        <v>72.47</v>
      </c>
      <c r="N14" s="64">
        <v>22.3</v>
      </c>
      <c r="O14" s="64">
        <v>0</v>
      </c>
      <c r="P14" s="64">
        <v>1.24</v>
      </c>
      <c r="Q14" s="64">
        <v>9.43</v>
      </c>
      <c r="R14" s="198"/>
      <c r="S14" s="198"/>
      <c r="T14" s="198"/>
      <c r="U14" s="198"/>
    </row>
    <row r="15" spans="1:21" s="12" customFormat="1" x14ac:dyDescent="0.25">
      <c r="A15" s="214" t="s">
        <v>2942</v>
      </c>
      <c r="B15" s="64">
        <v>52.67</v>
      </c>
      <c r="C15" s="64">
        <v>32.39</v>
      </c>
      <c r="D15" s="64">
        <v>59.08</v>
      </c>
      <c r="E15" s="64">
        <v>1.49</v>
      </c>
      <c r="F15" s="64">
        <v>3.38</v>
      </c>
      <c r="G15" s="64">
        <v>69.69</v>
      </c>
      <c r="H15" s="64">
        <v>23.39</v>
      </c>
      <c r="I15" s="64">
        <v>9.74</v>
      </c>
      <c r="J15" s="64">
        <v>0</v>
      </c>
      <c r="K15" s="64">
        <v>30.03</v>
      </c>
      <c r="L15" s="64">
        <v>22.96</v>
      </c>
      <c r="M15" s="64">
        <v>72.03</v>
      </c>
      <c r="N15" s="64">
        <v>22.1</v>
      </c>
      <c r="O15" s="64">
        <v>0</v>
      </c>
      <c r="P15" s="64">
        <v>1.23</v>
      </c>
      <c r="Q15" s="64">
        <v>9.2799999999999994</v>
      </c>
      <c r="R15" s="198"/>
      <c r="S15" s="198"/>
      <c r="T15" s="198"/>
      <c r="U15" s="198"/>
    </row>
    <row r="16" spans="1:21" s="12" customFormat="1" x14ac:dyDescent="0.25">
      <c r="A16" s="214" t="s">
        <v>2943</v>
      </c>
      <c r="B16" s="64">
        <v>50.52</v>
      </c>
      <c r="C16" s="64">
        <v>32.39</v>
      </c>
      <c r="D16" s="64">
        <v>57.35</v>
      </c>
      <c r="E16" s="64">
        <v>1.42</v>
      </c>
      <c r="F16" s="64">
        <v>3.81</v>
      </c>
      <c r="G16" s="64">
        <v>69.69</v>
      </c>
      <c r="H16" s="64">
        <v>23.39</v>
      </c>
      <c r="I16" s="64">
        <v>10.029999999999999</v>
      </c>
      <c r="J16" s="64">
        <v>0.01</v>
      </c>
      <c r="K16" s="64">
        <v>208.55</v>
      </c>
      <c r="L16" s="64">
        <v>23.07</v>
      </c>
      <c r="M16" s="64">
        <v>71.69</v>
      </c>
      <c r="N16" s="64">
        <v>22.3</v>
      </c>
      <c r="O16" s="64">
        <v>0</v>
      </c>
      <c r="P16" s="64">
        <v>1.19</v>
      </c>
      <c r="Q16" s="64">
        <v>9.43</v>
      </c>
      <c r="R16" s="198"/>
      <c r="S16" s="198"/>
      <c r="T16" s="198"/>
      <c r="U16" s="198"/>
    </row>
    <row r="17" spans="1:21" s="12" customFormat="1" x14ac:dyDescent="0.25">
      <c r="A17" s="214" t="s">
        <v>2944</v>
      </c>
      <c r="B17" s="64">
        <v>48.27</v>
      </c>
      <c r="C17" s="64">
        <v>31.99</v>
      </c>
      <c r="D17" s="64">
        <v>55.34</v>
      </c>
      <c r="E17" s="64">
        <v>1.47</v>
      </c>
      <c r="F17" s="64">
        <v>3.15</v>
      </c>
      <c r="G17" s="64">
        <v>65.36</v>
      </c>
      <c r="H17" s="64">
        <v>22.28</v>
      </c>
      <c r="I17" s="64">
        <v>10.83</v>
      </c>
      <c r="J17" s="64">
        <v>0.18</v>
      </c>
      <c r="K17" s="64">
        <v>342.07</v>
      </c>
      <c r="L17" s="64">
        <v>22.75</v>
      </c>
      <c r="M17" s="64">
        <v>76.459999999999994</v>
      </c>
      <c r="N17" s="64">
        <v>22.3</v>
      </c>
      <c r="O17" s="64">
        <v>0</v>
      </c>
      <c r="P17" s="64">
        <v>1.1499999999999999</v>
      </c>
      <c r="Q17" s="64">
        <v>9.42</v>
      </c>
      <c r="R17" s="198"/>
      <c r="S17" s="198"/>
      <c r="T17" s="198"/>
      <c r="U17" s="198"/>
    </row>
    <row r="18" spans="1:21" s="12" customFormat="1" x14ac:dyDescent="0.25">
      <c r="A18" s="214" t="s">
        <v>2945</v>
      </c>
      <c r="B18" s="64">
        <v>46.36</v>
      </c>
      <c r="C18" s="64">
        <v>30.57</v>
      </c>
      <c r="D18" s="64">
        <v>53.07</v>
      </c>
      <c r="E18" s="64">
        <v>1.8</v>
      </c>
      <c r="F18" s="64">
        <v>3.16</v>
      </c>
      <c r="G18" s="64">
        <v>57.12</v>
      </c>
      <c r="H18" s="64">
        <v>20.16</v>
      </c>
      <c r="I18" s="64">
        <v>10.71</v>
      </c>
      <c r="J18" s="64">
        <v>0.17</v>
      </c>
      <c r="K18" s="64">
        <v>51.87</v>
      </c>
      <c r="L18" s="64">
        <v>23.19</v>
      </c>
      <c r="M18" s="64">
        <v>66.069999999999993</v>
      </c>
      <c r="N18" s="64">
        <v>22</v>
      </c>
      <c r="O18" s="64">
        <v>0</v>
      </c>
      <c r="P18" s="64">
        <v>1.1100000000000001</v>
      </c>
      <c r="Q18" s="64">
        <v>9.3800000000000008</v>
      </c>
      <c r="R18" s="198"/>
      <c r="S18" s="198"/>
      <c r="T18" s="198"/>
      <c r="U18" s="198"/>
    </row>
    <row r="19" spans="1:21" s="12" customFormat="1" x14ac:dyDescent="0.25">
      <c r="A19" s="214" t="s">
        <v>2946</v>
      </c>
      <c r="B19" s="64">
        <v>44.38</v>
      </c>
      <c r="C19" s="64">
        <v>29.69</v>
      </c>
      <c r="D19" s="64">
        <v>51.02</v>
      </c>
      <c r="E19" s="64">
        <v>1.5</v>
      </c>
      <c r="F19" s="64">
        <v>3.23</v>
      </c>
      <c r="G19" s="64">
        <v>57.12</v>
      </c>
      <c r="H19" s="64">
        <v>20.16</v>
      </c>
      <c r="I19" s="64">
        <v>10.55</v>
      </c>
      <c r="J19" s="64">
        <v>0.11</v>
      </c>
      <c r="K19" s="64">
        <v>352.75</v>
      </c>
      <c r="L19" s="64">
        <v>23.35</v>
      </c>
      <c r="M19" s="64">
        <v>67.56</v>
      </c>
      <c r="N19" s="64">
        <v>22.2</v>
      </c>
      <c r="O19" s="64">
        <v>0</v>
      </c>
      <c r="P19" s="64">
        <v>1.07</v>
      </c>
      <c r="Q19" s="64">
        <v>9.44</v>
      </c>
      <c r="R19" s="198"/>
      <c r="S19" s="198"/>
      <c r="T19" s="198"/>
      <c r="U19" s="198"/>
    </row>
    <row r="20" spans="1:21" s="12" customFormat="1" x14ac:dyDescent="0.25">
      <c r="A20" s="214" t="s">
        <v>2947</v>
      </c>
      <c r="B20" s="64">
        <v>42.69</v>
      </c>
      <c r="C20" s="64">
        <v>29.35</v>
      </c>
      <c r="D20" s="64">
        <v>49.49</v>
      </c>
      <c r="E20" s="64">
        <v>1.47</v>
      </c>
      <c r="F20" s="64">
        <v>3.27</v>
      </c>
      <c r="G20" s="64">
        <v>57.12</v>
      </c>
      <c r="H20" s="64">
        <v>20.16</v>
      </c>
      <c r="I20" s="64">
        <v>10.35</v>
      </c>
      <c r="J20" s="64">
        <v>0.14000000000000001</v>
      </c>
      <c r="K20" s="64">
        <v>310.27999999999997</v>
      </c>
      <c r="L20" s="64">
        <v>23.04</v>
      </c>
      <c r="M20" s="64">
        <v>73.27</v>
      </c>
      <c r="N20" s="64">
        <v>22.2</v>
      </c>
      <c r="O20" s="64">
        <v>0</v>
      </c>
      <c r="P20" s="64">
        <v>1.03</v>
      </c>
      <c r="Q20" s="64">
        <v>9.3699999999999992</v>
      </c>
      <c r="R20" s="198"/>
      <c r="S20" s="198"/>
      <c r="T20" s="198"/>
      <c r="U20" s="198"/>
    </row>
    <row r="21" spans="1:21" s="12" customFormat="1" x14ac:dyDescent="0.25">
      <c r="A21" s="214" t="s">
        <v>2948</v>
      </c>
      <c r="B21" s="64">
        <v>41.1</v>
      </c>
      <c r="C21" s="64">
        <v>28.98</v>
      </c>
      <c r="D21" s="64">
        <v>48.02</v>
      </c>
      <c r="E21" s="64">
        <v>1.42</v>
      </c>
      <c r="F21" s="64">
        <v>3.35</v>
      </c>
      <c r="G21" s="64">
        <v>54.99</v>
      </c>
      <c r="H21" s="64">
        <v>18.82</v>
      </c>
      <c r="I21" s="64">
        <v>10</v>
      </c>
      <c r="J21" s="64">
        <v>0.12</v>
      </c>
      <c r="K21" s="64">
        <v>249.25</v>
      </c>
      <c r="L21" s="64">
        <v>22.97</v>
      </c>
      <c r="M21" s="64">
        <v>75.84</v>
      </c>
      <c r="N21" s="64">
        <v>22.2</v>
      </c>
      <c r="O21" s="64">
        <v>0</v>
      </c>
      <c r="P21" s="64">
        <v>0.99</v>
      </c>
      <c r="Q21" s="64">
        <v>9.25</v>
      </c>
      <c r="R21" s="198"/>
      <c r="S21" s="198"/>
      <c r="T21" s="198"/>
      <c r="U21" s="198"/>
    </row>
    <row r="22" spans="1:21" s="12" customFormat="1" x14ac:dyDescent="0.25">
      <c r="A22" s="214" t="s">
        <v>2949</v>
      </c>
      <c r="B22" s="64">
        <v>39.549999999999997</v>
      </c>
      <c r="C22" s="64">
        <v>28.71</v>
      </c>
      <c r="D22" s="64">
        <v>46.63</v>
      </c>
      <c r="E22" s="64">
        <v>1.42</v>
      </c>
      <c r="F22" s="64">
        <v>3.25</v>
      </c>
      <c r="G22" s="64">
        <v>50.95</v>
      </c>
      <c r="H22" s="64">
        <v>16.29</v>
      </c>
      <c r="I22" s="64">
        <v>9.8699999999999992</v>
      </c>
      <c r="J22" s="64">
        <v>0.14000000000000001</v>
      </c>
      <c r="K22" s="64">
        <v>328.84</v>
      </c>
      <c r="L22" s="64">
        <v>22.82</v>
      </c>
      <c r="M22" s="64">
        <v>77.56</v>
      </c>
      <c r="N22" s="64">
        <v>22.4</v>
      </c>
      <c r="O22" s="64">
        <v>0</v>
      </c>
      <c r="P22" s="64">
        <v>0.97</v>
      </c>
      <c r="Q22" s="64">
        <v>9.39</v>
      </c>
      <c r="R22" s="198"/>
      <c r="S22" s="198"/>
      <c r="T22" s="198"/>
      <c r="U22" s="198"/>
    </row>
    <row r="23" spans="1:21" s="12" customFormat="1" x14ac:dyDescent="0.25">
      <c r="A23" s="214" t="s">
        <v>2950</v>
      </c>
      <c r="B23" s="64">
        <v>37.94</v>
      </c>
      <c r="C23" s="64">
        <v>28.09</v>
      </c>
      <c r="D23" s="64">
        <v>45.02</v>
      </c>
      <c r="E23" s="64">
        <v>1.3</v>
      </c>
      <c r="F23" s="64">
        <v>3.37</v>
      </c>
      <c r="G23" s="64">
        <v>50.95</v>
      </c>
      <c r="H23" s="64">
        <v>16.29</v>
      </c>
      <c r="I23" s="64">
        <v>9.7799999999999994</v>
      </c>
      <c r="J23" s="64">
        <v>0.14000000000000001</v>
      </c>
      <c r="K23" s="64">
        <v>57.16</v>
      </c>
      <c r="L23" s="64">
        <v>22.97</v>
      </c>
      <c r="M23" s="64">
        <v>70.819999999999993</v>
      </c>
      <c r="N23" s="64">
        <v>22</v>
      </c>
      <c r="O23" s="64">
        <v>0</v>
      </c>
      <c r="P23" s="64">
        <v>0.95</v>
      </c>
      <c r="Q23" s="64">
        <v>9.4</v>
      </c>
      <c r="R23" s="198"/>
      <c r="S23" s="198"/>
      <c r="T23" s="198"/>
      <c r="U23" s="198"/>
    </row>
    <row r="24" spans="1:21" s="12" customFormat="1" x14ac:dyDescent="0.25">
      <c r="A24" s="214" t="s">
        <v>2951</v>
      </c>
      <c r="B24" s="64">
        <v>36.520000000000003</v>
      </c>
      <c r="C24" s="64">
        <v>27.88</v>
      </c>
      <c r="D24" s="64">
        <v>43.77</v>
      </c>
      <c r="E24" s="64">
        <v>2.15</v>
      </c>
      <c r="F24" s="64">
        <v>3.25</v>
      </c>
      <c r="G24" s="64">
        <v>50.95</v>
      </c>
      <c r="H24" s="64">
        <v>16.29</v>
      </c>
      <c r="I24" s="64">
        <v>9.67</v>
      </c>
      <c r="J24" s="64">
        <v>0.13</v>
      </c>
      <c r="K24" s="64">
        <v>234.73</v>
      </c>
      <c r="L24" s="64">
        <v>23.21</v>
      </c>
      <c r="M24" s="64">
        <v>69.400000000000006</v>
      </c>
      <c r="N24" s="64">
        <v>21.9</v>
      </c>
      <c r="O24" s="64">
        <v>0</v>
      </c>
      <c r="P24" s="64">
        <v>0.98</v>
      </c>
      <c r="Q24" s="64">
        <v>9.32</v>
      </c>
      <c r="R24" s="198"/>
      <c r="S24" s="198"/>
      <c r="T24" s="198"/>
      <c r="U24" s="198"/>
    </row>
    <row r="25" spans="1:21" s="12" customFormat="1" x14ac:dyDescent="0.25">
      <c r="A25" s="214" t="s">
        <v>2952</v>
      </c>
      <c r="B25" s="64">
        <v>34.9</v>
      </c>
      <c r="C25" s="64">
        <v>28.6</v>
      </c>
      <c r="D25" s="64">
        <v>42.85</v>
      </c>
      <c r="E25" s="64">
        <v>1.89</v>
      </c>
      <c r="F25" s="64">
        <v>3.52</v>
      </c>
      <c r="G25" s="64">
        <v>57.79</v>
      </c>
      <c r="H25" s="64">
        <v>20.78</v>
      </c>
      <c r="I25" s="64">
        <v>9.52</v>
      </c>
      <c r="J25" s="64">
        <v>0.2</v>
      </c>
      <c r="K25" s="64">
        <v>242.44</v>
      </c>
      <c r="L25" s="64">
        <v>23.3</v>
      </c>
      <c r="M25" s="64">
        <v>68.650000000000006</v>
      </c>
      <c r="N25" s="64">
        <v>21.8</v>
      </c>
      <c r="O25" s="64">
        <v>0</v>
      </c>
      <c r="P25" s="64">
        <v>1.01</v>
      </c>
      <c r="Q25" s="64">
        <v>9.39</v>
      </c>
      <c r="R25" s="198"/>
      <c r="S25" s="198"/>
      <c r="T25" s="198"/>
      <c r="U25" s="198"/>
    </row>
    <row r="26" spans="1:21" s="12" customFormat="1" x14ac:dyDescent="0.25">
      <c r="A26" s="214" t="s">
        <v>2953</v>
      </c>
      <c r="B26" s="64">
        <v>33.78</v>
      </c>
      <c r="C26" s="64">
        <v>30.05</v>
      </c>
      <c r="D26" s="64">
        <v>42.71</v>
      </c>
      <c r="E26" s="64">
        <v>2.1</v>
      </c>
      <c r="F26" s="64">
        <v>3.47</v>
      </c>
      <c r="G26" s="64">
        <v>70.8</v>
      </c>
      <c r="H26" s="64">
        <v>29.32</v>
      </c>
      <c r="I26" s="64">
        <v>9.41</v>
      </c>
      <c r="J26" s="64">
        <v>0.14000000000000001</v>
      </c>
      <c r="K26" s="64">
        <v>70.989999999999995</v>
      </c>
      <c r="L26" s="64">
        <v>22.78</v>
      </c>
      <c r="M26" s="64">
        <v>74.64</v>
      </c>
      <c r="N26" s="64">
        <v>22.5</v>
      </c>
      <c r="O26" s="64">
        <v>0</v>
      </c>
      <c r="P26" s="64">
        <v>1.02</v>
      </c>
      <c r="Q26" s="64">
        <v>9.24</v>
      </c>
      <c r="R26" s="198"/>
      <c r="S26" s="198"/>
      <c r="T26" s="198"/>
      <c r="U26" s="198"/>
    </row>
    <row r="27" spans="1:21" s="12" customFormat="1" x14ac:dyDescent="0.25">
      <c r="A27" s="214" t="s">
        <v>2954</v>
      </c>
      <c r="B27" s="64">
        <v>33.33</v>
      </c>
      <c r="C27" s="64">
        <v>30.07</v>
      </c>
      <c r="D27" s="64">
        <v>42.36</v>
      </c>
      <c r="E27" s="64">
        <v>1.74</v>
      </c>
      <c r="F27" s="64">
        <v>3.46</v>
      </c>
      <c r="G27" s="64">
        <v>70.8</v>
      </c>
      <c r="H27" s="64">
        <v>29.32</v>
      </c>
      <c r="I27" s="64">
        <v>9.17</v>
      </c>
      <c r="J27" s="64">
        <v>0.01</v>
      </c>
      <c r="K27" s="64">
        <v>252.97</v>
      </c>
      <c r="L27" s="64">
        <v>22.52</v>
      </c>
      <c r="M27" s="64">
        <v>76.47</v>
      </c>
      <c r="N27" s="64">
        <v>22.3</v>
      </c>
      <c r="O27" s="64">
        <v>0</v>
      </c>
      <c r="P27" s="64">
        <v>1.05</v>
      </c>
      <c r="Q27" s="64">
        <v>9.1999999999999993</v>
      </c>
      <c r="R27" s="198"/>
      <c r="S27" s="198"/>
      <c r="T27" s="198"/>
      <c r="U27" s="198"/>
    </row>
    <row r="28" spans="1:21" s="12" customFormat="1" x14ac:dyDescent="0.25">
      <c r="A28" s="214" t="s">
        <v>2955</v>
      </c>
      <c r="B28" s="64">
        <v>33.4</v>
      </c>
      <c r="C28" s="64">
        <v>29.81</v>
      </c>
      <c r="D28" s="64">
        <v>42.27</v>
      </c>
      <c r="E28" s="64">
        <v>2.0299999999999998</v>
      </c>
      <c r="F28" s="64">
        <v>3.66</v>
      </c>
      <c r="G28" s="64">
        <v>70.8</v>
      </c>
      <c r="H28" s="64">
        <v>29.32</v>
      </c>
      <c r="I28" s="64">
        <v>8.73</v>
      </c>
      <c r="J28" s="64">
        <v>0.19</v>
      </c>
      <c r="K28" s="64">
        <v>267.66000000000003</v>
      </c>
      <c r="L28" s="64">
        <v>22.85</v>
      </c>
      <c r="M28" s="64">
        <v>75.78</v>
      </c>
      <c r="N28" s="64">
        <v>22</v>
      </c>
      <c r="O28" s="64">
        <v>0</v>
      </c>
      <c r="P28" s="64">
        <v>1.06</v>
      </c>
      <c r="Q28" s="64">
        <v>9.3699999999999992</v>
      </c>
      <c r="R28" s="198"/>
      <c r="S28" s="198"/>
      <c r="T28" s="198"/>
      <c r="U28" s="198"/>
    </row>
    <row r="29" spans="1:21" s="12" customFormat="1" x14ac:dyDescent="0.25">
      <c r="A29" s="214" t="s">
        <v>2956</v>
      </c>
      <c r="B29" s="64">
        <v>33.729999999999997</v>
      </c>
      <c r="C29" s="64">
        <v>29.19</v>
      </c>
      <c r="D29" s="64">
        <v>42.22</v>
      </c>
      <c r="E29" s="64">
        <v>1.96</v>
      </c>
      <c r="F29" s="64">
        <v>3.32</v>
      </c>
      <c r="G29" s="64">
        <v>76.099999999999994</v>
      </c>
      <c r="H29" s="64">
        <v>32.18</v>
      </c>
      <c r="I29" s="64">
        <v>8.83</v>
      </c>
      <c r="J29" s="64">
        <v>0.14000000000000001</v>
      </c>
      <c r="K29" s="64">
        <v>242.87</v>
      </c>
      <c r="L29" s="64">
        <v>22.51</v>
      </c>
      <c r="M29" s="64">
        <v>79.010000000000005</v>
      </c>
      <c r="N29" s="64">
        <v>22.5</v>
      </c>
      <c r="O29" s="64">
        <v>0</v>
      </c>
      <c r="P29" s="64">
        <v>1.07</v>
      </c>
      <c r="Q29" s="64">
        <v>9.2799999999999994</v>
      </c>
      <c r="R29" s="198"/>
      <c r="S29" s="198"/>
      <c r="T29" s="198"/>
      <c r="U29" s="198"/>
    </row>
    <row r="30" spans="1:21" s="12" customFormat="1" x14ac:dyDescent="0.25">
      <c r="A30" s="214" t="s">
        <v>2957</v>
      </c>
      <c r="B30" s="64">
        <v>34.44</v>
      </c>
      <c r="C30" s="64">
        <v>28.99</v>
      </c>
      <c r="D30" s="64">
        <v>42.68</v>
      </c>
      <c r="E30" s="64">
        <v>2.0699999999999998</v>
      </c>
      <c r="F30" s="64">
        <v>3.53</v>
      </c>
      <c r="G30" s="64">
        <v>86.2</v>
      </c>
      <c r="H30" s="64">
        <v>37.619999999999997</v>
      </c>
      <c r="I30" s="64">
        <v>9.07</v>
      </c>
      <c r="J30" s="64">
        <v>0.25</v>
      </c>
      <c r="K30" s="64">
        <v>238.18</v>
      </c>
      <c r="L30" s="64">
        <v>22.92</v>
      </c>
      <c r="M30" s="64">
        <v>76.27</v>
      </c>
      <c r="N30" s="64">
        <v>24.4</v>
      </c>
      <c r="O30" s="64">
        <v>0</v>
      </c>
      <c r="P30" s="64">
        <v>1.07</v>
      </c>
      <c r="Q30" s="64">
        <v>9.34</v>
      </c>
      <c r="R30" s="198"/>
      <c r="S30" s="198"/>
      <c r="T30" s="198"/>
      <c r="U30" s="198"/>
    </row>
    <row r="31" spans="1:21" s="12" customFormat="1" x14ac:dyDescent="0.25">
      <c r="A31" s="214" t="s">
        <v>2958</v>
      </c>
      <c r="B31" s="64">
        <v>35.53</v>
      </c>
      <c r="C31" s="64">
        <v>28.61</v>
      </c>
      <c r="D31" s="64">
        <v>43.36</v>
      </c>
      <c r="E31" s="64">
        <v>2.2599999999999998</v>
      </c>
      <c r="F31" s="64">
        <v>3.16</v>
      </c>
      <c r="G31" s="64">
        <v>86.2</v>
      </c>
      <c r="H31" s="64">
        <v>37.619999999999997</v>
      </c>
      <c r="I31" s="64">
        <v>9.0399999999999991</v>
      </c>
      <c r="J31" s="64">
        <v>0.13</v>
      </c>
      <c r="K31" s="64">
        <v>270.42</v>
      </c>
      <c r="L31" s="64">
        <v>22.8</v>
      </c>
      <c r="M31" s="64">
        <v>79.97</v>
      </c>
      <c r="N31" s="64">
        <v>34.5</v>
      </c>
      <c r="O31" s="64">
        <v>0</v>
      </c>
      <c r="P31" s="64">
        <v>1.07</v>
      </c>
      <c r="Q31" s="64">
        <v>9.3699999999999992</v>
      </c>
      <c r="R31" s="198"/>
      <c r="S31" s="198"/>
      <c r="T31" s="198"/>
      <c r="U31" s="198"/>
    </row>
    <row r="32" spans="1:21" s="12" customFormat="1" x14ac:dyDescent="0.25">
      <c r="A32" s="214" t="s">
        <v>2959</v>
      </c>
      <c r="B32" s="64">
        <v>36.67</v>
      </c>
      <c r="C32" s="64">
        <v>28.35</v>
      </c>
      <c r="D32" s="64">
        <v>44.14</v>
      </c>
      <c r="E32" s="64">
        <v>2.08</v>
      </c>
      <c r="F32" s="64">
        <v>3.15</v>
      </c>
      <c r="G32" s="64">
        <v>86.2</v>
      </c>
      <c r="H32" s="64">
        <v>37.619999999999997</v>
      </c>
      <c r="I32" s="64">
        <v>9.52</v>
      </c>
      <c r="J32" s="64">
        <v>0.2</v>
      </c>
      <c r="K32" s="64">
        <v>337.35</v>
      </c>
      <c r="L32" s="64">
        <v>22.99</v>
      </c>
      <c r="M32" s="64">
        <v>80.37</v>
      </c>
      <c r="N32" s="64">
        <v>52.8</v>
      </c>
      <c r="O32" s="64">
        <v>0</v>
      </c>
      <c r="P32" s="64">
        <v>1.06</v>
      </c>
      <c r="Q32" s="64">
        <v>9.26</v>
      </c>
      <c r="R32" s="198"/>
      <c r="S32" s="198"/>
      <c r="T32" s="198"/>
      <c r="U32" s="198"/>
    </row>
    <row r="33" spans="1:21" s="12" customFormat="1" x14ac:dyDescent="0.25">
      <c r="A33" s="214" t="s">
        <v>2960</v>
      </c>
      <c r="B33" s="64">
        <v>38.119999999999997</v>
      </c>
      <c r="C33" s="64">
        <v>28.76</v>
      </c>
      <c r="D33" s="64">
        <v>45.52</v>
      </c>
      <c r="E33" s="64">
        <v>2</v>
      </c>
      <c r="F33" s="64">
        <v>3.63</v>
      </c>
      <c r="G33" s="64">
        <v>87.93</v>
      </c>
      <c r="H33" s="64">
        <v>35.6</v>
      </c>
      <c r="I33" s="64">
        <v>9.59</v>
      </c>
      <c r="J33" s="64">
        <v>0.25</v>
      </c>
      <c r="K33" s="64">
        <v>5</v>
      </c>
      <c r="L33" s="64">
        <v>23.59</v>
      </c>
      <c r="M33" s="64">
        <v>79.41</v>
      </c>
      <c r="N33" s="64">
        <v>82.6</v>
      </c>
      <c r="O33" s="64">
        <v>0</v>
      </c>
      <c r="P33" s="64">
        <v>1.07</v>
      </c>
      <c r="Q33" s="64">
        <v>9.2200000000000006</v>
      </c>
      <c r="R33" s="198"/>
      <c r="S33" s="198"/>
      <c r="T33" s="198"/>
      <c r="U33" s="198"/>
    </row>
    <row r="34" spans="1:21" s="12" customFormat="1" x14ac:dyDescent="0.25">
      <c r="A34" s="214" t="s">
        <v>2961</v>
      </c>
      <c r="B34" s="64">
        <v>40.380000000000003</v>
      </c>
      <c r="C34" s="64">
        <v>28.37</v>
      </c>
      <c r="D34" s="64">
        <v>47.12</v>
      </c>
      <c r="E34" s="64">
        <v>2.2000000000000002</v>
      </c>
      <c r="F34" s="64">
        <v>2.81</v>
      </c>
      <c r="G34" s="64">
        <v>91.22</v>
      </c>
      <c r="H34" s="64">
        <v>31.77</v>
      </c>
      <c r="I34" s="64">
        <v>9.93</v>
      </c>
      <c r="J34" s="64">
        <v>0.06</v>
      </c>
      <c r="K34" s="64">
        <v>333.33</v>
      </c>
      <c r="L34" s="64">
        <v>24.77</v>
      </c>
      <c r="M34" s="64">
        <v>72.92</v>
      </c>
      <c r="N34" s="64">
        <v>118.2</v>
      </c>
      <c r="O34" s="64">
        <v>0</v>
      </c>
      <c r="P34" s="64">
        <v>1.08</v>
      </c>
      <c r="Q34" s="64">
        <v>9.36</v>
      </c>
      <c r="R34" s="198"/>
      <c r="S34" s="198"/>
      <c r="T34" s="198"/>
      <c r="U34" s="198"/>
    </row>
    <row r="35" spans="1:21" s="12" customFormat="1" x14ac:dyDescent="0.25">
      <c r="A35" s="214" t="s">
        <v>2962</v>
      </c>
      <c r="B35" s="64">
        <v>42.1</v>
      </c>
      <c r="C35" s="64">
        <v>28.2</v>
      </c>
      <c r="D35" s="64">
        <v>48.42</v>
      </c>
      <c r="E35" s="64">
        <v>2.38</v>
      </c>
      <c r="F35" s="64">
        <v>3.51</v>
      </c>
      <c r="G35" s="64">
        <v>91.22</v>
      </c>
      <c r="H35" s="64">
        <v>31.77</v>
      </c>
      <c r="I35" s="64">
        <v>10.45</v>
      </c>
      <c r="J35" s="64">
        <v>0.2</v>
      </c>
      <c r="K35" s="64">
        <v>217.64</v>
      </c>
      <c r="L35" s="64">
        <v>25.38</v>
      </c>
      <c r="M35" s="64">
        <v>69.2</v>
      </c>
      <c r="N35" s="64">
        <v>173.4</v>
      </c>
      <c r="O35" s="64">
        <v>0</v>
      </c>
      <c r="P35" s="64">
        <v>1.08</v>
      </c>
      <c r="Q35" s="64">
        <v>9.27</v>
      </c>
      <c r="R35" s="198"/>
      <c r="S35" s="198"/>
      <c r="T35" s="198"/>
      <c r="U35" s="198"/>
    </row>
    <row r="36" spans="1:21" s="12" customFormat="1" x14ac:dyDescent="0.25">
      <c r="A36" s="214" t="s">
        <v>2963</v>
      </c>
      <c r="B36" s="64">
        <v>42.42</v>
      </c>
      <c r="C36" s="64">
        <v>28.37</v>
      </c>
      <c r="D36" s="64">
        <v>48.76</v>
      </c>
      <c r="E36" s="64">
        <v>2.38</v>
      </c>
      <c r="F36" s="64">
        <v>3.44</v>
      </c>
      <c r="G36" s="64">
        <v>91.22</v>
      </c>
      <c r="H36" s="64">
        <v>31.77</v>
      </c>
      <c r="I36" s="64">
        <v>10.65</v>
      </c>
      <c r="J36" s="64">
        <v>0.56999999999999995</v>
      </c>
      <c r="K36" s="64">
        <v>183.58</v>
      </c>
      <c r="L36" s="64">
        <v>25.41</v>
      </c>
      <c r="M36" s="64">
        <v>66.84</v>
      </c>
      <c r="N36" s="64">
        <v>233.6</v>
      </c>
      <c r="O36" s="64">
        <v>0</v>
      </c>
      <c r="P36" s="64">
        <v>1.06</v>
      </c>
      <c r="Q36" s="64">
        <v>9.39</v>
      </c>
      <c r="R36" s="198"/>
      <c r="S36" s="198"/>
      <c r="T36" s="198"/>
      <c r="U36" s="198"/>
    </row>
    <row r="37" spans="1:21" s="12" customFormat="1" x14ac:dyDescent="0.25">
      <c r="A37" s="214" t="s">
        <v>2964</v>
      </c>
      <c r="B37" s="64">
        <v>40.96</v>
      </c>
      <c r="C37" s="64">
        <v>28.02</v>
      </c>
      <c r="D37" s="64">
        <v>47.41</v>
      </c>
      <c r="E37" s="64">
        <v>2.2400000000000002</v>
      </c>
      <c r="F37" s="64">
        <v>3.54</v>
      </c>
      <c r="G37" s="64">
        <v>94.55</v>
      </c>
      <c r="H37" s="64">
        <v>56.9</v>
      </c>
      <c r="I37" s="64">
        <v>10.57</v>
      </c>
      <c r="J37" s="64">
        <v>0.27</v>
      </c>
      <c r="K37" s="64">
        <v>188.49</v>
      </c>
      <c r="L37" s="64">
        <v>26.21</v>
      </c>
      <c r="M37" s="64">
        <v>62.56</v>
      </c>
      <c r="N37" s="64">
        <v>206.7</v>
      </c>
      <c r="O37" s="64">
        <v>0</v>
      </c>
      <c r="P37" s="64">
        <v>1.01</v>
      </c>
      <c r="Q37" s="64">
        <v>9.26</v>
      </c>
      <c r="R37" s="198"/>
      <c r="S37" s="198"/>
      <c r="T37" s="198"/>
      <c r="U37" s="198"/>
    </row>
    <row r="38" spans="1:21" s="12" customFormat="1" x14ac:dyDescent="0.25">
      <c r="A38" s="214" t="s">
        <v>2965</v>
      </c>
      <c r="B38" s="64">
        <v>39.01</v>
      </c>
      <c r="C38" s="64">
        <v>28.16</v>
      </c>
      <c r="D38" s="64">
        <v>45.91</v>
      </c>
      <c r="E38" s="64">
        <v>2.1800000000000002</v>
      </c>
      <c r="F38" s="64">
        <v>3.07</v>
      </c>
      <c r="G38" s="212" t="s">
        <v>42</v>
      </c>
      <c r="H38" s="212" t="s">
        <v>42</v>
      </c>
      <c r="I38" s="64">
        <v>10.43</v>
      </c>
      <c r="J38" s="64">
        <v>0.72</v>
      </c>
      <c r="K38" s="64">
        <v>158.77000000000001</v>
      </c>
      <c r="L38" s="64">
        <v>26.63</v>
      </c>
      <c r="M38" s="64">
        <v>60.61</v>
      </c>
      <c r="N38" s="64">
        <v>305.39999999999998</v>
      </c>
      <c r="O38" s="64">
        <v>0</v>
      </c>
      <c r="P38" s="64">
        <v>1.05</v>
      </c>
      <c r="Q38" s="64">
        <v>9.32</v>
      </c>
      <c r="R38" s="198"/>
      <c r="S38" s="198"/>
      <c r="T38" s="198"/>
      <c r="U38" s="198"/>
    </row>
    <row r="39" spans="1:21" s="12" customFormat="1" x14ac:dyDescent="0.25">
      <c r="A39" s="214" t="s">
        <v>2966</v>
      </c>
      <c r="B39" s="64">
        <v>36.799999999999997</v>
      </c>
      <c r="C39" s="64">
        <v>28.09</v>
      </c>
      <c r="D39" s="64">
        <v>44.11</v>
      </c>
      <c r="E39" s="64">
        <v>2.17</v>
      </c>
      <c r="F39" s="64">
        <v>3.71</v>
      </c>
      <c r="G39" s="212" t="s">
        <v>42</v>
      </c>
      <c r="H39" s="212" t="s">
        <v>42</v>
      </c>
      <c r="I39" s="64">
        <v>10.28</v>
      </c>
      <c r="J39" s="64">
        <v>1.35</v>
      </c>
      <c r="K39" s="64">
        <v>148.65</v>
      </c>
      <c r="L39" s="64">
        <v>26.92</v>
      </c>
      <c r="M39" s="64">
        <v>58.53</v>
      </c>
      <c r="N39" s="64">
        <v>357.9</v>
      </c>
      <c r="O39" s="64">
        <v>0</v>
      </c>
      <c r="P39" s="64">
        <v>1.02</v>
      </c>
      <c r="Q39" s="64">
        <v>9.33</v>
      </c>
      <c r="R39" s="198"/>
      <c r="S39" s="198"/>
      <c r="T39" s="198"/>
      <c r="U39" s="198"/>
    </row>
    <row r="40" spans="1:21" s="12" customFormat="1" x14ac:dyDescent="0.25">
      <c r="A40" s="214" t="s">
        <v>2967</v>
      </c>
      <c r="B40" s="64">
        <v>34.47</v>
      </c>
      <c r="C40" s="64">
        <v>28.55</v>
      </c>
      <c r="D40" s="64">
        <v>42.48</v>
      </c>
      <c r="E40" s="64">
        <v>0.78</v>
      </c>
      <c r="F40" s="64">
        <v>3.67</v>
      </c>
      <c r="G40" s="212" t="s">
        <v>42</v>
      </c>
      <c r="H40" s="212" t="s">
        <v>42</v>
      </c>
      <c r="I40" s="64">
        <v>10.18</v>
      </c>
      <c r="J40" s="64">
        <v>1.05</v>
      </c>
      <c r="K40" s="64">
        <v>148.9</v>
      </c>
      <c r="L40" s="64">
        <v>27.56</v>
      </c>
      <c r="M40" s="64">
        <v>55.22</v>
      </c>
      <c r="N40" s="64">
        <v>406.1</v>
      </c>
      <c r="O40" s="64">
        <v>0</v>
      </c>
      <c r="P40" s="64">
        <v>0.98</v>
      </c>
      <c r="Q40" s="64">
        <v>9.1999999999999993</v>
      </c>
      <c r="R40" s="198"/>
      <c r="S40" s="198"/>
      <c r="T40" s="198"/>
      <c r="U40" s="198"/>
    </row>
    <row r="41" spans="1:21" s="12" customFormat="1" x14ac:dyDescent="0.25">
      <c r="A41" s="214" t="s">
        <v>2968</v>
      </c>
      <c r="B41" s="64">
        <v>31.8</v>
      </c>
      <c r="C41" s="64">
        <v>28.75</v>
      </c>
      <c r="D41" s="64">
        <v>40.44</v>
      </c>
      <c r="E41" s="64">
        <v>1.1599999999999999</v>
      </c>
      <c r="F41" s="64">
        <v>3.91</v>
      </c>
      <c r="G41" s="64">
        <v>93.45</v>
      </c>
      <c r="H41" s="64">
        <v>76.930000000000007</v>
      </c>
      <c r="I41" s="64">
        <v>10.32</v>
      </c>
      <c r="J41" s="64">
        <v>0.25</v>
      </c>
      <c r="K41" s="64">
        <v>182.85</v>
      </c>
      <c r="L41" s="64">
        <v>29.06</v>
      </c>
      <c r="M41" s="64">
        <v>50.54</v>
      </c>
      <c r="N41" s="64">
        <v>452.9</v>
      </c>
      <c r="O41" s="64">
        <v>0</v>
      </c>
      <c r="P41" s="64">
        <v>0.95</v>
      </c>
      <c r="Q41" s="64">
        <v>9.34</v>
      </c>
      <c r="R41" s="198"/>
      <c r="S41" s="198"/>
      <c r="T41" s="198"/>
      <c r="U41" s="198"/>
    </row>
    <row r="42" spans="1:21" s="12" customFormat="1" x14ac:dyDescent="0.25">
      <c r="A42" s="214" t="s">
        <v>2969</v>
      </c>
      <c r="B42" s="64">
        <v>28.98</v>
      </c>
      <c r="C42" s="64">
        <v>29.53</v>
      </c>
      <c r="D42" s="64">
        <v>38.590000000000003</v>
      </c>
      <c r="E42" s="64">
        <v>1.02</v>
      </c>
      <c r="F42" s="64">
        <v>3.63</v>
      </c>
      <c r="G42" s="64">
        <v>79.31</v>
      </c>
      <c r="H42" s="64">
        <v>23.99</v>
      </c>
      <c r="I42" s="64">
        <v>10.43</v>
      </c>
      <c r="J42" s="64">
        <v>0.27</v>
      </c>
      <c r="K42" s="64">
        <v>193.78</v>
      </c>
      <c r="L42" s="64">
        <v>29.78</v>
      </c>
      <c r="M42" s="64">
        <v>47.44</v>
      </c>
      <c r="N42" s="64">
        <v>527.20000000000005</v>
      </c>
      <c r="O42" s="64">
        <v>0</v>
      </c>
      <c r="P42" s="64">
        <v>0.92</v>
      </c>
      <c r="Q42" s="64">
        <v>9.19</v>
      </c>
      <c r="R42" s="198"/>
      <c r="S42" s="198"/>
      <c r="T42" s="198"/>
      <c r="U42" s="198"/>
    </row>
    <row r="43" spans="1:21" s="12" customFormat="1" x14ac:dyDescent="0.25">
      <c r="A43" s="214" t="s">
        <v>2970</v>
      </c>
      <c r="B43" s="64">
        <v>25.62</v>
      </c>
      <c r="C43" s="64">
        <v>30.64</v>
      </c>
      <c r="D43" s="64">
        <v>36.47</v>
      </c>
      <c r="E43" s="64">
        <v>1.17</v>
      </c>
      <c r="F43" s="64">
        <v>3.61</v>
      </c>
      <c r="G43" s="64">
        <v>79.31</v>
      </c>
      <c r="H43" s="64">
        <v>23.99</v>
      </c>
      <c r="I43" s="64">
        <v>10.32</v>
      </c>
      <c r="J43" s="64">
        <v>0.21</v>
      </c>
      <c r="K43" s="64">
        <v>205.12</v>
      </c>
      <c r="L43" s="64">
        <v>29.48</v>
      </c>
      <c r="M43" s="64">
        <v>49.21</v>
      </c>
      <c r="N43" s="64">
        <v>569.5</v>
      </c>
      <c r="O43" s="64">
        <v>0</v>
      </c>
      <c r="P43" s="64">
        <v>0.88</v>
      </c>
      <c r="Q43" s="64">
        <v>9.26</v>
      </c>
      <c r="R43" s="198"/>
      <c r="S43" s="198"/>
      <c r="T43" s="198"/>
      <c r="U43" s="198"/>
    </row>
    <row r="44" spans="1:21" s="12" customFormat="1" x14ac:dyDescent="0.25">
      <c r="A44" s="214" t="s">
        <v>2971</v>
      </c>
      <c r="B44" s="64">
        <v>21.1</v>
      </c>
      <c r="C44" s="64">
        <v>34.119999999999997</v>
      </c>
      <c r="D44" s="64">
        <v>34.67</v>
      </c>
      <c r="E44" s="64">
        <v>1.07</v>
      </c>
      <c r="F44" s="64">
        <v>3.92</v>
      </c>
      <c r="G44" s="64">
        <v>79.31</v>
      </c>
      <c r="H44" s="64">
        <v>23.99</v>
      </c>
      <c r="I44" s="64">
        <v>10.029999999999999</v>
      </c>
      <c r="J44" s="64">
        <v>0.28000000000000003</v>
      </c>
      <c r="K44" s="64">
        <v>354.95</v>
      </c>
      <c r="L44" s="64">
        <v>31.12</v>
      </c>
      <c r="M44" s="64">
        <v>46.93</v>
      </c>
      <c r="N44" s="64">
        <v>630.5</v>
      </c>
      <c r="O44" s="64">
        <v>0</v>
      </c>
      <c r="P44" s="64">
        <v>0.83</v>
      </c>
      <c r="Q44" s="64">
        <v>9.19</v>
      </c>
      <c r="R44" s="198"/>
      <c r="S44" s="198"/>
      <c r="T44" s="198"/>
      <c r="U44" s="198"/>
    </row>
    <row r="45" spans="1:21" s="12" customFormat="1" x14ac:dyDescent="0.25">
      <c r="A45" s="214" t="s">
        <v>2972</v>
      </c>
      <c r="B45" s="64">
        <v>16.059999999999999</v>
      </c>
      <c r="C45" s="64">
        <v>38.200000000000003</v>
      </c>
      <c r="D45" s="64">
        <v>32.75</v>
      </c>
      <c r="E45" s="64">
        <v>1.1499999999999999</v>
      </c>
      <c r="F45" s="64">
        <v>4.6500000000000004</v>
      </c>
      <c r="G45" s="64">
        <v>72</v>
      </c>
      <c r="H45" s="64">
        <v>23.68</v>
      </c>
      <c r="I45" s="64">
        <v>9.6199999999999992</v>
      </c>
      <c r="J45" s="64">
        <v>0.19</v>
      </c>
      <c r="K45" s="64">
        <v>4.21</v>
      </c>
      <c r="L45" s="64">
        <v>31.24</v>
      </c>
      <c r="M45" s="64">
        <v>40.83</v>
      </c>
      <c r="N45" s="64">
        <v>455.8</v>
      </c>
      <c r="O45" s="64">
        <v>0</v>
      </c>
      <c r="P45" s="64">
        <v>0.79</v>
      </c>
      <c r="Q45" s="64">
        <v>9.16</v>
      </c>
      <c r="R45" s="198"/>
      <c r="S45" s="198"/>
      <c r="T45" s="198"/>
      <c r="U45" s="198"/>
    </row>
    <row r="46" spans="1:21" s="12" customFormat="1" x14ac:dyDescent="0.25">
      <c r="A46" s="214" t="s">
        <v>2973</v>
      </c>
      <c r="B46" s="64">
        <v>11.15</v>
      </c>
      <c r="C46" s="64">
        <v>41.83</v>
      </c>
      <c r="D46" s="64">
        <v>30.71</v>
      </c>
      <c r="E46" s="64">
        <v>1.05</v>
      </c>
      <c r="F46" s="64">
        <v>4.62</v>
      </c>
      <c r="G46" s="64">
        <v>58.07</v>
      </c>
      <c r="H46" s="64">
        <v>23.1</v>
      </c>
      <c r="I46" s="64">
        <v>9.01</v>
      </c>
      <c r="J46" s="64">
        <v>0.42</v>
      </c>
      <c r="K46" s="64">
        <v>342.37</v>
      </c>
      <c r="L46" s="64">
        <v>30.97</v>
      </c>
      <c r="M46" s="64">
        <v>43.62</v>
      </c>
      <c r="N46" s="64">
        <v>292.60000000000002</v>
      </c>
      <c r="O46" s="64">
        <v>0</v>
      </c>
      <c r="P46" s="64">
        <v>0.75</v>
      </c>
      <c r="Q46" s="64">
        <v>9.2100000000000009</v>
      </c>
      <c r="R46" s="198"/>
      <c r="S46" s="198"/>
      <c r="T46" s="198"/>
      <c r="U46" s="198"/>
    </row>
    <row r="47" spans="1:21" s="12" customFormat="1" x14ac:dyDescent="0.25">
      <c r="A47" s="214" t="s">
        <v>2974</v>
      </c>
      <c r="B47" s="64">
        <v>7.45</v>
      </c>
      <c r="C47" s="64">
        <v>43.93</v>
      </c>
      <c r="D47" s="64">
        <v>28.84</v>
      </c>
      <c r="E47" s="64">
        <v>1.31</v>
      </c>
      <c r="F47" s="64">
        <v>4.84</v>
      </c>
      <c r="G47" s="64">
        <v>58.07</v>
      </c>
      <c r="H47" s="64">
        <v>23.1</v>
      </c>
      <c r="I47" s="64">
        <v>8.4</v>
      </c>
      <c r="J47" s="64">
        <v>0.28999999999999998</v>
      </c>
      <c r="K47" s="64">
        <v>349.59</v>
      </c>
      <c r="L47" s="64">
        <v>30.66</v>
      </c>
      <c r="M47" s="64">
        <v>44.18</v>
      </c>
      <c r="N47" s="64">
        <v>292.60000000000002</v>
      </c>
      <c r="O47" s="64">
        <v>0</v>
      </c>
      <c r="P47" s="64">
        <v>0.74</v>
      </c>
      <c r="Q47" s="64">
        <v>9.16</v>
      </c>
      <c r="R47" s="198"/>
      <c r="S47" s="198"/>
      <c r="T47" s="198"/>
      <c r="U47" s="198"/>
    </row>
    <row r="48" spans="1:21" s="12" customFormat="1" x14ac:dyDescent="0.25">
      <c r="A48" s="214" t="s">
        <v>2975</v>
      </c>
      <c r="B48" s="64">
        <v>5.28</v>
      </c>
      <c r="C48" s="64">
        <v>44.03</v>
      </c>
      <c r="D48" s="64">
        <v>27.16</v>
      </c>
      <c r="E48" s="64">
        <v>1.1100000000000001</v>
      </c>
      <c r="F48" s="64">
        <v>4.75</v>
      </c>
      <c r="G48" s="64">
        <v>58.07</v>
      </c>
      <c r="H48" s="64">
        <v>23.1</v>
      </c>
      <c r="I48" s="64">
        <v>7.89</v>
      </c>
      <c r="J48" s="64">
        <v>0.24</v>
      </c>
      <c r="K48" s="64">
        <v>353.12</v>
      </c>
      <c r="L48" s="64">
        <v>30.54</v>
      </c>
      <c r="M48" s="64">
        <v>45.65</v>
      </c>
      <c r="N48" s="64">
        <v>500.2</v>
      </c>
      <c r="O48" s="64">
        <v>0</v>
      </c>
      <c r="P48" s="64">
        <v>0.77</v>
      </c>
      <c r="Q48" s="64">
        <v>9.1199999999999992</v>
      </c>
      <c r="R48" s="198"/>
      <c r="S48" s="198"/>
      <c r="T48" s="198"/>
      <c r="U48" s="198"/>
    </row>
    <row r="49" spans="1:21" s="12" customFormat="1" x14ac:dyDescent="0.25">
      <c r="A49" s="214" t="s">
        <v>2976</v>
      </c>
      <c r="B49" s="64">
        <v>4.38</v>
      </c>
      <c r="C49" s="64">
        <v>43.16</v>
      </c>
      <c r="D49" s="64">
        <v>25.98</v>
      </c>
      <c r="E49" s="64">
        <v>0.85</v>
      </c>
      <c r="F49" s="64">
        <v>4.32</v>
      </c>
      <c r="G49" s="64">
        <v>61.39</v>
      </c>
      <c r="H49" s="64">
        <v>19.260000000000002</v>
      </c>
      <c r="I49" s="64">
        <v>7.59</v>
      </c>
      <c r="J49" s="64">
        <v>0.18</v>
      </c>
      <c r="K49" s="64">
        <v>354.04</v>
      </c>
      <c r="L49" s="64">
        <v>33.049999999999997</v>
      </c>
      <c r="M49" s="64">
        <v>37.64</v>
      </c>
      <c r="N49" s="64">
        <v>632.70000000000005</v>
      </c>
      <c r="O49" s="64">
        <v>0</v>
      </c>
      <c r="P49" s="64">
        <v>0.81</v>
      </c>
      <c r="Q49" s="64">
        <v>9.1300000000000008</v>
      </c>
      <c r="R49" s="198"/>
      <c r="S49" s="198"/>
      <c r="T49" s="198"/>
      <c r="U49" s="198"/>
    </row>
    <row r="50" spans="1:21" s="12" customFormat="1" x14ac:dyDescent="0.25">
      <c r="A50" s="214" t="s">
        <v>2977</v>
      </c>
      <c r="B50" s="64">
        <v>4</v>
      </c>
      <c r="C50" s="64">
        <v>44.88</v>
      </c>
      <c r="D50" s="64">
        <v>26.58</v>
      </c>
      <c r="E50" s="64">
        <v>1.57</v>
      </c>
      <c r="F50" s="64">
        <v>11.68</v>
      </c>
      <c r="G50" s="64">
        <v>67.7</v>
      </c>
      <c r="H50" s="64">
        <v>11.94</v>
      </c>
      <c r="I50" s="64">
        <v>7.68</v>
      </c>
      <c r="J50" s="64">
        <v>0.45</v>
      </c>
      <c r="K50" s="64">
        <v>313.23</v>
      </c>
      <c r="L50" s="64">
        <v>34.869999999999997</v>
      </c>
      <c r="M50" s="64">
        <v>34.950000000000003</v>
      </c>
      <c r="N50" s="64">
        <v>805.1</v>
      </c>
      <c r="O50" s="64">
        <v>0</v>
      </c>
      <c r="P50" s="64">
        <v>0.98</v>
      </c>
      <c r="Q50" s="64">
        <v>9.16</v>
      </c>
      <c r="R50" s="198"/>
      <c r="S50" s="198"/>
      <c r="T50" s="198"/>
      <c r="U50" s="198"/>
    </row>
    <row r="51" spans="1:21" s="12" customFormat="1" x14ac:dyDescent="0.25">
      <c r="A51" s="214" t="s">
        <v>2978</v>
      </c>
      <c r="B51" s="64">
        <v>2.4900000000000002</v>
      </c>
      <c r="C51" s="64">
        <v>57.54</v>
      </c>
      <c r="D51" s="64">
        <v>31.98</v>
      </c>
      <c r="E51" s="64">
        <v>4.53</v>
      </c>
      <c r="F51" s="64">
        <v>37.729999999999997</v>
      </c>
      <c r="G51" s="64">
        <v>67.7</v>
      </c>
      <c r="H51" s="64">
        <v>11.94</v>
      </c>
      <c r="I51" s="64">
        <v>7.7</v>
      </c>
      <c r="J51" s="64">
        <v>0.28000000000000003</v>
      </c>
      <c r="K51" s="64">
        <v>324.60000000000002</v>
      </c>
      <c r="L51" s="64">
        <v>36.61</v>
      </c>
      <c r="M51" s="64">
        <v>31.7</v>
      </c>
      <c r="N51" s="64">
        <v>833.9</v>
      </c>
      <c r="O51" s="64">
        <v>0</v>
      </c>
      <c r="P51" s="64">
        <v>1.43</v>
      </c>
      <c r="Q51" s="64">
        <v>9.14</v>
      </c>
      <c r="R51" s="198"/>
      <c r="S51" s="198"/>
      <c r="T51" s="198"/>
      <c r="U51" s="198"/>
    </row>
    <row r="52" spans="1:21" s="12" customFormat="1" x14ac:dyDescent="0.25">
      <c r="A52" s="214" t="s">
        <v>2979</v>
      </c>
      <c r="B52" s="64">
        <v>1.9</v>
      </c>
      <c r="C52" s="64">
        <v>71.069999999999993</v>
      </c>
      <c r="D52" s="64">
        <v>38.58</v>
      </c>
      <c r="E52" s="64">
        <v>8.08</v>
      </c>
      <c r="F52" s="64">
        <v>44.36</v>
      </c>
      <c r="G52" s="64">
        <v>67.7</v>
      </c>
      <c r="H52" s="64">
        <v>11.94</v>
      </c>
      <c r="I52" s="64">
        <v>7.76</v>
      </c>
      <c r="J52" s="64">
        <v>0.28999999999999998</v>
      </c>
      <c r="K52" s="64">
        <v>325.70999999999998</v>
      </c>
      <c r="L52" s="64">
        <v>36.72</v>
      </c>
      <c r="M52" s="64">
        <v>31.26</v>
      </c>
      <c r="N52" s="64">
        <v>830</v>
      </c>
      <c r="O52" s="64">
        <v>0</v>
      </c>
      <c r="P52" s="64">
        <v>1.46</v>
      </c>
      <c r="Q52" s="64">
        <v>9.11</v>
      </c>
      <c r="R52" s="198"/>
      <c r="S52" s="198"/>
      <c r="T52" s="198"/>
      <c r="U52" s="198"/>
    </row>
    <row r="53" spans="1:21" s="12" customFormat="1" x14ac:dyDescent="0.25">
      <c r="A53" s="214" t="s">
        <v>2980</v>
      </c>
      <c r="B53" s="64">
        <v>1.1100000000000001</v>
      </c>
      <c r="C53" s="64">
        <v>69.03</v>
      </c>
      <c r="D53" s="64">
        <v>36.880000000000003</v>
      </c>
      <c r="E53" s="64">
        <v>8.02</v>
      </c>
      <c r="F53" s="64">
        <v>31.46</v>
      </c>
      <c r="G53" s="64">
        <v>73.38</v>
      </c>
      <c r="H53" s="64">
        <v>43.15</v>
      </c>
      <c r="I53" s="64">
        <v>7.23</v>
      </c>
      <c r="J53" s="64">
        <v>0.15</v>
      </c>
      <c r="K53" s="64">
        <v>279.36</v>
      </c>
      <c r="L53" s="64">
        <v>36.01</v>
      </c>
      <c r="M53" s="64">
        <v>31.64</v>
      </c>
      <c r="N53" s="64">
        <v>852.6</v>
      </c>
      <c r="O53" s="64">
        <v>0</v>
      </c>
      <c r="P53" s="64">
        <v>1.48</v>
      </c>
      <c r="Q53" s="64">
        <v>9.09</v>
      </c>
      <c r="R53" s="198"/>
      <c r="S53" s="198"/>
      <c r="T53" s="198"/>
      <c r="U53" s="198"/>
    </row>
    <row r="54" spans="1:21" s="12" customFormat="1" x14ac:dyDescent="0.25">
      <c r="A54" s="214" t="s">
        <v>2981</v>
      </c>
      <c r="B54" s="64">
        <v>0.88</v>
      </c>
      <c r="C54" s="64">
        <v>63.78</v>
      </c>
      <c r="D54" s="64">
        <v>33.950000000000003</v>
      </c>
      <c r="E54" s="64">
        <v>2.95</v>
      </c>
      <c r="F54" s="64">
        <v>16.95</v>
      </c>
      <c r="G54" s="212" t="s">
        <v>42</v>
      </c>
      <c r="H54" s="212" t="s">
        <v>42</v>
      </c>
      <c r="I54" s="64">
        <v>6.41</v>
      </c>
      <c r="J54" s="64">
        <v>0.1</v>
      </c>
      <c r="K54" s="64">
        <v>322.98</v>
      </c>
      <c r="L54" s="64">
        <v>35.65</v>
      </c>
      <c r="M54" s="64">
        <v>31.73</v>
      </c>
      <c r="N54" s="64">
        <v>876.6</v>
      </c>
      <c r="O54" s="64">
        <v>0</v>
      </c>
      <c r="P54" s="64">
        <v>1.44</v>
      </c>
      <c r="Q54" s="64">
        <v>9.1</v>
      </c>
      <c r="R54" s="198"/>
      <c r="S54" s="198"/>
      <c r="T54" s="198"/>
      <c r="U54" s="198"/>
    </row>
    <row r="55" spans="1:21" s="12" customFormat="1" x14ac:dyDescent="0.25">
      <c r="A55" s="214" t="s">
        <v>2982</v>
      </c>
      <c r="B55" s="64">
        <v>0.9</v>
      </c>
      <c r="C55" s="64">
        <v>54.24</v>
      </c>
      <c r="D55" s="64">
        <v>28.98</v>
      </c>
      <c r="E55" s="64">
        <v>2.56</v>
      </c>
      <c r="F55" s="64">
        <v>16.55</v>
      </c>
      <c r="G55" s="212" t="s">
        <v>42</v>
      </c>
      <c r="H55" s="212" t="s">
        <v>42</v>
      </c>
      <c r="I55" s="64">
        <v>6.97</v>
      </c>
      <c r="J55" s="64">
        <v>0.3</v>
      </c>
      <c r="K55" s="64">
        <v>353.78</v>
      </c>
      <c r="L55" s="64">
        <v>36.130000000000003</v>
      </c>
      <c r="M55" s="64">
        <v>30.11</v>
      </c>
      <c r="N55" s="64">
        <v>902.6</v>
      </c>
      <c r="O55" s="64">
        <v>0</v>
      </c>
      <c r="P55" s="64">
        <v>1.27</v>
      </c>
      <c r="Q55" s="64">
        <v>9.14</v>
      </c>
      <c r="R55" s="198"/>
      <c r="S55" s="198"/>
      <c r="T55" s="198"/>
      <c r="U55" s="198"/>
    </row>
    <row r="56" spans="1:21" s="12" customFormat="1" x14ac:dyDescent="0.25">
      <c r="A56" s="214" t="s">
        <v>2983</v>
      </c>
      <c r="B56" s="64">
        <v>0.86</v>
      </c>
      <c r="C56" s="64">
        <v>45.04</v>
      </c>
      <c r="D56" s="64">
        <v>24.14</v>
      </c>
      <c r="E56" s="64">
        <v>2.98</v>
      </c>
      <c r="F56" s="64">
        <v>13.22</v>
      </c>
      <c r="G56" s="212" t="s">
        <v>42</v>
      </c>
      <c r="H56" s="212" t="s">
        <v>42</v>
      </c>
      <c r="I56" s="64">
        <v>7.03</v>
      </c>
      <c r="J56" s="64">
        <v>0.06</v>
      </c>
      <c r="K56" s="64">
        <v>258</v>
      </c>
      <c r="L56" s="64">
        <v>35.869999999999997</v>
      </c>
      <c r="M56" s="64">
        <v>30.9</v>
      </c>
      <c r="N56" s="64">
        <v>895.8</v>
      </c>
      <c r="O56" s="64">
        <v>0</v>
      </c>
      <c r="P56" s="64">
        <v>1.1200000000000001</v>
      </c>
      <c r="Q56" s="64">
        <v>9.1</v>
      </c>
      <c r="R56" s="198"/>
      <c r="S56" s="198"/>
      <c r="T56" s="198"/>
      <c r="U56" s="198"/>
    </row>
    <row r="57" spans="1:21" s="12" customFormat="1" x14ac:dyDescent="0.25">
      <c r="A57" s="214" t="s">
        <v>2984</v>
      </c>
      <c r="B57" s="64">
        <v>0.92</v>
      </c>
      <c r="C57" s="64">
        <v>39.22</v>
      </c>
      <c r="D57" s="64">
        <v>21.15</v>
      </c>
      <c r="E57" s="64">
        <v>2.62</v>
      </c>
      <c r="F57" s="64">
        <v>9.9700000000000006</v>
      </c>
      <c r="G57" s="64">
        <v>77.52</v>
      </c>
      <c r="H57" s="64">
        <v>74.05</v>
      </c>
      <c r="I57" s="64">
        <v>6.54</v>
      </c>
      <c r="J57" s="64">
        <v>0.37</v>
      </c>
      <c r="K57" s="64">
        <v>315.7</v>
      </c>
      <c r="L57" s="64">
        <v>36.590000000000003</v>
      </c>
      <c r="M57" s="64">
        <v>29.9</v>
      </c>
      <c r="N57" s="64">
        <v>897.7</v>
      </c>
      <c r="O57" s="64">
        <v>0</v>
      </c>
      <c r="P57" s="64">
        <v>1.04</v>
      </c>
      <c r="Q57" s="64">
        <v>9.1</v>
      </c>
      <c r="R57" s="198"/>
      <c r="S57" s="198"/>
      <c r="T57" s="198"/>
      <c r="U57" s="198"/>
    </row>
    <row r="58" spans="1:21" s="12" customFormat="1" x14ac:dyDescent="0.25">
      <c r="A58" s="214" t="s">
        <v>2985</v>
      </c>
      <c r="B58" s="64">
        <v>1.0900000000000001</v>
      </c>
      <c r="C58" s="64">
        <v>35.119999999999997</v>
      </c>
      <c r="D58" s="64">
        <v>19.14</v>
      </c>
      <c r="E58" s="64">
        <v>2.4300000000000002</v>
      </c>
      <c r="F58" s="64">
        <v>7.7</v>
      </c>
      <c r="G58" s="64">
        <v>64.84</v>
      </c>
      <c r="H58" s="64">
        <v>19.809999999999999</v>
      </c>
      <c r="I58" s="64">
        <v>5.84</v>
      </c>
      <c r="J58" s="64">
        <v>0.38</v>
      </c>
      <c r="K58" s="64">
        <v>321.35000000000002</v>
      </c>
      <c r="L58" s="64">
        <v>38.39</v>
      </c>
      <c r="M58" s="64">
        <v>27.93</v>
      </c>
      <c r="N58" s="64">
        <v>871.4</v>
      </c>
      <c r="O58" s="64">
        <v>0</v>
      </c>
      <c r="P58" s="64">
        <v>0.98</v>
      </c>
      <c r="Q58" s="64">
        <v>9.1</v>
      </c>
      <c r="R58" s="198"/>
      <c r="S58" s="198"/>
      <c r="T58" s="198"/>
      <c r="U58" s="198"/>
    </row>
    <row r="59" spans="1:21" s="12" customFormat="1" x14ac:dyDescent="0.25">
      <c r="A59" s="214" t="s">
        <v>2986</v>
      </c>
      <c r="B59" s="64">
        <v>1.1499999999999999</v>
      </c>
      <c r="C59" s="64">
        <v>31.71</v>
      </c>
      <c r="D59" s="64">
        <v>17.41</v>
      </c>
      <c r="E59" s="64">
        <v>2.25</v>
      </c>
      <c r="F59" s="64">
        <v>7.79</v>
      </c>
      <c r="G59" s="64">
        <v>64.84</v>
      </c>
      <c r="H59" s="64">
        <v>19.809999999999999</v>
      </c>
      <c r="I59" s="64">
        <v>5.48</v>
      </c>
      <c r="J59" s="64">
        <v>0.1</v>
      </c>
      <c r="K59" s="64">
        <v>251.83</v>
      </c>
      <c r="L59" s="64">
        <v>36.25</v>
      </c>
      <c r="M59" s="64">
        <v>28.59</v>
      </c>
      <c r="N59" s="64">
        <v>871.3</v>
      </c>
      <c r="O59" s="64">
        <v>0</v>
      </c>
      <c r="P59" s="64">
        <v>0.91</v>
      </c>
      <c r="Q59" s="64">
        <v>9.11</v>
      </c>
      <c r="R59" s="198"/>
      <c r="S59" s="198"/>
      <c r="T59" s="198"/>
      <c r="U59" s="198"/>
    </row>
    <row r="60" spans="1:21" s="12" customFormat="1" x14ac:dyDescent="0.25">
      <c r="A60" s="214" t="s">
        <v>2987</v>
      </c>
      <c r="B60" s="64">
        <v>1.04</v>
      </c>
      <c r="C60" s="64">
        <v>29.35</v>
      </c>
      <c r="D60" s="64">
        <v>16.079999999999998</v>
      </c>
      <c r="E60" s="64">
        <v>2.25</v>
      </c>
      <c r="F60" s="64">
        <v>8.26</v>
      </c>
      <c r="G60" s="64">
        <v>64.84</v>
      </c>
      <c r="H60" s="64">
        <v>19.809999999999999</v>
      </c>
      <c r="I60" s="64">
        <v>5.29</v>
      </c>
      <c r="J60" s="64">
        <v>0.25</v>
      </c>
      <c r="K60" s="64">
        <v>310.51</v>
      </c>
      <c r="L60" s="64">
        <v>36.64</v>
      </c>
      <c r="M60" s="64">
        <v>28.32</v>
      </c>
      <c r="N60" s="64">
        <v>853.6</v>
      </c>
      <c r="O60" s="64">
        <v>0</v>
      </c>
      <c r="P60" s="64">
        <v>0.84</v>
      </c>
      <c r="Q60" s="64">
        <v>9.14</v>
      </c>
      <c r="R60" s="198"/>
      <c r="S60" s="198"/>
      <c r="T60" s="198"/>
      <c r="U60" s="198"/>
    </row>
    <row r="61" spans="1:21" s="12" customFormat="1" x14ac:dyDescent="0.25">
      <c r="A61" s="214" t="s">
        <v>2988</v>
      </c>
      <c r="B61" s="64">
        <v>0.97</v>
      </c>
      <c r="C61" s="64">
        <v>26.77</v>
      </c>
      <c r="D61" s="64">
        <v>14.68</v>
      </c>
      <c r="E61" s="64">
        <v>2.2200000000000002</v>
      </c>
      <c r="F61" s="64">
        <v>10.7</v>
      </c>
      <c r="G61" s="64">
        <v>51.62</v>
      </c>
      <c r="H61" s="64">
        <v>20.68</v>
      </c>
      <c r="I61" s="64">
        <v>4.99</v>
      </c>
      <c r="J61" s="64">
        <v>0.13</v>
      </c>
      <c r="K61" s="64">
        <v>319.01</v>
      </c>
      <c r="L61" s="64">
        <v>37.58</v>
      </c>
      <c r="M61" s="64">
        <v>26.72</v>
      </c>
      <c r="N61" s="64">
        <v>820</v>
      </c>
      <c r="O61" s="64">
        <v>0</v>
      </c>
      <c r="P61" s="64">
        <v>0.7</v>
      </c>
      <c r="Q61" s="64">
        <v>9.1</v>
      </c>
      <c r="R61" s="198"/>
      <c r="S61" s="198"/>
      <c r="T61" s="198"/>
      <c r="U61" s="198"/>
    </row>
    <row r="62" spans="1:21" s="12" customFormat="1" x14ac:dyDescent="0.25">
      <c r="A62" s="214" t="s">
        <v>2989</v>
      </c>
      <c r="B62" s="64">
        <v>0.98</v>
      </c>
      <c r="C62" s="64">
        <v>28.31</v>
      </c>
      <c r="D62" s="64">
        <v>15.49</v>
      </c>
      <c r="E62" s="64">
        <v>2.4300000000000002</v>
      </c>
      <c r="F62" s="64">
        <v>8.7200000000000006</v>
      </c>
      <c r="G62" s="64">
        <v>26.45</v>
      </c>
      <c r="H62" s="64">
        <v>22.32</v>
      </c>
      <c r="I62" s="64">
        <v>4.57</v>
      </c>
      <c r="J62" s="64">
        <v>0.16</v>
      </c>
      <c r="K62" s="64">
        <v>297.97000000000003</v>
      </c>
      <c r="L62" s="64">
        <v>37.299999999999997</v>
      </c>
      <c r="M62" s="64">
        <v>26.93</v>
      </c>
      <c r="N62" s="64">
        <v>782.7</v>
      </c>
      <c r="O62" s="64">
        <v>0</v>
      </c>
      <c r="P62" s="64">
        <v>0.71</v>
      </c>
      <c r="Q62" s="64">
        <v>9.09</v>
      </c>
      <c r="R62" s="198"/>
      <c r="S62" s="198"/>
      <c r="T62" s="198"/>
      <c r="U62" s="198"/>
    </row>
    <row r="63" spans="1:21" s="12" customFormat="1" x14ac:dyDescent="0.25">
      <c r="A63" s="214" t="s">
        <v>2990</v>
      </c>
      <c r="B63" s="64">
        <v>0.92</v>
      </c>
      <c r="C63" s="64">
        <v>29.71</v>
      </c>
      <c r="D63" s="64">
        <v>16.18</v>
      </c>
      <c r="E63" s="64">
        <v>3.17</v>
      </c>
      <c r="F63" s="64">
        <v>13.3</v>
      </c>
      <c r="G63" s="64">
        <v>26.45</v>
      </c>
      <c r="H63" s="64">
        <v>22.32</v>
      </c>
      <c r="I63" s="64">
        <v>4.17</v>
      </c>
      <c r="J63" s="64">
        <v>0.56000000000000005</v>
      </c>
      <c r="K63" s="64">
        <v>307.39</v>
      </c>
      <c r="L63" s="64">
        <v>37.9</v>
      </c>
      <c r="M63" s="64">
        <v>26.36</v>
      </c>
      <c r="N63" s="64">
        <v>749.2</v>
      </c>
      <c r="O63" s="64">
        <v>0</v>
      </c>
      <c r="P63" s="64">
        <v>0.63</v>
      </c>
      <c r="Q63" s="64">
        <v>9.09</v>
      </c>
      <c r="R63" s="198"/>
      <c r="S63" s="198"/>
      <c r="T63" s="198"/>
      <c r="U63" s="198"/>
    </row>
    <row r="64" spans="1:21" s="12" customFormat="1" x14ac:dyDescent="0.25">
      <c r="A64" s="214" t="s">
        <v>2991</v>
      </c>
      <c r="B64" s="64">
        <v>0.91</v>
      </c>
      <c r="C64" s="64">
        <v>30.21</v>
      </c>
      <c r="D64" s="64">
        <v>16.43</v>
      </c>
      <c r="E64" s="64">
        <v>2.19</v>
      </c>
      <c r="F64" s="64">
        <v>15.78</v>
      </c>
      <c r="G64" s="64">
        <v>26.45</v>
      </c>
      <c r="H64" s="64">
        <v>22.32</v>
      </c>
      <c r="I64" s="64">
        <v>4.04</v>
      </c>
      <c r="J64" s="64">
        <v>0.56999999999999995</v>
      </c>
      <c r="K64" s="64">
        <v>321.75</v>
      </c>
      <c r="L64" s="64">
        <v>38.57</v>
      </c>
      <c r="M64" s="64">
        <v>27.73</v>
      </c>
      <c r="N64" s="64">
        <v>702</v>
      </c>
      <c r="O64" s="64">
        <v>0</v>
      </c>
      <c r="P64" s="64">
        <v>0.56000000000000005</v>
      </c>
      <c r="Q64" s="64">
        <v>9.11</v>
      </c>
      <c r="R64" s="198"/>
      <c r="S64" s="198"/>
      <c r="T64" s="198"/>
      <c r="U64" s="198"/>
    </row>
    <row r="65" spans="1:21" s="12" customFormat="1" x14ac:dyDescent="0.25">
      <c r="A65" s="214" t="s">
        <v>2992</v>
      </c>
      <c r="B65" s="64">
        <v>0.88</v>
      </c>
      <c r="C65" s="64">
        <v>29.94</v>
      </c>
      <c r="D65" s="64">
        <v>16.27</v>
      </c>
      <c r="E65" s="64">
        <v>2.0099999999999998</v>
      </c>
      <c r="F65" s="64">
        <v>10.93</v>
      </c>
      <c r="G65" s="64">
        <v>30.27</v>
      </c>
      <c r="H65" s="64">
        <v>18.579999999999998</v>
      </c>
      <c r="I65" s="64">
        <v>3.75</v>
      </c>
      <c r="J65" s="64">
        <v>0.45</v>
      </c>
      <c r="K65" s="64">
        <v>326.95999999999998</v>
      </c>
      <c r="L65" s="64">
        <v>37.56</v>
      </c>
      <c r="M65" s="64">
        <v>26.12</v>
      </c>
      <c r="N65" s="64">
        <v>645.70000000000005</v>
      </c>
      <c r="O65" s="64">
        <v>0</v>
      </c>
      <c r="P65" s="64">
        <v>0.53</v>
      </c>
      <c r="Q65" s="64">
        <v>9.14</v>
      </c>
      <c r="R65" s="198"/>
      <c r="S65" s="198"/>
      <c r="T65" s="198"/>
      <c r="U65" s="198"/>
    </row>
    <row r="66" spans="1:21" s="12" customFormat="1" x14ac:dyDescent="0.25">
      <c r="A66" s="214" t="s">
        <v>2993</v>
      </c>
      <c r="B66" s="64">
        <v>1.04</v>
      </c>
      <c r="C66" s="64">
        <v>29.59</v>
      </c>
      <c r="D66" s="64">
        <v>16.21</v>
      </c>
      <c r="E66" s="64">
        <v>1.77</v>
      </c>
      <c r="F66" s="64">
        <v>8.32</v>
      </c>
      <c r="G66" s="64">
        <v>37.54</v>
      </c>
      <c r="H66" s="64">
        <v>11.47</v>
      </c>
      <c r="I66" s="64">
        <v>3.41</v>
      </c>
      <c r="J66" s="64">
        <v>0.34</v>
      </c>
      <c r="K66" s="64">
        <v>323.95</v>
      </c>
      <c r="L66" s="64">
        <v>37.869999999999997</v>
      </c>
      <c r="M66" s="64">
        <v>23.82</v>
      </c>
      <c r="N66" s="64">
        <v>405.4</v>
      </c>
      <c r="O66" s="64">
        <v>0</v>
      </c>
      <c r="P66" s="64">
        <v>0.52</v>
      </c>
      <c r="Q66" s="64">
        <v>9.11</v>
      </c>
      <c r="R66" s="198"/>
      <c r="S66" s="198"/>
      <c r="T66" s="198"/>
      <c r="U66" s="198"/>
    </row>
    <row r="67" spans="1:21" s="12" customFormat="1" x14ac:dyDescent="0.25">
      <c r="A67" s="214" t="s">
        <v>2994</v>
      </c>
      <c r="B67" s="64">
        <v>1.1000000000000001</v>
      </c>
      <c r="C67" s="64">
        <v>29.09</v>
      </c>
      <c r="D67" s="64">
        <v>16</v>
      </c>
      <c r="E67" s="64">
        <v>1.87</v>
      </c>
      <c r="F67" s="64">
        <v>8.94</v>
      </c>
      <c r="G67" s="64">
        <v>37.54</v>
      </c>
      <c r="H67" s="64">
        <v>11.47</v>
      </c>
      <c r="I67" s="64">
        <v>3.33</v>
      </c>
      <c r="J67" s="64">
        <v>0.33</v>
      </c>
      <c r="K67" s="64">
        <v>310.7</v>
      </c>
      <c r="L67" s="64">
        <v>37.14</v>
      </c>
      <c r="M67" s="64">
        <v>24.53</v>
      </c>
      <c r="N67" s="64">
        <v>336.5</v>
      </c>
      <c r="O67" s="64">
        <v>0</v>
      </c>
      <c r="P67" s="64">
        <v>0.48</v>
      </c>
      <c r="Q67" s="64">
        <v>9.11</v>
      </c>
      <c r="R67" s="198"/>
      <c r="S67" s="198"/>
      <c r="T67" s="198"/>
      <c r="U67" s="198"/>
    </row>
    <row r="68" spans="1:21" s="12" customFormat="1" x14ac:dyDescent="0.25">
      <c r="A68" s="214" t="s">
        <v>2995</v>
      </c>
      <c r="B68" s="64">
        <v>1</v>
      </c>
      <c r="C68" s="64">
        <v>28.32</v>
      </c>
      <c r="D68" s="64">
        <v>15.51</v>
      </c>
      <c r="E68" s="64">
        <v>2.41</v>
      </c>
      <c r="F68" s="64">
        <v>14.5</v>
      </c>
      <c r="G68" s="64">
        <v>37.54</v>
      </c>
      <c r="H68" s="64">
        <v>11.47</v>
      </c>
      <c r="I68" s="64">
        <v>3.28</v>
      </c>
      <c r="J68" s="64">
        <v>0.37</v>
      </c>
      <c r="K68" s="64">
        <v>320.17</v>
      </c>
      <c r="L68" s="64">
        <v>37.06</v>
      </c>
      <c r="M68" s="64">
        <v>26.06</v>
      </c>
      <c r="N68" s="64">
        <v>351.4</v>
      </c>
      <c r="O68" s="64">
        <v>0</v>
      </c>
      <c r="P68" s="64">
        <v>0.47</v>
      </c>
      <c r="Q68" s="64">
        <v>9.11</v>
      </c>
      <c r="R68" s="198"/>
      <c r="S68" s="198"/>
      <c r="T68" s="198"/>
      <c r="U68" s="198"/>
    </row>
    <row r="69" spans="1:21" s="12" customFormat="1" x14ac:dyDescent="0.25">
      <c r="A69" s="214" t="s">
        <v>2996</v>
      </c>
      <c r="B69" s="64">
        <v>0.87</v>
      </c>
      <c r="C69" s="64">
        <v>27.89</v>
      </c>
      <c r="D69" s="64">
        <v>15.19</v>
      </c>
      <c r="E69" s="64">
        <v>2.2000000000000002</v>
      </c>
      <c r="F69" s="64">
        <v>10.78</v>
      </c>
      <c r="G69" s="64">
        <v>35.78</v>
      </c>
      <c r="H69" s="64">
        <v>10.1</v>
      </c>
      <c r="I69" s="64">
        <v>3.14</v>
      </c>
      <c r="J69" s="64">
        <v>0.28000000000000003</v>
      </c>
      <c r="K69" s="64">
        <v>356.11</v>
      </c>
      <c r="L69" s="64">
        <v>36.83</v>
      </c>
      <c r="M69" s="64">
        <v>27.26</v>
      </c>
      <c r="N69" s="64">
        <v>272.8</v>
      </c>
      <c r="O69" s="64">
        <v>0</v>
      </c>
      <c r="P69" s="64">
        <v>0.48</v>
      </c>
      <c r="Q69" s="64">
        <v>9.09</v>
      </c>
      <c r="R69" s="198"/>
      <c r="S69" s="198"/>
      <c r="T69" s="198"/>
      <c r="U69" s="198"/>
    </row>
    <row r="70" spans="1:21" s="12" customFormat="1" x14ac:dyDescent="0.25">
      <c r="A70" s="214" t="s">
        <v>2997</v>
      </c>
      <c r="B70" s="64">
        <v>1</v>
      </c>
      <c r="C70" s="64">
        <v>26.62</v>
      </c>
      <c r="D70" s="64">
        <v>14.63</v>
      </c>
      <c r="E70" s="64">
        <v>1.96</v>
      </c>
      <c r="F70" s="64">
        <v>9.01</v>
      </c>
      <c r="G70" s="64">
        <v>32.44</v>
      </c>
      <c r="H70" s="64">
        <v>7.48</v>
      </c>
      <c r="I70" s="64">
        <v>3.16</v>
      </c>
      <c r="J70" s="64">
        <v>0.22</v>
      </c>
      <c r="K70" s="64">
        <v>326.33999999999997</v>
      </c>
      <c r="L70" s="64">
        <v>36.729999999999997</v>
      </c>
      <c r="M70" s="64">
        <v>27.28</v>
      </c>
      <c r="N70" s="64">
        <v>285.39999999999998</v>
      </c>
      <c r="O70" s="64">
        <v>0</v>
      </c>
      <c r="P70" s="64">
        <v>0.49</v>
      </c>
      <c r="Q70" s="64">
        <v>9.1300000000000008</v>
      </c>
      <c r="R70" s="198"/>
      <c r="S70" s="198"/>
      <c r="T70" s="198"/>
      <c r="U70" s="198"/>
    </row>
    <row r="71" spans="1:21" s="12" customFormat="1" x14ac:dyDescent="0.25">
      <c r="A71" s="214" t="s">
        <v>2998</v>
      </c>
      <c r="B71" s="64">
        <v>1.04</v>
      </c>
      <c r="C71" s="64">
        <v>25.32</v>
      </c>
      <c r="D71" s="64">
        <v>13.98</v>
      </c>
      <c r="E71" s="64">
        <v>2.1800000000000002</v>
      </c>
      <c r="F71" s="64">
        <v>8.1199999999999992</v>
      </c>
      <c r="G71" s="64">
        <v>32.44</v>
      </c>
      <c r="H71" s="64">
        <v>7.48</v>
      </c>
      <c r="I71" s="64">
        <v>3.24</v>
      </c>
      <c r="J71" s="64">
        <v>0.28999999999999998</v>
      </c>
      <c r="K71" s="64">
        <v>357.65</v>
      </c>
      <c r="L71" s="64">
        <v>36.69</v>
      </c>
      <c r="M71" s="64">
        <v>26.71</v>
      </c>
      <c r="N71" s="64">
        <v>280.2</v>
      </c>
      <c r="O71" s="64">
        <v>0</v>
      </c>
      <c r="P71" s="64">
        <v>0.48</v>
      </c>
      <c r="Q71" s="64">
        <v>9.1300000000000008</v>
      </c>
      <c r="R71" s="198"/>
      <c r="S71" s="198"/>
      <c r="T71" s="198"/>
      <c r="U71" s="198"/>
    </row>
    <row r="72" spans="1:21" s="12" customFormat="1" x14ac:dyDescent="0.25">
      <c r="A72" s="214" t="s">
        <v>2999</v>
      </c>
      <c r="B72" s="64">
        <v>0.99</v>
      </c>
      <c r="C72" s="64">
        <v>24.78</v>
      </c>
      <c r="D72" s="64">
        <v>13.66</v>
      </c>
      <c r="E72" s="64">
        <v>2.4900000000000002</v>
      </c>
      <c r="F72" s="64">
        <v>13.84</v>
      </c>
      <c r="G72" s="64">
        <v>32.44</v>
      </c>
      <c r="H72" s="64">
        <v>7.48</v>
      </c>
      <c r="I72" s="64">
        <v>3.35</v>
      </c>
      <c r="J72" s="64">
        <v>0.11</v>
      </c>
      <c r="K72" s="64">
        <v>318.77</v>
      </c>
      <c r="L72" s="64">
        <v>36.4</v>
      </c>
      <c r="M72" s="64">
        <v>26.54</v>
      </c>
      <c r="N72" s="64">
        <v>198.3</v>
      </c>
      <c r="O72" s="64">
        <v>0</v>
      </c>
      <c r="P72" s="64">
        <v>0.45</v>
      </c>
      <c r="Q72" s="64">
        <v>9.09</v>
      </c>
      <c r="R72" s="198"/>
      <c r="S72" s="198"/>
      <c r="T72" s="198"/>
      <c r="U72" s="198"/>
    </row>
    <row r="73" spans="1:21" s="12" customFormat="1" x14ac:dyDescent="0.25">
      <c r="A73" s="214" t="s">
        <v>3000</v>
      </c>
      <c r="B73" s="64">
        <v>0.81</v>
      </c>
      <c r="C73" s="64">
        <v>23.78</v>
      </c>
      <c r="D73" s="64">
        <v>12.99</v>
      </c>
      <c r="E73" s="64">
        <v>2.9</v>
      </c>
      <c r="F73" s="64">
        <v>12.84</v>
      </c>
      <c r="G73" s="64">
        <v>38.56</v>
      </c>
      <c r="H73" s="64">
        <v>13.12</v>
      </c>
      <c r="I73" s="64">
        <v>3.26</v>
      </c>
      <c r="J73" s="64">
        <v>0.17</v>
      </c>
      <c r="K73" s="64">
        <v>355.24</v>
      </c>
      <c r="L73" s="64">
        <v>36.24</v>
      </c>
      <c r="M73" s="64">
        <v>26.73</v>
      </c>
      <c r="N73" s="64">
        <v>165.8</v>
      </c>
      <c r="O73" s="64">
        <v>0</v>
      </c>
      <c r="P73" s="64">
        <v>0.43</v>
      </c>
      <c r="Q73" s="64">
        <v>9.1</v>
      </c>
      <c r="R73" s="198"/>
      <c r="S73" s="198"/>
      <c r="T73" s="198"/>
      <c r="U73" s="198"/>
    </row>
    <row r="74" spans="1:21" s="12" customFormat="1" x14ac:dyDescent="0.25">
      <c r="A74" s="214" t="s">
        <v>3001</v>
      </c>
      <c r="B74" s="64">
        <v>0.87</v>
      </c>
      <c r="C74" s="64">
        <v>23.74</v>
      </c>
      <c r="D74" s="64">
        <v>13.02</v>
      </c>
      <c r="E74" s="64">
        <v>2.84</v>
      </c>
      <c r="F74" s="64">
        <v>9.48</v>
      </c>
      <c r="G74" s="64">
        <v>50.23</v>
      </c>
      <c r="H74" s="64">
        <v>23.87</v>
      </c>
      <c r="I74" s="64">
        <v>3.02</v>
      </c>
      <c r="J74" s="64">
        <v>0.17</v>
      </c>
      <c r="K74" s="64">
        <v>332.45</v>
      </c>
      <c r="L74" s="64">
        <v>36.25</v>
      </c>
      <c r="M74" s="64">
        <v>26.32</v>
      </c>
      <c r="N74" s="64">
        <v>137</v>
      </c>
      <c r="O74" s="64">
        <v>0</v>
      </c>
      <c r="P74" s="64">
        <v>0.42</v>
      </c>
      <c r="Q74" s="64">
        <v>9.1</v>
      </c>
      <c r="R74" s="198"/>
      <c r="S74" s="198"/>
      <c r="T74" s="198"/>
      <c r="U74" s="198"/>
    </row>
    <row r="75" spans="1:21" s="12" customFormat="1" x14ac:dyDescent="0.25">
      <c r="A75" s="214" t="s">
        <v>3002</v>
      </c>
      <c r="B75" s="64">
        <v>0.93</v>
      </c>
      <c r="C75" s="64">
        <v>23.52</v>
      </c>
      <c r="D75" s="64">
        <v>12.96</v>
      </c>
      <c r="E75" s="64">
        <v>2.56</v>
      </c>
      <c r="F75" s="64">
        <v>8.51</v>
      </c>
      <c r="G75" s="64">
        <v>50.23</v>
      </c>
      <c r="H75" s="64">
        <v>23.87</v>
      </c>
      <c r="I75" s="64">
        <v>2.84</v>
      </c>
      <c r="J75" s="64">
        <v>0.11</v>
      </c>
      <c r="K75" s="64">
        <v>328.02</v>
      </c>
      <c r="L75" s="64">
        <v>35.950000000000003</v>
      </c>
      <c r="M75" s="64">
        <v>26</v>
      </c>
      <c r="N75" s="64">
        <v>113.2</v>
      </c>
      <c r="O75" s="64">
        <v>0</v>
      </c>
      <c r="P75" s="64">
        <v>0.41</v>
      </c>
      <c r="Q75" s="64">
        <v>9.1199999999999992</v>
      </c>
      <c r="R75" s="198"/>
      <c r="S75" s="198"/>
      <c r="T75" s="198"/>
      <c r="U75" s="198"/>
    </row>
    <row r="76" spans="1:21" s="12" customFormat="1" x14ac:dyDescent="0.25">
      <c r="A76" s="214" t="s">
        <v>3003</v>
      </c>
      <c r="B76" s="64">
        <v>0.36</v>
      </c>
      <c r="C76" s="64">
        <v>15.06</v>
      </c>
      <c r="D76" s="64">
        <v>8.08</v>
      </c>
      <c r="E76" s="64">
        <v>2.42</v>
      </c>
      <c r="F76" s="64">
        <v>8.0500000000000007</v>
      </c>
      <c r="G76" s="64">
        <v>50.23</v>
      </c>
      <c r="H76" s="64">
        <v>23.87</v>
      </c>
      <c r="I76" s="64">
        <v>2.78</v>
      </c>
      <c r="J76" s="64">
        <v>0.08</v>
      </c>
      <c r="K76" s="64">
        <v>7.69</v>
      </c>
      <c r="L76" s="64">
        <v>35.869999999999997</v>
      </c>
      <c r="M76" s="64">
        <v>26.5</v>
      </c>
      <c r="N76" s="64">
        <v>101.3</v>
      </c>
      <c r="O76" s="64">
        <v>0</v>
      </c>
      <c r="P76" s="64">
        <v>0.41</v>
      </c>
      <c r="Q76" s="64">
        <v>9.1</v>
      </c>
      <c r="R76" s="198"/>
      <c r="S76" s="198"/>
      <c r="T76" s="198"/>
      <c r="U76" s="198"/>
    </row>
    <row r="77" spans="1:21" s="12" customFormat="1" x14ac:dyDescent="0.25">
      <c r="A77" s="214" t="s">
        <v>3004</v>
      </c>
      <c r="B77" s="64">
        <v>0.96</v>
      </c>
      <c r="C77" s="64">
        <v>23.37</v>
      </c>
      <c r="D77" s="64">
        <v>12.9</v>
      </c>
      <c r="E77" s="64">
        <v>2.5499999999999998</v>
      </c>
      <c r="F77" s="64">
        <v>6.48</v>
      </c>
      <c r="G77" s="64">
        <v>47.23</v>
      </c>
      <c r="H77" s="64">
        <v>20.28</v>
      </c>
      <c r="I77" s="64">
        <v>2.75</v>
      </c>
      <c r="J77" s="64">
        <v>0.17</v>
      </c>
      <c r="K77" s="64">
        <v>11.59</v>
      </c>
      <c r="L77" s="64">
        <v>35.79</v>
      </c>
      <c r="M77" s="64">
        <v>26.27</v>
      </c>
      <c r="N77" s="64">
        <v>92.4</v>
      </c>
      <c r="O77" s="64">
        <v>0</v>
      </c>
      <c r="P77" s="64">
        <v>0.42</v>
      </c>
      <c r="Q77" s="64">
        <v>9.11</v>
      </c>
      <c r="R77" s="198"/>
      <c r="S77" s="198"/>
      <c r="T77" s="198"/>
      <c r="U77" s="198"/>
    </row>
    <row r="78" spans="1:21" s="12" customFormat="1" x14ac:dyDescent="0.25">
      <c r="A78" s="214" t="s">
        <v>3005</v>
      </c>
      <c r="B78" s="64">
        <v>1.1599999999999999</v>
      </c>
      <c r="C78" s="64">
        <v>25.92</v>
      </c>
      <c r="D78" s="64">
        <v>14.39</v>
      </c>
      <c r="E78" s="64">
        <v>2.84</v>
      </c>
      <c r="F78" s="64">
        <v>13.07</v>
      </c>
      <c r="G78" s="64">
        <v>41.53</v>
      </c>
      <c r="H78" s="64">
        <v>13.44</v>
      </c>
      <c r="I78" s="64">
        <v>2.77</v>
      </c>
      <c r="J78" s="64">
        <v>0.25</v>
      </c>
      <c r="K78" s="64">
        <v>4.1100000000000003</v>
      </c>
      <c r="L78" s="64">
        <v>35.229999999999997</v>
      </c>
      <c r="M78" s="64">
        <v>28.45</v>
      </c>
      <c r="N78" s="64">
        <v>78.400000000000006</v>
      </c>
      <c r="O78" s="64">
        <v>0</v>
      </c>
      <c r="P78" s="64">
        <v>0.42</v>
      </c>
      <c r="Q78" s="64">
        <v>9.1</v>
      </c>
      <c r="R78" s="198"/>
      <c r="S78" s="198"/>
      <c r="T78" s="198"/>
      <c r="U78" s="198"/>
    </row>
    <row r="79" spans="1:21" s="12" customFormat="1" x14ac:dyDescent="0.25">
      <c r="A79" s="214" t="s">
        <v>3006</v>
      </c>
      <c r="B79" s="64">
        <v>1.1599999999999999</v>
      </c>
      <c r="C79" s="64">
        <v>28.46</v>
      </c>
      <c r="D79" s="64">
        <v>15.72</v>
      </c>
      <c r="E79" s="64">
        <v>2.5099999999999998</v>
      </c>
      <c r="F79" s="64">
        <v>12.05</v>
      </c>
      <c r="G79" s="64">
        <v>41.53</v>
      </c>
      <c r="H79" s="64">
        <v>13.44</v>
      </c>
      <c r="I79" s="64">
        <v>2.83</v>
      </c>
      <c r="J79" s="64">
        <v>0.53</v>
      </c>
      <c r="K79" s="64">
        <v>322.95999999999998</v>
      </c>
      <c r="L79" s="64">
        <v>33.67</v>
      </c>
      <c r="M79" s="64">
        <v>35.1</v>
      </c>
      <c r="N79" s="64">
        <v>54.5</v>
      </c>
      <c r="O79" s="64">
        <v>0</v>
      </c>
      <c r="P79" s="64">
        <v>0.41</v>
      </c>
      <c r="Q79" s="64">
        <v>9.1</v>
      </c>
      <c r="R79" s="198"/>
      <c r="S79" s="198"/>
      <c r="T79" s="198"/>
      <c r="U79" s="198"/>
    </row>
    <row r="80" spans="1:21" s="12" customFormat="1" x14ac:dyDescent="0.25">
      <c r="A80" s="214" t="s">
        <v>3007</v>
      </c>
      <c r="B80" s="64">
        <v>1.22</v>
      </c>
      <c r="C80" s="64">
        <v>30.28</v>
      </c>
      <c r="D80" s="64">
        <v>16.72</v>
      </c>
      <c r="E80" s="64">
        <v>2.59</v>
      </c>
      <c r="F80" s="64">
        <v>7.77</v>
      </c>
      <c r="G80" s="64">
        <v>41.53</v>
      </c>
      <c r="H80" s="64">
        <v>13.44</v>
      </c>
      <c r="I80" s="64">
        <v>2.74</v>
      </c>
      <c r="J80" s="64">
        <v>0.92</v>
      </c>
      <c r="K80" s="64">
        <v>317.99</v>
      </c>
      <c r="L80" s="64">
        <v>32.17</v>
      </c>
      <c r="M80" s="64">
        <v>39.42</v>
      </c>
      <c r="N80" s="64">
        <v>41.5</v>
      </c>
      <c r="O80" s="64">
        <v>0</v>
      </c>
      <c r="P80" s="64">
        <v>0.43</v>
      </c>
      <c r="Q80" s="64">
        <v>9.09</v>
      </c>
      <c r="R80" s="198"/>
      <c r="S80" s="198"/>
      <c r="T80" s="198"/>
      <c r="U80" s="198"/>
    </row>
    <row r="81" spans="1:26" s="12" customFormat="1" x14ac:dyDescent="0.25">
      <c r="A81" s="214" t="s">
        <v>3008</v>
      </c>
      <c r="B81" s="64">
        <v>1.3</v>
      </c>
      <c r="C81" s="64">
        <v>33.1</v>
      </c>
      <c r="D81" s="64">
        <v>18.260000000000002</v>
      </c>
      <c r="E81" s="64">
        <v>2.4700000000000002</v>
      </c>
      <c r="F81" s="64">
        <v>6.32</v>
      </c>
      <c r="G81" s="64">
        <v>40.75</v>
      </c>
      <c r="H81" s="64">
        <v>17.32</v>
      </c>
      <c r="I81" s="64">
        <v>2.59</v>
      </c>
      <c r="J81" s="64">
        <v>0.78</v>
      </c>
      <c r="K81" s="64">
        <v>320.66000000000003</v>
      </c>
      <c r="L81" s="64">
        <v>31.74</v>
      </c>
      <c r="M81" s="64">
        <v>39.69</v>
      </c>
      <c r="N81" s="64">
        <v>35.1</v>
      </c>
      <c r="O81" s="64">
        <v>0</v>
      </c>
      <c r="P81" s="64">
        <v>0.45</v>
      </c>
      <c r="Q81" s="64">
        <v>9.1199999999999992</v>
      </c>
      <c r="R81" s="198"/>
      <c r="S81" s="198"/>
      <c r="T81" s="198"/>
      <c r="U81" s="198"/>
    </row>
    <row r="82" spans="1:26" s="12" customFormat="1" x14ac:dyDescent="0.25">
      <c r="A82" s="214" t="s">
        <v>3009</v>
      </c>
      <c r="B82" s="64">
        <v>1.6</v>
      </c>
      <c r="C82" s="64">
        <v>34.15</v>
      </c>
      <c r="D82" s="64">
        <v>19.05</v>
      </c>
      <c r="E82" s="64">
        <v>2.11</v>
      </c>
      <c r="F82" s="64">
        <v>5.0999999999999996</v>
      </c>
      <c r="G82" s="64">
        <v>39.26</v>
      </c>
      <c r="H82" s="64">
        <v>24.71</v>
      </c>
      <c r="I82" s="64">
        <v>2.72</v>
      </c>
      <c r="J82" s="64">
        <v>1.1599999999999999</v>
      </c>
      <c r="K82" s="64">
        <v>318.58999999999997</v>
      </c>
      <c r="L82" s="64">
        <v>31.28</v>
      </c>
      <c r="M82" s="64">
        <v>41.44</v>
      </c>
      <c r="N82" s="64">
        <v>26.6</v>
      </c>
      <c r="O82" s="64">
        <v>0</v>
      </c>
      <c r="P82" s="64">
        <v>0.45</v>
      </c>
      <c r="Q82" s="64">
        <v>9.1</v>
      </c>
      <c r="R82" s="198"/>
      <c r="S82" s="198"/>
      <c r="T82" s="198"/>
      <c r="U82" s="198"/>
    </row>
    <row r="83" spans="1:26" s="12" customFormat="1" x14ac:dyDescent="0.25">
      <c r="A83" s="214" t="s">
        <v>3010</v>
      </c>
      <c r="B83" s="64">
        <v>1.92</v>
      </c>
      <c r="C83" s="64">
        <v>30.58</v>
      </c>
      <c r="D83" s="64">
        <v>17.440000000000001</v>
      </c>
      <c r="E83" s="64">
        <v>2.11</v>
      </c>
      <c r="F83" s="64">
        <v>4.58</v>
      </c>
      <c r="G83" s="64">
        <v>39.26</v>
      </c>
      <c r="H83" s="64">
        <v>24.71</v>
      </c>
      <c r="I83" s="64">
        <v>2.99</v>
      </c>
      <c r="J83" s="64">
        <v>0.78</v>
      </c>
      <c r="K83" s="64">
        <v>313.85000000000002</v>
      </c>
      <c r="L83" s="64">
        <v>31.3</v>
      </c>
      <c r="M83" s="64">
        <v>37.21</v>
      </c>
      <c r="N83" s="64">
        <v>25.7</v>
      </c>
      <c r="O83" s="64">
        <v>0</v>
      </c>
      <c r="P83" s="64">
        <v>0.46</v>
      </c>
      <c r="Q83" s="64">
        <v>9.09</v>
      </c>
      <c r="R83" s="198"/>
      <c r="S83" s="198"/>
      <c r="T83" s="198"/>
      <c r="U83" s="198"/>
    </row>
    <row r="84" spans="1:26" s="12" customFormat="1" x14ac:dyDescent="0.25">
      <c r="A84" s="214" t="s">
        <v>3011</v>
      </c>
      <c r="B84" s="64">
        <v>2.19</v>
      </c>
      <c r="C84" s="64">
        <v>29.51</v>
      </c>
      <c r="D84" s="64">
        <v>17.09</v>
      </c>
      <c r="E84" s="64">
        <v>2.19</v>
      </c>
      <c r="F84" s="64">
        <v>4.46</v>
      </c>
      <c r="G84" s="64">
        <v>39.26</v>
      </c>
      <c r="H84" s="64">
        <v>24.71</v>
      </c>
      <c r="I84" s="64">
        <v>3.26</v>
      </c>
      <c r="J84" s="64">
        <v>0.63</v>
      </c>
      <c r="K84" s="64">
        <v>314.47000000000003</v>
      </c>
      <c r="L84" s="64">
        <v>32.159999999999997</v>
      </c>
      <c r="M84" s="64">
        <v>32.86</v>
      </c>
      <c r="N84" s="64">
        <v>25.5</v>
      </c>
      <c r="O84" s="64">
        <v>0</v>
      </c>
      <c r="P84" s="64">
        <v>0.47</v>
      </c>
      <c r="Q84" s="64">
        <v>9.1</v>
      </c>
      <c r="R84" s="198"/>
      <c r="S84" s="198"/>
      <c r="T84" s="198"/>
      <c r="U84" s="198"/>
    </row>
    <row r="85" spans="1:26" s="12" customFormat="1" x14ac:dyDescent="0.25">
      <c r="A85" s="214" t="s">
        <v>3012</v>
      </c>
      <c r="B85" s="64">
        <v>2.62</v>
      </c>
      <c r="C85" s="64">
        <v>29.71</v>
      </c>
      <c r="D85" s="64">
        <v>17.55</v>
      </c>
      <c r="E85" s="64">
        <v>2.0299999999999998</v>
      </c>
      <c r="F85" s="64">
        <v>4.26</v>
      </c>
      <c r="G85" s="64">
        <v>37.93</v>
      </c>
      <c r="H85" s="64">
        <v>22.3</v>
      </c>
      <c r="I85" s="64">
        <v>3.4</v>
      </c>
      <c r="J85" s="64">
        <v>0.62</v>
      </c>
      <c r="K85" s="64">
        <v>321.05</v>
      </c>
      <c r="L85" s="64">
        <v>31.84</v>
      </c>
      <c r="M85" s="64">
        <v>34.340000000000003</v>
      </c>
      <c r="N85" s="64">
        <v>25.4</v>
      </c>
      <c r="O85" s="64">
        <v>0</v>
      </c>
      <c r="P85" s="64">
        <v>0.53</v>
      </c>
      <c r="Q85" s="64">
        <v>9.11</v>
      </c>
      <c r="R85" s="198"/>
      <c r="S85" s="198"/>
      <c r="T85" s="198"/>
      <c r="U85" s="198"/>
    </row>
    <row r="86" spans="1:26" s="12" customFormat="1" x14ac:dyDescent="0.25">
      <c r="A86" s="214" t="s">
        <v>3013</v>
      </c>
      <c r="B86" s="64">
        <v>3.24</v>
      </c>
      <c r="C86" s="64">
        <v>29.88</v>
      </c>
      <c r="D86" s="64">
        <v>18.13</v>
      </c>
      <c r="E86" s="64">
        <v>2.4500000000000002</v>
      </c>
      <c r="F86" s="64">
        <v>3.43</v>
      </c>
      <c r="G86" s="64">
        <v>35.39</v>
      </c>
      <c r="H86" s="64">
        <v>17.71</v>
      </c>
      <c r="I86" s="64">
        <v>3.66</v>
      </c>
      <c r="J86" s="64">
        <v>0.5</v>
      </c>
      <c r="K86" s="64">
        <v>336.13</v>
      </c>
      <c r="L86" s="64">
        <v>31.49</v>
      </c>
      <c r="M86" s="64">
        <v>35.43</v>
      </c>
      <c r="N86" s="64">
        <v>25.4</v>
      </c>
      <c r="O86" s="64">
        <v>0</v>
      </c>
      <c r="P86" s="64">
        <v>0.62</v>
      </c>
      <c r="Q86" s="64">
        <v>9.15</v>
      </c>
      <c r="R86" s="198"/>
      <c r="S86" s="198"/>
      <c r="T86" s="198"/>
      <c r="U86" s="198"/>
    </row>
    <row r="87" spans="1:26" s="12" customFormat="1" x14ac:dyDescent="0.25">
      <c r="A87" s="214" t="s">
        <v>3014</v>
      </c>
      <c r="B87" s="64">
        <v>4.45</v>
      </c>
      <c r="C87" s="64">
        <v>30.36</v>
      </c>
      <c r="D87" s="64">
        <v>19.350000000000001</v>
      </c>
      <c r="E87" s="64">
        <v>2.58</v>
      </c>
      <c r="F87" s="64">
        <v>4.3499999999999996</v>
      </c>
      <c r="G87" s="64">
        <v>35.39</v>
      </c>
      <c r="H87" s="64">
        <v>17.71</v>
      </c>
      <c r="I87" s="64">
        <v>4.17</v>
      </c>
      <c r="J87" s="64">
        <v>0.47</v>
      </c>
      <c r="K87" s="64">
        <v>343.66</v>
      </c>
      <c r="L87" s="64">
        <v>31.17</v>
      </c>
      <c r="M87" s="64">
        <v>37.119999999999997</v>
      </c>
      <c r="N87" s="64">
        <v>25.4</v>
      </c>
      <c r="O87" s="64">
        <v>0</v>
      </c>
      <c r="P87" s="64">
        <v>0.68</v>
      </c>
      <c r="Q87" s="64">
        <v>9.17</v>
      </c>
      <c r="R87" s="198"/>
      <c r="S87" s="198"/>
      <c r="T87" s="198"/>
      <c r="U87" s="198"/>
    </row>
    <row r="88" spans="1:26" s="12" customFormat="1" x14ac:dyDescent="0.25">
      <c r="A88" s="214" t="s">
        <v>3015</v>
      </c>
      <c r="B88" s="64">
        <v>5.71</v>
      </c>
      <c r="C88" s="64">
        <v>31.12</v>
      </c>
      <c r="D88" s="64">
        <v>20.76</v>
      </c>
      <c r="E88" s="64">
        <v>1.96</v>
      </c>
      <c r="F88" s="64">
        <v>3.6</v>
      </c>
      <c r="G88" s="64">
        <v>35.39</v>
      </c>
      <c r="H88" s="64">
        <v>17.71</v>
      </c>
      <c r="I88" s="64">
        <v>4.33</v>
      </c>
      <c r="J88" s="64">
        <v>0.4</v>
      </c>
      <c r="K88" s="64">
        <v>348.71</v>
      </c>
      <c r="L88" s="64">
        <v>30.87</v>
      </c>
      <c r="M88" s="64">
        <v>38.49</v>
      </c>
      <c r="N88" s="64">
        <v>25.3</v>
      </c>
      <c r="O88" s="64">
        <v>0</v>
      </c>
      <c r="P88" s="64">
        <v>0.75</v>
      </c>
      <c r="Q88" s="64">
        <v>9.14</v>
      </c>
      <c r="R88" s="198"/>
      <c r="S88" s="198"/>
      <c r="T88" s="198"/>
      <c r="U88" s="198"/>
    </row>
    <row r="89" spans="1:26" s="12" customFormat="1" x14ac:dyDescent="0.25">
      <c r="A89" s="214" t="s">
        <v>3016</v>
      </c>
      <c r="B89" s="64">
        <v>7.59</v>
      </c>
      <c r="C89" s="64">
        <v>30.24</v>
      </c>
      <c r="D89" s="64">
        <v>21.81</v>
      </c>
      <c r="E89" s="64">
        <v>2</v>
      </c>
      <c r="F89" s="64">
        <v>3.95</v>
      </c>
      <c r="G89" s="64">
        <v>40.03</v>
      </c>
      <c r="H89" s="64">
        <v>20.59</v>
      </c>
      <c r="I89" s="64">
        <v>4.92</v>
      </c>
      <c r="J89" s="64">
        <v>0.36</v>
      </c>
      <c r="K89" s="64">
        <v>172.25</v>
      </c>
      <c r="L89" s="64">
        <v>30.88</v>
      </c>
      <c r="M89" s="64">
        <v>38.42</v>
      </c>
      <c r="N89" s="64">
        <v>24.7</v>
      </c>
      <c r="O89" s="64">
        <v>0</v>
      </c>
      <c r="P89" s="64">
        <v>0.81</v>
      </c>
      <c r="Q89" s="64">
        <v>9.1199999999999992</v>
      </c>
      <c r="R89" s="198"/>
      <c r="S89" s="198"/>
      <c r="T89" s="198"/>
      <c r="U89" s="198"/>
    </row>
    <row r="90" spans="1:26" s="12" customFormat="1" x14ac:dyDescent="0.25">
      <c r="A90" s="214" t="s">
        <v>3017</v>
      </c>
      <c r="B90" s="64">
        <v>8.51</v>
      </c>
      <c r="C90" s="64">
        <v>30.18</v>
      </c>
      <c r="D90" s="64">
        <v>22.51</v>
      </c>
      <c r="E90" s="64">
        <v>2.1</v>
      </c>
      <c r="F90" s="64">
        <v>3.82</v>
      </c>
      <c r="G90" s="64">
        <v>48.87</v>
      </c>
      <c r="H90" s="64">
        <v>26.05</v>
      </c>
      <c r="I90" s="64">
        <v>5.56</v>
      </c>
      <c r="J90" s="64">
        <v>0.84</v>
      </c>
      <c r="K90" s="64">
        <v>157.9</v>
      </c>
      <c r="L90" s="64">
        <v>31.16</v>
      </c>
      <c r="M90" s="64">
        <v>38.85</v>
      </c>
      <c r="N90" s="64">
        <v>24.6</v>
      </c>
      <c r="O90" s="64">
        <v>0</v>
      </c>
      <c r="P90" s="64">
        <v>0.81</v>
      </c>
      <c r="Q90" s="64">
        <v>9.11</v>
      </c>
      <c r="R90" s="198"/>
      <c r="S90" s="198"/>
      <c r="T90" s="198"/>
      <c r="U90" s="198"/>
    </row>
    <row r="91" spans="1:26" s="12" customFormat="1" x14ac:dyDescent="0.25">
      <c r="A91" s="214" t="s">
        <v>3018</v>
      </c>
      <c r="B91" s="64">
        <v>8.4700000000000006</v>
      </c>
      <c r="C91" s="64">
        <v>30.1</v>
      </c>
      <c r="D91" s="64">
        <v>22.44</v>
      </c>
      <c r="E91" s="64">
        <v>1.92</v>
      </c>
      <c r="F91" s="64">
        <v>3.22</v>
      </c>
      <c r="G91" s="64">
        <v>48.87</v>
      </c>
      <c r="H91" s="64">
        <v>26.05</v>
      </c>
      <c r="I91" s="64">
        <v>5.99</v>
      </c>
      <c r="J91" s="64">
        <v>1.1200000000000001</v>
      </c>
      <c r="K91" s="64">
        <v>157.55000000000001</v>
      </c>
      <c r="L91" s="64">
        <v>30.77</v>
      </c>
      <c r="M91" s="64">
        <v>39.69</v>
      </c>
      <c r="N91" s="64">
        <v>25</v>
      </c>
      <c r="O91" s="64">
        <v>0</v>
      </c>
      <c r="P91" s="64">
        <v>0.8</v>
      </c>
      <c r="Q91" s="64">
        <v>9.11</v>
      </c>
      <c r="R91" s="198"/>
      <c r="S91" s="198"/>
      <c r="T91" s="198"/>
      <c r="U91" s="198"/>
    </row>
    <row r="92" spans="1:26" s="12" customFormat="1" x14ac:dyDescent="0.25">
      <c r="A92" s="214" t="s">
        <v>3019</v>
      </c>
      <c r="B92" s="64">
        <v>7.78</v>
      </c>
      <c r="C92" s="64">
        <v>29.54</v>
      </c>
      <c r="D92" s="64">
        <v>21.59</v>
      </c>
      <c r="E92" s="64">
        <v>1.83</v>
      </c>
      <c r="F92" s="64">
        <v>3.44</v>
      </c>
      <c r="G92" s="64">
        <v>48.87</v>
      </c>
      <c r="H92" s="64">
        <v>26.05</v>
      </c>
      <c r="I92" s="64">
        <v>6.04</v>
      </c>
      <c r="J92" s="64">
        <v>1.1499999999999999</v>
      </c>
      <c r="K92" s="64">
        <v>151.38999999999999</v>
      </c>
      <c r="L92" s="64">
        <v>30.44</v>
      </c>
      <c r="M92" s="64">
        <v>40.39</v>
      </c>
      <c r="N92" s="64">
        <v>25.1</v>
      </c>
      <c r="O92" s="64">
        <v>0</v>
      </c>
      <c r="P92" s="64">
        <v>0.79</v>
      </c>
      <c r="Q92" s="64">
        <v>9.18</v>
      </c>
      <c r="R92" s="198"/>
      <c r="S92" s="198"/>
      <c r="T92" s="198"/>
      <c r="U92" s="198"/>
    </row>
    <row r="93" spans="1:26" s="12" customFormat="1" x14ac:dyDescent="0.25">
      <c r="A93" s="214" t="s">
        <v>3020</v>
      </c>
      <c r="B93" s="64">
        <v>7.34</v>
      </c>
      <c r="C93" s="64">
        <v>29.13</v>
      </c>
      <c r="D93" s="64">
        <v>21.03</v>
      </c>
      <c r="E93" s="64">
        <v>1.72</v>
      </c>
      <c r="F93" s="64">
        <v>3.77</v>
      </c>
      <c r="G93" s="64">
        <v>48.76</v>
      </c>
      <c r="H93" s="64">
        <v>23.76</v>
      </c>
      <c r="I93" s="64">
        <v>6.16</v>
      </c>
      <c r="J93" s="64">
        <v>0.82</v>
      </c>
      <c r="K93" s="64">
        <v>154.07</v>
      </c>
      <c r="L93" s="64">
        <v>30.16</v>
      </c>
      <c r="M93" s="64">
        <v>41.68</v>
      </c>
      <c r="N93" s="64">
        <v>25.3</v>
      </c>
      <c r="O93" s="64">
        <v>0</v>
      </c>
      <c r="P93" s="64">
        <v>0.77</v>
      </c>
      <c r="Q93" s="64">
        <v>9.14</v>
      </c>
      <c r="R93" s="198"/>
      <c r="S93" s="198"/>
      <c r="T93" s="198"/>
      <c r="U93" s="198"/>
    </row>
    <row r="94" spans="1:26" s="12" customFormat="1" x14ac:dyDescent="0.25">
      <c r="A94" s="214" t="s">
        <v>3021</v>
      </c>
      <c r="B94" s="64">
        <v>6.88</v>
      </c>
      <c r="C94" s="64">
        <v>28.48</v>
      </c>
      <c r="D94" s="64">
        <v>20.32</v>
      </c>
      <c r="E94" s="64">
        <v>1.9</v>
      </c>
      <c r="F94" s="64">
        <v>3.72</v>
      </c>
      <c r="G94" s="64">
        <v>48.55</v>
      </c>
      <c r="H94" s="64">
        <v>19.39</v>
      </c>
      <c r="I94" s="64">
        <v>6.23</v>
      </c>
      <c r="J94" s="64">
        <v>0.28999999999999998</v>
      </c>
      <c r="K94" s="64">
        <v>156.27000000000001</v>
      </c>
      <c r="L94" s="64">
        <v>29.74</v>
      </c>
      <c r="M94" s="64">
        <v>43.27</v>
      </c>
      <c r="N94" s="64">
        <v>25.7</v>
      </c>
      <c r="O94" s="64">
        <v>0</v>
      </c>
      <c r="P94" s="64">
        <v>0.75</v>
      </c>
      <c r="Q94" s="64">
        <v>9.1199999999999992</v>
      </c>
      <c r="R94" s="198"/>
      <c r="S94" s="198"/>
      <c r="T94" s="198"/>
      <c r="U94" s="198"/>
    </row>
    <row r="95" spans="1:26" s="12" customFormat="1" x14ac:dyDescent="0.25">
      <c r="A95" s="214" t="s">
        <v>3022</v>
      </c>
      <c r="B95" s="64">
        <v>6.29</v>
      </c>
      <c r="C95" s="64">
        <v>27.94</v>
      </c>
      <c r="D95" s="64">
        <v>19.559999999999999</v>
      </c>
      <c r="E95" s="64">
        <v>1.84</v>
      </c>
      <c r="F95" s="64">
        <v>3.99</v>
      </c>
      <c r="G95" s="64">
        <v>48.55</v>
      </c>
      <c r="H95" s="64">
        <v>19.39</v>
      </c>
      <c r="I95" s="64">
        <v>6.16</v>
      </c>
      <c r="J95" s="64">
        <v>0.12</v>
      </c>
      <c r="K95" s="64">
        <v>182.01</v>
      </c>
      <c r="L95" s="64">
        <v>29.57</v>
      </c>
      <c r="M95" s="64">
        <v>43.53</v>
      </c>
      <c r="N95" s="64">
        <v>25.3</v>
      </c>
      <c r="O95" s="64">
        <v>0</v>
      </c>
      <c r="P95" s="64">
        <v>0.74</v>
      </c>
      <c r="Q95" s="64">
        <v>9.1300000000000008</v>
      </c>
      <c r="R95" s="198"/>
      <c r="S95" s="198"/>
      <c r="T95" s="198"/>
      <c r="U95" s="198"/>
    </row>
    <row r="96" spans="1:26" s="12" customFormat="1" x14ac:dyDescent="0.25">
      <c r="A96" s="214" t="s">
        <v>3023</v>
      </c>
      <c r="B96" s="64">
        <v>5.79</v>
      </c>
      <c r="C96" s="64">
        <v>26.99</v>
      </c>
      <c r="D96" s="64">
        <v>18.66</v>
      </c>
      <c r="E96" s="64">
        <v>1.7</v>
      </c>
      <c r="F96" s="64">
        <v>3.77</v>
      </c>
      <c r="G96" s="64">
        <v>48.55</v>
      </c>
      <c r="H96" s="64">
        <v>19.39</v>
      </c>
      <c r="I96" s="64">
        <v>6.04</v>
      </c>
      <c r="J96" s="64">
        <v>0.31</v>
      </c>
      <c r="K96" s="64">
        <v>205.85</v>
      </c>
      <c r="L96" s="64">
        <v>29.45</v>
      </c>
      <c r="M96" s="64">
        <v>43.85</v>
      </c>
      <c r="N96" s="64">
        <v>25</v>
      </c>
      <c r="O96" s="64">
        <v>0</v>
      </c>
      <c r="P96" s="64">
        <v>0.73</v>
      </c>
      <c r="Q96" s="64">
        <v>9.1199999999999992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3024</v>
      </c>
      <c r="B97" s="64">
        <v>5.32</v>
      </c>
      <c r="C97" s="64">
        <v>26.52</v>
      </c>
      <c r="D97" s="64">
        <v>18.04</v>
      </c>
      <c r="E97" s="64">
        <v>1.64</v>
      </c>
      <c r="F97" s="64">
        <v>3.54</v>
      </c>
      <c r="G97" s="64">
        <v>49.37</v>
      </c>
      <c r="H97" s="64">
        <v>18.440000000000001</v>
      </c>
      <c r="I97" s="64">
        <v>5.97</v>
      </c>
      <c r="J97" s="64">
        <v>0.27</v>
      </c>
      <c r="K97" s="64">
        <v>208.45</v>
      </c>
      <c r="L97" s="64">
        <v>29.35</v>
      </c>
      <c r="M97" s="64">
        <v>44.4</v>
      </c>
      <c r="N97" s="64">
        <v>25</v>
      </c>
      <c r="O97" s="64">
        <v>0</v>
      </c>
      <c r="P97" s="64">
        <v>0.73</v>
      </c>
      <c r="Q97" s="64">
        <v>9.1199999999999992</v>
      </c>
      <c r="R97" s="198"/>
      <c r="S97" s="198"/>
      <c r="T97" s="198"/>
      <c r="U97" s="198"/>
    </row>
    <row r="98" spans="1:33" s="12" customFormat="1" x14ac:dyDescent="0.25">
      <c r="A98" s="214" t="s">
        <v>3025</v>
      </c>
      <c r="B98" s="64">
        <v>4.8099999999999996</v>
      </c>
      <c r="C98" s="64">
        <v>25.8</v>
      </c>
      <c r="D98" s="64">
        <v>17.260000000000002</v>
      </c>
      <c r="E98" s="64">
        <v>1.97</v>
      </c>
      <c r="F98" s="64">
        <v>3.92</v>
      </c>
      <c r="G98" s="64">
        <v>50.93</v>
      </c>
      <c r="H98" s="64">
        <v>16.63</v>
      </c>
      <c r="I98" s="64">
        <v>5.97</v>
      </c>
      <c r="J98" s="64">
        <v>0.6</v>
      </c>
      <c r="K98" s="64">
        <v>161.88999999999999</v>
      </c>
      <c r="L98" s="64">
        <v>29.01</v>
      </c>
      <c r="M98" s="64">
        <v>46.52</v>
      </c>
      <c r="N98" s="64">
        <v>25.1</v>
      </c>
      <c r="O98" s="64">
        <v>0</v>
      </c>
      <c r="P98" s="64">
        <v>0.71</v>
      </c>
      <c r="Q98" s="64">
        <v>9.1300000000000008</v>
      </c>
      <c r="R98" s="198"/>
      <c r="S98" s="198"/>
      <c r="T98" s="198"/>
      <c r="U98" s="198"/>
    </row>
    <row r="99" spans="1:33" s="12" customFormat="1" x14ac:dyDescent="0.25">
      <c r="A99" s="214" t="s">
        <v>3026</v>
      </c>
      <c r="B99" s="64">
        <v>4.3499999999999996</v>
      </c>
      <c r="C99" s="64">
        <v>28.3</v>
      </c>
      <c r="D99" s="64">
        <v>18.2</v>
      </c>
      <c r="E99" s="64">
        <v>1.92</v>
      </c>
      <c r="F99" s="64">
        <v>3.98</v>
      </c>
      <c r="G99" s="64">
        <v>50.93</v>
      </c>
      <c r="H99" s="64">
        <v>16.63</v>
      </c>
      <c r="I99" s="64">
        <v>5.93</v>
      </c>
      <c r="J99" s="64">
        <v>0.53</v>
      </c>
      <c r="K99" s="64">
        <v>170.15</v>
      </c>
      <c r="L99" s="64">
        <v>28.85</v>
      </c>
      <c r="M99" s="64">
        <v>47.41</v>
      </c>
      <c r="N99" s="64">
        <v>25</v>
      </c>
      <c r="O99" s="64">
        <v>0</v>
      </c>
      <c r="P99" s="64">
        <v>0.69</v>
      </c>
      <c r="Q99" s="64">
        <v>9.18</v>
      </c>
      <c r="R99" s="198"/>
      <c r="S99" s="198"/>
      <c r="T99" s="198"/>
      <c r="U99" s="198"/>
    </row>
    <row r="100" spans="1:33" s="12" customFormat="1" x14ac:dyDescent="0.25">
      <c r="A100" s="214" t="s">
        <v>3027</v>
      </c>
      <c r="B100" s="64">
        <v>4.04</v>
      </c>
      <c r="C100" s="64">
        <v>28.88</v>
      </c>
      <c r="D100" s="64">
        <v>18.25</v>
      </c>
      <c r="E100" s="64">
        <v>1.73</v>
      </c>
      <c r="F100" s="64">
        <v>4</v>
      </c>
      <c r="G100" s="64">
        <v>50.93</v>
      </c>
      <c r="H100" s="64">
        <v>16.63</v>
      </c>
      <c r="I100" s="64">
        <v>5.93</v>
      </c>
      <c r="J100" s="64">
        <v>0.57999999999999996</v>
      </c>
      <c r="K100" s="64">
        <v>174.07</v>
      </c>
      <c r="L100" s="64">
        <v>28.7</v>
      </c>
      <c r="M100" s="64">
        <v>48.23</v>
      </c>
      <c r="N100" s="64">
        <v>25.1</v>
      </c>
      <c r="O100" s="64">
        <v>0</v>
      </c>
      <c r="P100" s="64">
        <v>0.69</v>
      </c>
      <c r="Q100" s="64">
        <v>9.1300000000000008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3028</v>
      </c>
      <c r="B101" s="64">
        <v>3.9</v>
      </c>
      <c r="C101" s="64">
        <v>28.38</v>
      </c>
      <c r="D101" s="64">
        <v>17.87</v>
      </c>
      <c r="E101" s="64">
        <v>2.12</v>
      </c>
      <c r="F101" s="64">
        <v>4.34</v>
      </c>
      <c r="G101" s="64">
        <v>49.24</v>
      </c>
      <c r="H101" s="64">
        <v>16.82</v>
      </c>
      <c r="I101" s="64">
        <v>5.82</v>
      </c>
      <c r="J101" s="64">
        <v>0.6</v>
      </c>
      <c r="K101" s="64">
        <v>180.7</v>
      </c>
      <c r="L101" s="64">
        <v>28.5</v>
      </c>
      <c r="M101" s="64">
        <v>49.12</v>
      </c>
      <c r="N101" s="64">
        <v>25.2</v>
      </c>
      <c r="O101" s="64">
        <v>0</v>
      </c>
      <c r="P101" s="64">
        <v>0.67</v>
      </c>
      <c r="Q101" s="64">
        <v>9.1199999999999992</v>
      </c>
      <c r="R101" s="198"/>
      <c r="S101" s="198"/>
      <c r="T101" s="198"/>
      <c r="U101" s="198"/>
    </row>
    <row r="102" spans="1:33" s="12" customFormat="1" x14ac:dyDescent="0.25">
      <c r="A102" s="214" t="s">
        <v>3029</v>
      </c>
      <c r="B102" s="64">
        <v>3.72</v>
      </c>
      <c r="C102" s="64">
        <v>27.63</v>
      </c>
      <c r="D102" s="64">
        <v>17.34</v>
      </c>
      <c r="E102" s="64">
        <v>1.84</v>
      </c>
      <c r="F102" s="64">
        <v>3.98</v>
      </c>
      <c r="G102" s="64">
        <v>46.01</v>
      </c>
      <c r="H102" s="64">
        <v>17.18</v>
      </c>
      <c r="I102" s="64">
        <v>5.77</v>
      </c>
      <c r="J102" s="64">
        <v>0.6</v>
      </c>
      <c r="K102" s="64">
        <v>174.83</v>
      </c>
      <c r="L102" s="64">
        <v>28.02</v>
      </c>
      <c r="M102" s="64">
        <v>51.18</v>
      </c>
      <c r="N102" s="64">
        <v>25.5</v>
      </c>
      <c r="O102" s="64">
        <v>0</v>
      </c>
      <c r="P102" s="64">
        <v>0.66</v>
      </c>
      <c r="Q102" s="64">
        <v>9.11</v>
      </c>
      <c r="R102" s="198"/>
      <c r="S102" s="198"/>
      <c r="T102" s="198"/>
      <c r="U102" s="198"/>
    </row>
    <row r="103" spans="1:33" s="12" customFormat="1" x14ac:dyDescent="0.25">
      <c r="A103" s="214" t="s">
        <v>3030</v>
      </c>
      <c r="B103" s="64">
        <v>3.54</v>
      </c>
      <c r="C103" s="64">
        <v>26.45</v>
      </c>
      <c r="D103" s="64">
        <v>16.579999999999998</v>
      </c>
      <c r="E103" s="64">
        <v>1.95</v>
      </c>
      <c r="F103" s="64">
        <v>4.42</v>
      </c>
      <c r="G103" s="64">
        <v>46.01</v>
      </c>
      <c r="H103" s="64">
        <v>17.18</v>
      </c>
      <c r="I103" s="64">
        <v>5.98</v>
      </c>
      <c r="J103" s="64">
        <v>0.43</v>
      </c>
      <c r="K103" s="64">
        <v>198.35</v>
      </c>
      <c r="L103" s="64">
        <v>27.75</v>
      </c>
      <c r="M103" s="64">
        <v>52.61</v>
      </c>
      <c r="N103" s="64">
        <v>25.4</v>
      </c>
      <c r="O103" s="64">
        <v>0</v>
      </c>
      <c r="P103" s="64">
        <v>0.65</v>
      </c>
      <c r="Q103" s="64">
        <v>9.11</v>
      </c>
      <c r="R103" s="198"/>
      <c r="S103" s="198"/>
      <c r="T103" s="198"/>
      <c r="U103" s="198"/>
    </row>
    <row r="104" spans="1:33" s="12" customFormat="1" x14ac:dyDescent="0.25">
      <c r="A104" s="214" t="s">
        <v>3031</v>
      </c>
      <c r="B104" s="64">
        <v>3.4</v>
      </c>
      <c r="C104" s="64">
        <v>25.4</v>
      </c>
      <c r="D104" s="64">
        <v>15.92</v>
      </c>
      <c r="E104" s="64">
        <v>1.18</v>
      </c>
      <c r="F104" s="64">
        <v>3.53</v>
      </c>
      <c r="G104" s="64">
        <v>46.01</v>
      </c>
      <c r="H104" s="64">
        <v>17.18</v>
      </c>
      <c r="I104" s="64">
        <v>6.19</v>
      </c>
      <c r="J104" s="64">
        <v>0.47</v>
      </c>
      <c r="K104" s="64">
        <v>200.96</v>
      </c>
      <c r="L104" s="64">
        <v>27.48</v>
      </c>
      <c r="M104" s="64">
        <v>54.35</v>
      </c>
      <c r="N104" s="64">
        <v>25.3</v>
      </c>
      <c r="O104" s="64">
        <v>0</v>
      </c>
      <c r="P104" s="64">
        <v>0.64</v>
      </c>
      <c r="Q104" s="64">
        <v>9.11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0.36</v>
      </c>
      <c r="C106" s="67">
        <f>MIN(C9:C104)</f>
        <v>15.06</v>
      </c>
      <c r="D106" s="67">
        <f t="shared" ref="D106:Q106" si="0">MIN(D9:D104)</f>
        <v>8.08</v>
      </c>
      <c r="E106" s="67">
        <f t="shared" si="0"/>
        <v>0.78</v>
      </c>
      <c r="F106" s="67">
        <f t="shared" si="0"/>
        <v>2.81</v>
      </c>
      <c r="G106" s="67">
        <f t="shared" si="0"/>
        <v>26.45</v>
      </c>
      <c r="H106" s="67">
        <f t="shared" si="0"/>
        <v>7.48</v>
      </c>
      <c r="I106" s="67">
        <f t="shared" si="0"/>
        <v>2.59</v>
      </c>
      <c r="J106" s="67">
        <f t="shared" si="0"/>
        <v>0</v>
      </c>
      <c r="K106" s="67">
        <f t="shared" si="0"/>
        <v>4.1100000000000003</v>
      </c>
      <c r="L106" s="67">
        <f t="shared" si="0"/>
        <v>22.51</v>
      </c>
      <c r="M106" s="67">
        <f t="shared" si="0"/>
        <v>23.82</v>
      </c>
      <c r="N106" s="67">
        <f t="shared" si="0"/>
        <v>21.8</v>
      </c>
      <c r="O106" s="67">
        <f t="shared" si="0"/>
        <v>0</v>
      </c>
      <c r="P106" s="67">
        <f t="shared" si="0"/>
        <v>0.41</v>
      </c>
      <c r="Q106" s="67">
        <f t="shared" si="0"/>
        <v>9.09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60.95</v>
      </c>
      <c r="C107" s="66">
        <f t="shared" ref="C107:Q107" si="1">MAX(C9:C104)</f>
        <v>71.069999999999993</v>
      </c>
      <c r="D107" s="66">
        <f t="shared" si="1"/>
        <v>66.209999999999994</v>
      </c>
      <c r="E107" s="66">
        <f t="shared" si="1"/>
        <v>8.08</v>
      </c>
      <c r="F107" s="66">
        <f t="shared" si="1"/>
        <v>44.36</v>
      </c>
      <c r="G107" s="66">
        <f t="shared" si="1"/>
        <v>94.55</v>
      </c>
      <c r="H107" s="66">
        <f t="shared" si="1"/>
        <v>76.930000000000007</v>
      </c>
      <c r="I107" s="66">
        <f t="shared" si="1"/>
        <v>10.83</v>
      </c>
      <c r="J107" s="66">
        <f t="shared" si="1"/>
        <v>1.35</v>
      </c>
      <c r="K107" s="66">
        <f t="shared" si="1"/>
        <v>357.65</v>
      </c>
      <c r="L107" s="66">
        <f t="shared" si="1"/>
        <v>38.57</v>
      </c>
      <c r="M107" s="66">
        <f t="shared" si="1"/>
        <v>80.37</v>
      </c>
      <c r="N107" s="66">
        <f t="shared" si="1"/>
        <v>902.6</v>
      </c>
      <c r="O107" s="66">
        <f t="shared" si="1"/>
        <v>0</v>
      </c>
      <c r="P107" s="66">
        <f t="shared" si="1"/>
        <v>1.48</v>
      </c>
      <c r="Q107" s="66">
        <f t="shared" si="1"/>
        <v>9.52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17.46052083333333</v>
      </c>
      <c r="C108" s="67">
        <f t="shared" ref="C108:Q108" si="2">AVERAGE(C9:C104)</f>
        <v>31.826041666666669</v>
      </c>
      <c r="D108" s="67">
        <f t="shared" si="2"/>
        <v>30.549687500000005</v>
      </c>
      <c r="E108" s="67">
        <f t="shared" si="2"/>
        <v>2.1133333333333337</v>
      </c>
      <c r="F108" s="67">
        <f t="shared" si="2"/>
        <v>6.8846875000000018</v>
      </c>
      <c r="G108" s="67">
        <f t="shared" si="2"/>
        <v>57.420888888888932</v>
      </c>
      <c r="H108" s="67">
        <f t="shared" si="2"/>
        <v>22.832666666666668</v>
      </c>
      <c r="I108" s="67">
        <f t="shared" si="2"/>
        <v>6.8567708333333313</v>
      </c>
      <c r="J108" s="67">
        <f t="shared" si="2"/>
        <v>0.35062499999999996</v>
      </c>
      <c r="K108" s="67">
        <f t="shared" si="2"/>
        <v>244.42541666666671</v>
      </c>
      <c r="L108" s="67">
        <f t="shared" si="2"/>
        <v>30.075833333333325</v>
      </c>
      <c r="M108" s="67">
        <f t="shared" si="2"/>
        <v>47.619687500000005</v>
      </c>
      <c r="N108" s="67">
        <f t="shared" si="2"/>
        <v>245.17812500000005</v>
      </c>
      <c r="O108" s="67">
        <f t="shared" si="2"/>
        <v>0</v>
      </c>
      <c r="P108" s="67">
        <f t="shared" si="2"/>
        <v>0.85239583333333346</v>
      </c>
      <c r="Q108" s="67">
        <f t="shared" si="2"/>
        <v>9.2001041666666694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19.516920613974769</v>
      </c>
      <c r="C109" s="67">
        <f t="shared" ref="C109:Q109" si="3">STDEV(C9:C104)</f>
        <v>8.8403490618350382</v>
      </c>
      <c r="D109" s="67">
        <f t="shared" si="3"/>
        <v>15.657533478749372</v>
      </c>
      <c r="E109" s="67">
        <f t="shared" si="3"/>
        <v>1.0397465953087504</v>
      </c>
      <c r="F109" s="67">
        <f t="shared" si="3"/>
        <v>6.7197058132856702</v>
      </c>
      <c r="G109" s="67">
        <f t="shared" si="3"/>
        <v>18.618482157594812</v>
      </c>
      <c r="H109" s="67">
        <f t="shared" si="3"/>
        <v>11.156291699950394</v>
      </c>
      <c r="I109" s="67">
        <f t="shared" si="3"/>
        <v>2.7417456962160607</v>
      </c>
      <c r="J109" s="67">
        <f t="shared" si="3"/>
        <v>0.27975106415300161</v>
      </c>
      <c r="K109" s="67">
        <f t="shared" si="3"/>
        <v>101.79282180169137</v>
      </c>
      <c r="L109" s="67">
        <f t="shared" si="3"/>
        <v>5.3049936091368561</v>
      </c>
      <c r="M109" s="67">
        <f t="shared" si="3"/>
        <v>18.140095598490309</v>
      </c>
      <c r="N109" s="67">
        <f t="shared" si="3"/>
        <v>303.42695096032412</v>
      </c>
      <c r="O109" s="67">
        <f t="shared" si="3"/>
        <v>0</v>
      </c>
      <c r="P109" s="67">
        <f t="shared" si="3"/>
        <v>0.29755758325217785</v>
      </c>
      <c r="Q109" s="67">
        <f t="shared" si="3"/>
        <v>0.11728951845902889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COUNT(G9:G104)+6</f>
        <v>96</v>
      </c>
      <c r="H110" s="66">
        <f>COUNT(H9:H104)+6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3032</v>
      </c>
      <c r="B9" s="64">
        <v>3.28</v>
      </c>
      <c r="C9" s="64">
        <v>24.47</v>
      </c>
      <c r="D9" s="64">
        <v>15.34</v>
      </c>
      <c r="E9" s="64">
        <v>1.86</v>
      </c>
      <c r="F9" s="64">
        <v>3.98</v>
      </c>
      <c r="G9" s="64">
        <v>49.07</v>
      </c>
      <c r="H9" s="64">
        <v>17.82</v>
      </c>
      <c r="I9" s="64">
        <v>6.29</v>
      </c>
      <c r="J9" s="64">
        <v>0.35</v>
      </c>
      <c r="K9" s="64">
        <v>204.35</v>
      </c>
      <c r="L9" s="64">
        <v>27.25</v>
      </c>
      <c r="M9" s="64">
        <v>56.09</v>
      </c>
      <c r="N9" s="64">
        <v>25.3</v>
      </c>
      <c r="O9" s="64">
        <v>0</v>
      </c>
      <c r="P9" s="64">
        <v>0.63</v>
      </c>
      <c r="Q9" s="64">
        <v>9.1300000000000008</v>
      </c>
      <c r="R9" s="198"/>
      <c r="S9" s="198"/>
      <c r="T9" s="198"/>
      <c r="U9" s="198"/>
    </row>
    <row r="10" spans="1:21" s="12" customFormat="1" x14ac:dyDescent="0.25">
      <c r="A10" s="214" t="s">
        <v>3033</v>
      </c>
      <c r="B10" s="64">
        <v>3.2</v>
      </c>
      <c r="C10" s="64">
        <v>23.52</v>
      </c>
      <c r="D10" s="64">
        <v>14.77</v>
      </c>
      <c r="E10" s="64">
        <v>2.13</v>
      </c>
      <c r="F10" s="64">
        <v>4.18</v>
      </c>
      <c r="G10" s="64">
        <v>54.62</v>
      </c>
      <c r="H10" s="64">
        <v>19.03</v>
      </c>
      <c r="I10" s="64">
        <v>6.3</v>
      </c>
      <c r="J10" s="64">
        <v>0.15</v>
      </c>
      <c r="K10" s="64">
        <v>214.7</v>
      </c>
      <c r="L10" s="64">
        <v>26.99</v>
      </c>
      <c r="M10" s="64">
        <v>57.84</v>
      </c>
      <c r="N10" s="64">
        <v>25.4</v>
      </c>
      <c r="O10" s="64">
        <v>0</v>
      </c>
      <c r="P10" s="64">
        <v>0.61</v>
      </c>
      <c r="Q10" s="64">
        <v>9.17</v>
      </c>
      <c r="R10" s="198"/>
      <c r="S10" s="198"/>
      <c r="T10" s="198"/>
      <c r="U10" s="198"/>
    </row>
    <row r="11" spans="1:21" s="12" customFormat="1" x14ac:dyDescent="0.25">
      <c r="A11" s="214" t="s">
        <v>3034</v>
      </c>
      <c r="B11" s="64">
        <v>3.12</v>
      </c>
      <c r="C11" s="64">
        <v>21.61</v>
      </c>
      <c r="D11" s="64">
        <v>13.71</v>
      </c>
      <c r="E11" s="64">
        <v>1.93</v>
      </c>
      <c r="F11" s="64">
        <v>3.63</v>
      </c>
      <c r="G11" s="64">
        <v>54.62</v>
      </c>
      <c r="H11" s="64">
        <v>19.03</v>
      </c>
      <c r="I11" s="64">
        <v>6.34</v>
      </c>
      <c r="J11" s="64">
        <v>0.34</v>
      </c>
      <c r="K11" s="64">
        <v>178.07</v>
      </c>
      <c r="L11" s="64">
        <v>26.88</v>
      </c>
      <c r="M11" s="64">
        <v>59.18</v>
      </c>
      <c r="N11" s="64">
        <v>25</v>
      </c>
      <c r="O11" s="64">
        <v>0</v>
      </c>
      <c r="P11" s="64">
        <v>0.6</v>
      </c>
      <c r="Q11" s="64">
        <v>9.1199999999999992</v>
      </c>
      <c r="R11" s="198"/>
      <c r="S11" s="198"/>
      <c r="T11" s="198"/>
      <c r="U11" s="198"/>
    </row>
    <row r="12" spans="1:21" s="12" customFormat="1" x14ac:dyDescent="0.25">
      <c r="A12" s="214" t="s">
        <v>3035</v>
      </c>
      <c r="B12" s="64">
        <v>3.01</v>
      </c>
      <c r="C12" s="64">
        <v>21.55</v>
      </c>
      <c r="D12" s="64">
        <v>13.59</v>
      </c>
      <c r="E12" s="64">
        <v>1.84</v>
      </c>
      <c r="F12" s="64">
        <v>3.77</v>
      </c>
      <c r="G12" s="64">
        <v>54.62</v>
      </c>
      <c r="H12" s="64">
        <v>19.03</v>
      </c>
      <c r="I12" s="64">
        <v>6.28</v>
      </c>
      <c r="J12" s="64">
        <v>0.12</v>
      </c>
      <c r="K12" s="64">
        <v>227.14</v>
      </c>
      <c r="L12" s="64">
        <v>26.72</v>
      </c>
      <c r="M12" s="64">
        <v>59.92</v>
      </c>
      <c r="N12" s="64">
        <v>25.3</v>
      </c>
      <c r="O12" s="64">
        <v>0</v>
      </c>
      <c r="P12" s="64">
        <v>0.59</v>
      </c>
      <c r="Q12" s="64">
        <v>9.1199999999999992</v>
      </c>
      <c r="R12" s="198"/>
      <c r="S12" s="198"/>
      <c r="T12" s="198"/>
      <c r="U12" s="198"/>
    </row>
    <row r="13" spans="1:21" s="12" customFormat="1" x14ac:dyDescent="0.25">
      <c r="A13" s="214" t="s">
        <v>3036</v>
      </c>
      <c r="B13" s="64">
        <v>2.92</v>
      </c>
      <c r="C13" s="64">
        <v>21.71</v>
      </c>
      <c r="D13" s="64">
        <v>13.61</v>
      </c>
      <c r="E13" s="64">
        <v>1.88</v>
      </c>
      <c r="F13" s="64">
        <v>3.88</v>
      </c>
      <c r="G13" s="64">
        <v>52.57</v>
      </c>
      <c r="H13" s="64">
        <v>17.27</v>
      </c>
      <c r="I13" s="64">
        <v>6.39</v>
      </c>
      <c r="J13" s="64">
        <v>0.46</v>
      </c>
      <c r="K13" s="64">
        <v>188.84</v>
      </c>
      <c r="L13" s="64">
        <v>26.52</v>
      </c>
      <c r="M13" s="64">
        <v>61.32</v>
      </c>
      <c r="N13" s="64">
        <v>25.1</v>
      </c>
      <c r="O13" s="64">
        <v>0</v>
      </c>
      <c r="P13" s="64">
        <v>0.56999999999999995</v>
      </c>
      <c r="Q13" s="64">
        <v>9.11</v>
      </c>
      <c r="R13" s="198"/>
      <c r="S13" s="198"/>
      <c r="T13" s="198"/>
      <c r="U13" s="198"/>
    </row>
    <row r="14" spans="1:21" s="12" customFormat="1" x14ac:dyDescent="0.25">
      <c r="A14" s="214" t="s">
        <v>3037</v>
      </c>
      <c r="B14" s="64">
        <v>2.86</v>
      </c>
      <c r="C14" s="64">
        <v>21.76</v>
      </c>
      <c r="D14" s="64">
        <v>13.58</v>
      </c>
      <c r="E14" s="64">
        <v>1.62</v>
      </c>
      <c r="F14" s="64">
        <v>4.1399999999999997</v>
      </c>
      <c r="G14" s="64">
        <v>48.66</v>
      </c>
      <c r="H14" s="64">
        <v>13.92</v>
      </c>
      <c r="I14" s="64">
        <v>6.35</v>
      </c>
      <c r="J14" s="64">
        <v>0.36</v>
      </c>
      <c r="K14" s="64">
        <v>168.53</v>
      </c>
      <c r="L14" s="64">
        <v>26.34</v>
      </c>
      <c r="M14" s="64">
        <v>62.5</v>
      </c>
      <c r="N14" s="64">
        <v>25.1</v>
      </c>
      <c r="O14" s="64">
        <v>0</v>
      </c>
      <c r="P14" s="64">
        <v>0.56999999999999995</v>
      </c>
      <c r="Q14" s="64">
        <v>9.1199999999999992</v>
      </c>
      <c r="R14" s="198"/>
      <c r="S14" s="198"/>
      <c r="T14" s="198"/>
      <c r="U14" s="198"/>
    </row>
    <row r="15" spans="1:21" s="12" customFormat="1" x14ac:dyDescent="0.25">
      <c r="A15" s="214" t="s">
        <v>3038</v>
      </c>
      <c r="B15" s="64">
        <v>2.83</v>
      </c>
      <c r="C15" s="64">
        <v>21.14</v>
      </c>
      <c r="D15" s="64">
        <v>13.24</v>
      </c>
      <c r="E15" s="64">
        <v>1.52</v>
      </c>
      <c r="F15" s="64">
        <v>3.86</v>
      </c>
      <c r="G15" s="64">
        <v>48.66</v>
      </c>
      <c r="H15" s="64">
        <v>13.92</v>
      </c>
      <c r="I15" s="64">
        <v>6.27</v>
      </c>
      <c r="J15" s="64">
        <v>0.28999999999999998</v>
      </c>
      <c r="K15" s="64">
        <v>199.3</v>
      </c>
      <c r="L15" s="64">
        <v>26.4</v>
      </c>
      <c r="M15" s="64">
        <v>61.61</v>
      </c>
      <c r="N15" s="64">
        <v>25.1</v>
      </c>
      <c r="O15" s="64">
        <v>0</v>
      </c>
      <c r="P15" s="64">
        <v>0.56000000000000005</v>
      </c>
      <c r="Q15" s="64">
        <v>9.14</v>
      </c>
      <c r="R15" s="198"/>
      <c r="S15" s="198"/>
      <c r="T15" s="198"/>
      <c r="U15" s="198"/>
    </row>
    <row r="16" spans="1:21" s="12" customFormat="1" x14ac:dyDescent="0.25">
      <c r="A16" s="214" t="s">
        <v>3039</v>
      </c>
      <c r="B16" s="64">
        <v>2.8</v>
      </c>
      <c r="C16" s="64">
        <v>20.16</v>
      </c>
      <c r="D16" s="64">
        <v>12.7</v>
      </c>
      <c r="E16" s="64">
        <v>1.66</v>
      </c>
      <c r="F16" s="64">
        <v>3.14</v>
      </c>
      <c r="G16" s="64">
        <v>48.66</v>
      </c>
      <c r="H16" s="64">
        <v>13.92</v>
      </c>
      <c r="I16" s="64">
        <v>6.18</v>
      </c>
      <c r="J16" s="64">
        <v>0.39</v>
      </c>
      <c r="K16" s="64">
        <v>176.07</v>
      </c>
      <c r="L16" s="64">
        <v>26.38</v>
      </c>
      <c r="M16" s="64">
        <v>61.69</v>
      </c>
      <c r="N16" s="64">
        <v>25</v>
      </c>
      <c r="O16" s="64">
        <v>0</v>
      </c>
      <c r="P16" s="64">
        <v>0.55000000000000004</v>
      </c>
      <c r="Q16" s="64">
        <v>9.11</v>
      </c>
      <c r="R16" s="198"/>
      <c r="S16" s="198"/>
      <c r="T16" s="198"/>
      <c r="U16" s="198"/>
    </row>
    <row r="17" spans="1:21" s="12" customFormat="1" x14ac:dyDescent="0.25">
      <c r="A17" s="214" t="s">
        <v>3040</v>
      </c>
      <c r="B17" s="64">
        <v>3.18</v>
      </c>
      <c r="C17" s="64">
        <v>17.95</v>
      </c>
      <c r="D17" s="64">
        <v>11.85</v>
      </c>
      <c r="E17" s="64">
        <v>1.74</v>
      </c>
      <c r="F17" s="64">
        <v>4.1100000000000003</v>
      </c>
      <c r="G17" s="64">
        <v>46.5</v>
      </c>
      <c r="H17" s="64">
        <v>13.02</v>
      </c>
      <c r="I17" s="64">
        <v>6.08</v>
      </c>
      <c r="J17" s="64">
        <v>0.27</v>
      </c>
      <c r="K17" s="64">
        <v>189.95</v>
      </c>
      <c r="L17" s="64">
        <v>26.41</v>
      </c>
      <c r="M17" s="64">
        <v>61.35</v>
      </c>
      <c r="N17" s="64">
        <v>24.9</v>
      </c>
      <c r="O17" s="64">
        <v>0</v>
      </c>
      <c r="P17" s="64">
        <v>0.54</v>
      </c>
      <c r="Q17" s="64">
        <v>9.19</v>
      </c>
      <c r="R17" s="198"/>
      <c r="S17" s="198"/>
      <c r="T17" s="198"/>
      <c r="U17" s="198"/>
    </row>
    <row r="18" spans="1:21" s="12" customFormat="1" x14ac:dyDescent="0.25">
      <c r="A18" s="214" t="s">
        <v>3041</v>
      </c>
      <c r="B18" s="64">
        <v>3.81</v>
      </c>
      <c r="C18" s="64">
        <v>16.7</v>
      </c>
      <c r="D18" s="64">
        <v>11.7</v>
      </c>
      <c r="E18" s="64">
        <v>1.63</v>
      </c>
      <c r="F18" s="64">
        <v>3.48</v>
      </c>
      <c r="G18" s="64">
        <v>42.4</v>
      </c>
      <c r="H18" s="64">
        <v>11.32</v>
      </c>
      <c r="I18" s="64">
        <v>6.08</v>
      </c>
      <c r="J18" s="64">
        <v>0.2</v>
      </c>
      <c r="K18" s="64">
        <v>173.5</v>
      </c>
      <c r="L18" s="64">
        <v>26.31</v>
      </c>
      <c r="M18" s="64">
        <v>61.79</v>
      </c>
      <c r="N18" s="64">
        <v>24.9</v>
      </c>
      <c r="O18" s="64">
        <v>0</v>
      </c>
      <c r="P18" s="64">
        <v>0.53</v>
      </c>
      <c r="Q18" s="64">
        <v>9.35</v>
      </c>
      <c r="R18" s="198"/>
      <c r="S18" s="198"/>
      <c r="T18" s="198"/>
      <c r="U18" s="198"/>
    </row>
    <row r="19" spans="1:21" s="12" customFormat="1" x14ac:dyDescent="0.25">
      <c r="A19" s="214" t="s">
        <v>3042</v>
      </c>
      <c r="B19" s="64">
        <v>4.2300000000000004</v>
      </c>
      <c r="C19" s="64">
        <v>15.44</v>
      </c>
      <c r="D19" s="64">
        <v>11.38</v>
      </c>
      <c r="E19" s="64">
        <v>1.7</v>
      </c>
      <c r="F19" s="64">
        <v>3.51</v>
      </c>
      <c r="G19" s="64">
        <v>42.4</v>
      </c>
      <c r="H19" s="64">
        <v>11.32</v>
      </c>
      <c r="I19" s="64">
        <v>6.05</v>
      </c>
      <c r="J19" s="64">
        <v>0.5</v>
      </c>
      <c r="K19" s="64">
        <v>188.85</v>
      </c>
      <c r="L19" s="64">
        <v>26.24</v>
      </c>
      <c r="M19" s="64">
        <v>61.24</v>
      </c>
      <c r="N19" s="64">
        <v>24.5</v>
      </c>
      <c r="O19" s="64">
        <v>0</v>
      </c>
      <c r="P19" s="64">
        <v>0.52</v>
      </c>
      <c r="Q19" s="64">
        <v>9.35</v>
      </c>
      <c r="R19" s="198"/>
      <c r="S19" s="198"/>
      <c r="T19" s="198"/>
      <c r="U19" s="198"/>
    </row>
    <row r="20" spans="1:21" s="12" customFormat="1" x14ac:dyDescent="0.25">
      <c r="A20" s="214" t="s">
        <v>3043</v>
      </c>
      <c r="B20" s="64">
        <v>4.38</v>
      </c>
      <c r="C20" s="64">
        <v>14.23</v>
      </c>
      <c r="D20" s="64">
        <v>10.87</v>
      </c>
      <c r="E20" s="64">
        <v>1.48</v>
      </c>
      <c r="F20" s="64">
        <v>3.9</v>
      </c>
      <c r="G20" s="64">
        <v>42.4</v>
      </c>
      <c r="H20" s="64">
        <v>11.32</v>
      </c>
      <c r="I20" s="64">
        <v>6</v>
      </c>
      <c r="J20" s="64">
        <v>0.48</v>
      </c>
      <c r="K20" s="64">
        <v>186.09</v>
      </c>
      <c r="L20" s="64">
        <v>26.1</v>
      </c>
      <c r="M20" s="64">
        <v>62.1</v>
      </c>
      <c r="N20" s="64">
        <v>24.8</v>
      </c>
      <c r="O20" s="64">
        <v>0</v>
      </c>
      <c r="P20" s="64">
        <v>0.51</v>
      </c>
      <c r="Q20" s="64">
        <v>9.33</v>
      </c>
      <c r="R20" s="198"/>
      <c r="S20" s="198"/>
      <c r="T20" s="198"/>
      <c r="U20" s="198"/>
    </row>
    <row r="21" spans="1:21" s="12" customFormat="1" x14ac:dyDescent="0.25">
      <c r="A21" s="214" t="s">
        <v>3044</v>
      </c>
      <c r="B21" s="64">
        <v>4.4000000000000004</v>
      </c>
      <c r="C21" s="64">
        <v>14.7</v>
      </c>
      <c r="D21" s="64">
        <v>11.13</v>
      </c>
      <c r="E21" s="64">
        <v>1.39</v>
      </c>
      <c r="F21" s="64">
        <v>4.01</v>
      </c>
      <c r="G21" s="64">
        <v>40.57</v>
      </c>
      <c r="H21" s="64">
        <v>11.64</v>
      </c>
      <c r="I21" s="64">
        <v>5.9</v>
      </c>
      <c r="J21" s="64">
        <v>0.38</v>
      </c>
      <c r="K21" s="64">
        <v>186.11</v>
      </c>
      <c r="L21" s="64">
        <v>25.9</v>
      </c>
      <c r="M21" s="64">
        <v>62.86</v>
      </c>
      <c r="N21" s="64">
        <v>24.8</v>
      </c>
      <c r="O21" s="64">
        <v>0</v>
      </c>
      <c r="P21" s="64">
        <v>0.49</v>
      </c>
      <c r="Q21" s="64">
        <v>9.34</v>
      </c>
      <c r="R21" s="198"/>
      <c r="S21" s="198"/>
      <c r="T21" s="198"/>
      <c r="U21" s="198"/>
    </row>
    <row r="22" spans="1:21" s="12" customFormat="1" x14ac:dyDescent="0.25">
      <c r="A22" s="214" t="s">
        <v>3045</v>
      </c>
      <c r="B22" s="64">
        <v>4.49</v>
      </c>
      <c r="C22" s="64">
        <v>16.43</v>
      </c>
      <c r="D22" s="64">
        <v>12.1</v>
      </c>
      <c r="E22" s="64">
        <v>1.26</v>
      </c>
      <c r="F22" s="64">
        <v>4.26</v>
      </c>
      <c r="G22" s="64">
        <v>37.08</v>
      </c>
      <c r="H22" s="64">
        <v>12.26</v>
      </c>
      <c r="I22" s="64">
        <v>5.9</v>
      </c>
      <c r="J22" s="64">
        <v>0.36</v>
      </c>
      <c r="K22" s="64">
        <v>211.28</v>
      </c>
      <c r="L22" s="64">
        <v>25.82</v>
      </c>
      <c r="M22" s="64">
        <v>63.05</v>
      </c>
      <c r="N22" s="64">
        <v>24.8</v>
      </c>
      <c r="O22" s="64">
        <v>0</v>
      </c>
      <c r="P22" s="64">
        <v>0.49</v>
      </c>
      <c r="Q22" s="64">
        <v>9.34</v>
      </c>
      <c r="R22" s="198"/>
      <c r="S22" s="198"/>
      <c r="T22" s="198"/>
      <c r="U22" s="198"/>
    </row>
    <row r="23" spans="1:21" s="12" customFormat="1" x14ac:dyDescent="0.25">
      <c r="A23" s="214" t="s">
        <v>3046</v>
      </c>
      <c r="B23" s="64">
        <v>4.62</v>
      </c>
      <c r="C23" s="64">
        <v>17.32</v>
      </c>
      <c r="D23" s="64">
        <v>12.68</v>
      </c>
      <c r="E23" s="64">
        <v>1.3</v>
      </c>
      <c r="F23" s="64">
        <v>3.55</v>
      </c>
      <c r="G23" s="64">
        <v>37.08</v>
      </c>
      <c r="H23" s="64">
        <v>12.26</v>
      </c>
      <c r="I23" s="64">
        <v>5.89</v>
      </c>
      <c r="J23" s="64">
        <v>0.13</v>
      </c>
      <c r="K23" s="64">
        <v>216.1</v>
      </c>
      <c r="L23" s="64">
        <v>25.71</v>
      </c>
      <c r="M23" s="64">
        <v>63.14</v>
      </c>
      <c r="N23" s="64">
        <v>24.9</v>
      </c>
      <c r="O23" s="64">
        <v>0</v>
      </c>
      <c r="P23" s="64">
        <v>0.49</v>
      </c>
      <c r="Q23" s="64">
        <v>9.3699999999999992</v>
      </c>
      <c r="R23" s="198"/>
      <c r="S23" s="198"/>
      <c r="T23" s="198"/>
      <c r="U23" s="198"/>
    </row>
    <row r="24" spans="1:21" s="12" customFormat="1" x14ac:dyDescent="0.25">
      <c r="A24" s="214" t="s">
        <v>3047</v>
      </c>
      <c r="B24" s="64">
        <v>4.79</v>
      </c>
      <c r="C24" s="64">
        <v>17.489999999999998</v>
      </c>
      <c r="D24" s="64">
        <v>12.9</v>
      </c>
      <c r="E24" s="64">
        <v>1.64</v>
      </c>
      <c r="F24" s="64">
        <v>3.42</v>
      </c>
      <c r="G24" s="64">
        <v>37.08</v>
      </c>
      <c r="H24" s="64">
        <v>12.26</v>
      </c>
      <c r="I24" s="64">
        <v>5.85</v>
      </c>
      <c r="J24" s="64">
        <v>0.06</v>
      </c>
      <c r="K24" s="64">
        <v>263.74</v>
      </c>
      <c r="L24" s="64">
        <v>25.51</v>
      </c>
      <c r="M24" s="64">
        <v>64.040000000000006</v>
      </c>
      <c r="N24" s="64">
        <v>24.9</v>
      </c>
      <c r="O24" s="64">
        <v>0</v>
      </c>
      <c r="P24" s="64">
        <v>0.48</v>
      </c>
      <c r="Q24" s="64">
        <v>9.43</v>
      </c>
      <c r="R24" s="198"/>
      <c r="S24" s="198"/>
      <c r="T24" s="198"/>
      <c r="U24" s="198"/>
    </row>
    <row r="25" spans="1:21" s="12" customFormat="1" x14ac:dyDescent="0.25">
      <c r="A25" s="214" t="s">
        <v>3048</v>
      </c>
      <c r="B25" s="64">
        <v>5.01</v>
      </c>
      <c r="C25" s="64">
        <v>17.27</v>
      </c>
      <c r="D25" s="64">
        <v>12.96</v>
      </c>
      <c r="E25" s="64">
        <v>1.85</v>
      </c>
      <c r="F25" s="64">
        <v>3.44</v>
      </c>
      <c r="G25" s="64">
        <v>37.130000000000003</v>
      </c>
      <c r="H25" s="64">
        <v>13.2</v>
      </c>
      <c r="I25" s="64">
        <v>5.8</v>
      </c>
      <c r="J25" s="64">
        <v>0.16</v>
      </c>
      <c r="K25" s="64">
        <v>200.2</v>
      </c>
      <c r="L25" s="64">
        <v>25.36</v>
      </c>
      <c r="M25" s="64">
        <v>64.7</v>
      </c>
      <c r="N25" s="64">
        <v>24.7</v>
      </c>
      <c r="O25" s="64">
        <v>0</v>
      </c>
      <c r="P25" s="64">
        <v>0.47</v>
      </c>
      <c r="Q25" s="64">
        <v>9.4600000000000009</v>
      </c>
      <c r="R25" s="198"/>
      <c r="S25" s="198"/>
      <c r="T25" s="198"/>
      <c r="U25" s="198"/>
    </row>
    <row r="26" spans="1:21" s="12" customFormat="1" x14ac:dyDescent="0.25">
      <c r="A26" s="214" t="s">
        <v>3049</v>
      </c>
      <c r="B26" s="64">
        <v>5.24</v>
      </c>
      <c r="C26" s="64">
        <v>17.059999999999999</v>
      </c>
      <c r="D26" s="64">
        <v>13.04</v>
      </c>
      <c r="E26" s="64">
        <v>2.37</v>
      </c>
      <c r="F26" s="64">
        <v>3.56</v>
      </c>
      <c r="G26" s="64">
        <v>37.229999999999997</v>
      </c>
      <c r="H26" s="64">
        <v>14.99</v>
      </c>
      <c r="I26" s="64">
        <v>5.76</v>
      </c>
      <c r="J26" s="64">
        <v>0.17</v>
      </c>
      <c r="K26" s="64">
        <v>215.57</v>
      </c>
      <c r="L26" s="64">
        <v>25.29</v>
      </c>
      <c r="M26" s="64">
        <v>64.819999999999993</v>
      </c>
      <c r="N26" s="64">
        <v>24.6</v>
      </c>
      <c r="O26" s="64">
        <v>0</v>
      </c>
      <c r="P26" s="64">
        <v>0.47</v>
      </c>
      <c r="Q26" s="64">
        <v>9.4700000000000006</v>
      </c>
      <c r="R26" s="198"/>
      <c r="S26" s="198"/>
      <c r="T26" s="198"/>
      <c r="U26" s="198"/>
    </row>
    <row r="27" spans="1:21" s="12" customFormat="1" x14ac:dyDescent="0.25">
      <c r="A27" s="214" t="s">
        <v>3050</v>
      </c>
      <c r="B27" s="64">
        <v>5.4</v>
      </c>
      <c r="C27" s="64">
        <v>17.12</v>
      </c>
      <c r="D27" s="64">
        <v>13.2</v>
      </c>
      <c r="E27" s="64">
        <v>2.41</v>
      </c>
      <c r="F27" s="64">
        <v>3.88</v>
      </c>
      <c r="G27" s="64">
        <v>37.229999999999997</v>
      </c>
      <c r="H27" s="64">
        <v>14.99</v>
      </c>
      <c r="I27" s="64">
        <v>5.65</v>
      </c>
      <c r="J27" s="64">
        <v>0.28999999999999998</v>
      </c>
      <c r="K27" s="64">
        <v>176.17</v>
      </c>
      <c r="L27" s="64">
        <v>25.36</v>
      </c>
      <c r="M27" s="64">
        <v>64.180000000000007</v>
      </c>
      <c r="N27" s="64">
        <v>24.4</v>
      </c>
      <c r="O27" s="64">
        <v>0</v>
      </c>
      <c r="P27" s="64">
        <v>0.47</v>
      </c>
      <c r="Q27" s="64">
        <v>9.48</v>
      </c>
      <c r="R27" s="198"/>
      <c r="S27" s="198"/>
      <c r="T27" s="198"/>
      <c r="U27" s="198"/>
    </row>
    <row r="28" spans="1:21" s="12" customFormat="1" x14ac:dyDescent="0.25">
      <c r="A28" s="214" t="s">
        <v>3051</v>
      </c>
      <c r="B28" s="64">
        <v>5.58</v>
      </c>
      <c r="C28" s="64">
        <v>17.100000000000001</v>
      </c>
      <c r="D28" s="64">
        <v>13.33</v>
      </c>
      <c r="E28" s="64">
        <v>2.31</v>
      </c>
      <c r="F28" s="64">
        <v>3.54</v>
      </c>
      <c r="G28" s="64">
        <v>37.229999999999997</v>
      </c>
      <c r="H28" s="64">
        <v>14.99</v>
      </c>
      <c r="I28" s="64">
        <v>5.77</v>
      </c>
      <c r="J28" s="64">
        <v>0.13</v>
      </c>
      <c r="K28" s="64">
        <v>182.6</v>
      </c>
      <c r="L28" s="64">
        <v>25.2</v>
      </c>
      <c r="M28" s="64">
        <v>64.36</v>
      </c>
      <c r="N28" s="64">
        <v>24.8</v>
      </c>
      <c r="O28" s="64">
        <v>0</v>
      </c>
      <c r="P28" s="64">
        <v>0.46</v>
      </c>
      <c r="Q28" s="64">
        <v>9.5</v>
      </c>
      <c r="R28" s="198"/>
      <c r="S28" s="198"/>
      <c r="T28" s="198"/>
      <c r="U28" s="198"/>
    </row>
    <row r="29" spans="1:21" s="12" customFormat="1" x14ac:dyDescent="0.25">
      <c r="A29" s="214" t="s">
        <v>3052</v>
      </c>
      <c r="B29" s="64">
        <v>5.7</v>
      </c>
      <c r="C29" s="64">
        <v>16.22</v>
      </c>
      <c r="D29" s="64">
        <v>12.96</v>
      </c>
      <c r="E29" s="64">
        <v>2.17</v>
      </c>
      <c r="F29" s="64">
        <v>3.55</v>
      </c>
      <c r="G29" s="64">
        <v>36.200000000000003</v>
      </c>
      <c r="H29" s="64">
        <v>16.96</v>
      </c>
      <c r="I29" s="64">
        <v>5.85</v>
      </c>
      <c r="J29" s="64">
        <v>0.13</v>
      </c>
      <c r="K29" s="64">
        <v>248.63</v>
      </c>
      <c r="L29" s="64">
        <v>25.19</v>
      </c>
      <c r="M29" s="64">
        <v>64.12</v>
      </c>
      <c r="N29" s="64">
        <v>25.2</v>
      </c>
      <c r="O29" s="64">
        <v>0</v>
      </c>
      <c r="P29" s="64">
        <v>0.47</v>
      </c>
      <c r="Q29" s="64">
        <v>9.48</v>
      </c>
      <c r="R29" s="198"/>
      <c r="S29" s="198"/>
      <c r="T29" s="198"/>
      <c r="U29" s="198"/>
    </row>
    <row r="30" spans="1:21" s="12" customFormat="1" x14ac:dyDescent="0.25">
      <c r="A30" s="214" t="s">
        <v>3053</v>
      </c>
      <c r="B30" s="64">
        <v>5.66</v>
      </c>
      <c r="C30" s="64">
        <v>15.24</v>
      </c>
      <c r="D30" s="64">
        <v>12.42</v>
      </c>
      <c r="E30" s="64">
        <v>2.2999999999999998</v>
      </c>
      <c r="F30" s="64">
        <v>3.61</v>
      </c>
      <c r="G30" s="64">
        <v>34.25</v>
      </c>
      <c r="H30" s="64">
        <v>20.7</v>
      </c>
      <c r="I30" s="64">
        <v>6.34</v>
      </c>
      <c r="J30" s="64">
        <v>0.24</v>
      </c>
      <c r="K30" s="64">
        <v>215.7</v>
      </c>
      <c r="L30" s="64">
        <v>25.16</v>
      </c>
      <c r="M30" s="64">
        <v>64.31</v>
      </c>
      <c r="N30" s="64">
        <v>27.3</v>
      </c>
      <c r="O30" s="64">
        <v>0</v>
      </c>
      <c r="P30" s="64">
        <v>0.46</v>
      </c>
      <c r="Q30" s="64">
        <v>9.48</v>
      </c>
      <c r="R30" s="198"/>
      <c r="S30" s="198"/>
      <c r="T30" s="198"/>
      <c r="U30" s="198"/>
    </row>
    <row r="31" spans="1:21" s="12" customFormat="1" x14ac:dyDescent="0.25">
      <c r="A31" s="214" t="s">
        <v>3054</v>
      </c>
      <c r="B31" s="64">
        <v>5.6</v>
      </c>
      <c r="C31" s="64">
        <v>14.72</v>
      </c>
      <c r="D31" s="64">
        <v>12.1</v>
      </c>
      <c r="E31" s="64">
        <v>2.39</v>
      </c>
      <c r="F31" s="64">
        <v>3.89</v>
      </c>
      <c r="G31" s="64">
        <v>34.25</v>
      </c>
      <c r="H31" s="64">
        <v>20.7</v>
      </c>
      <c r="I31" s="64">
        <v>7.15</v>
      </c>
      <c r="J31" s="64">
        <v>0.28999999999999998</v>
      </c>
      <c r="K31" s="64">
        <v>207.94</v>
      </c>
      <c r="L31" s="64">
        <v>25.18</v>
      </c>
      <c r="M31" s="64">
        <v>63.84</v>
      </c>
      <c r="N31" s="64">
        <v>36.700000000000003</v>
      </c>
      <c r="O31" s="64">
        <v>0</v>
      </c>
      <c r="P31" s="64">
        <v>0.46</v>
      </c>
      <c r="Q31" s="64">
        <v>9.4499999999999993</v>
      </c>
      <c r="R31" s="198"/>
      <c r="S31" s="198"/>
      <c r="T31" s="198"/>
      <c r="U31" s="198"/>
    </row>
    <row r="32" spans="1:21" s="12" customFormat="1" x14ac:dyDescent="0.25">
      <c r="A32" s="214" t="s">
        <v>3055</v>
      </c>
      <c r="B32" s="64">
        <v>5.56</v>
      </c>
      <c r="C32" s="64">
        <v>14.37</v>
      </c>
      <c r="D32" s="64">
        <v>11.89</v>
      </c>
      <c r="E32" s="64">
        <v>2.3199999999999998</v>
      </c>
      <c r="F32" s="64">
        <v>4.18</v>
      </c>
      <c r="G32" s="64">
        <v>34.25</v>
      </c>
      <c r="H32" s="64">
        <v>20.7</v>
      </c>
      <c r="I32" s="64">
        <v>7.03</v>
      </c>
      <c r="J32" s="64">
        <v>0.21</v>
      </c>
      <c r="K32" s="64">
        <v>219.38</v>
      </c>
      <c r="L32" s="64">
        <v>25.35</v>
      </c>
      <c r="M32" s="64">
        <v>62.79</v>
      </c>
      <c r="N32" s="64">
        <v>58.8</v>
      </c>
      <c r="O32" s="64">
        <v>0</v>
      </c>
      <c r="P32" s="64">
        <v>0.45</v>
      </c>
      <c r="Q32" s="64">
        <v>9.42</v>
      </c>
      <c r="R32" s="198"/>
      <c r="S32" s="198"/>
      <c r="T32" s="198"/>
      <c r="U32" s="198"/>
    </row>
    <row r="33" spans="1:21" s="12" customFormat="1" x14ac:dyDescent="0.25">
      <c r="A33" s="214" t="s">
        <v>3056</v>
      </c>
      <c r="B33" s="64">
        <v>5.5</v>
      </c>
      <c r="C33" s="64">
        <v>14.79</v>
      </c>
      <c r="D33" s="64">
        <v>12.06</v>
      </c>
      <c r="E33" s="64">
        <v>2.06</v>
      </c>
      <c r="F33" s="64">
        <v>3.88</v>
      </c>
      <c r="G33" s="64">
        <v>35.979999999999997</v>
      </c>
      <c r="H33" s="64">
        <v>19.989999999999998</v>
      </c>
      <c r="I33" s="64">
        <v>6.83</v>
      </c>
      <c r="J33" s="64">
        <v>0.43</v>
      </c>
      <c r="K33" s="64">
        <v>197.11</v>
      </c>
      <c r="L33" s="64">
        <v>25.84</v>
      </c>
      <c r="M33" s="64">
        <v>61.53</v>
      </c>
      <c r="N33" s="64">
        <v>97.5</v>
      </c>
      <c r="O33" s="64">
        <v>0</v>
      </c>
      <c r="P33" s="64">
        <v>0.45</v>
      </c>
      <c r="Q33" s="64">
        <v>9.43</v>
      </c>
      <c r="R33" s="198"/>
      <c r="S33" s="198"/>
      <c r="T33" s="198"/>
      <c r="U33" s="198"/>
    </row>
    <row r="34" spans="1:21" s="12" customFormat="1" x14ac:dyDescent="0.25">
      <c r="A34" s="214" t="s">
        <v>3057</v>
      </c>
      <c r="B34" s="64">
        <v>5.53</v>
      </c>
      <c r="C34" s="64">
        <v>15.48</v>
      </c>
      <c r="D34" s="64">
        <v>12.44</v>
      </c>
      <c r="E34" s="64">
        <v>2.52</v>
      </c>
      <c r="F34" s="64">
        <v>4.22</v>
      </c>
      <c r="G34" s="64">
        <v>39.26</v>
      </c>
      <c r="H34" s="64">
        <v>18.64</v>
      </c>
      <c r="I34" s="64">
        <v>6.73</v>
      </c>
      <c r="J34" s="64">
        <v>0.43</v>
      </c>
      <c r="K34" s="64">
        <v>198.95</v>
      </c>
      <c r="L34" s="64">
        <v>26.11</v>
      </c>
      <c r="M34" s="64">
        <v>61.12</v>
      </c>
      <c r="N34" s="64">
        <v>145</v>
      </c>
      <c r="O34" s="64">
        <v>0</v>
      </c>
      <c r="P34" s="64">
        <v>0.46</v>
      </c>
      <c r="Q34" s="64">
        <v>9.41</v>
      </c>
      <c r="R34" s="198"/>
      <c r="S34" s="198"/>
      <c r="T34" s="198"/>
      <c r="U34" s="198"/>
    </row>
    <row r="35" spans="1:21" s="12" customFormat="1" x14ac:dyDescent="0.25">
      <c r="A35" s="214" t="s">
        <v>3058</v>
      </c>
      <c r="B35" s="64">
        <v>5.4</v>
      </c>
      <c r="C35" s="64">
        <v>16.059999999999999</v>
      </c>
      <c r="D35" s="64">
        <v>12.64</v>
      </c>
      <c r="E35" s="64">
        <v>2.33</v>
      </c>
      <c r="F35" s="64">
        <v>4.1100000000000003</v>
      </c>
      <c r="G35" s="64">
        <v>39.26</v>
      </c>
      <c r="H35" s="64">
        <v>18.64</v>
      </c>
      <c r="I35" s="64">
        <v>6.63</v>
      </c>
      <c r="J35" s="64">
        <v>0.1</v>
      </c>
      <c r="K35" s="64">
        <v>1.02</v>
      </c>
      <c r="L35" s="64">
        <v>27.13</v>
      </c>
      <c r="M35" s="64">
        <v>56.99</v>
      </c>
      <c r="N35" s="64">
        <v>212.2</v>
      </c>
      <c r="O35" s="64">
        <v>0</v>
      </c>
      <c r="P35" s="64">
        <v>0.45</v>
      </c>
      <c r="Q35" s="64">
        <v>9.4</v>
      </c>
      <c r="R35" s="198"/>
      <c r="S35" s="198"/>
      <c r="T35" s="198"/>
      <c r="U35" s="198"/>
    </row>
    <row r="36" spans="1:21" s="12" customFormat="1" x14ac:dyDescent="0.25">
      <c r="A36" s="214" t="s">
        <v>3059</v>
      </c>
      <c r="B36" s="64">
        <v>5.16</v>
      </c>
      <c r="C36" s="64">
        <v>16.670000000000002</v>
      </c>
      <c r="D36" s="64">
        <v>12.77</v>
      </c>
      <c r="E36" s="64">
        <v>2.1800000000000002</v>
      </c>
      <c r="F36" s="64">
        <v>4.32</v>
      </c>
      <c r="G36" s="64">
        <v>39.26</v>
      </c>
      <c r="H36" s="64">
        <v>18.64</v>
      </c>
      <c r="I36" s="64">
        <v>6.51</v>
      </c>
      <c r="J36" s="64">
        <v>0.31</v>
      </c>
      <c r="K36" s="64">
        <v>321.54000000000002</v>
      </c>
      <c r="L36" s="64">
        <v>28.27</v>
      </c>
      <c r="M36" s="64">
        <v>53.63</v>
      </c>
      <c r="N36" s="64">
        <v>171.7</v>
      </c>
      <c r="O36" s="64">
        <v>0</v>
      </c>
      <c r="P36" s="64">
        <v>0.46</v>
      </c>
      <c r="Q36" s="64">
        <v>9.41</v>
      </c>
      <c r="R36" s="198"/>
      <c r="S36" s="198"/>
      <c r="T36" s="198"/>
      <c r="U36" s="198"/>
    </row>
    <row r="37" spans="1:21" s="12" customFormat="1" x14ac:dyDescent="0.25">
      <c r="A37" s="214" t="s">
        <v>3060</v>
      </c>
      <c r="B37" s="64">
        <v>5.07</v>
      </c>
      <c r="C37" s="64">
        <v>17.11</v>
      </c>
      <c r="D37" s="64">
        <v>12.92</v>
      </c>
      <c r="E37" s="64">
        <v>2.29</v>
      </c>
      <c r="F37" s="64">
        <v>4.21</v>
      </c>
      <c r="G37" s="64">
        <v>38.520000000000003</v>
      </c>
      <c r="H37" s="64">
        <v>19.239999999999998</v>
      </c>
      <c r="I37" s="64">
        <v>6.28</v>
      </c>
      <c r="J37" s="64">
        <v>0.11</v>
      </c>
      <c r="K37" s="64">
        <v>12.74</v>
      </c>
      <c r="L37" s="64">
        <v>28.25</v>
      </c>
      <c r="M37" s="64">
        <v>52.84</v>
      </c>
      <c r="N37" s="64">
        <v>137.5</v>
      </c>
      <c r="O37" s="64">
        <v>0</v>
      </c>
      <c r="P37" s="64">
        <v>0.45</v>
      </c>
      <c r="Q37" s="64">
        <v>9.3800000000000008</v>
      </c>
      <c r="R37" s="198"/>
      <c r="S37" s="198"/>
      <c r="T37" s="198"/>
      <c r="U37" s="198"/>
    </row>
    <row r="38" spans="1:21" s="12" customFormat="1" x14ac:dyDescent="0.25">
      <c r="A38" s="214" t="s">
        <v>3061</v>
      </c>
      <c r="B38" s="64">
        <v>4.84</v>
      </c>
      <c r="C38" s="64">
        <v>17.850000000000001</v>
      </c>
      <c r="D38" s="64">
        <v>13.13</v>
      </c>
      <c r="E38" s="64">
        <v>2.41</v>
      </c>
      <c r="F38" s="64">
        <v>4.38</v>
      </c>
      <c r="G38" s="64">
        <v>37.11</v>
      </c>
      <c r="H38" s="64">
        <v>20.38</v>
      </c>
      <c r="I38" s="64">
        <v>6.05</v>
      </c>
      <c r="J38" s="64">
        <v>0.15</v>
      </c>
      <c r="K38" s="64">
        <v>356.3</v>
      </c>
      <c r="L38" s="64">
        <v>28.03</v>
      </c>
      <c r="M38" s="64">
        <v>51.13</v>
      </c>
      <c r="N38" s="64">
        <v>163.9</v>
      </c>
      <c r="O38" s="64">
        <v>0</v>
      </c>
      <c r="P38" s="64">
        <v>0.47</v>
      </c>
      <c r="Q38" s="64">
        <v>9.39</v>
      </c>
      <c r="R38" s="198"/>
      <c r="S38" s="198"/>
      <c r="T38" s="198"/>
      <c r="U38" s="198"/>
    </row>
    <row r="39" spans="1:21" s="12" customFormat="1" x14ac:dyDescent="0.25">
      <c r="A39" s="214" t="s">
        <v>3062</v>
      </c>
      <c r="B39" s="64">
        <v>4.25</v>
      </c>
      <c r="C39" s="64">
        <v>18.97</v>
      </c>
      <c r="D39" s="64">
        <v>13.24</v>
      </c>
      <c r="E39" s="64">
        <v>2.4300000000000002</v>
      </c>
      <c r="F39" s="64">
        <v>4.17</v>
      </c>
      <c r="G39" s="64">
        <v>37.11</v>
      </c>
      <c r="H39" s="64">
        <v>20.38</v>
      </c>
      <c r="I39" s="64">
        <v>5.9</v>
      </c>
      <c r="J39" s="64">
        <v>0.15</v>
      </c>
      <c r="K39" s="64">
        <v>2.62</v>
      </c>
      <c r="L39" s="64">
        <v>28.62</v>
      </c>
      <c r="M39" s="64">
        <v>47.3</v>
      </c>
      <c r="N39" s="64">
        <v>126.2</v>
      </c>
      <c r="O39" s="64">
        <v>0</v>
      </c>
      <c r="P39" s="64">
        <v>0.48</v>
      </c>
      <c r="Q39" s="64">
        <v>9.3800000000000008</v>
      </c>
      <c r="R39" s="198"/>
      <c r="S39" s="198"/>
      <c r="T39" s="198"/>
      <c r="U39" s="198"/>
    </row>
    <row r="40" spans="1:21" s="12" customFormat="1" x14ac:dyDescent="0.25">
      <c r="A40" s="214" t="s">
        <v>3063</v>
      </c>
      <c r="B40" s="64">
        <v>3.69</v>
      </c>
      <c r="C40" s="64">
        <v>22.51</v>
      </c>
      <c r="D40" s="64">
        <v>14.64</v>
      </c>
      <c r="E40" s="64">
        <v>2.23</v>
      </c>
      <c r="F40" s="64">
        <v>4.8099999999999996</v>
      </c>
      <c r="G40" s="64">
        <v>37.11</v>
      </c>
      <c r="H40" s="64">
        <v>20.38</v>
      </c>
      <c r="I40" s="64">
        <v>5.64</v>
      </c>
      <c r="J40" s="64">
        <v>0.17</v>
      </c>
      <c r="K40" s="64">
        <v>10.51</v>
      </c>
      <c r="L40" s="64">
        <v>28.87</v>
      </c>
      <c r="M40" s="64">
        <v>46.07</v>
      </c>
      <c r="N40" s="64">
        <v>169.3</v>
      </c>
      <c r="O40" s="64">
        <v>0</v>
      </c>
      <c r="P40" s="64">
        <v>0.49</v>
      </c>
      <c r="Q40" s="64">
        <v>9.35</v>
      </c>
      <c r="R40" s="198"/>
      <c r="S40" s="198"/>
      <c r="T40" s="198"/>
      <c r="U40" s="198"/>
    </row>
    <row r="41" spans="1:21" s="12" customFormat="1" x14ac:dyDescent="0.25">
      <c r="A41" s="214" t="s">
        <v>3064</v>
      </c>
      <c r="B41" s="64">
        <v>3.46</v>
      </c>
      <c r="C41" s="64">
        <v>24.35</v>
      </c>
      <c r="D41" s="64">
        <v>15.42</v>
      </c>
      <c r="E41" s="64">
        <v>2.14</v>
      </c>
      <c r="F41" s="64">
        <v>5.26</v>
      </c>
      <c r="G41" s="64">
        <v>38.450000000000003</v>
      </c>
      <c r="H41" s="64">
        <v>21.13</v>
      </c>
      <c r="I41" s="64">
        <v>5.32</v>
      </c>
      <c r="J41" s="64">
        <v>0.17</v>
      </c>
      <c r="K41" s="64">
        <v>333.36</v>
      </c>
      <c r="L41" s="64">
        <v>29.61</v>
      </c>
      <c r="M41" s="64">
        <v>43.51</v>
      </c>
      <c r="N41" s="64">
        <v>221.9</v>
      </c>
      <c r="O41" s="64">
        <v>0</v>
      </c>
      <c r="P41" s="64">
        <v>0.51</v>
      </c>
      <c r="Q41" s="64">
        <v>9.36</v>
      </c>
      <c r="R41" s="198"/>
      <c r="S41" s="198"/>
      <c r="T41" s="198"/>
      <c r="U41" s="198"/>
    </row>
    <row r="42" spans="1:21" s="12" customFormat="1" x14ac:dyDescent="0.25">
      <c r="A42" s="214" t="s">
        <v>3065</v>
      </c>
      <c r="B42" s="64">
        <v>3.44</v>
      </c>
      <c r="C42" s="64">
        <v>25.07</v>
      </c>
      <c r="D42" s="64">
        <v>15.78</v>
      </c>
      <c r="E42" s="64">
        <v>2.27</v>
      </c>
      <c r="F42" s="64">
        <v>4.62</v>
      </c>
      <c r="G42" s="64">
        <v>41</v>
      </c>
      <c r="H42" s="64">
        <v>22.56</v>
      </c>
      <c r="I42" s="64">
        <v>5.0999999999999996</v>
      </c>
      <c r="J42" s="64">
        <v>0.28000000000000003</v>
      </c>
      <c r="K42" s="64">
        <v>308.83</v>
      </c>
      <c r="L42" s="64">
        <v>30.53</v>
      </c>
      <c r="M42" s="64">
        <v>42.87</v>
      </c>
      <c r="N42" s="64">
        <v>350</v>
      </c>
      <c r="O42" s="64">
        <v>0</v>
      </c>
      <c r="P42" s="64">
        <v>0.53</v>
      </c>
      <c r="Q42" s="64">
        <v>9.3699999999999992</v>
      </c>
      <c r="R42" s="198"/>
      <c r="S42" s="198"/>
      <c r="T42" s="198"/>
      <c r="U42" s="198"/>
    </row>
    <row r="43" spans="1:21" s="12" customFormat="1" x14ac:dyDescent="0.25">
      <c r="A43" s="214" t="s">
        <v>3066</v>
      </c>
      <c r="B43" s="64">
        <v>3.57</v>
      </c>
      <c r="C43" s="64">
        <v>24.83</v>
      </c>
      <c r="D43" s="64">
        <v>15.76</v>
      </c>
      <c r="E43" s="64">
        <v>1.87</v>
      </c>
      <c r="F43" s="64">
        <v>4.25</v>
      </c>
      <c r="G43" s="64">
        <v>41</v>
      </c>
      <c r="H43" s="64">
        <v>22.56</v>
      </c>
      <c r="I43" s="64">
        <v>5.0999999999999996</v>
      </c>
      <c r="J43" s="64">
        <v>0.22</v>
      </c>
      <c r="K43" s="64">
        <v>317.72000000000003</v>
      </c>
      <c r="L43" s="64">
        <v>31.84</v>
      </c>
      <c r="M43" s="64">
        <v>41.64</v>
      </c>
      <c r="N43" s="64">
        <v>586.5</v>
      </c>
      <c r="O43" s="64">
        <v>0</v>
      </c>
      <c r="P43" s="64">
        <v>0.54</v>
      </c>
      <c r="Q43" s="64">
        <v>9.39</v>
      </c>
      <c r="R43" s="198"/>
      <c r="S43" s="198"/>
      <c r="T43" s="198"/>
      <c r="U43" s="198"/>
    </row>
    <row r="44" spans="1:21" s="12" customFormat="1" x14ac:dyDescent="0.25">
      <c r="A44" s="214" t="s">
        <v>3067</v>
      </c>
      <c r="B44" s="64">
        <v>3.49</v>
      </c>
      <c r="C44" s="64">
        <v>24.78</v>
      </c>
      <c r="D44" s="64">
        <v>15.67</v>
      </c>
      <c r="E44" s="64">
        <v>2.2799999999999998</v>
      </c>
      <c r="F44" s="64">
        <v>5.46</v>
      </c>
      <c r="G44" s="64">
        <v>41</v>
      </c>
      <c r="H44" s="64">
        <v>22.56</v>
      </c>
      <c r="I44" s="64">
        <v>5.22</v>
      </c>
      <c r="J44" s="64">
        <v>0.17</v>
      </c>
      <c r="K44" s="64">
        <v>327.36</v>
      </c>
      <c r="L44" s="64">
        <v>32.15</v>
      </c>
      <c r="M44" s="64">
        <v>40.19</v>
      </c>
      <c r="N44" s="64">
        <v>649.29999999999995</v>
      </c>
      <c r="O44" s="64">
        <v>0</v>
      </c>
      <c r="P44" s="64">
        <v>0.54</v>
      </c>
      <c r="Q44" s="64">
        <v>9.41</v>
      </c>
      <c r="R44" s="198"/>
      <c r="S44" s="198"/>
      <c r="T44" s="198"/>
      <c r="U44" s="198"/>
    </row>
    <row r="45" spans="1:21" s="12" customFormat="1" x14ac:dyDescent="0.25">
      <c r="A45" s="214" t="s">
        <v>3068</v>
      </c>
      <c r="B45" s="64">
        <v>3.21</v>
      </c>
      <c r="C45" s="64">
        <v>25.14</v>
      </c>
      <c r="D45" s="64">
        <v>15.63</v>
      </c>
      <c r="E45" s="64">
        <v>2.63</v>
      </c>
      <c r="F45" s="64">
        <v>5.83</v>
      </c>
      <c r="G45" s="64">
        <v>42.39</v>
      </c>
      <c r="H45" s="64">
        <v>24.31</v>
      </c>
      <c r="I45" s="64">
        <v>5.3</v>
      </c>
      <c r="J45" s="64">
        <v>0.26</v>
      </c>
      <c r="K45" s="64">
        <v>354</v>
      </c>
      <c r="L45" s="64">
        <v>33.119999999999997</v>
      </c>
      <c r="M45" s="64">
        <v>39.43</v>
      </c>
      <c r="N45" s="64">
        <v>658.3</v>
      </c>
      <c r="O45" s="64">
        <v>0</v>
      </c>
      <c r="P45" s="64">
        <v>0.57999999999999996</v>
      </c>
      <c r="Q45" s="64">
        <v>9.4</v>
      </c>
      <c r="R45" s="198"/>
      <c r="S45" s="198"/>
      <c r="T45" s="198"/>
      <c r="U45" s="198"/>
    </row>
    <row r="46" spans="1:21" s="12" customFormat="1" x14ac:dyDescent="0.25">
      <c r="A46" s="214" t="s">
        <v>3069</v>
      </c>
      <c r="B46" s="64">
        <v>2.87</v>
      </c>
      <c r="C46" s="64">
        <v>26.03</v>
      </c>
      <c r="D46" s="64">
        <v>15.82</v>
      </c>
      <c r="E46" s="64">
        <v>2.29</v>
      </c>
      <c r="F46" s="64">
        <v>6.46</v>
      </c>
      <c r="G46" s="64">
        <v>45.03</v>
      </c>
      <c r="H46" s="64">
        <v>27.63</v>
      </c>
      <c r="I46" s="64">
        <v>5.27</v>
      </c>
      <c r="J46" s="64">
        <v>0.18</v>
      </c>
      <c r="K46" s="64">
        <v>326.07</v>
      </c>
      <c r="L46" s="64">
        <v>33.47</v>
      </c>
      <c r="M46" s="64">
        <v>38.909999999999997</v>
      </c>
      <c r="N46" s="64">
        <v>690.5</v>
      </c>
      <c r="O46" s="64">
        <v>0</v>
      </c>
      <c r="P46" s="64">
        <v>0.68</v>
      </c>
      <c r="Q46" s="64">
        <v>9.41</v>
      </c>
      <c r="R46" s="198"/>
      <c r="S46" s="198"/>
      <c r="T46" s="198"/>
      <c r="U46" s="198"/>
    </row>
    <row r="47" spans="1:21" s="12" customFormat="1" x14ac:dyDescent="0.25">
      <c r="A47" s="214" t="s">
        <v>3070</v>
      </c>
      <c r="B47" s="64">
        <v>2.77</v>
      </c>
      <c r="C47" s="64">
        <v>27.14</v>
      </c>
      <c r="D47" s="64">
        <v>16.32</v>
      </c>
      <c r="E47" s="64">
        <v>2.75</v>
      </c>
      <c r="F47" s="64">
        <v>5.93</v>
      </c>
      <c r="G47" s="64">
        <v>45.03</v>
      </c>
      <c r="H47" s="64">
        <v>27.63</v>
      </c>
      <c r="I47" s="64">
        <v>5.0199999999999996</v>
      </c>
      <c r="J47" s="64">
        <v>0.47</v>
      </c>
      <c r="K47" s="64">
        <v>340.69</v>
      </c>
      <c r="L47" s="64">
        <v>34.47</v>
      </c>
      <c r="M47" s="64">
        <v>37.29</v>
      </c>
      <c r="N47" s="64">
        <v>710.7</v>
      </c>
      <c r="O47" s="64">
        <v>0</v>
      </c>
      <c r="P47" s="64">
        <v>0.75</v>
      </c>
      <c r="Q47" s="64">
        <v>9.4</v>
      </c>
      <c r="R47" s="198"/>
      <c r="S47" s="198"/>
      <c r="T47" s="198"/>
      <c r="U47" s="198"/>
    </row>
    <row r="48" spans="1:21" s="12" customFormat="1" x14ac:dyDescent="0.25">
      <c r="A48" s="214" t="s">
        <v>3071</v>
      </c>
      <c r="B48" s="64">
        <v>2.77</v>
      </c>
      <c r="C48" s="64">
        <v>28.68</v>
      </c>
      <c r="D48" s="64">
        <v>17.13</v>
      </c>
      <c r="E48" s="64">
        <v>2.57</v>
      </c>
      <c r="F48" s="64">
        <v>7.11</v>
      </c>
      <c r="G48" s="64">
        <v>45.03</v>
      </c>
      <c r="H48" s="64">
        <v>27.63</v>
      </c>
      <c r="I48" s="64">
        <v>5.38</v>
      </c>
      <c r="J48" s="64">
        <v>0.49</v>
      </c>
      <c r="K48" s="64">
        <v>323.83</v>
      </c>
      <c r="L48" s="64">
        <v>34.770000000000003</v>
      </c>
      <c r="M48" s="64">
        <v>37.22</v>
      </c>
      <c r="N48" s="64">
        <v>756.5</v>
      </c>
      <c r="O48" s="64">
        <v>0</v>
      </c>
      <c r="P48" s="64">
        <v>0.82</v>
      </c>
      <c r="Q48" s="64">
        <v>9.4</v>
      </c>
      <c r="R48" s="198"/>
      <c r="S48" s="198"/>
      <c r="T48" s="198"/>
      <c r="U48" s="198"/>
    </row>
    <row r="49" spans="1:21" s="12" customFormat="1" x14ac:dyDescent="0.25">
      <c r="A49" s="214" t="s">
        <v>3072</v>
      </c>
      <c r="B49" s="64">
        <v>2.66</v>
      </c>
      <c r="C49" s="64">
        <v>32.380000000000003</v>
      </c>
      <c r="D49" s="64">
        <v>18.97</v>
      </c>
      <c r="E49" s="64">
        <v>2.56</v>
      </c>
      <c r="F49" s="64">
        <v>7.09</v>
      </c>
      <c r="G49" s="64">
        <v>49.75</v>
      </c>
      <c r="H49" s="64">
        <v>32.21</v>
      </c>
      <c r="I49" s="64">
        <v>5.8</v>
      </c>
      <c r="J49" s="64">
        <v>0.27</v>
      </c>
      <c r="K49" s="64">
        <v>359.68</v>
      </c>
      <c r="L49" s="64">
        <v>35.24</v>
      </c>
      <c r="M49" s="64">
        <v>31.5</v>
      </c>
      <c r="N49" s="64">
        <v>773.1</v>
      </c>
      <c r="O49" s="64">
        <v>0</v>
      </c>
      <c r="P49" s="64">
        <v>0.87</v>
      </c>
      <c r="Q49" s="64">
        <v>9.4</v>
      </c>
      <c r="R49" s="198"/>
      <c r="S49" s="198"/>
      <c r="T49" s="198"/>
      <c r="U49" s="198"/>
    </row>
    <row r="50" spans="1:21" s="12" customFormat="1" x14ac:dyDescent="0.25">
      <c r="A50" s="214" t="s">
        <v>3073</v>
      </c>
      <c r="B50" s="64">
        <v>2.39</v>
      </c>
      <c r="C50" s="64">
        <v>31.89</v>
      </c>
      <c r="D50" s="64">
        <v>18.5</v>
      </c>
      <c r="E50" s="64">
        <v>2.71</v>
      </c>
      <c r="F50" s="64">
        <v>7.76</v>
      </c>
      <c r="G50" s="64">
        <v>58.73</v>
      </c>
      <c r="H50" s="64">
        <v>40.92</v>
      </c>
      <c r="I50" s="64">
        <v>6.18</v>
      </c>
      <c r="J50" s="64">
        <v>0.2</v>
      </c>
      <c r="K50" s="64">
        <v>359.73</v>
      </c>
      <c r="L50" s="64">
        <v>36.049999999999997</v>
      </c>
      <c r="M50" s="64">
        <v>30.04</v>
      </c>
      <c r="N50" s="64">
        <v>799.4</v>
      </c>
      <c r="O50" s="64">
        <v>0</v>
      </c>
      <c r="P50" s="64">
        <v>0.87</v>
      </c>
      <c r="Q50" s="64">
        <v>9.35</v>
      </c>
      <c r="R50" s="198"/>
      <c r="S50" s="198"/>
      <c r="T50" s="198"/>
      <c r="U50" s="198"/>
    </row>
    <row r="51" spans="1:21" s="12" customFormat="1" x14ac:dyDescent="0.25">
      <c r="A51" s="214" t="s">
        <v>3074</v>
      </c>
      <c r="B51" s="64">
        <v>2.15</v>
      </c>
      <c r="C51" s="64">
        <v>30.55</v>
      </c>
      <c r="D51" s="64">
        <v>17.61</v>
      </c>
      <c r="E51" s="64">
        <v>2.9</v>
      </c>
      <c r="F51" s="64">
        <v>7.15</v>
      </c>
      <c r="G51" s="64">
        <v>58.73</v>
      </c>
      <c r="H51" s="64">
        <v>40.92</v>
      </c>
      <c r="I51" s="64">
        <v>6.28</v>
      </c>
      <c r="J51" s="64">
        <v>0.1</v>
      </c>
      <c r="K51" s="64">
        <v>284.29000000000002</v>
      </c>
      <c r="L51" s="64">
        <v>36.18</v>
      </c>
      <c r="M51" s="64">
        <v>29.56</v>
      </c>
      <c r="N51" s="64">
        <v>841.8</v>
      </c>
      <c r="O51" s="64">
        <v>0</v>
      </c>
      <c r="P51" s="64">
        <v>0.86</v>
      </c>
      <c r="Q51" s="64">
        <v>9.32</v>
      </c>
      <c r="R51" s="198"/>
      <c r="S51" s="198"/>
      <c r="T51" s="198"/>
      <c r="U51" s="198"/>
    </row>
    <row r="52" spans="1:21" s="12" customFormat="1" x14ac:dyDescent="0.25">
      <c r="A52" s="214" t="s">
        <v>3075</v>
      </c>
      <c r="B52" s="64">
        <v>2.02</v>
      </c>
      <c r="C52" s="64">
        <v>28.69</v>
      </c>
      <c r="D52" s="64">
        <v>16.52</v>
      </c>
      <c r="E52" s="64">
        <v>2.67</v>
      </c>
      <c r="F52" s="64">
        <v>6.29</v>
      </c>
      <c r="G52" s="64">
        <v>58.73</v>
      </c>
      <c r="H52" s="64">
        <v>40.92</v>
      </c>
      <c r="I52" s="64">
        <v>5.93</v>
      </c>
      <c r="J52" s="64">
        <v>0.52</v>
      </c>
      <c r="K52" s="64">
        <v>315.48</v>
      </c>
      <c r="L52" s="64">
        <v>38.619999999999997</v>
      </c>
      <c r="M52" s="64">
        <v>27.97</v>
      </c>
      <c r="N52" s="64">
        <v>866.2</v>
      </c>
      <c r="O52" s="64">
        <v>0</v>
      </c>
      <c r="P52" s="64">
        <v>0.86</v>
      </c>
      <c r="Q52" s="64">
        <v>0</v>
      </c>
      <c r="R52" s="198"/>
      <c r="S52" s="198"/>
      <c r="T52" s="198"/>
      <c r="U52" s="198"/>
    </row>
    <row r="53" spans="1:21" s="12" customFormat="1" x14ac:dyDescent="0.25">
      <c r="A53" s="214" t="s">
        <v>3076</v>
      </c>
      <c r="B53" s="64">
        <v>2.02</v>
      </c>
      <c r="C53" s="64">
        <v>28.69</v>
      </c>
      <c r="D53" s="64">
        <v>16.52</v>
      </c>
      <c r="E53" s="64">
        <v>2.67</v>
      </c>
      <c r="F53" s="64">
        <v>6.29</v>
      </c>
      <c r="G53" s="64">
        <v>58.73</v>
      </c>
      <c r="H53" s="64">
        <v>40.92</v>
      </c>
      <c r="I53" s="64">
        <v>5.93</v>
      </c>
      <c r="J53" s="64">
        <v>0.52</v>
      </c>
      <c r="K53" s="64">
        <v>315.48</v>
      </c>
      <c r="L53" s="64">
        <v>38.619999999999997</v>
      </c>
      <c r="M53" s="64">
        <v>27.97</v>
      </c>
      <c r="N53" s="64">
        <v>866.2</v>
      </c>
      <c r="O53" s="64">
        <v>0</v>
      </c>
      <c r="P53" s="64">
        <v>0.86</v>
      </c>
      <c r="Q53" s="64">
        <v>0</v>
      </c>
      <c r="R53" s="198"/>
      <c r="S53" s="198"/>
      <c r="T53" s="198"/>
      <c r="U53" s="198"/>
    </row>
    <row r="54" spans="1:21" s="12" customFormat="1" x14ac:dyDescent="0.25">
      <c r="A54" s="214" t="s">
        <v>3077</v>
      </c>
      <c r="B54" s="64">
        <v>2.02</v>
      </c>
      <c r="C54" s="64">
        <v>25.67</v>
      </c>
      <c r="D54" s="64">
        <v>14.95</v>
      </c>
      <c r="E54" s="64">
        <v>2.52</v>
      </c>
      <c r="F54" s="64">
        <v>8.0399999999999991</v>
      </c>
      <c r="G54" s="64">
        <v>55.05</v>
      </c>
      <c r="H54" s="64">
        <v>38.799999999999997</v>
      </c>
      <c r="I54" s="64">
        <v>5.56</v>
      </c>
      <c r="J54" s="64">
        <v>0.47</v>
      </c>
      <c r="K54" s="64">
        <v>317.35000000000002</v>
      </c>
      <c r="L54" s="64">
        <v>38.24</v>
      </c>
      <c r="M54" s="64">
        <v>27.06</v>
      </c>
      <c r="N54" s="64">
        <v>903.5</v>
      </c>
      <c r="O54" s="64">
        <v>0</v>
      </c>
      <c r="P54" s="64">
        <v>0.81</v>
      </c>
      <c r="Q54" s="64">
        <v>9.32</v>
      </c>
      <c r="R54" s="198"/>
      <c r="S54" s="198"/>
      <c r="T54" s="198"/>
      <c r="U54" s="198"/>
    </row>
    <row r="55" spans="1:21" s="12" customFormat="1" x14ac:dyDescent="0.25">
      <c r="A55" s="214" t="s">
        <v>3078</v>
      </c>
      <c r="B55" s="64">
        <v>1.83</v>
      </c>
      <c r="C55" s="64">
        <v>24.39</v>
      </c>
      <c r="D55" s="64">
        <v>14.13</v>
      </c>
      <c r="E55" s="64">
        <v>2.76</v>
      </c>
      <c r="F55" s="64">
        <v>10.17</v>
      </c>
      <c r="G55" s="64">
        <v>53.35</v>
      </c>
      <c r="H55" s="64">
        <v>37.81</v>
      </c>
      <c r="I55" s="64">
        <v>5.3</v>
      </c>
      <c r="J55" s="64">
        <v>0.64</v>
      </c>
      <c r="K55" s="64">
        <v>326.02</v>
      </c>
      <c r="L55" s="64">
        <v>38.51</v>
      </c>
      <c r="M55" s="64">
        <v>25.94</v>
      </c>
      <c r="N55" s="64">
        <v>917</v>
      </c>
      <c r="O55" s="64">
        <v>0</v>
      </c>
      <c r="P55" s="64">
        <v>0.74</v>
      </c>
      <c r="Q55" s="64">
        <v>9.3000000000000007</v>
      </c>
      <c r="R55" s="198"/>
      <c r="S55" s="198"/>
      <c r="T55" s="198"/>
      <c r="U55" s="198"/>
    </row>
    <row r="56" spans="1:21" s="12" customFormat="1" x14ac:dyDescent="0.25">
      <c r="A56" s="214" t="s">
        <v>3079</v>
      </c>
      <c r="B56" s="64">
        <v>1.71</v>
      </c>
      <c r="C56" s="64">
        <v>23.86</v>
      </c>
      <c r="D56" s="64">
        <v>13.76</v>
      </c>
      <c r="E56" s="64">
        <v>1.43</v>
      </c>
      <c r="F56" s="64">
        <v>10.86</v>
      </c>
      <c r="G56" s="64">
        <v>53.35</v>
      </c>
      <c r="H56" s="64">
        <v>37.81</v>
      </c>
      <c r="I56" s="64">
        <v>4.97</v>
      </c>
      <c r="J56" s="64">
        <v>0.27</v>
      </c>
      <c r="K56" s="64">
        <v>321.62</v>
      </c>
      <c r="L56" s="64">
        <v>38.01</v>
      </c>
      <c r="M56" s="64">
        <v>26.12</v>
      </c>
      <c r="N56" s="64">
        <v>891.9</v>
      </c>
      <c r="O56" s="64">
        <v>0</v>
      </c>
      <c r="P56" s="64">
        <v>0.69</v>
      </c>
      <c r="Q56" s="64">
        <v>9.27</v>
      </c>
      <c r="R56" s="198"/>
      <c r="S56" s="198"/>
      <c r="T56" s="198"/>
      <c r="U56" s="198"/>
    </row>
    <row r="57" spans="1:21" s="12" customFormat="1" x14ac:dyDescent="0.25">
      <c r="A57" s="214" t="s">
        <v>3080</v>
      </c>
      <c r="B57" s="64">
        <v>1.63</v>
      </c>
      <c r="C57" s="64">
        <v>23.47</v>
      </c>
      <c r="D57" s="64">
        <v>13.49</v>
      </c>
      <c r="E57" s="64">
        <v>0.8</v>
      </c>
      <c r="F57" s="64">
        <v>10.97</v>
      </c>
      <c r="G57" s="64">
        <v>52.01</v>
      </c>
      <c r="H57" s="64">
        <v>35.380000000000003</v>
      </c>
      <c r="I57" s="64">
        <v>4.4800000000000004</v>
      </c>
      <c r="J57" s="64">
        <v>0.5</v>
      </c>
      <c r="K57" s="64">
        <v>318.64</v>
      </c>
      <c r="L57" s="64">
        <v>38.409999999999997</v>
      </c>
      <c r="M57" s="64">
        <v>26.3</v>
      </c>
      <c r="N57" s="64">
        <v>907</v>
      </c>
      <c r="O57" s="64">
        <v>0</v>
      </c>
      <c r="P57" s="64">
        <v>0.64</v>
      </c>
      <c r="Q57" s="64">
        <v>9.25</v>
      </c>
      <c r="R57" s="198"/>
      <c r="S57" s="198"/>
      <c r="T57" s="198"/>
      <c r="U57" s="198"/>
    </row>
    <row r="58" spans="1:21" s="12" customFormat="1" x14ac:dyDescent="0.25">
      <c r="A58" s="214" t="s">
        <v>3081</v>
      </c>
      <c r="B58" s="64">
        <v>1.56</v>
      </c>
      <c r="C58" s="64">
        <v>24.74</v>
      </c>
      <c r="D58" s="64">
        <v>14.1</v>
      </c>
      <c r="E58" s="64">
        <v>0.81</v>
      </c>
      <c r="F58" s="64">
        <v>11.11</v>
      </c>
      <c r="G58" s="64">
        <v>49.46</v>
      </c>
      <c r="H58" s="64">
        <v>30.76</v>
      </c>
      <c r="I58" s="64">
        <v>4.07</v>
      </c>
      <c r="J58" s="64">
        <v>0.43</v>
      </c>
      <c r="K58" s="64">
        <v>321.72000000000003</v>
      </c>
      <c r="L58" s="64">
        <v>38.75</v>
      </c>
      <c r="M58" s="64">
        <v>25.83</v>
      </c>
      <c r="N58" s="64">
        <v>881.4</v>
      </c>
      <c r="O58" s="64">
        <v>0</v>
      </c>
      <c r="P58" s="64">
        <v>0.6</v>
      </c>
      <c r="Q58" s="64">
        <v>9.2200000000000006</v>
      </c>
      <c r="R58" s="198"/>
      <c r="S58" s="198"/>
      <c r="T58" s="198"/>
      <c r="U58" s="198"/>
    </row>
    <row r="59" spans="1:21" s="12" customFormat="1" x14ac:dyDescent="0.25">
      <c r="A59" s="214" t="s">
        <v>3082</v>
      </c>
      <c r="B59" s="64">
        <v>1.64</v>
      </c>
      <c r="C59" s="64">
        <v>25.9</v>
      </c>
      <c r="D59" s="64">
        <v>14.76</v>
      </c>
      <c r="E59" s="64">
        <v>0.86</v>
      </c>
      <c r="F59" s="64">
        <v>10.71</v>
      </c>
      <c r="G59" s="64">
        <v>49.46</v>
      </c>
      <c r="H59" s="64">
        <v>30.76</v>
      </c>
      <c r="I59" s="64">
        <v>3.73</v>
      </c>
      <c r="J59" s="64">
        <v>0.37</v>
      </c>
      <c r="K59" s="64">
        <v>315.51</v>
      </c>
      <c r="L59" s="64">
        <v>38.619999999999997</v>
      </c>
      <c r="M59" s="64">
        <v>25.38</v>
      </c>
      <c r="N59" s="64">
        <v>867</v>
      </c>
      <c r="O59" s="64">
        <v>0</v>
      </c>
      <c r="P59" s="64">
        <v>0.57999999999999996</v>
      </c>
      <c r="Q59" s="64">
        <v>9.2200000000000006</v>
      </c>
      <c r="R59" s="198"/>
      <c r="S59" s="198"/>
      <c r="T59" s="198"/>
      <c r="U59" s="198"/>
    </row>
    <row r="60" spans="1:21" s="12" customFormat="1" x14ac:dyDescent="0.25">
      <c r="A60" s="214" t="s">
        <v>3083</v>
      </c>
      <c r="B60" s="64">
        <v>1.67</v>
      </c>
      <c r="C60" s="64">
        <v>26.92</v>
      </c>
      <c r="D60" s="64">
        <v>15.32</v>
      </c>
      <c r="E60" s="64">
        <v>0.86</v>
      </c>
      <c r="F60" s="64">
        <v>10.44</v>
      </c>
      <c r="G60" s="64">
        <v>49.46</v>
      </c>
      <c r="H60" s="64">
        <v>30.76</v>
      </c>
      <c r="I60" s="64">
        <v>3.41</v>
      </c>
      <c r="J60" s="64">
        <v>0.24</v>
      </c>
      <c r="K60" s="64">
        <v>345.98</v>
      </c>
      <c r="L60" s="64">
        <v>38.92</v>
      </c>
      <c r="M60" s="64">
        <v>24.06</v>
      </c>
      <c r="N60" s="64">
        <v>854.5</v>
      </c>
      <c r="O60" s="64">
        <v>0</v>
      </c>
      <c r="P60" s="64">
        <v>0.55000000000000004</v>
      </c>
      <c r="Q60" s="64">
        <v>9.27</v>
      </c>
      <c r="R60" s="198"/>
      <c r="S60" s="198"/>
      <c r="T60" s="198"/>
      <c r="U60" s="198"/>
    </row>
    <row r="61" spans="1:21" s="12" customFormat="1" x14ac:dyDescent="0.25">
      <c r="A61" s="214" t="s">
        <v>3084</v>
      </c>
      <c r="B61" s="64">
        <v>1.62</v>
      </c>
      <c r="C61" s="64">
        <v>27.26</v>
      </c>
      <c r="D61" s="64">
        <v>15.46</v>
      </c>
      <c r="E61" s="64">
        <v>0.59</v>
      </c>
      <c r="F61" s="64">
        <v>10.55</v>
      </c>
      <c r="G61" s="64">
        <v>48.64</v>
      </c>
      <c r="H61" s="64">
        <v>58.17</v>
      </c>
      <c r="I61" s="64">
        <v>3.19</v>
      </c>
      <c r="J61" s="64">
        <v>0.8</v>
      </c>
      <c r="K61" s="64">
        <v>309.3</v>
      </c>
      <c r="L61" s="64">
        <v>38.99</v>
      </c>
      <c r="M61" s="64">
        <v>23.63</v>
      </c>
      <c r="N61" s="64">
        <v>829.3</v>
      </c>
      <c r="O61" s="64">
        <v>0</v>
      </c>
      <c r="P61" s="64">
        <v>0.49</v>
      </c>
      <c r="Q61" s="64">
        <v>9.31</v>
      </c>
      <c r="R61" s="198"/>
      <c r="S61" s="198"/>
      <c r="T61" s="198"/>
      <c r="U61" s="198"/>
    </row>
    <row r="62" spans="1:21" s="12" customFormat="1" x14ac:dyDescent="0.25">
      <c r="A62" s="214" t="s">
        <v>3085</v>
      </c>
      <c r="B62" s="64">
        <v>1.6</v>
      </c>
      <c r="C62" s="64">
        <v>26.09</v>
      </c>
      <c r="D62" s="64">
        <v>14.83</v>
      </c>
      <c r="E62" s="64">
        <v>0.88</v>
      </c>
      <c r="F62" s="64">
        <v>10.98</v>
      </c>
      <c r="G62" s="212" t="s">
        <v>42</v>
      </c>
      <c r="H62" s="212" t="s">
        <v>42</v>
      </c>
      <c r="I62" s="64">
        <v>3.02</v>
      </c>
      <c r="J62" s="64">
        <v>0.56000000000000005</v>
      </c>
      <c r="K62" s="64">
        <v>324.08999999999997</v>
      </c>
      <c r="L62" s="64">
        <v>39.53</v>
      </c>
      <c r="M62" s="64">
        <v>22.25</v>
      </c>
      <c r="N62" s="64">
        <v>806.1</v>
      </c>
      <c r="O62" s="64">
        <v>0</v>
      </c>
      <c r="P62" s="64">
        <v>0.51</v>
      </c>
      <c r="Q62" s="64">
        <v>9.32</v>
      </c>
      <c r="R62" s="198"/>
      <c r="S62" s="198"/>
      <c r="T62" s="198"/>
      <c r="U62" s="198"/>
    </row>
    <row r="63" spans="1:21" s="12" customFormat="1" x14ac:dyDescent="0.25">
      <c r="A63" s="214" t="s">
        <v>3086</v>
      </c>
      <c r="B63" s="64">
        <v>1.63</v>
      </c>
      <c r="C63" s="64">
        <v>26.47</v>
      </c>
      <c r="D63" s="64">
        <v>15.05</v>
      </c>
      <c r="E63" s="64">
        <v>1.83</v>
      </c>
      <c r="F63" s="64">
        <v>10.58</v>
      </c>
      <c r="G63" s="212" t="s">
        <v>42</v>
      </c>
      <c r="H63" s="212" t="s">
        <v>42</v>
      </c>
      <c r="I63" s="64">
        <v>2.84</v>
      </c>
      <c r="J63" s="64">
        <v>0.54</v>
      </c>
      <c r="K63" s="64">
        <v>328.21</v>
      </c>
      <c r="L63" s="64">
        <v>39.47</v>
      </c>
      <c r="M63" s="64">
        <v>22.1</v>
      </c>
      <c r="N63" s="64">
        <v>773.7</v>
      </c>
      <c r="O63" s="64">
        <v>0</v>
      </c>
      <c r="P63" s="64">
        <v>0.5</v>
      </c>
      <c r="Q63" s="64">
        <v>9.34</v>
      </c>
      <c r="R63" s="198"/>
      <c r="S63" s="198"/>
      <c r="T63" s="198"/>
      <c r="U63" s="198"/>
    </row>
    <row r="64" spans="1:21" s="12" customFormat="1" x14ac:dyDescent="0.25">
      <c r="A64" s="214" t="s">
        <v>3087</v>
      </c>
      <c r="B64" s="64">
        <v>1.57</v>
      </c>
      <c r="C64" s="64">
        <v>25.58</v>
      </c>
      <c r="D64" s="64">
        <v>14.54</v>
      </c>
      <c r="E64" s="64">
        <v>0.93</v>
      </c>
      <c r="F64" s="64">
        <v>12.35</v>
      </c>
      <c r="G64" s="212" t="s">
        <v>42</v>
      </c>
      <c r="H64" s="212" t="s">
        <v>42</v>
      </c>
      <c r="I64" s="64">
        <v>2.68</v>
      </c>
      <c r="J64" s="64">
        <v>0.51</v>
      </c>
      <c r="K64" s="64">
        <v>332.85</v>
      </c>
      <c r="L64" s="64">
        <v>38.799999999999997</v>
      </c>
      <c r="M64" s="64">
        <v>22.61</v>
      </c>
      <c r="N64" s="64">
        <v>724.2</v>
      </c>
      <c r="O64" s="64">
        <v>0</v>
      </c>
      <c r="P64" s="64">
        <v>0.47</v>
      </c>
      <c r="Q64" s="64">
        <v>9.35</v>
      </c>
      <c r="R64" s="198"/>
      <c r="S64" s="198"/>
      <c r="T64" s="198"/>
      <c r="U64" s="198"/>
    </row>
    <row r="65" spans="1:21" s="12" customFormat="1" x14ac:dyDescent="0.25">
      <c r="A65" s="214" t="s">
        <v>3088</v>
      </c>
      <c r="B65" s="64">
        <v>1.53</v>
      </c>
      <c r="C65" s="64">
        <v>25.93</v>
      </c>
      <c r="D65" s="64">
        <v>14.7</v>
      </c>
      <c r="E65" s="64">
        <v>1.1499999999999999</v>
      </c>
      <c r="F65" s="64">
        <v>12.63</v>
      </c>
      <c r="G65" s="64">
        <v>45.8</v>
      </c>
      <c r="H65" s="64">
        <v>97.6</v>
      </c>
      <c r="I65" s="64">
        <v>2.5299999999999998</v>
      </c>
      <c r="J65" s="64">
        <v>0.34</v>
      </c>
      <c r="K65" s="64">
        <v>340.51</v>
      </c>
      <c r="L65" s="64">
        <v>38.15</v>
      </c>
      <c r="M65" s="64">
        <v>23.39</v>
      </c>
      <c r="N65" s="64">
        <v>625.70000000000005</v>
      </c>
      <c r="O65" s="64">
        <v>0</v>
      </c>
      <c r="P65" s="64">
        <v>0.46</v>
      </c>
      <c r="Q65" s="64">
        <v>9.35</v>
      </c>
      <c r="R65" s="198"/>
      <c r="S65" s="198"/>
      <c r="T65" s="198"/>
      <c r="U65" s="198"/>
    </row>
    <row r="66" spans="1:21" s="12" customFormat="1" x14ac:dyDescent="0.25">
      <c r="A66" s="214" t="s">
        <v>3089</v>
      </c>
      <c r="B66" s="64">
        <v>1.52</v>
      </c>
      <c r="C66" s="64">
        <v>25.26</v>
      </c>
      <c r="D66" s="64">
        <v>14.34</v>
      </c>
      <c r="E66" s="64">
        <v>1.2</v>
      </c>
      <c r="F66" s="64">
        <v>11.66</v>
      </c>
      <c r="G66" s="64">
        <v>43.36</v>
      </c>
      <c r="H66" s="64">
        <v>73.349999999999994</v>
      </c>
      <c r="I66" s="64">
        <v>2.36</v>
      </c>
      <c r="J66" s="64">
        <v>0.64</v>
      </c>
      <c r="K66" s="64">
        <v>319.94</v>
      </c>
      <c r="L66" s="64">
        <v>37.64</v>
      </c>
      <c r="M66" s="64">
        <v>26.28</v>
      </c>
      <c r="N66" s="64">
        <v>415.9</v>
      </c>
      <c r="O66" s="64">
        <v>0</v>
      </c>
      <c r="P66" s="64">
        <v>0.46</v>
      </c>
      <c r="Q66" s="64">
        <v>9.39</v>
      </c>
      <c r="R66" s="198"/>
      <c r="S66" s="198"/>
      <c r="T66" s="198"/>
      <c r="U66" s="198"/>
    </row>
    <row r="67" spans="1:21" s="12" customFormat="1" x14ac:dyDescent="0.25">
      <c r="A67" s="214" t="s">
        <v>3090</v>
      </c>
      <c r="B67" s="64">
        <v>1.51</v>
      </c>
      <c r="C67" s="64">
        <v>24.42</v>
      </c>
      <c r="D67" s="64">
        <v>13.89</v>
      </c>
      <c r="E67" s="64">
        <v>1.1299999999999999</v>
      </c>
      <c r="F67" s="64">
        <v>10.86</v>
      </c>
      <c r="G67" s="64">
        <v>43.36</v>
      </c>
      <c r="H67" s="64">
        <v>73.349999999999994</v>
      </c>
      <c r="I67" s="64">
        <v>2.2200000000000002</v>
      </c>
      <c r="J67" s="64">
        <v>0.49</v>
      </c>
      <c r="K67" s="64">
        <v>332.31</v>
      </c>
      <c r="L67" s="64">
        <v>38.01</v>
      </c>
      <c r="M67" s="64">
        <v>24.48</v>
      </c>
      <c r="N67" s="64">
        <v>339.2</v>
      </c>
      <c r="O67" s="64">
        <v>0</v>
      </c>
      <c r="P67" s="64">
        <v>0.48</v>
      </c>
      <c r="Q67" s="64">
        <v>9.34</v>
      </c>
      <c r="R67" s="198"/>
      <c r="S67" s="198"/>
      <c r="T67" s="198"/>
      <c r="U67" s="198"/>
    </row>
    <row r="68" spans="1:21" s="12" customFormat="1" x14ac:dyDescent="0.25">
      <c r="A68" s="214" t="s">
        <v>3091</v>
      </c>
      <c r="B68" s="64">
        <v>1.44</v>
      </c>
      <c r="C68" s="64">
        <v>23.49</v>
      </c>
      <c r="D68" s="64">
        <v>13.35</v>
      </c>
      <c r="E68" s="64">
        <v>1.24</v>
      </c>
      <c r="F68" s="64">
        <v>10.34</v>
      </c>
      <c r="G68" s="64">
        <v>43.36</v>
      </c>
      <c r="H68" s="64">
        <v>73.349999999999994</v>
      </c>
      <c r="I68" s="64">
        <v>2.12</v>
      </c>
      <c r="J68" s="64">
        <v>0.44</v>
      </c>
      <c r="K68" s="64">
        <v>325.48</v>
      </c>
      <c r="L68" s="64">
        <v>38.35</v>
      </c>
      <c r="M68" s="64">
        <v>24.28</v>
      </c>
      <c r="N68" s="64">
        <v>399.2</v>
      </c>
      <c r="O68" s="64">
        <v>0</v>
      </c>
      <c r="P68" s="64">
        <v>0.48</v>
      </c>
      <c r="Q68" s="64">
        <v>9.34</v>
      </c>
      <c r="R68" s="198"/>
      <c r="S68" s="198"/>
      <c r="T68" s="198"/>
      <c r="U68" s="198"/>
    </row>
    <row r="69" spans="1:21" s="12" customFormat="1" x14ac:dyDescent="0.25">
      <c r="A69" s="214" t="s">
        <v>3092</v>
      </c>
      <c r="B69" s="64">
        <v>1.47</v>
      </c>
      <c r="C69" s="64">
        <v>23.01</v>
      </c>
      <c r="D69" s="64">
        <v>13.12</v>
      </c>
      <c r="E69" s="64">
        <v>1.21</v>
      </c>
      <c r="F69" s="64">
        <v>9.76</v>
      </c>
      <c r="G69" s="64">
        <v>42.9</v>
      </c>
      <c r="H69" s="64">
        <v>69.2</v>
      </c>
      <c r="I69" s="64">
        <v>2.0299999999999998</v>
      </c>
      <c r="J69" s="64">
        <v>0.59</v>
      </c>
      <c r="K69" s="64">
        <v>316.73</v>
      </c>
      <c r="L69" s="64">
        <v>38.24</v>
      </c>
      <c r="M69" s="64">
        <v>24.24</v>
      </c>
      <c r="N69" s="64">
        <v>270.3</v>
      </c>
      <c r="O69" s="64">
        <v>0</v>
      </c>
      <c r="P69" s="64">
        <v>0.48</v>
      </c>
      <c r="Q69" s="64">
        <v>9.2799999999999994</v>
      </c>
      <c r="R69" s="198"/>
      <c r="S69" s="198"/>
      <c r="T69" s="198"/>
      <c r="U69" s="198"/>
    </row>
    <row r="70" spans="1:21" s="12" customFormat="1" x14ac:dyDescent="0.25">
      <c r="A70" s="214" t="s">
        <v>3093</v>
      </c>
      <c r="B70" s="64">
        <v>1.45</v>
      </c>
      <c r="C70" s="64">
        <v>23.15</v>
      </c>
      <c r="D70" s="64">
        <v>13.18</v>
      </c>
      <c r="E70" s="64">
        <v>1.2</v>
      </c>
      <c r="F70" s="64">
        <v>10.11</v>
      </c>
      <c r="G70" s="64">
        <v>42.05</v>
      </c>
      <c r="H70" s="64">
        <v>61.31</v>
      </c>
      <c r="I70" s="64">
        <v>1.96</v>
      </c>
      <c r="J70" s="64">
        <v>0.37</v>
      </c>
      <c r="K70" s="64">
        <v>338.06</v>
      </c>
      <c r="L70" s="64">
        <v>37.659999999999997</v>
      </c>
      <c r="M70" s="64">
        <v>25.13</v>
      </c>
      <c r="N70" s="64">
        <v>303.8</v>
      </c>
      <c r="O70" s="64">
        <v>0</v>
      </c>
      <c r="P70" s="64">
        <v>0.47</v>
      </c>
      <c r="Q70" s="64">
        <v>9.23</v>
      </c>
      <c r="R70" s="198"/>
      <c r="S70" s="198"/>
      <c r="T70" s="198"/>
      <c r="U70" s="198"/>
    </row>
    <row r="71" spans="1:21" s="12" customFormat="1" x14ac:dyDescent="0.25">
      <c r="A71" s="214" t="s">
        <v>3094</v>
      </c>
      <c r="B71" s="64">
        <v>1.41</v>
      </c>
      <c r="C71" s="64">
        <v>23.48</v>
      </c>
      <c r="D71" s="64">
        <v>13.31</v>
      </c>
      <c r="E71" s="64">
        <v>1</v>
      </c>
      <c r="F71" s="64">
        <v>10.83</v>
      </c>
      <c r="G71" s="64">
        <v>42.05</v>
      </c>
      <c r="H71" s="64">
        <v>61.31</v>
      </c>
      <c r="I71" s="64">
        <v>1.93</v>
      </c>
      <c r="J71" s="64">
        <v>0.23</v>
      </c>
      <c r="K71" s="64">
        <v>355.76</v>
      </c>
      <c r="L71" s="64">
        <v>37.340000000000003</v>
      </c>
      <c r="M71" s="64">
        <v>25.12</v>
      </c>
      <c r="N71" s="64">
        <v>250.6</v>
      </c>
      <c r="O71" s="64">
        <v>0</v>
      </c>
      <c r="P71" s="64">
        <v>0.48</v>
      </c>
      <c r="Q71" s="64">
        <v>9.2200000000000006</v>
      </c>
      <c r="R71" s="198"/>
      <c r="S71" s="198"/>
      <c r="T71" s="198"/>
      <c r="U71" s="198"/>
    </row>
    <row r="72" spans="1:21" s="12" customFormat="1" x14ac:dyDescent="0.25">
      <c r="A72" s="214" t="s">
        <v>3095</v>
      </c>
      <c r="B72" s="64">
        <v>1.28</v>
      </c>
      <c r="C72" s="64">
        <v>23.51</v>
      </c>
      <c r="D72" s="64">
        <v>13.23</v>
      </c>
      <c r="E72" s="64">
        <v>0.53</v>
      </c>
      <c r="F72" s="64">
        <v>11.18</v>
      </c>
      <c r="G72" s="64">
        <v>42.05</v>
      </c>
      <c r="H72" s="64">
        <v>61.31</v>
      </c>
      <c r="I72" s="64">
        <v>1.93</v>
      </c>
      <c r="J72" s="64">
        <v>0.2</v>
      </c>
      <c r="K72" s="64">
        <v>357.44</v>
      </c>
      <c r="L72" s="64">
        <v>36.93</v>
      </c>
      <c r="M72" s="64">
        <v>26.02</v>
      </c>
      <c r="N72" s="64">
        <v>167.6</v>
      </c>
      <c r="O72" s="64">
        <v>0</v>
      </c>
      <c r="P72" s="64">
        <v>0.49</v>
      </c>
      <c r="Q72" s="64">
        <v>9.1999999999999993</v>
      </c>
      <c r="R72" s="198"/>
      <c r="S72" s="198"/>
      <c r="T72" s="198"/>
      <c r="U72" s="198"/>
    </row>
    <row r="73" spans="1:21" s="12" customFormat="1" x14ac:dyDescent="0.25">
      <c r="A73" s="214" t="s">
        <v>3096</v>
      </c>
      <c r="B73" s="64">
        <v>1.18</v>
      </c>
      <c r="C73" s="64">
        <v>22.88</v>
      </c>
      <c r="D73" s="64">
        <v>12.82</v>
      </c>
      <c r="E73" s="64">
        <v>1.06</v>
      </c>
      <c r="F73" s="64">
        <v>10.96</v>
      </c>
      <c r="G73" s="64">
        <v>41.75</v>
      </c>
      <c r="H73" s="64">
        <v>56.92</v>
      </c>
      <c r="I73" s="64">
        <v>1.98</v>
      </c>
      <c r="J73" s="64">
        <v>0.23</v>
      </c>
      <c r="K73" s="64">
        <v>357.88</v>
      </c>
      <c r="L73" s="64">
        <v>36.99</v>
      </c>
      <c r="M73" s="64">
        <v>26.81</v>
      </c>
      <c r="N73" s="64">
        <v>167.2</v>
      </c>
      <c r="O73" s="64">
        <v>0</v>
      </c>
      <c r="P73" s="64">
        <v>0.49</v>
      </c>
      <c r="Q73" s="64">
        <v>9.1999999999999993</v>
      </c>
      <c r="R73" s="198"/>
      <c r="S73" s="198"/>
      <c r="T73" s="198"/>
      <c r="U73" s="198"/>
    </row>
    <row r="74" spans="1:21" s="12" customFormat="1" x14ac:dyDescent="0.25">
      <c r="A74" s="214" t="s">
        <v>3097</v>
      </c>
      <c r="B74" s="64">
        <v>1.22</v>
      </c>
      <c r="C74" s="64">
        <v>23.15</v>
      </c>
      <c r="D74" s="64">
        <v>12.99</v>
      </c>
      <c r="E74" s="64">
        <v>0.94</v>
      </c>
      <c r="F74" s="64">
        <v>10.33</v>
      </c>
      <c r="G74" s="64">
        <v>41.17</v>
      </c>
      <c r="H74" s="64">
        <v>48.57</v>
      </c>
      <c r="I74" s="64">
        <v>2.0299999999999998</v>
      </c>
      <c r="J74" s="64">
        <v>0.31</v>
      </c>
      <c r="K74" s="64">
        <v>339.2</v>
      </c>
      <c r="L74" s="64">
        <v>36.869999999999997</v>
      </c>
      <c r="M74" s="64">
        <v>27.03</v>
      </c>
      <c r="N74" s="64">
        <v>136.9</v>
      </c>
      <c r="O74" s="64">
        <v>0</v>
      </c>
      <c r="P74" s="64">
        <v>0.49</v>
      </c>
      <c r="Q74" s="64">
        <v>9.2100000000000009</v>
      </c>
      <c r="R74" s="198"/>
      <c r="S74" s="198"/>
      <c r="T74" s="198"/>
      <c r="U74" s="198"/>
    </row>
    <row r="75" spans="1:21" s="12" customFormat="1" x14ac:dyDescent="0.25">
      <c r="A75" s="214" t="s">
        <v>3098</v>
      </c>
      <c r="B75" s="64">
        <v>1.25</v>
      </c>
      <c r="C75" s="64">
        <v>23.68</v>
      </c>
      <c r="D75" s="64">
        <v>13.29</v>
      </c>
      <c r="E75" s="64">
        <v>1</v>
      </c>
      <c r="F75" s="64">
        <v>10.01</v>
      </c>
      <c r="G75" s="64">
        <v>41.17</v>
      </c>
      <c r="H75" s="64">
        <v>48.57</v>
      </c>
      <c r="I75" s="64">
        <v>2.14</v>
      </c>
      <c r="J75" s="64">
        <v>0.25</v>
      </c>
      <c r="K75" s="64">
        <v>347.81</v>
      </c>
      <c r="L75" s="64">
        <v>36.79</v>
      </c>
      <c r="M75" s="64">
        <v>27.55</v>
      </c>
      <c r="N75" s="64">
        <v>126.3</v>
      </c>
      <c r="O75" s="64">
        <v>0</v>
      </c>
      <c r="P75" s="64">
        <v>0.49</v>
      </c>
      <c r="Q75" s="64">
        <v>9.2200000000000006</v>
      </c>
      <c r="R75" s="198"/>
      <c r="S75" s="198"/>
      <c r="T75" s="198"/>
      <c r="U75" s="198"/>
    </row>
    <row r="76" spans="1:21" s="12" customFormat="1" x14ac:dyDescent="0.25">
      <c r="A76" s="214" t="s">
        <v>3099</v>
      </c>
      <c r="B76" s="64">
        <v>1.23</v>
      </c>
      <c r="C76" s="64">
        <v>24.52</v>
      </c>
      <c r="D76" s="64">
        <v>13.71</v>
      </c>
      <c r="E76" s="64">
        <v>1.23</v>
      </c>
      <c r="F76" s="64">
        <v>9.5500000000000007</v>
      </c>
      <c r="G76" s="64">
        <v>41.17</v>
      </c>
      <c r="H76" s="64">
        <v>48.57</v>
      </c>
      <c r="I76" s="64">
        <v>1.98</v>
      </c>
      <c r="J76" s="64">
        <v>0.36</v>
      </c>
      <c r="K76" s="64">
        <v>342.18</v>
      </c>
      <c r="L76" s="64">
        <v>36.619999999999997</v>
      </c>
      <c r="M76" s="64">
        <v>27.23</v>
      </c>
      <c r="N76" s="64">
        <v>111</v>
      </c>
      <c r="O76" s="64">
        <v>0</v>
      </c>
      <c r="P76" s="64">
        <v>0.49</v>
      </c>
      <c r="Q76" s="64">
        <v>9.2200000000000006</v>
      </c>
      <c r="R76" s="198"/>
      <c r="S76" s="198"/>
      <c r="T76" s="198"/>
      <c r="U76" s="198"/>
    </row>
    <row r="77" spans="1:21" s="12" customFormat="1" x14ac:dyDescent="0.25">
      <c r="A77" s="214" t="s">
        <v>3100</v>
      </c>
      <c r="B77" s="64">
        <v>1.33</v>
      </c>
      <c r="C77" s="64">
        <v>24.1</v>
      </c>
      <c r="D77" s="64">
        <v>13.58</v>
      </c>
      <c r="E77" s="64">
        <v>0.84</v>
      </c>
      <c r="F77" s="64">
        <v>8.77</v>
      </c>
      <c r="G77" s="64">
        <v>41.3</v>
      </c>
      <c r="H77" s="64">
        <v>45.52</v>
      </c>
      <c r="I77" s="64">
        <v>1.99</v>
      </c>
      <c r="J77" s="64">
        <v>0.46</v>
      </c>
      <c r="K77" s="64">
        <v>320.85000000000002</v>
      </c>
      <c r="L77" s="64">
        <v>36.36</v>
      </c>
      <c r="M77" s="64">
        <v>27.1</v>
      </c>
      <c r="N77" s="64">
        <v>90.7</v>
      </c>
      <c r="O77" s="64">
        <v>0</v>
      </c>
      <c r="P77" s="64">
        <v>0.48</v>
      </c>
      <c r="Q77" s="64">
        <v>9.2100000000000009</v>
      </c>
      <c r="R77" s="198"/>
      <c r="S77" s="198"/>
      <c r="T77" s="198"/>
      <c r="U77" s="198"/>
    </row>
    <row r="78" spans="1:21" s="12" customFormat="1" x14ac:dyDescent="0.25">
      <c r="A78" s="214" t="s">
        <v>3101</v>
      </c>
      <c r="B78" s="64">
        <v>1.44</v>
      </c>
      <c r="C78" s="64">
        <v>25.02</v>
      </c>
      <c r="D78" s="64">
        <v>14.14</v>
      </c>
      <c r="E78" s="64">
        <v>1.1000000000000001</v>
      </c>
      <c r="F78" s="64">
        <v>7.82</v>
      </c>
      <c r="G78" s="64">
        <v>41.53</v>
      </c>
      <c r="H78" s="64">
        <v>39.71</v>
      </c>
      <c r="I78" s="64">
        <v>2.0099999999999998</v>
      </c>
      <c r="J78" s="64">
        <v>0.37</v>
      </c>
      <c r="K78" s="64">
        <v>322.36</v>
      </c>
      <c r="L78" s="64">
        <v>36.06</v>
      </c>
      <c r="M78" s="64">
        <v>27.46</v>
      </c>
      <c r="N78" s="64">
        <v>73.599999999999994</v>
      </c>
      <c r="O78" s="64">
        <v>0</v>
      </c>
      <c r="P78" s="64">
        <v>0.49</v>
      </c>
      <c r="Q78" s="64">
        <v>9.24</v>
      </c>
      <c r="R78" s="198"/>
      <c r="S78" s="198"/>
      <c r="T78" s="198"/>
      <c r="U78" s="198"/>
    </row>
    <row r="79" spans="1:21" s="12" customFormat="1" x14ac:dyDescent="0.25">
      <c r="A79" s="214" t="s">
        <v>3102</v>
      </c>
      <c r="B79" s="64">
        <v>1.58</v>
      </c>
      <c r="C79" s="64">
        <v>25.3</v>
      </c>
      <c r="D79" s="64">
        <v>14.4</v>
      </c>
      <c r="E79" s="64">
        <v>0.7</v>
      </c>
      <c r="F79" s="64">
        <v>6.67</v>
      </c>
      <c r="G79" s="64">
        <v>41.53</v>
      </c>
      <c r="H79" s="64">
        <v>39.71</v>
      </c>
      <c r="I79" s="64">
        <v>2</v>
      </c>
      <c r="J79" s="64">
        <v>0.48</v>
      </c>
      <c r="K79" s="64">
        <v>314.93</v>
      </c>
      <c r="L79" s="64">
        <v>35.57</v>
      </c>
      <c r="M79" s="64">
        <v>28.27</v>
      </c>
      <c r="N79" s="64">
        <v>60.1</v>
      </c>
      <c r="O79" s="64">
        <v>0</v>
      </c>
      <c r="P79" s="64">
        <v>0.49</v>
      </c>
      <c r="Q79" s="64">
        <v>9.27</v>
      </c>
      <c r="R79" s="198"/>
      <c r="S79" s="198"/>
      <c r="T79" s="198"/>
      <c r="U79" s="198"/>
    </row>
    <row r="80" spans="1:21" s="12" customFormat="1" x14ac:dyDescent="0.25">
      <c r="A80" s="214" t="s">
        <v>3103</v>
      </c>
      <c r="B80" s="64">
        <v>1.78</v>
      </c>
      <c r="C80" s="64">
        <v>23.46</v>
      </c>
      <c r="D80" s="64">
        <v>13.61</v>
      </c>
      <c r="E80" s="64">
        <v>0.5</v>
      </c>
      <c r="F80" s="64">
        <v>5.84</v>
      </c>
      <c r="G80" s="64">
        <v>41.53</v>
      </c>
      <c r="H80" s="64">
        <v>39.71</v>
      </c>
      <c r="I80" s="64">
        <v>2.02</v>
      </c>
      <c r="J80" s="64">
        <v>1.01</v>
      </c>
      <c r="K80" s="64">
        <v>315.29000000000002</v>
      </c>
      <c r="L80" s="64">
        <v>34.94</v>
      </c>
      <c r="M80" s="64">
        <v>28.23</v>
      </c>
      <c r="N80" s="64">
        <v>45.7</v>
      </c>
      <c r="O80" s="64">
        <v>0</v>
      </c>
      <c r="P80" s="64">
        <v>0.5</v>
      </c>
      <c r="Q80" s="64">
        <v>9.26</v>
      </c>
      <c r="R80" s="198"/>
      <c r="S80" s="198"/>
      <c r="T80" s="198"/>
      <c r="U80" s="198"/>
    </row>
    <row r="81" spans="1:26" s="12" customFormat="1" x14ac:dyDescent="0.25">
      <c r="A81" s="214" t="s">
        <v>3104</v>
      </c>
      <c r="B81" s="64">
        <v>2.09</v>
      </c>
      <c r="C81" s="64">
        <v>23.31</v>
      </c>
      <c r="D81" s="64">
        <v>13.77</v>
      </c>
      <c r="E81" s="64">
        <v>0.56000000000000005</v>
      </c>
      <c r="F81" s="64">
        <v>4.9800000000000004</v>
      </c>
      <c r="G81" s="64">
        <v>42.4</v>
      </c>
      <c r="H81" s="64">
        <v>27.4</v>
      </c>
      <c r="I81" s="64">
        <v>2.16</v>
      </c>
      <c r="J81" s="64">
        <v>0.89</v>
      </c>
      <c r="K81" s="64">
        <v>312.70999999999998</v>
      </c>
      <c r="L81" s="64">
        <v>34.299999999999997</v>
      </c>
      <c r="M81" s="64">
        <v>26.87</v>
      </c>
      <c r="N81" s="64">
        <v>34.799999999999997</v>
      </c>
      <c r="O81" s="64">
        <v>0</v>
      </c>
      <c r="P81" s="64">
        <v>0.5</v>
      </c>
      <c r="Q81" s="64">
        <v>9.2799999999999994</v>
      </c>
      <c r="R81" s="198"/>
      <c r="S81" s="198"/>
      <c r="T81" s="198"/>
      <c r="U81" s="198"/>
    </row>
    <row r="82" spans="1:26" s="12" customFormat="1" x14ac:dyDescent="0.25">
      <c r="A82" s="214" t="s">
        <v>3105</v>
      </c>
      <c r="B82" s="64">
        <v>2.2999999999999998</v>
      </c>
      <c r="C82" s="64">
        <v>23.92</v>
      </c>
      <c r="D82" s="64">
        <v>14.26</v>
      </c>
      <c r="E82" s="64">
        <v>0.77</v>
      </c>
      <c r="F82" s="64">
        <v>4.99</v>
      </c>
      <c r="G82" s="64">
        <v>44.05</v>
      </c>
      <c r="H82" s="64">
        <v>3.97</v>
      </c>
      <c r="I82" s="64">
        <v>2.2799999999999998</v>
      </c>
      <c r="J82" s="64">
        <v>0.44</v>
      </c>
      <c r="K82" s="64">
        <v>311.14</v>
      </c>
      <c r="L82" s="64">
        <v>33.67</v>
      </c>
      <c r="M82" s="64">
        <v>27.53</v>
      </c>
      <c r="N82" s="64">
        <v>29.2</v>
      </c>
      <c r="O82" s="64">
        <v>0</v>
      </c>
      <c r="P82" s="64">
        <v>0.53</v>
      </c>
      <c r="Q82" s="64">
        <v>9.3000000000000007</v>
      </c>
      <c r="R82" s="198"/>
      <c r="S82" s="198"/>
      <c r="T82" s="198"/>
      <c r="U82" s="198"/>
    </row>
    <row r="83" spans="1:26" s="12" customFormat="1" x14ac:dyDescent="0.25">
      <c r="A83" s="214" t="s">
        <v>3106</v>
      </c>
      <c r="B83" s="64">
        <v>2.58</v>
      </c>
      <c r="C83" s="64">
        <v>24.57</v>
      </c>
      <c r="D83" s="64">
        <v>14.82</v>
      </c>
      <c r="E83" s="64">
        <v>0.65</v>
      </c>
      <c r="F83" s="64">
        <v>4.87</v>
      </c>
      <c r="G83" s="64">
        <v>44.05</v>
      </c>
      <c r="H83" s="64">
        <v>3.97</v>
      </c>
      <c r="I83" s="64">
        <v>2.4500000000000002</v>
      </c>
      <c r="J83" s="64">
        <v>0.55000000000000004</v>
      </c>
      <c r="K83" s="64">
        <v>316.64999999999998</v>
      </c>
      <c r="L83" s="64">
        <v>33.22</v>
      </c>
      <c r="M83" s="64">
        <v>28.3</v>
      </c>
      <c r="N83" s="64">
        <v>27.5</v>
      </c>
      <c r="O83" s="64">
        <v>0</v>
      </c>
      <c r="P83" s="64">
        <v>0.54</v>
      </c>
      <c r="Q83" s="64">
        <v>9.33</v>
      </c>
      <c r="R83" s="198"/>
      <c r="S83" s="198"/>
      <c r="T83" s="198"/>
      <c r="U83" s="198"/>
    </row>
    <row r="84" spans="1:26" s="12" customFormat="1" x14ac:dyDescent="0.25">
      <c r="A84" s="214" t="s">
        <v>3107</v>
      </c>
      <c r="B84" s="64">
        <v>3.06</v>
      </c>
      <c r="C84" s="64">
        <v>27.95</v>
      </c>
      <c r="D84" s="64">
        <v>16.98</v>
      </c>
      <c r="E84" s="64">
        <v>0.83</v>
      </c>
      <c r="F84" s="64">
        <v>5.03</v>
      </c>
      <c r="G84" s="64">
        <v>44.05</v>
      </c>
      <c r="H84" s="64">
        <v>3.97</v>
      </c>
      <c r="I84" s="64">
        <v>2.88</v>
      </c>
      <c r="J84" s="64">
        <v>0.49</v>
      </c>
      <c r="K84" s="64">
        <v>310.56</v>
      </c>
      <c r="L84" s="64">
        <v>32.82</v>
      </c>
      <c r="M84" s="64">
        <v>29.33</v>
      </c>
      <c r="N84" s="64">
        <v>27.2</v>
      </c>
      <c r="O84" s="64">
        <v>0</v>
      </c>
      <c r="P84" s="64">
        <v>0.57999999999999996</v>
      </c>
      <c r="Q84" s="64">
        <v>9.3800000000000008</v>
      </c>
      <c r="R84" s="198"/>
      <c r="S84" s="198"/>
      <c r="T84" s="198"/>
      <c r="U84" s="198"/>
    </row>
    <row r="85" spans="1:26" s="12" customFormat="1" x14ac:dyDescent="0.25">
      <c r="A85" s="214" t="s">
        <v>3108</v>
      </c>
      <c r="B85" s="64">
        <v>3.7</v>
      </c>
      <c r="C85" s="64">
        <v>32.68</v>
      </c>
      <c r="D85" s="64">
        <v>19.97</v>
      </c>
      <c r="E85" s="64">
        <v>1.21</v>
      </c>
      <c r="F85" s="64">
        <v>4.18</v>
      </c>
      <c r="G85" s="64">
        <v>45.07</v>
      </c>
      <c r="H85" s="64">
        <v>18.21</v>
      </c>
      <c r="I85" s="64">
        <v>3.44</v>
      </c>
      <c r="J85" s="64">
        <v>0.28999999999999998</v>
      </c>
      <c r="K85" s="64">
        <v>314.18</v>
      </c>
      <c r="L85" s="64">
        <v>32.76</v>
      </c>
      <c r="M85" s="64">
        <v>28.99</v>
      </c>
      <c r="N85" s="64">
        <v>27.5</v>
      </c>
      <c r="O85" s="64">
        <v>0</v>
      </c>
      <c r="P85" s="64">
        <v>0.61</v>
      </c>
      <c r="Q85" s="64">
        <v>9.4</v>
      </c>
      <c r="R85" s="198"/>
      <c r="S85" s="198"/>
      <c r="T85" s="198"/>
      <c r="U85" s="198"/>
    </row>
    <row r="86" spans="1:26" s="12" customFormat="1" x14ac:dyDescent="0.25">
      <c r="A86" s="214" t="s">
        <v>3109</v>
      </c>
      <c r="B86" s="64">
        <v>4.2699999999999996</v>
      </c>
      <c r="C86" s="64">
        <v>32.92</v>
      </c>
      <c r="D86" s="64">
        <v>20.54</v>
      </c>
      <c r="E86" s="64">
        <v>1.02</v>
      </c>
      <c r="F86" s="64">
        <v>3.88</v>
      </c>
      <c r="G86" s="64">
        <v>47.03</v>
      </c>
      <c r="H86" s="64">
        <v>45.32</v>
      </c>
      <c r="I86" s="64">
        <v>3.77</v>
      </c>
      <c r="J86" s="64">
        <v>0.18</v>
      </c>
      <c r="K86" s="64">
        <v>307.85000000000002</v>
      </c>
      <c r="L86" s="64">
        <v>32.51</v>
      </c>
      <c r="M86" s="64">
        <v>29.75</v>
      </c>
      <c r="N86" s="64">
        <v>27.8</v>
      </c>
      <c r="O86" s="64">
        <v>0</v>
      </c>
      <c r="P86" s="64">
        <v>0.72</v>
      </c>
      <c r="Q86" s="64">
        <v>9.3800000000000008</v>
      </c>
      <c r="R86" s="198"/>
      <c r="S86" s="198"/>
      <c r="T86" s="198"/>
      <c r="U86" s="198"/>
    </row>
    <row r="87" spans="1:26" s="12" customFormat="1" x14ac:dyDescent="0.25">
      <c r="A87" s="214" t="s">
        <v>3110</v>
      </c>
      <c r="B87" s="64">
        <v>5.76</v>
      </c>
      <c r="C87" s="64">
        <v>33.4</v>
      </c>
      <c r="D87" s="64">
        <v>21.99</v>
      </c>
      <c r="E87" s="64">
        <v>0.96</v>
      </c>
      <c r="F87" s="64">
        <v>2.93</v>
      </c>
      <c r="G87" s="64">
        <v>47.03</v>
      </c>
      <c r="H87" s="64">
        <v>45.32</v>
      </c>
      <c r="I87" s="64">
        <v>4.05</v>
      </c>
      <c r="J87" s="64">
        <v>0.17</v>
      </c>
      <c r="K87" s="64">
        <v>313.83</v>
      </c>
      <c r="L87" s="64">
        <v>32.11</v>
      </c>
      <c r="M87" s="64">
        <v>30.8</v>
      </c>
      <c r="N87" s="64">
        <v>27.8</v>
      </c>
      <c r="O87" s="64">
        <v>0</v>
      </c>
      <c r="P87" s="64">
        <v>0.82</v>
      </c>
      <c r="Q87" s="64">
        <v>9.3699999999999992</v>
      </c>
      <c r="R87" s="198"/>
      <c r="S87" s="198"/>
      <c r="T87" s="198"/>
      <c r="U87" s="198"/>
    </row>
    <row r="88" spans="1:26" s="12" customFormat="1" x14ac:dyDescent="0.25">
      <c r="A88" s="214" t="s">
        <v>3111</v>
      </c>
      <c r="B88" s="64">
        <v>7.14</v>
      </c>
      <c r="C88" s="64">
        <v>32.33</v>
      </c>
      <c r="D88" s="64">
        <v>22.54</v>
      </c>
      <c r="E88" s="64">
        <v>1.64</v>
      </c>
      <c r="F88" s="64">
        <v>3.71</v>
      </c>
      <c r="G88" s="64">
        <v>47.03</v>
      </c>
      <c r="H88" s="64">
        <v>45.32</v>
      </c>
      <c r="I88" s="64">
        <v>4.29</v>
      </c>
      <c r="J88" s="64">
        <v>0.14000000000000001</v>
      </c>
      <c r="K88" s="64">
        <v>307.86</v>
      </c>
      <c r="L88" s="64">
        <v>32.020000000000003</v>
      </c>
      <c r="M88" s="64">
        <v>30.69</v>
      </c>
      <c r="N88" s="64">
        <v>27.8</v>
      </c>
      <c r="O88" s="64">
        <v>0</v>
      </c>
      <c r="P88" s="64">
        <v>0.87</v>
      </c>
      <c r="Q88" s="64">
        <v>9.3800000000000008</v>
      </c>
      <c r="R88" s="198"/>
      <c r="S88" s="198"/>
      <c r="T88" s="198"/>
      <c r="U88" s="198"/>
    </row>
    <row r="89" spans="1:26" s="12" customFormat="1" x14ac:dyDescent="0.25">
      <c r="A89" s="214" t="s">
        <v>3112</v>
      </c>
      <c r="B89" s="64">
        <v>8.1199999999999992</v>
      </c>
      <c r="C89" s="64">
        <v>32.29</v>
      </c>
      <c r="D89" s="64">
        <v>23.3</v>
      </c>
      <c r="E89" s="64">
        <v>1.44</v>
      </c>
      <c r="F89" s="64">
        <v>3.76</v>
      </c>
      <c r="G89" s="64">
        <v>48.29</v>
      </c>
      <c r="H89" s="64">
        <v>57.79</v>
      </c>
      <c r="I89" s="64">
        <v>4.74</v>
      </c>
      <c r="J89" s="64">
        <v>0.15</v>
      </c>
      <c r="K89" s="64">
        <v>316.89</v>
      </c>
      <c r="L89" s="64">
        <v>31.83</v>
      </c>
      <c r="M89" s="64">
        <v>31.77</v>
      </c>
      <c r="N89" s="64">
        <v>27.9</v>
      </c>
      <c r="O89" s="64">
        <v>0</v>
      </c>
      <c r="P89" s="64">
        <v>0.95</v>
      </c>
      <c r="Q89" s="64">
        <v>9.3699999999999992</v>
      </c>
      <c r="R89" s="198"/>
      <c r="S89" s="198"/>
      <c r="T89" s="198"/>
      <c r="U89" s="198"/>
    </row>
    <row r="90" spans="1:26" s="12" customFormat="1" x14ac:dyDescent="0.25">
      <c r="A90" s="214" t="s">
        <v>3113</v>
      </c>
      <c r="B90" s="64">
        <v>9.3800000000000008</v>
      </c>
      <c r="C90" s="64">
        <v>33.450000000000003</v>
      </c>
      <c r="D90" s="64">
        <v>24.92</v>
      </c>
      <c r="E90" s="64">
        <v>1.34</v>
      </c>
      <c r="F90" s="64">
        <v>3.96</v>
      </c>
      <c r="G90" s="64">
        <v>50.69</v>
      </c>
      <c r="H90" s="64">
        <v>81.53</v>
      </c>
      <c r="I90" s="64">
        <v>4.8899999999999997</v>
      </c>
      <c r="J90" s="64">
        <v>0.21</v>
      </c>
      <c r="K90" s="64">
        <v>306.27999999999997</v>
      </c>
      <c r="L90" s="64">
        <v>31.36</v>
      </c>
      <c r="M90" s="64">
        <v>33.049999999999997</v>
      </c>
      <c r="N90" s="64">
        <v>27.8</v>
      </c>
      <c r="O90" s="64">
        <v>0</v>
      </c>
      <c r="P90" s="64">
        <v>1.01</v>
      </c>
      <c r="Q90" s="64">
        <v>9.41</v>
      </c>
      <c r="R90" s="198"/>
      <c r="S90" s="198"/>
      <c r="T90" s="198"/>
      <c r="U90" s="198"/>
    </row>
    <row r="91" spans="1:26" s="12" customFormat="1" x14ac:dyDescent="0.25">
      <c r="A91" s="214" t="s">
        <v>3114</v>
      </c>
      <c r="B91" s="64">
        <v>10.51</v>
      </c>
      <c r="C91" s="64">
        <v>35.28</v>
      </c>
      <c r="D91" s="64">
        <v>26.78</v>
      </c>
      <c r="E91" s="64">
        <v>1.56</v>
      </c>
      <c r="F91" s="64">
        <v>3.66</v>
      </c>
      <c r="G91" s="64">
        <v>50.69</v>
      </c>
      <c r="H91" s="64">
        <v>81.53</v>
      </c>
      <c r="I91" s="64">
        <v>5.23</v>
      </c>
      <c r="J91" s="64">
        <v>0.23</v>
      </c>
      <c r="K91" s="64">
        <v>320.81</v>
      </c>
      <c r="L91" s="64">
        <v>31.04</v>
      </c>
      <c r="M91" s="64">
        <v>33.94</v>
      </c>
      <c r="N91" s="64">
        <v>27.8</v>
      </c>
      <c r="O91" s="64">
        <v>0</v>
      </c>
      <c r="P91" s="64">
        <v>1.1000000000000001</v>
      </c>
      <c r="Q91" s="64">
        <v>9.4499999999999993</v>
      </c>
      <c r="R91" s="198"/>
      <c r="S91" s="198"/>
      <c r="T91" s="198"/>
      <c r="U91" s="198"/>
    </row>
    <row r="92" spans="1:26" s="12" customFormat="1" x14ac:dyDescent="0.25">
      <c r="A92" s="214" t="s">
        <v>3115</v>
      </c>
      <c r="B92" s="64">
        <v>12.34</v>
      </c>
      <c r="C92" s="64">
        <v>35.299999999999997</v>
      </c>
      <c r="D92" s="64">
        <v>28.26</v>
      </c>
      <c r="E92" s="64">
        <v>1.31</v>
      </c>
      <c r="F92" s="64">
        <v>3.71</v>
      </c>
      <c r="G92" s="64">
        <v>50.69</v>
      </c>
      <c r="H92" s="64">
        <v>81.53</v>
      </c>
      <c r="I92" s="64">
        <v>5.49</v>
      </c>
      <c r="J92" s="64">
        <v>0.15</v>
      </c>
      <c r="K92" s="64">
        <v>309.81</v>
      </c>
      <c r="L92" s="64">
        <v>30.86</v>
      </c>
      <c r="M92" s="64">
        <v>34.700000000000003</v>
      </c>
      <c r="N92" s="64">
        <v>27.9</v>
      </c>
      <c r="O92" s="64">
        <v>0</v>
      </c>
      <c r="P92" s="64">
        <v>1.1499999999999999</v>
      </c>
      <c r="Q92" s="64">
        <v>9.44</v>
      </c>
      <c r="R92" s="198"/>
      <c r="S92" s="198"/>
      <c r="T92" s="198"/>
      <c r="U92" s="198"/>
    </row>
    <row r="93" spans="1:26" s="12" customFormat="1" x14ac:dyDescent="0.25">
      <c r="A93" s="214" t="s">
        <v>3116</v>
      </c>
      <c r="B93" s="64">
        <v>14.5</v>
      </c>
      <c r="C93" s="64">
        <v>35.520000000000003</v>
      </c>
      <c r="D93" s="64">
        <v>30.1</v>
      </c>
      <c r="E93" s="64">
        <v>1.51</v>
      </c>
      <c r="F93" s="64">
        <v>3.7</v>
      </c>
      <c r="G93" s="64">
        <v>54.31</v>
      </c>
      <c r="H93" s="64">
        <v>70.09</v>
      </c>
      <c r="I93" s="64">
        <v>5.76</v>
      </c>
      <c r="J93" s="64">
        <v>0.12</v>
      </c>
      <c r="K93" s="64">
        <v>306.77999999999997</v>
      </c>
      <c r="L93" s="64">
        <v>30.6</v>
      </c>
      <c r="M93" s="64">
        <v>35.89</v>
      </c>
      <c r="N93" s="64">
        <v>28</v>
      </c>
      <c r="O93" s="64">
        <v>0</v>
      </c>
      <c r="P93" s="64">
        <v>1.23</v>
      </c>
      <c r="Q93" s="64">
        <v>9.4600000000000009</v>
      </c>
      <c r="R93" s="198"/>
      <c r="S93" s="198"/>
      <c r="T93" s="198"/>
      <c r="U93" s="198"/>
    </row>
    <row r="94" spans="1:26" s="12" customFormat="1" x14ac:dyDescent="0.25">
      <c r="A94" s="214" t="s">
        <v>3117</v>
      </c>
      <c r="B94" s="64">
        <v>17.61</v>
      </c>
      <c r="C94" s="64">
        <v>37.42</v>
      </c>
      <c r="D94" s="64">
        <v>33.590000000000003</v>
      </c>
      <c r="E94" s="64">
        <v>1.6</v>
      </c>
      <c r="F94" s="64">
        <v>3.92</v>
      </c>
      <c r="G94" s="64">
        <v>61.2</v>
      </c>
      <c r="H94" s="64">
        <v>48.3</v>
      </c>
      <c r="I94" s="64">
        <v>6</v>
      </c>
      <c r="J94" s="64">
        <v>0.09</v>
      </c>
      <c r="K94" s="64">
        <v>304.56</v>
      </c>
      <c r="L94" s="64">
        <v>30.36</v>
      </c>
      <c r="M94" s="64">
        <v>36.54</v>
      </c>
      <c r="N94" s="64">
        <v>28</v>
      </c>
      <c r="O94" s="64">
        <v>0</v>
      </c>
      <c r="P94" s="64">
        <v>1.3</v>
      </c>
      <c r="Q94" s="64">
        <v>9.48</v>
      </c>
      <c r="R94" s="198"/>
      <c r="S94" s="198"/>
      <c r="T94" s="198"/>
      <c r="U94" s="198"/>
    </row>
    <row r="95" spans="1:26" s="12" customFormat="1" x14ac:dyDescent="0.25">
      <c r="A95" s="214" t="s">
        <v>3118</v>
      </c>
      <c r="B95" s="64">
        <v>19.96</v>
      </c>
      <c r="C95" s="64">
        <v>38.270000000000003</v>
      </c>
      <c r="D95" s="64">
        <v>35.92</v>
      </c>
      <c r="E95" s="64">
        <v>1.34</v>
      </c>
      <c r="F95" s="64">
        <v>3.34</v>
      </c>
      <c r="G95" s="64">
        <v>61.2</v>
      </c>
      <c r="H95" s="64">
        <v>48.3</v>
      </c>
      <c r="I95" s="64">
        <v>6.24</v>
      </c>
      <c r="J95" s="64">
        <v>0.24</v>
      </c>
      <c r="K95" s="64">
        <v>313.62</v>
      </c>
      <c r="L95" s="64">
        <v>30.18</v>
      </c>
      <c r="M95" s="64">
        <v>38.14</v>
      </c>
      <c r="N95" s="64">
        <v>27.9</v>
      </c>
      <c r="O95" s="64">
        <v>0</v>
      </c>
      <c r="P95" s="64">
        <v>1.32</v>
      </c>
      <c r="Q95" s="64">
        <v>9.51</v>
      </c>
      <c r="R95" s="198"/>
      <c r="S95" s="198"/>
      <c r="T95" s="198"/>
      <c r="U95" s="198"/>
    </row>
    <row r="96" spans="1:26" s="12" customFormat="1" x14ac:dyDescent="0.25">
      <c r="A96" s="214" t="s">
        <v>3119</v>
      </c>
      <c r="B96" s="64">
        <v>21.1</v>
      </c>
      <c r="C96" s="64">
        <v>34.86</v>
      </c>
      <c r="D96" s="64">
        <v>35.049999999999997</v>
      </c>
      <c r="E96" s="64">
        <v>1.49</v>
      </c>
      <c r="F96" s="64">
        <v>3.7</v>
      </c>
      <c r="G96" s="64">
        <v>61.2</v>
      </c>
      <c r="H96" s="64">
        <v>48.3</v>
      </c>
      <c r="I96" s="64">
        <v>6.4</v>
      </c>
      <c r="J96" s="64">
        <v>0.13</v>
      </c>
      <c r="K96" s="64">
        <v>336.03</v>
      </c>
      <c r="L96" s="64">
        <v>30.01</v>
      </c>
      <c r="M96" s="64">
        <v>38.380000000000003</v>
      </c>
      <c r="N96" s="64">
        <v>28.1</v>
      </c>
      <c r="O96" s="64">
        <v>0</v>
      </c>
      <c r="P96" s="64">
        <v>1.34</v>
      </c>
      <c r="Q96" s="64">
        <v>9.51</v>
      </c>
      <c r="R96" s="198"/>
      <c r="S96" s="198"/>
      <c r="T96" s="213"/>
      <c r="U96" s="198"/>
      <c r="Z96" s="109"/>
    </row>
    <row r="97" spans="1:33" s="12" customFormat="1" x14ac:dyDescent="0.25">
      <c r="A97" s="214" t="s">
        <v>3120</v>
      </c>
      <c r="B97" s="64">
        <v>21.25</v>
      </c>
      <c r="C97" s="64">
        <v>34.159999999999997</v>
      </c>
      <c r="D97" s="64">
        <v>34.81</v>
      </c>
      <c r="E97" s="64">
        <v>1.52</v>
      </c>
      <c r="F97" s="64">
        <v>3.95</v>
      </c>
      <c r="G97" s="64">
        <v>63.15</v>
      </c>
      <c r="H97" s="64">
        <v>47.68</v>
      </c>
      <c r="I97" s="64">
        <v>6.26</v>
      </c>
      <c r="J97" s="64">
        <v>0.09</v>
      </c>
      <c r="K97" s="64">
        <v>283.55</v>
      </c>
      <c r="L97" s="64">
        <v>29.98</v>
      </c>
      <c r="M97" s="64">
        <v>39.71</v>
      </c>
      <c r="N97" s="64">
        <v>28.1</v>
      </c>
      <c r="O97" s="64">
        <v>0</v>
      </c>
      <c r="P97" s="64">
        <v>1.34</v>
      </c>
      <c r="Q97" s="64">
        <v>9.5399999999999991</v>
      </c>
      <c r="R97" s="198"/>
      <c r="S97" s="198"/>
      <c r="T97" s="198"/>
      <c r="U97" s="198"/>
    </row>
    <row r="98" spans="1:33" s="12" customFormat="1" x14ac:dyDescent="0.25">
      <c r="A98" s="214" t="s">
        <v>3121</v>
      </c>
      <c r="B98" s="64">
        <v>22.21</v>
      </c>
      <c r="C98" s="64">
        <v>33.950000000000003</v>
      </c>
      <c r="D98" s="64">
        <v>35.47</v>
      </c>
      <c r="E98" s="64">
        <v>1.34</v>
      </c>
      <c r="F98" s="64">
        <v>4.07</v>
      </c>
      <c r="G98" s="64">
        <v>66.87</v>
      </c>
      <c r="H98" s="64">
        <v>46.49</v>
      </c>
      <c r="I98" s="64">
        <v>6.18</v>
      </c>
      <c r="J98" s="64">
        <v>0.02</v>
      </c>
      <c r="K98" s="64">
        <v>187.2</v>
      </c>
      <c r="L98" s="64">
        <v>29.72</v>
      </c>
      <c r="M98" s="64">
        <v>40.81</v>
      </c>
      <c r="N98" s="64">
        <v>28</v>
      </c>
      <c r="O98" s="64">
        <v>0</v>
      </c>
      <c r="P98" s="64">
        <v>1.43</v>
      </c>
      <c r="Q98" s="64">
        <v>9.57</v>
      </c>
      <c r="R98" s="198"/>
      <c r="S98" s="198"/>
      <c r="T98" s="198"/>
      <c r="U98" s="198"/>
    </row>
    <row r="99" spans="1:33" s="12" customFormat="1" x14ac:dyDescent="0.25">
      <c r="A99" s="214" t="s">
        <v>3122</v>
      </c>
      <c r="B99" s="64">
        <v>23.85</v>
      </c>
      <c r="C99" s="64">
        <v>33.75</v>
      </c>
      <c r="D99" s="64">
        <v>36.68</v>
      </c>
      <c r="E99" s="64">
        <v>1.36</v>
      </c>
      <c r="F99" s="64">
        <v>3.09</v>
      </c>
      <c r="G99" s="64">
        <v>66.87</v>
      </c>
      <c r="H99" s="64">
        <v>46.49</v>
      </c>
      <c r="I99" s="64">
        <v>6.39</v>
      </c>
      <c r="J99" s="64">
        <v>0.05</v>
      </c>
      <c r="K99" s="64">
        <v>34.630000000000003</v>
      </c>
      <c r="L99" s="64">
        <v>29.6</v>
      </c>
      <c r="M99" s="64">
        <v>41.66</v>
      </c>
      <c r="N99" s="64">
        <v>28</v>
      </c>
      <c r="O99" s="64">
        <v>0</v>
      </c>
      <c r="P99" s="64">
        <v>1.39</v>
      </c>
      <c r="Q99" s="64">
        <v>9.59</v>
      </c>
      <c r="R99" s="198"/>
      <c r="S99" s="198"/>
      <c r="T99" s="198"/>
      <c r="U99" s="198"/>
    </row>
    <row r="100" spans="1:33" s="12" customFormat="1" x14ac:dyDescent="0.25">
      <c r="A100" s="214" t="s">
        <v>3123</v>
      </c>
      <c r="B100" s="64">
        <v>25.93</v>
      </c>
      <c r="C100" s="64">
        <v>33.299999999999997</v>
      </c>
      <c r="D100" s="64">
        <v>38.11</v>
      </c>
      <c r="E100" s="64">
        <v>1.46</v>
      </c>
      <c r="F100" s="64">
        <v>3.36</v>
      </c>
      <c r="G100" s="64">
        <v>66.87</v>
      </c>
      <c r="H100" s="64">
        <v>46.49</v>
      </c>
      <c r="I100" s="64">
        <v>7.4</v>
      </c>
      <c r="J100" s="64">
        <v>0.14000000000000001</v>
      </c>
      <c r="K100" s="64">
        <v>258.72000000000003</v>
      </c>
      <c r="L100" s="64">
        <v>29.26</v>
      </c>
      <c r="M100" s="64">
        <v>43.68</v>
      </c>
      <c r="N100" s="64">
        <v>28</v>
      </c>
      <c r="O100" s="64">
        <v>0</v>
      </c>
      <c r="P100" s="64">
        <v>1.37</v>
      </c>
      <c r="Q100" s="64">
        <v>9.6199999999999992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3124</v>
      </c>
      <c r="B101" s="64">
        <v>27.53</v>
      </c>
      <c r="C101" s="64">
        <v>32.76</v>
      </c>
      <c r="D101" s="64">
        <v>39.119999999999997</v>
      </c>
      <c r="E101" s="64">
        <v>1.34</v>
      </c>
      <c r="F101" s="64">
        <v>3.28</v>
      </c>
      <c r="G101" s="64">
        <v>70.959999999999994</v>
      </c>
      <c r="H101" s="64">
        <v>46.49</v>
      </c>
      <c r="I101" s="64">
        <v>7.17</v>
      </c>
      <c r="J101" s="64">
        <v>0.12</v>
      </c>
      <c r="K101" s="64">
        <v>220.38</v>
      </c>
      <c r="L101" s="64">
        <v>29.14</v>
      </c>
      <c r="M101" s="64">
        <v>45.05</v>
      </c>
      <c r="N101" s="64">
        <v>27.7</v>
      </c>
      <c r="O101" s="64">
        <v>0</v>
      </c>
      <c r="P101" s="64">
        <v>1.38</v>
      </c>
      <c r="Q101" s="64">
        <v>9.65</v>
      </c>
      <c r="R101" s="198"/>
      <c r="S101" s="198"/>
      <c r="T101" s="198"/>
      <c r="U101" s="198"/>
    </row>
    <row r="102" spans="1:33" s="12" customFormat="1" x14ac:dyDescent="0.25">
      <c r="A102" s="214" t="s">
        <v>3125</v>
      </c>
      <c r="B102" s="64">
        <v>27.88</v>
      </c>
      <c r="C102" s="64">
        <v>33.700000000000003</v>
      </c>
      <c r="D102" s="64">
        <v>39.880000000000003</v>
      </c>
      <c r="E102" s="64">
        <v>1.29</v>
      </c>
      <c r="F102" s="64">
        <v>3.91</v>
      </c>
      <c r="G102" s="64">
        <v>78.739999999999995</v>
      </c>
      <c r="H102" s="64">
        <v>185.95</v>
      </c>
      <c r="I102" s="64">
        <v>7.48</v>
      </c>
      <c r="J102" s="64">
        <v>0.2</v>
      </c>
      <c r="K102" s="64">
        <v>222.86</v>
      </c>
      <c r="L102" s="64">
        <v>29.74</v>
      </c>
      <c r="M102" s="64">
        <v>41.97</v>
      </c>
      <c r="N102" s="64">
        <v>27.2</v>
      </c>
      <c r="O102" s="64">
        <v>0</v>
      </c>
      <c r="P102" s="64">
        <v>1.36</v>
      </c>
      <c r="Q102" s="64">
        <v>9.69</v>
      </c>
      <c r="R102" s="198"/>
      <c r="S102" s="198"/>
      <c r="T102" s="198"/>
      <c r="U102" s="198"/>
    </row>
    <row r="103" spans="1:33" s="12" customFormat="1" x14ac:dyDescent="0.25">
      <c r="A103" s="214" t="s">
        <v>3126</v>
      </c>
      <c r="B103" s="64">
        <v>26.31</v>
      </c>
      <c r="C103" s="64">
        <v>36.090000000000003</v>
      </c>
      <c r="D103" s="64">
        <v>39.880000000000003</v>
      </c>
      <c r="E103" s="64">
        <v>1.69</v>
      </c>
      <c r="F103" s="64">
        <v>4.22</v>
      </c>
      <c r="G103" s="64">
        <v>78.739999999999995</v>
      </c>
      <c r="H103" s="64">
        <v>185.95</v>
      </c>
      <c r="I103" s="64">
        <v>7.87</v>
      </c>
      <c r="J103" s="64">
        <v>0.47</v>
      </c>
      <c r="K103" s="64">
        <v>199.49</v>
      </c>
      <c r="L103" s="64">
        <v>29.46</v>
      </c>
      <c r="M103" s="64">
        <v>42.39</v>
      </c>
      <c r="N103" s="64">
        <v>27.3</v>
      </c>
      <c r="O103" s="64">
        <v>0</v>
      </c>
      <c r="P103" s="64">
        <v>1.34</v>
      </c>
      <c r="Q103" s="64">
        <v>9.74</v>
      </c>
      <c r="R103" s="198"/>
      <c r="S103" s="198"/>
      <c r="T103" s="198"/>
      <c r="U103" s="198"/>
    </row>
    <row r="104" spans="1:33" s="12" customFormat="1" x14ac:dyDescent="0.25">
      <c r="A104" s="214" t="s">
        <v>3127</v>
      </c>
      <c r="B104" s="64">
        <v>24.35</v>
      </c>
      <c r="C104" s="64">
        <v>38.93</v>
      </c>
      <c r="D104" s="64">
        <v>39.79</v>
      </c>
      <c r="E104" s="64">
        <v>0.91</v>
      </c>
      <c r="F104" s="64">
        <v>3.46</v>
      </c>
      <c r="G104" s="64">
        <v>78.739999999999995</v>
      </c>
      <c r="H104" s="64">
        <v>185.95</v>
      </c>
      <c r="I104" s="64">
        <v>8.39</v>
      </c>
      <c r="J104" s="64">
        <v>0.18</v>
      </c>
      <c r="K104" s="64">
        <v>188.26</v>
      </c>
      <c r="L104" s="64">
        <v>28.77</v>
      </c>
      <c r="M104" s="64">
        <v>47.02</v>
      </c>
      <c r="N104" s="64">
        <v>28.3</v>
      </c>
      <c r="O104" s="64">
        <v>0</v>
      </c>
      <c r="P104" s="64">
        <v>1.31</v>
      </c>
      <c r="Q104" s="64">
        <v>9.77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1.18</v>
      </c>
      <c r="C106" s="67">
        <f>MIN(C9:C104)</f>
        <v>14.23</v>
      </c>
      <c r="D106" s="67">
        <f t="shared" ref="D106:Q106" si="0">MIN(D9:D104)</f>
        <v>10.87</v>
      </c>
      <c r="E106" s="67">
        <f t="shared" si="0"/>
        <v>0.5</v>
      </c>
      <c r="F106" s="67">
        <f t="shared" si="0"/>
        <v>2.93</v>
      </c>
      <c r="G106" s="67">
        <f t="shared" si="0"/>
        <v>34.25</v>
      </c>
      <c r="H106" s="67">
        <f t="shared" si="0"/>
        <v>3.97</v>
      </c>
      <c r="I106" s="67">
        <f t="shared" si="0"/>
        <v>1.93</v>
      </c>
      <c r="J106" s="67">
        <f t="shared" si="0"/>
        <v>0.02</v>
      </c>
      <c r="K106" s="67">
        <f t="shared" si="0"/>
        <v>1.02</v>
      </c>
      <c r="L106" s="67">
        <f t="shared" si="0"/>
        <v>25.16</v>
      </c>
      <c r="M106" s="67">
        <f t="shared" si="0"/>
        <v>22.1</v>
      </c>
      <c r="N106" s="67">
        <f t="shared" si="0"/>
        <v>24.4</v>
      </c>
      <c r="O106" s="67">
        <f t="shared" si="0"/>
        <v>0</v>
      </c>
      <c r="P106" s="67">
        <f t="shared" si="0"/>
        <v>0.45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27.88</v>
      </c>
      <c r="C107" s="66">
        <f t="shared" ref="C107:Q107" si="1">MAX(C9:C104)</f>
        <v>38.93</v>
      </c>
      <c r="D107" s="66">
        <f t="shared" si="1"/>
        <v>39.880000000000003</v>
      </c>
      <c r="E107" s="66">
        <f t="shared" si="1"/>
        <v>2.9</v>
      </c>
      <c r="F107" s="66">
        <f t="shared" si="1"/>
        <v>12.63</v>
      </c>
      <c r="G107" s="66">
        <f t="shared" si="1"/>
        <v>78.739999999999995</v>
      </c>
      <c r="H107" s="66">
        <f t="shared" si="1"/>
        <v>185.95</v>
      </c>
      <c r="I107" s="66">
        <f t="shared" si="1"/>
        <v>8.39</v>
      </c>
      <c r="J107" s="66">
        <f t="shared" si="1"/>
        <v>1.01</v>
      </c>
      <c r="K107" s="66">
        <f t="shared" si="1"/>
        <v>359.73</v>
      </c>
      <c r="L107" s="66">
        <f t="shared" si="1"/>
        <v>39.53</v>
      </c>
      <c r="M107" s="66">
        <f t="shared" si="1"/>
        <v>64.819999999999993</v>
      </c>
      <c r="N107" s="66">
        <f t="shared" si="1"/>
        <v>917</v>
      </c>
      <c r="O107" s="66">
        <f t="shared" si="1"/>
        <v>0</v>
      </c>
      <c r="P107" s="66">
        <f t="shared" si="1"/>
        <v>1.43</v>
      </c>
      <c r="Q107" s="66">
        <f t="shared" si="1"/>
        <v>9.77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5.8620833333333335</v>
      </c>
      <c r="C108" s="67">
        <f t="shared" ref="C108:Q108" si="2">AVERAGE(C9:C104)</f>
        <v>24.872500000000006</v>
      </c>
      <c r="D108" s="67">
        <f t="shared" si="2"/>
        <v>17.615833333333331</v>
      </c>
      <c r="E108" s="67">
        <f t="shared" si="2"/>
        <v>1.6239583333333341</v>
      </c>
      <c r="F108" s="67">
        <f t="shared" si="2"/>
        <v>5.9563541666666682</v>
      </c>
      <c r="G108" s="67">
        <f t="shared" si="2"/>
        <v>47.405913978494652</v>
      </c>
      <c r="H108" s="67">
        <f t="shared" si="2"/>
        <v>39.305483870967727</v>
      </c>
      <c r="I108" s="67">
        <f t="shared" si="2"/>
        <v>4.933229166666667</v>
      </c>
      <c r="J108" s="67">
        <f t="shared" si="2"/>
        <v>0.3125</v>
      </c>
      <c r="K108" s="67">
        <f t="shared" si="2"/>
        <v>267.90406250000007</v>
      </c>
      <c r="L108" s="67">
        <f t="shared" si="2"/>
        <v>31.806770833333342</v>
      </c>
      <c r="M108" s="67">
        <f t="shared" si="2"/>
        <v>41.025104166666651</v>
      </c>
      <c r="N108" s="67">
        <f t="shared" si="2"/>
        <v>252.65625</v>
      </c>
      <c r="O108" s="67">
        <f t="shared" si="2"/>
        <v>0</v>
      </c>
      <c r="P108" s="67">
        <f t="shared" si="2"/>
        <v>0.67927083333333338</v>
      </c>
      <c r="Q108" s="67">
        <f t="shared" si="2"/>
        <v>9.1644791666666698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6.8491446898467654</v>
      </c>
      <c r="C109" s="67">
        <f t="shared" ref="C109:Q109" si="3">STDEV(C9:C104)</f>
        <v>6.460631548076357</v>
      </c>
      <c r="D109" s="67">
        <f t="shared" si="3"/>
        <v>7.8978012485376947</v>
      </c>
      <c r="E109" s="67">
        <f t="shared" si="3"/>
        <v>0.63599483474676022</v>
      </c>
      <c r="F109" s="67">
        <f t="shared" si="3"/>
        <v>2.902151695332146</v>
      </c>
      <c r="G109" s="67">
        <f t="shared" si="3"/>
        <v>10.106748954401676</v>
      </c>
      <c r="H109" s="67">
        <f t="shared" si="3"/>
        <v>33.886078535488949</v>
      </c>
      <c r="I109" s="67">
        <f t="shared" si="3"/>
        <v>1.7588210733279428</v>
      </c>
      <c r="J109" s="67">
        <f t="shared" si="3"/>
        <v>0.1858182473618552</v>
      </c>
      <c r="K109" s="67">
        <f t="shared" si="3"/>
        <v>84.845477199536504</v>
      </c>
      <c r="L109" s="67">
        <f t="shared" si="3"/>
        <v>4.8069137696691797</v>
      </c>
      <c r="M109" s="67">
        <f t="shared" si="3"/>
        <v>14.947594138032796</v>
      </c>
      <c r="N109" s="67">
        <f t="shared" si="3"/>
        <v>318.87666046938159</v>
      </c>
      <c r="O109" s="67">
        <f t="shared" si="3"/>
        <v>0</v>
      </c>
      <c r="P109" s="67">
        <f t="shared" si="3"/>
        <v>0.29399335757504003</v>
      </c>
      <c r="Q109" s="67">
        <f t="shared" si="3"/>
        <v>1.3503877570157929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="85" zoomScaleNormal="85" workbookViewId="0">
      <pane xSplit="1" ySplit="8" topLeftCell="B27" activePane="bottomRight" state="frozen"/>
      <selection activeCell="B2" sqref="B2"/>
      <selection pane="topRight" activeCell="B2" sqref="B2"/>
      <selection pane="bottomLeft" activeCell="B2" sqref="B2"/>
      <selection pane="bottomRight" activeCell="I43" sqref="I43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01-04-2024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247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01-04-2024 00:15</v>
      </c>
      <c r="B9" s="61">
        <f>'01'!B108</f>
        <v>9.032234042553192</v>
      </c>
      <c r="C9" s="61">
        <f>'01'!C108</f>
        <v>49.322872340425533</v>
      </c>
      <c r="D9" s="61">
        <f>'01'!D108</f>
        <v>32.930638297872335</v>
      </c>
      <c r="E9" s="61">
        <f>'01'!E108</f>
        <v>1.7726595744680853</v>
      </c>
      <c r="F9" s="61">
        <f>'01'!F108</f>
        <v>18.798854166666665</v>
      </c>
      <c r="G9" s="99">
        <f>'01'!$G$108</f>
        <v>52.116989247311821</v>
      </c>
      <c r="H9" s="61">
        <f>'01'!H108</f>
        <v>22.197849462365596</v>
      </c>
      <c r="I9" s="61">
        <f>'01'!I108</f>
        <v>4.9168750000000001</v>
      </c>
      <c r="J9" s="61">
        <f>'01'!J108</f>
        <v>0.18291666666666662</v>
      </c>
      <c r="K9" s="61">
        <f>'01'!K108</f>
        <v>241.8793750000001</v>
      </c>
      <c r="L9" s="61">
        <f>'01'!L108</f>
        <v>29.542083333333323</v>
      </c>
      <c r="M9" s="61">
        <f>'01'!M108</f>
        <v>38.792812500000004</v>
      </c>
      <c r="N9" s="61">
        <f>'01'!N108</f>
        <v>267.5864583333335</v>
      </c>
      <c r="O9" s="61">
        <f>'01'!O108</f>
        <v>0</v>
      </c>
      <c r="P9" s="202">
        <f>'01'!P108</f>
        <v>0.67624999999999968</v>
      </c>
      <c r="Q9" s="61">
        <f>'01'!Q108</f>
        <v>9.5986458333333342</v>
      </c>
      <c r="R9" s="118"/>
      <c r="S9" s="118"/>
      <c r="T9" s="118"/>
      <c r="U9" s="118"/>
    </row>
    <row r="10" spans="1:21" x14ac:dyDescent="0.25">
      <c r="A10" s="94" t="str">
        <f>'02'!$B$2</f>
        <v>02-04-2024 00:15</v>
      </c>
      <c r="B10" s="61">
        <f>'02'!B108</f>
        <v>25.413229166666667</v>
      </c>
      <c r="C10" s="61">
        <f>'02'!C108</f>
        <v>61.615833333333342</v>
      </c>
      <c r="D10" s="61">
        <f>'02'!D108</f>
        <v>52.491354166666703</v>
      </c>
      <c r="E10" s="61">
        <f>'02'!E108</f>
        <v>2.02</v>
      </c>
      <c r="F10" s="61">
        <f>'02'!F108</f>
        <v>5.0710416666666669</v>
      </c>
      <c r="G10" s="61">
        <f>'02'!G108</f>
        <v>71.760208333333352</v>
      </c>
      <c r="H10" s="61">
        <f>'02'!H108</f>
        <v>196.5982291666667</v>
      </c>
      <c r="I10" s="61">
        <f>'02'!I108</f>
        <v>7.9093750000000034</v>
      </c>
      <c r="J10" s="61">
        <f>'02'!J108</f>
        <v>0.2502083333333332</v>
      </c>
      <c r="K10" s="61">
        <f>'02'!K108</f>
        <v>266.11010416666664</v>
      </c>
      <c r="L10" s="61">
        <f>'02'!L108</f>
        <v>30.158333333333346</v>
      </c>
      <c r="M10" s="61">
        <f>'02'!M108</f>
        <v>35.744479166666665</v>
      </c>
      <c r="N10" s="61">
        <f>'02'!N108</f>
        <v>279.69687499999992</v>
      </c>
      <c r="O10" s="61">
        <f>'02'!O108</f>
        <v>0</v>
      </c>
      <c r="P10" s="202">
        <f>'02'!P108</f>
        <v>0.96916666666666673</v>
      </c>
      <c r="Q10" s="61">
        <f>'02'!Q108</f>
        <v>9.9989583333333325</v>
      </c>
      <c r="R10" s="118"/>
      <c r="S10" s="118"/>
      <c r="T10" s="118"/>
      <c r="U10" s="118"/>
    </row>
    <row r="11" spans="1:21" x14ac:dyDescent="0.25">
      <c r="A11" s="94" t="str">
        <f>'03'!$B$2</f>
        <v>03-04-2024 00:15</v>
      </c>
      <c r="B11" s="61">
        <f>'03'!B108</f>
        <v>40.65760416666668</v>
      </c>
      <c r="C11" s="61">
        <f>'03'!C108</f>
        <v>70.991458333333313</v>
      </c>
      <c r="D11" s="61">
        <f>'03'!D108</f>
        <v>69.614583333333314</v>
      </c>
      <c r="E11" s="61">
        <f>'03'!E108</f>
        <v>2.0017708333333326</v>
      </c>
      <c r="F11" s="61">
        <f>'03'!F108</f>
        <v>5.861770833333332</v>
      </c>
      <c r="G11" s="61">
        <f>'03'!G108</f>
        <v>135.13181818181823</v>
      </c>
      <c r="H11" s="61">
        <f>'03'!H108</f>
        <v>34.998636363636358</v>
      </c>
      <c r="I11" s="61">
        <f>'03'!I108</f>
        <v>9.4753124999999994</v>
      </c>
      <c r="J11" s="61">
        <f>'03'!J108</f>
        <v>0.45354166666666679</v>
      </c>
      <c r="K11" s="61">
        <f>'03'!K108</f>
        <v>232.33197916666654</v>
      </c>
      <c r="L11" s="61">
        <f>'03'!L108</f>
        <v>30.695312500000004</v>
      </c>
      <c r="M11" s="61">
        <f>'03'!M108</f>
        <v>35.085729166666674</v>
      </c>
      <c r="N11" s="61">
        <f>'03'!N108</f>
        <v>236.63750000000005</v>
      </c>
      <c r="O11" s="61">
        <f>'03'!O108</f>
        <v>0</v>
      </c>
      <c r="P11" s="202">
        <f>'03'!P108</f>
        <v>1.2091666666666672</v>
      </c>
      <c r="Q11" s="61">
        <f>'03'!Q108</f>
        <v>10.429791666666665</v>
      </c>
      <c r="R11" s="118"/>
      <c r="S11" s="118"/>
      <c r="T11" s="118"/>
      <c r="U11" s="118"/>
    </row>
    <row r="12" spans="1:21" x14ac:dyDescent="0.25">
      <c r="A12" s="94" t="str">
        <f>'04'!$B$2</f>
        <v>04-04-2024 00:15</v>
      </c>
      <c r="B12" s="61">
        <f>'04'!B108</f>
        <v>9.3713541666666682</v>
      </c>
      <c r="C12" s="61">
        <f>'04'!C108</f>
        <v>50.840416666666663</v>
      </c>
      <c r="D12" s="61">
        <f>'04'!D108</f>
        <v>33.996979166666662</v>
      </c>
      <c r="E12" s="61">
        <f>'04'!E108</f>
        <v>1.4937500000000001</v>
      </c>
      <c r="F12" s="61">
        <f>'04'!F108</f>
        <v>6.0194791666666667</v>
      </c>
      <c r="G12" s="61">
        <f>'04'!G108</f>
        <v>60.779583333333299</v>
      </c>
      <c r="H12" s="61">
        <f>'04'!H108</f>
        <v>25.775729166666665</v>
      </c>
      <c r="I12" s="61">
        <f>'04'!I108</f>
        <v>5.5376041666666653</v>
      </c>
      <c r="J12" s="61">
        <f>'04'!J108</f>
        <v>0.33031250000000001</v>
      </c>
      <c r="K12" s="61">
        <f>'04'!K108</f>
        <v>241.66135416666671</v>
      </c>
      <c r="L12" s="61">
        <f>'04'!L108</f>
        <v>30.396770833333335</v>
      </c>
      <c r="M12" s="61">
        <f>'04'!M108</f>
        <v>41.500937499999985</v>
      </c>
      <c r="N12" s="61">
        <f>'04'!N108</f>
        <v>234.70000000000005</v>
      </c>
      <c r="O12" s="61">
        <f>'04'!O108</f>
        <v>0</v>
      </c>
      <c r="P12" s="202">
        <f>'04'!P108</f>
        <v>0.69572916666666662</v>
      </c>
      <c r="Q12" s="61">
        <f>'04'!Q108</f>
        <v>9.6323958333333373</v>
      </c>
      <c r="R12" s="118"/>
      <c r="S12" s="118"/>
      <c r="T12" s="118"/>
      <c r="U12" s="118"/>
    </row>
    <row r="13" spans="1:21" x14ac:dyDescent="0.25">
      <c r="A13" s="94" t="str">
        <f>'05'!$B$2</f>
        <v>05-04-2024 00:15</v>
      </c>
      <c r="B13" s="61">
        <f>'05'!B108</f>
        <v>11.191770833333331</v>
      </c>
      <c r="C13" s="61">
        <f>'05'!C108</f>
        <v>57.15499999999998</v>
      </c>
      <c r="D13" s="61">
        <f>'05'!D108</f>
        <v>38.756666666666675</v>
      </c>
      <c r="E13" s="61">
        <f>'05'!E108</f>
        <v>1.3909375000000006</v>
      </c>
      <c r="F13" s="61">
        <f>'05'!F108</f>
        <v>4.5580208333333339</v>
      </c>
      <c r="G13" s="61">
        <f>'05'!G108</f>
        <v>67.133750000000006</v>
      </c>
      <c r="H13" s="61">
        <f>'05'!H108</f>
        <v>22.685208333333335</v>
      </c>
      <c r="I13" s="61">
        <f>'05'!I108</f>
        <v>7.2127083333333362</v>
      </c>
      <c r="J13" s="61">
        <f>'05'!J108</f>
        <v>0.40812500000000007</v>
      </c>
      <c r="K13" s="61">
        <f>'05'!K108</f>
        <v>277.32697916666666</v>
      </c>
      <c r="L13" s="61">
        <f>'05'!L108</f>
        <v>31.527500000000003</v>
      </c>
      <c r="M13" s="61">
        <f>'05'!M108</f>
        <v>30.366770833333337</v>
      </c>
      <c r="N13" s="61">
        <f>'05'!N108</f>
        <v>263.89270833333342</v>
      </c>
      <c r="O13" s="61">
        <f>'05'!O108</f>
        <v>0</v>
      </c>
      <c r="P13" s="202">
        <f>'05'!P108</f>
        <v>0.83489583333333328</v>
      </c>
      <c r="Q13" s="61">
        <f>'05'!Q108</f>
        <v>9.6808333333333341</v>
      </c>
      <c r="R13" s="118"/>
      <c r="S13" s="118"/>
      <c r="T13" s="118"/>
      <c r="U13" s="118"/>
    </row>
    <row r="14" spans="1:21" x14ac:dyDescent="0.25">
      <c r="A14" s="94" t="str">
        <f>'06'!$B$2</f>
        <v>06-04-2024 00:15</v>
      </c>
      <c r="B14" s="61">
        <f>'06'!B108</f>
        <v>23.109843749999992</v>
      </c>
      <c r="C14" s="61">
        <f>'06'!C108</f>
        <v>52.223437500000017</v>
      </c>
      <c r="D14" s="61">
        <f>'06'!D108</f>
        <v>45.738124999999989</v>
      </c>
      <c r="E14" s="61">
        <f>'06'!E108</f>
        <v>1.5991666666666664</v>
      </c>
      <c r="F14" s="61">
        <f>'06'!F108</f>
        <v>4.1613541666666647</v>
      </c>
      <c r="G14" s="61">
        <f>'06'!G108</f>
        <v>76.445208333333355</v>
      </c>
      <c r="H14" s="61">
        <f>'06'!H108</f>
        <v>27.692083333333358</v>
      </c>
      <c r="I14" s="61">
        <f>'06'!I108</f>
        <v>8.7053124999999998</v>
      </c>
      <c r="J14" s="61">
        <f>'06'!J108</f>
        <v>0.39406249999999998</v>
      </c>
      <c r="K14" s="61">
        <f>'06'!K108</f>
        <v>258.07020833333337</v>
      </c>
      <c r="L14" s="61">
        <f>'06'!L108</f>
        <v>30.76895833333332</v>
      </c>
      <c r="M14" s="61">
        <f>'06'!M108</f>
        <v>31.543645833333329</v>
      </c>
      <c r="N14" s="61">
        <f>'06'!N108</f>
        <v>250.32187500000009</v>
      </c>
      <c r="O14" s="61">
        <f>'06'!O108</f>
        <v>0</v>
      </c>
      <c r="P14" s="202">
        <f>'06'!P108</f>
        <v>0.88781250000000023</v>
      </c>
      <c r="Q14" s="61">
        <f>'06'!Q108</f>
        <v>9.942604166666662</v>
      </c>
      <c r="R14" s="118"/>
      <c r="S14" s="118"/>
      <c r="T14" s="118"/>
      <c r="U14" s="118"/>
    </row>
    <row r="15" spans="1:21" x14ac:dyDescent="0.25">
      <c r="A15" s="94" t="str">
        <f>'07'!$B$2</f>
        <v>07-04-2024 00:15</v>
      </c>
      <c r="B15" s="61">
        <f>'07'!B108</f>
        <v>12.551666666666668</v>
      </c>
      <c r="C15" s="61">
        <f>'07'!C108</f>
        <v>54.561145833333335</v>
      </c>
      <c r="D15" s="61">
        <f>'07'!D108</f>
        <v>38.491250000000001</v>
      </c>
      <c r="E15" s="61">
        <f>'07'!E108</f>
        <v>1.5656249999999998</v>
      </c>
      <c r="F15" s="61">
        <f>'07'!F108</f>
        <v>3.6844791666666659</v>
      </c>
      <c r="G15" s="100">
        <f>'07'!$G$108</f>
        <v>73.435208333333279</v>
      </c>
      <c r="H15" s="61">
        <f>'07'!H108</f>
        <v>24.837708333333342</v>
      </c>
      <c r="I15" s="61">
        <f>'07'!I108</f>
        <v>8.164791666666666</v>
      </c>
      <c r="J15" s="61">
        <f>'07'!J108</f>
        <v>0.84374999999999956</v>
      </c>
      <c r="K15" s="61">
        <f>'07'!K108</f>
        <v>143.52645833333327</v>
      </c>
      <c r="L15" s="61">
        <f>'07'!L108</f>
        <v>26.164791666666673</v>
      </c>
      <c r="M15" s="61">
        <f>'07'!M108</f>
        <v>40.512395833333322</v>
      </c>
      <c r="N15" s="61">
        <f>'07'!N108</f>
        <v>115.89791666666663</v>
      </c>
      <c r="O15" s="61">
        <f>'07'!O108</f>
        <v>0</v>
      </c>
      <c r="P15" s="202">
        <f>'07'!P108</f>
        <v>0.76666666666666672</v>
      </c>
      <c r="Q15" s="61">
        <f>'07'!Q108</f>
        <v>9.790520833333332</v>
      </c>
      <c r="R15" s="118"/>
      <c r="S15" s="118"/>
      <c r="T15" s="118"/>
      <c r="U15" s="118"/>
    </row>
    <row r="16" spans="1:21" x14ac:dyDescent="0.25">
      <c r="A16" s="94" t="str">
        <f>'08'!$B$2</f>
        <v>08-04-2024 00:15</v>
      </c>
      <c r="B16" s="61">
        <f>'08'!B108</f>
        <v>1.4431250000000009</v>
      </c>
      <c r="C16" s="61">
        <f>'08'!C108</f>
        <v>42.314062499999984</v>
      </c>
      <c r="D16" s="61">
        <f>'08'!D108</f>
        <v>23.185104166666665</v>
      </c>
      <c r="E16" s="61">
        <f>'08'!E108</f>
        <v>1.6145833333333333</v>
      </c>
      <c r="F16" s="61">
        <f>'08'!F108</f>
        <v>4.4673958333333355</v>
      </c>
      <c r="G16" s="100">
        <f>'08'!$G$108</f>
        <v>24.41697916666666</v>
      </c>
      <c r="H16" s="61">
        <f>'08'!H108</f>
        <v>10.357499999999993</v>
      </c>
      <c r="I16" s="61">
        <f>'08'!I108</f>
        <v>5.5289583333333328</v>
      </c>
      <c r="J16" s="61">
        <f>'08'!J108</f>
        <v>1.1690624999999997</v>
      </c>
      <c r="K16" s="61">
        <f>'08'!K108</f>
        <v>120.5291666666667</v>
      </c>
      <c r="L16" s="61">
        <f>'08'!L108</f>
        <v>21.644062500000004</v>
      </c>
      <c r="M16" s="61">
        <f>'08'!M108</f>
        <v>78.280416666666653</v>
      </c>
      <c r="N16" s="61">
        <f>'08'!N108</f>
        <v>145.5697916666667</v>
      </c>
      <c r="O16" s="61">
        <f>'08'!O108</f>
        <v>6.2500000000000014E-2</v>
      </c>
      <c r="P16" s="202">
        <f>'08'!P108</f>
        <v>0.38135416666666672</v>
      </c>
      <c r="Q16" s="61">
        <f>'08'!Q108</f>
        <v>9.0843750000000014</v>
      </c>
      <c r="R16" s="118"/>
      <c r="S16" s="118"/>
      <c r="T16" s="118"/>
      <c r="U16" s="118"/>
    </row>
    <row r="17" spans="1:21" x14ac:dyDescent="0.25">
      <c r="A17" s="94" t="str">
        <f>'09'!$B$2</f>
        <v>09-04-2024 00:15</v>
      </c>
      <c r="B17" s="61">
        <f>'09'!B108</f>
        <v>5.4702150537634413</v>
      </c>
      <c r="C17" s="61">
        <f>'09'!C108</f>
        <v>37.122258064516124</v>
      </c>
      <c r="D17" s="61">
        <f>'09'!D108</f>
        <v>23.701505376344095</v>
      </c>
      <c r="E17" s="61">
        <f>'09'!E108</f>
        <v>1.6607526881720429</v>
      </c>
      <c r="F17" s="61">
        <f>'09'!F108</f>
        <v>6.6814583333333344</v>
      </c>
      <c r="G17" s="100">
        <f>'09'!$G$108</f>
        <v>30.824772727272713</v>
      </c>
      <c r="H17" s="61">
        <f>'09'!H108</f>
        <v>10.617499999999994</v>
      </c>
      <c r="I17" s="61">
        <f>'09'!I108</f>
        <v>6.3992708333333317</v>
      </c>
      <c r="J17" s="61">
        <f>'09'!J108</f>
        <v>0.71177083333333346</v>
      </c>
      <c r="K17" s="61">
        <f>'09'!K108</f>
        <v>168.17531249999999</v>
      </c>
      <c r="L17" s="61">
        <f>'09'!L108</f>
        <v>22.326875000000012</v>
      </c>
      <c r="M17" s="61">
        <f>'09'!M108</f>
        <v>75.410729166666641</v>
      </c>
      <c r="N17" s="61">
        <f>'09'!N108</f>
        <v>177.85104166666659</v>
      </c>
      <c r="O17" s="61">
        <f>'09'!O108</f>
        <v>0.22083333333333333</v>
      </c>
      <c r="P17" s="202">
        <f>'09'!P108</f>
        <v>0.40375000000000005</v>
      </c>
      <c r="Q17" s="61">
        <f>'09'!Q108</f>
        <v>9.3736458333333328</v>
      </c>
      <c r="R17" s="118"/>
      <c r="S17" s="118"/>
      <c r="T17" s="118"/>
      <c r="U17" s="118"/>
    </row>
    <row r="18" spans="1:21" x14ac:dyDescent="0.25">
      <c r="A18" s="94" t="str">
        <f>'10'!$B$2</f>
        <v>10-04-2024 00:15</v>
      </c>
      <c r="B18" s="61">
        <f>'10'!B108</f>
        <v>10.269270833333337</v>
      </c>
      <c r="C18" s="61">
        <f>'10'!C108</f>
        <v>37.557187500000005</v>
      </c>
      <c r="D18" s="61">
        <f>'10'!D108</f>
        <v>27.7775</v>
      </c>
      <c r="E18" s="61">
        <f>'10'!E108</f>
        <v>1.2870833333333331</v>
      </c>
      <c r="F18" s="61">
        <f>'10'!F108</f>
        <v>4.1515624999999998</v>
      </c>
      <c r="G18" s="101">
        <f>'10'!$G$108</f>
        <v>45.105625000000032</v>
      </c>
      <c r="H18" s="61">
        <f>'10'!H108</f>
        <v>17.178541666666678</v>
      </c>
      <c r="I18" s="61">
        <f>'10'!I108</f>
        <v>6.8221875000000027</v>
      </c>
      <c r="J18" s="61">
        <f>'10'!J108</f>
        <v>0.94364583333333307</v>
      </c>
      <c r="K18" s="61">
        <f>'10'!K108</f>
        <v>172.32447916666669</v>
      </c>
      <c r="L18" s="61">
        <f>'10'!L108</f>
        <v>25.691562500000003</v>
      </c>
      <c r="M18" s="61">
        <f>'10'!M108</f>
        <v>61.6773958333333</v>
      </c>
      <c r="N18" s="61">
        <f>'10'!N108</f>
        <v>265.63333333333338</v>
      </c>
      <c r="O18" s="61">
        <f>'10'!O108</f>
        <v>2.0833333333333333E-3</v>
      </c>
      <c r="P18" s="202">
        <f>'10'!P108</f>
        <v>0.66895833333333332</v>
      </c>
      <c r="Q18" s="61">
        <f>'10'!Q108</f>
        <v>9.3992708333333344</v>
      </c>
      <c r="R18" s="118"/>
      <c r="S18" s="118"/>
      <c r="T18" s="118"/>
      <c r="U18" s="118"/>
    </row>
    <row r="19" spans="1:21" x14ac:dyDescent="0.25">
      <c r="A19" s="94" t="str">
        <f>'11'!$B$2</f>
        <v>11-04-2024 00:15</v>
      </c>
      <c r="B19" s="61">
        <f>'11'!B108</f>
        <v>1.3329166666666672</v>
      </c>
      <c r="C19" s="61">
        <f>'11'!C108</f>
        <v>28.953125000000004</v>
      </c>
      <c r="D19" s="61">
        <f>'11'!D108</f>
        <v>16.116354166666671</v>
      </c>
      <c r="E19" s="61">
        <f>'11'!E108</f>
        <v>1.6505208333333341</v>
      </c>
      <c r="F19" s="61">
        <f>'11'!F108</f>
        <v>4.3883333333333328</v>
      </c>
      <c r="G19" s="99">
        <f>'11'!$G$108</f>
        <v>19.339062499999994</v>
      </c>
      <c r="H19" s="61">
        <f>'11'!H108</f>
        <v>6.9752083333333319</v>
      </c>
      <c r="I19" s="61">
        <f>'11'!I108</f>
        <v>3.6583333333333328</v>
      </c>
      <c r="J19" s="61">
        <f>'11'!J108</f>
        <v>0.96989583333333373</v>
      </c>
      <c r="K19" s="61">
        <f>'11'!K108</f>
        <v>172.5363541666666</v>
      </c>
      <c r="L19" s="61">
        <f>'11'!L108</f>
        <v>19.094791666666662</v>
      </c>
      <c r="M19" s="61">
        <f>'11'!M108</f>
        <v>93.347708333333358</v>
      </c>
      <c r="N19" s="61">
        <f>'11'!N108</f>
        <v>74.762499999999989</v>
      </c>
      <c r="O19" s="61">
        <f>'11'!O108</f>
        <v>6.0416666666666681E-2</v>
      </c>
      <c r="P19" s="202">
        <f>'11'!P108</f>
        <v>0.34677083333333342</v>
      </c>
      <c r="Q19" s="61">
        <f>'11'!Q108</f>
        <v>9.2266666666666683</v>
      </c>
      <c r="R19" s="118"/>
      <c r="S19" s="118"/>
      <c r="T19" s="118"/>
      <c r="U19" s="118"/>
    </row>
    <row r="20" spans="1:21" x14ac:dyDescent="0.25">
      <c r="A20" s="94" t="str">
        <f>'12'!$B$2</f>
        <v>12-04-2024 00:15</v>
      </c>
      <c r="B20" s="61">
        <f>'12'!B108</f>
        <v>9.9613541666666663</v>
      </c>
      <c r="C20" s="61">
        <f>'12'!C108</f>
        <v>27.577604166666664</v>
      </c>
      <c r="D20" s="61">
        <f>'12'!D108</f>
        <v>22.316562499999986</v>
      </c>
      <c r="E20" s="61">
        <f>'12'!E108</f>
        <v>1.4240624999999996</v>
      </c>
      <c r="F20" s="61">
        <f>'12'!F108</f>
        <v>3.4751041666666662</v>
      </c>
      <c r="G20" s="101">
        <f>'12'!$G$108</f>
        <v>38.350416666666682</v>
      </c>
      <c r="H20" s="61">
        <f>'12'!H108</f>
        <v>14.353750000000003</v>
      </c>
      <c r="I20" s="61">
        <f>'12'!I108</f>
        <v>5.1778125000000008</v>
      </c>
      <c r="J20" s="61">
        <f>'12'!J108</f>
        <v>0.31874999999999998</v>
      </c>
      <c r="K20" s="61">
        <f>'12'!K108</f>
        <v>188.78145833333338</v>
      </c>
      <c r="L20" s="61">
        <f>'12'!L108</f>
        <v>20.982604166666672</v>
      </c>
      <c r="M20" s="61">
        <f>'12'!M108</f>
        <v>85.393020833333352</v>
      </c>
      <c r="N20" s="61">
        <f>'12'!N108</f>
        <v>120.14062500000004</v>
      </c>
      <c r="O20" s="61">
        <f>'12'!O108</f>
        <v>4.1666666666666666E-3</v>
      </c>
      <c r="P20" s="202">
        <f>'12'!P108</f>
        <v>0.53968749999999976</v>
      </c>
      <c r="Q20" s="61">
        <f>'12'!Q108</f>
        <v>9.3466666666666693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13-04-2024 00:15</v>
      </c>
      <c r="B21" s="91">
        <f>'13'!B108</f>
        <v>10.937291666666669</v>
      </c>
      <c r="C21" s="91">
        <f>'13'!C108</f>
        <v>27.863541666666666</v>
      </c>
      <c r="D21" s="91">
        <f>'13'!D108</f>
        <v>23.248541666666668</v>
      </c>
      <c r="E21" s="91">
        <f>'13'!E108</f>
        <v>1.5136458333333331</v>
      </c>
      <c r="F21" s="91">
        <f>'13'!F108</f>
        <v>3.7492708333333327</v>
      </c>
      <c r="G21" s="100">
        <f>'13'!$G$108</f>
        <v>63.737291666666664</v>
      </c>
      <c r="H21" s="91">
        <f>'13'!H108</f>
        <v>24.309270833333311</v>
      </c>
      <c r="I21" s="91">
        <f>'13'!I108</f>
        <v>5.8479166666666673</v>
      </c>
      <c r="J21" s="91">
        <f>'13'!J108</f>
        <v>0.45166666666666661</v>
      </c>
      <c r="K21" s="91">
        <f>'13'!K108</f>
        <v>212.3457291666667</v>
      </c>
      <c r="L21" s="91">
        <f>'13'!L108</f>
        <v>22.039374999999996</v>
      </c>
      <c r="M21" s="91">
        <f>'13'!M108</f>
        <v>81.838958333333323</v>
      </c>
      <c r="N21" s="91">
        <f>'13'!N108</f>
        <v>138.94895833333337</v>
      </c>
      <c r="O21" s="91">
        <f>'13'!O108</f>
        <v>0</v>
      </c>
      <c r="P21" s="203">
        <f>'13'!P108</f>
        <v>0.63718749999999991</v>
      </c>
      <c r="Q21" s="91">
        <f>'13'!Q108</f>
        <v>9.3534375000000036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14-04-2024 00:15</v>
      </c>
      <c r="B22" s="90">
        <f>'14'!B108</f>
        <v>12.056562500000007</v>
      </c>
      <c r="C22" s="90">
        <f>'14'!C108</f>
        <v>27.218854166666659</v>
      </c>
      <c r="D22" s="90">
        <f>'14'!D108</f>
        <v>23.80895833333334</v>
      </c>
      <c r="E22" s="90">
        <f>'14'!E108</f>
        <v>1.7615625000000004</v>
      </c>
      <c r="F22" s="90">
        <f>'14'!F108</f>
        <v>3.9465625000000002</v>
      </c>
      <c r="G22" s="100">
        <f>'14'!$G$108</f>
        <v>40.862916666666663</v>
      </c>
      <c r="H22" s="100">
        <f>'14'!$G$108</f>
        <v>40.862916666666663</v>
      </c>
      <c r="I22" s="90">
        <f>'14'!I108</f>
        <v>5.4711458333333338</v>
      </c>
      <c r="J22" s="90">
        <f>'14'!J108</f>
        <v>0.32291666666666669</v>
      </c>
      <c r="K22" s="90">
        <f>'14'!K108</f>
        <v>200.02145833333336</v>
      </c>
      <c r="L22" s="90">
        <f>'14'!L108</f>
        <v>25.930416666666659</v>
      </c>
      <c r="M22" s="90">
        <f>'14'!M108</f>
        <v>66.108541666666682</v>
      </c>
      <c r="N22" s="90">
        <f>'14'!N108</f>
        <v>267.45625000000001</v>
      </c>
      <c r="O22" s="90">
        <f>'14'!O108</f>
        <v>0</v>
      </c>
      <c r="P22" s="204">
        <f>'14'!P108</f>
        <v>0.55666666666666675</v>
      </c>
      <c r="Q22" s="90">
        <f>'14'!Q108</f>
        <v>9.2389583333333309</v>
      </c>
      <c r="R22" s="206"/>
      <c r="S22" s="206"/>
      <c r="T22" s="206"/>
      <c r="U22" s="206"/>
    </row>
    <row r="23" spans="1:21" x14ac:dyDescent="0.25">
      <c r="A23" s="94" t="str">
        <f>'15'!$B$2</f>
        <v>15-04-2024 00:15</v>
      </c>
      <c r="B23" s="61">
        <f>'15'!B108</f>
        <v>19.926666666666637</v>
      </c>
      <c r="C23" s="61">
        <f>'15'!C108</f>
        <v>27.311874999999997</v>
      </c>
      <c r="D23" s="61">
        <f>'15'!D108</f>
        <v>30.169062499999995</v>
      </c>
      <c r="E23" s="61">
        <f>'15'!E108</f>
        <v>1.2494791666666674</v>
      </c>
      <c r="F23" s="61">
        <f>'15'!F108</f>
        <v>4.8409374999999999</v>
      </c>
      <c r="G23" s="100">
        <f>'15'!$G$108</f>
        <v>56.014791666666703</v>
      </c>
      <c r="H23" s="61">
        <f>'15'!H108</f>
        <v>20.545208333333342</v>
      </c>
      <c r="I23" s="61">
        <f>'15'!I108</f>
        <v>6.4490625000000001</v>
      </c>
      <c r="J23" s="61">
        <f>'15'!J108</f>
        <v>0.3460416666666668</v>
      </c>
      <c r="K23" s="61">
        <f>'15'!K108</f>
        <v>213.73531249999999</v>
      </c>
      <c r="L23" s="61">
        <f>'15'!L108</f>
        <v>26.939479166666672</v>
      </c>
      <c r="M23" s="61">
        <f>'15'!M108</f>
        <v>65.525624999999991</v>
      </c>
      <c r="N23" s="61">
        <f>'15'!N108</f>
        <v>243.68125000000001</v>
      </c>
      <c r="O23" s="61">
        <f>'15'!O108</f>
        <v>4.1666666666666664E-2</v>
      </c>
      <c r="P23" s="202">
        <f>'15'!P108</f>
        <v>0.71020833333333355</v>
      </c>
      <c r="Q23" s="61">
        <f>'15'!Q108</f>
        <v>9.3802083333333304</v>
      </c>
      <c r="R23" s="118"/>
      <c r="S23" s="118"/>
      <c r="T23" s="118"/>
      <c r="U23" s="118"/>
    </row>
    <row r="24" spans="1:21" x14ac:dyDescent="0.25">
      <c r="A24" s="94" t="str">
        <f>'16'!$B$2</f>
        <v>16-04-2024 00:15</v>
      </c>
      <c r="B24" s="61">
        <f>'16'!B108</f>
        <v>16.317083333333319</v>
      </c>
      <c r="C24" s="61">
        <f>'16'!C108</f>
        <v>25.922395833333336</v>
      </c>
      <c r="D24" s="61">
        <f>'16'!D108</f>
        <v>26.548645833333328</v>
      </c>
      <c r="E24" s="61">
        <f>'16'!E108</f>
        <v>1.46</v>
      </c>
      <c r="F24" s="61">
        <f>'16'!F108</f>
        <v>4.0365624999999987</v>
      </c>
      <c r="G24" s="100">
        <f>'16'!$G$108</f>
        <v>64.705937500000033</v>
      </c>
      <c r="H24" s="61">
        <f>'16'!H108</f>
        <v>25.129270833333337</v>
      </c>
      <c r="I24" s="61">
        <f>'16'!I108</f>
        <v>9.7511458333333341</v>
      </c>
      <c r="J24" s="61">
        <f>'16'!J108</f>
        <v>0.34374999999999994</v>
      </c>
      <c r="K24" s="61">
        <f>'16'!K108</f>
        <v>210.18291666666664</v>
      </c>
      <c r="L24" s="61">
        <f>'16'!L108</f>
        <v>28.584270833333335</v>
      </c>
      <c r="M24" s="61">
        <f>'16'!M108</f>
        <v>61.353958333333331</v>
      </c>
      <c r="N24" s="61">
        <f>'16'!N108</f>
        <v>260.27500000000003</v>
      </c>
      <c r="O24" s="61">
        <f>'16'!O108</f>
        <v>0</v>
      </c>
      <c r="P24" s="202">
        <f>'16'!P108</f>
        <v>0.82343749999999982</v>
      </c>
      <c r="Q24" s="61">
        <f>'16'!Q108</f>
        <v>9.2755208333333297</v>
      </c>
      <c r="R24" s="118"/>
      <c r="S24" s="118"/>
      <c r="T24" s="118"/>
      <c r="U24" s="118"/>
    </row>
    <row r="25" spans="1:21" x14ac:dyDescent="0.25">
      <c r="A25" s="94" t="str">
        <f>'17'!$B$2</f>
        <v>17-04-2024 00:15</v>
      </c>
      <c r="B25" s="61">
        <f>'17'!B108</f>
        <v>19.016249999999975</v>
      </c>
      <c r="C25" s="61">
        <f>'17'!C108</f>
        <v>28.040104166666669</v>
      </c>
      <c r="D25" s="61">
        <f>'17'!D108</f>
        <v>29.820000000000004</v>
      </c>
      <c r="E25" s="61">
        <f>'17'!E108</f>
        <v>1.8198958333333326</v>
      </c>
      <c r="F25" s="61">
        <f>'17'!F108</f>
        <v>4.711666666666666</v>
      </c>
      <c r="G25" s="101">
        <f>'17'!$G$108</f>
        <v>79.379270833333322</v>
      </c>
      <c r="H25" s="61">
        <f>'17'!H108</f>
        <v>27.355312499999993</v>
      </c>
      <c r="I25" s="61">
        <f>'17'!I108</f>
        <v>8.5309374999999985</v>
      </c>
      <c r="J25" s="61">
        <f>'17'!J108</f>
        <v>0.35645833333333332</v>
      </c>
      <c r="K25" s="61">
        <f>'17'!K108</f>
        <v>241.13395833333334</v>
      </c>
      <c r="L25" s="61">
        <f>'17'!L108</f>
        <v>30.295520833333324</v>
      </c>
      <c r="M25" s="61">
        <f>'17'!M108</f>
        <v>49.366354166666646</v>
      </c>
      <c r="N25" s="61">
        <f>'17'!N108</f>
        <v>266.21562499999993</v>
      </c>
      <c r="O25" s="61">
        <f>'17'!O108</f>
        <v>0</v>
      </c>
      <c r="P25" s="202">
        <f>'17'!P108</f>
        <v>0.82916666666666661</v>
      </c>
      <c r="Q25" s="61">
        <f>'17'!Q108</f>
        <v>9.3102083333333319</v>
      </c>
      <c r="R25" s="118"/>
      <c r="S25" s="118"/>
      <c r="T25" s="118"/>
      <c r="U25" s="118"/>
    </row>
    <row r="26" spans="1:21" x14ac:dyDescent="0.25">
      <c r="A26" s="94" t="str">
        <f>'18'!$B$2</f>
        <v>18-04-2024 00:15</v>
      </c>
      <c r="B26" s="61">
        <f>'18'!B108</f>
        <v>10.539166666666674</v>
      </c>
      <c r="C26" s="61">
        <f>'18'!C108</f>
        <v>31.842604166666678</v>
      </c>
      <c r="D26" s="61">
        <f>'18'!D108</f>
        <v>25.008020833333337</v>
      </c>
      <c r="E26" s="61">
        <f>'18'!E108</f>
        <v>1.4532291666666663</v>
      </c>
      <c r="F26" s="61">
        <f>'18'!F108</f>
        <v>3.9502083333333338</v>
      </c>
      <c r="G26" s="99">
        <f>'18'!$G$108</f>
        <v>67.421770833333312</v>
      </c>
      <c r="H26" s="61">
        <f>'18'!H108</f>
        <v>22.74968749999999</v>
      </c>
      <c r="I26" s="61">
        <f>'18'!I108</f>
        <v>8.2048958333333335</v>
      </c>
      <c r="J26" s="61">
        <f>'18'!J108</f>
        <v>0.39760416666666676</v>
      </c>
      <c r="K26" s="61">
        <f>'18'!K108</f>
        <v>188.28437499999993</v>
      </c>
      <c r="L26" s="61">
        <f>'18'!L108</f>
        <v>30.68677083333333</v>
      </c>
      <c r="M26" s="61">
        <f>'18'!M108</f>
        <v>33.582916666666641</v>
      </c>
      <c r="N26" s="61">
        <f>'18'!N108</f>
        <v>274.91250000000002</v>
      </c>
      <c r="O26" s="61">
        <f>'18'!O108</f>
        <v>0</v>
      </c>
      <c r="P26" s="202">
        <f>'18'!P108</f>
        <v>0.64052083333333332</v>
      </c>
      <c r="Q26" s="61">
        <f>'18'!Q108</f>
        <v>9.152826086956523</v>
      </c>
      <c r="R26" s="118"/>
      <c r="S26" s="118"/>
      <c r="T26" s="118"/>
      <c r="U26" s="118"/>
    </row>
    <row r="27" spans="1:21" x14ac:dyDescent="0.25">
      <c r="A27" s="94" t="str">
        <f>'19'!$B$2</f>
        <v>19-04-2024 00:15</v>
      </c>
      <c r="B27" s="61">
        <f>'19'!B108</f>
        <v>13.908020833333337</v>
      </c>
      <c r="C27" s="61">
        <f>'19'!C108</f>
        <v>42.083229166666662</v>
      </c>
      <c r="D27" s="61">
        <f>'19'!D108</f>
        <v>33.059999999999981</v>
      </c>
      <c r="E27" s="61">
        <f>'19'!E108</f>
        <v>1.6923958333333335</v>
      </c>
      <c r="F27" s="61">
        <f>'19'!F108</f>
        <v>4.6929166666666671</v>
      </c>
      <c r="G27" s="61">
        <f>'19'!G108</f>
        <v>70.86145833333336</v>
      </c>
      <c r="H27" s="61">
        <f>'19'!H108</f>
        <v>21.507291666666674</v>
      </c>
      <c r="I27" s="61">
        <f>'19'!I108</f>
        <v>8.6268749999999983</v>
      </c>
      <c r="J27" s="61">
        <f>'19'!J108</f>
        <v>0.32937500000000003</v>
      </c>
      <c r="K27" s="61">
        <f>'19'!K108</f>
        <v>216.84750000000005</v>
      </c>
      <c r="L27" s="61">
        <f>'19'!L108</f>
        <v>31.834895833333334</v>
      </c>
      <c r="M27" s="61">
        <f>'19'!M108</f>
        <v>32.996041666666692</v>
      </c>
      <c r="N27" s="61">
        <f>'19'!N108</f>
        <v>276.91770833333339</v>
      </c>
      <c r="O27" s="61">
        <f>'19'!O108</f>
        <v>0</v>
      </c>
      <c r="P27" s="202">
        <f>'19'!P108</f>
        <v>0.68843749999999992</v>
      </c>
      <c r="Q27" s="61">
        <f>'19'!Q108</f>
        <v>9.3212499999999991</v>
      </c>
      <c r="R27" s="118"/>
      <c r="S27" s="118"/>
      <c r="T27" s="118"/>
      <c r="U27" s="118"/>
    </row>
    <row r="28" spans="1:21" x14ac:dyDescent="0.25">
      <c r="A28" s="94" t="str">
        <f>'20'!$B$2</f>
        <v>20-04-2024 00:15</v>
      </c>
      <c r="B28" s="61">
        <f>'20'!B108</f>
        <v>17.188645833333329</v>
      </c>
      <c r="C28" s="61">
        <f>'20'!C108</f>
        <v>39.03489583333333</v>
      </c>
      <c r="D28" s="61">
        <f>'20'!D108</f>
        <v>34.098229166666655</v>
      </c>
      <c r="E28" s="61">
        <f>'20'!E108</f>
        <v>1.9663541666666662</v>
      </c>
      <c r="F28" s="61">
        <f>'20'!F108</f>
        <v>5.527916666666667</v>
      </c>
      <c r="G28" s="61">
        <f>'20'!G108</f>
        <v>63.218020833333348</v>
      </c>
      <c r="H28" s="61">
        <f>'20'!H108</f>
        <v>23.233645833333323</v>
      </c>
      <c r="I28" s="61">
        <f>'20'!I108</f>
        <v>7.685624999999999</v>
      </c>
      <c r="J28" s="61">
        <f>'20'!J108</f>
        <v>0.46364583333333331</v>
      </c>
      <c r="K28" s="61">
        <f>'20'!K108</f>
        <v>195.90270833333338</v>
      </c>
      <c r="L28" s="61">
        <f>'20'!L108</f>
        <v>30.863854166666655</v>
      </c>
      <c r="M28" s="61">
        <f>'20'!M108</f>
        <v>37.323333333333352</v>
      </c>
      <c r="N28" s="61">
        <f>'20'!N108</f>
        <v>247.171875</v>
      </c>
      <c r="O28" s="61">
        <f>'20'!O108</f>
        <v>0</v>
      </c>
      <c r="P28" s="202">
        <f>'20'!P108</f>
        <v>0.6277083333333332</v>
      </c>
      <c r="Q28" s="61">
        <f>'20'!Q108</f>
        <v>9.3347916666666677</v>
      </c>
      <c r="R28" s="118"/>
      <c r="S28" s="118"/>
      <c r="T28" s="118"/>
      <c r="U28" s="118"/>
    </row>
    <row r="29" spans="1:21" x14ac:dyDescent="0.25">
      <c r="A29" s="94" t="str">
        <f>'21'!$B$2</f>
        <v>21-04-2024 00:15</v>
      </c>
      <c r="B29" s="61">
        <f>'21'!B108</f>
        <v>2.8242708333333333</v>
      </c>
      <c r="C29" s="61">
        <f>'21'!C108</f>
        <v>32.017187500000013</v>
      </c>
      <c r="D29" s="61">
        <f>'21'!D108</f>
        <v>18.912812499999994</v>
      </c>
      <c r="E29" s="61">
        <f>'21'!E108</f>
        <v>1.4951041666666673</v>
      </c>
      <c r="F29" s="61">
        <f>'21'!F108</f>
        <v>4.5526041666666659</v>
      </c>
      <c r="G29" s="61">
        <f>'21'!G108</f>
        <v>43.289166666666638</v>
      </c>
      <c r="H29" s="61">
        <f>'21'!H108</f>
        <v>24.062187500000007</v>
      </c>
      <c r="I29" s="61">
        <f>'21'!I108</f>
        <v>6.3897916666666648</v>
      </c>
      <c r="J29" s="61">
        <f>'21'!J108</f>
        <v>0.45958333333333345</v>
      </c>
      <c r="K29" s="61">
        <f>'21'!K108</f>
        <v>241.96812499999999</v>
      </c>
      <c r="L29" s="61">
        <f>'21'!L108</f>
        <v>31.489479166666673</v>
      </c>
      <c r="M29" s="61">
        <f>'21'!M108</f>
        <v>37.638854166666668</v>
      </c>
      <c r="N29" s="61">
        <f>'21'!N108</f>
        <v>227.97812500000001</v>
      </c>
      <c r="O29" s="61">
        <f>'21'!O108</f>
        <v>0</v>
      </c>
      <c r="P29" s="202">
        <f>'21'!P108</f>
        <v>0.49708333333333338</v>
      </c>
      <c r="Q29" s="61">
        <f>'21'!Q108</f>
        <v>9.1696874999999967</v>
      </c>
      <c r="R29" s="118"/>
      <c r="S29" s="118"/>
      <c r="T29" s="118"/>
      <c r="U29" s="118"/>
    </row>
    <row r="30" spans="1:21" x14ac:dyDescent="0.25">
      <c r="A30" s="94" t="str">
        <f>'22'!$B$2</f>
        <v>22-04-2024 00:15</v>
      </c>
      <c r="B30" s="61">
        <f>'22'!B108</f>
        <v>4.4134374999999997</v>
      </c>
      <c r="C30" s="61">
        <f>'22'!C108</f>
        <v>33.608541666666667</v>
      </c>
      <c r="D30" s="61">
        <f>'22'!D108</f>
        <v>21.018645833333331</v>
      </c>
      <c r="E30" s="61">
        <f>'22'!E108</f>
        <v>1.2865625000000001</v>
      </c>
      <c r="F30" s="61">
        <f>'22'!F108</f>
        <v>4.6489583333333337</v>
      </c>
      <c r="G30" s="61">
        <f>'22'!G108</f>
        <v>39.02187500000003</v>
      </c>
      <c r="H30" s="61">
        <f>'22'!H108</f>
        <v>22.09714285714286</v>
      </c>
      <c r="I30" s="61">
        <f>'22'!I108</f>
        <v>4.1494791666666657</v>
      </c>
      <c r="J30" s="61">
        <f>'22'!J108</f>
        <v>1.288645833333333</v>
      </c>
      <c r="K30" s="61">
        <f>'22'!K108</f>
        <v>292.16822916666678</v>
      </c>
      <c r="L30" s="61">
        <f>'22'!L108</f>
        <v>27.283541666666675</v>
      </c>
      <c r="M30" s="61">
        <f>'22'!M108</f>
        <v>49.73906250000001</v>
      </c>
      <c r="N30" s="61">
        <f>'22'!N108</f>
        <v>192.74479166666677</v>
      </c>
      <c r="O30" s="61">
        <f>'22'!O108</f>
        <v>8.5416666666666655E-2</v>
      </c>
      <c r="P30" s="202">
        <f>'22'!P108</f>
        <v>0.41239583333333329</v>
      </c>
      <c r="Q30" s="61">
        <f>'22'!Q108</f>
        <v>9.1733333333333302</v>
      </c>
      <c r="R30" s="118"/>
      <c r="S30" s="118"/>
      <c r="T30" s="118"/>
      <c r="U30" s="118"/>
    </row>
    <row r="31" spans="1:21" x14ac:dyDescent="0.25">
      <c r="A31" s="94" t="str">
        <f>'23'!$B$2</f>
        <v>23-04-2024 00:15</v>
      </c>
      <c r="B31" s="61">
        <f>'23'!B108</f>
        <v>11.561195652173915</v>
      </c>
      <c r="C31" s="61">
        <f>'23'!C108</f>
        <v>29.771847826086947</v>
      </c>
      <c r="D31" s="61">
        <f>'23'!D108</f>
        <v>24.74663043478261</v>
      </c>
      <c r="E31" s="61">
        <f>'23'!E108</f>
        <v>1.4330208333333332</v>
      </c>
      <c r="F31" s="61">
        <f>'23'!F108</f>
        <v>5.2743749999999991</v>
      </c>
      <c r="G31" s="61">
        <f>'23'!G108</f>
        <v>49.734891304347819</v>
      </c>
      <c r="H31" s="61">
        <f>'23'!H108</f>
        <v>28.62173913043479</v>
      </c>
      <c r="I31" s="61">
        <f>'23'!I108</f>
        <v>6.4685416666666642</v>
      </c>
      <c r="J31" s="61">
        <f>'23'!J108</f>
        <v>0.65625</v>
      </c>
      <c r="K31" s="61">
        <f>'23'!K108</f>
        <v>237.93197916666665</v>
      </c>
      <c r="L31" s="61">
        <f>'23'!L108</f>
        <v>26.726770833333344</v>
      </c>
      <c r="M31" s="61">
        <f>'23'!M108</f>
        <v>63.958645833333328</v>
      </c>
      <c r="N31" s="61">
        <f>'23'!N108</f>
        <v>243.31041666666667</v>
      </c>
      <c r="O31" s="61">
        <f>'23'!O108</f>
        <v>2.7083333333333334E-2</v>
      </c>
      <c r="P31" s="202">
        <f>'23'!P108</f>
        <v>0.74385416666666659</v>
      </c>
      <c r="Q31" s="61">
        <f>'23'!Q108</f>
        <v>9.1719791666666683</v>
      </c>
      <c r="R31" s="118"/>
      <c r="S31" s="207"/>
      <c r="T31" s="118"/>
      <c r="U31" s="118"/>
    </row>
    <row r="32" spans="1:21" x14ac:dyDescent="0.25">
      <c r="A32" s="94" t="str">
        <f>'24'!$B$2</f>
        <v>24-04-2024 00:15</v>
      </c>
      <c r="B32" s="61">
        <f>'24'!B108</f>
        <v>10.409895833333332</v>
      </c>
      <c r="C32" s="61">
        <f>'24'!C108</f>
        <v>28.170520833333338</v>
      </c>
      <c r="D32" s="61">
        <f>'24'!D108</f>
        <v>22.985937500000002</v>
      </c>
      <c r="E32" s="61">
        <f>'24'!E108</f>
        <v>1.4705208333333328</v>
      </c>
      <c r="F32" s="61">
        <f>'24'!F108</f>
        <v>4.2806249999999997</v>
      </c>
      <c r="G32" s="61">
        <f>'24'!G108</f>
        <v>49.083181818181828</v>
      </c>
      <c r="H32" s="61">
        <f>'24'!H108</f>
        <v>28.537083333333328</v>
      </c>
      <c r="I32" s="61">
        <f>'24'!I108</f>
        <v>6.247812500000002</v>
      </c>
      <c r="J32" s="61">
        <f>'24'!J108</f>
        <v>0.42177083333333348</v>
      </c>
      <c r="K32" s="61">
        <f>'24'!K108</f>
        <v>252.1411458333333</v>
      </c>
      <c r="L32" s="61">
        <f>'24'!L108</f>
        <v>29.604583333333327</v>
      </c>
      <c r="M32" s="61">
        <f>'24'!M108</f>
        <v>42.222395833333316</v>
      </c>
      <c r="N32" s="61">
        <f>'24'!N108</f>
        <v>239.32395833333328</v>
      </c>
      <c r="O32" s="61">
        <f>'24'!O108</f>
        <v>0</v>
      </c>
      <c r="P32" s="202">
        <f>'24'!P108</f>
        <v>0.73781249999999998</v>
      </c>
      <c r="Q32" s="61">
        <f>'24'!Q108</f>
        <v>9.1546875000000032</v>
      </c>
      <c r="R32" s="118"/>
      <c r="S32" s="118"/>
      <c r="T32" s="118"/>
      <c r="U32" s="118"/>
    </row>
    <row r="33" spans="1:21" x14ac:dyDescent="0.25">
      <c r="A33" s="94" t="str">
        <f>'25'!$B$2</f>
        <v>25-04-2024 00:15</v>
      </c>
      <c r="B33" s="61">
        <f>'25'!B108</f>
        <v>25.753437500000004</v>
      </c>
      <c r="C33" s="61">
        <f>'25'!C108</f>
        <v>29.474062499999999</v>
      </c>
      <c r="D33" s="61">
        <f>'25'!D108</f>
        <v>35.971354166666664</v>
      </c>
      <c r="E33" s="61">
        <f>'25'!E108</f>
        <v>1.964999999999999</v>
      </c>
      <c r="F33" s="61">
        <f>'25'!F108</f>
        <v>7.1697916666666686</v>
      </c>
      <c r="G33" s="61">
        <f>'25'!G108</f>
        <v>73.360215053763483</v>
      </c>
      <c r="H33" s="61">
        <f>'25'!H108</f>
        <v>26.45870967741935</v>
      </c>
      <c r="I33" s="61">
        <f>'25'!I108</f>
        <v>6.9411458333333327</v>
      </c>
      <c r="J33" s="61">
        <f>'25'!J108</f>
        <v>0.39625000000000021</v>
      </c>
      <c r="K33" s="61">
        <f>'25'!K108</f>
        <v>245.60354166666662</v>
      </c>
      <c r="L33" s="61">
        <f>'25'!L108</f>
        <v>29.767187499999995</v>
      </c>
      <c r="M33" s="61">
        <f>'25'!M108</f>
        <v>46.337187499999992</v>
      </c>
      <c r="N33" s="61">
        <f>'25'!N108</f>
        <v>243.76979166666661</v>
      </c>
      <c r="O33" s="61">
        <f>'25'!O108</f>
        <v>0</v>
      </c>
      <c r="P33" s="202">
        <f>'25'!P108</f>
        <v>0.79885416666666664</v>
      </c>
      <c r="Q33" s="61">
        <f>'25'!Q108</f>
        <v>9.2254166666666713</v>
      </c>
      <c r="R33" s="118"/>
      <c r="S33" s="207"/>
      <c r="T33" s="118"/>
      <c r="U33" s="118"/>
    </row>
    <row r="34" spans="1:21" x14ac:dyDescent="0.25">
      <c r="A34" s="94" t="str">
        <f>'26'!$B$2</f>
        <v>26-04-2024 00:15</v>
      </c>
      <c r="B34" s="61">
        <f>'26'!B108</f>
        <v>8.5016666666666669</v>
      </c>
      <c r="C34" s="61">
        <f>'26'!C108</f>
        <v>29.610625000000002</v>
      </c>
      <c r="D34" s="61">
        <f>'26'!D108</f>
        <v>22.207812500000003</v>
      </c>
      <c r="E34" s="61">
        <f>'26'!E108</f>
        <v>1.7315625000000008</v>
      </c>
      <c r="F34" s="61">
        <f>'26'!F108</f>
        <v>7.590416666666667</v>
      </c>
      <c r="G34" s="61">
        <f>'26'!G108</f>
        <v>46.794374999999974</v>
      </c>
      <c r="H34" s="61">
        <f>'26'!H108</f>
        <v>20.676979166666673</v>
      </c>
      <c r="I34" s="61">
        <f>'26'!I108</f>
        <v>5.9363541666666668</v>
      </c>
      <c r="J34" s="61">
        <f>'26'!J108</f>
        <v>0.49604166666666655</v>
      </c>
      <c r="K34" s="61">
        <f>'26'!K108</f>
        <v>255.6795833333334</v>
      </c>
      <c r="L34" s="61">
        <f>'26'!L108</f>
        <v>30.821145833333333</v>
      </c>
      <c r="M34" s="61">
        <f>'26'!M108</f>
        <v>37.359999999999992</v>
      </c>
      <c r="N34" s="61">
        <f>'26'!N108</f>
        <v>269.52708333333322</v>
      </c>
      <c r="O34" s="61">
        <f>'26'!O108</f>
        <v>0</v>
      </c>
      <c r="P34" s="202">
        <f>'26'!P108</f>
        <v>0.59625000000000028</v>
      </c>
      <c r="Q34" s="61">
        <f>'26'!Q108</f>
        <v>9.0985416666666641</v>
      </c>
      <c r="R34" s="118"/>
      <c r="S34" s="118"/>
      <c r="T34" s="118"/>
      <c r="U34" s="118"/>
    </row>
    <row r="35" spans="1:21" x14ac:dyDescent="0.25">
      <c r="A35" s="94" t="str">
        <f>'27'!$B$2</f>
        <v>27-04-2024 00:15</v>
      </c>
      <c r="B35" s="61">
        <f>'27'!B108</f>
        <v>12.518437499999997</v>
      </c>
      <c r="C35" s="61">
        <f>'27'!C108</f>
        <v>34.006041666666668</v>
      </c>
      <c r="D35" s="61">
        <f>'27'!D108</f>
        <v>27.725624999999997</v>
      </c>
      <c r="E35" s="61">
        <f>'27'!E108</f>
        <v>1.6580208333333335</v>
      </c>
      <c r="F35" s="61">
        <f>'27'!F108</f>
        <v>4.2212500000000013</v>
      </c>
      <c r="G35" s="61">
        <f>'27'!G108</f>
        <v>62.273522727272692</v>
      </c>
      <c r="H35" s="61">
        <f>'27'!H108</f>
        <v>20.694659090909095</v>
      </c>
      <c r="I35" s="61">
        <f>'27'!I108</f>
        <v>7.1673958333333365</v>
      </c>
      <c r="J35" s="61">
        <f>'27'!J108</f>
        <v>0.39677083333333335</v>
      </c>
      <c r="K35" s="61">
        <f>'27'!K108</f>
        <v>219.73583333333329</v>
      </c>
      <c r="L35" s="61">
        <f>'27'!L108</f>
        <v>29.661979166666665</v>
      </c>
      <c r="M35" s="61">
        <f>'27'!M108</f>
        <v>39.685833333333349</v>
      </c>
      <c r="N35" s="61">
        <f>'27'!N108</f>
        <v>201.8156250000001</v>
      </c>
      <c r="O35" s="61">
        <f>'27'!O108</f>
        <v>0</v>
      </c>
      <c r="P35" s="202">
        <f>'27'!P108</f>
        <v>0.74354166666666643</v>
      </c>
      <c r="Q35" s="61">
        <f>'27'!Q108</f>
        <v>9.190520833333327</v>
      </c>
      <c r="R35" s="118"/>
      <c r="S35" s="118"/>
      <c r="T35" s="118"/>
      <c r="U35" s="118"/>
    </row>
    <row r="36" spans="1:21" x14ac:dyDescent="0.25">
      <c r="A36" s="94" t="str">
        <f>'28'!$B$2</f>
        <v>28-04-2024 00:15</v>
      </c>
      <c r="B36" s="61">
        <f>'28'!B108</f>
        <v>28.918749999999999</v>
      </c>
      <c r="C36" s="61">
        <f>'28'!C108</f>
        <v>35.549166666666672</v>
      </c>
      <c r="D36" s="61">
        <f>'28'!D108</f>
        <v>41.683645833333337</v>
      </c>
      <c r="E36" s="61">
        <f>'28'!E108</f>
        <v>1.7482291666666665</v>
      </c>
      <c r="F36" s="61">
        <f>'28'!F108</f>
        <v>3.8051041666666667</v>
      </c>
      <c r="G36" s="61">
        <f>'28'!G108</f>
        <v>66.422187500000021</v>
      </c>
      <c r="H36" s="61">
        <f>'28'!H108</f>
        <v>20.873958333333324</v>
      </c>
      <c r="I36" s="61">
        <f>'28'!I108</f>
        <v>8.4904166666666701</v>
      </c>
      <c r="J36" s="61">
        <f>'28'!J108</f>
        <v>0.63312499999999983</v>
      </c>
      <c r="K36" s="61">
        <f>'28'!K108</f>
        <v>242.20291666666662</v>
      </c>
      <c r="L36" s="61">
        <f>'28'!L108</f>
        <v>27.657187500000006</v>
      </c>
      <c r="M36" s="61">
        <f>'28'!M108</f>
        <v>50.90260416666667</v>
      </c>
      <c r="N36" s="61">
        <f>'28'!N108</f>
        <v>158.74895833333321</v>
      </c>
      <c r="O36" s="61">
        <f>'28'!O108</f>
        <v>2.0833333333333333E-3</v>
      </c>
      <c r="P36" s="202">
        <f>'28'!P108</f>
        <v>1.0135416666666666</v>
      </c>
      <c r="Q36" s="61">
        <f>'28'!Q108</f>
        <v>9.2595833333333299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29-04-2024 00:15</v>
      </c>
      <c r="B37" s="61">
        <f>'29'!B108</f>
        <v>17.46052083333333</v>
      </c>
      <c r="C37" s="61">
        <f>'29'!C108</f>
        <v>31.826041666666669</v>
      </c>
      <c r="D37" s="61">
        <f>'29'!D108</f>
        <v>30.549687500000005</v>
      </c>
      <c r="E37" s="61">
        <f>'29'!E108</f>
        <v>2.1133333333333337</v>
      </c>
      <c r="F37" s="61">
        <f>'29'!F108</f>
        <v>6.8846875000000018</v>
      </c>
      <c r="G37" s="61">
        <f>'29'!G108</f>
        <v>57.420888888888932</v>
      </c>
      <c r="H37" s="61">
        <f>'29'!H108</f>
        <v>22.832666666666668</v>
      </c>
      <c r="I37" s="61">
        <f>'29'!I108</f>
        <v>6.8567708333333313</v>
      </c>
      <c r="J37" s="61">
        <f>'29'!J108</f>
        <v>0.35062499999999996</v>
      </c>
      <c r="K37" s="61">
        <f>'29'!K108</f>
        <v>244.42541666666671</v>
      </c>
      <c r="L37" s="61">
        <f>'29'!L108</f>
        <v>30.075833333333325</v>
      </c>
      <c r="M37" s="61">
        <f>'29'!M108</f>
        <v>47.619687500000005</v>
      </c>
      <c r="N37" s="61">
        <f>'29'!N108</f>
        <v>245.17812500000005</v>
      </c>
      <c r="O37" s="61">
        <f>'29'!O108</f>
        <v>0</v>
      </c>
      <c r="P37" s="202">
        <f>'29'!P108</f>
        <v>0.85239583333333346</v>
      </c>
      <c r="Q37" s="61">
        <f>'29'!Q108</f>
        <v>9.2001041666666694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30-04-2024 00:15</v>
      </c>
      <c r="B38" s="61">
        <f>'30'!B108</f>
        <v>5.8620833333333335</v>
      </c>
      <c r="C38" s="61">
        <f>'30'!C108</f>
        <v>24.872500000000006</v>
      </c>
      <c r="D38" s="61">
        <f>'30'!D108</f>
        <v>17.615833333333331</v>
      </c>
      <c r="E38" s="61">
        <f>'30'!E108</f>
        <v>1.6239583333333341</v>
      </c>
      <c r="F38" s="61">
        <f>'30'!F108</f>
        <v>5.9563541666666682</v>
      </c>
      <c r="G38" s="61">
        <f>'30'!G108</f>
        <v>47.405913978494652</v>
      </c>
      <c r="H38" s="61">
        <f>'30'!H108</f>
        <v>39.305483870967727</v>
      </c>
      <c r="I38" s="61">
        <f>'30'!I108</f>
        <v>4.933229166666667</v>
      </c>
      <c r="J38" s="61">
        <f>'30'!J108</f>
        <v>0.3125</v>
      </c>
      <c r="K38" s="61">
        <f>'30'!K108</f>
        <v>267.90406250000007</v>
      </c>
      <c r="L38" s="61">
        <f>'30'!L108</f>
        <v>31.806770833333342</v>
      </c>
      <c r="M38" s="61">
        <f>'30'!M108</f>
        <v>41.025104166666651</v>
      </c>
      <c r="N38" s="61">
        <f>'30'!N108</f>
        <v>252.65625</v>
      </c>
      <c r="O38" s="61">
        <f>'30'!O108</f>
        <v>0</v>
      </c>
      <c r="P38" s="202">
        <f>'30'!P108</f>
        <v>0.67927083333333338</v>
      </c>
      <c r="Q38" s="61">
        <f>'30'!Q108</f>
        <v>9.1644791666666698</v>
      </c>
      <c r="R38" s="118"/>
      <c r="S38" s="118"/>
      <c r="T38" s="118"/>
      <c r="U38" s="118"/>
    </row>
    <row r="39" spans="1:21" s="54" customFormat="1" x14ac:dyDescent="0.25">
      <c r="A39" s="94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</row>
    <row r="40" spans="1:21" s="54" customFormat="1" x14ac:dyDescent="0.25">
      <c r="A40" s="94" t="s">
        <v>59</v>
      </c>
      <c r="B40" s="16">
        <f t="shared" ref="B40:Q40" si="0">MIN(B9:B38)</f>
        <v>1.3329166666666672</v>
      </c>
      <c r="C40" s="16">
        <f t="shared" si="0"/>
        <v>24.872500000000006</v>
      </c>
      <c r="D40" s="16">
        <f t="shared" si="0"/>
        <v>16.116354166666671</v>
      </c>
      <c r="E40" s="16">
        <f t="shared" si="0"/>
        <v>1.2494791666666674</v>
      </c>
      <c r="F40" s="16">
        <f t="shared" si="0"/>
        <v>3.4751041666666662</v>
      </c>
      <c r="G40" s="16">
        <f t="shared" si="0"/>
        <v>19.339062499999994</v>
      </c>
      <c r="H40" s="16">
        <f t="shared" si="0"/>
        <v>6.9752083333333319</v>
      </c>
      <c r="I40" s="16">
        <f t="shared" si="0"/>
        <v>3.6583333333333328</v>
      </c>
      <c r="J40" s="16">
        <f t="shared" si="0"/>
        <v>0.18291666666666662</v>
      </c>
      <c r="K40" s="16">
        <f t="shared" si="0"/>
        <v>120.5291666666667</v>
      </c>
      <c r="L40" s="16">
        <f t="shared" si="0"/>
        <v>19.094791666666662</v>
      </c>
      <c r="M40" s="16">
        <f t="shared" si="0"/>
        <v>30.366770833333337</v>
      </c>
      <c r="N40" s="16">
        <f t="shared" si="0"/>
        <v>74.762499999999989</v>
      </c>
      <c r="O40" s="16">
        <f t="shared" si="0"/>
        <v>0</v>
      </c>
      <c r="P40" s="16">
        <f t="shared" si="0"/>
        <v>0.34677083333333342</v>
      </c>
      <c r="Q40" s="16">
        <f t="shared" si="0"/>
        <v>9.0843750000000014</v>
      </c>
      <c r="R40" s="16"/>
      <c r="S40" s="16"/>
      <c r="T40" s="16"/>
      <c r="U40" s="16"/>
    </row>
    <row r="41" spans="1:21" s="54" customFormat="1" x14ac:dyDescent="0.25">
      <c r="A41" s="94" t="s">
        <v>60</v>
      </c>
      <c r="B41" s="16">
        <f t="shared" ref="B41:Q41" si="1">MAX(B9:B38)</f>
        <v>40.65760416666668</v>
      </c>
      <c r="C41" s="16">
        <f t="shared" si="1"/>
        <v>70.991458333333313</v>
      </c>
      <c r="D41" s="16">
        <f t="shared" si="1"/>
        <v>69.614583333333314</v>
      </c>
      <c r="E41" s="16">
        <f t="shared" si="1"/>
        <v>2.1133333333333337</v>
      </c>
      <c r="F41" s="16">
        <f t="shared" si="1"/>
        <v>18.798854166666665</v>
      </c>
      <c r="G41" s="16">
        <f t="shared" si="1"/>
        <v>135.13181818181823</v>
      </c>
      <c r="H41" s="16">
        <f t="shared" si="1"/>
        <v>196.5982291666667</v>
      </c>
      <c r="I41" s="16">
        <f t="shared" si="1"/>
        <v>9.7511458333333341</v>
      </c>
      <c r="J41" s="16">
        <f t="shared" si="1"/>
        <v>1.288645833333333</v>
      </c>
      <c r="K41" s="16">
        <f t="shared" si="1"/>
        <v>292.16822916666678</v>
      </c>
      <c r="L41" s="16">
        <f t="shared" si="1"/>
        <v>31.834895833333334</v>
      </c>
      <c r="M41" s="16">
        <f t="shared" si="1"/>
        <v>93.347708333333358</v>
      </c>
      <c r="N41" s="16">
        <f t="shared" si="1"/>
        <v>279.69687499999992</v>
      </c>
      <c r="O41" s="16">
        <f t="shared" si="1"/>
        <v>0.22083333333333333</v>
      </c>
      <c r="P41" s="16">
        <f t="shared" si="1"/>
        <v>1.2091666666666672</v>
      </c>
      <c r="Q41" s="16">
        <f t="shared" si="1"/>
        <v>10.429791666666665</v>
      </c>
      <c r="R41" s="16"/>
      <c r="S41" s="16"/>
      <c r="T41" s="16"/>
      <c r="U41" s="16"/>
    </row>
    <row r="42" spans="1:21" s="54" customFormat="1" x14ac:dyDescent="0.25">
      <c r="A42" s="94" t="s">
        <v>61</v>
      </c>
      <c r="B42" s="16">
        <f t="shared" ref="B42:Q42" si="2">AVERAGE(B9:B38)</f>
        <v>13.597265588838575</v>
      </c>
      <c r="C42" s="16">
        <f t="shared" si="2"/>
        <v>37.615281218812058</v>
      </c>
      <c r="D42" s="16">
        <f t="shared" si="2"/>
        <v>30.476535525855521</v>
      </c>
      <c r="E42" s="16">
        <f t="shared" si="2"/>
        <v>1.6307595754213375</v>
      </c>
      <c r="F42" s="16">
        <f t="shared" si="2"/>
        <v>5.3719687500000015</v>
      </c>
      <c r="G42" s="16">
        <f t="shared" si="2"/>
        <v>57.861576603133969</v>
      </c>
      <c r="H42" s="16">
        <f t="shared" si="2"/>
        <v>29.137371931762527</v>
      </c>
      <c r="I42" s="16">
        <f t="shared" si="2"/>
        <v>6.7885694444444447</v>
      </c>
      <c r="J42" s="16">
        <f t="shared" si="2"/>
        <v>0.51330208333333327</v>
      </c>
      <c r="K42" s="16">
        <f t="shared" si="2"/>
        <v>222.04893402777773</v>
      </c>
      <c r="L42" s="16">
        <f t="shared" si="2"/>
        <v>28.035423611111113</v>
      </c>
      <c r="M42" s="16">
        <f t="shared" si="2"/>
        <v>51.074704861111108</v>
      </c>
      <c r="N42" s="16">
        <f t="shared" si="2"/>
        <v>222.77743055555558</v>
      </c>
      <c r="O42" s="16">
        <f t="shared" si="2"/>
        <v>1.6874999999999998E-2</v>
      </c>
      <c r="P42" s="16">
        <f t="shared" si="2"/>
        <v>0.69895138888888864</v>
      </c>
      <c r="Q42" s="16">
        <f t="shared" si="2"/>
        <v>9.389330314009662</v>
      </c>
      <c r="R42" s="16"/>
      <c r="S42" s="16"/>
      <c r="T42" s="16"/>
      <c r="U42" s="16"/>
    </row>
    <row r="43" spans="1:21" s="54" customFormat="1" x14ac:dyDescent="0.25">
      <c r="A43" s="94" t="s">
        <v>77</v>
      </c>
      <c r="B43" s="16">
        <f t="shared" ref="B43:Q43" si="3">STDEV(B9:B38)</f>
        <v>8.7181131803029679</v>
      </c>
      <c r="C43" s="16">
        <f t="shared" si="3"/>
        <v>12.058981413568603</v>
      </c>
      <c r="D43" s="16">
        <f t="shared" si="3"/>
        <v>11.220847508778565</v>
      </c>
      <c r="E43" s="16">
        <f t="shared" si="3"/>
        <v>0.22843354421215076</v>
      </c>
      <c r="F43" s="16">
        <f t="shared" si="3"/>
        <v>2.7619657728181215</v>
      </c>
      <c r="G43" s="16">
        <f t="shared" si="3"/>
        <v>21.300261102418382</v>
      </c>
      <c r="H43" s="16">
        <f t="shared" si="3"/>
        <v>32.46892501805857</v>
      </c>
      <c r="I43" s="16">
        <f t="shared" si="3"/>
        <v>1.5415660629291581</v>
      </c>
      <c r="J43" s="16">
        <f t="shared" si="3"/>
        <v>0.27313434296195011</v>
      </c>
      <c r="K43" s="16">
        <f t="shared" si="3"/>
        <v>40.154738013073896</v>
      </c>
      <c r="L43" s="16">
        <f t="shared" si="3"/>
        <v>3.6020413083618128</v>
      </c>
      <c r="M43" s="16">
        <f t="shared" si="3"/>
        <v>17.865598815201079</v>
      </c>
      <c r="N43" s="16">
        <f t="shared" si="3"/>
        <v>55.98488357268792</v>
      </c>
      <c r="O43" s="16">
        <f t="shared" si="3"/>
        <v>4.4556234378935702E-2</v>
      </c>
      <c r="P43" s="16">
        <f t="shared" si="3"/>
        <v>0.19190072293268062</v>
      </c>
      <c r="Q43" s="16">
        <f t="shared" si="3"/>
        <v>0.31010832209729988</v>
      </c>
      <c r="R43" s="16"/>
      <c r="S43" s="16"/>
      <c r="T43" s="16"/>
      <c r="U43" s="16"/>
    </row>
    <row r="44" spans="1:21" s="54" customFormat="1" x14ac:dyDescent="0.25">
      <c r="A44" s="94" t="s">
        <v>62</v>
      </c>
      <c r="B44" s="13">
        <f t="shared" ref="B44:Q44" si="4">COUNT(B9:B38)</f>
        <v>30</v>
      </c>
      <c r="C44" s="13">
        <f t="shared" si="4"/>
        <v>30</v>
      </c>
      <c r="D44" s="13">
        <f t="shared" si="4"/>
        <v>30</v>
      </c>
      <c r="E44" s="13">
        <f t="shared" si="4"/>
        <v>30</v>
      </c>
      <c r="F44" s="13">
        <f t="shared" si="4"/>
        <v>30</v>
      </c>
      <c r="G44" s="13">
        <f t="shared" si="4"/>
        <v>30</v>
      </c>
      <c r="H44" s="13">
        <f t="shared" si="4"/>
        <v>30</v>
      </c>
      <c r="I44" s="13">
        <f t="shared" si="4"/>
        <v>30</v>
      </c>
      <c r="J44" s="13">
        <f t="shared" si="4"/>
        <v>30</v>
      </c>
      <c r="K44" s="13">
        <f t="shared" si="4"/>
        <v>30</v>
      </c>
      <c r="L44" s="13">
        <f t="shared" si="4"/>
        <v>30</v>
      </c>
      <c r="M44" s="13">
        <f t="shared" si="4"/>
        <v>30</v>
      </c>
      <c r="N44" s="13">
        <f t="shared" si="4"/>
        <v>30</v>
      </c>
      <c r="O44" s="13">
        <f t="shared" si="4"/>
        <v>30</v>
      </c>
      <c r="P44" s="13">
        <f t="shared" si="4"/>
        <v>30</v>
      </c>
      <c r="Q44" s="13">
        <f t="shared" si="4"/>
        <v>30</v>
      </c>
      <c r="R44" s="13"/>
      <c r="S44" s="13"/>
      <c r="T44" s="13"/>
      <c r="U44" s="13"/>
    </row>
    <row r="45" spans="1:21" s="54" customFormat="1" x14ac:dyDescent="0.25">
      <c r="A45" s="94" t="s">
        <v>63</v>
      </c>
      <c r="B45" s="13" t="str">
        <f>IF(B44&gt;=28,"&gt;90%",IF(B44&lt;=28,"&lt;90%"))</f>
        <v>&gt;90%</v>
      </c>
      <c r="C45" s="13" t="str">
        <f t="shared" ref="C45:Q45" si="5">IF(C44&gt;=28,"&gt;90%",IF(C44&lt;=28,"&lt;90%"))</f>
        <v>&gt;90%</v>
      </c>
      <c r="D45" s="13" t="str">
        <f t="shared" si="5"/>
        <v>&gt;90%</v>
      </c>
      <c r="E45" s="13" t="str">
        <f t="shared" si="5"/>
        <v>&gt;90%</v>
      </c>
      <c r="F45" s="13" t="str">
        <f t="shared" si="5"/>
        <v>&gt;90%</v>
      </c>
      <c r="G45" s="13" t="str">
        <f t="shared" si="5"/>
        <v>&gt;90%</v>
      </c>
      <c r="H45" s="13" t="str">
        <f t="shared" si="5"/>
        <v>&gt;90%</v>
      </c>
      <c r="I45" s="13" t="str">
        <f t="shared" si="5"/>
        <v>&gt;90%</v>
      </c>
      <c r="J45" s="13" t="str">
        <f t="shared" si="5"/>
        <v>&gt;90%</v>
      </c>
      <c r="K45" s="13" t="str">
        <f t="shared" si="5"/>
        <v>&gt;90%</v>
      </c>
      <c r="L45" s="13" t="str">
        <f t="shared" si="5"/>
        <v>&gt;90%</v>
      </c>
      <c r="M45" s="13" t="str">
        <f t="shared" si="5"/>
        <v>&gt;90%</v>
      </c>
      <c r="N45" s="13" t="str">
        <f t="shared" si="5"/>
        <v>&gt;90%</v>
      </c>
      <c r="O45" s="13" t="str">
        <f t="shared" si="5"/>
        <v>&gt;90%</v>
      </c>
      <c r="P45" s="13" t="str">
        <f t="shared" si="5"/>
        <v>&gt;90%</v>
      </c>
      <c r="Q45" s="13" t="str">
        <f t="shared" si="5"/>
        <v>&gt;90%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OK</v>
      </c>
      <c r="C46" s="13" t="str">
        <f t="shared" ref="C46:Q46" si="6">IF(C44&gt;=28,"OK",IF(C44&lt;=28,"LESS"))</f>
        <v>OK</v>
      </c>
      <c r="D46" s="13" t="str">
        <f t="shared" si="6"/>
        <v>OK</v>
      </c>
      <c r="E46" s="13" t="str">
        <f t="shared" si="6"/>
        <v>OK</v>
      </c>
      <c r="F46" s="13" t="str">
        <f t="shared" si="6"/>
        <v>OK</v>
      </c>
      <c r="G46" s="13" t="str">
        <f t="shared" si="6"/>
        <v>OK</v>
      </c>
      <c r="H46" s="13" t="str">
        <f t="shared" si="6"/>
        <v>OK</v>
      </c>
      <c r="I46" s="13" t="str">
        <f t="shared" si="6"/>
        <v>OK</v>
      </c>
      <c r="J46" s="13" t="str">
        <f t="shared" si="6"/>
        <v>OK</v>
      </c>
      <c r="K46" s="13" t="str">
        <f t="shared" si="6"/>
        <v>OK</v>
      </c>
      <c r="L46" s="13" t="str">
        <f t="shared" si="6"/>
        <v>OK</v>
      </c>
      <c r="M46" s="13" t="str">
        <f t="shared" si="6"/>
        <v>OK</v>
      </c>
      <c r="N46" s="13" t="str">
        <f t="shared" si="6"/>
        <v>OK</v>
      </c>
      <c r="O46" s="13" t="str">
        <f t="shared" si="6"/>
        <v>OK</v>
      </c>
      <c r="P46" s="13" t="str">
        <f t="shared" si="6"/>
        <v>OK</v>
      </c>
      <c r="Q46" s="13" t="str">
        <f t="shared" si="6"/>
        <v>OK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64</v>
      </c>
      <c r="B49" s="107" t="s">
        <v>216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65</v>
      </c>
      <c r="B51" s="217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zoomScale="85" zoomScaleNormal="85" workbookViewId="0">
      <selection activeCell="H70" sqref="H70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18" t="s">
        <v>242</v>
      </c>
      <c r="E1" s="218"/>
      <c r="F1" s="218"/>
      <c r="G1" s="218"/>
      <c r="H1" s="218"/>
      <c r="I1" s="218"/>
      <c r="J1" s="219"/>
    </row>
    <row r="2" spans="2:24" ht="22.5" customHeight="1" thickBot="1" x14ac:dyDescent="0.3">
      <c r="B2" s="54"/>
      <c r="C2" s="111" t="s">
        <v>0</v>
      </c>
      <c r="D2" s="112" t="s">
        <v>246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2" t="s">
        <v>1</v>
      </c>
      <c r="H5" s="222"/>
      <c r="I5" s="40"/>
      <c r="J5" s="40"/>
      <c r="K5" s="40"/>
      <c r="L5" s="40"/>
      <c r="M5" s="41"/>
      <c r="O5" s="68"/>
      <c r="P5" s="69"/>
      <c r="Q5" s="69"/>
      <c r="R5" s="69"/>
      <c r="S5" s="208" t="s">
        <v>239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45383.497916666667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203.7</v>
      </c>
      <c r="I8" s="60">
        <v>0</v>
      </c>
      <c r="J8" s="61">
        <f>F8/H8</f>
        <v>0.9818360333824252</v>
      </c>
      <c r="K8" s="61">
        <f>(H8-F8)*100/F8</f>
        <v>1.8499999999999943</v>
      </c>
      <c r="L8" s="60" t="s">
        <v>67</v>
      </c>
      <c r="M8" s="78" t="s">
        <v>216</v>
      </c>
      <c r="O8" s="63">
        <v>45383.465277777781</v>
      </c>
      <c r="P8" s="64" t="s">
        <v>70</v>
      </c>
      <c r="Q8" s="64">
        <v>4954.21</v>
      </c>
      <c r="R8" s="64">
        <v>3789.33</v>
      </c>
      <c r="S8" s="77" t="s">
        <v>244</v>
      </c>
      <c r="T8" s="77">
        <v>841.19</v>
      </c>
      <c r="U8" s="86">
        <v>0.91159999999999997</v>
      </c>
      <c r="V8" s="86">
        <v>0.90620000000000001</v>
      </c>
      <c r="W8" s="60" t="s">
        <v>67</v>
      </c>
      <c r="X8" s="78" t="s">
        <v>216</v>
      </c>
    </row>
    <row r="9" spans="2:24" ht="15.75" x14ac:dyDescent="0.25">
      <c r="B9" s="63">
        <v>45391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199.16</v>
      </c>
      <c r="I9" s="60">
        <v>0</v>
      </c>
      <c r="J9" s="61">
        <f t="shared" ref="J9:J14" si="0">F9/H9</f>
        <v>1.004217714400482</v>
      </c>
      <c r="K9" s="61">
        <f t="shared" ref="K9:K14" si="1">(H9-F9)*100/F9</f>
        <v>-0.42000000000000171</v>
      </c>
      <c r="L9" s="60" t="s">
        <v>67</v>
      </c>
      <c r="M9" s="62" t="s">
        <v>216</v>
      </c>
      <c r="O9" s="63">
        <v>45391.472916666666</v>
      </c>
      <c r="P9" s="64" t="s">
        <v>70</v>
      </c>
      <c r="Q9" s="64">
        <v>5094.2</v>
      </c>
      <c r="R9" s="64">
        <v>3871.7</v>
      </c>
      <c r="S9" s="77" t="s">
        <v>244</v>
      </c>
      <c r="T9" s="77">
        <v>839.18</v>
      </c>
      <c r="U9" s="86">
        <v>0.91059999999999997</v>
      </c>
      <c r="V9" s="86">
        <v>0.90610000000000002</v>
      </c>
      <c r="W9" s="60" t="s">
        <v>67</v>
      </c>
      <c r="X9" s="62" t="s">
        <v>216</v>
      </c>
    </row>
    <row r="10" spans="2:24" ht="15.75" x14ac:dyDescent="0.25">
      <c r="B10" s="63">
        <v>45405.505555555559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200.46</v>
      </c>
      <c r="I10" s="60">
        <v>0</v>
      </c>
      <c r="J10" s="61">
        <f t="shared" si="0"/>
        <v>0.99770527786091989</v>
      </c>
      <c r="K10" s="61">
        <f t="shared" si="1"/>
        <v>0.23000000000000398</v>
      </c>
      <c r="L10" s="60" t="s">
        <v>67</v>
      </c>
      <c r="M10" s="62" t="s">
        <v>216</v>
      </c>
      <c r="O10" s="214" t="s">
        <v>2418</v>
      </c>
      <c r="P10" s="64" t="s">
        <v>70</v>
      </c>
      <c r="Q10" s="64">
        <v>4847.24</v>
      </c>
      <c r="R10" s="64">
        <v>3948.51</v>
      </c>
      <c r="S10" s="77" t="s">
        <v>244</v>
      </c>
      <c r="T10" s="77">
        <v>841.25</v>
      </c>
      <c r="U10" s="86">
        <v>0.93140000000000001</v>
      </c>
      <c r="V10" s="86">
        <v>0.92989999999999995</v>
      </c>
      <c r="W10" s="60" t="s">
        <v>67</v>
      </c>
      <c r="X10" s="62" t="s">
        <v>216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216</v>
      </c>
      <c r="O11" s="63"/>
      <c r="P11" s="64" t="s">
        <v>70</v>
      </c>
      <c r="Q11" s="64"/>
      <c r="R11" s="64"/>
      <c r="S11" s="77" t="s">
        <v>244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244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1" t="s">
        <v>25</v>
      </c>
      <c r="D21" s="221"/>
      <c r="E21" s="221"/>
      <c r="F21" s="221"/>
      <c r="G21" s="221"/>
      <c r="H21" s="221"/>
      <c r="I21" s="45">
        <f>COUNT(B8:B20)</f>
        <v>3</v>
      </c>
      <c r="J21" s="46"/>
      <c r="K21" s="46"/>
      <c r="L21" s="47"/>
      <c r="M21" s="48"/>
      <c r="O21" s="80"/>
      <c r="P21" s="223" t="s">
        <v>84</v>
      </c>
      <c r="Q21" s="223"/>
      <c r="R21" s="223"/>
      <c r="S21" s="223"/>
      <c r="T21" s="81">
        <f>COUNT(O8:O20)</f>
        <v>2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0" t="s">
        <v>2</v>
      </c>
      <c r="H24" s="220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45383.518750000003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201.1</v>
      </c>
      <c r="I27" s="60">
        <v>0</v>
      </c>
      <c r="J27" s="61">
        <f>F27/H27</f>
        <v>0.9945300845350572</v>
      </c>
      <c r="K27" s="61">
        <f>(H27-F27)*100/F27</f>
        <v>0.54999999999999716</v>
      </c>
      <c r="L27" s="60" t="s">
        <v>67</v>
      </c>
      <c r="M27" s="78" t="s">
        <v>216</v>
      </c>
      <c r="O27" s="63">
        <v>45383.465277777781</v>
      </c>
      <c r="P27" s="64" t="s">
        <v>71</v>
      </c>
      <c r="Q27" s="64">
        <v>5719.73</v>
      </c>
      <c r="R27" s="64">
        <v>4583.8100000000004</v>
      </c>
      <c r="S27" s="77" t="s">
        <v>245</v>
      </c>
      <c r="T27" s="77">
        <v>852.13</v>
      </c>
      <c r="U27" s="86">
        <v>0.94230000000000003</v>
      </c>
      <c r="V27" s="86">
        <v>0.94079999999999997</v>
      </c>
      <c r="W27" s="60" t="s">
        <v>67</v>
      </c>
      <c r="X27" s="78" t="s">
        <v>216</v>
      </c>
    </row>
    <row r="28" spans="2:24" s="24" customFormat="1" ht="15.75" x14ac:dyDescent="0.25">
      <c r="B28" s="63">
        <v>45391.513888888891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202.23</v>
      </c>
      <c r="I28" s="60">
        <v>0</v>
      </c>
      <c r="J28" s="61">
        <f t="shared" ref="J28:J33" si="2">F28/H28</f>
        <v>0.98897295158977405</v>
      </c>
      <c r="K28" s="61">
        <f t="shared" ref="K28:K33" si="3">(H28-F28)*100/F28</f>
        <v>1.1149999999999949</v>
      </c>
      <c r="L28" s="60" t="s">
        <v>67</v>
      </c>
      <c r="M28" s="62" t="s">
        <v>240</v>
      </c>
      <c r="O28" s="63">
        <v>45391.472916666666</v>
      </c>
      <c r="P28" s="64" t="s">
        <v>71</v>
      </c>
      <c r="Q28" s="64">
        <v>5824.75</v>
      </c>
      <c r="R28" s="64">
        <v>4475.8599999999997</v>
      </c>
      <c r="S28" s="77" t="s">
        <v>245</v>
      </c>
      <c r="T28" s="77">
        <v>853.05</v>
      </c>
      <c r="U28" s="86">
        <v>0.95420000000000005</v>
      </c>
      <c r="V28" s="86">
        <v>0.94740000000000002</v>
      </c>
      <c r="W28" s="60" t="s">
        <v>67</v>
      </c>
      <c r="X28" s="62" t="s">
        <v>216</v>
      </c>
    </row>
    <row r="29" spans="2:24" s="24" customFormat="1" ht="15.75" x14ac:dyDescent="0.25">
      <c r="B29" s="214" t="s">
        <v>2420</v>
      </c>
      <c r="C29" s="60" t="s">
        <v>68</v>
      </c>
      <c r="D29" s="60" t="s">
        <v>51</v>
      </c>
      <c r="E29" s="60">
        <v>0</v>
      </c>
      <c r="F29" s="60">
        <v>200</v>
      </c>
      <c r="G29" s="60"/>
      <c r="H29" s="61">
        <v>201.25</v>
      </c>
      <c r="I29" s="60">
        <v>0</v>
      </c>
      <c r="J29" s="61">
        <f t="shared" si="2"/>
        <v>0.99378881987577639</v>
      </c>
      <c r="K29" s="61">
        <f t="shared" si="3"/>
        <v>0.625</v>
      </c>
      <c r="L29" s="60" t="s">
        <v>67</v>
      </c>
      <c r="M29" s="62" t="s">
        <v>241</v>
      </c>
      <c r="O29" s="214" t="s">
        <v>2418</v>
      </c>
      <c r="P29" s="64" t="s">
        <v>71</v>
      </c>
      <c r="Q29" s="64">
        <v>5765.23</v>
      </c>
      <c r="R29" s="64">
        <v>4824.24</v>
      </c>
      <c r="S29" s="77" t="s">
        <v>245</v>
      </c>
      <c r="T29" s="77">
        <v>841.15</v>
      </c>
      <c r="U29" s="86">
        <v>0.94320000000000004</v>
      </c>
      <c r="V29" s="86">
        <v>0.94099999999999995</v>
      </c>
      <c r="W29" s="60" t="s">
        <v>67</v>
      </c>
      <c r="X29" s="62" t="s">
        <v>216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241</v>
      </c>
      <c r="O30" s="63"/>
      <c r="P30" s="64" t="s">
        <v>71</v>
      </c>
      <c r="Q30" s="64"/>
      <c r="R30" s="64"/>
      <c r="S30" s="77" t="s">
        <v>245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3" t="s">
        <v>85</v>
      </c>
      <c r="Q40" s="223"/>
      <c r="R40" s="223"/>
      <c r="S40" s="223"/>
      <c r="T40" s="81">
        <f>COUNT(O27:O39)</f>
        <v>2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1" t="s">
        <v>26</v>
      </c>
      <c r="E41" s="221"/>
      <c r="F41" s="221"/>
      <c r="G41" s="221"/>
      <c r="H41" s="221"/>
      <c r="I41" s="221"/>
      <c r="J41" s="52">
        <f>COUNT(B27:B39)</f>
        <v>2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0" t="s">
        <v>23</v>
      </c>
      <c r="H44" s="220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240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1" t="s">
        <v>27</v>
      </c>
      <c r="E61" s="221"/>
      <c r="F61" s="221"/>
      <c r="G61" s="221"/>
      <c r="H61" s="221"/>
      <c r="I61" s="221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0" t="s">
        <v>3</v>
      </c>
      <c r="H64" s="220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45383.543749999997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4.97</v>
      </c>
      <c r="I67" s="60">
        <v>0</v>
      </c>
      <c r="J67" s="61">
        <f>F67/H67</f>
        <v>1.0060362173038231</v>
      </c>
      <c r="K67" s="61">
        <f>(H67-F67)*100/F67</f>
        <v>-0.60000000000000497</v>
      </c>
      <c r="L67" s="60" t="s">
        <v>67</v>
      </c>
      <c r="M67" s="78" t="s">
        <v>240</v>
      </c>
    </row>
    <row r="68" spans="2:13" ht="15.75" x14ac:dyDescent="0.25">
      <c r="B68" s="63">
        <v>45391.556250000001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4.96</v>
      </c>
      <c r="I68" s="60">
        <v>0</v>
      </c>
      <c r="J68" s="61">
        <f t="shared" ref="J68:J73" si="4">F68/H68</f>
        <v>1.0080645161290323</v>
      </c>
      <c r="K68" s="61">
        <f t="shared" ref="K68:K73" si="5">(H68-F68)*100/F68</f>
        <v>-0.80000000000000071</v>
      </c>
      <c r="L68" s="60" t="s">
        <v>67</v>
      </c>
      <c r="M68" s="62" t="s">
        <v>241</v>
      </c>
    </row>
    <row r="69" spans="2:13" ht="15.75" x14ac:dyDescent="0.25">
      <c r="B69" s="63">
        <v>45405.591666666667</v>
      </c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>
        <v>5.1429999999999998</v>
      </c>
      <c r="I69" s="60">
        <v>0</v>
      </c>
      <c r="J69" s="61">
        <f t="shared" si="4"/>
        <v>0.97219521679953336</v>
      </c>
      <c r="K69" s="61">
        <f t="shared" si="5"/>
        <v>2.8599999999999959</v>
      </c>
      <c r="L69" s="60" t="s">
        <v>67</v>
      </c>
      <c r="M69" s="62" t="s">
        <v>241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241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1" t="s">
        <v>28</v>
      </c>
      <c r="E81" s="221"/>
      <c r="F81" s="221"/>
      <c r="G81" s="221"/>
      <c r="H81" s="221"/>
      <c r="I81" s="221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0" t="s">
        <v>24</v>
      </c>
      <c r="H84" s="220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1" t="s">
        <v>29</v>
      </c>
      <c r="E101" s="221"/>
      <c r="F101" s="221"/>
      <c r="G101" s="221"/>
      <c r="H101" s="221"/>
      <c r="I101" s="221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2" t="s">
        <v>4</v>
      </c>
      <c r="H104" s="222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45391.680555555555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324.32</v>
      </c>
      <c r="I107" s="60">
        <f>G107-E107</f>
        <v>0</v>
      </c>
      <c r="J107" s="61">
        <f>F107/H107</f>
        <v>0.98667982239763197</v>
      </c>
      <c r="K107" s="61">
        <f>(H107-F107)*100/F107</f>
        <v>1.3499999999999979</v>
      </c>
      <c r="L107" s="60" t="s">
        <v>67</v>
      </c>
      <c r="M107" s="62" t="s">
        <v>240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241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241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241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1" t="s">
        <v>69</v>
      </c>
      <c r="D119" s="221"/>
      <c r="E119" s="221"/>
      <c r="F119" s="221"/>
      <c r="G119" s="221"/>
      <c r="H119" s="221"/>
      <c r="I119" s="52">
        <f>COUNT(B107:B118)</f>
        <v>1</v>
      </c>
      <c r="J119" s="46"/>
      <c r="K119" s="46"/>
      <c r="L119" s="47"/>
      <c r="M119" s="48"/>
    </row>
  </sheetData>
  <mergeCells count="15">
    <mergeCell ref="C119:H119"/>
    <mergeCell ref="G64:H64"/>
    <mergeCell ref="D81:I81"/>
    <mergeCell ref="G84:H84"/>
    <mergeCell ref="D101:I101"/>
    <mergeCell ref="G104:H104"/>
    <mergeCell ref="D61:I61"/>
    <mergeCell ref="P21:S21"/>
    <mergeCell ref="P40:S40"/>
    <mergeCell ref="D41:I4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D4" sqref="D4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4" t="s">
        <v>243</v>
      </c>
      <c r="C2" s="224"/>
      <c r="D2" s="225">
        <v>45017</v>
      </c>
      <c r="E2" s="225"/>
    </row>
    <row r="3" spans="1:5" x14ac:dyDescent="0.25">
      <c r="B3" s="224" t="s">
        <v>21</v>
      </c>
      <c r="C3" s="224"/>
      <c r="D3" s="225"/>
      <c r="E3" s="225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6" t="s">
        <v>22</v>
      </c>
      <c r="C44" s="226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27" t="s">
        <v>220</v>
      </c>
      <c r="C2" s="227"/>
      <c r="D2" s="227"/>
      <c r="E2" s="227"/>
      <c r="F2" s="228">
        <v>44713</v>
      </c>
      <c r="G2" s="229"/>
      <c r="H2" s="229"/>
    </row>
    <row r="3" spans="2:24" s="12" customFormat="1" ht="15" customHeight="1" x14ac:dyDescent="0.25">
      <c r="B3" s="227"/>
      <c r="C3" s="227"/>
      <c r="D3" s="227"/>
      <c r="E3" s="227"/>
      <c r="F3" s="229"/>
      <c r="G3" s="229"/>
      <c r="H3" s="229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0" t="s">
        <v>4</v>
      </c>
      <c r="C12" s="232" t="s">
        <v>133</v>
      </c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127"/>
      <c r="U12" s="125"/>
    </row>
    <row r="13" spans="2:24" ht="15" customHeight="1" x14ac:dyDescent="0.25">
      <c r="B13" s="231"/>
      <c r="C13" s="128" t="s">
        <v>78</v>
      </c>
      <c r="D13" s="129" t="s">
        <v>83</v>
      </c>
      <c r="E13" s="129" t="s">
        <v>134</v>
      </c>
      <c r="F13" s="129" t="s">
        <v>217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31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1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31"/>
      <c r="C16" s="195">
        <v>2425504512</v>
      </c>
      <c r="D16" s="195">
        <v>2513962496</v>
      </c>
      <c r="E16" s="60">
        <v>1445.7</v>
      </c>
      <c r="F16" s="60" t="s">
        <v>218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218</v>
      </c>
      <c r="L16" s="60" t="s">
        <v>219</v>
      </c>
      <c r="M16" s="60">
        <v>485</v>
      </c>
      <c r="N16" s="60" t="s">
        <v>219</v>
      </c>
      <c r="O16" s="60">
        <v>30</v>
      </c>
      <c r="P16" s="60">
        <v>49.5</v>
      </c>
      <c r="Q16" s="60">
        <v>50</v>
      </c>
      <c r="R16" s="150" t="s">
        <v>216</v>
      </c>
      <c r="X16" s="11"/>
    </row>
    <row r="17" spans="2:28" ht="15.75" customHeight="1" x14ac:dyDescent="0.25">
      <c r="B17" s="231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1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4" t="s">
        <v>2</v>
      </c>
      <c r="C25" s="236" t="s">
        <v>133</v>
      </c>
      <c r="D25" s="237"/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O25" s="237"/>
      <c r="P25" s="237"/>
      <c r="Q25" s="237"/>
      <c r="R25" s="238"/>
      <c r="S25" s="188"/>
      <c r="T25" s="189"/>
    </row>
    <row r="26" spans="2:28" ht="15" customHeight="1" x14ac:dyDescent="0.3">
      <c r="B26" s="234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4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4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5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2" t="s">
        <v>3</v>
      </c>
      <c r="C36" s="244" t="s">
        <v>133</v>
      </c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  <c r="O36" s="245"/>
    </row>
    <row r="37" spans="2:25" ht="15.75" customHeight="1" x14ac:dyDescent="0.25">
      <c r="B37" s="243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3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3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3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46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47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47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47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47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4" t="s">
        <v>184</v>
      </c>
      <c r="C61" s="236" t="s">
        <v>133</v>
      </c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7"/>
      <c r="R61" s="238"/>
      <c r="S61" s="166"/>
      <c r="T61" s="167"/>
    </row>
    <row r="62" spans="2:20" ht="15.75" x14ac:dyDescent="0.3">
      <c r="B62" s="234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48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48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5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4" t="s">
        <v>201</v>
      </c>
      <c r="C69" s="236" t="s">
        <v>133</v>
      </c>
      <c r="D69" s="237"/>
      <c r="E69" s="237"/>
      <c r="F69" s="237"/>
      <c r="G69" s="237"/>
      <c r="H69" s="237"/>
      <c r="I69" s="237"/>
      <c r="J69" s="237"/>
      <c r="K69" s="237"/>
      <c r="L69" s="237"/>
      <c r="M69" s="237"/>
      <c r="N69" s="237"/>
      <c r="O69" s="237"/>
      <c r="P69" s="237"/>
      <c r="Q69" s="237"/>
      <c r="R69" s="238"/>
      <c r="S69" s="166"/>
      <c r="T69" s="167"/>
    </row>
    <row r="70" spans="2:20" ht="15.75" x14ac:dyDescent="0.3">
      <c r="B70" s="234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4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48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5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39" t="s">
        <v>24</v>
      </c>
      <c r="C77" s="238" t="s">
        <v>133</v>
      </c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241"/>
      <c r="Q77" s="241"/>
      <c r="R77" s="177"/>
      <c r="S77" s="177"/>
      <c r="T77" s="178"/>
    </row>
    <row r="78" spans="2:20" x14ac:dyDescent="0.25">
      <c r="B78" s="240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40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0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4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40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0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2024-08-28T13:21:51Z</dcterms:modified>
</cp:coreProperties>
</file>