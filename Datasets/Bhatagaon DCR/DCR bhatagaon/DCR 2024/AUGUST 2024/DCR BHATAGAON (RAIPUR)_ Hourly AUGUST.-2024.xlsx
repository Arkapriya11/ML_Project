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0" sheetId="39" r:id="rId32"/>
  </sheets>
  <calcPr calcId="144525"/>
</workbook>
</file>

<file path=xl/calcChain.xml><?xml version="1.0" encoding="utf-8"?>
<calcChain xmlns="http://schemas.openxmlformats.org/spreadsheetml/2006/main">
  <c r="D45" i="39" l="1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C45" i="39"/>
  <c r="C39" i="39"/>
  <c r="D34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A39" i="39"/>
  <c r="N17" i="39"/>
  <c r="O17" i="39"/>
  <c r="P17" i="39"/>
  <c r="P15" i="39"/>
  <c r="O15" i="39"/>
  <c r="N15" i="39"/>
  <c r="H38" i="41"/>
  <c r="G38" i="41"/>
  <c r="Q38" i="42"/>
  <c r="Q40" i="42" s="1"/>
  <c r="P38" i="42"/>
  <c r="P40" i="42" s="1"/>
  <c r="O38" i="42"/>
  <c r="O39" i="42" s="1"/>
  <c r="N38" i="42"/>
  <c r="N40" i="42" s="1"/>
  <c r="M38" i="42"/>
  <c r="M39" i="42" s="1"/>
  <c r="L38" i="42"/>
  <c r="L40" i="42" s="1"/>
  <c r="K38" i="42"/>
  <c r="K40" i="42" s="1"/>
  <c r="J38" i="42"/>
  <c r="J39" i="42" s="1"/>
  <c r="I38" i="42"/>
  <c r="I40" i="42" s="1"/>
  <c r="H38" i="42"/>
  <c r="H40" i="42" s="1"/>
  <c r="G38" i="42"/>
  <c r="G40" i="42" s="1"/>
  <c r="F38" i="42"/>
  <c r="F40" i="42" s="1"/>
  <c r="E38" i="42"/>
  <c r="E40" i="42" s="1"/>
  <c r="D38" i="42"/>
  <c r="D40" i="42" s="1"/>
  <c r="C38" i="42"/>
  <c r="C40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H38" i="40"/>
  <c r="G38" i="40"/>
  <c r="H38" i="31"/>
  <c r="G38" i="31"/>
  <c r="H38" i="29"/>
  <c r="G38" i="29"/>
  <c r="O38" i="27"/>
  <c r="H38" i="26"/>
  <c r="H38" i="25"/>
  <c r="G38" i="24"/>
  <c r="H38" i="24"/>
  <c r="H38" i="17"/>
  <c r="G38" i="17"/>
  <c r="H38" i="8"/>
  <c r="G38" i="8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B38" i="3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B38" i="2"/>
  <c r="J40" i="42" l="1"/>
  <c r="K39" i="42"/>
  <c r="L39" i="42"/>
  <c r="M40" i="42"/>
  <c r="O40" i="42"/>
  <c r="P39" i="42"/>
  <c r="Q39" i="42"/>
  <c r="B39" i="42"/>
  <c r="G39" i="42"/>
  <c r="C39" i="42"/>
  <c r="D39" i="42"/>
  <c r="E39" i="42"/>
  <c r="F39" i="42"/>
  <c r="H39" i="42"/>
  <c r="I39" i="42"/>
  <c r="N39" i="42"/>
  <c r="B2" i="20"/>
  <c r="D38" i="39"/>
  <c r="C38" i="39"/>
  <c r="K37" i="39"/>
  <c r="F37" i="39"/>
  <c r="D37" i="39"/>
  <c r="C37" i="39"/>
  <c r="E36" i="39"/>
  <c r="F35" i="39"/>
  <c r="H34" i="39"/>
  <c r="I33" i="39"/>
  <c r="H33" i="39"/>
  <c r="I32" i="39"/>
  <c r="D32" i="39"/>
  <c r="B32" i="39"/>
  <c r="J31" i="39"/>
  <c r="K30" i="39"/>
  <c r="M29" i="39"/>
  <c r="L29" i="39"/>
  <c r="N28" i="39"/>
  <c r="M28" i="39"/>
  <c r="N27" i="39"/>
  <c r="Q26" i="39"/>
  <c r="O26" i="39"/>
  <c r="N26" i="39"/>
  <c r="I26" i="39"/>
  <c r="F26" i="39"/>
  <c r="A26" i="39"/>
  <c r="P25" i="39"/>
  <c r="J25" i="39"/>
  <c r="B25" i="39"/>
  <c r="A23" i="39"/>
  <c r="O21" i="39"/>
  <c r="N21" i="39"/>
  <c r="M21" i="39"/>
  <c r="F21" i="39"/>
  <c r="D21" i="39"/>
  <c r="L20" i="39"/>
  <c r="E20" i="39"/>
  <c r="D20" i="39"/>
  <c r="F19" i="39"/>
  <c r="I18" i="39"/>
  <c r="G18" i="39"/>
  <c r="Q17" i="39"/>
  <c r="H17" i="39"/>
  <c r="G17" i="39"/>
  <c r="C17" i="39"/>
  <c r="I16" i="39"/>
  <c r="C16" i="39"/>
  <c r="J15" i="39"/>
  <c r="M13" i="39"/>
  <c r="L13" i="39"/>
  <c r="O12" i="39"/>
  <c r="M12" i="39"/>
  <c r="G12" i="39"/>
  <c r="N11" i="39"/>
  <c r="A10" i="39"/>
  <c r="B40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40" i="41"/>
  <c r="G40" i="41"/>
  <c r="F38" i="41"/>
  <c r="F40" i="41" s="1"/>
  <c r="E38" i="41"/>
  <c r="E40" i="41" s="1"/>
  <c r="D38" i="41"/>
  <c r="D40" i="41" s="1"/>
  <c r="C38" i="41"/>
  <c r="C40" i="41" s="1"/>
  <c r="B38" i="41"/>
  <c r="B39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B39" i="39" s="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O40" i="40"/>
  <c r="Q38" i="40"/>
  <c r="Q40" i="40" s="1"/>
  <c r="P38" i="40"/>
  <c r="P40" i="40" s="1"/>
  <c r="O38" i="40"/>
  <c r="O39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40" i="40"/>
  <c r="G40" i="40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J36" i="40"/>
  <c r="J37" i="39" s="1"/>
  <c r="I36" i="40"/>
  <c r="I37" i="39" s="1"/>
  <c r="H36" i="40"/>
  <c r="H37" i="39" s="1"/>
  <c r="G36" i="40"/>
  <c r="G37" i="39" s="1"/>
  <c r="F36" i="40"/>
  <c r="E36" i="40"/>
  <c r="E37" i="39" s="1"/>
  <c r="D36" i="40"/>
  <c r="C36" i="40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P40" i="33"/>
  <c r="Q38" i="33"/>
  <c r="Q40" i="33" s="1"/>
  <c r="P38" i="33"/>
  <c r="P39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9" i="32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40" i="31"/>
  <c r="G40" i="3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G36" i="31"/>
  <c r="G34" i="39" s="1"/>
  <c r="F36" i="31"/>
  <c r="F34" i="39" s="1"/>
  <c r="E36" i="31"/>
  <c r="E34" i="39" s="1"/>
  <c r="D36" i="3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39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Q38" i="29"/>
  <c r="Q39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40" i="29"/>
  <c r="G40" i="29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H36" i="29"/>
  <c r="H32" i="39" s="1"/>
  <c r="G36" i="29"/>
  <c r="G32" i="39" s="1"/>
  <c r="F36" i="29"/>
  <c r="F32" i="39" s="1"/>
  <c r="E36" i="29"/>
  <c r="E32" i="39" s="1"/>
  <c r="D36" i="29"/>
  <c r="C36" i="29"/>
  <c r="C32" i="39" s="1"/>
  <c r="B36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I36" i="28"/>
  <c r="I31" i="39" s="1"/>
  <c r="H36" i="28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40" i="27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39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N36" i="27"/>
  <c r="N30" i="39" s="1"/>
  <c r="M36" i="27"/>
  <c r="M30" i="39" s="1"/>
  <c r="L36" i="27"/>
  <c r="L30" i="39" s="1"/>
  <c r="K36" i="27"/>
  <c r="J36" i="27"/>
  <c r="J30" i="39" s="1"/>
  <c r="I36" i="27"/>
  <c r="I30" i="39" s="1"/>
  <c r="H36" i="27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40" i="26"/>
  <c r="G38" i="26"/>
  <c r="G40" i="26" s="1"/>
  <c r="F38" i="26"/>
  <c r="F40" i="26" s="1"/>
  <c r="E38" i="26"/>
  <c r="E40" i="26" s="1"/>
  <c r="D38" i="26"/>
  <c r="D39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N36" i="26"/>
  <c r="N29" i="39" s="1"/>
  <c r="M36" i="26"/>
  <c r="L36" i="26"/>
  <c r="K36" i="26"/>
  <c r="K29" i="39" s="1"/>
  <c r="J36" i="26"/>
  <c r="J29" i="39" s="1"/>
  <c r="I36" i="26"/>
  <c r="I29" i="39" s="1"/>
  <c r="H36" i="26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40" i="25"/>
  <c r="G38" i="25"/>
  <c r="G40" i="25" s="1"/>
  <c r="F38" i="25"/>
  <c r="F40" i="25" s="1"/>
  <c r="E38" i="25"/>
  <c r="E40" i="25" s="1"/>
  <c r="D38" i="25"/>
  <c r="D39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M36" i="25"/>
  <c r="L36" i="25"/>
  <c r="L28" i="39" s="1"/>
  <c r="K36" i="25"/>
  <c r="K28" i="39" s="1"/>
  <c r="J36" i="25"/>
  <c r="J28" i="39" s="1"/>
  <c r="I36" i="25"/>
  <c r="I28" i="39" s="1"/>
  <c r="H36" i="25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40" i="24"/>
  <c r="G40" i="24"/>
  <c r="F38" i="24"/>
  <c r="F40" i="24" s="1"/>
  <c r="E38" i="24"/>
  <c r="E40" i="24" s="1"/>
  <c r="D38" i="24"/>
  <c r="D39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P36" i="23"/>
  <c r="P26" i="39" s="1"/>
  <c r="O36" i="23"/>
  <c r="N36" i="23"/>
  <c r="M36" i="23"/>
  <c r="M26" i="39" s="1"/>
  <c r="L36" i="23"/>
  <c r="L26" i="39" s="1"/>
  <c r="K36" i="23"/>
  <c r="K26" i="39" s="1"/>
  <c r="J36" i="23"/>
  <c r="J26" i="39" s="1"/>
  <c r="I36" i="23"/>
  <c r="H36" i="23"/>
  <c r="H26" i="39" s="1"/>
  <c r="G36" i="23"/>
  <c r="G26" i="39" s="1"/>
  <c r="F36" i="23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Q38" i="22"/>
  <c r="Q40" i="22" s="1"/>
  <c r="P38" i="22"/>
  <c r="P40" i="22" s="1"/>
  <c r="O38" i="22"/>
  <c r="O39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39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N36" i="18"/>
  <c r="M36" i="18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E36" i="18"/>
  <c r="E21" i="39" s="1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40" i="17"/>
  <c r="G40" i="17"/>
  <c r="F38" i="17"/>
  <c r="F39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D36" i="17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B40" i="15"/>
  <c r="B39" i="15"/>
  <c r="Q38" i="15"/>
  <c r="Q40" i="15" s="1"/>
  <c r="P38" i="15"/>
  <c r="P39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39" i="14" s="1"/>
  <c r="J38" i="14"/>
  <c r="J40" i="14" s="1"/>
  <c r="I38" i="14"/>
  <c r="I40" i="14" s="1"/>
  <c r="H38" i="14"/>
  <c r="H40" i="14" s="1"/>
  <c r="G38" i="14"/>
  <c r="G40" i="14" s="1"/>
  <c r="F38" i="14"/>
  <c r="F39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G36" i="14"/>
  <c r="F36" i="14"/>
  <c r="F17" i="39" s="1"/>
  <c r="E36" i="14"/>
  <c r="E17" i="39" s="1"/>
  <c r="D36" i="14"/>
  <c r="D17" i="39" s="1"/>
  <c r="C36" i="14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39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39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K39" i="11"/>
  <c r="Q38" i="11"/>
  <c r="Q40" i="11" s="1"/>
  <c r="P38" i="11"/>
  <c r="P40" i="11" s="1"/>
  <c r="O38" i="11"/>
  <c r="O40" i="11" s="1"/>
  <c r="N38" i="11"/>
  <c r="N40" i="11" s="1"/>
  <c r="M38" i="11"/>
  <c r="M39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L39" i="9"/>
  <c r="D39" i="9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39" i="9" s="1"/>
  <c r="I38" i="9"/>
  <c r="I40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40" i="8"/>
  <c r="G40" i="8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40" i="3"/>
  <c r="P40" i="3"/>
  <c r="O40" i="3"/>
  <c r="N39" i="3"/>
  <c r="M40" i="3"/>
  <c r="L39" i="3"/>
  <c r="K40" i="3"/>
  <c r="J40" i="3"/>
  <c r="I40" i="3"/>
  <c r="H40" i="3"/>
  <c r="G40" i="3"/>
  <c r="F39" i="3"/>
  <c r="E40" i="3"/>
  <c r="D40" i="3"/>
  <c r="C39" i="3"/>
  <c r="B40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L40" i="2"/>
  <c r="Q40" i="2"/>
  <c r="P40" i="2"/>
  <c r="O40" i="2"/>
  <c r="N40" i="2"/>
  <c r="M39" i="2"/>
  <c r="L39" i="2"/>
  <c r="K40" i="2"/>
  <c r="J40" i="2"/>
  <c r="I40" i="2"/>
  <c r="H40" i="2"/>
  <c r="G40" i="2"/>
  <c r="F40" i="2"/>
  <c r="E40" i="2"/>
  <c r="D40" i="2"/>
  <c r="C39" i="2"/>
  <c r="B40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39" i="41" l="1"/>
  <c r="D39" i="41"/>
  <c r="E39" i="41"/>
  <c r="Q39" i="41"/>
  <c r="F39" i="41"/>
  <c r="G39" i="41"/>
  <c r="H39" i="41"/>
  <c r="I39" i="41"/>
  <c r="J39" i="41"/>
  <c r="K39" i="41"/>
  <c r="L39" i="41"/>
  <c r="M39" i="41"/>
  <c r="N39" i="41"/>
  <c r="O39" i="41"/>
  <c r="A38" i="39"/>
  <c r="P39" i="41"/>
  <c r="P39" i="40"/>
  <c r="Q39" i="40"/>
  <c r="B39" i="40"/>
  <c r="C39" i="40"/>
  <c r="D39" i="40"/>
  <c r="E39" i="40"/>
  <c r="F39" i="40"/>
  <c r="G39" i="40"/>
  <c r="H39" i="40"/>
  <c r="I39" i="40"/>
  <c r="J39" i="40"/>
  <c r="K39" i="40"/>
  <c r="L39" i="40"/>
  <c r="M39" i="40"/>
  <c r="N39" i="40"/>
  <c r="Q39" i="33"/>
  <c r="B39" i="33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B39" i="32"/>
  <c r="C39" i="32"/>
  <c r="D39" i="32"/>
  <c r="E39" i="32"/>
  <c r="F39" i="32"/>
  <c r="G39" i="32"/>
  <c r="H39" i="32"/>
  <c r="I39" i="32"/>
  <c r="J39" i="32"/>
  <c r="K39" i="32"/>
  <c r="L39" i="32"/>
  <c r="M39" i="32"/>
  <c r="N39" i="32"/>
  <c r="O39" i="32"/>
  <c r="P39" i="32"/>
  <c r="D39" i="31"/>
  <c r="C39" i="31"/>
  <c r="E39" i="31"/>
  <c r="B39" i="31"/>
  <c r="F39" i="31"/>
  <c r="G39" i="31"/>
  <c r="H39" i="31"/>
  <c r="I39" i="31"/>
  <c r="J39" i="31"/>
  <c r="K39" i="31"/>
  <c r="L39" i="31"/>
  <c r="M39" i="31"/>
  <c r="N39" i="31"/>
  <c r="O39" i="31"/>
  <c r="P39" i="31"/>
  <c r="Q39" i="31"/>
  <c r="D39" i="30"/>
  <c r="E39" i="30"/>
  <c r="F39" i="30"/>
  <c r="G39" i="30"/>
  <c r="H39" i="30"/>
  <c r="C40" i="30"/>
  <c r="I39" i="30"/>
  <c r="J39" i="30"/>
  <c r="K39" i="30"/>
  <c r="B39" i="30"/>
  <c r="L39" i="30"/>
  <c r="M39" i="30"/>
  <c r="N39" i="30"/>
  <c r="O39" i="30"/>
  <c r="P39" i="30"/>
  <c r="Q39" i="30"/>
  <c r="Q40" i="29"/>
  <c r="B39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B39" i="28"/>
  <c r="C39" i="28"/>
  <c r="D39" i="28"/>
  <c r="E39" i="28"/>
  <c r="F39" i="28"/>
  <c r="G39" i="28"/>
  <c r="H39" i="28"/>
  <c r="I39" i="28"/>
  <c r="J39" i="28"/>
  <c r="K39" i="28"/>
  <c r="L39" i="28"/>
  <c r="M39" i="28"/>
  <c r="N39" i="28"/>
  <c r="O39" i="28"/>
  <c r="P39" i="28"/>
  <c r="Q39" i="28"/>
  <c r="D39" i="27"/>
  <c r="E39" i="27"/>
  <c r="F39" i="27"/>
  <c r="G39" i="27"/>
  <c r="H39" i="27"/>
  <c r="I39" i="27"/>
  <c r="J39" i="27"/>
  <c r="K39" i="27"/>
  <c r="L39" i="27"/>
  <c r="C40" i="27"/>
  <c r="M39" i="27"/>
  <c r="N39" i="27"/>
  <c r="O39" i="27"/>
  <c r="P39" i="27"/>
  <c r="Q39" i="27"/>
  <c r="B39" i="27"/>
  <c r="D40" i="26"/>
  <c r="E39" i="26"/>
  <c r="F39" i="26"/>
  <c r="G39" i="26"/>
  <c r="H39" i="26"/>
  <c r="I39" i="26"/>
  <c r="J39" i="26"/>
  <c r="K39" i="26"/>
  <c r="L39" i="26"/>
  <c r="M39" i="26"/>
  <c r="C39" i="26"/>
  <c r="N39" i="26"/>
  <c r="O39" i="26"/>
  <c r="P39" i="26"/>
  <c r="Q39" i="26"/>
  <c r="B39" i="26"/>
  <c r="C39" i="25"/>
  <c r="F39" i="25"/>
  <c r="G39" i="25"/>
  <c r="H39" i="25"/>
  <c r="I39" i="25"/>
  <c r="E39" i="25"/>
  <c r="J39" i="25"/>
  <c r="K39" i="25"/>
  <c r="L39" i="25"/>
  <c r="M39" i="25"/>
  <c r="D40" i="25"/>
  <c r="N39" i="25"/>
  <c r="O39" i="25"/>
  <c r="P39" i="25"/>
  <c r="Q39" i="25"/>
  <c r="B39" i="25"/>
  <c r="E39" i="24"/>
  <c r="F39" i="24"/>
  <c r="G39" i="24"/>
  <c r="H39" i="24"/>
  <c r="I39" i="24"/>
  <c r="D40" i="24"/>
  <c r="J39" i="24"/>
  <c r="K39" i="24"/>
  <c r="L39" i="24"/>
  <c r="M39" i="24"/>
  <c r="N39" i="24"/>
  <c r="O39" i="24"/>
  <c r="P39" i="24"/>
  <c r="Q39" i="24"/>
  <c r="B39" i="24"/>
  <c r="C39" i="24"/>
  <c r="P39" i="23"/>
  <c r="Q39" i="23"/>
  <c r="B39" i="23"/>
  <c r="C39" i="23"/>
  <c r="D39" i="23"/>
  <c r="E39" i="23"/>
  <c r="F39" i="23"/>
  <c r="G39" i="23"/>
  <c r="H39" i="23"/>
  <c r="I39" i="23"/>
  <c r="J39" i="23"/>
  <c r="K39" i="23"/>
  <c r="L39" i="23"/>
  <c r="M39" i="23"/>
  <c r="N39" i="23"/>
  <c r="O39" i="23"/>
  <c r="O40" i="22"/>
  <c r="P39" i="22"/>
  <c r="Q39" i="22"/>
  <c r="B39" i="22"/>
  <c r="C39" i="22"/>
  <c r="D39" i="22"/>
  <c r="E39" i="22"/>
  <c r="F39" i="22"/>
  <c r="G39" i="22"/>
  <c r="H39" i="22"/>
  <c r="I39" i="22"/>
  <c r="J39" i="22"/>
  <c r="K39" i="22"/>
  <c r="L39" i="22"/>
  <c r="M39" i="22"/>
  <c r="N39" i="22"/>
  <c r="Q39" i="21"/>
  <c r="B39" i="21"/>
  <c r="D39" i="21"/>
  <c r="E39" i="21"/>
  <c r="C39" i="21"/>
  <c r="F39" i="21"/>
  <c r="G39" i="21"/>
  <c r="H39" i="21"/>
  <c r="I39" i="21"/>
  <c r="J39" i="21"/>
  <c r="L39" i="21"/>
  <c r="M39" i="21"/>
  <c r="K40" i="21"/>
  <c r="N39" i="21"/>
  <c r="O39" i="21"/>
  <c r="P39" i="21"/>
  <c r="C39" i="20"/>
  <c r="D39" i="20"/>
  <c r="E39" i="20"/>
  <c r="F39" i="20"/>
  <c r="G39" i="20"/>
  <c r="H39" i="20"/>
  <c r="I39" i="20"/>
  <c r="J39" i="20"/>
  <c r="K39" i="20"/>
  <c r="B39" i="20"/>
  <c r="L39" i="20"/>
  <c r="M39" i="20"/>
  <c r="N39" i="20"/>
  <c r="O39" i="20"/>
  <c r="P39" i="20"/>
  <c r="Q39" i="20"/>
  <c r="D39" i="19"/>
  <c r="E39" i="19"/>
  <c r="F39" i="19"/>
  <c r="G39" i="19"/>
  <c r="C40" i="19"/>
  <c r="H39" i="19"/>
  <c r="I39" i="19"/>
  <c r="J39" i="19"/>
  <c r="K39" i="19"/>
  <c r="L39" i="19"/>
  <c r="M39" i="19"/>
  <c r="N39" i="19"/>
  <c r="O39" i="19"/>
  <c r="P39" i="19"/>
  <c r="Q39" i="19"/>
  <c r="B39" i="19"/>
  <c r="P39" i="18"/>
  <c r="Q39" i="18"/>
  <c r="B39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O39" i="17"/>
  <c r="P39" i="17"/>
  <c r="Q39" i="17"/>
  <c r="B39" i="17"/>
  <c r="C39" i="17"/>
  <c r="D39" i="17"/>
  <c r="E39" i="17"/>
  <c r="F40" i="17"/>
  <c r="G39" i="17"/>
  <c r="H39" i="17"/>
  <c r="I39" i="17"/>
  <c r="J39" i="17"/>
  <c r="K39" i="17"/>
  <c r="L39" i="17"/>
  <c r="M39" i="17"/>
  <c r="N39" i="17"/>
  <c r="P39" i="16"/>
  <c r="Q39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40" i="15"/>
  <c r="Q39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K40" i="14"/>
  <c r="L39" i="14"/>
  <c r="M39" i="14"/>
  <c r="N39" i="14"/>
  <c r="O39" i="14"/>
  <c r="P39" i="14"/>
  <c r="Q39" i="14"/>
  <c r="B39" i="14"/>
  <c r="C39" i="14"/>
  <c r="D39" i="14"/>
  <c r="E39" i="14"/>
  <c r="F40" i="14"/>
  <c r="G39" i="14"/>
  <c r="H39" i="14"/>
  <c r="I39" i="14"/>
  <c r="J39" i="14"/>
  <c r="K39" i="13"/>
  <c r="L39" i="13"/>
  <c r="M40" i="13"/>
  <c r="N39" i="13"/>
  <c r="O39" i="13"/>
  <c r="P39" i="13"/>
  <c r="Q39" i="13"/>
  <c r="B39" i="13"/>
  <c r="C39" i="13"/>
  <c r="D39" i="13"/>
  <c r="E39" i="13"/>
  <c r="F39" i="13"/>
  <c r="G39" i="13"/>
  <c r="H39" i="13"/>
  <c r="I39" i="13"/>
  <c r="J39" i="13"/>
  <c r="J39" i="12"/>
  <c r="K39" i="12"/>
  <c r="L39" i="12"/>
  <c r="M39" i="12"/>
  <c r="I40" i="12"/>
  <c r="N39" i="12"/>
  <c r="O39" i="12"/>
  <c r="P39" i="12"/>
  <c r="Q39" i="12"/>
  <c r="B39" i="12"/>
  <c r="C39" i="12"/>
  <c r="D39" i="12"/>
  <c r="E39" i="12"/>
  <c r="F39" i="12"/>
  <c r="G39" i="12"/>
  <c r="H39" i="12"/>
  <c r="L39" i="11"/>
  <c r="M40" i="11"/>
  <c r="N39" i="11"/>
  <c r="O39" i="11"/>
  <c r="P39" i="11"/>
  <c r="Q39" i="11"/>
  <c r="B39" i="11"/>
  <c r="C39" i="11"/>
  <c r="D39" i="11"/>
  <c r="E39" i="11"/>
  <c r="F39" i="11"/>
  <c r="G39" i="11"/>
  <c r="H39" i="11"/>
  <c r="I39" i="11"/>
  <c r="J39" i="11"/>
  <c r="M39" i="10"/>
  <c r="N39" i="10"/>
  <c r="O39" i="10"/>
  <c r="P39" i="10"/>
  <c r="L39" i="10"/>
  <c r="Q39" i="10"/>
  <c r="B39" i="10"/>
  <c r="K39" i="10"/>
  <c r="C39" i="10"/>
  <c r="D39" i="10"/>
  <c r="E39" i="10"/>
  <c r="F39" i="10"/>
  <c r="G39" i="10"/>
  <c r="H39" i="10"/>
  <c r="I39" i="10"/>
  <c r="J39" i="10"/>
  <c r="J40" i="9"/>
  <c r="K39" i="9"/>
  <c r="M39" i="9"/>
  <c r="N39" i="9"/>
  <c r="O39" i="9"/>
  <c r="P39" i="9"/>
  <c r="Q39" i="9"/>
  <c r="B39" i="9"/>
  <c r="C39" i="9"/>
  <c r="E39" i="9"/>
  <c r="F39" i="9"/>
  <c r="G39" i="9"/>
  <c r="H39" i="9"/>
  <c r="I39" i="9"/>
  <c r="L39" i="8"/>
  <c r="M39" i="8"/>
  <c r="N39" i="8"/>
  <c r="O39" i="8"/>
  <c r="P39" i="8"/>
  <c r="Q39" i="8"/>
  <c r="B39" i="8"/>
  <c r="C39" i="8"/>
  <c r="D39" i="8"/>
  <c r="E39" i="8"/>
  <c r="K39" i="8"/>
  <c r="F39" i="8"/>
  <c r="G39" i="8"/>
  <c r="H39" i="8"/>
  <c r="I39" i="8"/>
  <c r="J39" i="8"/>
  <c r="M39" i="3"/>
  <c r="O47" i="39"/>
  <c r="N40" i="3"/>
  <c r="O39" i="3"/>
  <c r="P39" i="3"/>
  <c r="Q39" i="3"/>
  <c r="B39" i="3"/>
  <c r="C40" i="3"/>
  <c r="D39" i="3"/>
  <c r="E39" i="3"/>
  <c r="G39" i="3"/>
  <c r="H39" i="3"/>
  <c r="N47" i="39"/>
  <c r="L40" i="3"/>
  <c r="F40" i="3"/>
  <c r="I39" i="3"/>
  <c r="L46" i="39"/>
  <c r="J39" i="3"/>
  <c r="M46" i="39"/>
  <c r="K39" i="3"/>
  <c r="O41" i="39"/>
  <c r="O42" i="39"/>
  <c r="O43" i="39"/>
  <c r="O44" i="39"/>
  <c r="E44" i="39"/>
  <c r="E43" i="39"/>
  <c r="E42" i="39"/>
  <c r="E41" i="39"/>
  <c r="F44" i="39"/>
  <c r="F43" i="39"/>
  <c r="F42" i="39"/>
  <c r="F41" i="39"/>
  <c r="G44" i="39"/>
  <c r="G43" i="39"/>
  <c r="G42" i="39"/>
  <c r="G41" i="39"/>
  <c r="H44" i="39"/>
  <c r="H43" i="39"/>
  <c r="H42" i="39"/>
  <c r="H41" i="39"/>
  <c r="B45" i="39"/>
  <c r="B44" i="39"/>
  <c r="B43" i="39"/>
  <c r="B42" i="39"/>
  <c r="B41" i="39"/>
  <c r="I44" i="39"/>
  <c r="I43" i="39"/>
  <c r="I42" i="39"/>
  <c r="I41" i="39"/>
  <c r="J44" i="39"/>
  <c r="J43" i="39"/>
  <c r="J42" i="39"/>
  <c r="J41" i="39"/>
  <c r="K44" i="39"/>
  <c r="K43" i="39"/>
  <c r="K42" i="39"/>
  <c r="K41" i="39"/>
  <c r="Q42" i="39"/>
  <c r="Q44" i="39"/>
  <c r="Q43" i="39"/>
  <c r="Q41" i="39"/>
  <c r="P41" i="39"/>
  <c r="P44" i="39"/>
  <c r="P43" i="39"/>
  <c r="P42" i="39"/>
  <c r="D44" i="39"/>
  <c r="D43" i="39"/>
  <c r="D42" i="39"/>
  <c r="D41" i="39"/>
  <c r="C44" i="39"/>
  <c r="C43" i="39"/>
  <c r="C42" i="39"/>
  <c r="C41" i="39"/>
  <c r="M40" i="2"/>
  <c r="N39" i="2"/>
  <c r="O39" i="2"/>
  <c r="P39" i="2"/>
  <c r="Q39" i="2"/>
  <c r="B39" i="2"/>
  <c r="C40" i="2"/>
  <c r="J39" i="2"/>
  <c r="K39" i="2"/>
  <c r="D39" i="2"/>
  <c r="E39" i="2"/>
  <c r="F39" i="2"/>
  <c r="G39" i="2"/>
  <c r="L41" i="39"/>
  <c r="L42" i="39"/>
  <c r="L43" i="39"/>
  <c r="L44" i="39"/>
  <c r="H39" i="2"/>
  <c r="M41" i="39"/>
  <c r="M42" i="39"/>
  <c r="M43" i="39"/>
  <c r="M44" i="39"/>
  <c r="I39" i="2"/>
  <c r="N41" i="39"/>
  <c r="N42" i="39"/>
  <c r="N43" i="39"/>
  <c r="N44" i="39"/>
  <c r="M47" i="39" l="1"/>
  <c r="O46" i="39"/>
  <c r="L47" i="39"/>
  <c r="N46" i="39"/>
  <c r="G47" i="39"/>
  <c r="G46" i="39"/>
  <c r="D47" i="39"/>
  <c r="D46" i="39"/>
  <c r="P46" i="39"/>
  <c r="P47" i="39"/>
  <c r="B47" i="39"/>
  <c r="B46" i="39"/>
  <c r="K47" i="39"/>
  <c r="K46" i="39"/>
  <c r="E47" i="39"/>
  <c r="E46" i="39"/>
  <c r="Q47" i="39"/>
  <c r="Q46" i="39"/>
  <c r="H47" i="39"/>
  <c r="H46" i="39"/>
  <c r="I47" i="39"/>
  <c r="I46" i="39"/>
  <c r="F47" i="39"/>
  <c r="F46" i="39"/>
  <c r="J47" i="39"/>
  <c r="J46" i="39"/>
  <c r="C47" i="39"/>
  <c r="C46" i="39"/>
</calcChain>
</file>

<file path=xl/sharedStrings.xml><?xml version="1.0" encoding="utf-8"?>
<sst xmlns="http://schemas.openxmlformats.org/spreadsheetml/2006/main" count="3673" uniqueCount="804">
  <si>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</si>
  <si>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</si>
  <si>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</si>
  <si>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</si>
  <si>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</si>
  <si>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</si>
  <si>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</si>
  <si>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</si>
  <si>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</si>
  <si>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</si>
  <si>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</si>
  <si>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</si>
  <si>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</si>
  <si>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</si>
  <si>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</si>
  <si>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</si>
  <si>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</si>
  <si>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</si>
  <si>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</si>
  <si>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</si>
  <si>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</si>
  <si>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</si>
  <si>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</si>
  <si>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</si>
  <si>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</si>
  <si>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</si>
  <si>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</si>
  <si>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</si>
  <si>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</si>
  <si>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</si>
  <si>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</si>
  <si>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</si>
  <si>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</si>
  <si>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</si>
  <si>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</si>
  <si>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</si>
  <si>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</si>
  <si>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</si>
  <si>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</si>
  <si>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</si>
  <si>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</si>
  <si>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</si>
  <si>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</si>
  <si>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</si>
  <si>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</si>
  <si>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</si>
  <si>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</si>
  <si>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</si>
  <si>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</si>
  <si>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</si>
  <si>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</si>
  <si>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</si>
  <si>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</si>
  <si>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</si>
  <si>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</si>
  <si>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</si>
  <si>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</si>
  <si>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</si>
  <si>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</si>
  <si>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</si>
  <si>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01/08/2024 01:00</t>
  </si>
  <si>
    <t>01/08/2024 02:00</t>
  </si>
  <si>
    <t>01/08/2024 03:00</t>
  </si>
  <si>
    <t>01/08/2024 04:00</t>
  </si>
  <si>
    <t>01/08/2024 05:00</t>
  </si>
  <si>
    <t>01/08/2024 06:00</t>
  </si>
  <si>
    <t>01/08/2024 07:00</t>
  </si>
  <si>
    <t>01/08/2024 08:00</t>
  </si>
  <si>
    <t>01/08/2024 09:00</t>
  </si>
  <si>
    <t>01/08/2024 10:00</t>
  </si>
  <si>
    <t>01/08/2024 11:00</t>
  </si>
  <si>
    <t>01/08/2024 12:00</t>
  </si>
  <si>
    <t>01/08/2024 13:00</t>
  </si>
  <si>
    <t>01/08/2024 14:00</t>
  </si>
  <si>
    <t>01/08/2024 15:00</t>
  </si>
  <si>
    <t>01/08/2024 16:00</t>
  </si>
  <si>
    <t>01/08/2024 17:00</t>
  </si>
  <si>
    <t>01/08/2024 18:00</t>
  </si>
  <si>
    <t>01/08/2024 19:00</t>
  </si>
  <si>
    <t>01/08/2024 20:00</t>
  </si>
  <si>
    <t>01/08/2024 21:00</t>
  </si>
  <si>
    <t>01/08/2024 22:00</t>
  </si>
  <si>
    <t>01/08/2024 23:00</t>
  </si>
  <si>
    <t>01/08/2024 24:00</t>
  </si>
  <si>
    <t>02/08/2024 01:00</t>
  </si>
  <si>
    <t>02/08/2024 02:00</t>
  </si>
  <si>
    <t>02/08/2024 03:00</t>
  </si>
  <si>
    <t>02/08/2024 04:00</t>
  </si>
  <si>
    <t>02/08/2024 05:00</t>
  </si>
  <si>
    <t>02/08/2024 06:00</t>
  </si>
  <si>
    <t>02/08/2024 07:00</t>
  </si>
  <si>
    <t>02/08/2024 08:00</t>
  </si>
  <si>
    <t>02/08/2024 09:00</t>
  </si>
  <si>
    <t>02/08/2024 10:00</t>
  </si>
  <si>
    <t>02/08/2024 11:00</t>
  </si>
  <si>
    <t>02/08/2024 12:00</t>
  </si>
  <si>
    <t>02/08/2024 13:00</t>
  </si>
  <si>
    <t>02/08/2024 14:00</t>
  </si>
  <si>
    <t>02/08/2024 15:00</t>
  </si>
  <si>
    <t>02/08/2024 16:00</t>
  </si>
  <si>
    <t>02/08/2024 17:00</t>
  </si>
  <si>
    <t>02/08/2024 18:00</t>
  </si>
  <si>
    <t>02/08/2024 19:00</t>
  </si>
  <si>
    <t>02/08/2024 20:00</t>
  </si>
  <si>
    <t>02/08/2024 21:00</t>
  </si>
  <si>
    <t>02/08/2024 22:00</t>
  </si>
  <si>
    <t>02/08/2024 23:00</t>
  </si>
  <si>
    <t>02/08/2024 24:00</t>
  </si>
  <si>
    <t>03/08/2024 01:00</t>
  </si>
  <si>
    <t>03/08/2024 02:00</t>
  </si>
  <si>
    <t>03/08/2024 03:00</t>
  </si>
  <si>
    <t>03/08/2024 04:00</t>
  </si>
  <si>
    <t>03/08/2024 05:00</t>
  </si>
  <si>
    <t>03/08/2024 06:00</t>
  </si>
  <si>
    <t>03/08/2024 07:00</t>
  </si>
  <si>
    <t>03/08/2024 08:00</t>
  </si>
  <si>
    <t>03/08/2024 09:00</t>
  </si>
  <si>
    <t>03/08/2024 10:00</t>
  </si>
  <si>
    <t>03/08/2024 11:00</t>
  </si>
  <si>
    <t>03/08/2024 12:00</t>
  </si>
  <si>
    <t>03/08/2024 13:00</t>
  </si>
  <si>
    <t>03/08/2024 14:00</t>
  </si>
  <si>
    <t>03/08/2024 15:00</t>
  </si>
  <si>
    <t>03/08/2024 16:00</t>
  </si>
  <si>
    <t>03/08/2024 17:00</t>
  </si>
  <si>
    <t>03/08/2024 18:00</t>
  </si>
  <si>
    <t>03/08/2024 19:00</t>
  </si>
  <si>
    <t>03/08/2024 20:00</t>
  </si>
  <si>
    <t>03/08/2024 21:00</t>
  </si>
  <si>
    <t>03/08/2024 22:00</t>
  </si>
  <si>
    <t>03/08/2024 23:00</t>
  </si>
  <si>
    <t>03/08/2024 24:00</t>
  </si>
  <si>
    <t>04/08/2024 01:00</t>
  </si>
  <si>
    <t>04/08/2024 02:00</t>
  </si>
  <si>
    <t>04/08/2024 03:00</t>
  </si>
  <si>
    <t>04/08/2024 04:00</t>
  </si>
  <si>
    <t>04/08/2024 05:00</t>
  </si>
  <si>
    <t>04/08/2024 06:00</t>
  </si>
  <si>
    <t>04/08/2024 07:00</t>
  </si>
  <si>
    <t>04/08/2024 08:00</t>
  </si>
  <si>
    <t>04/08/2024 09:00</t>
  </si>
  <si>
    <t>04/08/2024 10:00</t>
  </si>
  <si>
    <t>04/08/2024 11:00</t>
  </si>
  <si>
    <t>04/08/2024 12:00</t>
  </si>
  <si>
    <t>04/08/2024 13:00</t>
  </si>
  <si>
    <t>04/08/2024 14:00</t>
  </si>
  <si>
    <t>04/08/2024 15:00</t>
  </si>
  <si>
    <t>04/08/2024 16:00</t>
  </si>
  <si>
    <t>04/08/2024 17:00</t>
  </si>
  <si>
    <t>04/08/2024 18:00</t>
  </si>
  <si>
    <t>04/08/2024 19:00</t>
  </si>
  <si>
    <t>04/08/2024 20:00</t>
  </si>
  <si>
    <t>04/08/2024 21:00</t>
  </si>
  <si>
    <t>04/08/2024 22:00</t>
  </si>
  <si>
    <t>04/08/2024 23:00</t>
  </si>
  <si>
    <t>04/08/2024 24:00</t>
  </si>
  <si>
    <t>05/08/2024 01:00</t>
  </si>
  <si>
    <t>05/08/2024 02:00</t>
  </si>
  <si>
    <t>05/08/2024 03:00</t>
  </si>
  <si>
    <t>05/08/2024 04:00</t>
  </si>
  <si>
    <t>05/08/2024 05:00</t>
  </si>
  <si>
    <t>05/08/2024 06:00</t>
  </si>
  <si>
    <t>05/08/2024 07:00</t>
  </si>
  <si>
    <t>05/08/2024 08:00</t>
  </si>
  <si>
    <t>05/08/2024 09:00</t>
  </si>
  <si>
    <t>05/08/2024 10:00</t>
  </si>
  <si>
    <t>05/08/2024 11:00</t>
  </si>
  <si>
    <t>05/08/2024 12:00</t>
  </si>
  <si>
    <t>05/08/2024 13:00</t>
  </si>
  <si>
    <t>05/08/2024 14:00</t>
  </si>
  <si>
    <t>05/08/2024 15:00</t>
  </si>
  <si>
    <t>05/08/2024 16:00</t>
  </si>
  <si>
    <t>05/08/2024 17:00</t>
  </si>
  <si>
    <t>05/08/2024 18:00</t>
  </si>
  <si>
    <t>05/08/2024 19:00</t>
  </si>
  <si>
    <t>05/08/2024 20:00</t>
  </si>
  <si>
    <t>05/08/2024 21:00</t>
  </si>
  <si>
    <t>05/08/2024 22:00</t>
  </si>
  <si>
    <t>05/08/2024 23:00</t>
  </si>
  <si>
    <t>05/08/2024 24:00</t>
  </si>
  <si>
    <t>06/08/2024 01:00</t>
  </si>
  <si>
    <t>06/08/2024 02:00</t>
  </si>
  <si>
    <t>06/08/2024 03:00</t>
  </si>
  <si>
    <t>06/08/2024 04:00</t>
  </si>
  <si>
    <t>06/08/2024 05:00</t>
  </si>
  <si>
    <t>06/08/2024 06:00</t>
  </si>
  <si>
    <t>06/08/2024 07:00</t>
  </si>
  <si>
    <t>06/08/2024 08:00</t>
  </si>
  <si>
    <t>06/08/2024 09:00</t>
  </si>
  <si>
    <t>06/08/2024 10:00</t>
  </si>
  <si>
    <t>06/08/2024 11:00</t>
  </si>
  <si>
    <t>06/08/2024 12:00</t>
  </si>
  <si>
    <t>06/08/2024 13:00</t>
  </si>
  <si>
    <t>06/08/2024 14:00</t>
  </si>
  <si>
    <t>06/08/2024 15:00</t>
  </si>
  <si>
    <t>06/08/2024 16:00</t>
  </si>
  <si>
    <t>06/08/2024 17:00</t>
  </si>
  <si>
    <t>06/08/2024 18:00</t>
  </si>
  <si>
    <t>06/08/2024 19:00</t>
  </si>
  <si>
    <t>06/08/2024 20:00</t>
  </si>
  <si>
    <t>06/08/2024 21:00</t>
  </si>
  <si>
    <t>06/08/2024 22:00</t>
  </si>
  <si>
    <t>06/08/2024 23:00</t>
  </si>
  <si>
    <t>06/08/2024 24:00</t>
  </si>
  <si>
    <t>07/08/2024 01:00</t>
  </si>
  <si>
    <t>07/08/2024 02:00</t>
  </si>
  <si>
    <t>07/08/2024 03:00</t>
  </si>
  <si>
    <t>07/08/2024 04:00</t>
  </si>
  <si>
    <t>07/08/2024 05:00</t>
  </si>
  <si>
    <t>07/08/2024 06:00</t>
  </si>
  <si>
    <t>07/08/2024 07:00</t>
  </si>
  <si>
    <t>07/08/2024 08:00</t>
  </si>
  <si>
    <t>07/08/2024 09:00</t>
  </si>
  <si>
    <t>07/08/2024 10:00</t>
  </si>
  <si>
    <t>07/08/2024 11:00</t>
  </si>
  <si>
    <t>07/08/2024 12:00</t>
  </si>
  <si>
    <t>07/08/2024 13:00</t>
  </si>
  <si>
    <t>07/08/2024 14:00</t>
  </si>
  <si>
    <t>07/08/2024 15:00</t>
  </si>
  <si>
    <t>07/08/2024 16:00</t>
  </si>
  <si>
    <t>07/08/2024 17:00</t>
  </si>
  <si>
    <t>07/08/2024 18:00</t>
  </si>
  <si>
    <t>07/08/2024 19:00</t>
  </si>
  <si>
    <t>07/08/2024 20:00</t>
  </si>
  <si>
    <t>07/08/2024 21:00</t>
  </si>
  <si>
    <t>07/08/2024 22:00</t>
  </si>
  <si>
    <t>07/08/2024 23:00</t>
  </si>
  <si>
    <t>07/08/2024 24:00</t>
  </si>
  <si>
    <t>08/08/2024 01:00</t>
  </si>
  <si>
    <t>08/08/2024 02:00</t>
  </si>
  <si>
    <t>08/08/2024 03:00</t>
  </si>
  <si>
    <t>08/08/2024 04:00</t>
  </si>
  <si>
    <t>08/08/2024 05:00</t>
  </si>
  <si>
    <t>08/08/2024 06:00</t>
  </si>
  <si>
    <t>08/08/2024 07:00</t>
  </si>
  <si>
    <t>08/08/2024 08:00</t>
  </si>
  <si>
    <t>08/08/2024 09:00</t>
  </si>
  <si>
    <t>08/08/2024 10:00</t>
  </si>
  <si>
    <t>08/08/2024 11:00</t>
  </si>
  <si>
    <t>08/08/2024 12:00</t>
  </si>
  <si>
    <t>08/08/2024 13:00</t>
  </si>
  <si>
    <t>08/08/2024 14:00</t>
  </si>
  <si>
    <t>08/08/2024 15:00</t>
  </si>
  <si>
    <t>08/08/2024 16:00</t>
  </si>
  <si>
    <t>08/08/2024 17:00</t>
  </si>
  <si>
    <t>08/08/2024 18:00</t>
  </si>
  <si>
    <t>08/08/2024 19:00</t>
  </si>
  <si>
    <t>08/08/2024 20:00</t>
  </si>
  <si>
    <t>08/08/2024 21:00</t>
  </si>
  <si>
    <t>08/08/2024 22:00</t>
  </si>
  <si>
    <t>08/08/2024 23:00</t>
  </si>
  <si>
    <t>08/08/2024 24:00</t>
  </si>
  <si>
    <t>09/08/2024 01:00</t>
  </si>
  <si>
    <t>09/08/2024 02:00</t>
  </si>
  <si>
    <t>09/08/2024 03:00</t>
  </si>
  <si>
    <t>09/08/2024 04:00</t>
  </si>
  <si>
    <t>09/08/2024 05:00</t>
  </si>
  <si>
    <t>09/08/2024 06:00</t>
  </si>
  <si>
    <t>09/08/2024 07:00</t>
  </si>
  <si>
    <t>09/08/2024 08:00</t>
  </si>
  <si>
    <t>09/08/2024 09:00</t>
  </si>
  <si>
    <t>09/08/2024 10:00</t>
  </si>
  <si>
    <t>09/08/2024 11:00</t>
  </si>
  <si>
    <t>09/08/2024 12:00</t>
  </si>
  <si>
    <t>09/08/2024 13:00</t>
  </si>
  <si>
    <t>09/08/2024 14:00</t>
  </si>
  <si>
    <t>09/08/2024 15:00</t>
  </si>
  <si>
    <t>09/08/2024 16:00</t>
  </si>
  <si>
    <t>09/08/2024 17:00</t>
  </si>
  <si>
    <t>09/08/2024 18:00</t>
  </si>
  <si>
    <t>09/08/2024 19:00</t>
  </si>
  <si>
    <t>09/08/2024 20:00</t>
  </si>
  <si>
    <t>09/08/2024 21:00</t>
  </si>
  <si>
    <t>09/08/2024 22:00</t>
  </si>
  <si>
    <t>09/08/2024 23:00</t>
  </si>
  <si>
    <t>09/08/2024 24:00</t>
  </si>
  <si>
    <t>10/08/2024 01:00</t>
  </si>
  <si>
    <t>10/08/2024 02:00</t>
  </si>
  <si>
    <t>10/08/2024 03:00</t>
  </si>
  <si>
    <t>10/08/2024 04:00</t>
  </si>
  <si>
    <t>10/08/2024 05:00</t>
  </si>
  <si>
    <t>10/08/2024 06:00</t>
  </si>
  <si>
    <t>10/08/2024 07:00</t>
  </si>
  <si>
    <t>10/08/2024 08:00</t>
  </si>
  <si>
    <t>10/08/2024 09:00</t>
  </si>
  <si>
    <t>10/08/2024 10:00</t>
  </si>
  <si>
    <t>10/08/2024 11:00</t>
  </si>
  <si>
    <t>10/08/2024 12:00</t>
  </si>
  <si>
    <t>10/08/2024 13:00</t>
  </si>
  <si>
    <t>10/08/2024 14:00</t>
  </si>
  <si>
    <t>10/08/2024 15:00</t>
  </si>
  <si>
    <t>10/08/2024 16:00</t>
  </si>
  <si>
    <t>10/08/2024 17:00</t>
  </si>
  <si>
    <t>10/08/2024 18:00</t>
  </si>
  <si>
    <t>10/08/2024 19:00</t>
  </si>
  <si>
    <t>10/08/2024 20:00</t>
  </si>
  <si>
    <t>10/08/2024 21:00</t>
  </si>
  <si>
    <t>10/08/2024 22:00</t>
  </si>
  <si>
    <t>10/08/2024 23:00</t>
  </si>
  <si>
    <t>10/08/2024 24:00</t>
  </si>
  <si>
    <t>11/08/2024 01:00</t>
  </si>
  <si>
    <t>11/08/2024 02:00</t>
  </si>
  <si>
    <t>11/08/2024 03:00</t>
  </si>
  <si>
    <t>11/08/2024 04:00</t>
  </si>
  <si>
    <t>11/08/2024 05:00</t>
  </si>
  <si>
    <t>11/08/2024 06:00</t>
  </si>
  <si>
    <t>11/08/2024 07:00</t>
  </si>
  <si>
    <t>11/08/2024 08:00</t>
  </si>
  <si>
    <t>11/08/2024 09:00</t>
  </si>
  <si>
    <t>11/08/2024 10:00</t>
  </si>
  <si>
    <t>11/08/2024 11:00</t>
  </si>
  <si>
    <t>11/08/2024 12:00</t>
  </si>
  <si>
    <t>11/08/2024 13:00</t>
  </si>
  <si>
    <t>11/08/2024 14:00</t>
  </si>
  <si>
    <t>11/08/2024 15:00</t>
  </si>
  <si>
    <t>11/08/2024 16:00</t>
  </si>
  <si>
    <t>11/08/2024 17:00</t>
  </si>
  <si>
    <t>11/08/2024 18:00</t>
  </si>
  <si>
    <t>11/08/2024 19:00</t>
  </si>
  <si>
    <t>11/08/2024 20:00</t>
  </si>
  <si>
    <t>11/08/2024 21:00</t>
  </si>
  <si>
    <t>11/08/2024 22:00</t>
  </si>
  <si>
    <t>11/08/2024 23:00</t>
  </si>
  <si>
    <t>11/08/2024 24:00</t>
  </si>
  <si>
    <t>12/08/2024 01:00</t>
  </si>
  <si>
    <t>12/08/2024 02:00</t>
  </si>
  <si>
    <t>12/08/2024 03:00</t>
  </si>
  <si>
    <t>12/08/2024 04:00</t>
  </si>
  <si>
    <t>12/08/2024 05:00</t>
  </si>
  <si>
    <t>12/08/2024 06:00</t>
  </si>
  <si>
    <t>12/08/2024 07:00</t>
  </si>
  <si>
    <t>12/08/2024 08:00</t>
  </si>
  <si>
    <t>12/08/2024 09:00</t>
  </si>
  <si>
    <t>12/08/2024 10:00</t>
  </si>
  <si>
    <t>12/08/2024 11:00</t>
  </si>
  <si>
    <t>12/08/2024 12:00</t>
  </si>
  <si>
    <t>12/08/2024 13:00</t>
  </si>
  <si>
    <t>12/08/2024 14:00</t>
  </si>
  <si>
    <t>12/08/2024 15:00</t>
  </si>
  <si>
    <t>12/08/2024 16:00</t>
  </si>
  <si>
    <t>12/08/2024 17:00</t>
  </si>
  <si>
    <t>12/08/2024 18:00</t>
  </si>
  <si>
    <t>12/08/2024 19:00</t>
  </si>
  <si>
    <t>12/08/2024 20:00</t>
  </si>
  <si>
    <t>12/08/2024 21:00</t>
  </si>
  <si>
    <t>12/08/2024 22:00</t>
  </si>
  <si>
    <t>12/08/2024 23:00</t>
  </si>
  <si>
    <t>12/08/2024 24:00</t>
  </si>
  <si>
    <t>13/08/2024 01:00</t>
  </si>
  <si>
    <t>13/08/2024 02:00</t>
  </si>
  <si>
    <t>13/08/2024 03:00</t>
  </si>
  <si>
    <t>13/08/2024 04:00</t>
  </si>
  <si>
    <t>13/08/2024 05:00</t>
  </si>
  <si>
    <t>13/08/2024 06:00</t>
  </si>
  <si>
    <t>13/08/2024 07:00</t>
  </si>
  <si>
    <t>13/08/2024 08:00</t>
  </si>
  <si>
    <t>13/08/2024 09:00</t>
  </si>
  <si>
    <t>13/08/2024 10:00</t>
  </si>
  <si>
    <t>13/08/2024 11:00</t>
  </si>
  <si>
    <t>13/08/2024 12:00</t>
  </si>
  <si>
    <t>13/08/2024 13:00</t>
  </si>
  <si>
    <t>13/08/2024 14:00</t>
  </si>
  <si>
    <t>13/08/2024 15:00</t>
  </si>
  <si>
    <t>13/08/2024 16:00</t>
  </si>
  <si>
    <t>13/08/2024 17:00</t>
  </si>
  <si>
    <t>13/08/2024 18:00</t>
  </si>
  <si>
    <t>13/08/2024 19:00</t>
  </si>
  <si>
    <t>13/08/2024 20:00</t>
  </si>
  <si>
    <t>13/08/2024 21:00</t>
  </si>
  <si>
    <t>13/08/2024 22:00</t>
  </si>
  <si>
    <t>13/08/2024 23:00</t>
  </si>
  <si>
    <t>13/08/2024 24:00</t>
  </si>
  <si>
    <t>14/08/2024 01:00</t>
  </si>
  <si>
    <t>14/08/2024 02:00</t>
  </si>
  <si>
    <t>14/08/2024 03:00</t>
  </si>
  <si>
    <t>14/08/2024 04:00</t>
  </si>
  <si>
    <t>14/08/2024 05:00</t>
  </si>
  <si>
    <t>14/08/2024 06:00</t>
  </si>
  <si>
    <t>14/08/2024 07:00</t>
  </si>
  <si>
    <t>14/08/2024 08:00</t>
  </si>
  <si>
    <t>14/08/2024 09:00</t>
  </si>
  <si>
    <t>14/08/2024 10:00</t>
  </si>
  <si>
    <t>14/08/2024 11:00</t>
  </si>
  <si>
    <t>14/08/2024 12:00</t>
  </si>
  <si>
    <t>14/08/2024 13:00</t>
  </si>
  <si>
    <t>14/08/2024 14:00</t>
  </si>
  <si>
    <t>14/08/2024 15:00</t>
  </si>
  <si>
    <t>14/08/2024 16:00</t>
  </si>
  <si>
    <t>14/08/2024 17:00</t>
  </si>
  <si>
    <t>14/08/2024 18:00</t>
  </si>
  <si>
    <t>14/08/2024 19:00</t>
  </si>
  <si>
    <t>14/08/2024 20:00</t>
  </si>
  <si>
    <t>14/08/2024 21:00</t>
  </si>
  <si>
    <t>14/08/2024 22:00</t>
  </si>
  <si>
    <t>14/08/2024 23:00</t>
  </si>
  <si>
    <t>14/08/2024 24:00</t>
  </si>
  <si>
    <t>15/08/2024 01:00</t>
  </si>
  <si>
    <t>15/08/2024 02:00</t>
  </si>
  <si>
    <t>15/08/2024 03:00</t>
  </si>
  <si>
    <t>15/08/2024 04:00</t>
  </si>
  <si>
    <t>15/08/2024 05:00</t>
  </si>
  <si>
    <t>15/08/2024 06:00</t>
  </si>
  <si>
    <t>15/08/2024 07:00</t>
  </si>
  <si>
    <t>15/08/2024 08:00</t>
  </si>
  <si>
    <t>15/08/2024 09:00</t>
  </si>
  <si>
    <t>15/08/2024 10:00</t>
  </si>
  <si>
    <t>15/08/2024 11:00</t>
  </si>
  <si>
    <t>15/08/2024 12:00</t>
  </si>
  <si>
    <t>15/08/2024 13:00</t>
  </si>
  <si>
    <t>15/08/2024 14:00</t>
  </si>
  <si>
    <t>15/08/2024 15:00</t>
  </si>
  <si>
    <t>15/08/2024 16:00</t>
  </si>
  <si>
    <t>15/08/2024 17:00</t>
  </si>
  <si>
    <t>15/08/2024 18:00</t>
  </si>
  <si>
    <t>15/08/2024 19:00</t>
  </si>
  <si>
    <t>15/08/2024 20:00</t>
  </si>
  <si>
    <t>15/08/2024 21:00</t>
  </si>
  <si>
    <t>15/08/2024 22:00</t>
  </si>
  <si>
    <t>15/08/2024 23:00</t>
  </si>
  <si>
    <t>15/08/2024 24:00</t>
  </si>
  <si>
    <t>16/08/2024 01:00</t>
  </si>
  <si>
    <t>16/08/2024 02:00</t>
  </si>
  <si>
    <t>16/08/2024 03:00</t>
  </si>
  <si>
    <t>16/08/2024 04:00</t>
  </si>
  <si>
    <t>16/08/2024 05:00</t>
  </si>
  <si>
    <t>16/08/2024 06:00</t>
  </si>
  <si>
    <t>16/08/2024 07:00</t>
  </si>
  <si>
    <t>16/08/2024 08:00</t>
  </si>
  <si>
    <t>16/08/2024 09:00</t>
  </si>
  <si>
    <t>16/08/2024 10:00</t>
  </si>
  <si>
    <t>16/08/2024 11:00</t>
  </si>
  <si>
    <t>16/08/2024 12:00</t>
  </si>
  <si>
    <t>16/08/2024 13:00</t>
  </si>
  <si>
    <t>16/08/2024 14:00</t>
  </si>
  <si>
    <t>16/08/2024 15:00</t>
  </si>
  <si>
    <t>16/08/2024 16:00</t>
  </si>
  <si>
    <t>16/08/2024 17:00</t>
  </si>
  <si>
    <t>16/08/2024 18:00</t>
  </si>
  <si>
    <t>16/08/2024 19:00</t>
  </si>
  <si>
    <t>16/08/2024 20:00</t>
  </si>
  <si>
    <t>16/08/2024 21:00</t>
  </si>
  <si>
    <t>16/08/2024 22:00</t>
  </si>
  <si>
    <t>16/08/2024 23:00</t>
  </si>
  <si>
    <t>16/08/2024 24:00</t>
  </si>
  <si>
    <t>17/08/2024 01:00</t>
  </si>
  <si>
    <t>17/08/2024 02:00</t>
  </si>
  <si>
    <t>17/08/2024 03:00</t>
  </si>
  <si>
    <t>17/08/2024 04:00</t>
  </si>
  <si>
    <t>17/08/2024 05:00</t>
  </si>
  <si>
    <t>17/08/2024 06:00</t>
  </si>
  <si>
    <t>17/08/2024 07:00</t>
  </si>
  <si>
    <t>17/08/2024 08:00</t>
  </si>
  <si>
    <t>17/08/2024 09:00</t>
  </si>
  <si>
    <t>17/08/2024 10:00</t>
  </si>
  <si>
    <t>17/08/2024 11:00</t>
  </si>
  <si>
    <t>17/08/2024 12:00</t>
  </si>
  <si>
    <t>17/08/2024 13:00</t>
  </si>
  <si>
    <t>17/08/2024 14:00</t>
  </si>
  <si>
    <t>17/08/2024 15:00</t>
  </si>
  <si>
    <t>17/08/2024 16:00</t>
  </si>
  <si>
    <t>17/08/2024 17:00</t>
  </si>
  <si>
    <t>17/08/2024 18:00</t>
  </si>
  <si>
    <t>17/08/2024 19:00</t>
  </si>
  <si>
    <t>17/08/2024 20:00</t>
  </si>
  <si>
    <t>17/08/2024 21:00</t>
  </si>
  <si>
    <t>17/08/2024 22:00</t>
  </si>
  <si>
    <t>17/08/2024 23:00</t>
  </si>
  <si>
    <t>17/08/2024 24:00</t>
  </si>
  <si>
    <t>18/08/2024 01:00</t>
  </si>
  <si>
    <t>18/08/2024 02:00</t>
  </si>
  <si>
    <t>18/08/2024 03:00</t>
  </si>
  <si>
    <t>18/08/2024 04:00</t>
  </si>
  <si>
    <t>18/08/2024 05:00</t>
  </si>
  <si>
    <t>18/08/2024 06:00</t>
  </si>
  <si>
    <t>18/08/2024 07:00</t>
  </si>
  <si>
    <t>18/08/2024 08:00</t>
  </si>
  <si>
    <t>18/08/2024 09:00</t>
  </si>
  <si>
    <t>18/08/2024 10:00</t>
  </si>
  <si>
    <t>18/08/2024 11:00</t>
  </si>
  <si>
    <t>18/08/2024 12:00</t>
  </si>
  <si>
    <t>18/08/2024 13:00</t>
  </si>
  <si>
    <t>18/08/2024 14:00</t>
  </si>
  <si>
    <t>18/08/2024 15:00</t>
  </si>
  <si>
    <t>18/08/2024 16:00</t>
  </si>
  <si>
    <t>18/08/2024 17:00</t>
  </si>
  <si>
    <t>18/08/2024 18:00</t>
  </si>
  <si>
    <t>18/08/2024 19:00</t>
  </si>
  <si>
    <t>18/08/2024 20:00</t>
  </si>
  <si>
    <t>18/08/2024 21:00</t>
  </si>
  <si>
    <t>18/08/2024 22:00</t>
  </si>
  <si>
    <t>18/08/2024 23:00</t>
  </si>
  <si>
    <t>18/08/2024 24:00</t>
  </si>
  <si>
    <t>19/08/2024 01:00</t>
  </si>
  <si>
    <t>19/08/2024 02:00</t>
  </si>
  <si>
    <t>19/08/2024 03:00</t>
  </si>
  <si>
    <t>19/08/2024 04:00</t>
  </si>
  <si>
    <t>19/08/2024 05:00</t>
  </si>
  <si>
    <t>19/08/2024 06:00</t>
  </si>
  <si>
    <t>19/08/2024 07:00</t>
  </si>
  <si>
    <t>19/08/2024 08:00</t>
  </si>
  <si>
    <t>19/08/2024 09:00</t>
  </si>
  <si>
    <t>19/08/2024 10:00</t>
  </si>
  <si>
    <t>19/08/2024 11:00</t>
  </si>
  <si>
    <t>19/08/2024 12:00</t>
  </si>
  <si>
    <t>19/08/2024 13:00</t>
  </si>
  <si>
    <t>19/08/2024 14:00</t>
  </si>
  <si>
    <t>19/08/2024 15:00</t>
  </si>
  <si>
    <t>19/08/2024 16:00</t>
  </si>
  <si>
    <t>19/08/2024 17:00</t>
  </si>
  <si>
    <t>19/08/2024 18:00</t>
  </si>
  <si>
    <t>19/08/2024 19:00</t>
  </si>
  <si>
    <t>19/08/2024 20:00</t>
  </si>
  <si>
    <t>19/08/2024 21:00</t>
  </si>
  <si>
    <t>19/08/2024 22:00</t>
  </si>
  <si>
    <t>19/08/2024 23:00</t>
  </si>
  <si>
    <t>19/08/2024 24:00</t>
  </si>
  <si>
    <t>20/08/2024 01:00</t>
  </si>
  <si>
    <t>20/08/2024 02:00</t>
  </si>
  <si>
    <t>20/08/2024 03:00</t>
  </si>
  <si>
    <t>20/08/2024 04:00</t>
  </si>
  <si>
    <t>20/08/2024 05:00</t>
  </si>
  <si>
    <t>20/08/2024 06:00</t>
  </si>
  <si>
    <t>20/08/2024 07:00</t>
  </si>
  <si>
    <t>20/08/2024 08:00</t>
  </si>
  <si>
    <t>20/08/2024 09:00</t>
  </si>
  <si>
    <t>20/08/2024 10:00</t>
  </si>
  <si>
    <t>20/08/2024 11:00</t>
  </si>
  <si>
    <t>20/08/2024 12:00</t>
  </si>
  <si>
    <t>20/08/2024 13:00</t>
  </si>
  <si>
    <t>20/08/2024 14:00</t>
  </si>
  <si>
    <t>20/08/2024 15:00</t>
  </si>
  <si>
    <t>20/08/2024 16:00</t>
  </si>
  <si>
    <t>20/08/2024 17:00</t>
  </si>
  <si>
    <t>20/08/2024 18:00</t>
  </si>
  <si>
    <t>20/08/2024 19:00</t>
  </si>
  <si>
    <t>20/08/2024 20:00</t>
  </si>
  <si>
    <t>20/08/2024 21:00</t>
  </si>
  <si>
    <t>20/08/2024 22:00</t>
  </si>
  <si>
    <t>20/08/2024 23:00</t>
  </si>
  <si>
    <t>20/08/2024 24:00</t>
  </si>
  <si>
    <t>21/08/2024 01:00</t>
  </si>
  <si>
    <t>21/08/2024 02:00</t>
  </si>
  <si>
    <t>21/08/2024 03:00</t>
  </si>
  <si>
    <t>21/08/2024 04:00</t>
  </si>
  <si>
    <t>21/08/2024 05:00</t>
  </si>
  <si>
    <t>21/08/2024 06:00</t>
  </si>
  <si>
    <t>21/08/2024 07:00</t>
  </si>
  <si>
    <t>21/08/2024 08:00</t>
  </si>
  <si>
    <t>21/08/2024 09:00</t>
  </si>
  <si>
    <t>21/08/2024 10:00</t>
  </si>
  <si>
    <t>21/08/2024 11:00</t>
  </si>
  <si>
    <t>21/08/2024 12:00</t>
  </si>
  <si>
    <t>21/08/2024 13:00</t>
  </si>
  <si>
    <t>21/08/2024 14:00</t>
  </si>
  <si>
    <t>21/08/2024 15:00</t>
  </si>
  <si>
    <t>21/08/2024 16:00</t>
  </si>
  <si>
    <t>21/08/2024 17:00</t>
  </si>
  <si>
    <t>21/08/2024 18:00</t>
  </si>
  <si>
    <t>21/08/2024 19:00</t>
  </si>
  <si>
    <t>21/08/2024 20:00</t>
  </si>
  <si>
    <t>21/08/2024 21:00</t>
  </si>
  <si>
    <t>21/08/2024 22:00</t>
  </si>
  <si>
    <t>21/08/2024 23:00</t>
  </si>
  <si>
    <t>21/08/2024 24:00</t>
  </si>
  <si>
    <t>22/08/2024 01:00</t>
  </si>
  <si>
    <t>22/08/2024 02:00</t>
  </si>
  <si>
    <t>22/08/2024 03:00</t>
  </si>
  <si>
    <t>22/08/2024 04:00</t>
  </si>
  <si>
    <t>22/08/2024 05:00</t>
  </si>
  <si>
    <t>22/08/2024 06:00</t>
  </si>
  <si>
    <t>22/08/2024 07:00</t>
  </si>
  <si>
    <t>22/08/2024 08:00</t>
  </si>
  <si>
    <t>22/08/2024 09:00</t>
  </si>
  <si>
    <t>22/08/2024 10:00</t>
  </si>
  <si>
    <t>22/08/2024 11:00</t>
  </si>
  <si>
    <t>22/08/2024 12:00</t>
  </si>
  <si>
    <t>22/08/2024 13:00</t>
  </si>
  <si>
    <t>22/08/2024 14:00</t>
  </si>
  <si>
    <t>22/08/2024 15:00</t>
  </si>
  <si>
    <t>22/08/2024 16:00</t>
  </si>
  <si>
    <t>22/08/2024 17:00</t>
  </si>
  <si>
    <t>22/08/2024 18:00</t>
  </si>
  <si>
    <t>22/08/2024 19:00</t>
  </si>
  <si>
    <t>22/08/2024 20:00</t>
  </si>
  <si>
    <t>22/08/2024 21:00</t>
  </si>
  <si>
    <t>22/08/2024 22:00</t>
  </si>
  <si>
    <t>22/08/2024 23:00</t>
  </si>
  <si>
    <t>22/08/2024 24:00</t>
  </si>
  <si>
    <t>23/08/2024 01:00</t>
  </si>
  <si>
    <t>23/08/2024 02:00</t>
  </si>
  <si>
    <t>23/08/2024 03:00</t>
  </si>
  <si>
    <t>23/08/2024 04:00</t>
  </si>
  <si>
    <t>23/08/2024 05:00</t>
  </si>
  <si>
    <t>23/08/2024 06:00</t>
  </si>
  <si>
    <t>23/08/2024 07:00</t>
  </si>
  <si>
    <t>23/08/2024 08:00</t>
  </si>
  <si>
    <t>23/08/2024 09:00</t>
  </si>
  <si>
    <t>23/08/2024 10:00</t>
  </si>
  <si>
    <t>23/08/2024 11:00</t>
  </si>
  <si>
    <t>23/08/2024 12:00</t>
  </si>
  <si>
    <t>23/08/2024 13:00</t>
  </si>
  <si>
    <t>23/08/2024 14:00</t>
  </si>
  <si>
    <t>23/08/2024 15:00</t>
  </si>
  <si>
    <t>23/08/2024 16:00</t>
  </si>
  <si>
    <t>23/08/2024 17:00</t>
  </si>
  <si>
    <t>23/08/2024 18:00</t>
  </si>
  <si>
    <t>23/08/2024 19:00</t>
  </si>
  <si>
    <t>23/08/2024 20:00</t>
  </si>
  <si>
    <t>23/08/2024 21:00</t>
  </si>
  <si>
    <t>23/08/2024 22:00</t>
  </si>
  <si>
    <t>23/08/2024 23:00</t>
  </si>
  <si>
    <t>23/08/2024 24:00</t>
  </si>
  <si>
    <t>24/08/2024 01:00</t>
  </si>
  <si>
    <t>24/08/2024 02:00</t>
  </si>
  <si>
    <t>24/08/2024 03:00</t>
  </si>
  <si>
    <t>24/08/2024 04:00</t>
  </si>
  <si>
    <t>24/08/2024 05:00</t>
  </si>
  <si>
    <t>24/08/2024 06:00</t>
  </si>
  <si>
    <t>24/08/2024 07:00</t>
  </si>
  <si>
    <t>24/08/2024 08:00</t>
  </si>
  <si>
    <t>24/08/2024 09:00</t>
  </si>
  <si>
    <t>24/08/2024 10:00</t>
  </si>
  <si>
    <t>24/08/2024 11:00</t>
  </si>
  <si>
    <t>24/08/2024 12:00</t>
  </si>
  <si>
    <t>24/08/2024 13:00</t>
  </si>
  <si>
    <t>24/08/2024 14:00</t>
  </si>
  <si>
    <t>24/08/2024 15:00</t>
  </si>
  <si>
    <t>24/08/2024 16:00</t>
  </si>
  <si>
    <t>24/08/2024 17:00</t>
  </si>
  <si>
    <t>24/08/2024 18:00</t>
  </si>
  <si>
    <t>24/08/2024 19:00</t>
  </si>
  <si>
    <t>24/08/2024 20:00</t>
  </si>
  <si>
    <t>24/08/2024 21:00</t>
  </si>
  <si>
    <t>24/08/2024 22:00</t>
  </si>
  <si>
    <t>24/08/2024 23:00</t>
  </si>
  <si>
    <t>24/08/2024 24:00</t>
  </si>
  <si>
    <t>25/08/2024 01:00</t>
  </si>
  <si>
    <t>25/08/2024 02:00</t>
  </si>
  <si>
    <t>25/08/2024 03:00</t>
  </si>
  <si>
    <t>25/08/2024 04:00</t>
  </si>
  <si>
    <t>25/08/2024 05:00</t>
  </si>
  <si>
    <t>25/08/2024 06:00</t>
  </si>
  <si>
    <t>25/08/2024 07:00</t>
  </si>
  <si>
    <t>25/08/2024 08:00</t>
  </si>
  <si>
    <t>25/08/2024 09:00</t>
  </si>
  <si>
    <t>25/08/2024 10:00</t>
  </si>
  <si>
    <t>25/08/2024 11:00</t>
  </si>
  <si>
    <t>25/08/2024 12:00</t>
  </si>
  <si>
    <t>25/08/2024 13:00</t>
  </si>
  <si>
    <t>25/08/2024 14:00</t>
  </si>
  <si>
    <t>25/08/2024 15:00</t>
  </si>
  <si>
    <t>25/08/2024 16:00</t>
  </si>
  <si>
    <t>25/08/2024 17:00</t>
  </si>
  <si>
    <t>25/08/2024 18:00</t>
  </si>
  <si>
    <t>25/08/2024 19:00</t>
  </si>
  <si>
    <t>25/08/2024 20:00</t>
  </si>
  <si>
    <t>25/08/2024 21:00</t>
  </si>
  <si>
    <t>25/08/2024 22:00</t>
  </si>
  <si>
    <t>25/08/2024 23:00</t>
  </si>
  <si>
    <t>25/08/2024 24:00</t>
  </si>
  <si>
    <t>26/08/2024 01:00</t>
  </si>
  <si>
    <t>26/08/2024 02:00</t>
  </si>
  <si>
    <t>26/08/2024 03:00</t>
  </si>
  <si>
    <t>26/08/2024 04:00</t>
  </si>
  <si>
    <t>26/08/2024 05:00</t>
  </si>
  <si>
    <t>26/08/2024 06:00</t>
  </si>
  <si>
    <t>26/08/2024 07:00</t>
  </si>
  <si>
    <t>26/08/2024 08:00</t>
  </si>
  <si>
    <t>26/08/2024 09:00</t>
  </si>
  <si>
    <t>26/08/2024 10:00</t>
  </si>
  <si>
    <t>26/08/2024 11:00</t>
  </si>
  <si>
    <t>26/08/2024 12:00</t>
  </si>
  <si>
    <t>26/08/2024 13:00</t>
  </si>
  <si>
    <t>26/08/2024 14:00</t>
  </si>
  <si>
    <t>26/08/2024 15:00</t>
  </si>
  <si>
    <t>26/08/2024 16:00</t>
  </si>
  <si>
    <t>26/08/2024 17:00</t>
  </si>
  <si>
    <t>26/08/2024 18:00</t>
  </si>
  <si>
    <t>26/08/2024 19:00</t>
  </si>
  <si>
    <t>26/08/2024 20:00</t>
  </si>
  <si>
    <t>26/08/2024 21:00</t>
  </si>
  <si>
    <t>26/08/2024 22:00</t>
  </si>
  <si>
    <t>26/08/2024 23:00</t>
  </si>
  <si>
    <t>26/08/2024 24:00</t>
  </si>
  <si>
    <t>27/08/2024 01:00</t>
  </si>
  <si>
    <t>27/08/2024 02:00</t>
  </si>
  <si>
    <t>27/08/2024 03:00</t>
  </si>
  <si>
    <t>27/08/2024 04:00</t>
  </si>
  <si>
    <t>27/08/2024 05:00</t>
  </si>
  <si>
    <t>27/08/2024 06:00</t>
  </si>
  <si>
    <t>27/08/2024 07:00</t>
  </si>
  <si>
    <t>27/08/2024 08:00</t>
  </si>
  <si>
    <t>27/08/2024 09:00</t>
  </si>
  <si>
    <t>27/08/2024 10:00</t>
  </si>
  <si>
    <t>27/08/2024 11:00</t>
  </si>
  <si>
    <t>27/08/2024 12:00</t>
  </si>
  <si>
    <t>27/08/2024 13:00</t>
  </si>
  <si>
    <t>27/08/2024 14:00</t>
  </si>
  <si>
    <t>27/08/2024 15:00</t>
  </si>
  <si>
    <t>27/08/2024 16:00</t>
  </si>
  <si>
    <t>27/08/2024 17:00</t>
  </si>
  <si>
    <t>27/08/2024 18:00</t>
  </si>
  <si>
    <t>27/08/2024 19:00</t>
  </si>
  <si>
    <t>27/08/2024 20:00</t>
  </si>
  <si>
    <t>27/08/2024 21:00</t>
  </si>
  <si>
    <t>27/08/2024 22:00</t>
  </si>
  <si>
    <t>27/08/2024 23:00</t>
  </si>
  <si>
    <t>27/08/2024 24:00</t>
  </si>
  <si>
    <t>28/08/2024 01:00</t>
  </si>
  <si>
    <t>28/08/2024 02:00</t>
  </si>
  <si>
    <t>28/08/2024 03:00</t>
  </si>
  <si>
    <t>28/08/2024 04:00</t>
  </si>
  <si>
    <t>28/08/2024 05:00</t>
  </si>
  <si>
    <t>28/08/2024 06:00</t>
  </si>
  <si>
    <t>28/08/2024 07:00</t>
  </si>
  <si>
    <t>28/08/2024 08:00</t>
  </si>
  <si>
    <t>28/08/2024 09:00</t>
  </si>
  <si>
    <t>28/08/2024 10:00</t>
  </si>
  <si>
    <t>28/08/2024 11:00</t>
  </si>
  <si>
    <t>28/08/2024 12:00</t>
  </si>
  <si>
    <t>28/08/2024 13:00</t>
  </si>
  <si>
    <t>28/08/2024 14:00</t>
  </si>
  <si>
    <t>28/08/2024 15:00</t>
  </si>
  <si>
    <t>28/08/2024 16:00</t>
  </si>
  <si>
    <t>28/08/2024 17:00</t>
  </si>
  <si>
    <t>28/08/2024 18:00</t>
  </si>
  <si>
    <t>28/08/2024 19:00</t>
  </si>
  <si>
    <t>28/08/2024 20:00</t>
  </si>
  <si>
    <t>28/08/2024 21:00</t>
  </si>
  <si>
    <t>28/08/2024 22:00</t>
  </si>
  <si>
    <t>28/08/2024 23:00</t>
  </si>
  <si>
    <t>28/08/2024 24:00</t>
  </si>
  <si>
    <t>29/08/2024 01:00</t>
  </si>
  <si>
    <t>29/08/2024 02:00</t>
  </si>
  <si>
    <t>29/08/2024 03:00</t>
  </si>
  <si>
    <t>29/08/2024 04:00</t>
  </si>
  <si>
    <t>29/08/2024 05:00</t>
  </si>
  <si>
    <t>29/08/2024 06:00</t>
  </si>
  <si>
    <t>29/08/2024 07:00</t>
  </si>
  <si>
    <t>29/08/2024 08:00</t>
  </si>
  <si>
    <t>29/08/2024 09:00</t>
  </si>
  <si>
    <t>29/08/2024 10:00</t>
  </si>
  <si>
    <t>29/08/2024 11:00</t>
  </si>
  <si>
    <t>29/08/2024 12:00</t>
  </si>
  <si>
    <t>29/08/2024 13:00</t>
  </si>
  <si>
    <t>29/08/2024 14:00</t>
  </si>
  <si>
    <t>29/08/2024 15:00</t>
  </si>
  <si>
    <t>29/08/2024 16:00</t>
  </si>
  <si>
    <t>29/08/2024 17:00</t>
  </si>
  <si>
    <t>29/08/2024 18:00</t>
  </si>
  <si>
    <t>29/08/2024 19:00</t>
  </si>
  <si>
    <t>29/08/2024 20:00</t>
  </si>
  <si>
    <t>29/08/2024 21:00</t>
  </si>
  <si>
    <t>29/08/2024 22:00</t>
  </si>
  <si>
    <t>29/08/2024 23:00</t>
  </si>
  <si>
    <t>29/08/2024 24:00</t>
  </si>
  <si>
    <t>30/08/2024 01:00</t>
  </si>
  <si>
    <t>30/08/2024 02:00</t>
  </si>
  <si>
    <t>30/08/2024 03:00</t>
  </si>
  <si>
    <t>30/08/2024 04:00</t>
  </si>
  <si>
    <t>30/08/2024 05:00</t>
  </si>
  <si>
    <t>30/08/2024 06:00</t>
  </si>
  <si>
    <t>30/08/2024 07:00</t>
  </si>
  <si>
    <t>30/08/2024 08:00</t>
  </si>
  <si>
    <t>30/08/2024 09:00</t>
  </si>
  <si>
    <t>30/08/2024 10:00</t>
  </si>
  <si>
    <t>30/08/2024 11:00</t>
  </si>
  <si>
    <t>30/08/2024 12:00</t>
  </si>
  <si>
    <t>30/08/2024 13:00</t>
  </si>
  <si>
    <t>30/08/2024 14:00</t>
  </si>
  <si>
    <t>30/08/2024 15:00</t>
  </si>
  <si>
    <t>30/08/2024 16:00</t>
  </si>
  <si>
    <t>30/08/2024 17:00</t>
  </si>
  <si>
    <t>30/08/2024 18:00</t>
  </si>
  <si>
    <t>30/08/2024 19:00</t>
  </si>
  <si>
    <t>30/08/2024 20:00</t>
  </si>
  <si>
    <t>30/08/2024 21:00</t>
  </si>
  <si>
    <t>30/08/2024 22:00</t>
  </si>
  <si>
    <t>30/08/2024 23:00</t>
  </si>
  <si>
    <t>30/08/2024 24:00</t>
  </si>
  <si>
    <t>31/08/2024 01:00</t>
  </si>
  <si>
    <t>31/08/2024 02:00</t>
  </si>
  <si>
    <t>31/08/2024 03:00</t>
  </si>
  <si>
    <t>31/08/2024 04:00</t>
  </si>
  <si>
    <t>31/08/2024 05:00</t>
  </si>
  <si>
    <t>31/08/2024 06:00</t>
  </si>
  <si>
    <t>31/08/2024 07:00</t>
  </si>
  <si>
    <t>31/08/2024 08:00</t>
  </si>
  <si>
    <t>31/08/2024 09:00</t>
  </si>
  <si>
    <t>31/08/2024 10:00</t>
  </si>
  <si>
    <t>31/08/2024 11:00</t>
  </si>
  <si>
    <t>31/08/2024 12:00</t>
  </si>
  <si>
    <t>31/08/2024 13:00</t>
  </si>
  <si>
    <t>31/08/2024 14:00</t>
  </si>
  <si>
    <t>31/08/2024 15:00</t>
  </si>
  <si>
    <t>31/08/2024 16:00</t>
  </si>
  <si>
    <t>31/08/2024 17:00</t>
  </si>
  <si>
    <t>31/08/2024 18:00</t>
  </si>
  <si>
    <t>31/08/2024 19:00</t>
  </si>
  <si>
    <t>31/08/2024 20:00</t>
  </si>
  <si>
    <t>31/08/2024 21:00</t>
  </si>
  <si>
    <t>31/08/2024 22:00</t>
  </si>
  <si>
    <t>31/08/2024 23:00</t>
  </si>
  <si>
    <t>31/08/2024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</si>
</sst>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0" fontId="14" fillId="9" borderId="0" xfId="0" applyFont="1" applyFill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B38" sqref="B38:Q38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60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43"/>
      <c r="S9" s="43"/>
      <c r="T9" s="43"/>
      <c r="U9" s="43"/>
    </row>
    <row r="10" spans="1:21" s="11" customFormat="1" x14ac:dyDescent="0.25">
      <c r="A10" s="51" t="s">
        <v>61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43"/>
      <c r="S10" s="43"/>
      <c r="T10" s="43"/>
      <c r="U10" s="43"/>
    </row>
    <row r="11" spans="1:21" s="11" customFormat="1" x14ac:dyDescent="0.25">
      <c r="A11" s="51" t="s">
        <v>62</v>
      </c>
      <c r="B11" s="53" t="s">
        <v>4</v>
      </c>
      <c r="C11" s="53" t="s">
        <v>4</v>
      </c>
      <c r="D11" s="53" t="s">
        <v>4</v>
      </c>
      <c r="E11" s="53" t="s">
        <v>4</v>
      </c>
      <c r="F11" s="53" t="s">
        <v>4</v>
      </c>
      <c r="G11" s="53" t="s">
        <v>4</v>
      </c>
      <c r="H11" s="53" t="s">
        <v>4</v>
      </c>
      <c r="I11" s="53" t="s">
        <v>4</v>
      </c>
      <c r="J11" s="53" t="s">
        <v>4</v>
      </c>
      <c r="K11" s="53" t="s">
        <v>4</v>
      </c>
      <c r="L11" s="53" t="s">
        <v>4</v>
      </c>
      <c r="M11" s="53" t="s">
        <v>4</v>
      </c>
      <c r="N11" s="53" t="s">
        <v>4</v>
      </c>
      <c r="O11" s="53" t="s">
        <v>4</v>
      </c>
      <c r="P11" s="53" t="s">
        <v>4</v>
      </c>
      <c r="Q11" s="53" t="s">
        <v>4</v>
      </c>
      <c r="R11" s="43"/>
      <c r="S11" s="43"/>
      <c r="T11" s="43"/>
      <c r="U11" s="43"/>
    </row>
    <row r="12" spans="1:21" s="11" customFormat="1" x14ac:dyDescent="0.25">
      <c r="A12" s="51" t="s">
        <v>63</v>
      </c>
      <c r="B12" s="53" t="s">
        <v>4</v>
      </c>
      <c r="C12" s="53" t="s">
        <v>4</v>
      </c>
      <c r="D12" s="53" t="s">
        <v>4</v>
      </c>
      <c r="E12" s="53" t="s">
        <v>4</v>
      </c>
      <c r="F12" s="53" t="s">
        <v>4</v>
      </c>
      <c r="G12" s="53" t="s">
        <v>4</v>
      </c>
      <c r="H12" s="53" t="s">
        <v>4</v>
      </c>
      <c r="I12" s="53" t="s">
        <v>4</v>
      </c>
      <c r="J12" s="53" t="s">
        <v>4</v>
      </c>
      <c r="K12" s="53" t="s">
        <v>4</v>
      </c>
      <c r="L12" s="53" t="s">
        <v>4</v>
      </c>
      <c r="M12" s="53" t="s">
        <v>4</v>
      </c>
      <c r="N12" s="53" t="s">
        <v>4</v>
      </c>
      <c r="O12" s="53" t="s">
        <v>4</v>
      </c>
      <c r="P12" s="53" t="s">
        <v>4</v>
      </c>
      <c r="Q12" s="53" t="s">
        <v>4</v>
      </c>
      <c r="R12" s="43"/>
      <c r="S12" s="43"/>
      <c r="T12" s="43"/>
      <c r="U12" s="43"/>
    </row>
    <row r="13" spans="1:21" s="11" customFormat="1" x14ac:dyDescent="0.25">
      <c r="A13" s="51" t="s">
        <v>64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43"/>
      <c r="S13" s="43"/>
      <c r="T13" s="43"/>
      <c r="U13" s="43"/>
    </row>
    <row r="14" spans="1:21" s="11" customFormat="1" x14ac:dyDescent="0.25">
      <c r="A14" s="51" t="s">
        <v>65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53" t="s">
        <v>4</v>
      </c>
      <c r="P14" s="53" t="s">
        <v>4</v>
      </c>
      <c r="Q14" s="53" t="s">
        <v>4</v>
      </c>
      <c r="R14" s="43"/>
      <c r="S14" s="43"/>
      <c r="T14" s="43"/>
      <c r="U14" s="43"/>
    </row>
    <row r="15" spans="1:21" s="11" customFormat="1" x14ac:dyDescent="0.25">
      <c r="A15" s="51" t="s">
        <v>66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43"/>
      <c r="S15" s="43"/>
      <c r="T15" s="43"/>
      <c r="U15" s="43"/>
    </row>
    <row r="16" spans="1:21" s="11" customFormat="1" x14ac:dyDescent="0.25">
      <c r="A16" s="51" t="s">
        <v>67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3" t="s">
        <v>4</v>
      </c>
      <c r="H16" s="53" t="s">
        <v>4</v>
      </c>
      <c r="I16" s="53" t="s">
        <v>4</v>
      </c>
      <c r="J16" s="53" t="s">
        <v>4</v>
      </c>
      <c r="K16" s="53" t="s">
        <v>4</v>
      </c>
      <c r="L16" s="53" t="s">
        <v>4</v>
      </c>
      <c r="M16" s="53" t="s">
        <v>4</v>
      </c>
      <c r="N16" s="53" t="s">
        <v>4</v>
      </c>
      <c r="O16" s="53" t="s">
        <v>4</v>
      </c>
      <c r="P16" s="53" t="s">
        <v>4</v>
      </c>
      <c r="Q16" s="53" t="s">
        <v>4</v>
      </c>
      <c r="R16" s="43"/>
      <c r="S16" s="43"/>
      <c r="T16" s="43"/>
      <c r="U16" s="43"/>
    </row>
    <row r="17" spans="1:21" s="11" customFormat="1" x14ac:dyDescent="0.25">
      <c r="A17" s="51" t="s">
        <v>68</v>
      </c>
      <c r="B17" s="53" t="s">
        <v>4</v>
      </c>
      <c r="C17" s="53" t="s">
        <v>4</v>
      </c>
      <c r="D17" s="53" t="s">
        <v>4</v>
      </c>
      <c r="E17" s="53" t="s">
        <v>4</v>
      </c>
      <c r="F17" s="53" t="s">
        <v>4</v>
      </c>
      <c r="G17" s="53" t="s">
        <v>4</v>
      </c>
      <c r="H17" s="53" t="s">
        <v>4</v>
      </c>
      <c r="I17" s="53" t="s">
        <v>4</v>
      </c>
      <c r="J17" s="53" t="s">
        <v>4</v>
      </c>
      <c r="K17" s="53" t="s">
        <v>4</v>
      </c>
      <c r="L17" s="53" t="s">
        <v>4</v>
      </c>
      <c r="M17" s="53" t="s">
        <v>4</v>
      </c>
      <c r="N17" s="53" t="s">
        <v>4</v>
      </c>
      <c r="O17" s="53" t="s">
        <v>4</v>
      </c>
      <c r="P17" s="53" t="s">
        <v>4</v>
      </c>
      <c r="Q17" s="53" t="s">
        <v>4</v>
      </c>
      <c r="R17" s="43"/>
      <c r="S17" s="43"/>
      <c r="T17" s="43"/>
      <c r="U17" s="43"/>
    </row>
    <row r="18" spans="1:21" s="11" customFormat="1" x14ac:dyDescent="0.25">
      <c r="A18" s="51" t="s">
        <v>69</v>
      </c>
      <c r="B18" s="53" t="s">
        <v>4</v>
      </c>
      <c r="C18" s="53" t="s">
        <v>4</v>
      </c>
      <c r="D18" s="53" t="s">
        <v>4</v>
      </c>
      <c r="E18" s="53" t="s">
        <v>4</v>
      </c>
      <c r="F18" s="53" t="s">
        <v>4</v>
      </c>
      <c r="G18" s="53" t="s">
        <v>4</v>
      </c>
      <c r="H18" s="53" t="s">
        <v>4</v>
      </c>
      <c r="I18" s="53" t="s">
        <v>4</v>
      </c>
      <c r="J18" s="53" t="s">
        <v>4</v>
      </c>
      <c r="K18" s="53" t="s">
        <v>4</v>
      </c>
      <c r="L18" s="53" t="s">
        <v>4</v>
      </c>
      <c r="M18" s="53" t="s">
        <v>4</v>
      </c>
      <c r="N18" s="53" t="s">
        <v>4</v>
      </c>
      <c r="O18" s="53" t="s">
        <v>4</v>
      </c>
      <c r="P18" s="53" t="s">
        <v>4</v>
      </c>
      <c r="Q18" s="53" t="s">
        <v>4</v>
      </c>
      <c r="R18" s="43"/>
      <c r="S18" s="43"/>
      <c r="T18" s="43"/>
      <c r="U18" s="43"/>
    </row>
    <row r="19" spans="1:21" s="11" customFormat="1" x14ac:dyDescent="0.25">
      <c r="A19" s="51" t="s">
        <v>70</v>
      </c>
      <c r="B19" s="53" t="s">
        <v>4</v>
      </c>
      <c r="C19" s="53" t="s">
        <v>4</v>
      </c>
      <c r="D19" s="53" t="s">
        <v>4</v>
      </c>
      <c r="E19" s="53" t="s">
        <v>4</v>
      </c>
      <c r="F19" s="53" t="s">
        <v>4</v>
      </c>
      <c r="G19" s="53" t="s">
        <v>4</v>
      </c>
      <c r="H19" s="53" t="s">
        <v>4</v>
      </c>
      <c r="I19" s="53" t="s">
        <v>4</v>
      </c>
      <c r="J19" s="53" t="s">
        <v>4</v>
      </c>
      <c r="K19" s="53" t="s">
        <v>4</v>
      </c>
      <c r="L19" s="53" t="s">
        <v>4</v>
      </c>
      <c r="M19" s="53" t="s">
        <v>4</v>
      </c>
      <c r="N19" s="53" t="s">
        <v>4</v>
      </c>
      <c r="O19" s="53" t="s">
        <v>4</v>
      </c>
      <c r="P19" s="53" t="s">
        <v>4</v>
      </c>
      <c r="Q19" s="53" t="s">
        <v>4</v>
      </c>
      <c r="R19" s="43"/>
      <c r="S19" s="43"/>
      <c r="T19" s="43"/>
      <c r="U19" s="43"/>
    </row>
    <row r="20" spans="1:21" s="11" customFormat="1" x14ac:dyDescent="0.25">
      <c r="A20" s="51" t="s">
        <v>71</v>
      </c>
      <c r="B20" s="53" t="s">
        <v>4</v>
      </c>
      <c r="C20" s="53" t="s">
        <v>4</v>
      </c>
      <c r="D20" s="53" t="s">
        <v>4</v>
      </c>
      <c r="E20" s="53" t="s">
        <v>4</v>
      </c>
      <c r="F20" s="53" t="s">
        <v>4</v>
      </c>
      <c r="G20" s="53" t="s">
        <v>4</v>
      </c>
      <c r="H20" s="53" t="s">
        <v>4</v>
      </c>
      <c r="I20" s="53" t="s">
        <v>4</v>
      </c>
      <c r="J20" s="53" t="s">
        <v>4</v>
      </c>
      <c r="K20" s="53" t="s">
        <v>4</v>
      </c>
      <c r="L20" s="53" t="s">
        <v>4</v>
      </c>
      <c r="M20" s="53" t="s">
        <v>4</v>
      </c>
      <c r="N20" s="53" t="s">
        <v>4</v>
      </c>
      <c r="O20" s="53" t="s">
        <v>4</v>
      </c>
      <c r="P20" s="53" t="s">
        <v>4</v>
      </c>
      <c r="Q20" s="53" t="s">
        <v>4</v>
      </c>
      <c r="R20" s="43"/>
      <c r="S20" s="43"/>
      <c r="T20" s="43"/>
      <c r="U20" s="43"/>
    </row>
    <row r="21" spans="1:21" s="11" customFormat="1" x14ac:dyDescent="0.25">
      <c r="A21" s="51" t="s">
        <v>72</v>
      </c>
      <c r="B21" s="53" t="s">
        <v>4</v>
      </c>
      <c r="C21" s="53" t="s">
        <v>4</v>
      </c>
      <c r="D21" s="53" t="s">
        <v>4</v>
      </c>
      <c r="E21" s="53" t="s">
        <v>4</v>
      </c>
      <c r="F21" s="53" t="s">
        <v>4</v>
      </c>
      <c r="G21" s="53" t="s">
        <v>4</v>
      </c>
      <c r="H21" s="53" t="s">
        <v>4</v>
      </c>
      <c r="I21" s="53" t="s">
        <v>4</v>
      </c>
      <c r="J21" s="53" t="s">
        <v>4</v>
      </c>
      <c r="K21" s="53" t="s">
        <v>4</v>
      </c>
      <c r="L21" s="53" t="s">
        <v>4</v>
      </c>
      <c r="M21" s="53" t="s">
        <v>4</v>
      </c>
      <c r="N21" s="53" t="s">
        <v>4</v>
      </c>
      <c r="O21" s="53" t="s">
        <v>4</v>
      </c>
      <c r="P21" s="53" t="s">
        <v>4</v>
      </c>
      <c r="Q21" s="53" t="s">
        <v>4</v>
      </c>
      <c r="R21" s="43"/>
      <c r="S21" s="43"/>
      <c r="T21" s="43"/>
      <c r="U21" s="43"/>
    </row>
    <row r="22" spans="1:21" s="11" customFormat="1" x14ac:dyDescent="0.25">
      <c r="A22" s="51" t="s">
        <v>73</v>
      </c>
      <c r="B22" s="53" t="s">
        <v>4</v>
      </c>
      <c r="C22" s="53" t="s">
        <v>4</v>
      </c>
      <c r="D22" s="53" t="s">
        <v>4</v>
      </c>
      <c r="E22" s="53" t="s">
        <v>4</v>
      </c>
      <c r="F22" s="53" t="s">
        <v>4</v>
      </c>
      <c r="G22" s="53" t="s">
        <v>4</v>
      </c>
      <c r="H22" s="53" t="s">
        <v>4</v>
      </c>
      <c r="I22" s="53" t="s">
        <v>4</v>
      </c>
      <c r="J22" s="53" t="s">
        <v>4</v>
      </c>
      <c r="K22" s="53" t="s">
        <v>4</v>
      </c>
      <c r="L22" s="53" t="s">
        <v>4</v>
      </c>
      <c r="M22" s="53" t="s">
        <v>4</v>
      </c>
      <c r="N22" s="53" t="s">
        <v>4</v>
      </c>
      <c r="O22" s="53" t="s">
        <v>4</v>
      </c>
      <c r="P22" s="53" t="s">
        <v>4</v>
      </c>
      <c r="Q22" s="53" t="s">
        <v>4</v>
      </c>
      <c r="R22" s="43"/>
      <c r="S22" s="43"/>
      <c r="T22" s="43"/>
      <c r="U22" s="43"/>
    </row>
    <row r="23" spans="1:21" s="11" customFormat="1" x14ac:dyDescent="0.25">
      <c r="A23" s="51" t="s">
        <v>74</v>
      </c>
      <c r="B23" s="53" t="s">
        <v>4</v>
      </c>
      <c r="C23" s="53" t="s">
        <v>4</v>
      </c>
      <c r="D23" s="53" t="s">
        <v>4</v>
      </c>
      <c r="E23" s="53" t="s">
        <v>4</v>
      </c>
      <c r="F23" s="53" t="s">
        <v>4</v>
      </c>
      <c r="G23" s="53" t="s">
        <v>4</v>
      </c>
      <c r="H23" s="53" t="s">
        <v>4</v>
      </c>
      <c r="I23" s="53" t="s">
        <v>4</v>
      </c>
      <c r="J23" s="53" t="s">
        <v>4</v>
      </c>
      <c r="K23" s="53" t="s">
        <v>4</v>
      </c>
      <c r="L23" s="53" t="s">
        <v>4</v>
      </c>
      <c r="M23" s="53" t="s">
        <v>4</v>
      </c>
      <c r="N23" s="53" t="s">
        <v>4</v>
      </c>
      <c r="O23" s="53" t="s">
        <v>4</v>
      </c>
      <c r="P23" s="53" t="s">
        <v>4</v>
      </c>
      <c r="Q23" s="53" t="s">
        <v>4</v>
      </c>
      <c r="R23" s="43"/>
      <c r="S23" s="43"/>
      <c r="T23" s="43"/>
      <c r="U23" s="43"/>
    </row>
    <row r="24" spans="1:21" s="11" customFormat="1" x14ac:dyDescent="0.25">
      <c r="A24" s="51" t="s">
        <v>75</v>
      </c>
      <c r="B24" s="53" t="s">
        <v>4</v>
      </c>
      <c r="C24" s="53" t="s">
        <v>4</v>
      </c>
      <c r="D24" s="53" t="s">
        <v>4</v>
      </c>
      <c r="E24" s="53" t="s">
        <v>4</v>
      </c>
      <c r="F24" s="53" t="s">
        <v>4</v>
      </c>
      <c r="G24" s="53" t="s">
        <v>4</v>
      </c>
      <c r="H24" s="53" t="s">
        <v>4</v>
      </c>
      <c r="I24" s="53" t="s">
        <v>4</v>
      </c>
      <c r="J24" s="53" t="s">
        <v>4</v>
      </c>
      <c r="K24" s="53" t="s">
        <v>4</v>
      </c>
      <c r="L24" s="53" t="s">
        <v>4</v>
      </c>
      <c r="M24" s="53" t="s">
        <v>4</v>
      </c>
      <c r="N24" s="53" t="s">
        <v>4</v>
      </c>
      <c r="O24" s="53" t="s">
        <v>4</v>
      </c>
      <c r="P24" s="53" t="s">
        <v>4</v>
      </c>
      <c r="Q24" s="53" t="s">
        <v>4</v>
      </c>
      <c r="R24" s="43"/>
      <c r="S24" s="43"/>
      <c r="T24" s="43"/>
      <c r="U24" s="43"/>
    </row>
    <row r="25" spans="1:21" s="11" customFormat="1" x14ac:dyDescent="0.25">
      <c r="A25" s="51" t="s">
        <v>76</v>
      </c>
      <c r="B25" s="53" t="s">
        <v>4</v>
      </c>
      <c r="C25" s="53" t="s">
        <v>4</v>
      </c>
      <c r="D25" s="53" t="s">
        <v>4</v>
      </c>
      <c r="E25" s="53" t="s">
        <v>4</v>
      </c>
      <c r="F25" s="53" t="s">
        <v>4</v>
      </c>
      <c r="G25" s="53" t="s">
        <v>4</v>
      </c>
      <c r="H25" s="53" t="s">
        <v>4</v>
      </c>
      <c r="I25" s="53" t="s">
        <v>4</v>
      </c>
      <c r="J25" s="53" t="s">
        <v>4</v>
      </c>
      <c r="K25" s="53" t="s">
        <v>4</v>
      </c>
      <c r="L25" s="53" t="s">
        <v>4</v>
      </c>
      <c r="M25" s="53" t="s">
        <v>4</v>
      </c>
      <c r="N25" s="53" t="s">
        <v>4</v>
      </c>
      <c r="O25" s="53" t="s">
        <v>4</v>
      </c>
      <c r="P25" s="53" t="s">
        <v>4</v>
      </c>
      <c r="Q25" s="53" t="s">
        <v>4</v>
      </c>
      <c r="R25" s="43"/>
      <c r="S25" s="43"/>
      <c r="T25" s="43"/>
      <c r="U25" s="43"/>
    </row>
    <row r="26" spans="1:21" s="11" customFormat="1" x14ac:dyDescent="0.25">
      <c r="A26" s="51" t="s">
        <v>77</v>
      </c>
      <c r="B26" s="53" t="s">
        <v>4</v>
      </c>
      <c r="C26" s="53" t="s">
        <v>4</v>
      </c>
      <c r="D26" s="53" t="s">
        <v>4</v>
      </c>
      <c r="E26" s="53" t="s">
        <v>4</v>
      </c>
      <c r="F26" s="53" t="s">
        <v>4</v>
      </c>
      <c r="G26" s="53" t="s">
        <v>4</v>
      </c>
      <c r="H26" s="53" t="s">
        <v>4</v>
      </c>
      <c r="I26" s="53" t="s">
        <v>4</v>
      </c>
      <c r="J26" s="53" t="s">
        <v>4</v>
      </c>
      <c r="K26" s="53" t="s">
        <v>4</v>
      </c>
      <c r="L26" s="53" t="s">
        <v>4</v>
      </c>
      <c r="M26" s="53" t="s">
        <v>4</v>
      </c>
      <c r="N26" s="53" t="s">
        <v>4</v>
      </c>
      <c r="O26" s="53" t="s">
        <v>4</v>
      </c>
      <c r="P26" s="53" t="s">
        <v>4</v>
      </c>
      <c r="Q26" s="53" t="s">
        <v>4</v>
      </c>
      <c r="R26" s="43"/>
      <c r="S26" s="43"/>
      <c r="T26" s="43"/>
      <c r="U26" s="43"/>
    </row>
    <row r="27" spans="1:21" s="11" customFormat="1" x14ac:dyDescent="0.25">
      <c r="A27" s="51" t="s">
        <v>78</v>
      </c>
      <c r="B27" s="53" t="s">
        <v>4</v>
      </c>
      <c r="C27" s="53" t="s">
        <v>4</v>
      </c>
      <c r="D27" s="53" t="s">
        <v>4</v>
      </c>
      <c r="E27" s="53" t="s">
        <v>4</v>
      </c>
      <c r="F27" s="53" t="s">
        <v>4</v>
      </c>
      <c r="G27" s="53" t="s">
        <v>4</v>
      </c>
      <c r="H27" s="53" t="s">
        <v>4</v>
      </c>
      <c r="I27" s="53" t="s">
        <v>4</v>
      </c>
      <c r="J27" s="53" t="s">
        <v>4</v>
      </c>
      <c r="K27" s="53" t="s">
        <v>4</v>
      </c>
      <c r="L27" s="53" t="s">
        <v>4</v>
      </c>
      <c r="M27" s="53" t="s">
        <v>4</v>
      </c>
      <c r="N27" s="53" t="s">
        <v>4</v>
      </c>
      <c r="O27" s="53" t="s">
        <v>4</v>
      </c>
      <c r="P27" s="53" t="s">
        <v>4</v>
      </c>
      <c r="Q27" s="53" t="s">
        <v>4</v>
      </c>
      <c r="R27" s="43"/>
      <c r="S27" s="43"/>
      <c r="T27" s="43"/>
      <c r="U27" s="43"/>
    </row>
    <row r="28" spans="1:21" s="11" customFormat="1" x14ac:dyDescent="0.25">
      <c r="A28" s="51" t="s">
        <v>79</v>
      </c>
      <c r="B28" s="53" t="s">
        <v>4</v>
      </c>
      <c r="C28" s="53" t="s">
        <v>4</v>
      </c>
      <c r="D28" s="53" t="s">
        <v>4</v>
      </c>
      <c r="E28" s="53" t="s">
        <v>4</v>
      </c>
      <c r="F28" s="53" t="s">
        <v>4</v>
      </c>
      <c r="G28" s="53" t="s">
        <v>4</v>
      </c>
      <c r="H28" s="53" t="s">
        <v>4</v>
      </c>
      <c r="I28" s="53" t="s">
        <v>4</v>
      </c>
      <c r="J28" s="53" t="s">
        <v>4</v>
      </c>
      <c r="K28" s="53" t="s">
        <v>4</v>
      </c>
      <c r="L28" s="53" t="s">
        <v>4</v>
      </c>
      <c r="M28" s="53" t="s">
        <v>4</v>
      </c>
      <c r="N28" s="53" t="s">
        <v>4</v>
      </c>
      <c r="O28" s="53" t="s">
        <v>4</v>
      </c>
      <c r="P28" s="53" t="s">
        <v>4</v>
      </c>
      <c r="Q28" s="53" t="s">
        <v>4</v>
      </c>
      <c r="R28" s="43"/>
      <c r="S28" s="43"/>
      <c r="T28" s="43"/>
      <c r="U28" s="43"/>
    </row>
    <row r="29" spans="1:21" s="11" customFormat="1" x14ac:dyDescent="0.25">
      <c r="A29" s="51" t="s">
        <v>80</v>
      </c>
      <c r="B29" s="53" t="s">
        <v>4</v>
      </c>
      <c r="C29" s="53" t="s">
        <v>4</v>
      </c>
      <c r="D29" s="53" t="s">
        <v>4</v>
      </c>
      <c r="E29" s="53" t="s">
        <v>4</v>
      </c>
      <c r="F29" s="53" t="s">
        <v>4</v>
      </c>
      <c r="G29" s="53" t="s">
        <v>4</v>
      </c>
      <c r="H29" s="53" t="s">
        <v>4</v>
      </c>
      <c r="I29" s="53" t="s">
        <v>4</v>
      </c>
      <c r="J29" s="53" t="s">
        <v>4</v>
      </c>
      <c r="K29" s="53" t="s">
        <v>4</v>
      </c>
      <c r="L29" s="53" t="s">
        <v>4</v>
      </c>
      <c r="M29" s="53" t="s">
        <v>4</v>
      </c>
      <c r="N29" s="53" t="s">
        <v>4</v>
      </c>
      <c r="O29" s="53" t="s">
        <v>4</v>
      </c>
      <c r="P29" s="53" t="s">
        <v>4</v>
      </c>
      <c r="Q29" s="53" t="s">
        <v>4</v>
      </c>
      <c r="R29" s="43"/>
      <c r="S29" s="43"/>
      <c r="T29" s="43"/>
      <c r="U29" s="43"/>
    </row>
    <row r="30" spans="1:21" s="11" customFormat="1" x14ac:dyDescent="0.25">
      <c r="A30" s="51" t="s">
        <v>81</v>
      </c>
      <c r="B30" s="53" t="s">
        <v>4</v>
      </c>
      <c r="C30" s="53" t="s">
        <v>4</v>
      </c>
      <c r="D30" s="53" t="s">
        <v>4</v>
      </c>
      <c r="E30" s="53" t="s">
        <v>4</v>
      </c>
      <c r="F30" s="53" t="s">
        <v>4</v>
      </c>
      <c r="G30" s="53" t="s">
        <v>4</v>
      </c>
      <c r="H30" s="53" t="s">
        <v>4</v>
      </c>
      <c r="I30" s="53" t="s">
        <v>4</v>
      </c>
      <c r="J30" s="53" t="s">
        <v>4</v>
      </c>
      <c r="K30" s="53" t="s">
        <v>4</v>
      </c>
      <c r="L30" s="53" t="s">
        <v>4</v>
      </c>
      <c r="M30" s="53" t="s">
        <v>4</v>
      </c>
      <c r="N30" s="53" t="s">
        <v>4</v>
      </c>
      <c r="O30" s="53" t="s">
        <v>4</v>
      </c>
      <c r="P30" s="53" t="s">
        <v>4</v>
      </c>
      <c r="Q30" s="53" t="s">
        <v>4</v>
      </c>
      <c r="R30" s="43"/>
      <c r="S30" s="43"/>
      <c r="T30" s="43"/>
      <c r="U30" s="43"/>
    </row>
    <row r="31" spans="1:21" s="11" customFormat="1" x14ac:dyDescent="0.25">
      <c r="A31" s="51" t="s">
        <v>82</v>
      </c>
      <c r="B31" s="53" t="s">
        <v>4</v>
      </c>
      <c r="C31" s="53" t="s">
        <v>4</v>
      </c>
      <c r="D31" s="53" t="s">
        <v>4</v>
      </c>
      <c r="E31" s="53" t="s">
        <v>4</v>
      </c>
      <c r="F31" s="53" t="s">
        <v>4</v>
      </c>
      <c r="G31" s="53" t="s">
        <v>4</v>
      </c>
      <c r="H31" s="53" t="s">
        <v>4</v>
      </c>
      <c r="I31" s="53" t="s">
        <v>4</v>
      </c>
      <c r="J31" s="53" t="s">
        <v>4</v>
      </c>
      <c r="K31" s="53" t="s">
        <v>4</v>
      </c>
      <c r="L31" s="53" t="s">
        <v>4</v>
      </c>
      <c r="M31" s="53" t="s">
        <v>4</v>
      </c>
      <c r="N31" s="53" t="s">
        <v>4</v>
      </c>
      <c r="O31" s="53" t="s">
        <v>4</v>
      </c>
      <c r="P31" s="53" t="s">
        <v>4</v>
      </c>
      <c r="Q31" s="53" t="s">
        <v>4</v>
      </c>
      <c r="R31" s="43"/>
      <c r="S31" s="43"/>
      <c r="T31" s="43"/>
      <c r="U31" s="43"/>
    </row>
    <row r="32" spans="1:21" s="11" customFormat="1" x14ac:dyDescent="0.25">
      <c r="A32" s="51" t="s">
        <v>83</v>
      </c>
      <c r="B32" s="53" t="s">
        <v>4</v>
      </c>
      <c r="C32" s="53" t="s">
        <v>4</v>
      </c>
      <c r="D32" s="53" t="s">
        <v>4</v>
      </c>
      <c r="E32" s="53" t="s">
        <v>4</v>
      </c>
      <c r="F32" s="53" t="s">
        <v>4</v>
      </c>
      <c r="G32" s="53" t="s">
        <v>4</v>
      </c>
      <c r="H32" s="53" t="s">
        <v>4</v>
      </c>
      <c r="I32" s="53" t="s">
        <v>4</v>
      </c>
      <c r="J32" s="53" t="s">
        <v>4</v>
      </c>
      <c r="K32" s="53" t="s">
        <v>4</v>
      </c>
      <c r="L32" s="53" t="s">
        <v>4</v>
      </c>
      <c r="M32" s="53" t="s">
        <v>4</v>
      </c>
      <c r="N32" s="53" t="s">
        <v>4</v>
      </c>
      <c r="O32" s="53" t="s">
        <v>4</v>
      </c>
      <c r="P32" s="53" t="s">
        <v>4</v>
      </c>
      <c r="Q32" s="53" t="s">
        <v>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0</v>
      </c>
      <c r="F34" s="28">
        <f t="shared" si="0"/>
        <v>0</v>
      </c>
      <c r="G34" s="28">
        <f t="shared" si="0"/>
        <v>0</v>
      </c>
      <c r="H34" s="28">
        <f t="shared" si="0"/>
        <v>0</v>
      </c>
      <c r="I34" s="28">
        <f t="shared" si="0"/>
        <v>0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0</v>
      </c>
      <c r="F35" s="29">
        <f t="shared" si="1"/>
        <v>0</v>
      </c>
      <c r="G35" s="29">
        <f t="shared" si="1"/>
        <v>0</v>
      </c>
      <c r="H35" s="29">
        <f t="shared" si="1"/>
        <v>0</v>
      </c>
      <c r="I35" s="29">
        <f t="shared" si="1"/>
        <v>0</v>
      </c>
      <c r="J35" s="29">
        <f t="shared" si="1"/>
        <v>0</v>
      </c>
      <c r="K35" s="29">
        <f t="shared" si="1"/>
        <v>0</v>
      </c>
      <c r="L35" s="29">
        <f t="shared" si="1"/>
        <v>0</v>
      </c>
      <c r="M35" s="29">
        <f t="shared" si="1"/>
        <v>0</v>
      </c>
      <c r="N35" s="29">
        <f t="shared" si="1"/>
        <v>0</v>
      </c>
      <c r="O35" s="29">
        <f t="shared" si="1"/>
        <v>0</v>
      </c>
      <c r="P35" s="29">
        <f t="shared" si="1"/>
        <v>0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 t="e">
        <f t="shared" si="2"/>
        <v>#DIV/0!</v>
      </c>
      <c r="F36" s="28" t="e">
        <f t="shared" si="2"/>
        <v>#DIV/0!</v>
      </c>
      <c r="G36" s="28" t="e">
        <f t="shared" si="2"/>
        <v>#DIV/0!</v>
      </c>
      <c r="H36" s="28" t="e">
        <f t="shared" si="2"/>
        <v>#DIV/0!</v>
      </c>
      <c r="I36" s="28" t="e">
        <f t="shared" si="2"/>
        <v>#DIV/0!</v>
      </c>
      <c r="J36" s="28" t="e">
        <f t="shared" si="2"/>
        <v>#DIV/0!</v>
      </c>
      <c r="K36" s="28" t="e">
        <f t="shared" si="2"/>
        <v>#DIV/0!</v>
      </c>
      <c r="L36" s="28" t="e">
        <f t="shared" si="2"/>
        <v>#DIV/0!</v>
      </c>
      <c r="M36" s="28" t="e">
        <f t="shared" si="2"/>
        <v>#DIV/0!</v>
      </c>
      <c r="N36" s="28" t="e">
        <f t="shared" si="2"/>
        <v>#DIV/0!</v>
      </c>
      <c r="O36" s="28" t="e">
        <f t="shared" si="2"/>
        <v>#DIV/0!</v>
      </c>
      <c r="P36" s="28" t="e">
        <f t="shared" si="2"/>
        <v>#DIV/0!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 t="e">
        <f t="shared" si="3"/>
        <v>#DIV/0!</v>
      </c>
      <c r="F37" s="28" t="e">
        <f t="shared" si="3"/>
        <v>#DIV/0!</v>
      </c>
      <c r="G37" s="28" t="e">
        <f t="shared" si="3"/>
        <v>#DIV/0!</v>
      </c>
      <c r="H37" s="28" t="e">
        <f t="shared" si="3"/>
        <v>#DIV/0!</v>
      </c>
      <c r="I37" s="28" t="e">
        <f t="shared" si="3"/>
        <v>#DIV/0!</v>
      </c>
      <c r="J37" s="28" t="e">
        <f t="shared" si="3"/>
        <v>#DIV/0!</v>
      </c>
      <c r="K37" s="28" t="e">
        <f t="shared" si="3"/>
        <v>#DIV/0!</v>
      </c>
      <c r="L37" s="28" t="e">
        <f t="shared" si="3"/>
        <v>#DIV/0!</v>
      </c>
      <c r="M37" s="28" t="e">
        <f t="shared" si="3"/>
        <v>#DIV/0!</v>
      </c>
      <c r="N37" s="28" t="e">
        <f t="shared" si="3"/>
        <v>#DIV/0!</v>
      </c>
      <c r="O37" s="28" t="e">
        <f t="shared" si="3"/>
        <v>#DIV/0!</v>
      </c>
      <c r="P37" s="28" t="e">
        <f t="shared" si="3"/>
        <v>#DIV/0!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Q38" si="4">COUNT(C9:C32)+24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84</v>
      </c>
      <c r="B9" s="53" t="s">
        <v>4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43"/>
      <c r="S9" s="43"/>
      <c r="T9" s="43"/>
      <c r="U9" s="43"/>
    </row>
    <row r="10" spans="1:21" s="11" customFormat="1" x14ac:dyDescent="0.25">
      <c r="A10" s="51" t="s">
        <v>85</v>
      </c>
      <c r="B10" s="53" t="s">
        <v>4</v>
      </c>
      <c r="C10" s="53" t="s">
        <v>4</v>
      </c>
      <c r="D10" s="53" t="s">
        <v>4</v>
      </c>
      <c r="E10" s="53" t="s">
        <v>4</v>
      </c>
      <c r="F10" s="53" t="s">
        <v>4</v>
      </c>
      <c r="G10" s="53" t="s">
        <v>4</v>
      </c>
      <c r="H10" s="53" t="s">
        <v>4</v>
      </c>
      <c r="I10" s="53" t="s">
        <v>4</v>
      </c>
      <c r="J10" s="53" t="s">
        <v>4</v>
      </c>
      <c r="K10" s="53" t="s">
        <v>4</v>
      </c>
      <c r="L10" s="53" t="s">
        <v>4</v>
      </c>
      <c r="M10" s="53" t="s">
        <v>4</v>
      </c>
      <c r="N10" s="53" t="s">
        <v>4</v>
      </c>
      <c r="O10" s="53" t="s">
        <v>4</v>
      </c>
      <c r="P10" s="53" t="s">
        <v>4</v>
      </c>
      <c r="Q10" s="53" t="s">
        <v>4</v>
      </c>
      <c r="R10" s="43"/>
      <c r="S10" s="43"/>
      <c r="T10" s="43"/>
      <c r="U10" s="43"/>
    </row>
    <row r="11" spans="1:21" s="11" customFormat="1" x14ac:dyDescent="0.25">
      <c r="A11" s="51" t="s">
        <v>86</v>
      </c>
      <c r="B11" s="53" t="s">
        <v>4</v>
      </c>
      <c r="C11" s="53" t="s">
        <v>4</v>
      </c>
      <c r="D11" s="53" t="s">
        <v>4</v>
      </c>
      <c r="E11" s="53" t="s">
        <v>4</v>
      </c>
      <c r="F11" s="53" t="s">
        <v>4</v>
      </c>
      <c r="G11" s="53" t="s">
        <v>4</v>
      </c>
      <c r="H11" s="53" t="s">
        <v>4</v>
      </c>
      <c r="I11" s="53" t="s">
        <v>4</v>
      </c>
      <c r="J11" s="53" t="s">
        <v>4</v>
      </c>
      <c r="K11" s="53" t="s">
        <v>4</v>
      </c>
      <c r="L11" s="53" t="s">
        <v>4</v>
      </c>
      <c r="M11" s="53" t="s">
        <v>4</v>
      </c>
      <c r="N11" s="53" t="s">
        <v>4</v>
      </c>
      <c r="O11" s="53" t="s">
        <v>4</v>
      </c>
      <c r="P11" s="53" t="s">
        <v>4</v>
      </c>
      <c r="Q11" s="53" t="s">
        <v>4</v>
      </c>
      <c r="R11" s="43"/>
      <c r="S11" s="43"/>
      <c r="T11" s="43"/>
      <c r="U11" s="43"/>
    </row>
    <row r="12" spans="1:21" s="11" customFormat="1" x14ac:dyDescent="0.25">
      <c r="A12" s="51" t="s">
        <v>87</v>
      </c>
      <c r="B12" s="53" t="s">
        <v>4</v>
      </c>
      <c r="C12" s="53" t="s">
        <v>4</v>
      </c>
      <c r="D12" s="53" t="s">
        <v>4</v>
      </c>
      <c r="E12" s="53" t="s">
        <v>4</v>
      </c>
      <c r="F12" s="53" t="s">
        <v>4</v>
      </c>
      <c r="G12" s="53" t="s">
        <v>4</v>
      </c>
      <c r="H12" s="53" t="s">
        <v>4</v>
      </c>
      <c r="I12" s="53" t="s">
        <v>4</v>
      </c>
      <c r="J12" s="53" t="s">
        <v>4</v>
      </c>
      <c r="K12" s="53" t="s">
        <v>4</v>
      </c>
      <c r="L12" s="53" t="s">
        <v>4</v>
      </c>
      <c r="M12" s="53" t="s">
        <v>4</v>
      </c>
      <c r="N12" s="53" t="s">
        <v>4</v>
      </c>
      <c r="O12" s="53" t="s">
        <v>4</v>
      </c>
      <c r="P12" s="53" t="s">
        <v>4</v>
      </c>
      <c r="Q12" s="53" t="s">
        <v>4</v>
      </c>
      <c r="R12" s="43"/>
      <c r="S12" s="43"/>
      <c r="T12" s="43"/>
      <c r="U12" s="43"/>
    </row>
    <row r="13" spans="1:21" s="11" customFormat="1" x14ac:dyDescent="0.25">
      <c r="A13" s="51" t="s">
        <v>88</v>
      </c>
      <c r="B13" s="53" t="s">
        <v>4</v>
      </c>
      <c r="C13" s="53" t="s">
        <v>4</v>
      </c>
      <c r="D13" s="53" t="s">
        <v>4</v>
      </c>
      <c r="E13" s="53" t="s">
        <v>4</v>
      </c>
      <c r="F13" s="53" t="s">
        <v>4</v>
      </c>
      <c r="G13" s="53" t="s">
        <v>4</v>
      </c>
      <c r="H13" s="53" t="s">
        <v>4</v>
      </c>
      <c r="I13" s="53" t="s">
        <v>4</v>
      </c>
      <c r="J13" s="53" t="s">
        <v>4</v>
      </c>
      <c r="K13" s="53" t="s">
        <v>4</v>
      </c>
      <c r="L13" s="53" t="s">
        <v>4</v>
      </c>
      <c r="M13" s="53" t="s">
        <v>4</v>
      </c>
      <c r="N13" s="53" t="s">
        <v>4</v>
      </c>
      <c r="O13" s="53" t="s">
        <v>4</v>
      </c>
      <c r="P13" s="53" t="s">
        <v>4</v>
      </c>
      <c r="Q13" s="53" t="s">
        <v>4</v>
      </c>
      <c r="R13" s="43"/>
      <c r="S13" s="43"/>
      <c r="T13" s="43"/>
      <c r="U13" s="43"/>
    </row>
    <row r="14" spans="1:21" s="11" customFormat="1" x14ac:dyDescent="0.25">
      <c r="A14" s="51" t="s">
        <v>89</v>
      </c>
      <c r="B14" s="53" t="s">
        <v>4</v>
      </c>
      <c r="C14" s="53" t="s">
        <v>4</v>
      </c>
      <c r="D14" s="53" t="s">
        <v>4</v>
      </c>
      <c r="E14" s="53" t="s">
        <v>4</v>
      </c>
      <c r="F14" s="53" t="s">
        <v>4</v>
      </c>
      <c r="G14" s="53" t="s">
        <v>4</v>
      </c>
      <c r="H14" s="53" t="s">
        <v>4</v>
      </c>
      <c r="I14" s="53" t="s">
        <v>4</v>
      </c>
      <c r="J14" s="53" t="s">
        <v>4</v>
      </c>
      <c r="K14" s="53" t="s">
        <v>4</v>
      </c>
      <c r="L14" s="53" t="s">
        <v>4</v>
      </c>
      <c r="M14" s="53" t="s">
        <v>4</v>
      </c>
      <c r="N14" s="53" t="s">
        <v>4</v>
      </c>
      <c r="O14" s="53" t="s">
        <v>4</v>
      </c>
      <c r="P14" s="53" t="s">
        <v>4</v>
      </c>
      <c r="Q14" s="53" t="s">
        <v>4</v>
      </c>
      <c r="R14" s="43"/>
      <c r="S14" s="43"/>
      <c r="T14" s="43"/>
      <c r="U14" s="43"/>
    </row>
    <row r="15" spans="1:21" s="11" customFormat="1" x14ac:dyDescent="0.25">
      <c r="A15" s="51" t="s">
        <v>90</v>
      </c>
      <c r="B15" s="53" t="s">
        <v>4</v>
      </c>
      <c r="C15" s="53" t="s">
        <v>4</v>
      </c>
      <c r="D15" s="53" t="s">
        <v>4</v>
      </c>
      <c r="E15" s="53" t="s">
        <v>4</v>
      </c>
      <c r="F15" s="53" t="s">
        <v>4</v>
      </c>
      <c r="G15" s="53" t="s">
        <v>4</v>
      </c>
      <c r="H15" s="53" t="s">
        <v>4</v>
      </c>
      <c r="I15" s="53" t="s">
        <v>4</v>
      </c>
      <c r="J15" s="53" t="s">
        <v>4</v>
      </c>
      <c r="K15" s="53" t="s">
        <v>4</v>
      </c>
      <c r="L15" s="53" t="s">
        <v>4</v>
      </c>
      <c r="M15" s="53" t="s">
        <v>4</v>
      </c>
      <c r="N15" s="53" t="s">
        <v>4</v>
      </c>
      <c r="O15" s="53" t="s">
        <v>4</v>
      </c>
      <c r="P15" s="53" t="s">
        <v>4</v>
      </c>
      <c r="Q15" s="53" t="s">
        <v>4</v>
      </c>
      <c r="R15" s="43"/>
      <c r="S15" s="43"/>
      <c r="T15" s="43"/>
      <c r="U15" s="43"/>
    </row>
    <row r="16" spans="1:21" s="11" customFormat="1" x14ac:dyDescent="0.25">
      <c r="A16" s="51" t="s">
        <v>91</v>
      </c>
      <c r="B16" s="53" t="s">
        <v>4</v>
      </c>
      <c r="C16" s="53" t="s">
        <v>4</v>
      </c>
      <c r="D16" s="53" t="s">
        <v>4</v>
      </c>
      <c r="E16" s="53" t="s">
        <v>4</v>
      </c>
      <c r="F16" s="53" t="s">
        <v>4</v>
      </c>
      <c r="G16" s="53" t="s">
        <v>4</v>
      </c>
      <c r="H16" s="53" t="s">
        <v>4</v>
      </c>
      <c r="I16" s="53" t="s">
        <v>4</v>
      </c>
      <c r="J16" s="53" t="s">
        <v>4</v>
      </c>
      <c r="K16" s="53" t="s">
        <v>4</v>
      </c>
      <c r="L16" s="53" t="s">
        <v>4</v>
      </c>
      <c r="M16" s="53" t="s">
        <v>4</v>
      </c>
      <c r="N16" s="53" t="s">
        <v>4</v>
      </c>
      <c r="O16" s="53" t="s">
        <v>4</v>
      </c>
      <c r="P16" s="53" t="s">
        <v>4</v>
      </c>
      <c r="Q16" s="53" t="s">
        <v>4</v>
      </c>
      <c r="R16" s="43"/>
      <c r="S16" s="43"/>
      <c r="T16" s="43"/>
      <c r="U16" s="43"/>
    </row>
    <row r="17" spans="1:21" s="11" customFormat="1" x14ac:dyDescent="0.25">
      <c r="A17" s="51" t="s">
        <v>92</v>
      </c>
      <c r="B17" s="53" t="s">
        <v>4</v>
      </c>
      <c r="C17" s="53" t="s">
        <v>4</v>
      </c>
      <c r="D17" s="53" t="s">
        <v>4</v>
      </c>
      <c r="E17" s="53" t="s">
        <v>4</v>
      </c>
      <c r="F17" s="53" t="s">
        <v>4</v>
      </c>
      <c r="G17" s="53" t="s">
        <v>4</v>
      </c>
      <c r="H17" s="53" t="s">
        <v>4</v>
      </c>
      <c r="I17" s="53" t="s">
        <v>4</v>
      </c>
      <c r="J17" s="53" t="s">
        <v>4</v>
      </c>
      <c r="K17" s="53" t="s">
        <v>4</v>
      </c>
      <c r="L17" s="53" t="s">
        <v>4</v>
      </c>
      <c r="M17" s="53" t="s">
        <v>4</v>
      </c>
      <c r="N17" s="53" t="s">
        <v>4</v>
      </c>
      <c r="O17" s="53" t="s">
        <v>4</v>
      </c>
      <c r="P17" s="53" t="s">
        <v>4</v>
      </c>
      <c r="Q17" s="53" t="s">
        <v>4</v>
      </c>
      <c r="R17" s="43"/>
      <c r="S17" s="43"/>
      <c r="T17" s="43"/>
      <c r="U17" s="43"/>
    </row>
    <row r="18" spans="1:21" s="11" customFormat="1" x14ac:dyDescent="0.25">
      <c r="A18" s="51" t="s">
        <v>93</v>
      </c>
      <c r="B18" s="53" t="s">
        <v>4</v>
      </c>
      <c r="C18" s="53" t="s">
        <v>4</v>
      </c>
      <c r="D18" s="53" t="s">
        <v>4</v>
      </c>
      <c r="E18" s="53" t="s">
        <v>4</v>
      </c>
      <c r="F18" s="53" t="s">
        <v>4</v>
      </c>
      <c r="G18" s="53" t="s">
        <v>4</v>
      </c>
      <c r="H18" s="53" t="s">
        <v>4</v>
      </c>
      <c r="I18" s="53" t="s">
        <v>4</v>
      </c>
      <c r="J18" s="53" t="s">
        <v>4</v>
      </c>
      <c r="K18" s="53" t="s">
        <v>4</v>
      </c>
      <c r="L18" s="53" t="s">
        <v>4</v>
      </c>
      <c r="M18" s="53" t="s">
        <v>4</v>
      </c>
      <c r="N18" s="53" t="s">
        <v>4</v>
      </c>
      <c r="O18" s="53" t="s">
        <v>4</v>
      </c>
      <c r="P18" s="53" t="s">
        <v>4</v>
      </c>
      <c r="Q18" s="53" t="s">
        <v>4</v>
      </c>
      <c r="R18" s="43"/>
      <c r="S18" s="43"/>
      <c r="T18" s="43"/>
      <c r="U18" s="43"/>
    </row>
    <row r="19" spans="1:21" s="11" customFormat="1" x14ac:dyDescent="0.25">
      <c r="A19" s="51" t="s">
        <v>94</v>
      </c>
      <c r="B19" s="53" t="s">
        <v>4</v>
      </c>
      <c r="C19" s="53" t="s">
        <v>4</v>
      </c>
      <c r="D19" s="53" t="s">
        <v>4</v>
      </c>
      <c r="E19" s="53" t="s">
        <v>4</v>
      </c>
      <c r="F19" s="53" t="s">
        <v>4</v>
      </c>
      <c r="G19" s="53" t="s">
        <v>4</v>
      </c>
      <c r="H19" s="53" t="s">
        <v>4</v>
      </c>
      <c r="I19" s="53" t="s">
        <v>4</v>
      </c>
      <c r="J19" s="53" t="s">
        <v>4</v>
      </c>
      <c r="K19" s="53" t="s">
        <v>4</v>
      </c>
      <c r="L19" s="53" t="s">
        <v>4</v>
      </c>
      <c r="M19" s="53" t="s">
        <v>4</v>
      </c>
      <c r="N19" s="53" t="s">
        <v>4</v>
      </c>
      <c r="O19" s="53" t="s">
        <v>4</v>
      </c>
      <c r="P19" s="53" t="s">
        <v>4</v>
      </c>
      <c r="Q19" s="53" t="s">
        <v>4</v>
      </c>
      <c r="R19" s="43"/>
      <c r="S19" s="43"/>
      <c r="T19" s="43"/>
      <c r="U19" s="43"/>
    </row>
    <row r="20" spans="1:21" s="11" customFormat="1" x14ac:dyDescent="0.25">
      <c r="A20" s="51" t="s">
        <v>95</v>
      </c>
      <c r="B20" s="52">
        <v>8.52</v>
      </c>
      <c r="C20" s="52">
        <v>5.0199999999999996</v>
      </c>
      <c r="D20" s="52">
        <v>13.23</v>
      </c>
      <c r="E20" s="52">
        <v>3.69</v>
      </c>
      <c r="F20" s="52">
        <v>5.05</v>
      </c>
      <c r="G20" s="52">
        <v>13.48</v>
      </c>
      <c r="H20" s="52">
        <v>4.95</v>
      </c>
      <c r="I20" s="52">
        <v>0.41</v>
      </c>
      <c r="J20" s="52">
        <v>0.34</v>
      </c>
      <c r="K20" s="52">
        <v>354.58</v>
      </c>
      <c r="L20" s="52">
        <v>26.45</v>
      </c>
      <c r="M20" s="52">
        <v>100.37</v>
      </c>
      <c r="N20" s="52">
        <v>125.2</v>
      </c>
      <c r="O20" s="52">
        <v>0</v>
      </c>
      <c r="P20" s="52">
        <v>0.37</v>
      </c>
      <c r="Q20" s="52">
        <v>9.18</v>
      </c>
      <c r="R20" s="43"/>
      <c r="S20" s="43"/>
      <c r="T20" s="43"/>
      <c r="U20" s="43"/>
    </row>
    <row r="21" spans="1:21" s="11" customFormat="1" x14ac:dyDescent="0.25">
      <c r="A21" s="51" t="s">
        <v>96</v>
      </c>
      <c r="B21" s="52">
        <v>8.09</v>
      </c>
      <c r="C21" s="52">
        <v>3.38</v>
      </c>
      <c r="D21" s="52">
        <v>12.03</v>
      </c>
      <c r="E21" s="52">
        <v>3.46</v>
      </c>
      <c r="F21" s="52">
        <v>5.55</v>
      </c>
      <c r="G21" s="52">
        <v>9.85</v>
      </c>
      <c r="H21" s="52">
        <v>4.49</v>
      </c>
      <c r="I21" s="52">
        <v>0.9</v>
      </c>
      <c r="J21" s="52">
        <v>0.35</v>
      </c>
      <c r="K21" s="52">
        <v>355.45</v>
      </c>
      <c r="L21" s="52">
        <v>26.33</v>
      </c>
      <c r="M21" s="52">
        <v>100.4</v>
      </c>
      <c r="N21" s="52">
        <v>158.19999999999999</v>
      </c>
      <c r="O21" s="52">
        <v>0</v>
      </c>
      <c r="P21" s="52">
        <v>0.34</v>
      </c>
      <c r="Q21" s="52">
        <v>9.1999999999999993</v>
      </c>
      <c r="R21" s="43"/>
      <c r="S21" s="43"/>
      <c r="T21" s="43"/>
      <c r="U21" s="43"/>
    </row>
    <row r="22" spans="1:21" s="11" customFormat="1" x14ac:dyDescent="0.25">
      <c r="A22" s="51" t="s">
        <v>97</v>
      </c>
      <c r="B22" s="52">
        <v>8</v>
      </c>
      <c r="C22" s="52">
        <v>3.08</v>
      </c>
      <c r="D22" s="52">
        <v>11.8</v>
      </c>
      <c r="E22" s="52">
        <v>3.81</v>
      </c>
      <c r="F22" s="52">
        <v>5.76</v>
      </c>
      <c r="G22" s="52">
        <v>7.34</v>
      </c>
      <c r="H22" s="52">
        <v>3.84</v>
      </c>
      <c r="I22" s="52">
        <v>0.88</v>
      </c>
      <c r="J22" s="52">
        <v>0.41</v>
      </c>
      <c r="K22" s="52">
        <v>354.19</v>
      </c>
      <c r="L22" s="52">
        <v>26.33</v>
      </c>
      <c r="M22" s="52">
        <v>100.4</v>
      </c>
      <c r="N22" s="52">
        <v>174</v>
      </c>
      <c r="O22" s="52">
        <v>0</v>
      </c>
      <c r="P22" s="52">
        <v>0.34</v>
      </c>
      <c r="Q22" s="52">
        <v>9.2100000000000009</v>
      </c>
      <c r="R22" s="43"/>
      <c r="S22" s="43"/>
      <c r="T22" s="43"/>
      <c r="U22" s="43"/>
    </row>
    <row r="23" spans="1:21" s="11" customFormat="1" x14ac:dyDescent="0.25">
      <c r="A23" s="51" t="s">
        <v>98</v>
      </c>
      <c r="B23" s="52">
        <v>8.16</v>
      </c>
      <c r="C23" s="52">
        <v>3.47</v>
      </c>
      <c r="D23" s="52">
        <v>12.13</v>
      </c>
      <c r="E23" s="52">
        <v>4.4000000000000004</v>
      </c>
      <c r="F23" s="52">
        <v>5.21</v>
      </c>
      <c r="G23" s="52">
        <v>24.86</v>
      </c>
      <c r="H23" s="52">
        <v>8.11</v>
      </c>
      <c r="I23" s="52">
        <v>0.84</v>
      </c>
      <c r="J23" s="52">
        <v>0.44</v>
      </c>
      <c r="K23" s="52">
        <v>359.64</v>
      </c>
      <c r="L23" s="52">
        <v>26.19</v>
      </c>
      <c r="M23" s="52">
        <v>100.46</v>
      </c>
      <c r="N23" s="52">
        <v>140.1</v>
      </c>
      <c r="O23" s="52">
        <v>0.2</v>
      </c>
      <c r="P23" s="52">
        <v>0.35</v>
      </c>
      <c r="Q23" s="52">
        <v>9.25</v>
      </c>
      <c r="R23" s="43"/>
      <c r="S23" s="43"/>
      <c r="T23" s="43"/>
      <c r="U23" s="43"/>
    </row>
    <row r="24" spans="1:21" s="11" customFormat="1" x14ac:dyDescent="0.25">
      <c r="A24" s="51" t="s">
        <v>99</v>
      </c>
      <c r="B24" s="52">
        <v>8.2100000000000009</v>
      </c>
      <c r="C24" s="52">
        <v>3.62</v>
      </c>
      <c r="D24" s="52">
        <v>12.25</v>
      </c>
      <c r="E24" s="52">
        <v>4.13</v>
      </c>
      <c r="F24" s="52">
        <v>7.67</v>
      </c>
      <c r="G24" s="52">
        <v>24.86</v>
      </c>
      <c r="H24" s="52">
        <v>8.11</v>
      </c>
      <c r="I24" s="52">
        <v>0.94</v>
      </c>
      <c r="J24" s="52">
        <v>0.4</v>
      </c>
      <c r="K24" s="52">
        <v>359.05</v>
      </c>
      <c r="L24" s="52">
        <v>25.79</v>
      </c>
      <c r="M24" s="52">
        <v>100.5</v>
      </c>
      <c r="N24" s="52">
        <v>124.8</v>
      </c>
      <c r="O24" s="52">
        <v>0.2</v>
      </c>
      <c r="P24" s="52">
        <v>0.34</v>
      </c>
      <c r="Q24" s="52">
        <v>9.25</v>
      </c>
      <c r="R24" s="43"/>
      <c r="S24" s="43"/>
      <c r="T24" s="43"/>
      <c r="U24" s="43"/>
    </row>
    <row r="25" spans="1:21" s="11" customFormat="1" x14ac:dyDescent="0.25">
      <c r="A25" s="51" t="s">
        <v>100</v>
      </c>
      <c r="B25" s="52">
        <v>7.97</v>
      </c>
      <c r="C25" s="52">
        <v>3.03</v>
      </c>
      <c r="D25" s="52">
        <v>11.75</v>
      </c>
      <c r="E25" s="52">
        <v>3.99</v>
      </c>
      <c r="F25" s="52">
        <v>4.12</v>
      </c>
      <c r="G25" s="52">
        <v>23.34</v>
      </c>
      <c r="H25" s="52">
        <v>7.75</v>
      </c>
      <c r="I25" s="52">
        <v>0.86</v>
      </c>
      <c r="J25" s="52">
        <v>0.41</v>
      </c>
      <c r="K25" s="52">
        <v>358.16</v>
      </c>
      <c r="L25" s="52">
        <v>25.85</v>
      </c>
      <c r="M25" s="52">
        <v>100.3</v>
      </c>
      <c r="N25" s="52">
        <v>95.3</v>
      </c>
      <c r="O25" s="52">
        <v>0</v>
      </c>
      <c r="P25" s="52">
        <v>0.35</v>
      </c>
      <c r="Q25" s="52">
        <v>9.1999999999999993</v>
      </c>
      <c r="R25" s="43"/>
      <c r="S25" s="43"/>
      <c r="T25" s="43"/>
      <c r="U25" s="43"/>
    </row>
    <row r="26" spans="1:21" s="11" customFormat="1" x14ac:dyDescent="0.25">
      <c r="A26" s="51" t="s">
        <v>101</v>
      </c>
      <c r="B26" s="52">
        <v>7.97</v>
      </c>
      <c r="C26" s="52">
        <v>2.95</v>
      </c>
      <c r="D26" s="52">
        <v>11.71</v>
      </c>
      <c r="E26" s="52">
        <v>4.09</v>
      </c>
      <c r="F26" s="52">
        <v>4.74</v>
      </c>
      <c r="G26" s="52">
        <v>23.34</v>
      </c>
      <c r="H26" s="52">
        <v>10.55</v>
      </c>
      <c r="I26" s="52">
        <v>1.02</v>
      </c>
      <c r="J26" s="52">
        <v>0.37</v>
      </c>
      <c r="K26" s="52">
        <v>358.34</v>
      </c>
      <c r="L26" s="52">
        <v>25.73</v>
      </c>
      <c r="M26" s="52">
        <v>100.33</v>
      </c>
      <c r="N26" s="52">
        <v>65.7</v>
      </c>
      <c r="O26" s="52">
        <v>0</v>
      </c>
      <c r="P26" s="52">
        <v>0.38</v>
      </c>
      <c r="Q26" s="52">
        <v>9.24</v>
      </c>
      <c r="R26" s="43"/>
      <c r="S26" s="43"/>
      <c r="T26" s="43"/>
      <c r="U26" s="43"/>
    </row>
    <row r="27" spans="1:21" s="11" customFormat="1" x14ac:dyDescent="0.25">
      <c r="A27" s="51" t="s">
        <v>102</v>
      </c>
      <c r="B27" s="52">
        <v>8.33</v>
      </c>
      <c r="C27" s="52">
        <v>3.78</v>
      </c>
      <c r="D27" s="52">
        <v>12.43</v>
      </c>
      <c r="E27" s="52">
        <v>4.3899999999999997</v>
      </c>
      <c r="F27" s="52">
        <v>5.59</v>
      </c>
      <c r="G27" s="52">
        <v>16.64</v>
      </c>
      <c r="H27" s="52">
        <v>12.05</v>
      </c>
      <c r="I27" s="52">
        <v>1.18</v>
      </c>
      <c r="J27" s="52">
        <v>0.37</v>
      </c>
      <c r="K27" s="52">
        <v>359.33</v>
      </c>
      <c r="L27" s="52">
        <v>25.66</v>
      </c>
      <c r="M27" s="52">
        <v>100.35</v>
      </c>
      <c r="N27" s="52">
        <v>51</v>
      </c>
      <c r="O27" s="52">
        <v>0</v>
      </c>
      <c r="P27" s="52">
        <v>0.42</v>
      </c>
      <c r="Q27" s="52">
        <v>9.24</v>
      </c>
      <c r="R27" s="43"/>
      <c r="S27" s="43"/>
      <c r="T27" s="43"/>
      <c r="U27" s="43"/>
    </row>
    <row r="28" spans="1:21" s="11" customFormat="1" x14ac:dyDescent="0.25">
      <c r="A28" s="51" t="s">
        <v>103</v>
      </c>
      <c r="B28" s="52">
        <v>8.2200000000000006</v>
      </c>
      <c r="C28" s="52">
        <v>3.59</v>
      </c>
      <c r="D28" s="52">
        <v>12.25</v>
      </c>
      <c r="E28" s="52">
        <v>4.24</v>
      </c>
      <c r="F28" s="52">
        <v>4.95</v>
      </c>
      <c r="G28" s="52">
        <v>18.350000000000001</v>
      </c>
      <c r="H28" s="52">
        <v>12.05</v>
      </c>
      <c r="I28" s="52">
        <v>1.29</v>
      </c>
      <c r="J28" s="52">
        <v>0.39</v>
      </c>
      <c r="K28" s="52">
        <v>15.15</v>
      </c>
      <c r="L28" s="52">
        <v>25.41</v>
      </c>
      <c r="M28" s="52">
        <v>100.35</v>
      </c>
      <c r="N28" s="52">
        <v>51.3</v>
      </c>
      <c r="O28" s="52">
        <v>0.2</v>
      </c>
      <c r="P28" s="52">
        <v>0.44</v>
      </c>
      <c r="Q28" s="52">
        <v>9.19</v>
      </c>
      <c r="R28" s="43"/>
      <c r="S28" s="43"/>
      <c r="T28" s="43"/>
      <c r="U28" s="43"/>
    </row>
    <row r="29" spans="1:21" s="11" customFormat="1" x14ac:dyDescent="0.25">
      <c r="A29" s="51" t="s">
        <v>104</v>
      </c>
      <c r="B29" s="52">
        <v>8.36</v>
      </c>
      <c r="C29" s="52">
        <v>3.84</v>
      </c>
      <c r="D29" s="52">
        <v>12.49</v>
      </c>
      <c r="E29" s="52">
        <v>4.1100000000000003</v>
      </c>
      <c r="F29" s="52">
        <v>4.7699999999999996</v>
      </c>
      <c r="G29" s="52">
        <v>18.350000000000001</v>
      </c>
      <c r="H29" s="52">
        <v>11.97</v>
      </c>
      <c r="I29" s="52">
        <v>1.35</v>
      </c>
      <c r="J29" s="52">
        <v>0.35</v>
      </c>
      <c r="K29" s="52">
        <v>356.51</v>
      </c>
      <c r="L29" s="52">
        <v>25.27</v>
      </c>
      <c r="M29" s="52">
        <v>100.5</v>
      </c>
      <c r="N29" s="52">
        <v>51.4</v>
      </c>
      <c r="O29" s="52">
        <v>0</v>
      </c>
      <c r="P29" s="52">
        <v>0.43</v>
      </c>
      <c r="Q29" s="52">
        <v>9.24</v>
      </c>
      <c r="R29" s="43"/>
      <c r="S29" s="43"/>
      <c r="T29" s="43"/>
      <c r="U29" s="43"/>
    </row>
    <row r="30" spans="1:21" s="11" customFormat="1" x14ac:dyDescent="0.25">
      <c r="A30" s="51" t="s">
        <v>105</v>
      </c>
      <c r="B30" s="52">
        <v>8</v>
      </c>
      <c r="C30" s="52">
        <v>2.99</v>
      </c>
      <c r="D30" s="52">
        <v>11.74</v>
      </c>
      <c r="E30" s="52">
        <v>3.79</v>
      </c>
      <c r="F30" s="52">
        <v>4.1500000000000004</v>
      </c>
      <c r="G30" s="52">
        <v>13.68</v>
      </c>
      <c r="H30" s="52">
        <v>11.97</v>
      </c>
      <c r="I30" s="52">
        <v>1.36</v>
      </c>
      <c r="J30" s="52">
        <v>0.42</v>
      </c>
      <c r="K30" s="52">
        <v>16.86</v>
      </c>
      <c r="L30" s="52">
        <v>25.35</v>
      </c>
      <c r="M30" s="52">
        <v>100.53</v>
      </c>
      <c r="N30" s="52">
        <v>51.7</v>
      </c>
      <c r="O30" s="52">
        <v>0</v>
      </c>
      <c r="P30" s="52">
        <v>0.4</v>
      </c>
      <c r="Q30" s="52">
        <v>9.27</v>
      </c>
      <c r="R30" s="43"/>
      <c r="S30" s="43"/>
      <c r="T30" s="43"/>
      <c r="U30" s="43"/>
    </row>
    <row r="31" spans="1:21" s="11" customFormat="1" x14ac:dyDescent="0.25">
      <c r="A31" s="51" t="s">
        <v>106</v>
      </c>
      <c r="B31" s="52">
        <v>7.99</v>
      </c>
      <c r="C31" s="52">
        <v>2.98</v>
      </c>
      <c r="D31" s="52">
        <v>11.72</v>
      </c>
      <c r="E31" s="52">
        <v>4</v>
      </c>
      <c r="F31" s="52">
        <v>4.96</v>
      </c>
      <c r="G31" s="52">
        <v>10.45</v>
      </c>
      <c r="H31" s="52">
        <v>8.7200000000000006</v>
      </c>
      <c r="I31" s="52">
        <v>1.1100000000000001</v>
      </c>
      <c r="J31" s="52">
        <v>0.39</v>
      </c>
      <c r="K31" s="52">
        <v>9.26</v>
      </c>
      <c r="L31" s="52">
        <v>25.24</v>
      </c>
      <c r="M31" s="52">
        <v>100.56</v>
      </c>
      <c r="N31" s="52">
        <v>51.7</v>
      </c>
      <c r="O31" s="52">
        <v>0</v>
      </c>
      <c r="P31" s="52">
        <v>0.34</v>
      </c>
      <c r="Q31" s="52">
        <v>9.26</v>
      </c>
      <c r="R31" s="43"/>
      <c r="S31" s="43"/>
      <c r="T31" s="43"/>
      <c r="U31" s="43"/>
    </row>
    <row r="32" spans="1:21" s="11" customFormat="1" x14ac:dyDescent="0.25">
      <c r="A32" s="51" t="s">
        <v>107</v>
      </c>
      <c r="B32" s="52">
        <v>7.95</v>
      </c>
      <c r="C32" s="52">
        <v>3</v>
      </c>
      <c r="D32" s="52">
        <v>11.71</v>
      </c>
      <c r="E32" s="52">
        <v>4.33</v>
      </c>
      <c r="F32" s="52">
        <v>5.19</v>
      </c>
      <c r="G32" s="52">
        <v>10.45</v>
      </c>
      <c r="H32" s="52">
        <v>6.24</v>
      </c>
      <c r="I32" s="52">
        <v>0.95</v>
      </c>
      <c r="J32" s="52">
        <v>0.4</v>
      </c>
      <c r="K32" s="52">
        <v>359.88</v>
      </c>
      <c r="L32" s="52">
        <v>25.24</v>
      </c>
      <c r="M32" s="52">
        <v>100.61</v>
      </c>
      <c r="N32" s="52">
        <v>52</v>
      </c>
      <c r="O32" s="52">
        <v>0</v>
      </c>
      <c r="P32" s="52">
        <v>0.3</v>
      </c>
      <c r="Q32" s="52">
        <v>9.14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2.95</v>
      </c>
      <c r="D34" s="28">
        <f t="shared" si="0"/>
        <v>11.71</v>
      </c>
      <c r="E34" s="28">
        <f t="shared" si="0"/>
        <v>3.46</v>
      </c>
      <c r="F34" s="28">
        <f t="shared" si="0"/>
        <v>4.12</v>
      </c>
      <c r="G34" s="28">
        <f t="shared" si="0"/>
        <v>7.34</v>
      </c>
      <c r="H34" s="28">
        <f t="shared" si="0"/>
        <v>3.84</v>
      </c>
      <c r="I34" s="28">
        <f t="shared" si="0"/>
        <v>0.41</v>
      </c>
      <c r="J34" s="28">
        <f t="shared" si="0"/>
        <v>0.34</v>
      </c>
      <c r="K34" s="28">
        <f t="shared" si="0"/>
        <v>9.26</v>
      </c>
      <c r="L34" s="28">
        <f t="shared" si="0"/>
        <v>25.24</v>
      </c>
      <c r="M34" s="28">
        <f t="shared" si="0"/>
        <v>100.3</v>
      </c>
      <c r="N34" s="28">
        <f t="shared" si="0"/>
        <v>51</v>
      </c>
      <c r="O34" s="28">
        <f t="shared" si="0"/>
        <v>0</v>
      </c>
      <c r="P34" s="28">
        <f t="shared" si="0"/>
        <v>0.3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8.52</v>
      </c>
      <c r="C35" s="29">
        <f t="shared" si="1"/>
        <v>5.0199999999999996</v>
      </c>
      <c r="D35" s="29">
        <f t="shared" si="1"/>
        <v>13.23</v>
      </c>
      <c r="E35" s="29">
        <f t="shared" si="1"/>
        <v>4.4000000000000004</v>
      </c>
      <c r="F35" s="29">
        <f t="shared" si="1"/>
        <v>7.67</v>
      </c>
      <c r="G35" s="29">
        <f t="shared" si="1"/>
        <v>24.86</v>
      </c>
      <c r="H35" s="29">
        <f t="shared" si="1"/>
        <v>12.05</v>
      </c>
      <c r="I35" s="29">
        <f t="shared" si="1"/>
        <v>1.36</v>
      </c>
      <c r="J35" s="29">
        <f t="shared" si="1"/>
        <v>0.44</v>
      </c>
      <c r="K35" s="29">
        <f t="shared" si="1"/>
        <v>359.88</v>
      </c>
      <c r="L35" s="29">
        <f t="shared" si="1"/>
        <v>26.45</v>
      </c>
      <c r="M35" s="29">
        <f t="shared" si="1"/>
        <v>100.61</v>
      </c>
      <c r="N35" s="29">
        <f t="shared" si="1"/>
        <v>174</v>
      </c>
      <c r="O35" s="29">
        <f t="shared" si="1"/>
        <v>0.2</v>
      </c>
      <c r="P35" s="29">
        <f t="shared" si="1"/>
        <v>0.44</v>
      </c>
      <c r="Q35" s="29">
        <f t="shared" si="1"/>
        <v>9.27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8.1361538461538458</v>
      </c>
      <c r="C36" s="28">
        <f t="shared" si="2"/>
        <v>3.4407692307692312</v>
      </c>
      <c r="D36" s="28">
        <f t="shared" si="2"/>
        <v>12.095384615384615</v>
      </c>
      <c r="E36" s="28">
        <f t="shared" si="2"/>
        <v>4.0330769230769228</v>
      </c>
      <c r="F36" s="28">
        <f t="shared" si="2"/>
        <v>5.2084615384615383</v>
      </c>
      <c r="G36" s="28">
        <f t="shared" si="2"/>
        <v>16.537692307692307</v>
      </c>
      <c r="H36" s="28">
        <f t="shared" si="2"/>
        <v>8.5230769230769212</v>
      </c>
      <c r="I36" s="28">
        <f t="shared" si="2"/>
        <v>1.0069230769230768</v>
      </c>
      <c r="J36" s="28">
        <f t="shared" si="2"/>
        <v>0.38769230769230778</v>
      </c>
      <c r="K36" s="28">
        <f t="shared" si="2"/>
        <v>278.18461538461548</v>
      </c>
      <c r="L36" s="28">
        <f t="shared" si="2"/>
        <v>25.75692307692308</v>
      </c>
      <c r="M36" s="28">
        <f t="shared" si="2"/>
        <v>100.43538461538461</v>
      </c>
      <c r="N36" s="28">
        <f t="shared" si="2"/>
        <v>91.723076923076931</v>
      </c>
      <c r="O36" s="28">
        <f t="shared" si="2"/>
        <v>4.6153846153846163E-2</v>
      </c>
      <c r="P36" s="28">
        <f t="shared" si="2"/>
        <v>0.3692307692307692</v>
      </c>
      <c r="Q36" s="28">
        <f t="shared" si="2"/>
        <v>9.2207692307692302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0.18223329651568709</v>
      </c>
      <c r="C37" s="28">
        <f t="shared" ref="C37:Q37" si="3">STDEV(C9:C32)</f>
        <v>0.57568019968354833</v>
      </c>
      <c r="D37" s="28">
        <f t="shared" si="3"/>
        <v>0.44526425458401248</v>
      </c>
      <c r="E37" s="28">
        <f t="shared" si="3"/>
        <v>0.28423536653580533</v>
      </c>
      <c r="F37" s="28">
        <f t="shared" si="3"/>
        <v>0.88958647840674121</v>
      </c>
      <c r="G37" s="28">
        <f t="shared" si="3"/>
        <v>6.1819793942368664</v>
      </c>
      <c r="H37" s="28">
        <f t="shared" si="3"/>
        <v>3.0263189538210336</v>
      </c>
      <c r="I37" s="28">
        <f t="shared" si="3"/>
        <v>0.25888815523904762</v>
      </c>
      <c r="J37" s="28">
        <f t="shared" si="3"/>
        <v>3.0042704647952424E-2</v>
      </c>
      <c r="K37" s="28">
        <f t="shared" si="3"/>
        <v>150.76746397545352</v>
      </c>
      <c r="L37" s="28">
        <f t="shared" si="3"/>
        <v>0.44740705953647719</v>
      </c>
      <c r="M37" s="28">
        <f t="shared" si="3"/>
        <v>9.7776563706527209E-2</v>
      </c>
      <c r="N37" s="28">
        <f t="shared" si="3"/>
        <v>46.667032507723491</v>
      </c>
      <c r="O37" s="28">
        <f t="shared" si="3"/>
        <v>8.7705801930702931E-2</v>
      </c>
      <c r="P37" s="28">
        <f t="shared" si="3"/>
        <v>4.2123140604173798E-2</v>
      </c>
      <c r="Q37" s="28">
        <f t="shared" si="3"/>
        <v>3.7519225840791343E-2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COUNT(B9:B32)+11</f>
        <v>24</v>
      </c>
      <c r="C38" s="32">
        <f t="shared" ref="C38:Q38" si="4">COUNT(C9:C32)+11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108</v>
      </c>
      <c r="B9" s="52">
        <v>8.26</v>
      </c>
      <c r="C9" s="52">
        <v>3.72</v>
      </c>
      <c r="D9" s="52">
        <v>12.34</v>
      </c>
      <c r="E9" s="52">
        <v>4.37</v>
      </c>
      <c r="F9" s="52">
        <v>5.98</v>
      </c>
      <c r="G9" s="52">
        <v>14.52</v>
      </c>
      <c r="H9" s="52">
        <v>4.41</v>
      </c>
      <c r="I9" s="52">
        <v>0.88</v>
      </c>
      <c r="J9" s="52">
        <v>0.4</v>
      </c>
      <c r="K9" s="52">
        <v>11.79</v>
      </c>
      <c r="L9" s="52">
        <v>25.31</v>
      </c>
      <c r="M9" s="52">
        <v>100.68</v>
      </c>
      <c r="N9" s="52">
        <v>52</v>
      </c>
      <c r="O9" s="52">
        <v>0</v>
      </c>
      <c r="P9" s="52">
        <v>0.26</v>
      </c>
      <c r="Q9" s="52">
        <v>9.17</v>
      </c>
      <c r="R9" s="43"/>
      <c r="S9" s="43"/>
      <c r="T9" s="43"/>
      <c r="U9" s="43"/>
    </row>
    <row r="10" spans="1:21" s="11" customFormat="1" x14ac:dyDescent="0.25">
      <c r="A10" s="51" t="s">
        <v>109</v>
      </c>
      <c r="B10" s="52">
        <v>7.97</v>
      </c>
      <c r="C10" s="52">
        <v>2.95</v>
      </c>
      <c r="D10" s="52">
        <v>11.71</v>
      </c>
      <c r="E10" s="52">
        <v>4.34</v>
      </c>
      <c r="F10" s="52">
        <v>4.8099999999999996</v>
      </c>
      <c r="G10" s="52">
        <v>14.52</v>
      </c>
      <c r="H10" s="52">
        <v>3.13</v>
      </c>
      <c r="I10" s="52">
        <v>0.73</v>
      </c>
      <c r="J10" s="52">
        <v>0.42</v>
      </c>
      <c r="K10" s="52">
        <v>358.29</v>
      </c>
      <c r="L10" s="52">
        <v>25.21</v>
      </c>
      <c r="M10" s="52">
        <v>100.71</v>
      </c>
      <c r="N10" s="52">
        <v>51.9</v>
      </c>
      <c r="O10" s="52">
        <v>0.2</v>
      </c>
      <c r="P10" s="52">
        <v>0.23</v>
      </c>
      <c r="Q10" s="52">
        <v>9.19</v>
      </c>
      <c r="R10" s="43"/>
      <c r="S10" s="43"/>
      <c r="T10" s="43"/>
      <c r="U10" s="43"/>
    </row>
    <row r="11" spans="1:21" s="11" customFormat="1" x14ac:dyDescent="0.25">
      <c r="A11" s="51" t="s">
        <v>110</v>
      </c>
      <c r="B11" s="52">
        <v>8.06</v>
      </c>
      <c r="C11" s="52">
        <v>3.08</v>
      </c>
      <c r="D11" s="52">
        <v>11.85</v>
      </c>
      <c r="E11" s="52">
        <v>4.1900000000000004</v>
      </c>
      <c r="F11" s="52">
        <v>4.43</v>
      </c>
      <c r="G11" s="52">
        <v>10.88</v>
      </c>
      <c r="H11" s="52">
        <v>5.09</v>
      </c>
      <c r="I11" s="52">
        <v>0.57999999999999996</v>
      </c>
      <c r="J11" s="52">
        <v>0.32</v>
      </c>
      <c r="K11" s="52">
        <v>352.67</v>
      </c>
      <c r="L11" s="52">
        <v>24.45</v>
      </c>
      <c r="M11" s="52">
        <v>100.74</v>
      </c>
      <c r="N11" s="52">
        <v>51.7</v>
      </c>
      <c r="O11" s="52">
        <v>0.6</v>
      </c>
      <c r="P11" s="52">
        <v>0.2</v>
      </c>
      <c r="Q11" s="52">
        <v>9.1999999999999993</v>
      </c>
      <c r="R11" s="43"/>
      <c r="S11" s="43"/>
      <c r="T11" s="43"/>
      <c r="U11" s="43"/>
    </row>
    <row r="12" spans="1:21" s="11" customFormat="1" x14ac:dyDescent="0.25">
      <c r="A12" s="51" t="s">
        <v>111</v>
      </c>
      <c r="B12" s="52">
        <v>8.01</v>
      </c>
      <c r="C12" s="52">
        <v>3.02</v>
      </c>
      <c r="D12" s="52">
        <v>11.77</v>
      </c>
      <c r="E12" s="52">
        <v>3.08</v>
      </c>
      <c r="F12" s="52">
        <v>6.63</v>
      </c>
      <c r="G12" s="52">
        <v>7.99</v>
      </c>
      <c r="H12" s="52">
        <v>5.09</v>
      </c>
      <c r="I12" s="52">
        <v>0.57999999999999996</v>
      </c>
      <c r="J12" s="52">
        <v>0.39</v>
      </c>
      <c r="K12" s="52">
        <v>356.77</v>
      </c>
      <c r="L12" s="52">
        <v>24.09</v>
      </c>
      <c r="M12" s="52">
        <v>100.83</v>
      </c>
      <c r="N12" s="52">
        <v>52.1</v>
      </c>
      <c r="O12" s="52">
        <v>1.4</v>
      </c>
      <c r="P12" s="52">
        <v>0.21</v>
      </c>
      <c r="Q12" s="52">
        <v>9.1999999999999993</v>
      </c>
      <c r="R12" s="43"/>
      <c r="S12" s="43"/>
      <c r="T12" s="43"/>
      <c r="U12" s="43"/>
    </row>
    <row r="13" spans="1:21" s="11" customFormat="1" x14ac:dyDescent="0.25">
      <c r="A13" s="51" t="s">
        <v>112</v>
      </c>
      <c r="B13" s="52">
        <v>8.19</v>
      </c>
      <c r="C13" s="52">
        <v>3.58</v>
      </c>
      <c r="D13" s="52">
        <v>12.21</v>
      </c>
      <c r="E13" s="52">
        <v>2.74</v>
      </c>
      <c r="F13" s="52">
        <v>8.81</v>
      </c>
      <c r="G13" s="52">
        <v>10.94</v>
      </c>
      <c r="H13" s="52">
        <v>5.0999999999999996</v>
      </c>
      <c r="I13" s="52">
        <v>0.56999999999999995</v>
      </c>
      <c r="J13" s="52">
        <v>0.47</v>
      </c>
      <c r="K13" s="52">
        <v>15.16</v>
      </c>
      <c r="L13" s="52">
        <v>23.41</v>
      </c>
      <c r="M13" s="52">
        <v>100.85</v>
      </c>
      <c r="N13" s="52">
        <v>52.8</v>
      </c>
      <c r="O13" s="52">
        <v>2</v>
      </c>
      <c r="P13" s="52">
        <v>0.21</v>
      </c>
      <c r="Q13" s="52">
        <v>9.1199999999999992</v>
      </c>
      <c r="R13" s="43"/>
      <c r="S13" s="43"/>
      <c r="T13" s="43"/>
      <c r="U13" s="43"/>
    </row>
    <row r="14" spans="1:21" s="11" customFormat="1" x14ac:dyDescent="0.25">
      <c r="A14" s="51" t="s">
        <v>113</v>
      </c>
      <c r="B14" s="52">
        <v>7.96</v>
      </c>
      <c r="C14" s="52">
        <v>2.99</v>
      </c>
      <c r="D14" s="52">
        <v>11.72</v>
      </c>
      <c r="E14" s="52">
        <v>3.04</v>
      </c>
      <c r="F14" s="52">
        <v>9.67</v>
      </c>
      <c r="G14" s="52">
        <v>10.94</v>
      </c>
      <c r="H14" s="52">
        <v>5.0999999999999996</v>
      </c>
      <c r="I14" s="52">
        <v>0.56000000000000005</v>
      </c>
      <c r="J14" s="52">
        <v>0.34</v>
      </c>
      <c r="K14" s="52">
        <v>9.65</v>
      </c>
      <c r="L14" s="52">
        <v>23.4</v>
      </c>
      <c r="M14" s="52">
        <v>100.89</v>
      </c>
      <c r="N14" s="52">
        <v>57.3</v>
      </c>
      <c r="O14" s="52">
        <v>2.6</v>
      </c>
      <c r="P14" s="52">
        <v>0.22</v>
      </c>
      <c r="Q14" s="52">
        <v>9.1300000000000008</v>
      </c>
      <c r="R14" s="43"/>
      <c r="S14" s="43"/>
      <c r="T14" s="43"/>
      <c r="U14" s="43"/>
    </row>
    <row r="15" spans="1:21" s="11" customFormat="1" x14ac:dyDescent="0.25">
      <c r="A15" s="51" t="s">
        <v>114</v>
      </c>
      <c r="B15" s="52">
        <v>8.16</v>
      </c>
      <c r="C15" s="52">
        <v>3.36</v>
      </c>
      <c r="D15" s="52">
        <v>12.08</v>
      </c>
      <c r="E15" s="52">
        <v>4.3099999999999996</v>
      </c>
      <c r="F15" s="52">
        <v>9.84</v>
      </c>
      <c r="G15" s="52">
        <v>8.06</v>
      </c>
      <c r="H15" s="52">
        <v>4.28</v>
      </c>
      <c r="I15" s="52">
        <v>0.56999999999999995</v>
      </c>
      <c r="J15" s="52">
        <v>0.35</v>
      </c>
      <c r="K15" s="52">
        <v>11.49</v>
      </c>
      <c r="L15" s="52">
        <v>23.48</v>
      </c>
      <c r="M15" s="52">
        <v>100.85</v>
      </c>
      <c r="N15" s="52">
        <v>59.9</v>
      </c>
      <c r="O15" s="52">
        <v>3.8</v>
      </c>
      <c r="P15" s="52">
        <v>0.23</v>
      </c>
      <c r="Q15" s="52">
        <v>9.17</v>
      </c>
      <c r="R15" s="43"/>
      <c r="S15" s="43"/>
      <c r="T15" s="43"/>
      <c r="U15" s="43"/>
    </row>
    <row r="16" spans="1:21" s="11" customFormat="1" x14ac:dyDescent="0.25">
      <c r="A16" s="51" t="s">
        <v>115</v>
      </c>
      <c r="B16" s="52">
        <v>8</v>
      </c>
      <c r="C16" s="52">
        <v>3.04</v>
      </c>
      <c r="D16" s="52">
        <v>11.77</v>
      </c>
      <c r="E16" s="52">
        <v>4.26</v>
      </c>
      <c r="F16" s="52">
        <v>8.3800000000000008</v>
      </c>
      <c r="G16" s="52">
        <v>7.37</v>
      </c>
      <c r="H16" s="52">
        <v>3.68</v>
      </c>
      <c r="I16" s="52">
        <v>0.73</v>
      </c>
      <c r="J16" s="52">
        <v>0.28000000000000003</v>
      </c>
      <c r="K16" s="52">
        <v>118.13</v>
      </c>
      <c r="L16" s="52">
        <v>23.53</v>
      </c>
      <c r="M16" s="52">
        <v>100.83</v>
      </c>
      <c r="N16" s="52">
        <v>62.2</v>
      </c>
      <c r="O16" s="52">
        <v>5.4</v>
      </c>
      <c r="P16" s="52">
        <v>0.26</v>
      </c>
      <c r="Q16" s="52">
        <v>9.2100000000000009</v>
      </c>
      <c r="R16" s="43"/>
      <c r="S16" s="43"/>
      <c r="T16" s="43"/>
      <c r="U16" s="43"/>
    </row>
    <row r="17" spans="1:21" s="11" customFormat="1" x14ac:dyDescent="0.25">
      <c r="A17" s="51" t="s">
        <v>116</v>
      </c>
      <c r="B17" s="52">
        <v>8.44</v>
      </c>
      <c r="C17" s="52">
        <v>4.1100000000000003</v>
      </c>
      <c r="D17" s="52">
        <v>12.68</v>
      </c>
      <c r="E17" s="52">
        <v>4.5</v>
      </c>
      <c r="F17" s="52">
        <v>10.53</v>
      </c>
      <c r="G17" s="52">
        <v>10.63</v>
      </c>
      <c r="H17" s="52">
        <v>3.68</v>
      </c>
      <c r="I17" s="52">
        <v>0.98</v>
      </c>
      <c r="J17" s="52">
        <v>0.38</v>
      </c>
      <c r="K17" s="52">
        <v>353.53</v>
      </c>
      <c r="L17" s="52">
        <v>23.63</v>
      </c>
      <c r="M17" s="52">
        <v>100.94</v>
      </c>
      <c r="N17" s="52">
        <v>126.9</v>
      </c>
      <c r="O17" s="52">
        <v>6.4</v>
      </c>
      <c r="P17" s="52">
        <v>0.28999999999999998</v>
      </c>
      <c r="Q17" s="52">
        <v>9.1999999999999993</v>
      </c>
      <c r="R17" s="43"/>
      <c r="S17" s="43"/>
      <c r="T17" s="43"/>
      <c r="U17" s="43"/>
    </row>
    <row r="18" spans="1:21" s="11" customFormat="1" x14ac:dyDescent="0.25">
      <c r="A18" s="51" t="s">
        <v>117</v>
      </c>
      <c r="B18" s="52">
        <v>8.14</v>
      </c>
      <c r="C18" s="52">
        <v>3.46</v>
      </c>
      <c r="D18" s="52">
        <v>12.11</v>
      </c>
      <c r="E18" s="52">
        <v>4.21</v>
      </c>
      <c r="F18" s="52">
        <v>6.63</v>
      </c>
      <c r="G18" s="52">
        <v>10.63</v>
      </c>
      <c r="H18" s="52">
        <v>3.12</v>
      </c>
      <c r="I18" s="52">
        <v>1</v>
      </c>
      <c r="J18" s="52">
        <v>0.46</v>
      </c>
      <c r="K18" s="52">
        <v>357</v>
      </c>
      <c r="L18" s="52">
        <v>23.84</v>
      </c>
      <c r="M18" s="52">
        <v>101</v>
      </c>
      <c r="N18" s="52">
        <v>177.1</v>
      </c>
      <c r="O18" s="52">
        <v>0.6</v>
      </c>
      <c r="P18" s="52">
        <v>0.28999999999999998</v>
      </c>
      <c r="Q18" s="52">
        <v>9.18</v>
      </c>
      <c r="R18" s="43"/>
      <c r="S18" s="43"/>
      <c r="T18" s="43"/>
      <c r="U18" s="43"/>
    </row>
    <row r="19" spans="1:21" s="11" customFormat="1" x14ac:dyDescent="0.25">
      <c r="A19" s="51" t="s">
        <v>118</v>
      </c>
      <c r="B19" s="52">
        <v>7.96</v>
      </c>
      <c r="C19" s="52">
        <v>3.07</v>
      </c>
      <c r="D19" s="52">
        <v>11.76</v>
      </c>
      <c r="E19" s="52">
        <v>4.28</v>
      </c>
      <c r="F19" s="52">
        <v>20.350000000000001</v>
      </c>
      <c r="G19" s="52">
        <v>8.1</v>
      </c>
      <c r="H19" s="52">
        <v>3.01</v>
      </c>
      <c r="I19" s="52">
        <v>0.96</v>
      </c>
      <c r="J19" s="52">
        <v>0.39</v>
      </c>
      <c r="K19" s="52">
        <v>8.3000000000000007</v>
      </c>
      <c r="L19" s="52">
        <v>23.92</v>
      </c>
      <c r="M19" s="52">
        <v>101.02</v>
      </c>
      <c r="N19" s="52">
        <v>148.80000000000001</v>
      </c>
      <c r="O19" s="52">
        <v>0.6</v>
      </c>
      <c r="P19" s="52">
        <v>0.3</v>
      </c>
      <c r="Q19" s="52">
        <v>9.1300000000000008</v>
      </c>
      <c r="R19" s="43"/>
      <c r="S19" s="43"/>
      <c r="T19" s="43"/>
      <c r="U19" s="43"/>
    </row>
    <row r="20" spans="1:21" s="11" customFormat="1" x14ac:dyDescent="0.25">
      <c r="A20" s="51" t="s">
        <v>119</v>
      </c>
      <c r="B20" s="52">
        <v>7.95</v>
      </c>
      <c r="C20" s="52">
        <v>2.99</v>
      </c>
      <c r="D20" s="52">
        <v>11.7</v>
      </c>
      <c r="E20" s="52">
        <v>3.23</v>
      </c>
      <c r="F20" s="52">
        <v>6.46</v>
      </c>
      <c r="G20" s="54" t="s">
        <v>12</v>
      </c>
      <c r="H20" s="54" t="s">
        <v>12</v>
      </c>
      <c r="I20" s="52">
        <v>0.56000000000000005</v>
      </c>
      <c r="J20" s="52">
        <v>0.46</v>
      </c>
      <c r="K20" s="52">
        <v>9.73</v>
      </c>
      <c r="L20" s="52">
        <v>24.26</v>
      </c>
      <c r="M20" s="52">
        <v>101.05</v>
      </c>
      <c r="N20" s="52">
        <v>154.69999999999999</v>
      </c>
      <c r="O20" s="52">
        <v>0.6</v>
      </c>
      <c r="P20" s="52">
        <v>0.27</v>
      </c>
      <c r="Q20" s="52">
        <v>9.14</v>
      </c>
      <c r="R20" s="43"/>
      <c r="S20" s="43"/>
      <c r="T20" s="43"/>
      <c r="U20" s="43"/>
    </row>
    <row r="21" spans="1:21" s="11" customFormat="1" x14ac:dyDescent="0.25">
      <c r="A21" s="51" t="s">
        <v>120</v>
      </c>
      <c r="B21" s="52">
        <v>7.96</v>
      </c>
      <c r="C21" s="52">
        <v>2.97</v>
      </c>
      <c r="D21" s="52">
        <v>11.69</v>
      </c>
      <c r="E21" s="52">
        <v>3.58</v>
      </c>
      <c r="F21" s="52">
        <v>6.41</v>
      </c>
      <c r="G21" s="54" t="s">
        <v>12</v>
      </c>
      <c r="H21" s="54" t="s">
        <v>12</v>
      </c>
      <c r="I21" s="52">
        <v>0.66</v>
      </c>
      <c r="J21" s="52">
        <v>0.48</v>
      </c>
      <c r="K21" s="52">
        <v>16.48</v>
      </c>
      <c r="L21" s="52">
        <v>24.53</v>
      </c>
      <c r="M21" s="52">
        <v>101.08</v>
      </c>
      <c r="N21" s="52">
        <v>159.69999999999999</v>
      </c>
      <c r="O21" s="52">
        <v>0.4</v>
      </c>
      <c r="P21" s="52">
        <v>0.28000000000000003</v>
      </c>
      <c r="Q21" s="52">
        <v>9.18</v>
      </c>
      <c r="R21" s="43"/>
      <c r="S21" s="43"/>
      <c r="T21" s="43"/>
      <c r="U21" s="43"/>
    </row>
    <row r="22" spans="1:21" s="11" customFormat="1" x14ac:dyDescent="0.25">
      <c r="A22" s="51" t="s">
        <v>121</v>
      </c>
      <c r="B22" s="52">
        <v>8.0299999999999994</v>
      </c>
      <c r="C22" s="52">
        <v>3.25</v>
      </c>
      <c r="D22" s="52">
        <v>11.91</v>
      </c>
      <c r="E22" s="52">
        <v>3.65</v>
      </c>
      <c r="F22" s="52">
        <v>5.91</v>
      </c>
      <c r="G22" s="54" t="s">
        <v>12</v>
      </c>
      <c r="H22" s="54" t="s">
        <v>12</v>
      </c>
      <c r="I22" s="52">
        <v>0.87</v>
      </c>
      <c r="J22" s="52">
        <v>0.4</v>
      </c>
      <c r="K22" s="52">
        <v>10.65</v>
      </c>
      <c r="L22" s="52">
        <v>25.02</v>
      </c>
      <c r="M22" s="52">
        <v>101.07</v>
      </c>
      <c r="N22" s="52">
        <v>158.69999999999999</v>
      </c>
      <c r="O22" s="52">
        <v>0</v>
      </c>
      <c r="P22" s="52">
        <v>0.28999999999999998</v>
      </c>
      <c r="Q22" s="52">
        <v>9.16</v>
      </c>
      <c r="R22" s="43"/>
      <c r="S22" s="43"/>
      <c r="T22" s="43"/>
      <c r="U22" s="43"/>
    </row>
    <row r="23" spans="1:21" s="11" customFormat="1" x14ac:dyDescent="0.25">
      <c r="A23" s="51" t="s">
        <v>122</v>
      </c>
      <c r="B23" s="52">
        <v>8.34</v>
      </c>
      <c r="C23" s="52">
        <v>3.96</v>
      </c>
      <c r="D23" s="52">
        <v>12.53</v>
      </c>
      <c r="E23" s="52">
        <v>4.0599999999999996</v>
      </c>
      <c r="F23" s="52">
        <v>5.07</v>
      </c>
      <c r="G23" s="54" t="s">
        <v>12</v>
      </c>
      <c r="H23" s="54" t="s">
        <v>12</v>
      </c>
      <c r="I23" s="52">
        <v>0.92</v>
      </c>
      <c r="J23" s="52">
        <v>0.39</v>
      </c>
      <c r="K23" s="52">
        <v>359.99</v>
      </c>
      <c r="L23" s="52">
        <v>25.27</v>
      </c>
      <c r="M23" s="52">
        <v>101.08</v>
      </c>
      <c r="N23" s="52">
        <v>165.6</v>
      </c>
      <c r="O23" s="52">
        <v>0</v>
      </c>
      <c r="P23" s="52">
        <v>0.3</v>
      </c>
      <c r="Q23" s="52">
        <v>9.24</v>
      </c>
      <c r="R23" s="43"/>
      <c r="S23" s="43"/>
      <c r="T23" s="43"/>
      <c r="U23" s="43"/>
    </row>
    <row r="24" spans="1:21" s="11" customFormat="1" x14ac:dyDescent="0.25">
      <c r="A24" s="51" t="s">
        <v>123</v>
      </c>
      <c r="B24" s="52">
        <v>8.02</v>
      </c>
      <c r="C24" s="52">
        <v>3.04</v>
      </c>
      <c r="D24" s="52">
        <v>11.79</v>
      </c>
      <c r="E24" s="52">
        <v>4.68</v>
      </c>
      <c r="F24" s="52">
        <v>4.1500000000000004</v>
      </c>
      <c r="G24" s="52">
        <v>49.52</v>
      </c>
      <c r="H24" s="52">
        <v>18.64</v>
      </c>
      <c r="I24" s="52">
        <v>0.93</v>
      </c>
      <c r="J24" s="52">
        <v>0.34</v>
      </c>
      <c r="K24" s="52">
        <v>356.27</v>
      </c>
      <c r="L24" s="52">
        <v>25.59</v>
      </c>
      <c r="M24" s="52">
        <v>101.06</v>
      </c>
      <c r="N24" s="52">
        <v>122.5</v>
      </c>
      <c r="O24" s="52">
        <v>0.2</v>
      </c>
      <c r="P24" s="52">
        <v>0.27</v>
      </c>
      <c r="Q24" s="52">
        <v>9.2899999999999991</v>
      </c>
      <c r="R24" s="43"/>
      <c r="S24" s="43"/>
      <c r="T24" s="43"/>
      <c r="U24" s="43"/>
    </row>
    <row r="25" spans="1:21" s="11" customFormat="1" x14ac:dyDescent="0.25">
      <c r="A25" s="51" t="s">
        <v>124</v>
      </c>
      <c r="B25" s="52">
        <v>8.01</v>
      </c>
      <c r="C25" s="52">
        <v>3.02</v>
      </c>
      <c r="D25" s="52">
        <v>11.77</v>
      </c>
      <c r="E25" s="52">
        <v>4.8099999999999996</v>
      </c>
      <c r="F25" s="52">
        <v>4.88</v>
      </c>
      <c r="G25" s="52">
        <v>48.96</v>
      </c>
      <c r="H25" s="52">
        <v>18.46</v>
      </c>
      <c r="I25" s="52">
        <v>0.86</v>
      </c>
      <c r="J25" s="52">
        <v>0.37</v>
      </c>
      <c r="K25" s="52">
        <v>359.84</v>
      </c>
      <c r="L25" s="52">
        <v>25.77</v>
      </c>
      <c r="M25" s="52">
        <v>101.01</v>
      </c>
      <c r="N25" s="52">
        <v>100.5</v>
      </c>
      <c r="O25" s="52">
        <v>0</v>
      </c>
      <c r="P25" s="52">
        <v>0.3</v>
      </c>
      <c r="Q25" s="52">
        <v>9.2799999999999994</v>
      </c>
      <c r="R25" s="43"/>
      <c r="S25" s="43"/>
      <c r="T25" s="43"/>
      <c r="U25" s="43"/>
    </row>
    <row r="26" spans="1:21" s="11" customFormat="1" x14ac:dyDescent="0.25">
      <c r="A26" s="51" t="s">
        <v>125</v>
      </c>
      <c r="B26" s="52">
        <v>8.18</v>
      </c>
      <c r="C26" s="52">
        <v>3.53</v>
      </c>
      <c r="D26" s="52">
        <v>12.18</v>
      </c>
      <c r="E26" s="52">
        <v>5.1100000000000003</v>
      </c>
      <c r="F26" s="52">
        <v>5.22</v>
      </c>
      <c r="G26" s="52">
        <v>32.799999999999997</v>
      </c>
      <c r="H26" s="52">
        <v>16.68</v>
      </c>
      <c r="I26" s="52">
        <v>0.94</v>
      </c>
      <c r="J26" s="52">
        <v>0.36</v>
      </c>
      <c r="K26" s="52">
        <v>351.12</v>
      </c>
      <c r="L26" s="52">
        <v>25.7</v>
      </c>
      <c r="M26" s="52">
        <v>100.8</v>
      </c>
      <c r="N26" s="52">
        <v>62.8</v>
      </c>
      <c r="O26" s="52">
        <v>0</v>
      </c>
      <c r="P26" s="52">
        <v>0.33</v>
      </c>
      <c r="Q26" s="52">
        <v>9.19</v>
      </c>
      <c r="R26" s="43"/>
      <c r="S26" s="43"/>
      <c r="T26" s="43"/>
      <c r="U26" s="43"/>
    </row>
    <row r="27" spans="1:21" s="11" customFormat="1" x14ac:dyDescent="0.25">
      <c r="A27" s="51" t="s">
        <v>126</v>
      </c>
      <c r="B27" s="52">
        <v>8.2100000000000009</v>
      </c>
      <c r="C27" s="52">
        <v>3.59</v>
      </c>
      <c r="D27" s="52">
        <v>12.23</v>
      </c>
      <c r="E27" s="52">
        <v>5.34</v>
      </c>
      <c r="F27" s="52">
        <v>4.66</v>
      </c>
      <c r="G27" s="52">
        <v>23.17</v>
      </c>
      <c r="H27" s="52">
        <v>16.68</v>
      </c>
      <c r="I27" s="52">
        <v>1.1200000000000001</v>
      </c>
      <c r="J27" s="52">
        <v>0.24</v>
      </c>
      <c r="K27" s="52">
        <v>359.2</v>
      </c>
      <c r="L27" s="52">
        <v>25.64</v>
      </c>
      <c r="M27" s="52">
        <v>100.9</v>
      </c>
      <c r="N27" s="52">
        <v>52</v>
      </c>
      <c r="O27" s="52">
        <v>0</v>
      </c>
      <c r="P27" s="52">
        <v>0.33</v>
      </c>
      <c r="Q27" s="52">
        <v>9.19</v>
      </c>
      <c r="R27" s="43"/>
      <c r="S27" s="43"/>
      <c r="T27" s="43"/>
      <c r="U27" s="43"/>
    </row>
    <row r="28" spans="1:21" s="11" customFormat="1" x14ac:dyDescent="0.25">
      <c r="A28" s="51" t="s">
        <v>127</v>
      </c>
      <c r="B28" s="52">
        <v>7.99</v>
      </c>
      <c r="C28" s="52">
        <v>3.1</v>
      </c>
      <c r="D28" s="52">
        <v>11.8</v>
      </c>
      <c r="E28" s="52">
        <v>4.45</v>
      </c>
      <c r="F28" s="52">
        <v>4.08</v>
      </c>
      <c r="G28" s="52">
        <v>20.5</v>
      </c>
      <c r="H28" s="52">
        <v>12.17</v>
      </c>
      <c r="I28" s="52">
        <v>1.18</v>
      </c>
      <c r="J28" s="52">
        <v>0.19</v>
      </c>
      <c r="K28" s="52">
        <v>351.07</v>
      </c>
      <c r="L28" s="52">
        <v>25.69</v>
      </c>
      <c r="M28" s="52">
        <v>100.97</v>
      </c>
      <c r="N28" s="52">
        <v>52</v>
      </c>
      <c r="O28" s="52">
        <v>0</v>
      </c>
      <c r="P28" s="52">
        <v>0.34</v>
      </c>
      <c r="Q28" s="52">
        <v>9.24</v>
      </c>
      <c r="R28" s="43"/>
      <c r="S28" s="43"/>
      <c r="T28" s="43"/>
      <c r="U28" s="43"/>
    </row>
    <row r="29" spans="1:21" s="11" customFormat="1" x14ac:dyDescent="0.25">
      <c r="A29" s="51" t="s">
        <v>128</v>
      </c>
      <c r="B29" s="52">
        <v>8.14</v>
      </c>
      <c r="C29" s="52">
        <v>3.21</v>
      </c>
      <c r="D29" s="52">
        <v>11.98</v>
      </c>
      <c r="E29" s="52">
        <v>4.33</v>
      </c>
      <c r="F29" s="52">
        <v>3.8</v>
      </c>
      <c r="G29" s="52">
        <v>20.100000000000001</v>
      </c>
      <c r="H29" s="52">
        <v>9.64</v>
      </c>
      <c r="I29" s="52">
        <v>1.33</v>
      </c>
      <c r="J29" s="52">
        <v>0.14000000000000001</v>
      </c>
      <c r="K29" s="52">
        <v>330.09</v>
      </c>
      <c r="L29" s="52">
        <v>25.56</v>
      </c>
      <c r="M29" s="52">
        <v>101.1</v>
      </c>
      <c r="N29" s="52">
        <v>51.7</v>
      </c>
      <c r="O29" s="52">
        <v>0</v>
      </c>
      <c r="P29" s="52">
        <v>0.32</v>
      </c>
      <c r="Q29" s="52">
        <v>9.2899999999999991</v>
      </c>
      <c r="R29" s="43"/>
      <c r="S29" s="43"/>
      <c r="T29" s="43"/>
      <c r="U29" s="43"/>
    </row>
    <row r="30" spans="1:21" s="11" customFormat="1" x14ac:dyDescent="0.25">
      <c r="A30" s="51" t="s">
        <v>129</v>
      </c>
      <c r="B30" s="52">
        <v>8.0299999999999994</v>
      </c>
      <c r="C30" s="52">
        <v>3.07</v>
      </c>
      <c r="D30" s="52">
        <v>11.82</v>
      </c>
      <c r="E30" s="52">
        <v>4.7300000000000004</v>
      </c>
      <c r="F30" s="52">
        <v>4.9000000000000004</v>
      </c>
      <c r="G30" s="52">
        <v>23.69</v>
      </c>
      <c r="H30" s="52">
        <v>9.64</v>
      </c>
      <c r="I30" s="52">
        <v>1.7</v>
      </c>
      <c r="J30" s="52">
        <v>0.12</v>
      </c>
      <c r="K30" s="52">
        <v>323.57</v>
      </c>
      <c r="L30" s="52">
        <v>25.32</v>
      </c>
      <c r="M30" s="52">
        <v>101.17</v>
      </c>
      <c r="N30" s="52">
        <v>51.6</v>
      </c>
      <c r="O30" s="52">
        <v>0</v>
      </c>
      <c r="P30" s="52">
        <v>0.32</v>
      </c>
      <c r="Q30" s="52">
        <v>9.3000000000000007</v>
      </c>
      <c r="R30" s="43"/>
      <c r="S30" s="43"/>
      <c r="T30" s="43"/>
      <c r="U30" s="43"/>
    </row>
    <row r="31" spans="1:21" s="11" customFormat="1" x14ac:dyDescent="0.25">
      <c r="A31" s="51" t="s">
        <v>130</v>
      </c>
      <c r="B31" s="52">
        <v>8.39</v>
      </c>
      <c r="C31" s="52">
        <v>3.87</v>
      </c>
      <c r="D31" s="52">
        <v>12.52</v>
      </c>
      <c r="E31" s="52">
        <v>4.8</v>
      </c>
      <c r="F31" s="52">
        <v>4.72</v>
      </c>
      <c r="G31" s="52">
        <v>23.69</v>
      </c>
      <c r="H31" s="52">
        <v>7.24</v>
      </c>
      <c r="I31" s="52">
        <v>1.81</v>
      </c>
      <c r="J31" s="52">
        <v>0.18</v>
      </c>
      <c r="K31" s="52">
        <v>196.45</v>
      </c>
      <c r="L31" s="52">
        <v>25.31</v>
      </c>
      <c r="M31" s="52">
        <v>101.3</v>
      </c>
      <c r="N31" s="52">
        <v>52</v>
      </c>
      <c r="O31" s="52">
        <v>0</v>
      </c>
      <c r="P31" s="52">
        <v>0.3</v>
      </c>
      <c r="Q31" s="52">
        <v>9.1999999999999993</v>
      </c>
      <c r="R31" s="43"/>
      <c r="S31" s="43"/>
      <c r="T31" s="43"/>
      <c r="U31" s="43"/>
    </row>
    <row r="32" spans="1:21" s="11" customFormat="1" x14ac:dyDescent="0.25">
      <c r="A32" s="51" t="s">
        <v>131</v>
      </c>
      <c r="B32" s="52">
        <v>8.4499999999999993</v>
      </c>
      <c r="C32" s="52">
        <v>3.98</v>
      </c>
      <c r="D32" s="52">
        <v>12.63</v>
      </c>
      <c r="E32" s="52">
        <v>4.34</v>
      </c>
      <c r="F32" s="52">
        <v>5.23</v>
      </c>
      <c r="G32" s="52">
        <v>19.25</v>
      </c>
      <c r="H32" s="52">
        <v>6.67</v>
      </c>
      <c r="I32" s="52">
        <v>1.77</v>
      </c>
      <c r="J32" s="52">
        <v>0.16</v>
      </c>
      <c r="K32" s="52">
        <v>306.26</v>
      </c>
      <c r="L32" s="52">
        <v>24.96</v>
      </c>
      <c r="M32" s="52">
        <v>101.36</v>
      </c>
      <c r="N32" s="52">
        <v>51.3</v>
      </c>
      <c r="O32" s="52">
        <v>0</v>
      </c>
      <c r="P32" s="52">
        <v>0.28000000000000003</v>
      </c>
      <c r="Q32" s="52">
        <v>9.23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2.95</v>
      </c>
      <c r="D34" s="28">
        <f t="shared" si="0"/>
        <v>11.69</v>
      </c>
      <c r="E34" s="28">
        <f t="shared" si="0"/>
        <v>2.74</v>
      </c>
      <c r="F34" s="28">
        <f t="shared" si="0"/>
        <v>3.8</v>
      </c>
      <c r="G34" s="28">
        <f t="shared" si="0"/>
        <v>7.37</v>
      </c>
      <c r="H34" s="28">
        <f t="shared" si="0"/>
        <v>3.01</v>
      </c>
      <c r="I34" s="28">
        <f t="shared" si="0"/>
        <v>0.56000000000000005</v>
      </c>
      <c r="J34" s="28">
        <f t="shared" si="0"/>
        <v>0.12</v>
      </c>
      <c r="K34" s="28">
        <f t="shared" si="0"/>
        <v>8.3000000000000007</v>
      </c>
      <c r="L34" s="28">
        <f t="shared" si="0"/>
        <v>23.4</v>
      </c>
      <c r="M34" s="28">
        <f t="shared" si="0"/>
        <v>100.68</v>
      </c>
      <c r="N34" s="28">
        <f t="shared" si="0"/>
        <v>51.3</v>
      </c>
      <c r="O34" s="28">
        <f t="shared" si="0"/>
        <v>0</v>
      </c>
      <c r="P34" s="28">
        <f t="shared" si="0"/>
        <v>0.2</v>
      </c>
      <c r="Q34" s="28">
        <f t="shared" si="0"/>
        <v>9.1199999999999992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8.4499999999999993</v>
      </c>
      <c r="C35" s="29">
        <f t="shared" si="1"/>
        <v>4.1100000000000003</v>
      </c>
      <c r="D35" s="29">
        <f t="shared" si="1"/>
        <v>12.68</v>
      </c>
      <c r="E35" s="29">
        <f t="shared" si="1"/>
        <v>5.34</v>
      </c>
      <c r="F35" s="29">
        <f t="shared" si="1"/>
        <v>20.350000000000001</v>
      </c>
      <c r="G35" s="29">
        <f t="shared" si="1"/>
        <v>49.52</v>
      </c>
      <c r="H35" s="29">
        <f t="shared" si="1"/>
        <v>18.64</v>
      </c>
      <c r="I35" s="29">
        <f t="shared" si="1"/>
        <v>1.81</v>
      </c>
      <c r="J35" s="29">
        <f t="shared" si="1"/>
        <v>0.48</v>
      </c>
      <c r="K35" s="29">
        <f t="shared" si="1"/>
        <v>359.99</v>
      </c>
      <c r="L35" s="29">
        <f t="shared" si="1"/>
        <v>25.77</v>
      </c>
      <c r="M35" s="29">
        <f t="shared" si="1"/>
        <v>101.36</v>
      </c>
      <c r="N35" s="29">
        <f t="shared" si="1"/>
        <v>177.1</v>
      </c>
      <c r="O35" s="29">
        <f t="shared" si="1"/>
        <v>6.4</v>
      </c>
      <c r="P35" s="29">
        <f t="shared" si="1"/>
        <v>0.34</v>
      </c>
      <c r="Q35" s="29">
        <f t="shared" si="1"/>
        <v>9.3000000000000007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8.1187500000000004</v>
      </c>
      <c r="C36" s="28">
        <f t="shared" si="2"/>
        <v>3.3316666666666666</v>
      </c>
      <c r="D36" s="28">
        <f t="shared" si="2"/>
        <v>12.022916666666665</v>
      </c>
      <c r="E36" s="28">
        <f t="shared" si="2"/>
        <v>4.1845833333333333</v>
      </c>
      <c r="F36" s="28">
        <f t="shared" si="2"/>
        <v>6.7312500000000002</v>
      </c>
      <c r="G36" s="28">
        <f t="shared" si="2"/>
        <v>18.813000000000002</v>
      </c>
      <c r="H36" s="28">
        <f t="shared" si="2"/>
        <v>8.0754999999999981</v>
      </c>
      <c r="I36" s="28">
        <f t="shared" si="2"/>
        <v>0.94958333333333311</v>
      </c>
      <c r="J36" s="28">
        <f t="shared" si="2"/>
        <v>0.33458333333333329</v>
      </c>
      <c r="K36" s="28">
        <f t="shared" si="2"/>
        <v>220.14583333333334</v>
      </c>
      <c r="L36" s="28">
        <f t="shared" si="2"/>
        <v>24.703749999999996</v>
      </c>
      <c r="M36" s="28">
        <f t="shared" si="2"/>
        <v>100.97041666666667</v>
      </c>
      <c r="N36" s="28">
        <f t="shared" si="2"/>
        <v>88.658333333333346</v>
      </c>
      <c r="O36" s="28">
        <f t="shared" si="2"/>
        <v>1.0333333333333334</v>
      </c>
      <c r="P36" s="28">
        <f t="shared" si="2"/>
        <v>0.27625</v>
      </c>
      <c r="Q36" s="28">
        <f t="shared" si="2"/>
        <v>9.2012499999999982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0.15943684861302349</v>
      </c>
      <c r="C37" s="28">
        <f t="shared" ref="C37:Q37" si="3">STDEV(C9:C32)</f>
        <v>0.37278816302661122</v>
      </c>
      <c r="D37" s="28">
        <f t="shared" si="3"/>
        <v>0.32126758678528494</v>
      </c>
      <c r="E37" s="28">
        <f t="shared" si="3"/>
        <v>0.65951879141680125</v>
      </c>
      <c r="F37" s="28">
        <f t="shared" si="3"/>
        <v>3.4913648913208482</v>
      </c>
      <c r="G37" s="28">
        <f t="shared" si="3"/>
        <v>12.470603370368753</v>
      </c>
      <c r="H37" s="28">
        <f t="shared" si="3"/>
        <v>5.4702328200235852</v>
      </c>
      <c r="I37" s="28">
        <f t="shared" si="3"/>
        <v>0.37721495620985934</v>
      </c>
      <c r="J37" s="28">
        <f t="shared" si="3"/>
        <v>0.10866698897435978</v>
      </c>
      <c r="K37" s="28">
        <f t="shared" si="3"/>
        <v>160.43861109380791</v>
      </c>
      <c r="L37" s="28">
        <f t="shared" si="3"/>
        <v>0.85427219213835437</v>
      </c>
      <c r="M37" s="28">
        <f t="shared" si="3"/>
        <v>0.17261364666356122</v>
      </c>
      <c r="N37" s="28">
        <f t="shared" si="3"/>
        <v>47.75383359677425</v>
      </c>
      <c r="O37" s="28">
        <f t="shared" si="3"/>
        <v>1.7856107630448046</v>
      </c>
      <c r="P37" s="28">
        <f t="shared" si="3"/>
        <v>4.1263996307972367E-2</v>
      </c>
      <c r="Q37" s="28">
        <f t="shared" si="3"/>
        <v>5.1525637350233841E-2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COUNT(G9:G32)+4</f>
        <v>24</v>
      </c>
      <c r="H38" s="32">
        <f>COUNT(H9:H32)+4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132</v>
      </c>
      <c r="B9" s="52">
        <v>7.97</v>
      </c>
      <c r="C9" s="52">
        <v>2.97</v>
      </c>
      <c r="D9" s="52">
        <v>11.71</v>
      </c>
      <c r="E9" s="52">
        <v>4.2300000000000004</v>
      </c>
      <c r="F9" s="52">
        <v>3.88</v>
      </c>
      <c r="G9" s="52">
        <v>14.37</v>
      </c>
      <c r="H9" s="52">
        <v>6.67</v>
      </c>
      <c r="I9" s="52">
        <v>1.78</v>
      </c>
      <c r="J9" s="52">
        <v>0.38</v>
      </c>
      <c r="K9" s="52">
        <v>166.39</v>
      </c>
      <c r="L9" s="52">
        <v>24.91</v>
      </c>
      <c r="M9" s="52">
        <v>101.32</v>
      </c>
      <c r="N9" s="52">
        <v>51.3</v>
      </c>
      <c r="O9" s="52">
        <v>0</v>
      </c>
      <c r="P9" s="52">
        <v>0.24</v>
      </c>
      <c r="Q9" s="52">
        <v>9.24</v>
      </c>
      <c r="R9" s="43"/>
      <c r="S9" s="43"/>
      <c r="T9" s="43"/>
      <c r="U9" s="43"/>
    </row>
    <row r="10" spans="1:21" s="11" customFormat="1" x14ac:dyDescent="0.25">
      <c r="A10" s="51" t="s">
        <v>133</v>
      </c>
      <c r="B10" s="52">
        <v>8.0500000000000007</v>
      </c>
      <c r="C10" s="52">
        <v>3.11</v>
      </c>
      <c r="D10" s="52">
        <v>11.85</v>
      </c>
      <c r="E10" s="52">
        <v>4.34</v>
      </c>
      <c r="F10" s="52">
        <v>4.0199999999999996</v>
      </c>
      <c r="G10" s="52">
        <v>15.47</v>
      </c>
      <c r="H10" s="52">
        <v>5.2</v>
      </c>
      <c r="I10" s="52">
        <v>2.12</v>
      </c>
      <c r="J10" s="52">
        <v>0.48</v>
      </c>
      <c r="K10" s="52">
        <v>163.88</v>
      </c>
      <c r="L10" s="52">
        <v>24.91</v>
      </c>
      <c r="M10" s="52">
        <v>101.32</v>
      </c>
      <c r="N10" s="52">
        <v>51.6</v>
      </c>
      <c r="O10" s="52">
        <v>0</v>
      </c>
      <c r="P10" s="52">
        <v>0.23</v>
      </c>
      <c r="Q10" s="52">
        <v>9.27</v>
      </c>
      <c r="R10" s="43"/>
      <c r="S10" s="43"/>
      <c r="T10" s="43"/>
      <c r="U10" s="43"/>
    </row>
    <row r="11" spans="1:21" s="11" customFormat="1" x14ac:dyDescent="0.25">
      <c r="A11" s="51" t="s">
        <v>134</v>
      </c>
      <c r="B11" s="52">
        <v>8.52</v>
      </c>
      <c r="C11" s="52">
        <v>4.04</v>
      </c>
      <c r="D11" s="52">
        <v>12.72</v>
      </c>
      <c r="E11" s="52">
        <v>4.74</v>
      </c>
      <c r="F11" s="52">
        <v>5.0599999999999996</v>
      </c>
      <c r="G11" s="52">
        <v>15.47</v>
      </c>
      <c r="H11" s="52">
        <v>9.6</v>
      </c>
      <c r="I11" s="52">
        <v>2.34</v>
      </c>
      <c r="J11" s="52">
        <v>0.17</v>
      </c>
      <c r="K11" s="52">
        <v>192.53</v>
      </c>
      <c r="L11" s="52">
        <v>25.01</v>
      </c>
      <c r="M11" s="52">
        <v>101.34</v>
      </c>
      <c r="N11" s="52">
        <v>51.7</v>
      </c>
      <c r="O11" s="52">
        <v>0</v>
      </c>
      <c r="P11" s="52">
        <v>0.24</v>
      </c>
      <c r="Q11" s="52">
        <v>9.23</v>
      </c>
      <c r="R11" s="43"/>
      <c r="S11" s="43"/>
      <c r="T11" s="43"/>
      <c r="U11" s="43"/>
    </row>
    <row r="12" spans="1:21" s="11" customFormat="1" x14ac:dyDescent="0.25">
      <c r="A12" s="51" t="s">
        <v>135</v>
      </c>
      <c r="B12" s="52">
        <v>8.36</v>
      </c>
      <c r="C12" s="52">
        <v>3.81</v>
      </c>
      <c r="D12" s="52">
        <v>12.46</v>
      </c>
      <c r="E12" s="52">
        <v>5.24</v>
      </c>
      <c r="F12" s="52">
        <v>4.93</v>
      </c>
      <c r="G12" s="52">
        <v>13.64</v>
      </c>
      <c r="H12" s="52">
        <v>11.48</v>
      </c>
      <c r="I12" s="52">
        <v>2.1800000000000002</v>
      </c>
      <c r="J12" s="52">
        <v>0.17</v>
      </c>
      <c r="K12" s="52">
        <v>165.11</v>
      </c>
      <c r="L12" s="52">
        <v>25.08</v>
      </c>
      <c r="M12" s="52">
        <v>101.4</v>
      </c>
      <c r="N12" s="52">
        <v>52.4</v>
      </c>
      <c r="O12" s="52">
        <v>0.8</v>
      </c>
      <c r="P12" s="52">
        <v>0.22</v>
      </c>
      <c r="Q12" s="52">
        <v>9.18</v>
      </c>
      <c r="R12" s="43"/>
      <c r="S12" s="43"/>
      <c r="T12" s="43"/>
      <c r="U12" s="43"/>
    </row>
    <row r="13" spans="1:21" s="11" customFormat="1" x14ac:dyDescent="0.25">
      <c r="A13" s="51" t="s">
        <v>136</v>
      </c>
      <c r="B13" s="52">
        <v>8.2100000000000009</v>
      </c>
      <c r="C13" s="52">
        <v>3.5</v>
      </c>
      <c r="D13" s="52">
        <v>12.19</v>
      </c>
      <c r="E13" s="52">
        <v>5.21</v>
      </c>
      <c r="F13" s="52">
        <v>4.03</v>
      </c>
      <c r="G13" s="52">
        <v>10.59</v>
      </c>
      <c r="H13" s="52">
        <v>11.48</v>
      </c>
      <c r="I13" s="52">
        <v>1.96</v>
      </c>
      <c r="J13" s="52">
        <v>0.35</v>
      </c>
      <c r="K13" s="52">
        <v>161.66999999999999</v>
      </c>
      <c r="L13" s="52">
        <v>24.58</v>
      </c>
      <c r="M13" s="52">
        <v>101.33</v>
      </c>
      <c r="N13" s="52">
        <v>57.8</v>
      </c>
      <c r="O13" s="52">
        <v>0</v>
      </c>
      <c r="P13" s="52">
        <v>0.21</v>
      </c>
      <c r="Q13" s="52">
        <v>9.1999999999999993</v>
      </c>
      <c r="R13" s="43"/>
      <c r="S13" s="43"/>
      <c r="T13" s="43"/>
      <c r="U13" s="43"/>
    </row>
    <row r="14" spans="1:21" s="11" customFormat="1" x14ac:dyDescent="0.25">
      <c r="A14" s="51" t="s">
        <v>137</v>
      </c>
      <c r="B14" s="52">
        <v>8.3000000000000007</v>
      </c>
      <c r="C14" s="52">
        <v>3.59</v>
      </c>
      <c r="D14" s="52">
        <v>12.3</v>
      </c>
      <c r="E14" s="52">
        <v>5.1100000000000003</v>
      </c>
      <c r="F14" s="52">
        <v>3.75</v>
      </c>
      <c r="G14" s="52">
        <v>10.59</v>
      </c>
      <c r="H14" s="52">
        <v>10.36</v>
      </c>
      <c r="I14" s="52">
        <v>2.2200000000000002</v>
      </c>
      <c r="J14" s="52">
        <v>0.25</v>
      </c>
      <c r="K14" s="52">
        <v>224.65</v>
      </c>
      <c r="L14" s="52">
        <v>25.06</v>
      </c>
      <c r="M14" s="52">
        <v>101.34</v>
      </c>
      <c r="N14" s="52">
        <v>101.2</v>
      </c>
      <c r="O14" s="52">
        <v>0</v>
      </c>
      <c r="P14" s="52">
        <v>0.2</v>
      </c>
      <c r="Q14" s="52">
        <v>9.25</v>
      </c>
      <c r="R14" s="43"/>
      <c r="S14" s="43"/>
      <c r="T14" s="43"/>
      <c r="U14" s="43"/>
    </row>
    <row r="15" spans="1:21" s="11" customFormat="1" x14ac:dyDescent="0.25">
      <c r="A15" s="51" t="s">
        <v>138</v>
      </c>
      <c r="B15" s="52">
        <v>8.16</v>
      </c>
      <c r="C15" s="52">
        <v>3.32</v>
      </c>
      <c r="D15" s="52">
        <v>12.06</v>
      </c>
      <c r="E15" s="52">
        <v>5.28</v>
      </c>
      <c r="F15" s="52">
        <v>4.46</v>
      </c>
      <c r="G15" s="52">
        <v>12.28</v>
      </c>
      <c r="H15" s="52">
        <v>8.19</v>
      </c>
      <c r="I15" s="52">
        <v>2.34</v>
      </c>
      <c r="J15" s="52">
        <v>0.1</v>
      </c>
      <c r="K15" s="52">
        <v>352.62</v>
      </c>
      <c r="L15" s="52">
        <v>25.53</v>
      </c>
      <c r="M15" s="52">
        <v>101.27</v>
      </c>
      <c r="N15" s="52">
        <v>172.6</v>
      </c>
      <c r="O15" s="52">
        <v>0</v>
      </c>
      <c r="P15" s="52">
        <v>0.26</v>
      </c>
      <c r="Q15" s="52">
        <v>9.25</v>
      </c>
      <c r="R15" s="43"/>
      <c r="S15" s="43"/>
      <c r="T15" s="43"/>
      <c r="U15" s="43"/>
    </row>
    <row r="16" spans="1:21" s="11" customFormat="1" x14ac:dyDescent="0.25">
      <c r="A16" s="51" t="s">
        <v>139</v>
      </c>
      <c r="B16" s="52">
        <v>8.41</v>
      </c>
      <c r="C16" s="52">
        <v>4.0199999999999996</v>
      </c>
      <c r="D16" s="52">
        <v>12.62</v>
      </c>
      <c r="E16" s="52">
        <v>4.7699999999999996</v>
      </c>
      <c r="F16" s="52">
        <v>4.6900000000000004</v>
      </c>
      <c r="G16" s="52">
        <v>12.28</v>
      </c>
      <c r="H16" s="52">
        <v>7.45</v>
      </c>
      <c r="I16" s="52">
        <v>2.14</v>
      </c>
      <c r="J16" s="52">
        <v>0.23</v>
      </c>
      <c r="K16" s="52">
        <v>356.62</v>
      </c>
      <c r="L16" s="52">
        <v>26.86</v>
      </c>
      <c r="M16" s="52">
        <v>101.1</v>
      </c>
      <c r="N16" s="52">
        <v>298.8</v>
      </c>
      <c r="O16" s="52">
        <v>0.2</v>
      </c>
      <c r="P16" s="52">
        <v>0.27</v>
      </c>
      <c r="Q16" s="52">
        <v>9.18</v>
      </c>
      <c r="R16" s="43"/>
      <c r="S16" s="43"/>
      <c r="T16" s="43"/>
      <c r="U16" s="43"/>
    </row>
    <row r="17" spans="1:21" s="11" customFormat="1" x14ac:dyDescent="0.25">
      <c r="A17" s="51" t="s">
        <v>140</v>
      </c>
      <c r="B17" s="52">
        <v>8.18</v>
      </c>
      <c r="C17" s="52">
        <v>3.61</v>
      </c>
      <c r="D17" s="52">
        <v>12.22</v>
      </c>
      <c r="E17" s="52">
        <v>4.7300000000000004</v>
      </c>
      <c r="F17" s="52">
        <v>4.45</v>
      </c>
      <c r="G17" s="52">
        <v>17.149999999999999</v>
      </c>
      <c r="H17" s="52">
        <v>7.45</v>
      </c>
      <c r="I17" s="52">
        <v>1.86</v>
      </c>
      <c r="J17" s="52">
        <v>0.38</v>
      </c>
      <c r="K17" s="52">
        <v>355.49</v>
      </c>
      <c r="L17" s="52">
        <v>27.1</v>
      </c>
      <c r="M17" s="52">
        <v>101.02</v>
      </c>
      <c r="N17" s="52">
        <v>273.8</v>
      </c>
      <c r="O17" s="52">
        <v>0</v>
      </c>
      <c r="P17" s="52">
        <v>0.27</v>
      </c>
      <c r="Q17" s="52">
        <v>9.19</v>
      </c>
      <c r="R17" s="43"/>
      <c r="S17" s="43"/>
      <c r="T17" s="43"/>
      <c r="U17" s="43"/>
    </row>
    <row r="18" spans="1:21" s="11" customFormat="1" x14ac:dyDescent="0.25">
      <c r="A18" s="51" t="s">
        <v>141</v>
      </c>
      <c r="B18" s="52">
        <v>8.1199999999999992</v>
      </c>
      <c r="C18" s="52">
        <v>3.5</v>
      </c>
      <c r="D18" s="52">
        <v>12.11</v>
      </c>
      <c r="E18" s="52">
        <v>4.72</v>
      </c>
      <c r="F18" s="52">
        <v>5.0199999999999996</v>
      </c>
      <c r="G18" s="52">
        <v>17.149999999999999</v>
      </c>
      <c r="H18" s="52">
        <v>5.5</v>
      </c>
      <c r="I18" s="52">
        <v>1.54</v>
      </c>
      <c r="J18" s="52">
        <v>0.3</v>
      </c>
      <c r="K18" s="52">
        <v>355.41</v>
      </c>
      <c r="L18" s="52">
        <v>27.58</v>
      </c>
      <c r="M18" s="52">
        <v>99.73</v>
      </c>
      <c r="N18" s="52">
        <v>283.89999999999998</v>
      </c>
      <c r="O18" s="52">
        <v>0</v>
      </c>
      <c r="P18" s="52">
        <v>0.28000000000000003</v>
      </c>
      <c r="Q18" s="52">
        <v>9.15</v>
      </c>
      <c r="R18" s="43"/>
      <c r="S18" s="43"/>
      <c r="T18" s="43"/>
      <c r="U18" s="43"/>
    </row>
    <row r="19" spans="1:21" s="11" customFormat="1" x14ac:dyDescent="0.25">
      <c r="A19" s="51" t="s">
        <v>142</v>
      </c>
      <c r="B19" s="52">
        <v>8.01</v>
      </c>
      <c r="C19" s="52">
        <v>2.97</v>
      </c>
      <c r="D19" s="52">
        <v>11.75</v>
      </c>
      <c r="E19" s="52">
        <v>4.49</v>
      </c>
      <c r="F19" s="52">
        <v>4.3899999999999997</v>
      </c>
      <c r="G19" s="52">
        <v>26.08</v>
      </c>
      <c r="H19" s="52">
        <v>4.13</v>
      </c>
      <c r="I19" s="52">
        <v>1.26</v>
      </c>
      <c r="J19" s="52">
        <v>0.25</v>
      </c>
      <c r="K19" s="52">
        <v>351.1</v>
      </c>
      <c r="L19" s="52">
        <v>27.35</v>
      </c>
      <c r="M19" s="52">
        <v>101.47</v>
      </c>
      <c r="N19" s="52">
        <v>238.1</v>
      </c>
      <c r="O19" s="52">
        <v>0</v>
      </c>
      <c r="P19" s="52">
        <v>0.28000000000000003</v>
      </c>
      <c r="Q19" s="52">
        <v>9.17</v>
      </c>
      <c r="R19" s="43"/>
      <c r="S19" s="43"/>
      <c r="T19" s="43"/>
      <c r="U19" s="43"/>
    </row>
    <row r="20" spans="1:21" s="11" customFormat="1" x14ac:dyDescent="0.25">
      <c r="A20" s="51" t="s">
        <v>143</v>
      </c>
      <c r="B20" s="52">
        <v>8.3000000000000007</v>
      </c>
      <c r="C20" s="52">
        <v>3.71</v>
      </c>
      <c r="D20" s="52">
        <v>12.37</v>
      </c>
      <c r="E20" s="52">
        <v>3.85</v>
      </c>
      <c r="F20" s="52">
        <v>4.42</v>
      </c>
      <c r="G20" s="52">
        <v>26.08</v>
      </c>
      <c r="H20" s="52">
        <v>3.66</v>
      </c>
      <c r="I20" s="52">
        <v>1.44</v>
      </c>
      <c r="J20" s="52">
        <v>0.17</v>
      </c>
      <c r="K20" s="52">
        <v>346.03</v>
      </c>
      <c r="L20" s="52">
        <v>28.34</v>
      </c>
      <c r="M20" s="52">
        <v>101.49</v>
      </c>
      <c r="N20" s="52">
        <v>454.2</v>
      </c>
      <c r="O20" s="52">
        <v>0</v>
      </c>
      <c r="P20" s="52">
        <v>0.31</v>
      </c>
      <c r="Q20" s="52">
        <v>9.1999999999999993</v>
      </c>
      <c r="R20" s="43"/>
      <c r="S20" s="43"/>
      <c r="T20" s="43"/>
      <c r="U20" s="43"/>
    </row>
    <row r="21" spans="1:21" s="11" customFormat="1" x14ac:dyDescent="0.25">
      <c r="A21" s="51" t="s">
        <v>144</v>
      </c>
      <c r="B21" s="52">
        <v>8.31</v>
      </c>
      <c r="C21" s="52">
        <v>3.78</v>
      </c>
      <c r="D21" s="52">
        <v>12.41</v>
      </c>
      <c r="E21" s="52">
        <v>3.33</v>
      </c>
      <c r="F21" s="52">
        <v>5.12</v>
      </c>
      <c r="G21" s="52">
        <v>28.02</v>
      </c>
      <c r="H21" s="52">
        <v>5.55</v>
      </c>
      <c r="I21" s="52">
        <v>1.43</v>
      </c>
      <c r="J21" s="52">
        <v>0.35</v>
      </c>
      <c r="K21" s="52">
        <v>358.61</v>
      </c>
      <c r="L21" s="52">
        <v>28.43</v>
      </c>
      <c r="M21" s="52">
        <v>95.81</v>
      </c>
      <c r="N21" s="52">
        <v>340.9</v>
      </c>
      <c r="O21" s="52">
        <v>0</v>
      </c>
      <c r="P21" s="52">
        <v>0.34</v>
      </c>
      <c r="Q21" s="52">
        <v>9.15</v>
      </c>
      <c r="R21" s="43"/>
      <c r="S21" s="43"/>
      <c r="T21" s="43"/>
      <c r="U21" s="43"/>
    </row>
    <row r="22" spans="1:21" s="11" customFormat="1" x14ac:dyDescent="0.25">
      <c r="A22" s="51" t="s">
        <v>145</v>
      </c>
      <c r="B22" s="52">
        <v>8.16</v>
      </c>
      <c r="C22" s="52">
        <v>3.55</v>
      </c>
      <c r="D22" s="52">
        <v>12.17</v>
      </c>
      <c r="E22" s="52">
        <v>3.55</v>
      </c>
      <c r="F22" s="52">
        <v>5.47</v>
      </c>
      <c r="G22" s="52">
        <v>30.84</v>
      </c>
      <c r="H22" s="52">
        <v>5.97</v>
      </c>
      <c r="I22" s="52">
        <v>1.34</v>
      </c>
      <c r="J22" s="52">
        <v>0.32</v>
      </c>
      <c r="K22" s="52">
        <v>359.28</v>
      </c>
      <c r="L22" s="52">
        <v>29.35</v>
      </c>
      <c r="M22" s="52">
        <v>92.06</v>
      </c>
      <c r="N22" s="52">
        <v>490.5</v>
      </c>
      <c r="O22" s="52">
        <v>0</v>
      </c>
      <c r="P22" s="52">
        <v>0.34</v>
      </c>
      <c r="Q22" s="52">
        <v>9.15</v>
      </c>
      <c r="R22" s="43"/>
      <c r="S22" s="43"/>
      <c r="T22" s="43"/>
      <c r="U22" s="43"/>
    </row>
    <row r="23" spans="1:21" s="11" customFormat="1" x14ac:dyDescent="0.25">
      <c r="A23" s="51" t="s">
        <v>146</v>
      </c>
      <c r="B23" s="52">
        <v>8.15</v>
      </c>
      <c r="C23" s="52">
        <v>3.34</v>
      </c>
      <c r="D23" s="52">
        <v>12.06</v>
      </c>
      <c r="E23" s="52">
        <v>3.15</v>
      </c>
      <c r="F23" s="52">
        <v>4.3600000000000003</v>
      </c>
      <c r="G23" s="52">
        <v>33.200000000000003</v>
      </c>
      <c r="H23" s="52">
        <v>5.97</v>
      </c>
      <c r="I23" s="52">
        <v>1.29</v>
      </c>
      <c r="J23" s="52">
        <v>0.33</v>
      </c>
      <c r="K23" s="52">
        <v>348.54</v>
      </c>
      <c r="L23" s="52">
        <v>29.41</v>
      </c>
      <c r="M23" s="52">
        <v>94.25</v>
      </c>
      <c r="N23" s="52">
        <v>270.2</v>
      </c>
      <c r="O23" s="52">
        <v>0</v>
      </c>
      <c r="P23" s="52">
        <v>0.34</v>
      </c>
      <c r="Q23" s="52">
        <v>9.17</v>
      </c>
      <c r="R23" s="43"/>
      <c r="S23" s="43"/>
      <c r="T23" s="43"/>
      <c r="U23" s="43"/>
    </row>
    <row r="24" spans="1:21" s="11" customFormat="1" x14ac:dyDescent="0.25">
      <c r="A24" s="51" t="s">
        <v>147</v>
      </c>
      <c r="B24" s="52">
        <v>8.01</v>
      </c>
      <c r="C24" s="52">
        <v>3.05</v>
      </c>
      <c r="D24" s="52">
        <v>11.78</v>
      </c>
      <c r="E24" s="52">
        <v>4.01</v>
      </c>
      <c r="F24" s="52">
        <v>4.54</v>
      </c>
      <c r="G24" s="52">
        <v>33.200000000000003</v>
      </c>
      <c r="H24" s="52">
        <v>9.85</v>
      </c>
      <c r="I24" s="52">
        <v>1.31</v>
      </c>
      <c r="J24" s="52">
        <v>0.35</v>
      </c>
      <c r="K24" s="52">
        <v>350.79</v>
      </c>
      <c r="L24" s="52">
        <v>29.07</v>
      </c>
      <c r="M24" s="52">
        <v>93.38</v>
      </c>
      <c r="N24" s="52">
        <v>188.5</v>
      </c>
      <c r="O24" s="52">
        <v>0</v>
      </c>
      <c r="P24" s="52">
        <v>0.34</v>
      </c>
      <c r="Q24" s="52">
        <v>9.2100000000000009</v>
      </c>
      <c r="R24" s="43"/>
      <c r="S24" s="43"/>
      <c r="T24" s="43"/>
      <c r="U24" s="43"/>
    </row>
    <row r="25" spans="1:21" s="11" customFormat="1" x14ac:dyDescent="0.25">
      <c r="A25" s="51" t="s">
        <v>148</v>
      </c>
      <c r="B25" s="52">
        <v>7.93</v>
      </c>
      <c r="C25" s="52">
        <v>2.97</v>
      </c>
      <c r="D25" s="52">
        <v>11.69</v>
      </c>
      <c r="E25" s="52">
        <v>3.96</v>
      </c>
      <c r="F25" s="52">
        <v>4.93</v>
      </c>
      <c r="G25" s="52">
        <v>38.79</v>
      </c>
      <c r="H25" s="52">
        <v>9.85</v>
      </c>
      <c r="I25" s="52">
        <v>1.28</v>
      </c>
      <c r="J25" s="52">
        <v>0.38</v>
      </c>
      <c r="K25" s="52">
        <v>351.92</v>
      </c>
      <c r="L25" s="52">
        <v>28.46</v>
      </c>
      <c r="M25" s="52">
        <v>96.16</v>
      </c>
      <c r="N25" s="52">
        <v>102.3</v>
      </c>
      <c r="O25" s="52">
        <v>0</v>
      </c>
      <c r="P25" s="52">
        <v>0.39</v>
      </c>
      <c r="Q25" s="52">
        <v>9.1999999999999993</v>
      </c>
      <c r="R25" s="43"/>
      <c r="S25" s="43"/>
      <c r="T25" s="43"/>
      <c r="U25" s="43"/>
    </row>
    <row r="26" spans="1:21" s="11" customFormat="1" x14ac:dyDescent="0.25">
      <c r="A26" s="51" t="s">
        <v>149</v>
      </c>
      <c r="B26" s="52">
        <v>8.16</v>
      </c>
      <c r="C26" s="52">
        <v>3.63</v>
      </c>
      <c r="D26" s="52">
        <v>12.22</v>
      </c>
      <c r="E26" s="52">
        <v>3.87</v>
      </c>
      <c r="F26" s="52">
        <v>4.67</v>
      </c>
      <c r="G26" s="52">
        <v>38.79</v>
      </c>
      <c r="H26" s="52">
        <v>8.61</v>
      </c>
      <c r="I26" s="52">
        <v>1.35</v>
      </c>
      <c r="J26" s="52">
        <v>0.35</v>
      </c>
      <c r="K26" s="52">
        <v>36.869999999999997</v>
      </c>
      <c r="L26" s="52">
        <v>28.04</v>
      </c>
      <c r="M26" s="52">
        <v>102.04</v>
      </c>
      <c r="N26" s="52">
        <v>60.5</v>
      </c>
      <c r="O26" s="52">
        <v>3</v>
      </c>
      <c r="P26" s="52">
        <v>0.4</v>
      </c>
      <c r="Q26" s="52">
        <v>9.2100000000000009</v>
      </c>
      <c r="R26" s="43"/>
      <c r="S26" s="43"/>
      <c r="T26" s="43"/>
      <c r="U26" s="43"/>
    </row>
    <row r="27" spans="1:21" s="11" customFormat="1" x14ac:dyDescent="0.25">
      <c r="A27" s="51" t="s">
        <v>150</v>
      </c>
      <c r="B27" s="52">
        <v>8.25</v>
      </c>
      <c r="C27" s="52">
        <v>3.72</v>
      </c>
      <c r="D27" s="52">
        <v>12.34</v>
      </c>
      <c r="E27" s="52">
        <v>3.9</v>
      </c>
      <c r="F27" s="52">
        <v>4.28</v>
      </c>
      <c r="G27" s="52">
        <v>35.43</v>
      </c>
      <c r="H27" s="52">
        <v>7.87</v>
      </c>
      <c r="I27" s="52">
        <v>1.6</v>
      </c>
      <c r="J27" s="52">
        <v>0.09</v>
      </c>
      <c r="K27" s="52">
        <v>300.36</v>
      </c>
      <c r="L27" s="52">
        <v>25.37</v>
      </c>
      <c r="M27" s="52">
        <v>102.2</v>
      </c>
      <c r="N27" s="52">
        <v>41.5</v>
      </c>
      <c r="O27" s="52">
        <v>0</v>
      </c>
      <c r="P27" s="52">
        <v>0.42</v>
      </c>
      <c r="Q27" s="52">
        <v>9.18</v>
      </c>
      <c r="R27" s="43"/>
      <c r="S27" s="43"/>
      <c r="T27" s="43"/>
      <c r="U27" s="43"/>
    </row>
    <row r="28" spans="1:21" s="11" customFormat="1" x14ac:dyDescent="0.25">
      <c r="A28" s="51" t="s">
        <v>151</v>
      </c>
      <c r="B28" s="52">
        <v>8.31</v>
      </c>
      <c r="C28" s="52">
        <v>3.52</v>
      </c>
      <c r="D28" s="52">
        <v>12.28</v>
      </c>
      <c r="E28" s="52">
        <v>3.62</v>
      </c>
      <c r="F28" s="52">
        <v>3.51</v>
      </c>
      <c r="G28" s="52">
        <v>29.7</v>
      </c>
      <c r="H28" s="52">
        <v>5.93</v>
      </c>
      <c r="I28" s="52">
        <v>2.63</v>
      </c>
      <c r="J28" s="52">
        <v>0.15</v>
      </c>
      <c r="K28" s="52">
        <v>220.17</v>
      </c>
      <c r="L28" s="52">
        <v>25.26</v>
      </c>
      <c r="M28" s="52">
        <v>101.64</v>
      </c>
      <c r="N28" s="52">
        <v>41.4</v>
      </c>
      <c r="O28" s="52">
        <v>0</v>
      </c>
      <c r="P28" s="52">
        <v>0.46</v>
      </c>
      <c r="Q28" s="52">
        <v>9.25</v>
      </c>
      <c r="R28" s="43"/>
      <c r="S28" s="43"/>
      <c r="T28" s="43"/>
      <c r="U28" s="43"/>
    </row>
    <row r="29" spans="1:21" s="11" customFormat="1" x14ac:dyDescent="0.25">
      <c r="A29" s="51" t="s">
        <v>152</v>
      </c>
      <c r="B29" s="52">
        <v>9.41</v>
      </c>
      <c r="C29" s="52">
        <v>5.23</v>
      </c>
      <c r="D29" s="52">
        <v>14.05</v>
      </c>
      <c r="E29" s="52">
        <v>3.89</v>
      </c>
      <c r="F29" s="52">
        <v>4.0599999999999996</v>
      </c>
      <c r="G29" s="52">
        <v>29.25</v>
      </c>
      <c r="H29" s="52">
        <v>14.55</v>
      </c>
      <c r="I29" s="52">
        <v>3.25</v>
      </c>
      <c r="J29" s="52">
        <v>0.2</v>
      </c>
      <c r="K29" s="52">
        <v>347.19</v>
      </c>
      <c r="L29" s="52">
        <v>25.13</v>
      </c>
      <c r="M29" s="52">
        <v>101.43</v>
      </c>
      <c r="N29" s="52">
        <v>41.5</v>
      </c>
      <c r="O29" s="52">
        <v>0</v>
      </c>
      <c r="P29" s="52">
        <v>0.51</v>
      </c>
      <c r="Q29" s="52">
        <v>9.35</v>
      </c>
      <c r="R29" s="43"/>
      <c r="S29" s="43"/>
      <c r="T29" s="43"/>
      <c r="U29" s="43"/>
    </row>
    <row r="30" spans="1:21" s="11" customFormat="1" x14ac:dyDescent="0.25">
      <c r="A30" s="51" t="s">
        <v>153</v>
      </c>
      <c r="B30" s="52">
        <v>9.4600000000000009</v>
      </c>
      <c r="C30" s="52">
        <v>5.38</v>
      </c>
      <c r="D30" s="52">
        <v>14.16</v>
      </c>
      <c r="E30" s="52">
        <v>3.88</v>
      </c>
      <c r="F30" s="52">
        <v>4.24</v>
      </c>
      <c r="G30" s="52">
        <v>29.25</v>
      </c>
      <c r="H30" s="52">
        <v>14.55</v>
      </c>
      <c r="I30" s="52">
        <v>3.33</v>
      </c>
      <c r="J30" s="52">
        <v>0.17</v>
      </c>
      <c r="K30" s="52">
        <v>347.78</v>
      </c>
      <c r="L30" s="52">
        <v>25.27</v>
      </c>
      <c r="M30" s="52">
        <v>101.6</v>
      </c>
      <c r="N30" s="52">
        <v>41.5</v>
      </c>
      <c r="O30" s="52">
        <v>0</v>
      </c>
      <c r="P30" s="52">
        <v>0.53</v>
      </c>
      <c r="Q30" s="52">
        <v>9.41</v>
      </c>
      <c r="R30" s="43"/>
      <c r="S30" s="43"/>
      <c r="T30" s="43"/>
      <c r="U30" s="43"/>
    </row>
    <row r="31" spans="1:21" s="11" customFormat="1" x14ac:dyDescent="0.25">
      <c r="A31" s="51" t="s">
        <v>154</v>
      </c>
      <c r="B31" s="52">
        <v>9.31</v>
      </c>
      <c r="C31" s="52">
        <v>5.14</v>
      </c>
      <c r="D31" s="52">
        <v>13.92</v>
      </c>
      <c r="E31" s="52">
        <v>4.34</v>
      </c>
      <c r="F31" s="52">
        <v>4.4400000000000004</v>
      </c>
      <c r="G31" s="52">
        <v>25.81</v>
      </c>
      <c r="H31" s="52">
        <v>10.87</v>
      </c>
      <c r="I31" s="52">
        <v>3.27</v>
      </c>
      <c r="J31" s="52">
        <v>0.34</v>
      </c>
      <c r="K31" s="52">
        <v>359.69</v>
      </c>
      <c r="L31" s="52">
        <v>25.57</v>
      </c>
      <c r="M31" s="52">
        <v>101.63</v>
      </c>
      <c r="N31" s="52">
        <v>43</v>
      </c>
      <c r="O31" s="52">
        <v>0</v>
      </c>
      <c r="P31" s="52">
        <v>0.51</v>
      </c>
      <c r="Q31" s="52">
        <v>9.41</v>
      </c>
      <c r="R31" s="43"/>
      <c r="S31" s="43"/>
      <c r="T31" s="43"/>
      <c r="U31" s="43"/>
    </row>
    <row r="32" spans="1:21" s="11" customFormat="1" x14ac:dyDescent="0.25">
      <c r="A32" s="51" t="s">
        <v>155</v>
      </c>
      <c r="B32" s="52">
        <v>8.67</v>
      </c>
      <c r="C32" s="52">
        <v>4.43</v>
      </c>
      <c r="D32" s="52">
        <v>13.04</v>
      </c>
      <c r="E32" s="52">
        <v>5.0599999999999996</v>
      </c>
      <c r="F32" s="52">
        <v>3.76</v>
      </c>
      <c r="G32" s="52">
        <v>21.82</v>
      </c>
      <c r="H32" s="52">
        <v>10.87</v>
      </c>
      <c r="I32" s="52">
        <v>2.75</v>
      </c>
      <c r="J32" s="52">
        <v>0.15</v>
      </c>
      <c r="K32" s="52">
        <v>355.31</v>
      </c>
      <c r="L32" s="52">
        <v>25.22</v>
      </c>
      <c r="M32" s="52">
        <v>101.64</v>
      </c>
      <c r="N32" s="52">
        <v>42.3</v>
      </c>
      <c r="O32" s="52">
        <v>0</v>
      </c>
      <c r="P32" s="52">
        <v>0.41</v>
      </c>
      <c r="Q32" s="52">
        <v>9.31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2.97</v>
      </c>
      <c r="D34" s="28">
        <f t="shared" si="0"/>
        <v>11.69</v>
      </c>
      <c r="E34" s="28">
        <f t="shared" si="0"/>
        <v>3.15</v>
      </c>
      <c r="F34" s="28">
        <f t="shared" si="0"/>
        <v>3.51</v>
      </c>
      <c r="G34" s="28">
        <f t="shared" si="0"/>
        <v>10.59</v>
      </c>
      <c r="H34" s="28">
        <f t="shared" si="0"/>
        <v>3.66</v>
      </c>
      <c r="I34" s="28">
        <f t="shared" si="0"/>
        <v>1.26</v>
      </c>
      <c r="J34" s="28">
        <f t="shared" si="0"/>
        <v>0.09</v>
      </c>
      <c r="K34" s="28">
        <f t="shared" si="0"/>
        <v>36.869999999999997</v>
      </c>
      <c r="L34" s="28">
        <f t="shared" si="0"/>
        <v>24.58</v>
      </c>
      <c r="M34" s="28">
        <f t="shared" si="0"/>
        <v>92.06</v>
      </c>
      <c r="N34" s="28">
        <f t="shared" si="0"/>
        <v>41.4</v>
      </c>
      <c r="O34" s="28">
        <f t="shared" si="0"/>
        <v>0</v>
      </c>
      <c r="P34" s="28">
        <f t="shared" si="0"/>
        <v>0.2</v>
      </c>
      <c r="Q34" s="28">
        <f t="shared" si="0"/>
        <v>9.15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9.4600000000000009</v>
      </c>
      <c r="C35" s="29">
        <f t="shared" si="1"/>
        <v>5.38</v>
      </c>
      <c r="D35" s="29">
        <f t="shared" si="1"/>
        <v>14.16</v>
      </c>
      <c r="E35" s="29">
        <f t="shared" si="1"/>
        <v>5.28</v>
      </c>
      <c r="F35" s="29">
        <f t="shared" si="1"/>
        <v>5.47</v>
      </c>
      <c r="G35" s="29">
        <f t="shared" si="1"/>
        <v>38.79</v>
      </c>
      <c r="H35" s="29">
        <f t="shared" si="1"/>
        <v>14.55</v>
      </c>
      <c r="I35" s="29">
        <f t="shared" si="1"/>
        <v>3.33</v>
      </c>
      <c r="J35" s="29">
        <f t="shared" si="1"/>
        <v>0.48</v>
      </c>
      <c r="K35" s="29">
        <f t="shared" si="1"/>
        <v>359.69</v>
      </c>
      <c r="L35" s="29">
        <f t="shared" si="1"/>
        <v>29.41</v>
      </c>
      <c r="M35" s="29">
        <f t="shared" si="1"/>
        <v>102.2</v>
      </c>
      <c r="N35" s="29">
        <f t="shared" si="1"/>
        <v>490.5</v>
      </c>
      <c r="O35" s="29">
        <f t="shared" si="1"/>
        <v>3</v>
      </c>
      <c r="P35" s="29">
        <f t="shared" si="1"/>
        <v>0.53</v>
      </c>
      <c r="Q35" s="29">
        <f t="shared" si="1"/>
        <v>9.41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8.3633333333333333</v>
      </c>
      <c r="C36" s="28">
        <f t="shared" si="2"/>
        <v>3.745416666666666</v>
      </c>
      <c r="D36" s="28">
        <f t="shared" si="2"/>
        <v>12.436666666666669</v>
      </c>
      <c r="E36" s="28">
        <f t="shared" si="2"/>
        <v>4.3029166666666674</v>
      </c>
      <c r="F36" s="28">
        <f t="shared" si="2"/>
        <v>4.4366666666666674</v>
      </c>
      <c r="G36" s="28">
        <f t="shared" si="2"/>
        <v>23.552083333333332</v>
      </c>
      <c r="H36" s="28">
        <f t="shared" si="2"/>
        <v>8.4004166666666666</v>
      </c>
      <c r="I36" s="28">
        <f t="shared" si="2"/>
        <v>2.0004166666666667</v>
      </c>
      <c r="J36" s="28">
        <f t="shared" si="2"/>
        <v>0.26708333333333328</v>
      </c>
      <c r="K36" s="28">
        <f t="shared" si="2"/>
        <v>288.66708333333332</v>
      </c>
      <c r="L36" s="28">
        <f t="shared" si="2"/>
        <v>26.537083333333339</v>
      </c>
      <c r="M36" s="28">
        <f t="shared" si="2"/>
        <v>99.915416666666658</v>
      </c>
      <c r="N36" s="28">
        <f t="shared" si="2"/>
        <v>157.97916666666666</v>
      </c>
      <c r="O36" s="28">
        <f t="shared" si="2"/>
        <v>0.16666666666666666</v>
      </c>
      <c r="P36" s="28">
        <f t="shared" si="2"/>
        <v>0.33333333333333331</v>
      </c>
      <c r="Q36" s="28">
        <f t="shared" si="2"/>
        <v>9.2295833333333341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0.43328539311181269</v>
      </c>
      <c r="C37" s="28">
        <f t="shared" ref="C37:Q37" si="3">STDEV(C9:C32)</f>
        <v>0.68399707072006277</v>
      </c>
      <c r="D37" s="28">
        <f t="shared" si="3"/>
        <v>0.69962515843760276</v>
      </c>
      <c r="E37" s="28">
        <f t="shared" si="3"/>
        <v>0.62919879464951034</v>
      </c>
      <c r="F37" s="28">
        <f t="shared" si="3"/>
        <v>0.4903740069239591</v>
      </c>
      <c r="G37" s="28">
        <f t="shared" si="3"/>
        <v>9.2634076644597165</v>
      </c>
      <c r="H37" s="28">
        <f t="shared" si="3"/>
        <v>2.9989628339994701</v>
      </c>
      <c r="I37" s="28">
        <f t="shared" si="3"/>
        <v>0.66704070123302661</v>
      </c>
      <c r="J37" s="28">
        <f t="shared" si="3"/>
        <v>0.10531440161917935</v>
      </c>
      <c r="K37" s="28">
        <f t="shared" si="3"/>
        <v>94.646436689818088</v>
      </c>
      <c r="L37" s="28">
        <f t="shared" si="3"/>
        <v>1.6624483755741941</v>
      </c>
      <c r="M37" s="28">
        <f t="shared" si="3"/>
        <v>3.0419187010927775</v>
      </c>
      <c r="N37" s="28">
        <f t="shared" si="3"/>
        <v>140.33069012364939</v>
      </c>
      <c r="O37" s="28">
        <f t="shared" si="3"/>
        <v>0.62600643604599981</v>
      </c>
      <c r="P37" s="28">
        <f t="shared" si="3"/>
        <v>0.10041941032994817</v>
      </c>
      <c r="Q37" s="28">
        <f t="shared" si="3"/>
        <v>7.4453321628046118E-2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3" sqref="G43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156</v>
      </c>
      <c r="B9" s="52">
        <v>8.0500000000000007</v>
      </c>
      <c r="C9" s="52">
        <v>3.02</v>
      </c>
      <c r="D9" s="52">
        <v>11.8</v>
      </c>
      <c r="E9" s="52">
        <v>4.93</v>
      </c>
      <c r="F9" s="52">
        <v>3.63</v>
      </c>
      <c r="G9" s="52">
        <v>21.82</v>
      </c>
      <c r="H9" s="52">
        <v>12.46</v>
      </c>
      <c r="I9" s="52">
        <v>2.64</v>
      </c>
      <c r="J9" s="52">
        <v>0.11</v>
      </c>
      <c r="K9" s="52">
        <v>348.97</v>
      </c>
      <c r="L9" s="52">
        <v>24.94</v>
      </c>
      <c r="M9" s="52">
        <v>101.75</v>
      </c>
      <c r="N9" s="52">
        <v>42.4</v>
      </c>
      <c r="O9" s="52">
        <v>0</v>
      </c>
      <c r="P9" s="52">
        <v>0.33</v>
      </c>
      <c r="Q9" s="52">
        <v>9.34</v>
      </c>
      <c r="R9" s="43"/>
      <c r="S9" s="43"/>
      <c r="T9" s="43"/>
      <c r="U9" s="43"/>
    </row>
    <row r="10" spans="1:21" s="11" customFormat="1" x14ac:dyDescent="0.25">
      <c r="A10" s="51" t="s">
        <v>157</v>
      </c>
      <c r="B10" s="52">
        <v>8.7100000000000009</v>
      </c>
      <c r="C10" s="52">
        <v>4.32</v>
      </c>
      <c r="D10" s="52">
        <v>13.01</v>
      </c>
      <c r="E10" s="52">
        <v>4.97</v>
      </c>
      <c r="F10" s="52">
        <v>4.0599999999999996</v>
      </c>
      <c r="G10" s="52">
        <v>17.12</v>
      </c>
      <c r="H10" s="52">
        <v>12.46</v>
      </c>
      <c r="I10" s="52">
        <v>2.78</v>
      </c>
      <c r="J10" s="52">
        <v>0.38</v>
      </c>
      <c r="K10" s="52">
        <v>142.43</v>
      </c>
      <c r="L10" s="52">
        <v>24.61</v>
      </c>
      <c r="M10" s="52">
        <v>102.05</v>
      </c>
      <c r="N10" s="52">
        <v>42.2</v>
      </c>
      <c r="O10" s="52">
        <v>0</v>
      </c>
      <c r="P10" s="52">
        <v>0.3</v>
      </c>
      <c r="Q10" s="52">
        <v>9.32</v>
      </c>
      <c r="R10" s="43"/>
      <c r="S10" s="43"/>
      <c r="T10" s="43"/>
      <c r="U10" s="43"/>
    </row>
    <row r="11" spans="1:21" s="11" customFormat="1" x14ac:dyDescent="0.25">
      <c r="A11" s="51" t="s">
        <v>158</v>
      </c>
      <c r="B11" s="52">
        <v>8.64</v>
      </c>
      <c r="C11" s="52">
        <v>4.46</v>
      </c>
      <c r="D11" s="52">
        <v>13.03</v>
      </c>
      <c r="E11" s="52">
        <v>4.84</v>
      </c>
      <c r="F11" s="52">
        <v>4.05</v>
      </c>
      <c r="G11" s="52">
        <v>17.489999999999998</v>
      </c>
      <c r="H11" s="52">
        <v>12.01</v>
      </c>
      <c r="I11" s="52">
        <v>2.83</v>
      </c>
      <c r="J11" s="52">
        <v>0.15</v>
      </c>
      <c r="K11" s="52">
        <v>210.45</v>
      </c>
      <c r="L11" s="52">
        <v>24.62</v>
      </c>
      <c r="M11" s="52">
        <v>102.01</v>
      </c>
      <c r="N11" s="52">
        <v>41.9</v>
      </c>
      <c r="O11" s="52">
        <v>0</v>
      </c>
      <c r="P11" s="52">
        <v>0.28000000000000003</v>
      </c>
      <c r="Q11" s="52">
        <v>9.2899999999999991</v>
      </c>
      <c r="R11" s="43"/>
      <c r="S11" s="43"/>
      <c r="T11" s="43"/>
      <c r="U11" s="43"/>
    </row>
    <row r="12" spans="1:21" s="11" customFormat="1" x14ac:dyDescent="0.25">
      <c r="A12" s="51" t="s">
        <v>159</v>
      </c>
      <c r="B12" s="52">
        <v>8.6300000000000008</v>
      </c>
      <c r="C12" s="52">
        <v>4.34</v>
      </c>
      <c r="D12" s="52">
        <v>12.96</v>
      </c>
      <c r="E12" s="52">
        <v>4.67</v>
      </c>
      <c r="F12" s="52">
        <v>4.21</v>
      </c>
      <c r="G12" s="52">
        <v>17.489999999999998</v>
      </c>
      <c r="H12" s="52">
        <v>11.88</v>
      </c>
      <c r="I12" s="52">
        <v>2.73</v>
      </c>
      <c r="J12" s="52">
        <v>0.36</v>
      </c>
      <c r="K12" s="52">
        <v>286.14</v>
      </c>
      <c r="L12" s="52">
        <v>24.6</v>
      </c>
      <c r="M12" s="52">
        <v>101.19</v>
      </c>
      <c r="N12" s="52">
        <v>42</v>
      </c>
      <c r="O12" s="52">
        <v>0</v>
      </c>
      <c r="P12" s="52">
        <v>0.25</v>
      </c>
      <c r="Q12" s="52">
        <v>9.25</v>
      </c>
      <c r="R12" s="43"/>
      <c r="S12" s="43"/>
      <c r="T12" s="43"/>
      <c r="U12" s="43"/>
    </row>
    <row r="13" spans="1:21" s="11" customFormat="1" x14ac:dyDescent="0.25">
      <c r="A13" s="51" t="s">
        <v>160</v>
      </c>
      <c r="B13" s="52">
        <v>8.3000000000000007</v>
      </c>
      <c r="C13" s="52">
        <v>3.57</v>
      </c>
      <c r="D13" s="52">
        <v>12.3</v>
      </c>
      <c r="E13" s="52">
        <v>4.72</v>
      </c>
      <c r="F13" s="52">
        <v>3.46</v>
      </c>
      <c r="G13" s="52">
        <v>19.02</v>
      </c>
      <c r="H13" s="52">
        <v>11.41</v>
      </c>
      <c r="I13" s="52">
        <v>2.95</v>
      </c>
      <c r="J13" s="52">
        <v>0.12</v>
      </c>
      <c r="K13" s="52">
        <v>346.81</v>
      </c>
      <c r="L13" s="52">
        <v>24.62</v>
      </c>
      <c r="M13" s="52">
        <v>101.23</v>
      </c>
      <c r="N13" s="52">
        <v>49.8</v>
      </c>
      <c r="O13" s="52">
        <v>0</v>
      </c>
      <c r="P13" s="52">
        <v>0.24</v>
      </c>
      <c r="Q13" s="52">
        <v>9.2899999999999991</v>
      </c>
      <c r="R13" s="43"/>
      <c r="S13" s="43"/>
      <c r="T13" s="43"/>
      <c r="U13" s="43"/>
    </row>
    <row r="14" spans="1:21" s="11" customFormat="1" x14ac:dyDescent="0.25">
      <c r="A14" s="51" t="s">
        <v>161</v>
      </c>
      <c r="B14" s="52">
        <v>8.74</v>
      </c>
      <c r="C14" s="52">
        <v>4.3600000000000003</v>
      </c>
      <c r="D14" s="52">
        <v>13.06</v>
      </c>
      <c r="E14" s="52">
        <v>5.05</v>
      </c>
      <c r="F14" s="52">
        <v>4.4000000000000004</v>
      </c>
      <c r="G14" s="52">
        <v>19.62</v>
      </c>
      <c r="H14" s="52">
        <v>7.99</v>
      </c>
      <c r="I14" s="52">
        <v>3.22</v>
      </c>
      <c r="J14" s="52">
        <v>0.14000000000000001</v>
      </c>
      <c r="K14" s="52">
        <v>346.47</v>
      </c>
      <c r="L14" s="52">
        <v>25.35</v>
      </c>
      <c r="M14" s="52">
        <v>101.28</v>
      </c>
      <c r="N14" s="52">
        <v>113.5</v>
      </c>
      <c r="O14" s="52">
        <v>0</v>
      </c>
      <c r="P14" s="52">
        <v>0.24</v>
      </c>
      <c r="Q14" s="52">
        <v>9.31</v>
      </c>
      <c r="R14" s="43"/>
      <c r="S14" s="43"/>
      <c r="T14" s="43"/>
      <c r="U14" s="43"/>
    </row>
    <row r="15" spans="1:21" s="11" customFormat="1" x14ac:dyDescent="0.25">
      <c r="A15" s="51" t="s">
        <v>162</v>
      </c>
      <c r="B15" s="52">
        <v>8.92</v>
      </c>
      <c r="C15" s="52">
        <v>4.88</v>
      </c>
      <c r="D15" s="52">
        <v>13.47</v>
      </c>
      <c r="E15" s="52">
        <v>5.24</v>
      </c>
      <c r="F15" s="52">
        <v>4</v>
      </c>
      <c r="G15" s="52">
        <v>24.93</v>
      </c>
      <c r="H15" s="52">
        <v>6.66</v>
      </c>
      <c r="I15" s="52">
        <v>3.15</v>
      </c>
      <c r="J15" s="52">
        <v>0.18</v>
      </c>
      <c r="K15" s="52">
        <v>186.26</v>
      </c>
      <c r="L15" s="52">
        <v>28.12</v>
      </c>
      <c r="M15" s="52">
        <v>101.22</v>
      </c>
      <c r="N15" s="52">
        <v>377.1</v>
      </c>
      <c r="O15" s="52">
        <v>0</v>
      </c>
      <c r="P15" s="52">
        <v>0.28999999999999998</v>
      </c>
      <c r="Q15" s="52">
        <v>9.2899999999999991</v>
      </c>
      <c r="R15" s="43"/>
      <c r="S15" s="43"/>
      <c r="T15" s="43"/>
      <c r="U15" s="43"/>
    </row>
    <row r="16" spans="1:21" s="11" customFormat="1" x14ac:dyDescent="0.25">
      <c r="A16" s="51" t="s">
        <v>163</v>
      </c>
      <c r="B16" s="52">
        <v>8.86</v>
      </c>
      <c r="C16" s="52">
        <v>5.04</v>
      </c>
      <c r="D16" s="52">
        <v>13.51</v>
      </c>
      <c r="E16" s="52">
        <v>5.44</v>
      </c>
      <c r="F16" s="52">
        <v>4.96</v>
      </c>
      <c r="G16" s="52">
        <v>26.23</v>
      </c>
      <c r="H16" s="52">
        <v>9.35</v>
      </c>
      <c r="I16" s="52">
        <v>2.89</v>
      </c>
      <c r="J16" s="52">
        <v>0.32</v>
      </c>
      <c r="K16" s="52">
        <v>351.68</v>
      </c>
      <c r="L16" s="52">
        <v>29.93</v>
      </c>
      <c r="M16" s="52">
        <v>96.91</v>
      </c>
      <c r="N16" s="52">
        <v>554</v>
      </c>
      <c r="O16" s="52">
        <v>0</v>
      </c>
      <c r="P16" s="52">
        <v>0.3</v>
      </c>
      <c r="Q16" s="52">
        <v>9.26</v>
      </c>
      <c r="R16" s="43"/>
      <c r="S16" s="43"/>
      <c r="T16" s="43"/>
      <c r="U16" s="43"/>
    </row>
    <row r="17" spans="1:21" s="11" customFormat="1" x14ac:dyDescent="0.25">
      <c r="A17" s="51" t="s">
        <v>164</v>
      </c>
      <c r="B17" s="52">
        <v>8.7200000000000006</v>
      </c>
      <c r="C17" s="52">
        <v>4.8099999999999996</v>
      </c>
      <c r="D17" s="52">
        <v>13.28</v>
      </c>
      <c r="E17" s="52">
        <v>5.39</v>
      </c>
      <c r="F17" s="52">
        <v>4.2300000000000004</v>
      </c>
      <c r="G17" s="52">
        <v>30.6</v>
      </c>
      <c r="H17" s="52">
        <v>9.35</v>
      </c>
      <c r="I17" s="52">
        <v>2.27</v>
      </c>
      <c r="J17" s="52">
        <v>0.38</v>
      </c>
      <c r="K17" s="52">
        <v>357.79</v>
      </c>
      <c r="L17" s="52">
        <v>30.09</v>
      </c>
      <c r="M17" s="52">
        <v>89.74</v>
      </c>
      <c r="N17" s="52">
        <v>702.6</v>
      </c>
      <c r="O17" s="52">
        <v>0</v>
      </c>
      <c r="P17" s="52">
        <v>0.32</v>
      </c>
      <c r="Q17" s="52">
        <v>9.25</v>
      </c>
      <c r="R17" s="43"/>
      <c r="S17" s="43"/>
      <c r="T17" s="43"/>
      <c r="U17" s="43"/>
    </row>
    <row r="18" spans="1:21" s="11" customFormat="1" x14ac:dyDescent="0.25">
      <c r="A18" s="51" t="s">
        <v>165</v>
      </c>
      <c r="B18" s="52">
        <v>8.08</v>
      </c>
      <c r="C18" s="52">
        <v>3.21</v>
      </c>
      <c r="D18" s="52">
        <v>11.93</v>
      </c>
      <c r="E18" s="52">
        <v>5.42</v>
      </c>
      <c r="F18" s="52">
        <v>6.1</v>
      </c>
      <c r="G18" s="52">
        <v>35.26</v>
      </c>
      <c r="H18" s="52">
        <v>13.55</v>
      </c>
      <c r="I18" s="52">
        <v>1.65</v>
      </c>
      <c r="J18" s="52">
        <v>0.33</v>
      </c>
      <c r="K18" s="52">
        <v>346.89</v>
      </c>
      <c r="L18" s="52">
        <v>30</v>
      </c>
      <c r="M18" s="52">
        <v>87.89</v>
      </c>
      <c r="N18" s="52">
        <v>553.4</v>
      </c>
      <c r="O18" s="52">
        <v>0.2</v>
      </c>
      <c r="P18" s="52">
        <v>0.35</v>
      </c>
      <c r="Q18" s="52">
        <v>9.1999999999999993</v>
      </c>
      <c r="R18" s="43"/>
      <c r="S18" s="43"/>
      <c r="T18" s="43"/>
      <c r="U18" s="43"/>
    </row>
    <row r="19" spans="1:21" s="11" customFormat="1" x14ac:dyDescent="0.25">
      <c r="A19" s="51" t="s">
        <v>166</v>
      </c>
      <c r="B19" s="52">
        <v>8.2100000000000009</v>
      </c>
      <c r="C19" s="52">
        <v>3.89</v>
      </c>
      <c r="D19" s="52">
        <v>12.39</v>
      </c>
      <c r="E19" s="52">
        <v>5.63</v>
      </c>
      <c r="F19" s="52">
        <v>5.92</v>
      </c>
      <c r="G19" s="52">
        <v>35.26</v>
      </c>
      <c r="H19" s="52">
        <v>16.37</v>
      </c>
      <c r="I19" s="52">
        <v>1.34</v>
      </c>
      <c r="J19" s="52">
        <v>0.34</v>
      </c>
      <c r="K19" s="52">
        <v>347.42</v>
      </c>
      <c r="L19" s="52">
        <v>31.28</v>
      </c>
      <c r="M19" s="52">
        <v>88.37</v>
      </c>
      <c r="N19" s="52">
        <v>707.1</v>
      </c>
      <c r="O19" s="52">
        <v>0</v>
      </c>
      <c r="P19" s="52">
        <v>0.41</v>
      </c>
      <c r="Q19" s="52">
        <v>9.2100000000000009</v>
      </c>
      <c r="R19" s="43"/>
      <c r="S19" s="43"/>
      <c r="T19" s="43"/>
      <c r="U19" s="43"/>
    </row>
    <row r="20" spans="1:21" s="11" customFormat="1" x14ac:dyDescent="0.25">
      <c r="A20" s="51" t="s">
        <v>167</v>
      </c>
      <c r="B20" s="52">
        <v>7.95</v>
      </c>
      <c r="C20" s="52">
        <v>3.18</v>
      </c>
      <c r="D20" s="52">
        <v>11.82</v>
      </c>
      <c r="E20" s="52">
        <v>4.0599999999999996</v>
      </c>
      <c r="F20" s="52">
        <v>7.31</v>
      </c>
      <c r="G20" s="52">
        <v>30.5</v>
      </c>
      <c r="H20" s="52">
        <v>16.37</v>
      </c>
      <c r="I20" s="52">
        <v>1.79</v>
      </c>
      <c r="J20" s="52">
        <v>0.34</v>
      </c>
      <c r="K20" s="52">
        <v>358.08</v>
      </c>
      <c r="L20" s="52">
        <v>31.17</v>
      </c>
      <c r="M20" s="52">
        <v>84.24</v>
      </c>
      <c r="N20" s="52">
        <v>800.7</v>
      </c>
      <c r="O20" s="52">
        <v>0</v>
      </c>
      <c r="P20" s="52">
        <v>0.45</v>
      </c>
      <c r="Q20" s="52">
        <v>9.18</v>
      </c>
      <c r="R20" s="43"/>
      <c r="S20" s="43"/>
      <c r="T20" s="43"/>
      <c r="U20" s="43"/>
    </row>
    <row r="21" spans="1:21" s="11" customFormat="1" x14ac:dyDescent="0.25">
      <c r="A21" s="51" t="s">
        <v>168</v>
      </c>
      <c r="B21" s="52">
        <v>8.0500000000000007</v>
      </c>
      <c r="C21" s="52">
        <v>3.38</v>
      </c>
      <c r="D21" s="52">
        <v>11.99</v>
      </c>
      <c r="E21" s="52">
        <v>4.12</v>
      </c>
      <c r="F21" s="52">
        <v>4.79</v>
      </c>
      <c r="G21" s="52">
        <v>34.119999999999997</v>
      </c>
      <c r="H21" s="52">
        <v>13.96</v>
      </c>
      <c r="I21" s="52">
        <v>1.49</v>
      </c>
      <c r="J21" s="52">
        <v>0.28999999999999998</v>
      </c>
      <c r="K21" s="52">
        <v>351.72</v>
      </c>
      <c r="L21" s="52">
        <v>31.67</v>
      </c>
      <c r="M21" s="52">
        <v>81.849999999999994</v>
      </c>
      <c r="N21" s="52">
        <v>722</v>
      </c>
      <c r="O21" s="52">
        <v>0</v>
      </c>
      <c r="P21" s="52">
        <v>0.39</v>
      </c>
      <c r="Q21" s="52">
        <v>9.2100000000000009</v>
      </c>
      <c r="R21" s="43"/>
      <c r="S21" s="43"/>
      <c r="T21" s="43"/>
      <c r="U21" s="43"/>
    </row>
    <row r="22" spans="1:21" s="11" customFormat="1" x14ac:dyDescent="0.25">
      <c r="A22" s="51" t="s">
        <v>169</v>
      </c>
      <c r="B22" s="52">
        <v>8.01</v>
      </c>
      <c r="C22" s="52">
        <v>3.26</v>
      </c>
      <c r="D22" s="52">
        <v>11.9</v>
      </c>
      <c r="E22" s="52">
        <v>4.01</v>
      </c>
      <c r="F22" s="52">
        <v>4.99</v>
      </c>
      <c r="G22" s="52">
        <v>69.430000000000007</v>
      </c>
      <c r="H22" s="52">
        <v>20.100000000000001</v>
      </c>
      <c r="I22" s="52">
        <v>1.72</v>
      </c>
      <c r="J22" s="52">
        <v>0.35</v>
      </c>
      <c r="K22" s="52">
        <v>337.45</v>
      </c>
      <c r="L22" s="52">
        <v>31.3</v>
      </c>
      <c r="M22" s="52">
        <v>81.23</v>
      </c>
      <c r="N22" s="52">
        <v>409.2</v>
      </c>
      <c r="O22" s="52">
        <v>0</v>
      </c>
      <c r="P22" s="52">
        <v>0.41</v>
      </c>
      <c r="Q22" s="52">
        <v>9.1999999999999993</v>
      </c>
      <c r="R22" s="43"/>
      <c r="S22" s="43"/>
      <c r="T22" s="43"/>
      <c r="U22" s="43"/>
    </row>
    <row r="23" spans="1:21" s="11" customFormat="1" x14ac:dyDescent="0.25">
      <c r="A23" s="51" t="s">
        <v>170</v>
      </c>
      <c r="B23" s="52">
        <v>8.01</v>
      </c>
      <c r="C23" s="52">
        <v>3.17</v>
      </c>
      <c r="D23" s="52">
        <v>11.84</v>
      </c>
      <c r="E23" s="52">
        <v>4.25</v>
      </c>
      <c r="F23" s="52">
        <v>4.82</v>
      </c>
      <c r="G23" s="52">
        <v>69.430000000000007</v>
      </c>
      <c r="H23" s="52">
        <v>20.5</v>
      </c>
      <c r="I23" s="52">
        <v>1.72</v>
      </c>
      <c r="J23" s="52">
        <v>0.33</v>
      </c>
      <c r="K23" s="52">
        <v>353.66</v>
      </c>
      <c r="L23" s="52">
        <v>31.03</v>
      </c>
      <c r="M23" s="52">
        <v>81.849999999999994</v>
      </c>
      <c r="N23" s="52">
        <v>313.10000000000002</v>
      </c>
      <c r="O23" s="52">
        <v>0</v>
      </c>
      <c r="P23" s="52">
        <v>0.42</v>
      </c>
      <c r="Q23" s="52">
        <v>9.35</v>
      </c>
      <c r="R23" s="43"/>
      <c r="S23" s="43"/>
      <c r="T23" s="43"/>
      <c r="U23" s="43"/>
    </row>
    <row r="24" spans="1:21" s="11" customFormat="1" x14ac:dyDescent="0.25">
      <c r="A24" s="51" t="s">
        <v>171</v>
      </c>
      <c r="B24" s="52">
        <v>8.09</v>
      </c>
      <c r="C24" s="52">
        <v>3.46</v>
      </c>
      <c r="D24" s="52">
        <v>12.06</v>
      </c>
      <c r="E24" s="52">
        <v>4.0999999999999996</v>
      </c>
      <c r="F24" s="52">
        <v>4.87</v>
      </c>
      <c r="G24" s="52">
        <v>63.49</v>
      </c>
      <c r="H24" s="52">
        <v>20.5</v>
      </c>
      <c r="I24" s="52">
        <v>1.77</v>
      </c>
      <c r="J24" s="52">
        <v>0.32</v>
      </c>
      <c r="K24" s="52">
        <v>358.93</v>
      </c>
      <c r="L24" s="52">
        <v>30.77</v>
      </c>
      <c r="M24" s="52">
        <v>84.76</v>
      </c>
      <c r="N24" s="52">
        <v>256.3</v>
      </c>
      <c r="O24" s="52">
        <v>0</v>
      </c>
      <c r="P24" s="52">
        <v>0.41</v>
      </c>
      <c r="Q24" s="52">
        <v>9.32</v>
      </c>
      <c r="R24" s="43"/>
      <c r="S24" s="43"/>
      <c r="T24" s="43"/>
      <c r="U24" s="43"/>
    </row>
    <row r="25" spans="1:21" s="11" customFormat="1" x14ac:dyDescent="0.25">
      <c r="A25" s="51" t="s">
        <v>172</v>
      </c>
      <c r="B25" s="52">
        <v>7.97</v>
      </c>
      <c r="C25" s="52">
        <v>3.11</v>
      </c>
      <c r="D25" s="52">
        <v>11.79</v>
      </c>
      <c r="E25" s="52">
        <v>4.0199999999999996</v>
      </c>
      <c r="F25" s="52">
        <v>4.82</v>
      </c>
      <c r="G25" s="52">
        <v>62.31</v>
      </c>
      <c r="H25" s="52">
        <v>16.96</v>
      </c>
      <c r="I25" s="52">
        <v>1.61</v>
      </c>
      <c r="J25" s="52">
        <v>0.34</v>
      </c>
      <c r="K25" s="52">
        <v>19.47</v>
      </c>
      <c r="L25" s="52">
        <v>30.28</v>
      </c>
      <c r="M25" s="52">
        <v>89.07</v>
      </c>
      <c r="N25" s="52">
        <v>178.8</v>
      </c>
      <c r="O25" s="52">
        <v>0</v>
      </c>
      <c r="P25" s="52">
        <v>0.4</v>
      </c>
      <c r="Q25" s="52">
        <v>9.31</v>
      </c>
      <c r="R25" s="43"/>
      <c r="S25" s="43"/>
      <c r="T25" s="43"/>
      <c r="U25" s="43"/>
    </row>
    <row r="26" spans="1:21" s="11" customFormat="1" x14ac:dyDescent="0.25">
      <c r="A26" s="51" t="s">
        <v>173</v>
      </c>
      <c r="B26" s="52">
        <v>8.3699999999999992</v>
      </c>
      <c r="C26" s="52">
        <v>4.13</v>
      </c>
      <c r="D26" s="52">
        <v>12.64</v>
      </c>
      <c r="E26" s="52">
        <v>3.91</v>
      </c>
      <c r="F26" s="52">
        <v>3.79</v>
      </c>
      <c r="G26" s="52">
        <v>40.5</v>
      </c>
      <c r="H26" s="52">
        <v>16.96</v>
      </c>
      <c r="I26" s="52">
        <v>1.72</v>
      </c>
      <c r="J26" s="52">
        <v>0.23</v>
      </c>
      <c r="K26" s="52">
        <v>356.3</v>
      </c>
      <c r="L26" s="52">
        <v>29.43</v>
      </c>
      <c r="M26" s="52">
        <v>94.52</v>
      </c>
      <c r="N26" s="52">
        <v>96.8</v>
      </c>
      <c r="O26" s="52">
        <v>0</v>
      </c>
      <c r="P26" s="52">
        <v>0.45</v>
      </c>
      <c r="Q26" s="52">
        <v>9.3000000000000007</v>
      </c>
      <c r="R26" s="43"/>
      <c r="S26" s="43"/>
      <c r="T26" s="43"/>
      <c r="U26" s="43"/>
    </row>
    <row r="27" spans="1:21" s="11" customFormat="1" x14ac:dyDescent="0.25">
      <c r="A27" s="51" t="s">
        <v>174</v>
      </c>
      <c r="B27" s="52">
        <v>8.0399999999999991</v>
      </c>
      <c r="C27" s="52">
        <v>3.04</v>
      </c>
      <c r="D27" s="52">
        <v>11.81</v>
      </c>
      <c r="E27" s="52">
        <v>3.81</v>
      </c>
      <c r="F27" s="52">
        <v>3.54</v>
      </c>
      <c r="G27" s="52">
        <v>83.06</v>
      </c>
      <c r="H27" s="52">
        <v>13.15</v>
      </c>
      <c r="I27" s="52">
        <v>2.36</v>
      </c>
      <c r="J27" s="52">
        <v>0.21</v>
      </c>
      <c r="K27" s="52">
        <v>345.75</v>
      </c>
      <c r="L27" s="52">
        <v>28.62</v>
      </c>
      <c r="M27" s="52">
        <v>98.86</v>
      </c>
      <c r="N27" s="52">
        <v>74.5</v>
      </c>
      <c r="O27" s="52">
        <v>0</v>
      </c>
      <c r="P27" s="52">
        <v>0.51</v>
      </c>
      <c r="Q27" s="52">
        <v>9.3800000000000008</v>
      </c>
      <c r="R27" s="43"/>
      <c r="S27" s="43"/>
      <c r="T27" s="43"/>
      <c r="U27" s="43"/>
    </row>
    <row r="28" spans="1:21" s="11" customFormat="1" x14ac:dyDescent="0.25">
      <c r="A28" s="51" t="s">
        <v>175</v>
      </c>
      <c r="B28" s="52">
        <v>8.16</v>
      </c>
      <c r="C28" s="52">
        <v>3.47</v>
      </c>
      <c r="D28" s="52">
        <v>12.13</v>
      </c>
      <c r="E28" s="52">
        <v>4.59</v>
      </c>
      <c r="F28" s="52">
        <v>4.96</v>
      </c>
      <c r="G28" s="52">
        <v>85.9</v>
      </c>
      <c r="H28" s="52">
        <v>13.02</v>
      </c>
      <c r="I28" s="52">
        <v>3.06</v>
      </c>
      <c r="J28" s="52">
        <v>0.38</v>
      </c>
      <c r="K28" s="52">
        <v>358.28</v>
      </c>
      <c r="L28" s="52">
        <v>28.43</v>
      </c>
      <c r="M28" s="52">
        <v>101.04</v>
      </c>
      <c r="N28" s="52">
        <v>74.7</v>
      </c>
      <c r="O28" s="52">
        <v>0</v>
      </c>
      <c r="P28" s="52">
        <v>0.56999999999999995</v>
      </c>
      <c r="Q28" s="52">
        <v>9.42</v>
      </c>
      <c r="R28" s="43"/>
      <c r="S28" s="43"/>
      <c r="T28" s="43"/>
      <c r="U28" s="43"/>
    </row>
    <row r="29" spans="1:21" s="11" customFormat="1" x14ac:dyDescent="0.25">
      <c r="A29" s="51" t="s">
        <v>176</v>
      </c>
      <c r="B29" s="52">
        <v>8.49</v>
      </c>
      <c r="C29" s="52">
        <v>4.3099999999999996</v>
      </c>
      <c r="D29" s="52">
        <v>12.83</v>
      </c>
      <c r="E29" s="52">
        <v>4.51</v>
      </c>
      <c r="F29" s="52">
        <v>4.32</v>
      </c>
      <c r="G29" s="52">
        <v>85.9</v>
      </c>
      <c r="H29" s="52">
        <v>15.19</v>
      </c>
      <c r="I29" s="52">
        <v>3.08</v>
      </c>
      <c r="J29" s="52">
        <v>0.31</v>
      </c>
      <c r="K29" s="52">
        <v>335.4</v>
      </c>
      <c r="L29" s="52">
        <v>27.22</v>
      </c>
      <c r="M29" s="52">
        <v>101.39</v>
      </c>
      <c r="N29" s="52">
        <v>75.400000000000006</v>
      </c>
      <c r="O29" s="52">
        <v>0</v>
      </c>
      <c r="P29" s="52">
        <v>0.54</v>
      </c>
      <c r="Q29" s="52">
        <v>9.24</v>
      </c>
      <c r="R29" s="43"/>
      <c r="S29" s="43"/>
      <c r="T29" s="43"/>
      <c r="U29" s="43"/>
    </row>
    <row r="30" spans="1:21" s="11" customFormat="1" x14ac:dyDescent="0.25">
      <c r="A30" s="51" t="s">
        <v>177</v>
      </c>
      <c r="B30" s="52">
        <v>8.06</v>
      </c>
      <c r="C30" s="52">
        <v>3.22</v>
      </c>
      <c r="D30" s="52">
        <v>11.92</v>
      </c>
      <c r="E30" s="52">
        <v>4.3499999999999996</v>
      </c>
      <c r="F30" s="52">
        <v>4.6100000000000003</v>
      </c>
      <c r="G30" s="52">
        <v>70.86</v>
      </c>
      <c r="H30" s="52">
        <v>15.19</v>
      </c>
      <c r="I30" s="52">
        <v>2.62</v>
      </c>
      <c r="J30" s="52">
        <v>0.3</v>
      </c>
      <c r="K30" s="52">
        <v>353.16</v>
      </c>
      <c r="L30" s="52">
        <v>26.96</v>
      </c>
      <c r="M30" s="52">
        <v>101.49</v>
      </c>
      <c r="N30" s="52">
        <v>76.099999999999994</v>
      </c>
      <c r="O30" s="52">
        <v>0.8</v>
      </c>
      <c r="P30" s="52">
        <v>0.54</v>
      </c>
      <c r="Q30" s="52">
        <v>9.3699999999999992</v>
      </c>
      <c r="R30" s="43"/>
      <c r="S30" s="43"/>
      <c r="T30" s="43"/>
      <c r="U30" s="43"/>
    </row>
    <row r="31" spans="1:21" s="11" customFormat="1" x14ac:dyDescent="0.25">
      <c r="A31" s="51" t="s">
        <v>178</v>
      </c>
      <c r="B31" s="52">
        <v>8.27</v>
      </c>
      <c r="C31" s="52">
        <v>3.51</v>
      </c>
      <c r="D31" s="52">
        <v>12.24</v>
      </c>
      <c r="E31" s="52">
        <v>4.4000000000000004</v>
      </c>
      <c r="F31" s="52">
        <v>3.62</v>
      </c>
      <c r="G31" s="52">
        <v>69.87</v>
      </c>
      <c r="H31" s="52">
        <v>35.93</v>
      </c>
      <c r="I31" s="52">
        <v>2.5499999999999998</v>
      </c>
      <c r="J31" s="52">
        <v>0.21</v>
      </c>
      <c r="K31" s="52">
        <v>351.82</v>
      </c>
      <c r="L31" s="52">
        <v>26.08</v>
      </c>
      <c r="M31" s="52">
        <v>101.56</v>
      </c>
      <c r="N31" s="52">
        <v>75.5</v>
      </c>
      <c r="O31" s="52">
        <v>0.2</v>
      </c>
      <c r="P31" s="52">
        <v>0.57999999999999996</v>
      </c>
      <c r="Q31" s="52">
        <v>9.4</v>
      </c>
      <c r="R31" s="43"/>
      <c r="S31" s="43"/>
      <c r="T31" s="43"/>
      <c r="U31" s="43"/>
    </row>
    <row r="32" spans="1:21" s="11" customFormat="1" x14ac:dyDescent="0.25">
      <c r="A32" s="51" t="s">
        <v>179</v>
      </c>
      <c r="B32" s="52">
        <v>8.02</v>
      </c>
      <c r="C32" s="52">
        <v>3.05</v>
      </c>
      <c r="D32" s="52">
        <v>11.79</v>
      </c>
      <c r="E32" s="52">
        <v>4.3600000000000003</v>
      </c>
      <c r="F32" s="52">
        <v>4.2699999999999996</v>
      </c>
      <c r="G32" s="52">
        <v>62.14</v>
      </c>
      <c r="H32" s="52">
        <v>35.93</v>
      </c>
      <c r="I32" s="52">
        <v>3.89</v>
      </c>
      <c r="J32" s="52">
        <v>0.17</v>
      </c>
      <c r="K32" s="52">
        <v>357.76</v>
      </c>
      <c r="L32" s="52">
        <v>26.29</v>
      </c>
      <c r="M32" s="52">
        <v>101.65</v>
      </c>
      <c r="N32" s="52">
        <v>74.900000000000006</v>
      </c>
      <c r="O32" s="52">
        <v>0</v>
      </c>
      <c r="P32" s="52">
        <v>0.61</v>
      </c>
      <c r="Q32" s="52">
        <v>9.44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3.02</v>
      </c>
      <c r="D34" s="28">
        <f t="shared" si="0"/>
        <v>11.79</v>
      </c>
      <c r="E34" s="28">
        <f t="shared" si="0"/>
        <v>3.81</v>
      </c>
      <c r="F34" s="28">
        <f t="shared" si="0"/>
        <v>3.46</v>
      </c>
      <c r="G34" s="28">
        <f t="shared" si="0"/>
        <v>17.12</v>
      </c>
      <c r="H34" s="28">
        <f t="shared" si="0"/>
        <v>6.66</v>
      </c>
      <c r="I34" s="28">
        <f t="shared" si="0"/>
        <v>1.34</v>
      </c>
      <c r="J34" s="28">
        <f t="shared" si="0"/>
        <v>0.11</v>
      </c>
      <c r="K34" s="28">
        <f t="shared" si="0"/>
        <v>19.47</v>
      </c>
      <c r="L34" s="28">
        <f t="shared" si="0"/>
        <v>24.6</v>
      </c>
      <c r="M34" s="28">
        <f t="shared" si="0"/>
        <v>81.23</v>
      </c>
      <c r="N34" s="28">
        <f t="shared" si="0"/>
        <v>41.9</v>
      </c>
      <c r="O34" s="28">
        <f t="shared" si="0"/>
        <v>0</v>
      </c>
      <c r="P34" s="28">
        <f t="shared" si="0"/>
        <v>0.24</v>
      </c>
      <c r="Q34" s="28">
        <f t="shared" si="0"/>
        <v>9.18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8.92</v>
      </c>
      <c r="C35" s="29">
        <f t="shared" si="1"/>
        <v>5.04</v>
      </c>
      <c r="D35" s="29">
        <f t="shared" si="1"/>
        <v>13.51</v>
      </c>
      <c r="E35" s="29">
        <f t="shared" si="1"/>
        <v>5.63</v>
      </c>
      <c r="F35" s="29">
        <f t="shared" si="1"/>
        <v>7.31</v>
      </c>
      <c r="G35" s="29">
        <f t="shared" si="1"/>
        <v>85.9</v>
      </c>
      <c r="H35" s="29">
        <f t="shared" si="1"/>
        <v>35.93</v>
      </c>
      <c r="I35" s="29">
        <f t="shared" si="1"/>
        <v>3.89</v>
      </c>
      <c r="J35" s="29">
        <f t="shared" si="1"/>
        <v>0.38</v>
      </c>
      <c r="K35" s="29">
        <f t="shared" si="1"/>
        <v>358.93</v>
      </c>
      <c r="L35" s="29">
        <f t="shared" si="1"/>
        <v>31.67</v>
      </c>
      <c r="M35" s="29">
        <f t="shared" si="1"/>
        <v>102.05</v>
      </c>
      <c r="N35" s="29">
        <f t="shared" si="1"/>
        <v>800.7</v>
      </c>
      <c r="O35" s="29">
        <f t="shared" si="1"/>
        <v>0.8</v>
      </c>
      <c r="P35" s="29">
        <f t="shared" si="1"/>
        <v>0.61</v>
      </c>
      <c r="Q35" s="29">
        <f t="shared" si="1"/>
        <v>9.44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8.3062500000000004</v>
      </c>
      <c r="C36" s="28">
        <f t="shared" si="2"/>
        <v>3.757916666666667</v>
      </c>
      <c r="D36" s="28">
        <f t="shared" si="2"/>
        <v>12.395833333333336</v>
      </c>
      <c r="E36" s="28">
        <f t="shared" si="2"/>
        <v>4.61625</v>
      </c>
      <c r="F36" s="28">
        <f t="shared" si="2"/>
        <v>4.5720833333333344</v>
      </c>
      <c r="G36" s="28">
        <f t="shared" si="2"/>
        <v>45.514583333333327</v>
      </c>
      <c r="H36" s="28">
        <f t="shared" si="2"/>
        <v>15.71875</v>
      </c>
      <c r="I36" s="28">
        <f t="shared" si="2"/>
        <v>2.409583333333333</v>
      </c>
      <c r="J36" s="28">
        <f t="shared" si="2"/>
        <v>0.27458333333333335</v>
      </c>
      <c r="K36" s="28">
        <f t="shared" si="2"/>
        <v>312.87874999999997</v>
      </c>
      <c r="L36" s="28">
        <f t="shared" si="2"/>
        <v>28.225416666666664</v>
      </c>
      <c r="M36" s="28">
        <f t="shared" si="2"/>
        <v>94.88124999999998</v>
      </c>
      <c r="N36" s="28">
        <f t="shared" si="2"/>
        <v>268.91666666666669</v>
      </c>
      <c r="O36" s="28">
        <f t="shared" si="2"/>
        <v>4.9999999999999996E-2</v>
      </c>
      <c r="P36" s="28">
        <f t="shared" si="2"/>
        <v>0.3995833333333334</v>
      </c>
      <c r="Q36" s="28">
        <f t="shared" si="2"/>
        <v>9.2970833333333349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0.3196439935439046</v>
      </c>
      <c r="C37" s="28">
        <f t="shared" ref="C37:Q37" si="3">STDEV(C9:C32)</f>
        <v>0.65573708388988139</v>
      </c>
      <c r="D37" s="28">
        <f t="shared" si="3"/>
        <v>0.5937201556191315</v>
      </c>
      <c r="E37" s="28">
        <f t="shared" si="3"/>
        <v>0.54529459528971402</v>
      </c>
      <c r="F37" s="28">
        <f t="shared" si="3"/>
        <v>0.8940867537260575</v>
      </c>
      <c r="G37" s="28">
        <f t="shared" si="3"/>
        <v>24.541384564457239</v>
      </c>
      <c r="H37" s="28">
        <f t="shared" si="3"/>
        <v>7.2209961449987601</v>
      </c>
      <c r="I37" s="28">
        <f t="shared" si="3"/>
        <v>0.68439423654389031</v>
      </c>
      <c r="J37" s="28">
        <f t="shared" si="3"/>
        <v>9.0023145172042712E-2</v>
      </c>
      <c r="K37" s="28">
        <f t="shared" si="3"/>
        <v>86.089485764750322</v>
      </c>
      <c r="L37" s="28">
        <f t="shared" si="3"/>
        <v>2.5648798245712712</v>
      </c>
      <c r="M37" s="28">
        <f t="shared" si="3"/>
        <v>7.9076876807649503</v>
      </c>
      <c r="N37" s="28">
        <f t="shared" si="3"/>
        <v>264.13999527040443</v>
      </c>
      <c r="O37" s="28">
        <f t="shared" si="3"/>
        <v>0.16939791077198399</v>
      </c>
      <c r="P37" s="28">
        <f t="shared" si="3"/>
        <v>0.11353908220699027</v>
      </c>
      <c r="Q37" s="28">
        <f t="shared" si="3"/>
        <v>7.2620464636753534E-2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180</v>
      </c>
      <c r="B9" s="52">
        <v>8</v>
      </c>
      <c r="C9" s="52">
        <v>3.1</v>
      </c>
      <c r="D9" s="52">
        <v>11.8</v>
      </c>
      <c r="E9" s="52">
        <v>4.58</v>
      </c>
      <c r="F9" s="52">
        <v>4.74</v>
      </c>
      <c r="G9" s="52">
        <v>55.43</v>
      </c>
      <c r="H9" s="52">
        <v>24.37</v>
      </c>
      <c r="I9" s="52">
        <v>3.97</v>
      </c>
      <c r="J9" s="52">
        <v>0.31</v>
      </c>
      <c r="K9" s="52">
        <v>355.72</v>
      </c>
      <c r="L9" s="52">
        <v>26.22</v>
      </c>
      <c r="M9" s="52">
        <v>101.8</v>
      </c>
      <c r="N9" s="52">
        <v>75.599999999999994</v>
      </c>
      <c r="O9" s="52">
        <v>0</v>
      </c>
      <c r="P9" s="52">
        <v>0.55000000000000004</v>
      </c>
      <c r="Q9" s="52">
        <v>9.39</v>
      </c>
      <c r="R9" s="43"/>
      <c r="S9" s="43"/>
      <c r="T9" s="43"/>
      <c r="U9" s="43"/>
    </row>
    <row r="10" spans="1:21" s="11" customFormat="1" x14ac:dyDescent="0.25">
      <c r="A10" s="51" t="s">
        <v>181</v>
      </c>
      <c r="B10" s="52">
        <v>8.2100000000000009</v>
      </c>
      <c r="C10" s="52">
        <v>3.65</v>
      </c>
      <c r="D10" s="52">
        <v>12.27</v>
      </c>
      <c r="E10" s="52">
        <v>4.24</v>
      </c>
      <c r="F10" s="52">
        <v>3.87</v>
      </c>
      <c r="G10" s="52">
        <v>47.26</v>
      </c>
      <c r="H10" s="52">
        <v>22.11</v>
      </c>
      <c r="I10" s="52">
        <v>3.4</v>
      </c>
      <c r="J10" s="52">
        <v>0.32</v>
      </c>
      <c r="K10" s="52">
        <v>359.38</v>
      </c>
      <c r="L10" s="52">
        <v>26.19</v>
      </c>
      <c r="M10" s="52">
        <v>101.88</v>
      </c>
      <c r="N10" s="52">
        <v>75.5</v>
      </c>
      <c r="O10" s="52">
        <v>0</v>
      </c>
      <c r="P10" s="52">
        <v>0.45</v>
      </c>
      <c r="Q10" s="52">
        <v>9.2899999999999991</v>
      </c>
      <c r="R10" s="43"/>
      <c r="S10" s="43"/>
      <c r="T10" s="43"/>
      <c r="U10" s="43"/>
    </row>
    <row r="11" spans="1:21" s="11" customFormat="1" x14ac:dyDescent="0.25">
      <c r="A11" s="51" t="s">
        <v>182</v>
      </c>
      <c r="B11" s="52">
        <v>8.15</v>
      </c>
      <c r="C11" s="52">
        <v>3.5</v>
      </c>
      <c r="D11" s="52">
        <v>12.14</v>
      </c>
      <c r="E11" s="52">
        <v>4.58</v>
      </c>
      <c r="F11" s="52">
        <v>4.28</v>
      </c>
      <c r="G11" s="52">
        <v>34.65</v>
      </c>
      <c r="H11" s="52">
        <v>21.29</v>
      </c>
      <c r="I11" s="52">
        <v>2.75</v>
      </c>
      <c r="J11" s="52">
        <v>0.26</v>
      </c>
      <c r="K11" s="52">
        <v>354.91</v>
      </c>
      <c r="L11" s="52">
        <v>25.97</v>
      </c>
      <c r="M11" s="52">
        <v>101.97</v>
      </c>
      <c r="N11" s="52">
        <v>76.3</v>
      </c>
      <c r="O11" s="52">
        <v>0</v>
      </c>
      <c r="P11" s="52">
        <v>0.38</v>
      </c>
      <c r="Q11" s="52">
        <v>9.24</v>
      </c>
      <c r="R11" s="43"/>
      <c r="S11" s="43"/>
      <c r="T11" s="43"/>
      <c r="U11" s="43"/>
    </row>
    <row r="12" spans="1:21" s="11" customFormat="1" x14ac:dyDescent="0.25">
      <c r="A12" s="51" t="s">
        <v>183</v>
      </c>
      <c r="B12" s="52">
        <v>7.99</v>
      </c>
      <c r="C12" s="52">
        <v>3.01</v>
      </c>
      <c r="D12" s="52">
        <v>11.75</v>
      </c>
      <c r="E12" s="52">
        <v>4.09</v>
      </c>
      <c r="F12" s="52">
        <v>3.72</v>
      </c>
      <c r="G12" s="52">
        <v>33.03</v>
      </c>
      <c r="H12" s="52">
        <v>15.27</v>
      </c>
      <c r="I12" s="52">
        <v>2.62</v>
      </c>
      <c r="J12" s="52">
        <v>0.19</v>
      </c>
      <c r="K12" s="52">
        <v>344.32</v>
      </c>
      <c r="L12" s="52">
        <v>25.87</v>
      </c>
      <c r="M12" s="52">
        <v>102.06</v>
      </c>
      <c r="N12" s="52">
        <v>75.900000000000006</v>
      </c>
      <c r="O12" s="52">
        <v>0</v>
      </c>
      <c r="P12" s="52">
        <v>0.34</v>
      </c>
      <c r="Q12" s="52">
        <v>9.2799999999999994</v>
      </c>
      <c r="R12" s="43"/>
      <c r="S12" s="43"/>
      <c r="T12" s="43"/>
      <c r="U12" s="43"/>
    </row>
    <row r="13" spans="1:21" s="11" customFormat="1" x14ac:dyDescent="0.25">
      <c r="A13" s="51" t="s">
        <v>184</v>
      </c>
      <c r="B13" s="52">
        <v>8.19</v>
      </c>
      <c r="C13" s="52">
        <v>3.44</v>
      </c>
      <c r="D13" s="52">
        <v>12.14</v>
      </c>
      <c r="E13" s="52">
        <v>4.5999999999999996</v>
      </c>
      <c r="F13" s="52">
        <v>4.4800000000000004</v>
      </c>
      <c r="G13" s="52">
        <v>36.28</v>
      </c>
      <c r="H13" s="52">
        <v>15.65</v>
      </c>
      <c r="I13" s="52">
        <v>2.78</v>
      </c>
      <c r="J13" s="52">
        <v>0.18</v>
      </c>
      <c r="K13" s="52">
        <v>346.55</v>
      </c>
      <c r="L13" s="52">
        <v>25.75</v>
      </c>
      <c r="M13" s="52">
        <v>102.09</v>
      </c>
      <c r="N13" s="52">
        <v>84.5</v>
      </c>
      <c r="O13" s="52">
        <v>0</v>
      </c>
      <c r="P13" s="52">
        <v>0.33</v>
      </c>
      <c r="Q13" s="52">
        <v>9.2799999999999994</v>
      </c>
      <c r="R13" s="43"/>
      <c r="S13" s="43"/>
      <c r="T13" s="43"/>
      <c r="U13" s="43"/>
    </row>
    <row r="14" spans="1:21" s="11" customFormat="1" x14ac:dyDescent="0.25">
      <c r="A14" s="51" t="s">
        <v>185</v>
      </c>
      <c r="B14" s="52">
        <v>8.4</v>
      </c>
      <c r="C14" s="52">
        <v>3.96</v>
      </c>
      <c r="D14" s="52">
        <v>12.58</v>
      </c>
      <c r="E14" s="52">
        <v>4.4400000000000004</v>
      </c>
      <c r="F14" s="52">
        <v>4.28</v>
      </c>
      <c r="G14" s="52">
        <v>36.28</v>
      </c>
      <c r="H14" s="52">
        <v>15.65</v>
      </c>
      <c r="I14" s="52">
        <v>2.79</v>
      </c>
      <c r="J14" s="52">
        <v>0.21</v>
      </c>
      <c r="K14" s="52">
        <v>349.76</v>
      </c>
      <c r="L14" s="52">
        <v>26.15</v>
      </c>
      <c r="M14" s="52">
        <v>102.1</v>
      </c>
      <c r="N14" s="52">
        <v>123.4</v>
      </c>
      <c r="O14" s="52">
        <v>0</v>
      </c>
      <c r="P14" s="52">
        <v>0.34</v>
      </c>
      <c r="Q14" s="52">
        <v>9.27</v>
      </c>
      <c r="R14" s="43"/>
      <c r="S14" s="43"/>
      <c r="T14" s="43"/>
      <c r="U14" s="43"/>
    </row>
    <row r="15" spans="1:21" s="11" customFormat="1" x14ac:dyDescent="0.25">
      <c r="A15" s="51" t="s">
        <v>186</v>
      </c>
      <c r="B15" s="52">
        <v>8.2899999999999991</v>
      </c>
      <c r="C15" s="52">
        <v>3.67</v>
      </c>
      <c r="D15" s="52">
        <v>12.34</v>
      </c>
      <c r="E15" s="52">
        <v>4.66</v>
      </c>
      <c r="F15" s="52">
        <v>4.0199999999999996</v>
      </c>
      <c r="G15" s="52">
        <v>29.17</v>
      </c>
      <c r="H15" s="52">
        <v>11.5</v>
      </c>
      <c r="I15" s="52">
        <v>2.67</v>
      </c>
      <c r="J15" s="52">
        <v>0.23</v>
      </c>
      <c r="K15" s="52">
        <v>347.38</v>
      </c>
      <c r="L15" s="52">
        <v>27.09</v>
      </c>
      <c r="M15" s="52">
        <v>102.06</v>
      </c>
      <c r="N15" s="52">
        <v>224.8</v>
      </c>
      <c r="O15" s="52">
        <v>0</v>
      </c>
      <c r="P15" s="52">
        <v>0.37</v>
      </c>
      <c r="Q15" s="52">
        <v>9.2799999999999994</v>
      </c>
      <c r="R15" s="43"/>
      <c r="S15" s="43"/>
      <c r="T15" s="43"/>
      <c r="U15" s="43"/>
    </row>
    <row r="16" spans="1:21" s="11" customFormat="1" x14ac:dyDescent="0.25">
      <c r="A16" s="51" t="s">
        <v>187</v>
      </c>
      <c r="B16" s="52">
        <v>8.2899999999999991</v>
      </c>
      <c r="C16" s="52">
        <v>3.64</v>
      </c>
      <c r="D16" s="52">
        <v>12.33</v>
      </c>
      <c r="E16" s="52">
        <v>4.68</v>
      </c>
      <c r="F16" s="52">
        <v>4.05</v>
      </c>
      <c r="G16" s="52">
        <v>32.36</v>
      </c>
      <c r="H16" s="52">
        <v>9.33</v>
      </c>
      <c r="I16" s="52">
        <v>2.56</v>
      </c>
      <c r="J16" s="52">
        <v>0.28000000000000003</v>
      </c>
      <c r="K16" s="52">
        <v>338.82</v>
      </c>
      <c r="L16" s="52">
        <v>29.21</v>
      </c>
      <c r="M16" s="52">
        <v>101.54</v>
      </c>
      <c r="N16" s="52">
        <v>389.9</v>
      </c>
      <c r="O16" s="52">
        <v>0</v>
      </c>
      <c r="P16" s="52">
        <v>0.43</v>
      </c>
      <c r="Q16" s="52">
        <v>9.33</v>
      </c>
      <c r="R16" s="43"/>
      <c r="S16" s="43"/>
      <c r="T16" s="43"/>
      <c r="U16" s="43"/>
    </row>
    <row r="17" spans="1:21" s="11" customFormat="1" x14ac:dyDescent="0.25">
      <c r="A17" s="51" t="s">
        <v>188</v>
      </c>
      <c r="B17" s="52">
        <v>8.52</v>
      </c>
      <c r="C17" s="52">
        <v>3.97</v>
      </c>
      <c r="D17" s="52">
        <v>12.68</v>
      </c>
      <c r="E17" s="52">
        <v>4.51</v>
      </c>
      <c r="F17" s="52">
        <v>3.55</v>
      </c>
      <c r="G17" s="52">
        <v>43.42</v>
      </c>
      <c r="H17" s="52">
        <v>14.27</v>
      </c>
      <c r="I17" s="52">
        <v>2.72</v>
      </c>
      <c r="J17" s="52">
        <v>0.41</v>
      </c>
      <c r="K17" s="52">
        <v>340.44</v>
      </c>
      <c r="L17" s="52">
        <v>30.07</v>
      </c>
      <c r="M17" s="52">
        <v>95.69</v>
      </c>
      <c r="N17" s="52">
        <v>327.8</v>
      </c>
      <c r="O17" s="52">
        <v>0</v>
      </c>
      <c r="P17" s="52">
        <v>0.48</v>
      </c>
      <c r="Q17" s="52">
        <v>9.43</v>
      </c>
      <c r="R17" s="43"/>
      <c r="S17" s="43"/>
      <c r="T17" s="43"/>
      <c r="U17" s="43"/>
    </row>
    <row r="18" spans="1:21" s="11" customFormat="1" x14ac:dyDescent="0.25">
      <c r="A18" s="51" t="s">
        <v>189</v>
      </c>
      <c r="B18" s="52">
        <v>9.02</v>
      </c>
      <c r="C18" s="52">
        <v>5.04</v>
      </c>
      <c r="D18" s="52">
        <v>13.64</v>
      </c>
      <c r="E18" s="52">
        <v>4.97</v>
      </c>
      <c r="F18" s="52">
        <v>5.16</v>
      </c>
      <c r="G18" s="52">
        <v>48.83</v>
      </c>
      <c r="H18" s="52">
        <v>23.96</v>
      </c>
      <c r="I18" s="52">
        <v>2.65</v>
      </c>
      <c r="J18" s="52">
        <v>0.75</v>
      </c>
      <c r="K18" s="52">
        <v>326.89999999999998</v>
      </c>
      <c r="L18" s="52">
        <v>31.53</v>
      </c>
      <c r="M18" s="52">
        <v>91.63</v>
      </c>
      <c r="N18" s="52">
        <v>504.1</v>
      </c>
      <c r="O18" s="52">
        <v>0</v>
      </c>
      <c r="P18" s="52">
        <v>0.53</v>
      </c>
      <c r="Q18" s="52">
        <v>9.49</v>
      </c>
      <c r="R18" s="43"/>
      <c r="S18" s="43"/>
      <c r="T18" s="43"/>
      <c r="U18" s="43"/>
    </row>
    <row r="19" spans="1:21" s="11" customFormat="1" x14ac:dyDescent="0.25">
      <c r="A19" s="51" t="s">
        <v>190</v>
      </c>
      <c r="B19" s="52">
        <v>8.0500000000000007</v>
      </c>
      <c r="C19" s="52">
        <v>3.33</v>
      </c>
      <c r="D19" s="52">
        <v>11.97</v>
      </c>
      <c r="E19" s="52">
        <v>4.53</v>
      </c>
      <c r="F19" s="52">
        <v>11.72</v>
      </c>
      <c r="G19" s="52">
        <v>48.83</v>
      </c>
      <c r="H19" s="52">
        <v>45.28</v>
      </c>
      <c r="I19" s="52">
        <v>2.38</v>
      </c>
      <c r="J19" s="52">
        <v>0.62</v>
      </c>
      <c r="K19" s="52">
        <v>328.26</v>
      </c>
      <c r="L19" s="52">
        <v>32.840000000000003</v>
      </c>
      <c r="M19" s="52">
        <v>81.05</v>
      </c>
      <c r="N19" s="52">
        <v>550.29999999999995</v>
      </c>
      <c r="O19" s="52">
        <v>0</v>
      </c>
      <c r="P19" s="52">
        <v>0.61</v>
      </c>
      <c r="Q19" s="52">
        <v>9.2899999999999991</v>
      </c>
      <c r="R19" s="43"/>
      <c r="S19" s="43"/>
      <c r="T19" s="43"/>
      <c r="U19" s="43"/>
    </row>
    <row r="20" spans="1:21" s="11" customFormat="1" x14ac:dyDescent="0.25">
      <c r="A20" s="51" t="s">
        <v>191</v>
      </c>
      <c r="B20" s="52">
        <v>7.9</v>
      </c>
      <c r="C20" s="52">
        <v>3</v>
      </c>
      <c r="D20" s="52">
        <v>11.67</v>
      </c>
      <c r="E20" s="52">
        <v>4.96</v>
      </c>
      <c r="F20" s="52">
        <v>21.59</v>
      </c>
      <c r="G20" s="52">
        <v>39.74</v>
      </c>
      <c r="H20" s="52">
        <v>45.28</v>
      </c>
      <c r="I20" s="52">
        <v>1.34</v>
      </c>
      <c r="J20" s="52">
        <v>0.5</v>
      </c>
      <c r="K20" s="52">
        <v>341.85</v>
      </c>
      <c r="L20" s="52">
        <v>32.94</v>
      </c>
      <c r="M20" s="52">
        <v>84.18</v>
      </c>
      <c r="N20" s="52">
        <v>871.6</v>
      </c>
      <c r="O20" s="52">
        <v>0</v>
      </c>
      <c r="P20" s="52">
        <v>0.42</v>
      </c>
      <c r="Q20" s="52">
        <v>9.19</v>
      </c>
      <c r="R20" s="43"/>
      <c r="S20" s="43"/>
      <c r="T20" s="43"/>
      <c r="U20" s="43"/>
    </row>
    <row r="21" spans="1:21" s="11" customFormat="1" x14ac:dyDescent="0.25">
      <c r="A21" s="51" t="s">
        <v>192</v>
      </c>
      <c r="B21" s="52">
        <v>7.92</v>
      </c>
      <c r="C21" s="52">
        <v>3</v>
      </c>
      <c r="D21" s="52">
        <v>11.69</v>
      </c>
      <c r="E21" s="52">
        <v>5.27</v>
      </c>
      <c r="F21" s="52">
        <v>16.8</v>
      </c>
      <c r="G21" s="52">
        <v>49.58</v>
      </c>
      <c r="H21" s="52">
        <v>40.46</v>
      </c>
      <c r="I21" s="52">
        <v>1.46</v>
      </c>
      <c r="J21" s="52">
        <v>0.24</v>
      </c>
      <c r="K21" s="52">
        <v>340.06</v>
      </c>
      <c r="L21" s="52">
        <v>32.35</v>
      </c>
      <c r="M21" s="52">
        <v>86.33</v>
      </c>
      <c r="N21" s="52">
        <v>418.5</v>
      </c>
      <c r="O21" s="52">
        <v>0</v>
      </c>
      <c r="P21" s="52">
        <v>0.49</v>
      </c>
      <c r="Q21" s="52">
        <v>9.15</v>
      </c>
      <c r="R21" s="43"/>
      <c r="S21" s="43"/>
      <c r="T21" s="43"/>
      <c r="U21" s="43"/>
    </row>
    <row r="22" spans="1:21" s="11" customFormat="1" x14ac:dyDescent="0.25">
      <c r="A22" s="51" t="s">
        <v>193</v>
      </c>
      <c r="B22" s="52">
        <v>7.92</v>
      </c>
      <c r="C22" s="52">
        <v>3.01</v>
      </c>
      <c r="D22" s="52">
        <v>11.69</v>
      </c>
      <c r="E22" s="52">
        <v>5.12</v>
      </c>
      <c r="F22" s="52">
        <v>12.27</v>
      </c>
      <c r="G22" s="52">
        <v>78.97</v>
      </c>
      <c r="H22" s="52">
        <v>39.909999999999997</v>
      </c>
      <c r="I22" s="52">
        <v>2.77</v>
      </c>
      <c r="J22" s="52">
        <v>0.28000000000000003</v>
      </c>
      <c r="K22" s="52">
        <v>339.5</v>
      </c>
      <c r="L22" s="52">
        <v>31.83</v>
      </c>
      <c r="M22" s="52">
        <v>89.68</v>
      </c>
      <c r="N22" s="52">
        <v>382</v>
      </c>
      <c r="O22" s="52">
        <v>0</v>
      </c>
      <c r="P22" s="52">
        <v>0.48</v>
      </c>
      <c r="Q22" s="52">
        <v>9.1999999999999993</v>
      </c>
      <c r="R22" s="43"/>
      <c r="S22" s="43"/>
      <c r="T22" s="43"/>
      <c r="U22" s="43"/>
    </row>
    <row r="23" spans="1:21" s="11" customFormat="1" x14ac:dyDescent="0.25">
      <c r="A23" s="51" t="s">
        <v>194</v>
      </c>
      <c r="B23" s="52">
        <v>7.94</v>
      </c>
      <c r="C23" s="52">
        <v>3.04</v>
      </c>
      <c r="D23" s="52">
        <v>11.73</v>
      </c>
      <c r="E23" s="52">
        <v>4.93</v>
      </c>
      <c r="F23" s="52">
        <v>15.55</v>
      </c>
      <c r="G23" s="52">
        <v>78.97</v>
      </c>
      <c r="H23" s="52">
        <v>39.909999999999997</v>
      </c>
      <c r="I23" s="52">
        <v>2</v>
      </c>
      <c r="J23" s="52">
        <v>1.04</v>
      </c>
      <c r="K23" s="52">
        <v>349.75</v>
      </c>
      <c r="L23" s="52">
        <v>30.06</v>
      </c>
      <c r="M23" s="52">
        <v>101.51</v>
      </c>
      <c r="N23" s="52">
        <v>184.5</v>
      </c>
      <c r="O23" s="52">
        <v>10.199999999999999</v>
      </c>
      <c r="P23" s="52">
        <v>0.44</v>
      </c>
      <c r="Q23" s="52">
        <v>9.1999999999999993</v>
      </c>
      <c r="R23" s="43"/>
      <c r="S23" s="43"/>
      <c r="T23" s="43"/>
      <c r="U23" s="43"/>
    </row>
    <row r="24" spans="1:21" s="11" customFormat="1" x14ac:dyDescent="0.25">
      <c r="A24" s="51" t="s">
        <v>195</v>
      </c>
      <c r="B24" s="52">
        <v>8.0399999999999991</v>
      </c>
      <c r="C24" s="52">
        <v>3.42</v>
      </c>
      <c r="D24" s="52">
        <v>12.01</v>
      </c>
      <c r="E24" s="52">
        <v>4.54</v>
      </c>
      <c r="F24" s="52">
        <v>7.75</v>
      </c>
      <c r="G24" s="52">
        <v>48.07</v>
      </c>
      <c r="H24" s="52">
        <v>30.9</v>
      </c>
      <c r="I24" s="52">
        <v>1.77</v>
      </c>
      <c r="J24" s="52">
        <v>0.56000000000000005</v>
      </c>
      <c r="K24" s="52">
        <v>331.75</v>
      </c>
      <c r="L24" s="52">
        <v>25.48</v>
      </c>
      <c r="M24" s="52">
        <v>101.58</v>
      </c>
      <c r="N24" s="52">
        <v>67.8</v>
      </c>
      <c r="O24" s="52">
        <v>2</v>
      </c>
      <c r="P24" s="52">
        <v>0.59</v>
      </c>
      <c r="Q24" s="52">
        <v>9.5</v>
      </c>
      <c r="R24" s="43"/>
      <c r="S24" s="43"/>
      <c r="T24" s="43"/>
      <c r="U24" s="43"/>
    </row>
    <row r="25" spans="1:21" s="11" customFormat="1" x14ac:dyDescent="0.25">
      <c r="A25" s="51" t="s">
        <v>196</v>
      </c>
      <c r="B25" s="52">
        <v>8.7100000000000009</v>
      </c>
      <c r="C25" s="52">
        <v>4.55</v>
      </c>
      <c r="D25" s="52">
        <v>13.13</v>
      </c>
      <c r="E25" s="52">
        <v>4.28</v>
      </c>
      <c r="F25" s="52">
        <v>9</v>
      </c>
      <c r="G25" s="52">
        <v>53.03</v>
      </c>
      <c r="H25" s="52">
        <v>30.9</v>
      </c>
      <c r="I25" s="52">
        <v>2.11</v>
      </c>
      <c r="J25" s="52">
        <v>0.64</v>
      </c>
      <c r="K25" s="52">
        <v>338.98</v>
      </c>
      <c r="L25" s="52">
        <v>24.63</v>
      </c>
      <c r="M25" s="52">
        <v>101.64</v>
      </c>
      <c r="N25" s="52">
        <v>66</v>
      </c>
      <c r="O25" s="52">
        <v>6.2</v>
      </c>
      <c r="P25" s="52">
        <v>0.65</v>
      </c>
      <c r="Q25" s="52">
        <v>9.68</v>
      </c>
      <c r="R25" s="43"/>
      <c r="S25" s="43"/>
      <c r="T25" s="43"/>
      <c r="U25" s="43"/>
    </row>
    <row r="26" spans="1:21" s="11" customFormat="1" x14ac:dyDescent="0.25">
      <c r="A26" s="51" t="s">
        <v>197</v>
      </c>
      <c r="B26" s="52">
        <v>8.19</v>
      </c>
      <c r="C26" s="52">
        <v>3.33</v>
      </c>
      <c r="D26" s="52">
        <v>12.08</v>
      </c>
      <c r="E26" s="52">
        <v>4.5</v>
      </c>
      <c r="F26" s="52">
        <v>7.47</v>
      </c>
      <c r="G26" s="52">
        <v>53.03</v>
      </c>
      <c r="H26" s="52">
        <v>26.29</v>
      </c>
      <c r="I26" s="52">
        <v>2.71</v>
      </c>
      <c r="J26" s="52">
        <v>0.31</v>
      </c>
      <c r="K26" s="52">
        <v>358.94</v>
      </c>
      <c r="L26" s="52">
        <v>24.48</v>
      </c>
      <c r="M26" s="52">
        <v>101.62</v>
      </c>
      <c r="N26" s="52">
        <v>60.5</v>
      </c>
      <c r="O26" s="52">
        <v>1.2</v>
      </c>
      <c r="P26" s="52">
        <v>0.64</v>
      </c>
      <c r="Q26" s="52">
        <v>9.83</v>
      </c>
      <c r="R26" s="43"/>
      <c r="S26" s="43"/>
      <c r="T26" s="43"/>
      <c r="U26" s="43"/>
    </row>
    <row r="27" spans="1:21" s="11" customFormat="1" x14ac:dyDescent="0.25">
      <c r="A27" s="51" t="s">
        <v>198</v>
      </c>
      <c r="B27" s="52">
        <v>8.11</v>
      </c>
      <c r="C27" s="52">
        <v>3.25</v>
      </c>
      <c r="D27" s="52">
        <v>11.98</v>
      </c>
      <c r="E27" s="52">
        <v>4.12</v>
      </c>
      <c r="F27" s="52">
        <v>4.16</v>
      </c>
      <c r="G27" s="52">
        <v>52.61</v>
      </c>
      <c r="H27" s="52">
        <v>28.44</v>
      </c>
      <c r="I27" s="52">
        <v>2.42</v>
      </c>
      <c r="J27" s="52">
        <v>0.27</v>
      </c>
      <c r="K27" s="52">
        <v>350.31</v>
      </c>
      <c r="L27" s="52">
        <v>24.19</v>
      </c>
      <c r="M27" s="52">
        <v>101.6</v>
      </c>
      <c r="N27" s="52">
        <v>60.5</v>
      </c>
      <c r="O27" s="52">
        <v>0.6</v>
      </c>
      <c r="P27" s="52">
        <v>0.56999999999999995</v>
      </c>
      <c r="Q27" s="52">
        <v>9.7799999999999994</v>
      </c>
      <c r="R27" s="43"/>
      <c r="S27" s="43"/>
      <c r="T27" s="43"/>
      <c r="U27" s="43"/>
    </row>
    <row r="28" spans="1:21" s="11" customFormat="1" x14ac:dyDescent="0.25">
      <c r="A28" s="51" t="s">
        <v>199</v>
      </c>
      <c r="B28" s="52">
        <v>8.3800000000000008</v>
      </c>
      <c r="C28" s="52">
        <v>3.7</v>
      </c>
      <c r="D28" s="52">
        <v>12.43</v>
      </c>
      <c r="E28" s="52">
        <v>3.59</v>
      </c>
      <c r="F28" s="52">
        <v>4.37</v>
      </c>
      <c r="G28" s="52">
        <v>40.909999999999997</v>
      </c>
      <c r="H28" s="52">
        <v>28.44</v>
      </c>
      <c r="I28" s="52">
        <v>2.42</v>
      </c>
      <c r="J28" s="52">
        <v>0.17</v>
      </c>
      <c r="K28" s="52">
        <v>359.12</v>
      </c>
      <c r="L28" s="52">
        <v>24.21</v>
      </c>
      <c r="M28" s="52">
        <v>101.67</v>
      </c>
      <c r="N28" s="52">
        <v>59.9</v>
      </c>
      <c r="O28" s="52">
        <v>0.4</v>
      </c>
      <c r="P28" s="52">
        <v>0.54</v>
      </c>
      <c r="Q28" s="52">
        <v>9.5299999999999994</v>
      </c>
      <c r="R28" s="43"/>
      <c r="S28" s="43"/>
      <c r="T28" s="43"/>
      <c r="U28" s="43"/>
    </row>
    <row r="29" spans="1:21" s="11" customFormat="1" x14ac:dyDescent="0.25">
      <c r="A29" s="51" t="s">
        <v>200</v>
      </c>
      <c r="B29" s="52">
        <v>8.57</v>
      </c>
      <c r="C29" s="52">
        <v>4.01</v>
      </c>
      <c r="D29" s="52">
        <v>12.74</v>
      </c>
      <c r="E29" s="52">
        <v>3.6</v>
      </c>
      <c r="F29" s="52">
        <v>4.09</v>
      </c>
      <c r="G29" s="52">
        <v>36.340000000000003</v>
      </c>
      <c r="H29" s="52">
        <v>22.78</v>
      </c>
      <c r="I29" s="52">
        <v>2.65</v>
      </c>
      <c r="J29" s="52">
        <v>0.14000000000000001</v>
      </c>
      <c r="K29" s="52">
        <v>323.02</v>
      </c>
      <c r="L29" s="52">
        <v>24.4</v>
      </c>
      <c r="M29" s="52">
        <v>101.73</v>
      </c>
      <c r="N29" s="52">
        <v>60.1</v>
      </c>
      <c r="O29" s="52">
        <v>0.2</v>
      </c>
      <c r="P29" s="52">
        <v>0.51</v>
      </c>
      <c r="Q29" s="52">
        <v>9.5399999999999991</v>
      </c>
      <c r="R29" s="43"/>
      <c r="S29" s="43"/>
      <c r="T29" s="43"/>
      <c r="U29" s="43"/>
    </row>
    <row r="30" spans="1:21" s="11" customFormat="1" x14ac:dyDescent="0.25">
      <c r="A30" s="51" t="s">
        <v>201</v>
      </c>
      <c r="B30" s="52">
        <v>8.1300000000000008</v>
      </c>
      <c r="C30" s="52">
        <v>3.17</v>
      </c>
      <c r="D30" s="52">
        <v>11.95</v>
      </c>
      <c r="E30" s="52">
        <v>3.34</v>
      </c>
      <c r="F30" s="52">
        <v>3.67</v>
      </c>
      <c r="G30" s="52">
        <v>36.340000000000003</v>
      </c>
      <c r="H30" s="52">
        <v>19.23</v>
      </c>
      <c r="I30" s="52">
        <v>2.83</v>
      </c>
      <c r="J30" s="52">
        <v>0.08</v>
      </c>
      <c r="K30" s="52">
        <v>188.29</v>
      </c>
      <c r="L30" s="52">
        <v>24.62</v>
      </c>
      <c r="M30" s="52">
        <v>101.77</v>
      </c>
      <c r="N30" s="52">
        <v>60.3</v>
      </c>
      <c r="O30" s="52">
        <v>0.2</v>
      </c>
      <c r="P30" s="52">
        <v>0.49</v>
      </c>
      <c r="Q30" s="52">
        <v>9.5</v>
      </c>
      <c r="R30" s="43"/>
      <c r="S30" s="43"/>
      <c r="T30" s="43"/>
      <c r="U30" s="43"/>
    </row>
    <row r="31" spans="1:21" s="11" customFormat="1" x14ac:dyDescent="0.25">
      <c r="A31" s="51" t="s">
        <v>202</v>
      </c>
      <c r="B31" s="52">
        <v>8.06</v>
      </c>
      <c r="C31" s="52">
        <v>3.06</v>
      </c>
      <c r="D31" s="52">
        <v>11.83</v>
      </c>
      <c r="E31" s="52">
        <v>3.47</v>
      </c>
      <c r="F31" s="52">
        <v>4.6900000000000004</v>
      </c>
      <c r="G31" s="52">
        <v>33.82</v>
      </c>
      <c r="H31" s="52">
        <v>19.23</v>
      </c>
      <c r="I31" s="52">
        <v>3.08</v>
      </c>
      <c r="J31" s="52">
        <v>0.2</v>
      </c>
      <c r="K31" s="52">
        <v>353.2</v>
      </c>
      <c r="L31" s="52">
        <v>24.79</v>
      </c>
      <c r="M31" s="52">
        <v>101.83</v>
      </c>
      <c r="N31" s="52">
        <v>60.3</v>
      </c>
      <c r="O31" s="52">
        <v>0.2</v>
      </c>
      <c r="P31" s="52">
        <v>0.44</v>
      </c>
      <c r="Q31" s="52">
        <v>9.5</v>
      </c>
      <c r="R31" s="43"/>
      <c r="S31" s="43"/>
      <c r="T31" s="43"/>
      <c r="U31" s="43"/>
    </row>
    <row r="32" spans="1:21" s="11" customFormat="1" x14ac:dyDescent="0.25">
      <c r="A32" s="51" t="s">
        <v>203</v>
      </c>
      <c r="B32" s="52">
        <v>8.11</v>
      </c>
      <c r="C32" s="52">
        <v>3.25</v>
      </c>
      <c r="D32" s="52">
        <v>11.97</v>
      </c>
      <c r="E32" s="52">
        <v>3.92</v>
      </c>
      <c r="F32" s="52">
        <v>14.2</v>
      </c>
      <c r="G32" s="52">
        <v>29.46</v>
      </c>
      <c r="H32" s="52">
        <v>14.24</v>
      </c>
      <c r="I32" s="52">
        <v>2.99</v>
      </c>
      <c r="J32" s="52">
        <v>0.27</v>
      </c>
      <c r="K32" s="52">
        <v>343.37</v>
      </c>
      <c r="L32" s="52">
        <v>24.82</v>
      </c>
      <c r="M32" s="52">
        <v>101.81</v>
      </c>
      <c r="N32" s="52">
        <v>60.7</v>
      </c>
      <c r="O32" s="52">
        <v>6.8</v>
      </c>
      <c r="P32" s="52">
        <v>0.41</v>
      </c>
      <c r="Q32" s="52">
        <v>9.34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</v>
      </c>
      <c r="C34" s="28">
        <f t="shared" si="0"/>
        <v>3</v>
      </c>
      <c r="D34" s="28">
        <f t="shared" si="0"/>
        <v>11.67</v>
      </c>
      <c r="E34" s="28">
        <f t="shared" si="0"/>
        <v>3.34</v>
      </c>
      <c r="F34" s="28">
        <f t="shared" si="0"/>
        <v>3.55</v>
      </c>
      <c r="G34" s="28">
        <f t="shared" si="0"/>
        <v>29.17</v>
      </c>
      <c r="H34" s="28">
        <f t="shared" si="0"/>
        <v>9.33</v>
      </c>
      <c r="I34" s="28">
        <f t="shared" si="0"/>
        <v>1.34</v>
      </c>
      <c r="J34" s="28">
        <f t="shared" si="0"/>
        <v>0.08</v>
      </c>
      <c r="K34" s="28">
        <f t="shared" si="0"/>
        <v>188.29</v>
      </c>
      <c r="L34" s="28">
        <f t="shared" si="0"/>
        <v>24.19</v>
      </c>
      <c r="M34" s="28">
        <f t="shared" si="0"/>
        <v>81.05</v>
      </c>
      <c r="N34" s="28">
        <f t="shared" si="0"/>
        <v>59.9</v>
      </c>
      <c r="O34" s="28">
        <f t="shared" si="0"/>
        <v>0</v>
      </c>
      <c r="P34" s="28">
        <f t="shared" si="0"/>
        <v>0.33</v>
      </c>
      <c r="Q34" s="28">
        <f t="shared" si="0"/>
        <v>9.15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9.02</v>
      </c>
      <c r="C35" s="29">
        <f t="shared" si="1"/>
        <v>5.04</v>
      </c>
      <c r="D35" s="29">
        <f t="shared" si="1"/>
        <v>13.64</v>
      </c>
      <c r="E35" s="29">
        <f t="shared" si="1"/>
        <v>5.27</v>
      </c>
      <c r="F35" s="29">
        <f t="shared" si="1"/>
        <v>21.59</v>
      </c>
      <c r="G35" s="29">
        <f t="shared" si="1"/>
        <v>78.97</v>
      </c>
      <c r="H35" s="29">
        <f t="shared" si="1"/>
        <v>45.28</v>
      </c>
      <c r="I35" s="29">
        <f t="shared" si="1"/>
        <v>3.97</v>
      </c>
      <c r="J35" s="29">
        <f t="shared" si="1"/>
        <v>1.04</v>
      </c>
      <c r="K35" s="29">
        <f t="shared" si="1"/>
        <v>359.38</v>
      </c>
      <c r="L35" s="29">
        <f t="shared" si="1"/>
        <v>32.94</v>
      </c>
      <c r="M35" s="29">
        <f t="shared" si="1"/>
        <v>102.1</v>
      </c>
      <c r="N35" s="29">
        <f t="shared" si="1"/>
        <v>871.6</v>
      </c>
      <c r="O35" s="29">
        <f t="shared" si="1"/>
        <v>10.199999999999999</v>
      </c>
      <c r="P35" s="29">
        <f t="shared" si="1"/>
        <v>0.65</v>
      </c>
      <c r="Q35" s="29">
        <f t="shared" si="1"/>
        <v>9.83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8.2120833333333323</v>
      </c>
      <c r="C36" s="28">
        <f t="shared" si="2"/>
        <v>3.5041666666666669</v>
      </c>
      <c r="D36" s="28">
        <f t="shared" si="2"/>
        <v>12.189166666666665</v>
      </c>
      <c r="E36" s="28">
        <f t="shared" si="2"/>
        <v>4.3966666666666674</v>
      </c>
      <c r="F36" s="28">
        <f t="shared" si="2"/>
        <v>7.4783333333333317</v>
      </c>
      <c r="G36" s="28">
        <f t="shared" si="2"/>
        <v>44.850416666666668</v>
      </c>
      <c r="H36" s="28">
        <f t="shared" si="2"/>
        <v>25.19541666666667</v>
      </c>
      <c r="I36" s="28">
        <f t="shared" si="2"/>
        <v>2.5766666666666671</v>
      </c>
      <c r="J36" s="28">
        <f t="shared" si="2"/>
        <v>0.35249999999999998</v>
      </c>
      <c r="K36" s="28">
        <f t="shared" si="2"/>
        <v>337.94083333333339</v>
      </c>
      <c r="L36" s="28">
        <f t="shared" si="2"/>
        <v>27.32041666666667</v>
      </c>
      <c r="M36" s="28">
        <f t="shared" si="2"/>
        <v>98.367500000000007</v>
      </c>
      <c r="N36" s="28">
        <f t="shared" si="2"/>
        <v>205.03333333333339</v>
      </c>
      <c r="O36" s="28">
        <f t="shared" si="2"/>
        <v>1.1666666666666665</v>
      </c>
      <c r="P36" s="28">
        <f t="shared" si="2"/>
        <v>0.47833333333333344</v>
      </c>
      <c r="Q36" s="28">
        <f t="shared" si="2"/>
        <v>9.3962500000000002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0.27560177898502425</v>
      </c>
      <c r="C37" s="28">
        <f t="shared" ref="C37:Q37" si="3">STDEV(C9:C32)</f>
        <v>0.51602086801977554</v>
      </c>
      <c r="D37" s="28">
        <f t="shared" si="3"/>
        <v>0.48866203014982151</v>
      </c>
      <c r="E37" s="28">
        <f t="shared" si="3"/>
        <v>0.52065733258162228</v>
      </c>
      <c r="F37" s="28">
        <f t="shared" si="3"/>
        <v>5.1192336949184529</v>
      </c>
      <c r="G37" s="28">
        <f t="shared" si="3"/>
        <v>13.260100819069365</v>
      </c>
      <c r="H37" s="28">
        <f t="shared" si="3"/>
        <v>10.680245062799322</v>
      </c>
      <c r="I37" s="28">
        <f t="shared" si="3"/>
        <v>0.56671952012680271</v>
      </c>
      <c r="J37" s="28">
        <f t="shared" si="3"/>
        <v>0.22558619291699264</v>
      </c>
      <c r="K37" s="28">
        <f t="shared" si="3"/>
        <v>33.46239575568589</v>
      </c>
      <c r="L37" s="28">
        <f t="shared" si="3"/>
        <v>3.0996794773522347</v>
      </c>
      <c r="M37" s="28">
        <f t="shared" si="3"/>
        <v>6.5471542108667009</v>
      </c>
      <c r="N37" s="28">
        <f t="shared" si="3"/>
        <v>213.92987202568864</v>
      </c>
      <c r="O37" s="28">
        <f t="shared" si="3"/>
        <v>2.6550471487939418</v>
      </c>
      <c r="P37" s="28">
        <f t="shared" si="3"/>
        <v>9.3839208763976653E-2</v>
      </c>
      <c r="Q37" s="28">
        <f t="shared" si="3"/>
        <v>0.18509251505783481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204</v>
      </c>
      <c r="B9" s="52">
        <v>8.3800000000000008</v>
      </c>
      <c r="C9" s="52">
        <v>3.81</v>
      </c>
      <c r="D9" s="52">
        <v>12.48</v>
      </c>
      <c r="E9" s="52">
        <v>4.03</v>
      </c>
      <c r="F9" s="52">
        <v>10.94</v>
      </c>
      <c r="G9" s="52">
        <v>29.21</v>
      </c>
      <c r="H9" s="52">
        <v>10.49</v>
      </c>
      <c r="I9" s="52">
        <v>2.63</v>
      </c>
      <c r="J9" s="52">
        <v>0.32</v>
      </c>
      <c r="K9" s="52">
        <v>8.3800000000000008</v>
      </c>
      <c r="L9" s="52">
        <v>24.23</v>
      </c>
      <c r="M9" s="52">
        <v>101.74</v>
      </c>
      <c r="N9" s="52">
        <v>60.8</v>
      </c>
      <c r="O9" s="52">
        <v>2.2000000000000002</v>
      </c>
      <c r="P9" s="52">
        <v>0.38</v>
      </c>
      <c r="Q9" s="52">
        <v>9.32</v>
      </c>
      <c r="R9" s="43"/>
      <c r="S9" s="43"/>
      <c r="T9" s="43"/>
      <c r="U9" s="43"/>
    </row>
    <row r="10" spans="1:21" s="11" customFormat="1" x14ac:dyDescent="0.25">
      <c r="A10" s="51" t="s">
        <v>205</v>
      </c>
      <c r="B10" s="52">
        <v>7.97</v>
      </c>
      <c r="C10" s="52">
        <v>3.02</v>
      </c>
      <c r="D10" s="52">
        <v>11.74</v>
      </c>
      <c r="E10" s="52">
        <v>3.79</v>
      </c>
      <c r="F10" s="52">
        <v>3.95</v>
      </c>
      <c r="G10" s="52">
        <v>21.88</v>
      </c>
      <c r="H10" s="52">
        <v>10.3</v>
      </c>
      <c r="I10" s="52">
        <v>2.04</v>
      </c>
      <c r="J10" s="52">
        <v>0.27</v>
      </c>
      <c r="K10" s="52">
        <v>354.65</v>
      </c>
      <c r="L10" s="52">
        <v>23.96</v>
      </c>
      <c r="M10" s="52">
        <v>101.8</v>
      </c>
      <c r="N10" s="52">
        <v>60.5</v>
      </c>
      <c r="O10" s="52">
        <v>0.2</v>
      </c>
      <c r="P10" s="52">
        <v>0.3</v>
      </c>
      <c r="Q10" s="52">
        <v>9.24</v>
      </c>
      <c r="R10" s="43"/>
      <c r="S10" s="43"/>
      <c r="T10" s="43"/>
      <c r="U10" s="43"/>
    </row>
    <row r="11" spans="1:21" s="11" customFormat="1" x14ac:dyDescent="0.25">
      <c r="A11" s="51" t="s">
        <v>206</v>
      </c>
      <c r="B11" s="52">
        <v>8.0500000000000007</v>
      </c>
      <c r="C11" s="52">
        <v>3.08</v>
      </c>
      <c r="D11" s="52">
        <v>11.84</v>
      </c>
      <c r="E11" s="52">
        <v>3.62</v>
      </c>
      <c r="F11" s="52">
        <v>3.58</v>
      </c>
      <c r="G11" s="52">
        <v>16.75</v>
      </c>
      <c r="H11" s="52">
        <v>41.52</v>
      </c>
      <c r="I11" s="52">
        <v>1.7</v>
      </c>
      <c r="J11" s="52">
        <v>0.22</v>
      </c>
      <c r="K11" s="52">
        <v>352.44</v>
      </c>
      <c r="L11" s="52">
        <v>24.05</v>
      </c>
      <c r="M11" s="52">
        <v>101.57</v>
      </c>
      <c r="N11" s="52">
        <v>60.7</v>
      </c>
      <c r="O11" s="52">
        <v>0</v>
      </c>
      <c r="P11" s="52">
        <v>0.28999999999999998</v>
      </c>
      <c r="Q11" s="52">
        <v>9.2200000000000006</v>
      </c>
      <c r="R11" s="43"/>
      <c r="S11" s="43"/>
      <c r="T11" s="43"/>
      <c r="U11" s="43"/>
    </row>
    <row r="12" spans="1:21" s="11" customFormat="1" x14ac:dyDescent="0.25">
      <c r="A12" s="51" t="s">
        <v>207</v>
      </c>
      <c r="B12" s="52">
        <v>8.31</v>
      </c>
      <c r="C12" s="52">
        <v>3.69</v>
      </c>
      <c r="D12" s="52">
        <v>12.37</v>
      </c>
      <c r="E12" s="52">
        <v>3.7</v>
      </c>
      <c r="F12" s="52">
        <v>4.9000000000000004</v>
      </c>
      <c r="G12" s="52">
        <v>17.23</v>
      </c>
      <c r="H12" s="52">
        <v>41.52</v>
      </c>
      <c r="I12" s="52">
        <v>2.1</v>
      </c>
      <c r="J12" s="52">
        <v>0.27</v>
      </c>
      <c r="K12" s="52">
        <v>347.43</v>
      </c>
      <c r="L12" s="52">
        <v>24.12</v>
      </c>
      <c r="M12" s="52">
        <v>101.55</v>
      </c>
      <c r="N12" s="52">
        <v>60.7</v>
      </c>
      <c r="O12" s="52">
        <v>0.2</v>
      </c>
      <c r="P12" s="52">
        <v>0.33</v>
      </c>
      <c r="Q12" s="52">
        <v>9.2200000000000006</v>
      </c>
      <c r="R12" s="43"/>
      <c r="S12" s="43"/>
      <c r="T12" s="43"/>
      <c r="U12" s="43"/>
    </row>
    <row r="13" spans="1:21" s="11" customFormat="1" x14ac:dyDescent="0.25">
      <c r="A13" s="51" t="s">
        <v>208</v>
      </c>
      <c r="B13" s="52">
        <v>8.07</v>
      </c>
      <c r="C13" s="52">
        <v>3.27</v>
      </c>
      <c r="D13" s="52">
        <v>11.95</v>
      </c>
      <c r="E13" s="52">
        <v>3.42</v>
      </c>
      <c r="F13" s="52">
        <v>3.71</v>
      </c>
      <c r="G13" s="52">
        <v>20.399999999999999</v>
      </c>
      <c r="H13" s="52">
        <v>28.43</v>
      </c>
      <c r="I13" s="52">
        <v>2.71</v>
      </c>
      <c r="J13" s="52">
        <v>0.14000000000000001</v>
      </c>
      <c r="K13" s="52">
        <v>304.06</v>
      </c>
      <c r="L13" s="52">
        <v>24.03</v>
      </c>
      <c r="M13" s="52">
        <v>101.54</v>
      </c>
      <c r="N13" s="52">
        <v>64.7</v>
      </c>
      <c r="O13" s="52">
        <v>0.2</v>
      </c>
      <c r="P13" s="52">
        <v>0.37</v>
      </c>
      <c r="Q13" s="52">
        <v>9.2200000000000006</v>
      </c>
      <c r="R13" s="43"/>
      <c r="S13" s="43"/>
      <c r="T13" s="43"/>
      <c r="U13" s="43"/>
    </row>
    <row r="14" spans="1:21" s="11" customFormat="1" x14ac:dyDescent="0.25">
      <c r="A14" s="51" t="s">
        <v>209</v>
      </c>
      <c r="B14" s="52">
        <v>8.33</v>
      </c>
      <c r="C14" s="52">
        <v>3.69</v>
      </c>
      <c r="D14" s="52">
        <v>12.38</v>
      </c>
      <c r="E14" s="52">
        <v>3.45</v>
      </c>
      <c r="F14" s="52">
        <v>4.2699999999999996</v>
      </c>
      <c r="G14" s="52">
        <v>26.31</v>
      </c>
      <c r="H14" s="52">
        <v>24.71</v>
      </c>
      <c r="I14" s="52">
        <v>3.06</v>
      </c>
      <c r="J14" s="52">
        <v>0.11</v>
      </c>
      <c r="K14" s="52">
        <v>342.18</v>
      </c>
      <c r="L14" s="52">
        <v>24.2</v>
      </c>
      <c r="M14" s="52">
        <v>101.57</v>
      </c>
      <c r="N14" s="52">
        <v>83.1</v>
      </c>
      <c r="O14" s="52">
        <v>0</v>
      </c>
      <c r="P14" s="52">
        <v>0.37</v>
      </c>
      <c r="Q14" s="52">
        <v>9.2799999999999994</v>
      </c>
      <c r="R14" s="43"/>
      <c r="S14" s="43"/>
      <c r="T14" s="43"/>
      <c r="U14" s="43"/>
    </row>
    <row r="15" spans="1:21" s="11" customFormat="1" x14ac:dyDescent="0.25">
      <c r="A15" s="51" t="s">
        <v>210</v>
      </c>
      <c r="B15" s="52">
        <v>8.25</v>
      </c>
      <c r="C15" s="52">
        <v>3.43</v>
      </c>
      <c r="D15" s="52">
        <v>12.18</v>
      </c>
      <c r="E15" s="52">
        <v>5.45</v>
      </c>
      <c r="F15" s="52">
        <v>3.49</v>
      </c>
      <c r="G15" s="52">
        <v>26.31</v>
      </c>
      <c r="H15" s="52">
        <v>52.52</v>
      </c>
      <c r="I15" s="52">
        <v>3.13</v>
      </c>
      <c r="J15" s="52">
        <v>0.24</v>
      </c>
      <c r="K15" s="52">
        <v>323.27999999999997</v>
      </c>
      <c r="L15" s="52">
        <v>24.66</v>
      </c>
      <c r="M15" s="52">
        <v>101.26</v>
      </c>
      <c r="N15" s="52">
        <v>134.80000000000001</v>
      </c>
      <c r="O15" s="52">
        <v>0</v>
      </c>
      <c r="P15" s="52">
        <v>0.37</v>
      </c>
      <c r="Q15" s="52">
        <v>9.3000000000000007</v>
      </c>
      <c r="R15" s="43"/>
      <c r="S15" s="43"/>
      <c r="T15" s="43"/>
      <c r="U15" s="43"/>
    </row>
    <row r="16" spans="1:21" s="11" customFormat="1" x14ac:dyDescent="0.25">
      <c r="A16" s="51" t="s">
        <v>211</v>
      </c>
      <c r="B16" s="52">
        <v>8.06</v>
      </c>
      <c r="C16" s="52">
        <v>3.06</v>
      </c>
      <c r="D16" s="52">
        <v>11.84</v>
      </c>
      <c r="E16" s="52">
        <v>5.42</v>
      </c>
      <c r="F16" s="52">
        <v>3.94</v>
      </c>
      <c r="G16" s="52">
        <v>23.12</v>
      </c>
      <c r="H16" s="52">
        <v>52.52</v>
      </c>
      <c r="I16" s="52">
        <v>3.17</v>
      </c>
      <c r="J16" s="52">
        <v>0.25</v>
      </c>
      <c r="K16" s="52">
        <v>354.72</v>
      </c>
      <c r="L16" s="52">
        <v>25.16</v>
      </c>
      <c r="M16" s="52">
        <v>101.56</v>
      </c>
      <c r="N16" s="52">
        <v>164.6</v>
      </c>
      <c r="O16" s="52">
        <v>0</v>
      </c>
      <c r="P16" s="52">
        <v>0.39</v>
      </c>
      <c r="Q16" s="52">
        <v>9.2899999999999991</v>
      </c>
      <c r="R16" s="43"/>
      <c r="S16" s="43"/>
      <c r="T16" s="43"/>
      <c r="U16" s="43"/>
    </row>
    <row r="17" spans="1:21" s="11" customFormat="1" x14ac:dyDescent="0.25">
      <c r="A17" s="51" t="s">
        <v>212</v>
      </c>
      <c r="B17" s="52">
        <v>8.41</v>
      </c>
      <c r="C17" s="52">
        <v>3.72</v>
      </c>
      <c r="D17" s="52">
        <v>12.46</v>
      </c>
      <c r="E17" s="52">
        <v>5.5</v>
      </c>
      <c r="F17" s="52">
        <v>4.17</v>
      </c>
      <c r="G17" s="52">
        <v>23.12</v>
      </c>
      <c r="H17" s="52">
        <v>35.369999999999997</v>
      </c>
      <c r="I17" s="52">
        <v>3.18</v>
      </c>
      <c r="J17" s="52">
        <v>0.23</v>
      </c>
      <c r="K17" s="52">
        <v>352.3</v>
      </c>
      <c r="L17" s="52">
        <v>25.59</v>
      </c>
      <c r="M17" s="52">
        <v>101.6</v>
      </c>
      <c r="N17" s="52">
        <v>204.4</v>
      </c>
      <c r="O17" s="52">
        <v>0.2</v>
      </c>
      <c r="P17" s="52">
        <v>0.43</v>
      </c>
      <c r="Q17" s="52">
        <v>9.2899999999999991</v>
      </c>
      <c r="R17" s="43"/>
      <c r="S17" s="43"/>
      <c r="T17" s="43"/>
      <c r="U17" s="43"/>
    </row>
    <row r="18" spans="1:21" s="11" customFormat="1" x14ac:dyDescent="0.25">
      <c r="A18" s="51" t="s">
        <v>213</v>
      </c>
      <c r="B18" s="52">
        <v>8.3800000000000008</v>
      </c>
      <c r="C18" s="52">
        <v>3.8</v>
      </c>
      <c r="D18" s="52">
        <v>12.48</v>
      </c>
      <c r="E18" s="52">
        <v>5.23</v>
      </c>
      <c r="F18" s="52">
        <v>4.45</v>
      </c>
      <c r="G18" s="52">
        <v>26.56</v>
      </c>
      <c r="H18" s="52">
        <v>35.369999999999997</v>
      </c>
      <c r="I18" s="52">
        <v>3.24</v>
      </c>
      <c r="J18" s="52">
        <v>0.21</v>
      </c>
      <c r="K18" s="52">
        <v>345.28</v>
      </c>
      <c r="L18" s="52">
        <v>26.49</v>
      </c>
      <c r="M18" s="52">
        <v>101.58</v>
      </c>
      <c r="N18" s="52">
        <v>237.3</v>
      </c>
      <c r="O18" s="52">
        <v>0</v>
      </c>
      <c r="P18" s="52">
        <v>0.56999999999999995</v>
      </c>
      <c r="Q18" s="52">
        <v>9.35</v>
      </c>
      <c r="R18" s="43"/>
      <c r="S18" s="43"/>
      <c r="T18" s="43"/>
      <c r="U18" s="43"/>
    </row>
    <row r="19" spans="1:21" s="11" customFormat="1" x14ac:dyDescent="0.25">
      <c r="A19" s="51" t="s">
        <v>214</v>
      </c>
      <c r="B19" s="52">
        <v>8.27</v>
      </c>
      <c r="C19" s="52">
        <v>3.66</v>
      </c>
      <c r="D19" s="52">
        <v>12.32</v>
      </c>
      <c r="E19" s="52">
        <v>5.49</v>
      </c>
      <c r="F19" s="52">
        <v>4.08</v>
      </c>
      <c r="G19" s="52">
        <v>35.479999999999997</v>
      </c>
      <c r="H19" s="52">
        <v>34.26</v>
      </c>
      <c r="I19" s="52">
        <v>3.17</v>
      </c>
      <c r="J19" s="52">
        <v>0.22</v>
      </c>
      <c r="K19" s="52">
        <v>347.01</v>
      </c>
      <c r="L19" s="52">
        <v>27.2</v>
      </c>
      <c r="M19" s="52">
        <v>101.46</v>
      </c>
      <c r="N19" s="52">
        <v>223.8</v>
      </c>
      <c r="O19" s="52">
        <v>0</v>
      </c>
      <c r="P19" s="52">
        <v>0.7</v>
      </c>
      <c r="Q19" s="52">
        <v>9.49</v>
      </c>
      <c r="R19" s="43"/>
      <c r="S19" s="43"/>
      <c r="T19" s="43"/>
      <c r="U19" s="43"/>
    </row>
    <row r="20" spans="1:21" s="11" customFormat="1" x14ac:dyDescent="0.25">
      <c r="A20" s="51" t="s">
        <v>215</v>
      </c>
      <c r="B20" s="52">
        <v>8.2100000000000009</v>
      </c>
      <c r="C20" s="52">
        <v>3.35</v>
      </c>
      <c r="D20" s="52">
        <v>12.1</v>
      </c>
      <c r="E20" s="52">
        <v>5.16</v>
      </c>
      <c r="F20" s="52">
        <v>3.83</v>
      </c>
      <c r="G20" s="52">
        <v>35.479999999999997</v>
      </c>
      <c r="H20" s="52">
        <v>22.61</v>
      </c>
      <c r="I20" s="52">
        <v>3.69</v>
      </c>
      <c r="J20" s="52">
        <v>0.19</v>
      </c>
      <c r="K20" s="52">
        <v>343.9</v>
      </c>
      <c r="L20" s="52">
        <v>27.41</v>
      </c>
      <c r="M20" s="52">
        <v>101.58</v>
      </c>
      <c r="N20" s="52">
        <v>204.6</v>
      </c>
      <c r="O20" s="52">
        <v>0</v>
      </c>
      <c r="P20" s="52">
        <v>0.76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216</v>
      </c>
      <c r="B21" s="52">
        <v>9.1</v>
      </c>
      <c r="C21" s="52">
        <v>4.79</v>
      </c>
      <c r="D21" s="52">
        <v>13.58</v>
      </c>
      <c r="E21" s="52">
        <v>5.26</v>
      </c>
      <c r="F21" s="52">
        <v>3.73</v>
      </c>
      <c r="G21" s="52">
        <v>61.91</v>
      </c>
      <c r="H21" s="52">
        <v>20.93</v>
      </c>
      <c r="I21" s="52">
        <v>3.99</v>
      </c>
      <c r="J21" s="52">
        <v>0.2</v>
      </c>
      <c r="K21" s="52">
        <v>312.68</v>
      </c>
      <c r="L21" s="52">
        <v>27.76</v>
      </c>
      <c r="M21" s="52">
        <v>101.57</v>
      </c>
      <c r="N21" s="52">
        <v>210.2</v>
      </c>
      <c r="O21" s="52">
        <v>0</v>
      </c>
      <c r="P21" s="52">
        <v>0.82</v>
      </c>
      <c r="Q21" s="52">
        <v>9.6300000000000008</v>
      </c>
      <c r="R21" s="43"/>
      <c r="S21" s="43"/>
      <c r="T21" s="43"/>
      <c r="U21" s="43"/>
    </row>
    <row r="22" spans="1:21" s="11" customFormat="1" x14ac:dyDescent="0.25">
      <c r="A22" s="51" t="s">
        <v>217</v>
      </c>
      <c r="B22" s="52">
        <v>9.48</v>
      </c>
      <c r="C22" s="52">
        <v>5.44</v>
      </c>
      <c r="D22" s="52">
        <v>14.19</v>
      </c>
      <c r="E22" s="52">
        <v>5.5</v>
      </c>
      <c r="F22" s="52">
        <v>4.29</v>
      </c>
      <c r="G22" s="52">
        <v>61.91</v>
      </c>
      <c r="H22" s="52">
        <v>20.93</v>
      </c>
      <c r="I22" s="52">
        <v>4.4000000000000004</v>
      </c>
      <c r="J22" s="52">
        <v>0.19</v>
      </c>
      <c r="K22" s="52">
        <v>318.47000000000003</v>
      </c>
      <c r="L22" s="52">
        <v>28.03</v>
      </c>
      <c r="M22" s="52">
        <v>101.62</v>
      </c>
      <c r="N22" s="52">
        <v>207.4</v>
      </c>
      <c r="O22" s="52">
        <v>0</v>
      </c>
      <c r="P22" s="52">
        <v>0.84</v>
      </c>
      <c r="Q22" s="52">
        <v>9.69</v>
      </c>
      <c r="R22" s="43"/>
      <c r="S22" s="43"/>
      <c r="T22" s="43"/>
      <c r="U22" s="43"/>
    </row>
    <row r="23" spans="1:21" s="11" customFormat="1" x14ac:dyDescent="0.25">
      <c r="A23" s="51" t="s">
        <v>218</v>
      </c>
      <c r="B23" s="52">
        <v>9.15</v>
      </c>
      <c r="C23" s="52">
        <v>4.95</v>
      </c>
      <c r="D23" s="52">
        <v>13.7</v>
      </c>
      <c r="E23" s="52">
        <v>5.38</v>
      </c>
      <c r="F23" s="52">
        <v>3.53</v>
      </c>
      <c r="G23" s="52">
        <v>39.700000000000003</v>
      </c>
      <c r="H23" s="52">
        <v>15.07</v>
      </c>
      <c r="I23" s="52">
        <v>4.49</v>
      </c>
      <c r="J23" s="52">
        <v>0.15</v>
      </c>
      <c r="K23" s="52">
        <v>340.85</v>
      </c>
      <c r="L23" s="52">
        <v>27.6</v>
      </c>
      <c r="M23" s="52">
        <v>101.62</v>
      </c>
      <c r="N23" s="52">
        <v>180.8</v>
      </c>
      <c r="O23" s="52">
        <v>0</v>
      </c>
      <c r="P23" s="52">
        <v>0.81</v>
      </c>
      <c r="Q23" s="52">
        <v>9.73</v>
      </c>
      <c r="R23" s="43"/>
      <c r="S23" s="43"/>
      <c r="T23" s="43"/>
      <c r="U23" s="43"/>
    </row>
    <row r="24" spans="1:21" s="11" customFormat="1" x14ac:dyDescent="0.25">
      <c r="A24" s="51" t="s">
        <v>219</v>
      </c>
      <c r="B24" s="52">
        <v>9.51</v>
      </c>
      <c r="C24" s="52">
        <v>5.65</v>
      </c>
      <c r="D24" s="52">
        <v>14.35</v>
      </c>
      <c r="E24" s="52">
        <v>5.38</v>
      </c>
      <c r="F24" s="52">
        <v>3.64</v>
      </c>
      <c r="G24" s="52">
        <v>82.83</v>
      </c>
      <c r="H24" s="52">
        <v>29.81</v>
      </c>
      <c r="I24" s="52">
        <v>4.5</v>
      </c>
      <c r="J24" s="52">
        <v>0.22</v>
      </c>
      <c r="K24" s="52">
        <v>340.85</v>
      </c>
      <c r="L24" s="52">
        <v>27.69</v>
      </c>
      <c r="M24" s="52">
        <v>101.68</v>
      </c>
      <c r="N24" s="52">
        <v>180.8</v>
      </c>
      <c r="O24" s="52">
        <v>0.6</v>
      </c>
      <c r="P24" s="52">
        <v>0.81</v>
      </c>
      <c r="Q24" s="52">
        <v>9.74</v>
      </c>
      <c r="R24" s="43"/>
      <c r="S24" s="43"/>
      <c r="T24" s="43"/>
      <c r="U24" s="43"/>
    </row>
    <row r="25" spans="1:21" s="11" customFormat="1" x14ac:dyDescent="0.25">
      <c r="A25" s="51" t="s">
        <v>220</v>
      </c>
      <c r="B25" s="52">
        <v>8.61</v>
      </c>
      <c r="C25" s="52">
        <v>4.26</v>
      </c>
      <c r="D25" s="52">
        <v>12.91</v>
      </c>
      <c r="E25" s="52">
        <v>4.55</v>
      </c>
      <c r="F25" s="52">
        <v>3.83</v>
      </c>
      <c r="G25" s="52">
        <v>82.83</v>
      </c>
      <c r="H25" s="52">
        <v>34.049999999999997</v>
      </c>
      <c r="I25" s="52">
        <v>4.29</v>
      </c>
      <c r="J25" s="52">
        <v>0.2</v>
      </c>
      <c r="K25" s="52">
        <v>334.24</v>
      </c>
      <c r="L25" s="52">
        <v>27.05</v>
      </c>
      <c r="M25" s="52">
        <v>101.74</v>
      </c>
      <c r="N25" s="52">
        <v>130</v>
      </c>
      <c r="O25" s="52">
        <v>0</v>
      </c>
      <c r="P25" s="52">
        <v>0.71</v>
      </c>
      <c r="Q25" s="52">
        <v>9.66</v>
      </c>
      <c r="R25" s="43"/>
      <c r="S25" s="43"/>
      <c r="T25" s="43"/>
      <c r="U25" s="43"/>
    </row>
    <row r="26" spans="1:21" s="11" customFormat="1" x14ac:dyDescent="0.25">
      <c r="A26" s="51" t="s">
        <v>221</v>
      </c>
      <c r="B26" s="52">
        <v>8.69</v>
      </c>
      <c r="C26" s="52">
        <v>4.2699999999999996</v>
      </c>
      <c r="D26" s="52">
        <v>12.97</v>
      </c>
      <c r="E26" s="52">
        <v>4.91</v>
      </c>
      <c r="F26" s="52">
        <v>3.61</v>
      </c>
      <c r="G26" s="52">
        <v>71.069999999999993</v>
      </c>
      <c r="H26" s="52">
        <v>34.049999999999997</v>
      </c>
      <c r="I26" s="52">
        <v>3.89</v>
      </c>
      <c r="J26" s="52">
        <v>0.21</v>
      </c>
      <c r="K26" s="52">
        <v>338.38</v>
      </c>
      <c r="L26" s="52">
        <v>27.06</v>
      </c>
      <c r="M26" s="52">
        <v>101.8</v>
      </c>
      <c r="N26" s="52">
        <v>104</v>
      </c>
      <c r="O26" s="52">
        <v>0</v>
      </c>
      <c r="P26" s="52">
        <v>0.71</v>
      </c>
      <c r="Q26" s="52">
        <v>9.67</v>
      </c>
      <c r="R26" s="43"/>
      <c r="S26" s="43"/>
      <c r="T26" s="43"/>
      <c r="U26" s="43"/>
    </row>
    <row r="27" spans="1:21" s="11" customFormat="1" x14ac:dyDescent="0.25">
      <c r="A27" s="51" t="s">
        <v>222</v>
      </c>
      <c r="B27" s="52">
        <v>8.89</v>
      </c>
      <c r="C27" s="52">
        <v>4.58</v>
      </c>
      <c r="D27" s="52">
        <v>13.3</v>
      </c>
      <c r="E27" s="52">
        <v>5.07</v>
      </c>
      <c r="F27" s="52">
        <v>4.6399999999999997</v>
      </c>
      <c r="G27" s="52">
        <v>62.06</v>
      </c>
      <c r="H27" s="52">
        <v>23.49</v>
      </c>
      <c r="I27" s="52">
        <v>4</v>
      </c>
      <c r="J27" s="52">
        <v>0.39</v>
      </c>
      <c r="K27" s="52">
        <v>338.57</v>
      </c>
      <c r="L27" s="52">
        <v>26.77</v>
      </c>
      <c r="M27" s="52">
        <v>101.87</v>
      </c>
      <c r="N27" s="52">
        <v>65.900000000000006</v>
      </c>
      <c r="O27" s="52">
        <v>9.6</v>
      </c>
      <c r="P27" s="52">
        <v>0.72</v>
      </c>
      <c r="Q27" s="52">
        <v>9.69</v>
      </c>
      <c r="R27" s="43"/>
      <c r="S27" s="43"/>
      <c r="T27" s="43"/>
      <c r="U27" s="43"/>
    </row>
    <row r="28" spans="1:21" s="11" customFormat="1" x14ac:dyDescent="0.25">
      <c r="A28" s="51" t="s">
        <v>223</v>
      </c>
      <c r="B28" s="52">
        <v>8.43</v>
      </c>
      <c r="C28" s="52">
        <v>3.88</v>
      </c>
      <c r="D28" s="52">
        <v>12.56</v>
      </c>
      <c r="E28" s="52">
        <v>4.96</v>
      </c>
      <c r="F28" s="52">
        <v>4.9800000000000004</v>
      </c>
      <c r="G28" s="52">
        <v>55.58</v>
      </c>
      <c r="H28" s="52">
        <v>17</v>
      </c>
      <c r="I28" s="52">
        <v>3.59</v>
      </c>
      <c r="J28" s="52">
        <v>0.27</v>
      </c>
      <c r="K28" s="52">
        <v>13.13</v>
      </c>
      <c r="L28" s="52">
        <v>24.29</v>
      </c>
      <c r="M28" s="52">
        <v>101.94</v>
      </c>
      <c r="N28" s="52">
        <v>61.7</v>
      </c>
      <c r="O28" s="52">
        <v>1.6</v>
      </c>
      <c r="P28" s="52">
        <v>0.62</v>
      </c>
      <c r="Q28" s="52">
        <v>9.6</v>
      </c>
      <c r="R28" s="43"/>
      <c r="S28" s="43"/>
      <c r="T28" s="43"/>
      <c r="U28" s="43"/>
    </row>
    <row r="29" spans="1:21" s="11" customFormat="1" x14ac:dyDescent="0.25">
      <c r="A29" s="51" t="s">
        <v>224</v>
      </c>
      <c r="B29" s="52">
        <v>8.18</v>
      </c>
      <c r="C29" s="52">
        <v>3.41</v>
      </c>
      <c r="D29" s="52">
        <v>12.12</v>
      </c>
      <c r="E29" s="52">
        <v>4.46</v>
      </c>
      <c r="F29" s="52">
        <v>3.49</v>
      </c>
      <c r="G29" s="52">
        <v>39.03</v>
      </c>
      <c r="H29" s="52">
        <v>16.940000000000001</v>
      </c>
      <c r="I29" s="52">
        <v>3.09</v>
      </c>
      <c r="J29" s="52">
        <v>0.21</v>
      </c>
      <c r="K29" s="52">
        <v>357.68</v>
      </c>
      <c r="L29" s="52">
        <v>24.25</v>
      </c>
      <c r="M29" s="52">
        <v>103.21</v>
      </c>
      <c r="N29" s="52">
        <v>61.6</v>
      </c>
      <c r="O29" s="52">
        <v>0.4</v>
      </c>
      <c r="P29" s="52">
        <v>0.61</v>
      </c>
      <c r="Q29" s="52">
        <v>9.6</v>
      </c>
      <c r="R29" s="43"/>
      <c r="S29" s="43"/>
      <c r="T29" s="43"/>
      <c r="U29" s="43"/>
    </row>
    <row r="30" spans="1:21" s="11" customFormat="1" x14ac:dyDescent="0.25">
      <c r="A30" s="51" t="s">
        <v>225</v>
      </c>
      <c r="B30" s="52">
        <v>8.2100000000000009</v>
      </c>
      <c r="C30" s="52">
        <v>3.33</v>
      </c>
      <c r="D30" s="52">
        <v>12.1</v>
      </c>
      <c r="E30" s="52">
        <v>4.5199999999999996</v>
      </c>
      <c r="F30" s="52">
        <v>3.35</v>
      </c>
      <c r="G30" s="52">
        <v>30.42</v>
      </c>
      <c r="H30" s="52">
        <v>12.18</v>
      </c>
      <c r="I30" s="52">
        <v>3.11</v>
      </c>
      <c r="J30" s="52">
        <v>0.23</v>
      </c>
      <c r="K30" s="52">
        <v>351.98</v>
      </c>
      <c r="L30" s="52">
        <v>24.41</v>
      </c>
      <c r="M30" s="52">
        <v>102.35</v>
      </c>
      <c r="N30" s="52">
        <v>61.6</v>
      </c>
      <c r="O30" s="52">
        <v>0</v>
      </c>
      <c r="P30" s="52">
        <v>0.64</v>
      </c>
      <c r="Q30" s="52">
        <v>9.6199999999999992</v>
      </c>
      <c r="R30" s="43"/>
      <c r="S30" s="43"/>
      <c r="T30" s="43"/>
      <c r="U30" s="43"/>
    </row>
    <row r="31" spans="1:21" s="11" customFormat="1" x14ac:dyDescent="0.25">
      <c r="A31" s="51" t="s">
        <v>226</v>
      </c>
      <c r="B31" s="52">
        <v>8.33</v>
      </c>
      <c r="C31" s="52">
        <v>3.53</v>
      </c>
      <c r="D31" s="52">
        <v>12.3</v>
      </c>
      <c r="E31" s="52">
        <v>4.57</v>
      </c>
      <c r="F31" s="52">
        <v>4.74</v>
      </c>
      <c r="G31" s="52">
        <v>30.42</v>
      </c>
      <c r="H31" s="52">
        <v>12.18</v>
      </c>
      <c r="I31" s="52">
        <v>3.07</v>
      </c>
      <c r="J31" s="52">
        <v>0.26</v>
      </c>
      <c r="K31" s="52">
        <v>348.6</v>
      </c>
      <c r="L31" s="52">
        <v>24.52</v>
      </c>
      <c r="M31" s="52">
        <v>101.95</v>
      </c>
      <c r="N31" s="52">
        <v>61.8</v>
      </c>
      <c r="O31" s="52">
        <v>0</v>
      </c>
      <c r="P31" s="52">
        <v>0.6</v>
      </c>
      <c r="Q31" s="52">
        <v>9.6199999999999992</v>
      </c>
      <c r="R31" s="43"/>
      <c r="S31" s="43"/>
      <c r="T31" s="43"/>
      <c r="U31" s="43"/>
    </row>
    <row r="32" spans="1:21" s="11" customFormat="1" x14ac:dyDescent="0.25">
      <c r="A32" s="51" t="s">
        <v>227</v>
      </c>
      <c r="B32" s="52">
        <v>8.8699999999999992</v>
      </c>
      <c r="C32" s="52">
        <v>4.43</v>
      </c>
      <c r="D32" s="52">
        <v>13.2</v>
      </c>
      <c r="E32" s="52">
        <v>4.7300000000000004</v>
      </c>
      <c r="F32" s="52">
        <v>4.3600000000000003</v>
      </c>
      <c r="G32" s="52">
        <v>28.26</v>
      </c>
      <c r="H32" s="52">
        <v>12.18</v>
      </c>
      <c r="I32" s="52">
        <v>2.92</v>
      </c>
      <c r="J32" s="52">
        <v>0.27</v>
      </c>
      <c r="K32" s="52">
        <v>359.48</v>
      </c>
      <c r="L32" s="52">
        <v>24.53</v>
      </c>
      <c r="M32" s="52">
        <v>102.15</v>
      </c>
      <c r="N32" s="52">
        <v>62.2</v>
      </c>
      <c r="O32" s="52">
        <v>0</v>
      </c>
      <c r="P32" s="52">
        <v>0.54</v>
      </c>
      <c r="Q32" s="52">
        <v>9.49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7.97</v>
      </c>
      <c r="C34" s="28">
        <f t="shared" si="0"/>
        <v>3.02</v>
      </c>
      <c r="D34" s="28">
        <f t="shared" si="0"/>
        <v>11.74</v>
      </c>
      <c r="E34" s="28">
        <f t="shared" si="0"/>
        <v>3.42</v>
      </c>
      <c r="F34" s="28">
        <f t="shared" si="0"/>
        <v>3.35</v>
      </c>
      <c r="G34" s="28">
        <f t="shared" si="0"/>
        <v>16.75</v>
      </c>
      <c r="H34" s="28">
        <f t="shared" si="0"/>
        <v>10.3</v>
      </c>
      <c r="I34" s="28">
        <f t="shared" si="0"/>
        <v>1.7</v>
      </c>
      <c r="J34" s="28">
        <f t="shared" si="0"/>
        <v>0.11</v>
      </c>
      <c r="K34" s="28">
        <f t="shared" si="0"/>
        <v>8.3800000000000008</v>
      </c>
      <c r="L34" s="28">
        <f t="shared" si="0"/>
        <v>23.96</v>
      </c>
      <c r="M34" s="28">
        <f t="shared" si="0"/>
        <v>101.26</v>
      </c>
      <c r="N34" s="28">
        <f t="shared" si="0"/>
        <v>60.5</v>
      </c>
      <c r="O34" s="28">
        <f t="shared" si="0"/>
        <v>0</v>
      </c>
      <c r="P34" s="28">
        <f t="shared" si="0"/>
        <v>0.28999999999999998</v>
      </c>
      <c r="Q34" s="28">
        <f t="shared" si="0"/>
        <v>9.2200000000000006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9.51</v>
      </c>
      <c r="C35" s="29">
        <f t="shared" si="1"/>
        <v>5.65</v>
      </c>
      <c r="D35" s="29">
        <f t="shared" si="1"/>
        <v>14.35</v>
      </c>
      <c r="E35" s="29">
        <f t="shared" si="1"/>
        <v>5.5</v>
      </c>
      <c r="F35" s="29">
        <f t="shared" si="1"/>
        <v>10.94</v>
      </c>
      <c r="G35" s="29">
        <f t="shared" si="1"/>
        <v>82.83</v>
      </c>
      <c r="H35" s="29">
        <f t="shared" si="1"/>
        <v>52.52</v>
      </c>
      <c r="I35" s="29">
        <f t="shared" si="1"/>
        <v>4.5</v>
      </c>
      <c r="J35" s="29">
        <f t="shared" si="1"/>
        <v>0.39</v>
      </c>
      <c r="K35" s="29">
        <f t="shared" si="1"/>
        <v>359.48</v>
      </c>
      <c r="L35" s="29">
        <f t="shared" si="1"/>
        <v>28.03</v>
      </c>
      <c r="M35" s="29">
        <f t="shared" si="1"/>
        <v>103.21</v>
      </c>
      <c r="N35" s="29">
        <f t="shared" si="1"/>
        <v>237.3</v>
      </c>
      <c r="O35" s="29">
        <f t="shared" si="1"/>
        <v>9.6</v>
      </c>
      <c r="P35" s="29">
        <f t="shared" si="1"/>
        <v>0.84</v>
      </c>
      <c r="Q35" s="29">
        <f t="shared" si="1"/>
        <v>9.74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8.5058333333333351</v>
      </c>
      <c r="C36" s="28">
        <f t="shared" si="2"/>
        <v>3.9208333333333329</v>
      </c>
      <c r="D36" s="28">
        <f t="shared" si="2"/>
        <v>12.6425</v>
      </c>
      <c r="E36" s="28">
        <f t="shared" si="2"/>
        <v>4.7312500000000002</v>
      </c>
      <c r="F36" s="28">
        <f t="shared" si="2"/>
        <v>4.3124999999999991</v>
      </c>
      <c r="G36" s="28">
        <f t="shared" si="2"/>
        <v>39.494583333333324</v>
      </c>
      <c r="H36" s="28">
        <f t="shared" si="2"/>
        <v>26.601249999999997</v>
      </c>
      <c r="I36" s="28">
        <f t="shared" si="2"/>
        <v>3.2983333333333333</v>
      </c>
      <c r="J36" s="28">
        <f t="shared" si="2"/>
        <v>0.22791666666666668</v>
      </c>
      <c r="K36" s="28">
        <f t="shared" si="2"/>
        <v>313.77250000000004</v>
      </c>
      <c r="L36" s="28">
        <f t="shared" si="2"/>
        <v>25.627499999999998</v>
      </c>
      <c r="M36" s="28">
        <f t="shared" si="2"/>
        <v>101.76291666666667</v>
      </c>
      <c r="N36" s="28">
        <f t="shared" si="2"/>
        <v>122.83333333333333</v>
      </c>
      <c r="O36" s="28">
        <f t="shared" si="2"/>
        <v>0.63333333333333341</v>
      </c>
      <c r="P36" s="28">
        <f t="shared" si="2"/>
        <v>0.57041666666666668</v>
      </c>
      <c r="Q36" s="28">
        <f t="shared" si="2"/>
        <v>9.4816666666666656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0.44148875279057748</v>
      </c>
      <c r="C37" s="28">
        <f t="shared" ref="C37:Q37" si="3">STDEV(C9:C32)</f>
        <v>0.73126998919787012</v>
      </c>
      <c r="D37" s="28">
        <f t="shared" si="3"/>
        <v>0.73260850212873196</v>
      </c>
      <c r="E37" s="28">
        <f t="shared" si="3"/>
        <v>0.71370626341288546</v>
      </c>
      <c r="F37" s="28">
        <f t="shared" si="3"/>
        <v>1.4878413017289325</v>
      </c>
      <c r="G37" s="28">
        <f t="shared" si="3"/>
        <v>20.530008572642018</v>
      </c>
      <c r="H37" s="28">
        <f t="shared" si="3"/>
        <v>12.661092168186135</v>
      </c>
      <c r="I37" s="28">
        <f t="shared" si="3"/>
        <v>0.76320073527142418</v>
      </c>
      <c r="J37" s="28">
        <f t="shared" si="3"/>
        <v>5.7783641935778951E-2</v>
      </c>
      <c r="K37" s="28">
        <f t="shared" si="3"/>
        <v>94.391916531669793</v>
      </c>
      <c r="L37" s="28">
        <f t="shared" si="3"/>
        <v>1.5191423495712539</v>
      </c>
      <c r="M37" s="28">
        <f t="shared" si="3"/>
        <v>0.38470179491976914</v>
      </c>
      <c r="N37" s="28">
        <f t="shared" si="3"/>
        <v>66.8308485569395</v>
      </c>
      <c r="O37" s="28">
        <f t="shared" si="3"/>
        <v>1.9848703093470708</v>
      </c>
      <c r="P37" s="28">
        <f t="shared" si="3"/>
        <v>0.185694446702727</v>
      </c>
      <c r="Q37" s="28">
        <f t="shared" si="3"/>
        <v>0.1910307661691916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228</v>
      </c>
      <c r="B9" s="52">
        <v>8.3000000000000007</v>
      </c>
      <c r="C9" s="52">
        <v>3.58</v>
      </c>
      <c r="D9" s="52">
        <v>12.3</v>
      </c>
      <c r="E9" s="52">
        <v>3.56</v>
      </c>
      <c r="F9" s="52">
        <v>3.82</v>
      </c>
      <c r="G9" s="52">
        <v>21.77</v>
      </c>
      <c r="H9" s="52">
        <v>187.53</v>
      </c>
      <c r="I9" s="52">
        <v>2.72</v>
      </c>
      <c r="J9" s="52">
        <v>0.23</v>
      </c>
      <c r="K9" s="52">
        <v>353.6</v>
      </c>
      <c r="L9" s="52">
        <v>24.55</v>
      </c>
      <c r="M9" s="52">
        <v>102.26</v>
      </c>
      <c r="N9" s="52">
        <v>62.3</v>
      </c>
      <c r="O9" s="52">
        <v>0</v>
      </c>
      <c r="P9" s="52">
        <v>0.47</v>
      </c>
      <c r="Q9" s="52">
        <v>9.48</v>
      </c>
      <c r="R9" s="43"/>
      <c r="S9" s="43"/>
      <c r="T9" s="43"/>
      <c r="U9" s="43"/>
    </row>
    <row r="10" spans="1:21" s="11" customFormat="1" x14ac:dyDescent="0.25">
      <c r="A10" s="51" t="s">
        <v>229</v>
      </c>
      <c r="B10" s="52">
        <v>8.2200000000000006</v>
      </c>
      <c r="C10" s="52">
        <v>3.46</v>
      </c>
      <c r="D10" s="52">
        <v>12.17</v>
      </c>
      <c r="E10" s="52">
        <v>3.69</v>
      </c>
      <c r="F10" s="52">
        <v>3.59</v>
      </c>
      <c r="G10" s="52">
        <v>27.47</v>
      </c>
      <c r="H10" s="52">
        <v>4.17</v>
      </c>
      <c r="I10" s="52">
        <v>2.2200000000000002</v>
      </c>
      <c r="J10" s="52">
        <v>0.25</v>
      </c>
      <c r="K10" s="52">
        <v>350.73</v>
      </c>
      <c r="L10" s="52">
        <v>24.59</v>
      </c>
      <c r="M10" s="52">
        <v>102.12</v>
      </c>
      <c r="N10" s="52">
        <v>62.6</v>
      </c>
      <c r="O10" s="52">
        <v>0.2</v>
      </c>
      <c r="P10" s="52">
        <v>0.39</v>
      </c>
      <c r="Q10" s="52">
        <v>9.4</v>
      </c>
      <c r="R10" s="43"/>
      <c r="S10" s="43"/>
      <c r="T10" s="43"/>
      <c r="U10" s="43"/>
    </row>
    <row r="11" spans="1:21" s="11" customFormat="1" x14ac:dyDescent="0.25">
      <c r="A11" s="51" t="s">
        <v>230</v>
      </c>
      <c r="B11" s="52">
        <v>8.02</v>
      </c>
      <c r="C11" s="52">
        <v>3.02</v>
      </c>
      <c r="D11" s="52">
        <v>11.79</v>
      </c>
      <c r="E11" s="52">
        <v>4.28</v>
      </c>
      <c r="F11" s="52">
        <v>3.43</v>
      </c>
      <c r="G11" s="52">
        <v>30.02</v>
      </c>
      <c r="H11" s="52">
        <v>16.62</v>
      </c>
      <c r="I11" s="52">
        <v>2.83</v>
      </c>
      <c r="J11" s="52">
        <v>0.26</v>
      </c>
      <c r="K11" s="52">
        <v>356.42</v>
      </c>
      <c r="L11" s="52">
        <v>24.61</v>
      </c>
      <c r="M11" s="52">
        <v>102.36</v>
      </c>
      <c r="N11" s="52">
        <v>62.6</v>
      </c>
      <c r="O11" s="52">
        <v>0</v>
      </c>
      <c r="P11" s="52">
        <v>0.52</v>
      </c>
      <c r="Q11" s="52">
        <v>9.36</v>
      </c>
      <c r="R11" s="43"/>
      <c r="S11" s="43"/>
      <c r="T11" s="43"/>
      <c r="U11" s="43"/>
    </row>
    <row r="12" spans="1:21" s="11" customFormat="1" x14ac:dyDescent="0.25">
      <c r="A12" s="51" t="s">
        <v>231</v>
      </c>
      <c r="B12" s="52">
        <v>8.0299999999999994</v>
      </c>
      <c r="C12" s="52">
        <v>3.06</v>
      </c>
      <c r="D12" s="52">
        <v>11.81</v>
      </c>
      <c r="E12" s="52">
        <v>4.59</v>
      </c>
      <c r="F12" s="52">
        <v>4.58</v>
      </c>
      <c r="G12" s="52">
        <v>35.1</v>
      </c>
      <c r="H12" s="52">
        <v>40.15</v>
      </c>
      <c r="I12" s="52">
        <v>4.1399999999999997</v>
      </c>
      <c r="J12" s="52">
        <v>0.27</v>
      </c>
      <c r="K12" s="52">
        <v>348.43</v>
      </c>
      <c r="L12" s="52">
        <v>24.58</v>
      </c>
      <c r="M12" s="52">
        <v>102.32</v>
      </c>
      <c r="N12" s="52">
        <v>62</v>
      </c>
      <c r="O12" s="52">
        <v>0</v>
      </c>
      <c r="P12" s="52">
        <v>0.57999999999999996</v>
      </c>
      <c r="Q12" s="52">
        <v>9.25</v>
      </c>
      <c r="R12" s="43"/>
      <c r="S12" s="43"/>
      <c r="T12" s="43"/>
      <c r="U12" s="43"/>
    </row>
    <row r="13" spans="1:21" s="11" customFormat="1" x14ac:dyDescent="0.25">
      <c r="A13" s="51" t="s">
        <v>232</v>
      </c>
      <c r="B13" s="52">
        <v>8.0500000000000007</v>
      </c>
      <c r="C13" s="52">
        <v>3.2</v>
      </c>
      <c r="D13" s="52">
        <v>11.9</v>
      </c>
      <c r="E13" s="52">
        <v>4.54</v>
      </c>
      <c r="F13" s="52">
        <v>4.68</v>
      </c>
      <c r="G13" s="52">
        <v>35.1</v>
      </c>
      <c r="H13" s="52">
        <v>40.15</v>
      </c>
      <c r="I13" s="52">
        <v>3.98</v>
      </c>
      <c r="J13" s="52">
        <v>0.19</v>
      </c>
      <c r="K13" s="52">
        <v>355.67</v>
      </c>
      <c r="L13" s="52">
        <v>24.42</v>
      </c>
      <c r="M13" s="52">
        <v>102.69</v>
      </c>
      <c r="N13" s="52">
        <v>61.9</v>
      </c>
      <c r="O13" s="52">
        <v>0</v>
      </c>
      <c r="P13" s="52">
        <v>0.51</v>
      </c>
      <c r="Q13" s="52">
        <v>9.26</v>
      </c>
      <c r="R13" s="43"/>
      <c r="S13" s="43"/>
      <c r="T13" s="43"/>
      <c r="U13" s="43"/>
    </row>
    <row r="14" spans="1:21" s="11" customFormat="1" x14ac:dyDescent="0.25">
      <c r="A14" s="51" t="s">
        <v>233</v>
      </c>
      <c r="B14" s="52">
        <v>8.16</v>
      </c>
      <c r="C14" s="52">
        <v>3.3</v>
      </c>
      <c r="D14" s="52">
        <v>12.04</v>
      </c>
      <c r="E14" s="52">
        <v>4.58</v>
      </c>
      <c r="F14" s="52">
        <v>4.1100000000000003</v>
      </c>
      <c r="G14" s="52">
        <v>28.89</v>
      </c>
      <c r="H14" s="52">
        <v>16.21</v>
      </c>
      <c r="I14" s="52">
        <v>3.41</v>
      </c>
      <c r="J14" s="52">
        <v>0.22</v>
      </c>
      <c r="K14" s="52">
        <v>357.25</v>
      </c>
      <c r="L14" s="52">
        <v>24.6</v>
      </c>
      <c r="M14" s="52">
        <v>102.93</v>
      </c>
      <c r="N14" s="52">
        <v>67</v>
      </c>
      <c r="O14" s="52">
        <v>0</v>
      </c>
      <c r="P14" s="52">
        <v>0.45</v>
      </c>
      <c r="Q14" s="52">
        <v>9.3000000000000007</v>
      </c>
      <c r="R14" s="43"/>
      <c r="S14" s="43"/>
      <c r="T14" s="43"/>
      <c r="U14" s="43"/>
    </row>
    <row r="15" spans="1:21" s="11" customFormat="1" x14ac:dyDescent="0.25">
      <c r="A15" s="51" t="s">
        <v>234</v>
      </c>
      <c r="B15" s="52">
        <v>8.41</v>
      </c>
      <c r="C15" s="52">
        <v>3.72</v>
      </c>
      <c r="D15" s="52">
        <v>12.46</v>
      </c>
      <c r="E15" s="52">
        <v>4.3899999999999997</v>
      </c>
      <c r="F15" s="52">
        <v>3.91</v>
      </c>
      <c r="G15" s="52">
        <v>27.08</v>
      </c>
      <c r="H15" s="52">
        <v>26.15</v>
      </c>
      <c r="I15" s="52">
        <v>4.16</v>
      </c>
      <c r="J15" s="52">
        <v>0.32</v>
      </c>
      <c r="K15" s="52">
        <v>325.72000000000003</v>
      </c>
      <c r="L15" s="52">
        <v>25.26</v>
      </c>
      <c r="M15" s="52">
        <v>102.36</v>
      </c>
      <c r="N15" s="52">
        <v>126.2</v>
      </c>
      <c r="O15" s="52">
        <v>0</v>
      </c>
      <c r="P15" s="52">
        <v>0.55000000000000004</v>
      </c>
      <c r="Q15" s="52">
        <v>9.4</v>
      </c>
      <c r="R15" s="43"/>
      <c r="S15" s="43"/>
      <c r="T15" s="43"/>
      <c r="U15" s="43"/>
    </row>
    <row r="16" spans="1:21" s="11" customFormat="1" x14ac:dyDescent="0.25">
      <c r="A16" s="51" t="s">
        <v>235</v>
      </c>
      <c r="B16" s="52">
        <v>8.09</v>
      </c>
      <c r="C16" s="52">
        <v>3.16</v>
      </c>
      <c r="D16" s="52">
        <v>11.9</v>
      </c>
      <c r="E16" s="52">
        <v>4.05</v>
      </c>
      <c r="F16" s="52">
        <v>4.37</v>
      </c>
      <c r="G16" s="52">
        <v>31.2</v>
      </c>
      <c r="H16" s="52">
        <v>26.15</v>
      </c>
      <c r="I16" s="52">
        <v>4.3499999999999996</v>
      </c>
      <c r="J16" s="52">
        <v>0.56000000000000005</v>
      </c>
      <c r="K16" s="52">
        <v>326.12</v>
      </c>
      <c r="L16" s="52">
        <v>25.81</v>
      </c>
      <c r="M16" s="52">
        <v>102.13</v>
      </c>
      <c r="N16" s="52">
        <v>147.80000000000001</v>
      </c>
      <c r="O16" s="52">
        <v>0.2</v>
      </c>
      <c r="P16" s="52">
        <v>0.54</v>
      </c>
      <c r="Q16" s="52">
        <v>9.4</v>
      </c>
      <c r="R16" s="43"/>
      <c r="S16" s="43"/>
      <c r="T16" s="43"/>
      <c r="U16" s="43"/>
    </row>
    <row r="17" spans="1:21" s="11" customFormat="1" x14ac:dyDescent="0.25">
      <c r="A17" s="51" t="s">
        <v>236</v>
      </c>
      <c r="B17" s="52">
        <v>8.61</v>
      </c>
      <c r="C17" s="52">
        <v>4.04</v>
      </c>
      <c r="D17" s="52">
        <v>12.79</v>
      </c>
      <c r="E17" s="52">
        <v>4.1500000000000004</v>
      </c>
      <c r="F17" s="52">
        <v>3.72</v>
      </c>
      <c r="G17" s="52">
        <v>31.2</v>
      </c>
      <c r="H17" s="52">
        <v>21.98</v>
      </c>
      <c r="I17" s="52">
        <v>4.04</v>
      </c>
      <c r="J17" s="52">
        <v>1.02</v>
      </c>
      <c r="K17" s="52">
        <v>324.72000000000003</v>
      </c>
      <c r="L17" s="52">
        <v>25.24</v>
      </c>
      <c r="M17" s="52">
        <v>102.44</v>
      </c>
      <c r="N17" s="52">
        <v>145</v>
      </c>
      <c r="O17" s="52">
        <v>1</v>
      </c>
      <c r="P17" s="52">
        <v>0.53</v>
      </c>
      <c r="Q17" s="52">
        <v>9.4</v>
      </c>
      <c r="R17" s="43"/>
      <c r="S17" s="43"/>
      <c r="T17" s="43"/>
      <c r="U17" s="43"/>
    </row>
    <row r="18" spans="1:21" s="11" customFormat="1" x14ac:dyDescent="0.25">
      <c r="A18" s="51" t="s">
        <v>237</v>
      </c>
      <c r="B18" s="52">
        <v>8.48</v>
      </c>
      <c r="C18" s="52">
        <v>3.94</v>
      </c>
      <c r="D18" s="52">
        <v>12.64</v>
      </c>
      <c r="E18" s="52">
        <v>4.09</v>
      </c>
      <c r="F18" s="52">
        <v>4.43</v>
      </c>
      <c r="G18" s="52">
        <v>25.61</v>
      </c>
      <c r="H18" s="52">
        <v>17.8</v>
      </c>
      <c r="I18" s="52">
        <v>3.55</v>
      </c>
      <c r="J18" s="52">
        <v>0.5</v>
      </c>
      <c r="K18" s="52">
        <v>328.1</v>
      </c>
      <c r="L18" s="52">
        <v>24.88</v>
      </c>
      <c r="M18" s="52">
        <v>102.91</v>
      </c>
      <c r="N18" s="52">
        <v>186.4</v>
      </c>
      <c r="O18" s="52">
        <v>0</v>
      </c>
      <c r="P18" s="52">
        <v>0.49</v>
      </c>
      <c r="Q18" s="52">
        <v>9.4700000000000006</v>
      </c>
      <c r="R18" s="43"/>
      <c r="S18" s="43"/>
      <c r="T18" s="43"/>
      <c r="U18" s="43"/>
    </row>
    <row r="19" spans="1:21" s="11" customFormat="1" x14ac:dyDescent="0.25">
      <c r="A19" s="51" t="s">
        <v>238</v>
      </c>
      <c r="B19" s="52">
        <v>8.0299999999999994</v>
      </c>
      <c r="C19" s="52">
        <v>3.06</v>
      </c>
      <c r="D19" s="52">
        <v>11.81</v>
      </c>
      <c r="E19" s="52">
        <v>4.49</v>
      </c>
      <c r="F19" s="52">
        <v>4.09</v>
      </c>
      <c r="G19" s="52">
        <v>27.2</v>
      </c>
      <c r="H19" s="52">
        <v>11.8</v>
      </c>
      <c r="I19" s="52">
        <v>3.09</v>
      </c>
      <c r="J19" s="52">
        <v>0.23</v>
      </c>
      <c r="K19" s="52">
        <v>341.49</v>
      </c>
      <c r="L19" s="52">
        <v>25.17</v>
      </c>
      <c r="M19" s="52">
        <v>102.81</v>
      </c>
      <c r="N19" s="52">
        <v>214</v>
      </c>
      <c r="O19" s="52">
        <v>0.2</v>
      </c>
      <c r="P19" s="52">
        <v>0.51</v>
      </c>
      <c r="Q19" s="52">
        <v>9.49</v>
      </c>
      <c r="R19" s="43"/>
      <c r="S19" s="43"/>
      <c r="T19" s="43"/>
      <c r="U19" s="43"/>
    </row>
    <row r="20" spans="1:21" s="11" customFormat="1" x14ac:dyDescent="0.25">
      <c r="A20" s="51" t="s">
        <v>239</v>
      </c>
      <c r="B20" s="52">
        <v>8.19</v>
      </c>
      <c r="C20" s="52">
        <v>3.32</v>
      </c>
      <c r="D20" s="52">
        <v>12.07</v>
      </c>
      <c r="E20" s="52">
        <v>4.26</v>
      </c>
      <c r="F20" s="52">
        <v>3.64</v>
      </c>
      <c r="G20" s="52">
        <v>31.49</v>
      </c>
      <c r="H20" s="52">
        <v>17.8</v>
      </c>
      <c r="I20" s="52">
        <v>3.16</v>
      </c>
      <c r="J20" s="52">
        <v>0.21</v>
      </c>
      <c r="K20" s="52">
        <v>335.84</v>
      </c>
      <c r="L20" s="52">
        <v>26.58</v>
      </c>
      <c r="M20" s="52">
        <v>102.82</v>
      </c>
      <c r="N20" s="52">
        <v>344.6</v>
      </c>
      <c r="O20" s="52">
        <v>0</v>
      </c>
      <c r="P20" s="52">
        <v>0.53</v>
      </c>
      <c r="Q20" s="52">
        <v>9.5299999999999994</v>
      </c>
      <c r="R20" s="43"/>
      <c r="S20" s="43"/>
      <c r="T20" s="43"/>
      <c r="U20" s="43"/>
    </row>
    <row r="21" spans="1:21" s="11" customFormat="1" x14ac:dyDescent="0.25">
      <c r="A21" s="51" t="s">
        <v>240</v>
      </c>
      <c r="B21" s="52">
        <v>8.11</v>
      </c>
      <c r="C21" s="52">
        <v>3.15</v>
      </c>
      <c r="D21" s="52">
        <v>11.92</v>
      </c>
      <c r="E21" s="52">
        <v>4.5599999999999996</v>
      </c>
      <c r="F21" s="52">
        <v>4.0599999999999996</v>
      </c>
      <c r="G21" s="52">
        <v>36.659999999999997</v>
      </c>
      <c r="H21" s="52">
        <v>17.8</v>
      </c>
      <c r="I21" s="52">
        <v>3.33</v>
      </c>
      <c r="J21" s="52">
        <v>0.15</v>
      </c>
      <c r="K21" s="52">
        <v>294.17</v>
      </c>
      <c r="L21" s="52">
        <v>28.36</v>
      </c>
      <c r="M21" s="52">
        <v>102.72</v>
      </c>
      <c r="N21" s="52">
        <v>508.4</v>
      </c>
      <c r="O21" s="52">
        <v>0</v>
      </c>
      <c r="P21" s="52">
        <v>0.56000000000000005</v>
      </c>
      <c r="Q21" s="52">
        <v>9.4700000000000006</v>
      </c>
      <c r="R21" s="43"/>
      <c r="S21" s="43"/>
      <c r="T21" s="43"/>
      <c r="U21" s="43"/>
    </row>
    <row r="22" spans="1:21" s="11" customFormat="1" x14ac:dyDescent="0.25">
      <c r="A22" s="51" t="s">
        <v>241</v>
      </c>
      <c r="B22" s="52">
        <v>8.2200000000000006</v>
      </c>
      <c r="C22" s="52">
        <v>3.41</v>
      </c>
      <c r="D22" s="52">
        <v>12.15</v>
      </c>
      <c r="E22" s="52">
        <v>4.3099999999999996</v>
      </c>
      <c r="F22" s="52">
        <v>4.18</v>
      </c>
      <c r="G22" s="52">
        <v>37.369999999999997</v>
      </c>
      <c r="H22" s="52">
        <v>24.02</v>
      </c>
      <c r="I22" s="52">
        <v>3.66</v>
      </c>
      <c r="J22" s="52">
        <v>0.53</v>
      </c>
      <c r="K22" s="52">
        <v>319.01</v>
      </c>
      <c r="L22" s="52">
        <v>31.28</v>
      </c>
      <c r="M22" s="52">
        <v>102.53</v>
      </c>
      <c r="N22" s="52">
        <v>719.2</v>
      </c>
      <c r="O22" s="52">
        <v>0</v>
      </c>
      <c r="P22" s="52">
        <v>0.55000000000000004</v>
      </c>
      <c r="Q22" s="52">
        <v>9.39</v>
      </c>
      <c r="R22" s="43"/>
      <c r="S22" s="43"/>
      <c r="T22" s="43"/>
      <c r="U22" s="43"/>
    </row>
    <row r="23" spans="1:21" s="11" customFormat="1" x14ac:dyDescent="0.25">
      <c r="A23" s="51" t="s">
        <v>242</v>
      </c>
      <c r="B23" s="52">
        <v>8.2200000000000006</v>
      </c>
      <c r="C23" s="52">
        <v>3.59</v>
      </c>
      <c r="D23" s="52">
        <v>12.25</v>
      </c>
      <c r="E23" s="52">
        <v>4.18</v>
      </c>
      <c r="F23" s="52">
        <v>4.28</v>
      </c>
      <c r="G23" s="52">
        <v>40.49</v>
      </c>
      <c r="H23" s="52">
        <v>8.02</v>
      </c>
      <c r="I23" s="52">
        <v>3.8</v>
      </c>
      <c r="J23" s="52">
        <v>0.54</v>
      </c>
      <c r="K23" s="52">
        <v>321.8</v>
      </c>
      <c r="L23" s="52">
        <v>31.82</v>
      </c>
      <c r="M23" s="52">
        <v>85.68</v>
      </c>
      <c r="N23" s="52">
        <v>423.7</v>
      </c>
      <c r="O23" s="52">
        <v>0</v>
      </c>
      <c r="P23" s="52">
        <v>0.51</v>
      </c>
      <c r="Q23" s="52">
        <v>9.34</v>
      </c>
      <c r="R23" s="43"/>
      <c r="S23" s="43"/>
      <c r="T23" s="43"/>
      <c r="U23" s="43"/>
    </row>
    <row r="24" spans="1:21" s="11" customFormat="1" x14ac:dyDescent="0.25">
      <c r="A24" s="51" t="s">
        <v>243</v>
      </c>
      <c r="B24" s="52">
        <v>8.11</v>
      </c>
      <c r="C24" s="52">
        <v>3.32</v>
      </c>
      <c r="D24" s="52">
        <v>12.01</v>
      </c>
      <c r="E24" s="52">
        <v>4.04</v>
      </c>
      <c r="F24" s="52">
        <v>3.98</v>
      </c>
      <c r="G24" s="52">
        <v>40.49</v>
      </c>
      <c r="H24" s="52">
        <v>8.02</v>
      </c>
      <c r="I24" s="52">
        <v>3</v>
      </c>
      <c r="J24" s="52">
        <v>0.48</v>
      </c>
      <c r="K24" s="52">
        <v>336.45</v>
      </c>
      <c r="L24" s="52">
        <v>31.46</v>
      </c>
      <c r="M24" s="52">
        <v>99.38</v>
      </c>
      <c r="N24" s="52">
        <v>313.2</v>
      </c>
      <c r="O24" s="52">
        <v>0</v>
      </c>
      <c r="P24" s="52">
        <v>0.47</v>
      </c>
      <c r="Q24" s="52">
        <v>9.35</v>
      </c>
      <c r="R24" s="43"/>
      <c r="S24" s="43"/>
      <c r="T24" s="43"/>
      <c r="U24" s="43"/>
    </row>
    <row r="25" spans="1:21" s="11" customFormat="1" x14ac:dyDescent="0.25">
      <c r="A25" s="51" t="s">
        <v>244</v>
      </c>
      <c r="B25" s="52">
        <v>8.0299999999999994</v>
      </c>
      <c r="C25" s="52">
        <v>3.11</v>
      </c>
      <c r="D25" s="52">
        <v>11.84</v>
      </c>
      <c r="E25" s="52">
        <v>3.82</v>
      </c>
      <c r="F25" s="52">
        <v>4</v>
      </c>
      <c r="G25" s="52">
        <v>40.82</v>
      </c>
      <c r="H25" s="52">
        <v>8.02</v>
      </c>
      <c r="I25" s="52">
        <v>2.63</v>
      </c>
      <c r="J25" s="52">
        <v>0.25</v>
      </c>
      <c r="K25" s="52">
        <v>356.51</v>
      </c>
      <c r="L25" s="52">
        <v>28.98</v>
      </c>
      <c r="M25" s="52">
        <v>100.47</v>
      </c>
      <c r="N25" s="52">
        <v>218.1</v>
      </c>
      <c r="O25" s="52">
        <v>0</v>
      </c>
      <c r="P25" s="52">
        <v>0.47</v>
      </c>
      <c r="Q25" s="52">
        <v>9.36</v>
      </c>
      <c r="R25" s="43"/>
      <c r="S25" s="43"/>
      <c r="T25" s="43"/>
      <c r="U25" s="43"/>
    </row>
    <row r="26" spans="1:21" s="11" customFormat="1" x14ac:dyDescent="0.25">
      <c r="A26" s="51" t="s">
        <v>245</v>
      </c>
      <c r="B26" s="52">
        <v>8</v>
      </c>
      <c r="C26" s="52">
        <v>3.06</v>
      </c>
      <c r="D26" s="52">
        <v>11.79</v>
      </c>
      <c r="E26" s="52">
        <v>4.07</v>
      </c>
      <c r="F26" s="52">
        <v>4.46</v>
      </c>
      <c r="G26" s="52">
        <v>60.32</v>
      </c>
      <c r="H26" s="52">
        <v>11.02</v>
      </c>
      <c r="I26" s="52">
        <v>2.59</v>
      </c>
      <c r="J26" s="52">
        <v>0.35</v>
      </c>
      <c r="K26" s="52">
        <v>22.57</v>
      </c>
      <c r="L26" s="52">
        <v>28.6</v>
      </c>
      <c r="M26" s="52">
        <v>103.17</v>
      </c>
      <c r="N26" s="52">
        <v>157.1</v>
      </c>
      <c r="O26" s="52">
        <v>0</v>
      </c>
      <c r="P26" s="52">
        <v>0.51</v>
      </c>
      <c r="Q26" s="52">
        <v>9.2899999999999991</v>
      </c>
      <c r="R26" s="43"/>
      <c r="S26" s="43"/>
      <c r="T26" s="43"/>
      <c r="U26" s="43"/>
    </row>
    <row r="27" spans="1:21" s="11" customFormat="1" x14ac:dyDescent="0.25">
      <c r="A27" s="51" t="s">
        <v>246</v>
      </c>
      <c r="B27" s="52">
        <v>8.08</v>
      </c>
      <c r="C27" s="52">
        <v>3.35</v>
      </c>
      <c r="D27" s="52">
        <v>12</v>
      </c>
      <c r="E27" s="52">
        <v>4.04</v>
      </c>
      <c r="F27" s="52">
        <v>4.17</v>
      </c>
      <c r="G27" s="52">
        <v>60.32</v>
      </c>
      <c r="H27" s="52">
        <v>25.45</v>
      </c>
      <c r="I27" s="52">
        <v>2.63</v>
      </c>
      <c r="J27" s="52">
        <v>0.28000000000000003</v>
      </c>
      <c r="K27" s="52">
        <v>346.82</v>
      </c>
      <c r="L27" s="52">
        <v>27.78</v>
      </c>
      <c r="M27" s="52">
        <v>102.84</v>
      </c>
      <c r="N27" s="52">
        <v>91.4</v>
      </c>
      <c r="O27" s="52">
        <v>0</v>
      </c>
      <c r="P27" s="52">
        <v>0.53</v>
      </c>
      <c r="Q27" s="52">
        <v>9.3000000000000007</v>
      </c>
      <c r="R27" s="43"/>
      <c r="S27" s="43"/>
      <c r="T27" s="43"/>
      <c r="U27" s="43"/>
    </row>
    <row r="28" spans="1:21" s="11" customFormat="1" x14ac:dyDescent="0.25">
      <c r="A28" s="51" t="s">
        <v>247</v>
      </c>
      <c r="B28" s="52">
        <v>8.08</v>
      </c>
      <c r="C28" s="52">
        <v>3.23</v>
      </c>
      <c r="D28" s="52">
        <v>11.95</v>
      </c>
      <c r="E28" s="52">
        <v>5.05</v>
      </c>
      <c r="F28" s="52">
        <v>3.81</v>
      </c>
      <c r="G28" s="52">
        <v>58.07</v>
      </c>
      <c r="H28" s="52">
        <v>9.67</v>
      </c>
      <c r="I28" s="52">
        <v>2.91</v>
      </c>
      <c r="J28" s="52">
        <v>0.2</v>
      </c>
      <c r="K28" s="52">
        <v>348.04</v>
      </c>
      <c r="L28" s="52">
        <v>27.18</v>
      </c>
      <c r="M28" s="52">
        <v>103.37</v>
      </c>
      <c r="N28" s="52">
        <v>82.3</v>
      </c>
      <c r="O28" s="52">
        <v>0</v>
      </c>
      <c r="P28" s="52">
        <v>0.57999999999999996</v>
      </c>
      <c r="Q28" s="52">
        <v>9.35</v>
      </c>
      <c r="R28" s="43"/>
      <c r="S28" s="43"/>
      <c r="T28" s="43"/>
      <c r="U28" s="43"/>
    </row>
    <row r="29" spans="1:21" s="11" customFormat="1" x14ac:dyDescent="0.25">
      <c r="A29" s="51" t="s">
        <v>248</v>
      </c>
      <c r="B29" s="52">
        <v>8.07</v>
      </c>
      <c r="C29" s="52">
        <v>3.11</v>
      </c>
      <c r="D29" s="52">
        <v>11.87</v>
      </c>
      <c r="E29" s="52">
        <v>5.2</v>
      </c>
      <c r="F29" s="52">
        <v>3.62</v>
      </c>
      <c r="G29" s="52">
        <v>65.08</v>
      </c>
      <c r="H29" s="52">
        <v>20.309999999999999</v>
      </c>
      <c r="I29" s="52">
        <v>3.43</v>
      </c>
      <c r="J29" s="52">
        <v>0.28000000000000003</v>
      </c>
      <c r="K29" s="52">
        <v>359.27</v>
      </c>
      <c r="L29" s="52">
        <v>27.1</v>
      </c>
      <c r="M29" s="52">
        <v>103.31</v>
      </c>
      <c r="N29" s="52">
        <v>83.1</v>
      </c>
      <c r="O29" s="52">
        <v>0</v>
      </c>
      <c r="P29" s="52">
        <v>0.64</v>
      </c>
      <c r="Q29" s="52">
        <v>9.42</v>
      </c>
      <c r="R29" s="43"/>
      <c r="S29" s="43"/>
      <c r="T29" s="43"/>
      <c r="U29" s="43"/>
    </row>
    <row r="30" spans="1:21" s="11" customFormat="1" x14ac:dyDescent="0.25">
      <c r="A30" s="51" t="s">
        <v>249</v>
      </c>
      <c r="B30" s="52">
        <v>8.17</v>
      </c>
      <c r="C30" s="52">
        <v>3.35</v>
      </c>
      <c r="D30" s="52">
        <v>12.08</v>
      </c>
      <c r="E30" s="52">
        <v>5.29</v>
      </c>
      <c r="F30" s="52">
        <v>4.66</v>
      </c>
      <c r="G30" s="52">
        <v>65.08</v>
      </c>
      <c r="H30" s="52">
        <v>20.309999999999999</v>
      </c>
      <c r="I30" s="52">
        <v>3.39</v>
      </c>
      <c r="J30" s="52">
        <v>0.31</v>
      </c>
      <c r="K30" s="52">
        <v>13.75</v>
      </c>
      <c r="L30" s="52">
        <v>26.18</v>
      </c>
      <c r="M30" s="52">
        <v>103.32</v>
      </c>
      <c r="N30" s="52">
        <v>83.6</v>
      </c>
      <c r="O30" s="52">
        <v>0</v>
      </c>
      <c r="P30" s="52">
        <v>0.66</v>
      </c>
      <c r="Q30" s="52">
        <v>9.43</v>
      </c>
      <c r="R30" s="43"/>
      <c r="S30" s="43"/>
      <c r="T30" s="43"/>
      <c r="U30" s="43"/>
    </row>
    <row r="31" spans="1:21" s="11" customFormat="1" x14ac:dyDescent="0.25">
      <c r="A31" s="51" t="s">
        <v>250</v>
      </c>
      <c r="B31" s="52">
        <v>8.27</v>
      </c>
      <c r="C31" s="52">
        <v>3.53</v>
      </c>
      <c r="D31" s="52">
        <v>12.25</v>
      </c>
      <c r="E31" s="52">
        <v>5.47</v>
      </c>
      <c r="F31" s="52">
        <v>3.64</v>
      </c>
      <c r="G31" s="52">
        <v>59.18</v>
      </c>
      <c r="H31" s="52">
        <v>20.309999999999999</v>
      </c>
      <c r="I31" s="52">
        <v>3.32</v>
      </c>
      <c r="J31" s="52">
        <v>0.28000000000000003</v>
      </c>
      <c r="K31" s="52">
        <v>358.45</v>
      </c>
      <c r="L31" s="52">
        <v>25.56</v>
      </c>
      <c r="M31" s="52">
        <v>102.68</v>
      </c>
      <c r="N31" s="52">
        <v>84.6</v>
      </c>
      <c r="O31" s="52">
        <v>0</v>
      </c>
      <c r="P31" s="52">
        <v>0.63</v>
      </c>
      <c r="Q31" s="52">
        <v>9.41</v>
      </c>
      <c r="R31" s="43"/>
      <c r="S31" s="43"/>
      <c r="T31" s="43"/>
      <c r="U31" s="43"/>
    </row>
    <row r="32" spans="1:21" s="11" customFormat="1" x14ac:dyDescent="0.25">
      <c r="A32" s="51" t="s">
        <v>251</v>
      </c>
      <c r="B32" s="52">
        <v>8.3699999999999992</v>
      </c>
      <c r="C32" s="52">
        <v>3.79</v>
      </c>
      <c r="D32" s="52">
        <v>12.47</v>
      </c>
      <c r="E32" s="52">
        <v>4.58</v>
      </c>
      <c r="F32" s="52">
        <v>3.6</v>
      </c>
      <c r="G32" s="52">
        <v>45.99</v>
      </c>
      <c r="H32" s="52">
        <v>24.31</v>
      </c>
      <c r="I32" s="52">
        <v>3.05</v>
      </c>
      <c r="J32" s="52">
        <v>0.28000000000000003</v>
      </c>
      <c r="K32" s="52">
        <v>357.44</v>
      </c>
      <c r="L32" s="52">
        <v>25.27</v>
      </c>
      <c r="M32" s="52">
        <v>101.97</v>
      </c>
      <c r="N32" s="52">
        <v>86.4</v>
      </c>
      <c r="O32" s="52">
        <v>0</v>
      </c>
      <c r="P32" s="52">
        <v>0.56999999999999995</v>
      </c>
      <c r="Q32" s="52">
        <v>9.41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</v>
      </c>
      <c r="C34" s="28">
        <f t="shared" si="0"/>
        <v>3.02</v>
      </c>
      <c r="D34" s="28">
        <f t="shared" si="0"/>
        <v>11.79</v>
      </c>
      <c r="E34" s="28">
        <f t="shared" si="0"/>
        <v>3.56</v>
      </c>
      <c r="F34" s="28">
        <f t="shared" si="0"/>
        <v>3.43</v>
      </c>
      <c r="G34" s="28">
        <f t="shared" si="0"/>
        <v>21.77</v>
      </c>
      <c r="H34" s="28">
        <f t="shared" si="0"/>
        <v>4.17</v>
      </c>
      <c r="I34" s="28">
        <f t="shared" si="0"/>
        <v>2.2200000000000002</v>
      </c>
      <c r="J34" s="28">
        <f t="shared" si="0"/>
        <v>0.15</v>
      </c>
      <c r="K34" s="28">
        <f t="shared" si="0"/>
        <v>13.75</v>
      </c>
      <c r="L34" s="28">
        <f t="shared" si="0"/>
        <v>24.42</v>
      </c>
      <c r="M34" s="28">
        <f t="shared" si="0"/>
        <v>85.68</v>
      </c>
      <c r="N34" s="28">
        <f t="shared" si="0"/>
        <v>61.9</v>
      </c>
      <c r="O34" s="28">
        <f t="shared" si="0"/>
        <v>0</v>
      </c>
      <c r="P34" s="28">
        <f t="shared" si="0"/>
        <v>0.39</v>
      </c>
      <c r="Q34" s="28">
        <f t="shared" si="0"/>
        <v>9.25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8.61</v>
      </c>
      <c r="C35" s="29">
        <f t="shared" si="1"/>
        <v>4.04</v>
      </c>
      <c r="D35" s="29">
        <f t="shared" si="1"/>
        <v>12.79</v>
      </c>
      <c r="E35" s="29">
        <f t="shared" si="1"/>
        <v>5.47</v>
      </c>
      <c r="F35" s="29">
        <f t="shared" si="1"/>
        <v>4.68</v>
      </c>
      <c r="G35" s="29">
        <f t="shared" si="1"/>
        <v>65.08</v>
      </c>
      <c r="H35" s="29">
        <f t="shared" si="1"/>
        <v>187.53</v>
      </c>
      <c r="I35" s="29">
        <f t="shared" si="1"/>
        <v>4.3499999999999996</v>
      </c>
      <c r="J35" s="29">
        <f t="shared" si="1"/>
        <v>1.02</v>
      </c>
      <c r="K35" s="29">
        <f t="shared" si="1"/>
        <v>359.27</v>
      </c>
      <c r="L35" s="29">
        <f t="shared" si="1"/>
        <v>31.82</v>
      </c>
      <c r="M35" s="29">
        <f t="shared" si="1"/>
        <v>103.37</v>
      </c>
      <c r="N35" s="29">
        <f t="shared" si="1"/>
        <v>719.2</v>
      </c>
      <c r="O35" s="29">
        <f t="shared" si="1"/>
        <v>1</v>
      </c>
      <c r="P35" s="29">
        <f t="shared" si="1"/>
        <v>0.66</v>
      </c>
      <c r="Q35" s="29">
        <f t="shared" si="1"/>
        <v>9.5299999999999994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8.1800000000000015</v>
      </c>
      <c r="C36" s="28">
        <f t="shared" si="2"/>
        <v>3.3691666666666671</v>
      </c>
      <c r="D36" s="28">
        <f t="shared" si="2"/>
        <v>12.094166666666666</v>
      </c>
      <c r="E36" s="28">
        <f t="shared" si="2"/>
        <v>4.3866666666666676</v>
      </c>
      <c r="F36" s="28">
        <f t="shared" si="2"/>
        <v>4.034583333333333</v>
      </c>
      <c r="G36" s="28">
        <f t="shared" si="2"/>
        <v>40.083333333333343</v>
      </c>
      <c r="H36" s="28">
        <f t="shared" si="2"/>
        <v>25.990416666666651</v>
      </c>
      <c r="I36" s="28">
        <f t="shared" si="2"/>
        <v>3.307916666666666</v>
      </c>
      <c r="J36" s="28">
        <f t="shared" si="2"/>
        <v>0.34125000000000005</v>
      </c>
      <c r="K36" s="28">
        <f t="shared" si="2"/>
        <v>314.09875000000005</v>
      </c>
      <c r="L36" s="28">
        <f t="shared" si="2"/>
        <v>26.660833333333326</v>
      </c>
      <c r="M36" s="28">
        <f t="shared" si="2"/>
        <v>101.73291666666665</v>
      </c>
      <c r="N36" s="28">
        <f t="shared" si="2"/>
        <v>183.0625</v>
      </c>
      <c r="O36" s="28">
        <f t="shared" si="2"/>
        <v>6.6666666666666666E-2</v>
      </c>
      <c r="P36" s="28">
        <f t="shared" si="2"/>
        <v>0.53125000000000011</v>
      </c>
      <c r="Q36" s="28">
        <f t="shared" si="2"/>
        <v>9.3858333333333341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0.1593737745050923</v>
      </c>
      <c r="C37" s="28">
        <f t="shared" ref="C37:Q37" si="3">STDEV(C9:C32)</f>
        <v>0.28727984639533544</v>
      </c>
      <c r="D37" s="28">
        <f t="shared" si="3"/>
        <v>0.27698558535193435</v>
      </c>
      <c r="E37" s="28">
        <f t="shared" si="3"/>
        <v>0.48612636276970805</v>
      </c>
      <c r="F37" s="28">
        <f t="shared" si="3"/>
        <v>0.36799077453779661</v>
      </c>
      <c r="G37" s="28">
        <f t="shared" si="3"/>
        <v>13.766181519331628</v>
      </c>
      <c r="H37" s="28">
        <f t="shared" si="3"/>
        <v>35.592771796625591</v>
      </c>
      <c r="I37" s="28">
        <f t="shared" si="3"/>
        <v>0.57220381870879944</v>
      </c>
      <c r="J37" s="28">
        <f t="shared" si="3"/>
        <v>0.1875543399518724</v>
      </c>
      <c r="K37" s="28">
        <f t="shared" si="3"/>
        <v>92.632837745608981</v>
      </c>
      <c r="L37" s="28">
        <f t="shared" si="3"/>
        <v>2.3290022432954767</v>
      </c>
      <c r="M37" s="28">
        <f t="shared" si="3"/>
        <v>3.5303645324362822</v>
      </c>
      <c r="N37" s="28">
        <f t="shared" si="3"/>
        <v>167.7098706293751</v>
      </c>
      <c r="O37" s="28">
        <f t="shared" si="3"/>
        <v>0.20989990713312084</v>
      </c>
      <c r="P37" s="28">
        <f t="shared" si="3"/>
        <v>6.1666177044667446E-2</v>
      </c>
      <c r="Q37" s="28">
        <f t="shared" si="3"/>
        <v>7.342056735101507E-2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252</v>
      </c>
      <c r="B9" s="52">
        <v>8.02</v>
      </c>
      <c r="C9" s="52">
        <v>3.03</v>
      </c>
      <c r="D9" s="52">
        <v>11.78</v>
      </c>
      <c r="E9" s="52">
        <v>4.1900000000000004</v>
      </c>
      <c r="F9" s="52">
        <v>3.64</v>
      </c>
      <c r="G9" s="52">
        <v>44.58</v>
      </c>
      <c r="H9" s="52">
        <v>25.35</v>
      </c>
      <c r="I9" s="52">
        <v>2.71</v>
      </c>
      <c r="J9" s="52">
        <v>0.27</v>
      </c>
      <c r="K9" s="52">
        <v>358.87</v>
      </c>
      <c r="L9" s="52">
        <v>24.86</v>
      </c>
      <c r="M9" s="52">
        <v>102.02</v>
      </c>
      <c r="N9" s="52">
        <v>87.8</v>
      </c>
      <c r="O9" s="52">
        <v>0</v>
      </c>
      <c r="P9" s="52">
        <v>0.49</v>
      </c>
      <c r="Q9" s="52">
        <v>9.39</v>
      </c>
      <c r="R9" s="43"/>
      <c r="S9" s="43"/>
      <c r="T9" s="43"/>
      <c r="U9" s="43"/>
    </row>
    <row r="10" spans="1:21" s="11" customFormat="1" x14ac:dyDescent="0.25">
      <c r="A10" s="51" t="s">
        <v>253</v>
      </c>
      <c r="B10" s="52">
        <v>8.0500000000000007</v>
      </c>
      <c r="C10" s="52">
        <v>3.05</v>
      </c>
      <c r="D10" s="52">
        <v>11.83</v>
      </c>
      <c r="E10" s="52">
        <v>4.54</v>
      </c>
      <c r="F10" s="52">
        <v>3.67</v>
      </c>
      <c r="G10" s="52">
        <v>31.9</v>
      </c>
      <c r="H10" s="52">
        <v>17.59</v>
      </c>
      <c r="I10" s="52">
        <v>2.5299999999999998</v>
      </c>
      <c r="J10" s="52">
        <v>0.18</v>
      </c>
      <c r="K10" s="52">
        <v>355.66</v>
      </c>
      <c r="L10" s="52">
        <v>24.62</v>
      </c>
      <c r="M10" s="52">
        <v>101.99</v>
      </c>
      <c r="N10" s="52">
        <v>90.4</v>
      </c>
      <c r="O10" s="52">
        <v>0</v>
      </c>
      <c r="P10" s="52">
        <v>0.46</v>
      </c>
      <c r="Q10" s="52">
        <v>9.3699999999999992</v>
      </c>
      <c r="R10" s="43"/>
      <c r="S10" s="43"/>
      <c r="T10" s="43"/>
      <c r="U10" s="43"/>
    </row>
    <row r="11" spans="1:21" s="11" customFormat="1" x14ac:dyDescent="0.25">
      <c r="A11" s="51" t="s">
        <v>254</v>
      </c>
      <c r="B11" s="52">
        <v>8</v>
      </c>
      <c r="C11" s="52">
        <v>3.01</v>
      </c>
      <c r="D11" s="52">
        <v>11.76</v>
      </c>
      <c r="E11" s="52">
        <v>4.7</v>
      </c>
      <c r="F11" s="52">
        <v>4.2300000000000004</v>
      </c>
      <c r="G11" s="52">
        <v>30.6</v>
      </c>
      <c r="H11" s="52">
        <v>29.38</v>
      </c>
      <c r="I11" s="52">
        <v>2.56</v>
      </c>
      <c r="J11" s="52">
        <v>0.22</v>
      </c>
      <c r="K11" s="52">
        <v>352.67</v>
      </c>
      <c r="L11" s="52">
        <v>24.69</v>
      </c>
      <c r="M11" s="52">
        <v>101.96</v>
      </c>
      <c r="N11" s="52">
        <v>92.5</v>
      </c>
      <c r="O11" s="52">
        <v>0</v>
      </c>
      <c r="P11" s="52">
        <v>0.42</v>
      </c>
      <c r="Q11" s="52">
        <v>9.34</v>
      </c>
      <c r="R11" s="43"/>
      <c r="S11" s="43"/>
      <c r="T11" s="43"/>
      <c r="U11" s="43"/>
    </row>
    <row r="12" spans="1:21" s="11" customFormat="1" x14ac:dyDescent="0.25">
      <c r="A12" s="51" t="s">
        <v>255</v>
      </c>
      <c r="B12" s="52">
        <v>8.01</v>
      </c>
      <c r="C12" s="52">
        <v>3.09</v>
      </c>
      <c r="D12" s="52">
        <v>11.81</v>
      </c>
      <c r="E12" s="52">
        <v>4.4000000000000004</v>
      </c>
      <c r="F12" s="52">
        <v>4.1399999999999997</v>
      </c>
      <c r="G12" s="52">
        <v>22.5</v>
      </c>
      <c r="H12" s="52">
        <v>30.38</v>
      </c>
      <c r="I12" s="52">
        <v>2.4</v>
      </c>
      <c r="J12" s="52">
        <v>0.31</v>
      </c>
      <c r="K12" s="52">
        <v>358.04</v>
      </c>
      <c r="L12" s="52">
        <v>24.75</v>
      </c>
      <c r="M12" s="52">
        <v>101.95</v>
      </c>
      <c r="N12" s="52">
        <v>94.8</v>
      </c>
      <c r="O12" s="52">
        <v>0</v>
      </c>
      <c r="P12" s="52">
        <v>0.36</v>
      </c>
      <c r="Q12" s="52">
        <v>9.24</v>
      </c>
      <c r="R12" s="43"/>
      <c r="S12" s="43"/>
      <c r="T12" s="43"/>
      <c r="U12" s="43"/>
    </row>
    <row r="13" spans="1:21" s="11" customFormat="1" x14ac:dyDescent="0.25">
      <c r="A13" s="51" t="s">
        <v>256</v>
      </c>
      <c r="B13" s="52">
        <v>8.0500000000000007</v>
      </c>
      <c r="C13" s="52">
        <v>3.23</v>
      </c>
      <c r="D13" s="52">
        <v>11.92</v>
      </c>
      <c r="E13" s="52">
        <v>4.12</v>
      </c>
      <c r="F13" s="52">
        <v>4.04</v>
      </c>
      <c r="G13" s="52">
        <v>19.45</v>
      </c>
      <c r="H13" s="52">
        <v>30.38</v>
      </c>
      <c r="I13" s="52">
        <v>2.0499999999999998</v>
      </c>
      <c r="J13" s="52">
        <v>0.32</v>
      </c>
      <c r="K13" s="52">
        <v>359.93</v>
      </c>
      <c r="L13" s="52">
        <v>24.72</v>
      </c>
      <c r="M13" s="52">
        <v>102.17</v>
      </c>
      <c r="N13" s="52">
        <v>110.6</v>
      </c>
      <c r="O13" s="52">
        <v>0.2</v>
      </c>
      <c r="P13" s="52">
        <v>0.31</v>
      </c>
      <c r="Q13" s="52">
        <v>9.2200000000000006</v>
      </c>
      <c r="R13" s="43"/>
      <c r="S13" s="43"/>
      <c r="T13" s="43"/>
      <c r="U13" s="43"/>
    </row>
    <row r="14" spans="1:21" s="11" customFormat="1" x14ac:dyDescent="0.25">
      <c r="A14" s="51" t="s">
        <v>257</v>
      </c>
      <c r="B14" s="52">
        <v>7.99</v>
      </c>
      <c r="C14" s="52">
        <v>3.03</v>
      </c>
      <c r="D14" s="52">
        <v>11.75</v>
      </c>
      <c r="E14" s="52">
        <v>4.0599999999999996</v>
      </c>
      <c r="F14" s="52">
        <v>3.75</v>
      </c>
      <c r="G14" s="52">
        <v>19.45</v>
      </c>
      <c r="H14" s="52">
        <v>17.62</v>
      </c>
      <c r="I14" s="52">
        <v>1.62</v>
      </c>
      <c r="J14" s="52">
        <v>0.25</v>
      </c>
      <c r="K14" s="52">
        <v>358.22</v>
      </c>
      <c r="L14" s="52">
        <v>24.42</v>
      </c>
      <c r="M14" s="52">
        <v>102.18</v>
      </c>
      <c r="N14" s="52">
        <v>102.7</v>
      </c>
      <c r="O14" s="52">
        <v>1.2</v>
      </c>
      <c r="P14" s="52">
        <v>0.28000000000000003</v>
      </c>
      <c r="Q14" s="52">
        <v>9.24</v>
      </c>
      <c r="R14" s="43"/>
      <c r="S14" s="43"/>
      <c r="T14" s="43"/>
      <c r="U14" s="43"/>
    </row>
    <row r="15" spans="1:21" s="11" customFormat="1" x14ac:dyDescent="0.25">
      <c r="A15" s="51" t="s">
        <v>258</v>
      </c>
      <c r="B15" s="52">
        <v>8.02</v>
      </c>
      <c r="C15" s="52">
        <v>3.04</v>
      </c>
      <c r="D15" s="52">
        <v>11.79</v>
      </c>
      <c r="E15" s="52">
        <v>4.29</v>
      </c>
      <c r="F15" s="52">
        <v>12.16</v>
      </c>
      <c r="G15" s="52">
        <v>19.68</v>
      </c>
      <c r="H15" s="52">
        <v>68.7</v>
      </c>
      <c r="I15" s="52">
        <v>1.3</v>
      </c>
      <c r="J15" s="52">
        <v>0.28000000000000003</v>
      </c>
      <c r="K15" s="52">
        <v>356.39</v>
      </c>
      <c r="L15" s="52">
        <v>23.89</v>
      </c>
      <c r="M15" s="52">
        <v>102.23</v>
      </c>
      <c r="N15" s="52">
        <v>103</v>
      </c>
      <c r="O15" s="52">
        <v>2</v>
      </c>
      <c r="P15" s="52">
        <v>0.28999999999999998</v>
      </c>
      <c r="Q15" s="52">
        <v>9.24</v>
      </c>
      <c r="R15" s="43"/>
      <c r="S15" s="43"/>
      <c r="T15" s="43"/>
      <c r="U15" s="43"/>
    </row>
    <row r="16" spans="1:21" s="11" customFormat="1" x14ac:dyDescent="0.25">
      <c r="A16" s="51" t="s">
        <v>259</v>
      </c>
      <c r="B16" s="52">
        <v>8</v>
      </c>
      <c r="C16" s="52">
        <v>3.07</v>
      </c>
      <c r="D16" s="52">
        <v>11.79</v>
      </c>
      <c r="E16" s="52">
        <v>4.5599999999999996</v>
      </c>
      <c r="F16" s="52">
        <v>5.45</v>
      </c>
      <c r="G16" s="52">
        <v>19.68</v>
      </c>
      <c r="H16" s="52">
        <v>68.7</v>
      </c>
      <c r="I16" s="52">
        <v>1.37</v>
      </c>
      <c r="J16" s="52">
        <v>0.22</v>
      </c>
      <c r="K16" s="52">
        <v>350.71</v>
      </c>
      <c r="L16" s="52">
        <v>23.73</v>
      </c>
      <c r="M16" s="52">
        <v>102.45</v>
      </c>
      <c r="N16" s="52">
        <v>154</v>
      </c>
      <c r="O16" s="52">
        <v>0.8</v>
      </c>
      <c r="P16" s="52">
        <v>0.28000000000000003</v>
      </c>
      <c r="Q16" s="52">
        <v>9.19</v>
      </c>
      <c r="R16" s="43"/>
      <c r="S16" s="43"/>
      <c r="T16" s="43"/>
      <c r="U16" s="43"/>
    </row>
    <row r="17" spans="1:21" s="11" customFormat="1" x14ac:dyDescent="0.25">
      <c r="A17" s="51" t="s">
        <v>260</v>
      </c>
      <c r="B17" s="52">
        <v>8.02</v>
      </c>
      <c r="C17" s="52">
        <v>3.11</v>
      </c>
      <c r="D17" s="52">
        <v>11.83</v>
      </c>
      <c r="E17" s="52">
        <v>4.6399999999999997</v>
      </c>
      <c r="F17" s="52">
        <v>4.34</v>
      </c>
      <c r="G17" s="52">
        <v>21.64</v>
      </c>
      <c r="H17" s="52">
        <v>42.25</v>
      </c>
      <c r="I17" s="52">
        <v>1.83</v>
      </c>
      <c r="J17" s="52">
        <v>0.21</v>
      </c>
      <c r="K17" s="52">
        <v>352.29</v>
      </c>
      <c r="L17" s="52">
        <v>24.74</v>
      </c>
      <c r="M17" s="52">
        <v>102.88</v>
      </c>
      <c r="N17" s="52">
        <v>207.9</v>
      </c>
      <c r="O17" s="52">
        <v>0</v>
      </c>
      <c r="P17" s="52">
        <v>0.28000000000000003</v>
      </c>
      <c r="Q17" s="52">
        <v>9.25</v>
      </c>
      <c r="R17" s="43"/>
      <c r="S17" s="43"/>
      <c r="T17" s="43"/>
      <c r="U17" s="43"/>
    </row>
    <row r="18" spans="1:21" s="11" customFormat="1" x14ac:dyDescent="0.25">
      <c r="A18" s="51" t="s">
        <v>261</v>
      </c>
      <c r="B18" s="52">
        <v>8.01</v>
      </c>
      <c r="C18" s="52">
        <v>3.05</v>
      </c>
      <c r="D18" s="52">
        <v>11.79</v>
      </c>
      <c r="E18" s="52">
        <v>4.38</v>
      </c>
      <c r="F18" s="52">
        <v>3.38</v>
      </c>
      <c r="G18" s="52">
        <v>31.53</v>
      </c>
      <c r="H18" s="52">
        <v>30.9</v>
      </c>
      <c r="I18" s="52">
        <v>1.88</v>
      </c>
      <c r="J18" s="52">
        <v>0.19</v>
      </c>
      <c r="K18" s="52">
        <v>356.09</v>
      </c>
      <c r="L18" s="52">
        <v>25.49</v>
      </c>
      <c r="M18" s="52">
        <v>103.02</v>
      </c>
      <c r="N18" s="52">
        <v>253.5</v>
      </c>
      <c r="O18" s="52">
        <v>0</v>
      </c>
      <c r="P18" s="52">
        <v>0.33</v>
      </c>
      <c r="Q18" s="52">
        <v>9.33</v>
      </c>
      <c r="R18" s="43"/>
      <c r="S18" s="43"/>
      <c r="T18" s="43"/>
      <c r="U18" s="43"/>
    </row>
    <row r="19" spans="1:21" s="11" customFormat="1" x14ac:dyDescent="0.25">
      <c r="A19" s="51" t="s">
        <v>262</v>
      </c>
      <c r="B19" s="52">
        <v>8.08</v>
      </c>
      <c r="C19" s="52">
        <v>3.13</v>
      </c>
      <c r="D19" s="52">
        <v>11.89</v>
      </c>
      <c r="E19" s="52">
        <v>4.7699999999999996</v>
      </c>
      <c r="F19" s="52">
        <v>3.64</v>
      </c>
      <c r="G19" s="52">
        <v>38.270000000000003</v>
      </c>
      <c r="H19" s="52">
        <v>29</v>
      </c>
      <c r="I19" s="52">
        <v>1.89</v>
      </c>
      <c r="J19" s="52">
        <v>0.28000000000000003</v>
      </c>
      <c r="K19" s="52">
        <v>350.22</v>
      </c>
      <c r="L19" s="52">
        <v>27.05</v>
      </c>
      <c r="M19" s="52">
        <v>103.17</v>
      </c>
      <c r="N19" s="52">
        <v>409.4</v>
      </c>
      <c r="O19" s="52">
        <v>0</v>
      </c>
      <c r="P19" s="52">
        <v>0.54</v>
      </c>
      <c r="Q19" s="52">
        <v>9.33</v>
      </c>
      <c r="R19" s="43"/>
      <c r="S19" s="43"/>
      <c r="T19" s="43"/>
      <c r="U19" s="43"/>
    </row>
    <row r="20" spans="1:21" s="11" customFormat="1" x14ac:dyDescent="0.25">
      <c r="A20" s="51" t="s">
        <v>263</v>
      </c>
      <c r="B20" s="52">
        <v>8.11</v>
      </c>
      <c r="C20" s="52">
        <v>3.29</v>
      </c>
      <c r="D20" s="52">
        <v>12</v>
      </c>
      <c r="E20" s="52">
        <v>4.24</v>
      </c>
      <c r="F20" s="52">
        <v>4.5199999999999996</v>
      </c>
      <c r="G20" s="52">
        <v>51.42</v>
      </c>
      <c r="H20" s="52">
        <v>29</v>
      </c>
      <c r="I20" s="52">
        <v>2.94</v>
      </c>
      <c r="J20" s="52">
        <v>0.32</v>
      </c>
      <c r="K20" s="52">
        <v>336.89</v>
      </c>
      <c r="L20" s="52">
        <v>28.03</v>
      </c>
      <c r="M20" s="52">
        <v>102.58</v>
      </c>
      <c r="N20" s="52">
        <v>387.8</v>
      </c>
      <c r="O20" s="52">
        <v>0</v>
      </c>
      <c r="P20" s="52">
        <v>0.66</v>
      </c>
      <c r="Q20" s="52">
        <v>9.41</v>
      </c>
      <c r="R20" s="43"/>
      <c r="S20" s="43"/>
      <c r="T20" s="43"/>
      <c r="U20" s="43"/>
    </row>
    <row r="21" spans="1:21" s="11" customFormat="1" x14ac:dyDescent="0.25">
      <c r="A21" s="51" t="s">
        <v>264</v>
      </c>
      <c r="B21" s="52">
        <v>8.1199999999999992</v>
      </c>
      <c r="C21" s="52">
        <v>3.3</v>
      </c>
      <c r="D21" s="52">
        <v>12.01</v>
      </c>
      <c r="E21" s="52">
        <v>4.1100000000000003</v>
      </c>
      <c r="F21" s="52">
        <v>4.7</v>
      </c>
      <c r="G21" s="52">
        <v>72.19</v>
      </c>
      <c r="H21" s="52">
        <v>27.7</v>
      </c>
      <c r="I21" s="52">
        <v>2.93</v>
      </c>
      <c r="J21" s="52">
        <v>0.26</v>
      </c>
      <c r="K21" s="52">
        <v>331.67</v>
      </c>
      <c r="L21" s="52">
        <v>27.83</v>
      </c>
      <c r="M21" s="52">
        <v>102.65</v>
      </c>
      <c r="N21" s="52">
        <v>271.8</v>
      </c>
      <c r="O21" s="52">
        <v>0</v>
      </c>
      <c r="P21" s="52">
        <v>0.66</v>
      </c>
      <c r="Q21" s="52">
        <v>9.5399999999999991</v>
      </c>
      <c r="R21" s="43"/>
      <c r="S21" s="43"/>
      <c r="T21" s="43"/>
      <c r="U21" s="43"/>
    </row>
    <row r="22" spans="1:21" s="11" customFormat="1" x14ac:dyDescent="0.25">
      <c r="A22" s="51" t="s">
        <v>265</v>
      </c>
      <c r="B22" s="52">
        <v>8.08</v>
      </c>
      <c r="C22" s="52">
        <v>3.28</v>
      </c>
      <c r="D22" s="52">
        <v>11.97</v>
      </c>
      <c r="E22" s="52">
        <v>4.2699999999999996</v>
      </c>
      <c r="F22" s="52">
        <v>5.89</v>
      </c>
      <c r="G22" s="52">
        <v>76.709999999999994</v>
      </c>
      <c r="H22" s="52">
        <v>27.7</v>
      </c>
      <c r="I22" s="52">
        <v>2.83</v>
      </c>
      <c r="J22" s="52">
        <v>0.51</v>
      </c>
      <c r="K22" s="52">
        <v>322.12</v>
      </c>
      <c r="L22" s="52">
        <v>29.18</v>
      </c>
      <c r="M22" s="52">
        <v>96.51</v>
      </c>
      <c r="N22" s="52">
        <v>363.4</v>
      </c>
      <c r="O22" s="52">
        <v>0</v>
      </c>
      <c r="P22" s="52">
        <v>0.64</v>
      </c>
      <c r="Q22" s="52">
        <v>9.51</v>
      </c>
      <c r="R22" s="43"/>
      <c r="S22" s="43"/>
      <c r="T22" s="43"/>
      <c r="U22" s="43"/>
    </row>
    <row r="23" spans="1:21" s="11" customFormat="1" x14ac:dyDescent="0.25">
      <c r="A23" s="51" t="s">
        <v>266</v>
      </c>
      <c r="B23" s="52">
        <v>8.09</v>
      </c>
      <c r="C23" s="52">
        <v>3.38</v>
      </c>
      <c r="D23" s="52">
        <v>12.02</v>
      </c>
      <c r="E23" s="52">
        <v>4.24</v>
      </c>
      <c r="F23" s="52">
        <v>3.88</v>
      </c>
      <c r="G23" s="52">
        <v>76.709999999999994</v>
      </c>
      <c r="H23" s="52">
        <v>32.020000000000003</v>
      </c>
      <c r="I23" s="52">
        <v>2.4700000000000002</v>
      </c>
      <c r="J23" s="52">
        <v>0.79</v>
      </c>
      <c r="K23" s="52">
        <v>325.05</v>
      </c>
      <c r="L23" s="52">
        <v>30.53</v>
      </c>
      <c r="M23" s="52">
        <v>90.14</v>
      </c>
      <c r="N23" s="52">
        <v>423.7</v>
      </c>
      <c r="O23" s="52">
        <v>0</v>
      </c>
      <c r="P23" s="52">
        <v>0.6</v>
      </c>
      <c r="Q23" s="52">
        <v>9.32</v>
      </c>
      <c r="R23" s="43"/>
      <c r="S23" s="43"/>
      <c r="T23" s="43"/>
      <c r="U23" s="43"/>
    </row>
    <row r="24" spans="1:21" s="11" customFormat="1" x14ac:dyDescent="0.25">
      <c r="A24" s="51" t="s">
        <v>267</v>
      </c>
      <c r="B24" s="52">
        <v>8.02</v>
      </c>
      <c r="C24" s="52">
        <v>3.04</v>
      </c>
      <c r="D24" s="52">
        <v>11.8</v>
      </c>
      <c r="E24" s="52">
        <v>3.71</v>
      </c>
      <c r="F24" s="52">
        <v>4.1399999999999997</v>
      </c>
      <c r="G24" s="52">
        <v>74.89</v>
      </c>
      <c r="H24" s="52">
        <v>32.020000000000003</v>
      </c>
      <c r="I24" s="52">
        <v>2.14</v>
      </c>
      <c r="J24" s="52">
        <v>0.74</v>
      </c>
      <c r="K24" s="52">
        <v>326.12</v>
      </c>
      <c r="L24" s="52">
        <v>30.57</v>
      </c>
      <c r="M24" s="52">
        <v>91.2</v>
      </c>
      <c r="N24" s="52">
        <v>311.5</v>
      </c>
      <c r="O24" s="52">
        <v>0</v>
      </c>
      <c r="P24" s="52">
        <v>0.51</v>
      </c>
      <c r="Q24" s="52">
        <v>9.41</v>
      </c>
      <c r="R24" s="43"/>
      <c r="S24" s="43"/>
      <c r="T24" s="43"/>
      <c r="U24" s="43"/>
    </row>
    <row r="25" spans="1:21" s="11" customFormat="1" x14ac:dyDescent="0.25">
      <c r="A25" s="51" t="s">
        <v>268</v>
      </c>
      <c r="B25" s="52">
        <v>7.99</v>
      </c>
      <c r="C25" s="52">
        <v>3.05</v>
      </c>
      <c r="D25" s="52">
        <v>11.77</v>
      </c>
      <c r="E25" s="52">
        <v>3.79</v>
      </c>
      <c r="F25" s="52">
        <v>3.96</v>
      </c>
      <c r="G25" s="52">
        <v>70.150000000000006</v>
      </c>
      <c r="H25" s="52">
        <v>27.16</v>
      </c>
      <c r="I25" s="52">
        <v>1.99</v>
      </c>
      <c r="J25" s="52">
        <v>0.41</v>
      </c>
      <c r="K25" s="52">
        <v>322.45</v>
      </c>
      <c r="L25" s="52">
        <v>29.71</v>
      </c>
      <c r="M25" s="52">
        <v>94.05</v>
      </c>
      <c r="N25" s="52">
        <v>225.6</v>
      </c>
      <c r="O25" s="52">
        <v>0</v>
      </c>
      <c r="P25" s="52">
        <v>0.51</v>
      </c>
      <c r="Q25" s="52">
        <v>9.5299999999999994</v>
      </c>
      <c r="R25" s="43"/>
      <c r="S25" s="43"/>
      <c r="T25" s="43"/>
      <c r="U25" s="43"/>
    </row>
    <row r="26" spans="1:21" s="11" customFormat="1" x14ac:dyDescent="0.25">
      <c r="A26" s="51" t="s">
        <v>269</v>
      </c>
      <c r="B26" s="52">
        <v>8.16</v>
      </c>
      <c r="C26" s="52">
        <v>3.42</v>
      </c>
      <c r="D26" s="52">
        <v>12.11</v>
      </c>
      <c r="E26" s="52">
        <v>4.0199999999999996</v>
      </c>
      <c r="F26" s="52">
        <v>4.47</v>
      </c>
      <c r="G26" s="52">
        <v>76.599999999999994</v>
      </c>
      <c r="H26" s="52">
        <v>27.16</v>
      </c>
      <c r="I26" s="52">
        <v>2.14</v>
      </c>
      <c r="J26" s="52">
        <v>0.28999999999999998</v>
      </c>
      <c r="K26" s="52">
        <v>350.49</v>
      </c>
      <c r="L26" s="52">
        <v>28.92</v>
      </c>
      <c r="M26" s="52">
        <v>101.23</v>
      </c>
      <c r="N26" s="52">
        <v>122</v>
      </c>
      <c r="O26" s="52">
        <v>0</v>
      </c>
      <c r="P26" s="52">
        <v>0.56000000000000005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270</v>
      </c>
      <c r="B27" s="52">
        <v>8.09</v>
      </c>
      <c r="C27" s="52">
        <v>3.17</v>
      </c>
      <c r="D27" s="52">
        <v>11.91</v>
      </c>
      <c r="E27" s="52">
        <v>3.63</v>
      </c>
      <c r="F27" s="52">
        <v>3.68</v>
      </c>
      <c r="G27" s="52">
        <v>98.82</v>
      </c>
      <c r="H27" s="52">
        <v>32.99</v>
      </c>
      <c r="I27" s="52">
        <v>2.72</v>
      </c>
      <c r="J27" s="52">
        <v>0.22</v>
      </c>
      <c r="K27" s="52">
        <v>337.9</v>
      </c>
      <c r="L27" s="52">
        <v>27.63</v>
      </c>
      <c r="M27" s="52">
        <v>102.97</v>
      </c>
      <c r="N27" s="52">
        <v>74.099999999999994</v>
      </c>
      <c r="O27" s="52">
        <v>0</v>
      </c>
      <c r="P27" s="52">
        <v>0.66</v>
      </c>
      <c r="Q27" s="52">
        <v>9.5500000000000007</v>
      </c>
      <c r="R27" s="43"/>
      <c r="S27" s="43"/>
      <c r="T27" s="43"/>
      <c r="U27" s="43"/>
    </row>
    <row r="28" spans="1:21" s="11" customFormat="1" x14ac:dyDescent="0.25">
      <c r="A28" s="51" t="s">
        <v>271</v>
      </c>
      <c r="B28" s="52">
        <v>8.1199999999999992</v>
      </c>
      <c r="C28" s="52">
        <v>3.19</v>
      </c>
      <c r="D28" s="52">
        <v>11.95</v>
      </c>
      <c r="E28" s="52">
        <v>3.98</v>
      </c>
      <c r="F28" s="52">
        <v>3.46</v>
      </c>
      <c r="G28" s="52">
        <v>101.84</v>
      </c>
      <c r="H28" s="52">
        <v>32.99</v>
      </c>
      <c r="I28" s="52">
        <v>3.97</v>
      </c>
      <c r="J28" s="52">
        <v>0.16</v>
      </c>
      <c r="K28" s="52">
        <v>339.31</v>
      </c>
      <c r="L28" s="52">
        <v>26.79</v>
      </c>
      <c r="M28" s="52">
        <v>103.32</v>
      </c>
      <c r="N28" s="52">
        <v>64</v>
      </c>
      <c r="O28" s="52">
        <v>0</v>
      </c>
      <c r="P28" s="52">
        <v>0.75</v>
      </c>
      <c r="Q28" s="52">
        <v>9.69</v>
      </c>
      <c r="R28" s="43"/>
      <c r="S28" s="43"/>
      <c r="T28" s="43"/>
      <c r="U28" s="43"/>
    </row>
    <row r="29" spans="1:21" s="11" customFormat="1" x14ac:dyDescent="0.25">
      <c r="A29" s="51" t="s">
        <v>272</v>
      </c>
      <c r="B29" s="52">
        <v>8.1300000000000008</v>
      </c>
      <c r="C29" s="52">
        <v>3.23</v>
      </c>
      <c r="D29" s="52">
        <v>11.98</v>
      </c>
      <c r="E29" s="52">
        <v>4.1900000000000004</v>
      </c>
      <c r="F29" s="52">
        <v>4.16</v>
      </c>
      <c r="G29" s="52">
        <v>108.16</v>
      </c>
      <c r="H29" s="52">
        <v>39.020000000000003</v>
      </c>
      <c r="I29" s="52">
        <v>4.66</v>
      </c>
      <c r="J29" s="52">
        <v>0.15</v>
      </c>
      <c r="K29" s="52">
        <v>335.29</v>
      </c>
      <c r="L29" s="52">
        <v>26.54</v>
      </c>
      <c r="M29" s="52">
        <v>103.25</v>
      </c>
      <c r="N29" s="52">
        <v>64</v>
      </c>
      <c r="O29" s="52">
        <v>0</v>
      </c>
      <c r="P29" s="52">
        <v>0.84</v>
      </c>
      <c r="Q29" s="52">
        <v>9.75</v>
      </c>
      <c r="R29" s="43"/>
      <c r="S29" s="43"/>
      <c r="T29" s="43"/>
      <c r="U29" s="43"/>
    </row>
    <row r="30" spans="1:21" s="11" customFormat="1" x14ac:dyDescent="0.25">
      <c r="A30" s="51" t="s">
        <v>273</v>
      </c>
      <c r="B30" s="52">
        <v>8.5299999999999994</v>
      </c>
      <c r="C30" s="52">
        <v>3.82</v>
      </c>
      <c r="D30" s="52">
        <v>12.61</v>
      </c>
      <c r="E30" s="52">
        <v>4.3899999999999997</v>
      </c>
      <c r="F30" s="52">
        <v>4.09</v>
      </c>
      <c r="G30" s="52">
        <v>114.36</v>
      </c>
      <c r="H30" s="52">
        <v>39.020000000000003</v>
      </c>
      <c r="I30" s="52">
        <v>5</v>
      </c>
      <c r="J30" s="52">
        <v>0.19</v>
      </c>
      <c r="K30" s="52">
        <v>261.12</v>
      </c>
      <c r="L30" s="52">
        <v>26.26</v>
      </c>
      <c r="M30" s="52">
        <v>103.07</v>
      </c>
      <c r="N30" s="52">
        <v>63.6</v>
      </c>
      <c r="O30" s="52">
        <v>0</v>
      </c>
      <c r="P30" s="52">
        <v>0.94</v>
      </c>
      <c r="Q30" s="52">
        <v>9.77</v>
      </c>
      <c r="R30" s="43"/>
      <c r="S30" s="43"/>
      <c r="T30" s="43"/>
      <c r="U30" s="43"/>
    </row>
    <row r="31" spans="1:21" s="11" customFormat="1" x14ac:dyDescent="0.25">
      <c r="A31" s="51" t="s">
        <v>274</v>
      </c>
      <c r="B31" s="52">
        <v>8.59</v>
      </c>
      <c r="C31" s="52">
        <v>3.84</v>
      </c>
      <c r="D31" s="52">
        <v>12.67</v>
      </c>
      <c r="E31" s="52">
        <v>4.55</v>
      </c>
      <c r="F31" s="52">
        <v>3.57</v>
      </c>
      <c r="G31" s="52">
        <v>121.96</v>
      </c>
      <c r="H31" s="52">
        <v>34.64</v>
      </c>
      <c r="I31" s="52">
        <v>5.49</v>
      </c>
      <c r="J31" s="52">
        <v>0.28000000000000003</v>
      </c>
      <c r="K31" s="52">
        <v>221.85</v>
      </c>
      <c r="L31" s="52">
        <v>26.32</v>
      </c>
      <c r="M31" s="52">
        <v>103.39</v>
      </c>
      <c r="N31" s="52">
        <v>63.6</v>
      </c>
      <c r="O31" s="52">
        <v>0</v>
      </c>
      <c r="P31" s="52">
        <v>0.97</v>
      </c>
      <c r="Q31" s="52">
        <v>9.86</v>
      </c>
      <c r="R31" s="43"/>
      <c r="S31" s="43"/>
      <c r="T31" s="43"/>
      <c r="U31" s="43"/>
    </row>
    <row r="32" spans="1:21" s="11" customFormat="1" x14ac:dyDescent="0.25">
      <c r="A32" s="51" t="s">
        <v>275</v>
      </c>
      <c r="B32" s="52">
        <v>8.2200000000000006</v>
      </c>
      <c r="C32" s="52">
        <v>3.24</v>
      </c>
      <c r="D32" s="52">
        <v>12.04</v>
      </c>
      <c r="E32" s="52">
        <v>4.8600000000000003</v>
      </c>
      <c r="F32" s="52">
        <v>3.5</v>
      </c>
      <c r="G32" s="52">
        <v>122.38</v>
      </c>
      <c r="H32" s="52">
        <v>41.7</v>
      </c>
      <c r="I32" s="52">
        <v>5.8</v>
      </c>
      <c r="J32" s="52">
        <v>0.17</v>
      </c>
      <c r="K32" s="52">
        <v>233.95</v>
      </c>
      <c r="L32" s="52">
        <v>26.24</v>
      </c>
      <c r="M32" s="52">
        <v>103.62</v>
      </c>
      <c r="N32" s="52">
        <v>63.9</v>
      </c>
      <c r="O32" s="52">
        <v>0</v>
      </c>
      <c r="P32" s="52">
        <v>0.97</v>
      </c>
      <c r="Q32" s="52">
        <v>9.89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7.99</v>
      </c>
      <c r="C34" s="28">
        <f t="shared" si="0"/>
        <v>3.01</v>
      </c>
      <c r="D34" s="28">
        <f t="shared" si="0"/>
        <v>11.75</v>
      </c>
      <c r="E34" s="28">
        <f t="shared" si="0"/>
        <v>3.63</v>
      </c>
      <c r="F34" s="28">
        <f t="shared" si="0"/>
        <v>3.38</v>
      </c>
      <c r="G34" s="28">
        <f t="shared" si="0"/>
        <v>19.45</v>
      </c>
      <c r="H34" s="28">
        <f t="shared" si="0"/>
        <v>17.59</v>
      </c>
      <c r="I34" s="28">
        <f t="shared" si="0"/>
        <v>1.3</v>
      </c>
      <c r="J34" s="28">
        <f t="shared" si="0"/>
        <v>0.15</v>
      </c>
      <c r="K34" s="28">
        <f t="shared" si="0"/>
        <v>221.85</v>
      </c>
      <c r="L34" s="28">
        <f t="shared" si="0"/>
        <v>23.73</v>
      </c>
      <c r="M34" s="28">
        <f t="shared" si="0"/>
        <v>90.14</v>
      </c>
      <c r="N34" s="28">
        <f t="shared" si="0"/>
        <v>63.6</v>
      </c>
      <c r="O34" s="28">
        <f t="shared" si="0"/>
        <v>0</v>
      </c>
      <c r="P34" s="28">
        <f t="shared" si="0"/>
        <v>0.28000000000000003</v>
      </c>
      <c r="Q34" s="28">
        <f t="shared" si="0"/>
        <v>9.19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8.59</v>
      </c>
      <c r="C35" s="29">
        <f t="shared" si="1"/>
        <v>3.84</v>
      </c>
      <c r="D35" s="29">
        <f t="shared" si="1"/>
        <v>12.67</v>
      </c>
      <c r="E35" s="29">
        <f t="shared" si="1"/>
        <v>4.8600000000000003</v>
      </c>
      <c r="F35" s="29">
        <f t="shared" si="1"/>
        <v>12.16</v>
      </c>
      <c r="G35" s="29">
        <f t="shared" si="1"/>
        <v>122.38</v>
      </c>
      <c r="H35" s="29">
        <f t="shared" si="1"/>
        <v>68.7</v>
      </c>
      <c r="I35" s="29">
        <f t="shared" si="1"/>
        <v>5.8</v>
      </c>
      <c r="J35" s="29">
        <f t="shared" si="1"/>
        <v>0.79</v>
      </c>
      <c r="K35" s="29">
        <f t="shared" si="1"/>
        <v>359.93</v>
      </c>
      <c r="L35" s="29">
        <f t="shared" si="1"/>
        <v>30.57</v>
      </c>
      <c r="M35" s="29">
        <f t="shared" si="1"/>
        <v>103.62</v>
      </c>
      <c r="N35" s="29">
        <f t="shared" si="1"/>
        <v>423.7</v>
      </c>
      <c r="O35" s="29">
        <f t="shared" si="1"/>
        <v>2</v>
      </c>
      <c r="P35" s="29">
        <f t="shared" si="1"/>
        <v>0.97</v>
      </c>
      <c r="Q35" s="29">
        <f t="shared" si="1"/>
        <v>9.89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8.1041666666666679</v>
      </c>
      <c r="C36" s="28">
        <f t="shared" si="2"/>
        <v>3.2120833333333327</v>
      </c>
      <c r="D36" s="28">
        <f t="shared" si="2"/>
        <v>11.949166666666668</v>
      </c>
      <c r="E36" s="28">
        <f t="shared" si="2"/>
        <v>4.2762500000000001</v>
      </c>
      <c r="F36" s="28">
        <f t="shared" si="2"/>
        <v>4.4358333333333331</v>
      </c>
      <c r="G36" s="28">
        <f t="shared" si="2"/>
        <v>61.061249999999994</v>
      </c>
      <c r="H36" s="28">
        <f t="shared" si="2"/>
        <v>33.89041666666666</v>
      </c>
      <c r="I36" s="28">
        <f t="shared" si="2"/>
        <v>2.8008333333333337</v>
      </c>
      <c r="J36" s="28">
        <f t="shared" si="2"/>
        <v>0.3008333333333334</v>
      </c>
      <c r="K36" s="28">
        <f t="shared" si="2"/>
        <v>331.38749999999999</v>
      </c>
      <c r="L36" s="28">
        <f t="shared" si="2"/>
        <v>26.562916666666666</v>
      </c>
      <c r="M36" s="28">
        <f t="shared" si="2"/>
        <v>101</v>
      </c>
      <c r="N36" s="28">
        <f t="shared" si="2"/>
        <v>175.23333333333332</v>
      </c>
      <c r="O36" s="28">
        <f t="shared" si="2"/>
        <v>0.17500000000000002</v>
      </c>
      <c r="P36" s="28">
        <f t="shared" si="2"/>
        <v>0.55458333333333332</v>
      </c>
      <c r="Q36" s="28">
        <f t="shared" si="2"/>
        <v>9.454583333333332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0.15271219497064928</v>
      </c>
      <c r="C37" s="28">
        <f t="shared" ref="C37:Q37" si="3">STDEV(C9:C32)</f>
        <v>0.22407256523892793</v>
      </c>
      <c r="D37" s="28">
        <f t="shared" si="3"/>
        <v>0.23693544647667522</v>
      </c>
      <c r="E37" s="28">
        <f t="shared" si="3"/>
        <v>0.32337637917556017</v>
      </c>
      <c r="F37" s="28">
        <f t="shared" si="3"/>
        <v>1.7518385786929986</v>
      </c>
      <c r="G37" s="28">
        <f t="shared" si="3"/>
        <v>36.241001319368038</v>
      </c>
      <c r="H37" s="28">
        <f t="shared" si="3"/>
        <v>12.315534721278446</v>
      </c>
      <c r="I37" s="28">
        <f t="shared" si="3"/>
        <v>1.2640236536953908</v>
      </c>
      <c r="J37" s="28">
        <f t="shared" si="3"/>
        <v>0.16444681092434829</v>
      </c>
      <c r="K37" s="28">
        <f t="shared" si="3"/>
        <v>38.233876311800756</v>
      </c>
      <c r="L37" s="28">
        <f t="shared" si="3"/>
        <v>2.0918713884455471</v>
      </c>
      <c r="M37" s="28">
        <f t="shared" si="3"/>
        <v>3.8529841625059578</v>
      </c>
      <c r="N37" s="28">
        <f t="shared" si="3"/>
        <v>123.91679068831937</v>
      </c>
      <c r="O37" s="28">
        <f t="shared" si="3"/>
        <v>0.48387026647915526</v>
      </c>
      <c r="P37" s="28">
        <f t="shared" si="3"/>
        <v>0.22222157306668475</v>
      </c>
      <c r="Q37" s="28">
        <f t="shared" si="3"/>
        <v>0.20967841145879565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276</v>
      </c>
      <c r="B9" s="52">
        <v>8.16</v>
      </c>
      <c r="C9" s="52">
        <v>3.17</v>
      </c>
      <c r="D9" s="52">
        <v>11.96</v>
      </c>
      <c r="E9" s="52">
        <v>4.7300000000000004</v>
      </c>
      <c r="F9" s="52">
        <v>3.32</v>
      </c>
      <c r="G9" s="52">
        <v>122.38</v>
      </c>
      <c r="H9" s="52">
        <v>41.7</v>
      </c>
      <c r="I9" s="52">
        <v>6.04</v>
      </c>
      <c r="J9" s="52">
        <v>0.19</v>
      </c>
      <c r="K9" s="52">
        <v>247.22</v>
      </c>
      <c r="L9" s="52">
        <v>25.95</v>
      </c>
      <c r="M9" s="52">
        <v>103.6</v>
      </c>
      <c r="N9" s="52">
        <v>63.7</v>
      </c>
      <c r="O9" s="52">
        <v>0</v>
      </c>
      <c r="P9" s="52">
        <v>0.84</v>
      </c>
      <c r="Q9" s="52">
        <v>9.86</v>
      </c>
      <c r="R9" s="43"/>
      <c r="S9" s="43"/>
      <c r="T9" s="43"/>
      <c r="U9" s="43"/>
    </row>
    <row r="10" spans="1:21" s="11" customFormat="1" x14ac:dyDescent="0.25">
      <c r="A10" s="51" t="s">
        <v>277</v>
      </c>
      <c r="B10" s="52">
        <v>8.5500000000000007</v>
      </c>
      <c r="C10" s="52">
        <v>3.87</v>
      </c>
      <c r="D10" s="52">
        <v>12.65</v>
      </c>
      <c r="E10" s="52">
        <v>5.07</v>
      </c>
      <c r="F10" s="52">
        <v>4.17</v>
      </c>
      <c r="G10" s="52">
        <v>114.88</v>
      </c>
      <c r="H10" s="52">
        <v>33.770000000000003</v>
      </c>
      <c r="I10" s="52">
        <v>6.11</v>
      </c>
      <c r="J10" s="52">
        <v>0.18</v>
      </c>
      <c r="K10" s="52">
        <v>342.01</v>
      </c>
      <c r="L10" s="52">
        <v>25.9</v>
      </c>
      <c r="M10" s="52">
        <v>103.85</v>
      </c>
      <c r="N10" s="52">
        <v>63.5</v>
      </c>
      <c r="O10" s="52">
        <v>0</v>
      </c>
      <c r="P10" s="52">
        <v>0.79</v>
      </c>
      <c r="Q10" s="52">
        <v>9.7899999999999991</v>
      </c>
      <c r="R10" s="43"/>
      <c r="S10" s="43"/>
      <c r="T10" s="43"/>
      <c r="U10" s="43"/>
    </row>
    <row r="11" spans="1:21" s="11" customFormat="1" x14ac:dyDescent="0.25">
      <c r="A11" s="51" t="s">
        <v>278</v>
      </c>
      <c r="B11" s="52">
        <v>8.18</v>
      </c>
      <c r="C11" s="52">
        <v>3.3</v>
      </c>
      <c r="D11" s="52">
        <v>12.06</v>
      </c>
      <c r="E11" s="52">
        <v>4.71</v>
      </c>
      <c r="F11" s="52">
        <v>3.89</v>
      </c>
      <c r="G11" s="52">
        <v>106.32</v>
      </c>
      <c r="H11" s="52">
        <v>33.770000000000003</v>
      </c>
      <c r="I11" s="52">
        <v>5.85</v>
      </c>
      <c r="J11" s="52">
        <v>0.19</v>
      </c>
      <c r="K11" s="52">
        <v>306.81</v>
      </c>
      <c r="L11" s="52">
        <v>25.96</v>
      </c>
      <c r="M11" s="52">
        <v>103.5</v>
      </c>
      <c r="N11" s="52">
        <v>63.3</v>
      </c>
      <c r="O11" s="52">
        <v>0</v>
      </c>
      <c r="P11" s="52">
        <v>0.7</v>
      </c>
      <c r="Q11" s="52">
        <v>9.67</v>
      </c>
      <c r="R11" s="43"/>
      <c r="S11" s="43"/>
      <c r="T11" s="43"/>
      <c r="U11" s="43"/>
    </row>
    <row r="12" spans="1:21" s="11" customFormat="1" x14ac:dyDescent="0.25">
      <c r="A12" s="51" t="s">
        <v>279</v>
      </c>
      <c r="B12" s="52">
        <v>8.09</v>
      </c>
      <c r="C12" s="52">
        <v>3.13</v>
      </c>
      <c r="D12" s="52">
        <v>11.89</v>
      </c>
      <c r="E12" s="52">
        <v>2.9</v>
      </c>
      <c r="F12" s="52">
        <v>3.8</v>
      </c>
      <c r="G12" s="52">
        <v>87.09</v>
      </c>
      <c r="H12" s="52">
        <v>33.770000000000003</v>
      </c>
      <c r="I12" s="52">
        <v>5.47</v>
      </c>
      <c r="J12" s="52">
        <v>0.12</v>
      </c>
      <c r="K12" s="52">
        <v>331.38</v>
      </c>
      <c r="L12" s="52">
        <v>26</v>
      </c>
      <c r="M12" s="52">
        <v>103.64</v>
      </c>
      <c r="N12" s="52">
        <v>63.5</v>
      </c>
      <c r="O12" s="52">
        <v>0</v>
      </c>
      <c r="P12" s="52">
        <v>0.63</v>
      </c>
      <c r="Q12" s="52">
        <v>9.6</v>
      </c>
      <c r="R12" s="43"/>
      <c r="S12" s="43"/>
      <c r="T12" s="43"/>
      <c r="U12" s="43"/>
    </row>
    <row r="13" spans="1:21" s="11" customFormat="1" x14ac:dyDescent="0.25">
      <c r="A13" s="51" t="s">
        <v>280</v>
      </c>
      <c r="B13" s="52">
        <v>8.14</v>
      </c>
      <c r="C13" s="52">
        <v>3.15</v>
      </c>
      <c r="D13" s="52">
        <v>11.95</v>
      </c>
      <c r="E13" s="52">
        <v>2.86</v>
      </c>
      <c r="F13" s="52">
        <v>3.48</v>
      </c>
      <c r="G13" s="52">
        <v>80.06</v>
      </c>
      <c r="H13" s="52">
        <v>26.86</v>
      </c>
      <c r="I13" s="52">
        <v>5.24</v>
      </c>
      <c r="J13" s="52">
        <v>0.19</v>
      </c>
      <c r="K13" s="52">
        <v>348.58</v>
      </c>
      <c r="L13" s="52">
        <v>26</v>
      </c>
      <c r="M13" s="52">
        <v>104.11</v>
      </c>
      <c r="N13" s="52">
        <v>63.7</v>
      </c>
      <c r="O13" s="52">
        <v>0</v>
      </c>
      <c r="P13" s="52">
        <v>0.55000000000000004</v>
      </c>
      <c r="Q13" s="52">
        <v>9.59</v>
      </c>
      <c r="R13" s="43"/>
      <c r="S13" s="43"/>
      <c r="T13" s="43"/>
      <c r="U13" s="43"/>
    </row>
    <row r="14" spans="1:21" s="11" customFormat="1" x14ac:dyDescent="0.25">
      <c r="A14" s="51" t="s">
        <v>281</v>
      </c>
      <c r="B14" s="52">
        <v>8.1</v>
      </c>
      <c r="C14" s="52">
        <v>3.08</v>
      </c>
      <c r="D14" s="52">
        <v>11.88</v>
      </c>
      <c r="E14" s="52">
        <v>3.08</v>
      </c>
      <c r="F14" s="52">
        <v>4.1100000000000003</v>
      </c>
      <c r="G14" s="52">
        <v>75.209999999999994</v>
      </c>
      <c r="H14" s="52">
        <v>22.56</v>
      </c>
      <c r="I14" s="52">
        <v>4.88</v>
      </c>
      <c r="J14" s="52">
        <v>0.21</v>
      </c>
      <c r="K14" s="52">
        <v>347.66</v>
      </c>
      <c r="L14" s="52">
        <v>25.78</v>
      </c>
      <c r="M14" s="52">
        <v>103.84</v>
      </c>
      <c r="N14" s="52">
        <v>67.8</v>
      </c>
      <c r="O14" s="52">
        <v>0</v>
      </c>
      <c r="P14" s="52">
        <v>0.47</v>
      </c>
      <c r="Q14" s="52">
        <v>9.5299999999999994</v>
      </c>
      <c r="R14" s="43"/>
      <c r="S14" s="43"/>
      <c r="T14" s="43"/>
      <c r="U14" s="43"/>
    </row>
    <row r="15" spans="1:21" s="11" customFormat="1" x14ac:dyDescent="0.25">
      <c r="A15" s="51" t="s">
        <v>282</v>
      </c>
      <c r="B15" s="52">
        <v>8.1199999999999992</v>
      </c>
      <c r="C15" s="52">
        <v>3.26</v>
      </c>
      <c r="D15" s="52">
        <v>11.99</v>
      </c>
      <c r="E15" s="52">
        <v>4.42</v>
      </c>
      <c r="F15" s="52">
        <v>4.58</v>
      </c>
      <c r="G15" s="52">
        <v>65.63</v>
      </c>
      <c r="H15" s="52">
        <v>21.4</v>
      </c>
      <c r="I15" s="52">
        <v>4.07</v>
      </c>
      <c r="J15" s="52">
        <v>0.21</v>
      </c>
      <c r="K15" s="52">
        <v>344.4</v>
      </c>
      <c r="L15" s="52">
        <v>26.28</v>
      </c>
      <c r="M15" s="52">
        <v>102.99</v>
      </c>
      <c r="N15" s="52">
        <v>213.7</v>
      </c>
      <c r="O15" s="52">
        <v>0</v>
      </c>
      <c r="P15" s="52">
        <v>0.46</v>
      </c>
      <c r="Q15" s="52">
        <v>9.3800000000000008</v>
      </c>
      <c r="R15" s="43"/>
      <c r="S15" s="43"/>
      <c r="T15" s="43"/>
      <c r="U15" s="43"/>
    </row>
    <row r="16" spans="1:21" s="11" customFormat="1" x14ac:dyDescent="0.25">
      <c r="A16" s="51" t="s">
        <v>283</v>
      </c>
      <c r="B16" s="52">
        <v>8.01</v>
      </c>
      <c r="C16" s="52">
        <v>3.11</v>
      </c>
      <c r="D16" s="52">
        <v>11.83</v>
      </c>
      <c r="E16" s="52">
        <v>4.21</v>
      </c>
      <c r="F16" s="52">
        <v>3.76</v>
      </c>
      <c r="G16" s="52">
        <v>64</v>
      </c>
      <c r="H16" s="52">
        <v>53.92</v>
      </c>
      <c r="I16" s="52">
        <v>3.52</v>
      </c>
      <c r="J16" s="52">
        <v>0.3</v>
      </c>
      <c r="K16" s="52">
        <v>359.11</v>
      </c>
      <c r="L16" s="52">
        <v>29.21</v>
      </c>
      <c r="M16" s="52">
        <v>102.28</v>
      </c>
      <c r="N16" s="52">
        <v>458.1</v>
      </c>
      <c r="O16" s="52">
        <v>0</v>
      </c>
      <c r="P16" s="52">
        <v>0.45</v>
      </c>
      <c r="Q16" s="52">
        <v>9.42</v>
      </c>
      <c r="R16" s="43"/>
      <c r="S16" s="43"/>
      <c r="T16" s="43"/>
      <c r="U16" s="43"/>
    </row>
    <row r="17" spans="1:21" s="11" customFormat="1" x14ac:dyDescent="0.25">
      <c r="A17" s="51" t="s">
        <v>284</v>
      </c>
      <c r="B17" s="52">
        <v>8.09</v>
      </c>
      <c r="C17" s="52">
        <v>3.24</v>
      </c>
      <c r="D17" s="52">
        <v>11.96</v>
      </c>
      <c r="E17" s="52">
        <v>4.16</v>
      </c>
      <c r="F17" s="52">
        <v>3.65</v>
      </c>
      <c r="G17" s="52">
        <v>72.89</v>
      </c>
      <c r="H17" s="52">
        <v>53.92</v>
      </c>
      <c r="I17" s="52">
        <v>3.11</v>
      </c>
      <c r="J17" s="52">
        <v>0.28999999999999998</v>
      </c>
      <c r="K17" s="52">
        <v>355.29</v>
      </c>
      <c r="L17" s="52">
        <v>31.4</v>
      </c>
      <c r="M17" s="52">
        <v>87.42</v>
      </c>
      <c r="N17" s="52">
        <v>684.3</v>
      </c>
      <c r="O17" s="52">
        <v>0</v>
      </c>
      <c r="P17" s="52">
        <v>0.54</v>
      </c>
      <c r="Q17" s="52">
        <v>9.42</v>
      </c>
      <c r="R17" s="43"/>
      <c r="S17" s="43"/>
      <c r="T17" s="43"/>
      <c r="U17" s="43"/>
    </row>
    <row r="18" spans="1:21" s="11" customFormat="1" x14ac:dyDescent="0.25">
      <c r="A18" s="51" t="s">
        <v>285</v>
      </c>
      <c r="B18" s="52">
        <v>8.06</v>
      </c>
      <c r="C18" s="52">
        <v>3.09</v>
      </c>
      <c r="D18" s="52">
        <v>11.84</v>
      </c>
      <c r="E18" s="52">
        <v>4.16</v>
      </c>
      <c r="F18" s="52">
        <v>3.74</v>
      </c>
      <c r="G18" s="52">
        <v>78.59</v>
      </c>
      <c r="H18" s="52">
        <v>42.81</v>
      </c>
      <c r="I18" s="52">
        <v>3.39</v>
      </c>
      <c r="J18" s="52">
        <v>0.26</v>
      </c>
      <c r="K18" s="52">
        <v>358.47</v>
      </c>
      <c r="L18" s="52">
        <v>30.37</v>
      </c>
      <c r="M18" s="52">
        <v>85.49</v>
      </c>
      <c r="N18" s="52">
        <v>732.2</v>
      </c>
      <c r="O18" s="52">
        <v>0</v>
      </c>
      <c r="P18" s="52">
        <v>0.57999999999999996</v>
      </c>
      <c r="Q18" s="52">
        <v>9.4499999999999993</v>
      </c>
      <c r="R18" s="43"/>
      <c r="S18" s="43"/>
      <c r="T18" s="43"/>
      <c r="U18" s="43"/>
    </row>
    <row r="19" spans="1:21" s="11" customFormat="1" x14ac:dyDescent="0.25">
      <c r="A19" s="51" t="s">
        <v>286</v>
      </c>
      <c r="B19" s="52">
        <v>8.0500000000000007</v>
      </c>
      <c r="C19" s="52">
        <v>3.07</v>
      </c>
      <c r="D19" s="52">
        <v>11.83</v>
      </c>
      <c r="E19" s="52">
        <v>4.1399999999999997</v>
      </c>
      <c r="F19" s="52">
        <v>4.78</v>
      </c>
      <c r="G19" s="52">
        <v>78.59</v>
      </c>
      <c r="H19" s="52">
        <v>42.81</v>
      </c>
      <c r="I19" s="52">
        <v>3.63</v>
      </c>
      <c r="J19" s="52">
        <v>0.23</v>
      </c>
      <c r="K19" s="52">
        <v>352.55</v>
      </c>
      <c r="L19" s="52">
        <v>31.01</v>
      </c>
      <c r="M19" s="52">
        <v>80.540000000000006</v>
      </c>
      <c r="N19" s="52">
        <v>1004.2</v>
      </c>
      <c r="O19" s="52">
        <v>0</v>
      </c>
      <c r="P19" s="52">
        <v>0.56000000000000005</v>
      </c>
      <c r="Q19" s="52">
        <v>9.34</v>
      </c>
      <c r="R19" s="43"/>
      <c r="S19" s="43"/>
      <c r="T19" s="43"/>
      <c r="U19" s="43"/>
    </row>
    <row r="20" spans="1:21" s="11" customFormat="1" x14ac:dyDescent="0.25">
      <c r="A20" s="51" t="s">
        <v>287</v>
      </c>
      <c r="B20" s="52">
        <v>7.97</v>
      </c>
      <c r="C20" s="52">
        <v>3.04</v>
      </c>
      <c r="D20" s="52">
        <v>11.76</v>
      </c>
      <c r="E20" s="52">
        <v>4.29</v>
      </c>
      <c r="F20" s="52">
        <v>5.79</v>
      </c>
      <c r="G20" s="52">
        <v>73.97</v>
      </c>
      <c r="H20" s="52">
        <v>44.81</v>
      </c>
      <c r="I20" s="52">
        <v>3.08</v>
      </c>
      <c r="J20" s="52">
        <v>0.3</v>
      </c>
      <c r="K20" s="52">
        <v>351.73</v>
      </c>
      <c r="L20" s="52">
        <v>31.97</v>
      </c>
      <c r="M20" s="52">
        <v>78.05</v>
      </c>
      <c r="N20" s="52">
        <v>1046.0999999999999</v>
      </c>
      <c r="O20" s="52">
        <v>0</v>
      </c>
      <c r="P20" s="52">
        <v>0.46</v>
      </c>
      <c r="Q20" s="52">
        <v>9.24</v>
      </c>
      <c r="R20" s="43"/>
      <c r="S20" s="43"/>
      <c r="T20" s="43"/>
      <c r="U20" s="43"/>
    </row>
    <row r="21" spans="1:21" s="11" customFormat="1" x14ac:dyDescent="0.25">
      <c r="A21" s="51" t="s">
        <v>288</v>
      </c>
      <c r="B21" s="52">
        <v>7.95</v>
      </c>
      <c r="C21" s="52">
        <v>3.17</v>
      </c>
      <c r="D21" s="52">
        <v>11.8</v>
      </c>
      <c r="E21" s="52">
        <v>4.08</v>
      </c>
      <c r="F21" s="52">
        <v>5.74</v>
      </c>
      <c r="G21" s="52">
        <v>67.69</v>
      </c>
      <c r="H21" s="52">
        <v>44.81</v>
      </c>
      <c r="I21" s="52">
        <v>2.29</v>
      </c>
      <c r="J21" s="52">
        <v>0.39</v>
      </c>
      <c r="K21" s="52">
        <v>344.12</v>
      </c>
      <c r="L21" s="52">
        <v>31.69</v>
      </c>
      <c r="M21" s="52">
        <v>76.28</v>
      </c>
      <c r="N21" s="52">
        <v>784.1</v>
      </c>
      <c r="O21" s="52">
        <v>0</v>
      </c>
      <c r="P21" s="52">
        <v>0.4</v>
      </c>
      <c r="Q21" s="52">
        <v>9.25</v>
      </c>
      <c r="R21" s="43"/>
      <c r="S21" s="43"/>
      <c r="T21" s="43"/>
      <c r="U21" s="43"/>
    </row>
    <row r="22" spans="1:21" s="11" customFormat="1" x14ac:dyDescent="0.25">
      <c r="A22" s="51" t="s">
        <v>289</v>
      </c>
      <c r="B22" s="52">
        <v>8.01</v>
      </c>
      <c r="C22" s="52">
        <v>3.06</v>
      </c>
      <c r="D22" s="52">
        <v>11.79</v>
      </c>
      <c r="E22" s="52">
        <v>4.3899999999999997</v>
      </c>
      <c r="F22" s="52">
        <v>6.29</v>
      </c>
      <c r="G22" s="52">
        <v>70.11</v>
      </c>
      <c r="H22" s="52">
        <v>42.31</v>
      </c>
      <c r="I22" s="52">
        <v>1.85</v>
      </c>
      <c r="J22" s="52">
        <v>0.32</v>
      </c>
      <c r="K22" s="52">
        <v>340.06</v>
      </c>
      <c r="L22" s="52">
        <v>33.04</v>
      </c>
      <c r="M22" s="52">
        <v>73.88</v>
      </c>
      <c r="N22" s="52">
        <v>902.3</v>
      </c>
      <c r="O22" s="52">
        <v>0</v>
      </c>
      <c r="P22" s="52">
        <v>0.36</v>
      </c>
      <c r="Q22" s="52">
        <v>9.17</v>
      </c>
      <c r="R22" s="43"/>
      <c r="S22" s="43"/>
      <c r="T22" s="43"/>
      <c r="U22" s="43"/>
    </row>
    <row r="23" spans="1:21" s="11" customFormat="1" x14ac:dyDescent="0.25">
      <c r="A23" s="51" t="s">
        <v>290</v>
      </c>
      <c r="B23" s="52">
        <v>8.02</v>
      </c>
      <c r="C23" s="52">
        <v>3.09</v>
      </c>
      <c r="D23" s="52">
        <v>11.82</v>
      </c>
      <c r="E23" s="52">
        <v>4.5199999999999996</v>
      </c>
      <c r="F23" s="52">
        <v>6.09</v>
      </c>
      <c r="G23" s="52">
        <v>70.11</v>
      </c>
      <c r="H23" s="52">
        <v>42.31</v>
      </c>
      <c r="I23" s="52">
        <v>1.42</v>
      </c>
      <c r="J23" s="52">
        <v>0.3</v>
      </c>
      <c r="K23" s="52">
        <v>352.28</v>
      </c>
      <c r="L23" s="52">
        <v>32.21</v>
      </c>
      <c r="M23" s="52">
        <v>75.38</v>
      </c>
      <c r="N23" s="52">
        <v>482</v>
      </c>
      <c r="O23" s="52">
        <v>0</v>
      </c>
      <c r="P23" s="52">
        <v>0.34</v>
      </c>
      <c r="Q23" s="52">
        <v>9.2100000000000009</v>
      </c>
      <c r="R23" s="43"/>
      <c r="S23" s="43"/>
      <c r="T23" s="43"/>
      <c r="U23" s="43"/>
    </row>
    <row r="24" spans="1:21" s="11" customFormat="1" x14ac:dyDescent="0.25">
      <c r="A24" s="51" t="s">
        <v>291</v>
      </c>
      <c r="B24" s="52">
        <v>7.99</v>
      </c>
      <c r="C24" s="52">
        <v>3.18</v>
      </c>
      <c r="D24" s="52">
        <v>11.84</v>
      </c>
      <c r="E24" s="52">
        <v>3.49</v>
      </c>
      <c r="F24" s="52">
        <v>5.31</v>
      </c>
      <c r="G24" s="52">
        <v>69.2</v>
      </c>
      <c r="H24" s="52">
        <v>42.31</v>
      </c>
      <c r="I24" s="52">
        <v>1.38</v>
      </c>
      <c r="J24" s="52">
        <v>0.3</v>
      </c>
      <c r="K24" s="52">
        <v>353.86</v>
      </c>
      <c r="L24" s="52">
        <v>31.46</v>
      </c>
      <c r="M24" s="52">
        <v>78.09</v>
      </c>
      <c r="N24" s="52">
        <v>257.10000000000002</v>
      </c>
      <c r="O24" s="52">
        <v>0</v>
      </c>
      <c r="P24" s="52">
        <v>0.32</v>
      </c>
      <c r="Q24" s="52">
        <v>9.16</v>
      </c>
      <c r="R24" s="43"/>
      <c r="S24" s="43"/>
      <c r="T24" s="43"/>
      <c r="U24" s="43"/>
    </row>
    <row r="25" spans="1:21" s="11" customFormat="1" x14ac:dyDescent="0.25">
      <c r="A25" s="51" t="s">
        <v>292</v>
      </c>
      <c r="B25" s="52">
        <v>7.96</v>
      </c>
      <c r="C25" s="52">
        <v>3.04</v>
      </c>
      <c r="D25" s="52">
        <v>11.74</v>
      </c>
      <c r="E25" s="52">
        <v>2.99</v>
      </c>
      <c r="F25" s="52">
        <v>5.25</v>
      </c>
      <c r="G25" s="52">
        <v>70.84</v>
      </c>
      <c r="H25" s="52">
        <v>40.159999999999997</v>
      </c>
      <c r="I25" s="52">
        <v>1.46</v>
      </c>
      <c r="J25" s="52">
        <v>0.34</v>
      </c>
      <c r="K25" s="52">
        <v>358.3</v>
      </c>
      <c r="L25" s="52">
        <v>31.24</v>
      </c>
      <c r="M25" s="52">
        <v>80.209999999999994</v>
      </c>
      <c r="N25" s="52">
        <v>147.9</v>
      </c>
      <c r="O25" s="52">
        <v>0</v>
      </c>
      <c r="P25" s="52">
        <v>0.32</v>
      </c>
      <c r="Q25" s="52">
        <v>9.23</v>
      </c>
      <c r="R25" s="43"/>
      <c r="S25" s="43"/>
      <c r="T25" s="43"/>
      <c r="U25" s="43"/>
    </row>
    <row r="26" spans="1:21" s="11" customFormat="1" x14ac:dyDescent="0.25">
      <c r="A26" s="51" t="s">
        <v>293</v>
      </c>
      <c r="B26" s="52">
        <v>7.98</v>
      </c>
      <c r="C26" s="52">
        <v>3</v>
      </c>
      <c r="D26" s="52">
        <v>11.73</v>
      </c>
      <c r="E26" s="52">
        <v>2.9</v>
      </c>
      <c r="F26" s="52">
        <v>5.09</v>
      </c>
      <c r="G26" s="52">
        <v>75.459999999999994</v>
      </c>
      <c r="H26" s="52">
        <v>27.87</v>
      </c>
      <c r="I26" s="52">
        <v>1.35</v>
      </c>
      <c r="J26" s="52">
        <v>0.45</v>
      </c>
      <c r="K26" s="52">
        <v>359.13</v>
      </c>
      <c r="L26" s="52">
        <v>31.25</v>
      </c>
      <c r="M26" s="52">
        <v>83.91</v>
      </c>
      <c r="N26" s="52">
        <v>131</v>
      </c>
      <c r="O26" s="52">
        <v>0</v>
      </c>
      <c r="P26" s="52">
        <v>0.35</v>
      </c>
      <c r="Q26" s="52">
        <v>9.1999999999999993</v>
      </c>
      <c r="R26" s="43"/>
      <c r="S26" s="43"/>
      <c r="T26" s="43"/>
      <c r="U26" s="43"/>
    </row>
    <row r="27" spans="1:21" s="11" customFormat="1" x14ac:dyDescent="0.25">
      <c r="A27" s="51" t="s">
        <v>294</v>
      </c>
      <c r="B27" s="52">
        <v>8.01</v>
      </c>
      <c r="C27" s="52">
        <v>3.08</v>
      </c>
      <c r="D27" s="52">
        <v>11.81</v>
      </c>
      <c r="E27" s="52">
        <v>4.25</v>
      </c>
      <c r="F27" s="52">
        <v>5.36</v>
      </c>
      <c r="G27" s="52">
        <v>75.459999999999994</v>
      </c>
      <c r="H27" s="52">
        <v>34.770000000000003</v>
      </c>
      <c r="I27" s="52">
        <v>1.32</v>
      </c>
      <c r="J27" s="52">
        <v>0.49</v>
      </c>
      <c r="K27" s="52">
        <v>16.809999999999999</v>
      </c>
      <c r="L27" s="52">
        <v>28.84</v>
      </c>
      <c r="M27" s="52">
        <v>93.32</v>
      </c>
      <c r="N27" s="52">
        <v>66.099999999999994</v>
      </c>
      <c r="O27" s="52">
        <v>0</v>
      </c>
      <c r="P27" s="52">
        <v>0.44</v>
      </c>
      <c r="Q27" s="52">
        <v>9.1999999999999993</v>
      </c>
      <c r="R27" s="43"/>
      <c r="S27" s="43"/>
      <c r="T27" s="43"/>
      <c r="U27" s="43"/>
    </row>
    <row r="28" spans="1:21" s="11" customFormat="1" x14ac:dyDescent="0.25">
      <c r="A28" s="51" t="s">
        <v>295</v>
      </c>
      <c r="B28" s="52">
        <v>8.01</v>
      </c>
      <c r="C28" s="52">
        <v>3.05</v>
      </c>
      <c r="D28" s="52">
        <v>11.79</v>
      </c>
      <c r="E28" s="52">
        <v>4.45</v>
      </c>
      <c r="F28" s="52">
        <v>4.4400000000000004</v>
      </c>
      <c r="G28" s="52">
        <v>71.94</v>
      </c>
      <c r="H28" s="52">
        <v>52.72</v>
      </c>
      <c r="I28" s="52">
        <v>1.68</v>
      </c>
      <c r="J28" s="52">
        <v>0.4</v>
      </c>
      <c r="K28" s="52">
        <v>351.87</v>
      </c>
      <c r="L28" s="52">
        <v>28.11</v>
      </c>
      <c r="M28" s="52">
        <v>95.46</v>
      </c>
      <c r="N28" s="52">
        <v>37.799999999999997</v>
      </c>
      <c r="O28" s="52">
        <v>0</v>
      </c>
      <c r="P28" s="52">
        <v>0.55000000000000004</v>
      </c>
      <c r="Q28" s="52">
        <v>9.23</v>
      </c>
      <c r="R28" s="43"/>
      <c r="S28" s="43"/>
      <c r="T28" s="43"/>
      <c r="U28" s="43"/>
    </row>
    <row r="29" spans="1:21" s="11" customFormat="1" x14ac:dyDescent="0.25">
      <c r="A29" s="51" t="s">
        <v>296</v>
      </c>
      <c r="B29" s="52">
        <v>8.01</v>
      </c>
      <c r="C29" s="52">
        <v>3.21</v>
      </c>
      <c r="D29" s="52">
        <v>11.88</v>
      </c>
      <c r="E29" s="52">
        <v>4.54</v>
      </c>
      <c r="F29" s="52">
        <v>5.26</v>
      </c>
      <c r="G29" s="52">
        <v>71.94</v>
      </c>
      <c r="H29" s="52">
        <v>52.72</v>
      </c>
      <c r="I29" s="52">
        <v>1.84</v>
      </c>
      <c r="J29" s="52">
        <v>0.31</v>
      </c>
      <c r="K29" s="52">
        <v>13.3</v>
      </c>
      <c r="L29" s="52">
        <v>27.09</v>
      </c>
      <c r="M29" s="52">
        <v>96.73</v>
      </c>
      <c r="N29" s="52">
        <v>37.799999999999997</v>
      </c>
      <c r="O29" s="52">
        <v>0</v>
      </c>
      <c r="P29" s="52">
        <v>0.57999999999999996</v>
      </c>
      <c r="Q29" s="52">
        <v>9.26</v>
      </c>
      <c r="R29" s="43"/>
      <c r="S29" s="43"/>
      <c r="T29" s="43"/>
      <c r="U29" s="43"/>
    </row>
    <row r="30" spans="1:21" s="11" customFormat="1" x14ac:dyDescent="0.25">
      <c r="A30" s="51" t="s">
        <v>297</v>
      </c>
      <c r="B30" s="52">
        <v>8.0399999999999991</v>
      </c>
      <c r="C30" s="52">
        <v>3.18</v>
      </c>
      <c r="D30" s="52">
        <v>11.88</v>
      </c>
      <c r="E30" s="52">
        <v>3.88</v>
      </c>
      <c r="F30" s="52">
        <v>4.58</v>
      </c>
      <c r="G30" s="52">
        <v>77.44</v>
      </c>
      <c r="H30" s="52">
        <v>47.27</v>
      </c>
      <c r="I30" s="52">
        <v>1.94</v>
      </c>
      <c r="J30" s="52">
        <v>0.23</v>
      </c>
      <c r="K30" s="52">
        <v>356.65</v>
      </c>
      <c r="L30" s="52">
        <v>26.44</v>
      </c>
      <c r="M30" s="52">
        <v>102.36</v>
      </c>
      <c r="N30" s="52">
        <v>37.700000000000003</v>
      </c>
      <c r="O30" s="52">
        <v>0</v>
      </c>
      <c r="P30" s="52">
        <v>0.56999999999999995</v>
      </c>
      <c r="Q30" s="52">
        <v>9.32</v>
      </c>
      <c r="R30" s="43"/>
      <c r="S30" s="43"/>
      <c r="T30" s="43"/>
      <c r="U30" s="43"/>
    </row>
    <row r="31" spans="1:21" s="11" customFormat="1" x14ac:dyDescent="0.25">
      <c r="A31" s="51" t="s">
        <v>298</v>
      </c>
      <c r="B31" s="52">
        <v>8.0399999999999991</v>
      </c>
      <c r="C31" s="52">
        <v>3.09</v>
      </c>
      <c r="D31" s="52">
        <v>11.84</v>
      </c>
      <c r="E31" s="52">
        <v>4.6399999999999997</v>
      </c>
      <c r="F31" s="52">
        <v>3.87</v>
      </c>
      <c r="G31" s="52">
        <v>77.44</v>
      </c>
      <c r="H31" s="52">
        <v>47.27</v>
      </c>
      <c r="I31" s="52">
        <v>1.97</v>
      </c>
      <c r="J31" s="52">
        <v>0.27</v>
      </c>
      <c r="K31" s="52">
        <v>356.96</v>
      </c>
      <c r="L31" s="52">
        <v>26.12</v>
      </c>
      <c r="M31" s="52">
        <v>102.74</v>
      </c>
      <c r="N31" s="52">
        <v>37.4</v>
      </c>
      <c r="O31" s="52">
        <v>0</v>
      </c>
      <c r="P31" s="52">
        <v>0.53</v>
      </c>
      <c r="Q31" s="52">
        <v>9.2799999999999994</v>
      </c>
      <c r="R31" s="43"/>
      <c r="S31" s="43"/>
      <c r="T31" s="43"/>
      <c r="U31" s="43"/>
    </row>
    <row r="32" spans="1:21" s="11" customFormat="1" x14ac:dyDescent="0.25">
      <c r="A32" s="51" t="s">
        <v>299</v>
      </c>
      <c r="B32" s="52">
        <v>8.0299999999999994</v>
      </c>
      <c r="C32" s="52">
        <v>3.05</v>
      </c>
      <c r="D32" s="52">
        <v>11.81</v>
      </c>
      <c r="E32" s="52">
        <v>4.72</v>
      </c>
      <c r="F32" s="52">
        <v>4.12</v>
      </c>
      <c r="G32" s="52">
        <v>77.400000000000006</v>
      </c>
      <c r="H32" s="52">
        <v>47.27</v>
      </c>
      <c r="I32" s="52">
        <v>1.9</v>
      </c>
      <c r="J32" s="52">
        <v>0.23</v>
      </c>
      <c r="K32" s="52">
        <v>358.07</v>
      </c>
      <c r="L32" s="52">
        <v>25.86</v>
      </c>
      <c r="M32" s="52">
        <v>103.13</v>
      </c>
      <c r="N32" s="52">
        <v>37.6</v>
      </c>
      <c r="O32" s="52">
        <v>0</v>
      </c>
      <c r="P32" s="52">
        <v>0.48</v>
      </c>
      <c r="Q32" s="52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3</v>
      </c>
      <c r="D34" s="28">
        <f t="shared" si="0"/>
        <v>11.73</v>
      </c>
      <c r="E34" s="28">
        <f t="shared" si="0"/>
        <v>2.86</v>
      </c>
      <c r="F34" s="28">
        <f t="shared" si="0"/>
        <v>3.32</v>
      </c>
      <c r="G34" s="28">
        <f t="shared" si="0"/>
        <v>64</v>
      </c>
      <c r="H34" s="28">
        <f t="shared" si="0"/>
        <v>21.4</v>
      </c>
      <c r="I34" s="28">
        <f t="shared" si="0"/>
        <v>1.32</v>
      </c>
      <c r="J34" s="28">
        <f t="shared" si="0"/>
        <v>0.12</v>
      </c>
      <c r="K34" s="28">
        <f t="shared" si="0"/>
        <v>13.3</v>
      </c>
      <c r="L34" s="28">
        <f t="shared" si="0"/>
        <v>25.78</v>
      </c>
      <c r="M34" s="28">
        <f t="shared" si="0"/>
        <v>73.88</v>
      </c>
      <c r="N34" s="28">
        <f t="shared" si="0"/>
        <v>37.4</v>
      </c>
      <c r="O34" s="28">
        <f t="shared" si="0"/>
        <v>0</v>
      </c>
      <c r="P34" s="28">
        <f t="shared" si="0"/>
        <v>0.32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8.5500000000000007</v>
      </c>
      <c r="C35" s="29">
        <f t="shared" si="1"/>
        <v>3.87</v>
      </c>
      <c r="D35" s="29">
        <f t="shared" si="1"/>
        <v>12.65</v>
      </c>
      <c r="E35" s="29">
        <f t="shared" si="1"/>
        <v>5.07</v>
      </c>
      <c r="F35" s="29">
        <f t="shared" si="1"/>
        <v>6.29</v>
      </c>
      <c r="G35" s="29">
        <f t="shared" si="1"/>
        <v>122.38</v>
      </c>
      <c r="H35" s="29">
        <f t="shared" si="1"/>
        <v>53.92</v>
      </c>
      <c r="I35" s="29">
        <f t="shared" si="1"/>
        <v>6.11</v>
      </c>
      <c r="J35" s="29">
        <f t="shared" si="1"/>
        <v>0.49</v>
      </c>
      <c r="K35" s="29">
        <f t="shared" si="1"/>
        <v>359.13</v>
      </c>
      <c r="L35" s="29">
        <f t="shared" si="1"/>
        <v>33.04</v>
      </c>
      <c r="M35" s="29">
        <f t="shared" si="1"/>
        <v>104.11</v>
      </c>
      <c r="N35" s="29">
        <f t="shared" si="1"/>
        <v>1046.0999999999999</v>
      </c>
      <c r="O35" s="29">
        <f t="shared" si="1"/>
        <v>0</v>
      </c>
      <c r="P35" s="29">
        <f t="shared" si="1"/>
        <v>0.84</v>
      </c>
      <c r="Q35" s="29">
        <f t="shared" si="1"/>
        <v>9.86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8.0654166666666658</v>
      </c>
      <c r="C36" s="28">
        <f t="shared" si="2"/>
        <v>3.1545833333333331</v>
      </c>
      <c r="D36" s="28">
        <f t="shared" si="2"/>
        <v>11.88875</v>
      </c>
      <c r="E36" s="28">
        <f t="shared" si="2"/>
        <v>4.065833333333333</v>
      </c>
      <c r="F36" s="28">
        <f t="shared" si="2"/>
        <v>4.6029166666666672</v>
      </c>
      <c r="G36" s="28">
        <f t="shared" si="2"/>
        <v>78.943333333333342</v>
      </c>
      <c r="H36" s="28">
        <f t="shared" si="2"/>
        <v>40.578749999999992</v>
      </c>
      <c r="I36" s="28">
        <f t="shared" si="2"/>
        <v>3.1162500000000009</v>
      </c>
      <c r="J36" s="28">
        <f t="shared" si="2"/>
        <v>0.27916666666666673</v>
      </c>
      <c r="K36" s="28">
        <f t="shared" si="2"/>
        <v>316.94250000000005</v>
      </c>
      <c r="L36" s="28">
        <f t="shared" si="2"/>
        <v>28.71583333333334</v>
      </c>
      <c r="M36" s="28">
        <f t="shared" si="2"/>
        <v>92.533333333333317</v>
      </c>
      <c r="N36" s="28">
        <f t="shared" si="2"/>
        <v>311.78750000000008</v>
      </c>
      <c r="O36" s="28">
        <f t="shared" si="2"/>
        <v>0</v>
      </c>
      <c r="P36" s="28">
        <f t="shared" si="2"/>
        <v>0.51125000000000009</v>
      </c>
      <c r="Q36" s="28">
        <f t="shared" si="2"/>
        <v>9.3783333333333321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0.12061361833365365</v>
      </c>
      <c r="C37" s="28">
        <f t="shared" ref="C37:Q37" si="3">STDEV(C9:C32)</f>
        <v>0.17075227840269117</v>
      </c>
      <c r="D37" s="28">
        <f t="shared" si="3"/>
        <v>0.18125918267593469</v>
      </c>
      <c r="E37" s="28">
        <f t="shared" si="3"/>
        <v>0.66683494253054032</v>
      </c>
      <c r="F37" s="28">
        <f t="shared" si="3"/>
        <v>0.87484895176584043</v>
      </c>
      <c r="G37" s="28">
        <f t="shared" si="3"/>
        <v>14.808853892965169</v>
      </c>
      <c r="H37" s="28">
        <f t="shared" si="3"/>
        <v>9.4554779671340334</v>
      </c>
      <c r="I37" s="28">
        <f t="shared" si="3"/>
        <v>1.6771347525648808</v>
      </c>
      <c r="J37" s="28">
        <f t="shared" si="3"/>
        <v>8.9681400653582585E-2</v>
      </c>
      <c r="K37" s="28">
        <f t="shared" si="3"/>
        <v>95.937712820894092</v>
      </c>
      <c r="L37" s="28">
        <f t="shared" si="3"/>
        <v>2.6514293383441099</v>
      </c>
      <c r="M37" s="28">
        <f t="shared" si="3"/>
        <v>11.554672936378141</v>
      </c>
      <c r="N37" s="28">
        <f t="shared" si="3"/>
        <v>350.91414943222088</v>
      </c>
      <c r="O37" s="28">
        <f t="shared" si="3"/>
        <v>0</v>
      </c>
      <c r="P37" s="28">
        <f t="shared" si="3"/>
        <v>0.13759779131189948</v>
      </c>
      <c r="Q37" s="28">
        <f t="shared" si="3"/>
        <v>0.19923040336050202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300</v>
      </c>
      <c r="B9" s="52">
        <v>8.0299999999999994</v>
      </c>
      <c r="C9" s="52">
        <v>3.12</v>
      </c>
      <c r="D9" s="52">
        <v>11.85</v>
      </c>
      <c r="E9" s="52">
        <v>4.71</v>
      </c>
      <c r="F9" s="52">
        <v>4.7</v>
      </c>
      <c r="G9" s="52">
        <v>68.41</v>
      </c>
      <c r="H9" s="52">
        <v>49.74</v>
      </c>
      <c r="I9" s="52">
        <v>1.83</v>
      </c>
      <c r="J9" s="52">
        <v>0.25</v>
      </c>
      <c r="K9" s="52">
        <v>338.03</v>
      </c>
      <c r="L9" s="52">
        <v>25.85</v>
      </c>
      <c r="M9" s="52">
        <v>102.96</v>
      </c>
      <c r="N9" s="52">
        <v>37.5</v>
      </c>
      <c r="O9" s="52">
        <v>0</v>
      </c>
      <c r="P9" s="52">
        <v>0.42</v>
      </c>
      <c r="Q9" s="52">
        <v>9.24</v>
      </c>
      <c r="R9" s="43"/>
      <c r="S9" s="43"/>
      <c r="T9" s="43"/>
      <c r="U9" s="43"/>
    </row>
    <row r="10" spans="1:21" s="11" customFormat="1" x14ac:dyDescent="0.25">
      <c r="A10" s="51" t="s">
        <v>301</v>
      </c>
      <c r="B10" s="52">
        <v>7.94</v>
      </c>
      <c r="C10" s="52">
        <v>2.98</v>
      </c>
      <c r="D10" s="52">
        <v>11.7</v>
      </c>
      <c r="E10" s="52">
        <v>4.47</v>
      </c>
      <c r="F10" s="52">
        <v>4.6500000000000004</v>
      </c>
      <c r="G10" s="52">
        <v>58.33</v>
      </c>
      <c r="H10" s="52">
        <v>38.229999999999997</v>
      </c>
      <c r="I10" s="52">
        <v>1.65</v>
      </c>
      <c r="J10" s="52">
        <v>0.26</v>
      </c>
      <c r="K10" s="52">
        <v>359.8</v>
      </c>
      <c r="L10" s="52">
        <v>25.86</v>
      </c>
      <c r="M10" s="52">
        <v>102.97</v>
      </c>
      <c r="N10" s="52">
        <v>37.799999999999997</v>
      </c>
      <c r="O10" s="52">
        <v>0</v>
      </c>
      <c r="P10" s="52">
        <v>0.36</v>
      </c>
      <c r="Q10" s="52">
        <v>9.24</v>
      </c>
      <c r="R10" s="43"/>
      <c r="S10" s="43"/>
      <c r="T10" s="43"/>
      <c r="U10" s="43"/>
    </row>
    <row r="11" spans="1:21" s="11" customFormat="1" x14ac:dyDescent="0.25">
      <c r="A11" s="51" t="s">
        <v>302</v>
      </c>
      <c r="B11" s="52">
        <v>7.98</v>
      </c>
      <c r="C11" s="52">
        <v>3.05</v>
      </c>
      <c r="D11" s="52">
        <v>11.75</v>
      </c>
      <c r="E11" s="52">
        <v>4.58</v>
      </c>
      <c r="F11" s="52">
        <v>5.22</v>
      </c>
      <c r="G11" s="52">
        <v>46.61</v>
      </c>
      <c r="H11" s="52">
        <v>17.25</v>
      </c>
      <c r="I11" s="52">
        <v>1.48</v>
      </c>
      <c r="J11" s="52">
        <v>0.26</v>
      </c>
      <c r="K11" s="52">
        <v>358.61</v>
      </c>
      <c r="L11" s="52">
        <v>25.76</v>
      </c>
      <c r="M11" s="52">
        <v>102.9</v>
      </c>
      <c r="N11" s="52">
        <v>37.799999999999997</v>
      </c>
      <c r="O11" s="52">
        <v>0</v>
      </c>
      <c r="P11" s="52">
        <v>0.32</v>
      </c>
      <c r="Q11" s="52">
        <v>9.2200000000000006</v>
      </c>
      <c r="R11" s="43"/>
      <c r="S11" s="43"/>
      <c r="T11" s="43"/>
      <c r="U11" s="43"/>
    </row>
    <row r="12" spans="1:21" s="11" customFormat="1" x14ac:dyDescent="0.25">
      <c r="A12" s="51" t="s">
        <v>303</v>
      </c>
      <c r="B12" s="52">
        <v>8</v>
      </c>
      <c r="C12" s="52">
        <v>3.01</v>
      </c>
      <c r="D12" s="52">
        <v>11.75</v>
      </c>
      <c r="E12" s="52">
        <v>4.13</v>
      </c>
      <c r="F12" s="52">
        <v>4.12</v>
      </c>
      <c r="G12" s="52">
        <v>44.96</v>
      </c>
      <c r="H12" s="52">
        <v>5.98</v>
      </c>
      <c r="I12" s="52">
        <v>1.2</v>
      </c>
      <c r="J12" s="52">
        <v>0.2</v>
      </c>
      <c r="K12" s="52">
        <v>356.65</v>
      </c>
      <c r="L12" s="52">
        <v>25.65</v>
      </c>
      <c r="M12" s="52">
        <v>102.86</v>
      </c>
      <c r="N12" s="52">
        <v>38</v>
      </c>
      <c r="O12" s="52">
        <v>0</v>
      </c>
      <c r="P12" s="52">
        <v>0.28999999999999998</v>
      </c>
      <c r="Q12" s="52">
        <v>9.2100000000000009</v>
      </c>
      <c r="R12" s="43"/>
      <c r="S12" s="43"/>
      <c r="T12" s="43"/>
      <c r="U12" s="43"/>
    </row>
    <row r="13" spans="1:21" s="11" customFormat="1" x14ac:dyDescent="0.25">
      <c r="A13" s="51" t="s">
        <v>304</v>
      </c>
      <c r="B13" s="52">
        <v>8.01</v>
      </c>
      <c r="C13" s="52">
        <v>3.02</v>
      </c>
      <c r="D13" s="52">
        <v>11.78</v>
      </c>
      <c r="E13" s="52">
        <v>4.21</v>
      </c>
      <c r="F13" s="52">
        <v>4.67</v>
      </c>
      <c r="G13" s="52">
        <v>38.83</v>
      </c>
      <c r="H13" s="52">
        <v>10.65</v>
      </c>
      <c r="I13" s="52">
        <v>1</v>
      </c>
      <c r="J13" s="52">
        <v>0.21</v>
      </c>
      <c r="K13" s="52">
        <v>342.1</v>
      </c>
      <c r="L13" s="52">
        <v>25.21</v>
      </c>
      <c r="M13" s="52">
        <v>102.71</v>
      </c>
      <c r="N13" s="52">
        <v>37.799999999999997</v>
      </c>
      <c r="O13" s="52">
        <v>0</v>
      </c>
      <c r="P13" s="52">
        <v>0.26</v>
      </c>
      <c r="Q13" s="52">
        <v>9.19</v>
      </c>
      <c r="R13" s="43"/>
      <c r="S13" s="43"/>
      <c r="T13" s="43"/>
      <c r="U13" s="43"/>
    </row>
    <row r="14" spans="1:21" s="11" customFormat="1" x14ac:dyDescent="0.25">
      <c r="A14" s="51" t="s">
        <v>305</v>
      </c>
      <c r="B14" s="52">
        <v>7.98</v>
      </c>
      <c r="C14" s="52">
        <v>3.02</v>
      </c>
      <c r="D14" s="52">
        <v>11.75</v>
      </c>
      <c r="E14" s="52">
        <v>4.2300000000000004</v>
      </c>
      <c r="F14" s="52">
        <v>4.74</v>
      </c>
      <c r="G14" s="52">
        <v>32.299999999999997</v>
      </c>
      <c r="H14" s="52">
        <v>16.010000000000002</v>
      </c>
      <c r="I14" s="52">
        <v>1.0900000000000001</v>
      </c>
      <c r="J14" s="52">
        <v>0.26</v>
      </c>
      <c r="K14" s="52">
        <v>348.99</v>
      </c>
      <c r="L14" s="52">
        <v>24.86</v>
      </c>
      <c r="M14" s="52">
        <v>102.71</v>
      </c>
      <c r="N14" s="52">
        <v>45</v>
      </c>
      <c r="O14" s="52">
        <v>0</v>
      </c>
      <c r="P14" s="52">
        <v>0.26</v>
      </c>
      <c r="Q14" s="52">
        <v>9.14</v>
      </c>
      <c r="R14" s="43"/>
      <c r="S14" s="43"/>
      <c r="T14" s="43"/>
      <c r="U14" s="43"/>
    </row>
    <row r="15" spans="1:21" s="11" customFormat="1" x14ac:dyDescent="0.25">
      <c r="A15" s="51" t="s">
        <v>306</v>
      </c>
      <c r="B15" s="52">
        <v>7.99</v>
      </c>
      <c r="C15" s="52">
        <v>3.08</v>
      </c>
      <c r="D15" s="52">
        <v>11.79</v>
      </c>
      <c r="E15" s="52">
        <v>4.53</v>
      </c>
      <c r="F15" s="52">
        <v>4.2300000000000004</v>
      </c>
      <c r="G15" s="52">
        <v>32.770000000000003</v>
      </c>
      <c r="H15" s="52">
        <v>16.010000000000002</v>
      </c>
      <c r="I15" s="52">
        <v>1.08</v>
      </c>
      <c r="J15" s="52">
        <v>0.24</v>
      </c>
      <c r="K15" s="52">
        <v>352.1</v>
      </c>
      <c r="L15" s="52">
        <v>25</v>
      </c>
      <c r="M15" s="52">
        <v>102.56</v>
      </c>
      <c r="N15" s="52">
        <v>56.9</v>
      </c>
      <c r="O15" s="52">
        <v>0</v>
      </c>
      <c r="P15" s="52">
        <v>0.23</v>
      </c>
      <c r="Q15" s="52">
        <v>9.1999999999999993</v>
      </c>
      <c r="R15" s="43"/>
      <c r="S15" s="43"/>
      <c r="T15" s="43"/>
      <c r="U15" s="43"/>
    </row>
    <row r="16" spans="1:21" s="11" customFormat="1" x14ac:dyDescent="0.25">
      <c r="A16" s="51" t="s">
        <v>307</v>
      </c>
      <c r="B16" s="52">
        <v>8.02</v>
      </c>
      <c r="C16" s="52">
        <v>3.1</v>
      </c>
      <c r="D16" s="52">
        <v>11.82</v>
      </c>
      <c r="E16" s="52">
        <v>4.38</v>
      </c>
      <c r="F16" s="52">
        <v>4.08</v>
      </c>
      <c r="G16" s="52">
        <v>35.83</v>
      </c>
      <c r="H16" s="52">
        <v>15.03</v>
      </c>
      <c r="I16" s="52">
        <v>1.17</v>
      </c>
      <c r="J16" s="52">
        <v>0.24</v>
      </c>
      <c r="K16" s="52">
        <v>347.45</v>
      </c>
      <c r="L16" s="52">
        <v>25.89</v>
      </c>
      <c r="M16" s="52">
        <v>103.16</v>
      </c>
      <c r="N16" s="52">
        <v>192</v>
      </c>
      <c r="O16" s="52">
        <v>0</v>
      </c>
      <c r="P16" s="52">
        <v>0.25</v>
      </c>
      <c r="Q16" s="52">
        <v>9.2200000000000006</v>
      </c>
      <c r="R16" s="43"/>
      <c r="S16" s="43"/>
      <c r="T16" s="43"/>
      <c r="U16" s="43"/>
    </row>
    <row r="17" spans="1:21" s="11" customFormat="1" x14ac:dyDescent="0.25">
      <c r="A17" s="51" t="s">
        <v>308</v>
      </c>
      <c r="B17" s="52">
        <v>8.0299999999999994</v>
      </c>
      <c r="C17" s="52">
        <v>3.02</v>
      </c>
      <c r="D17" s="52">
        <v>11.78</v>
      </c>
      <c r="E17" s="52">
        <v>4.59</v>
      </c>
      <c r="F17" s="52">
        <v>4.0999999999999996</v>
      </c>
      <c r="G17" s="52">
        <v>43.22</v>
      </c>
      <c r="H17" s="52">
        <v>15.03</v>
      </c>
      <c r="I17" s="52">
        <v>1.26</v>
      </c>
      <c r="J17" s="52">
        <v>0.33</v>
      </c>
      <c r="K17" s="52">
        <v>348.15</v>
      </c>
      <c r="L17" s="52">
        <v>26.81</v>
      </c>
      <c r="M17" s="52">
        <v>102.53</v>
      </c>
      <c r="N17" s="52">
        <v>241.3</v>
      </c>
      <c r="O17" s="52">
        <v>0</v>
      </c>
      <c r="P17" s="52">
        <v>0.27</v>
      </c>
      <c r="Q17" s="52">
        <v>9.2200000000000006</v>
      </c>
      <c r="R17" s="43"/>
      <c r="S17" s="43"/>
      <c r="T17" s="43"/>
      <c r="U17" s="43"/>
    </row>
    <row r="18" spans="1:21" s="11" customFormat="1" x14ac:dyDescent="0.25">
      <c r="A18" s="51" t="s">
        <v>309</v>
      </c>
      <c r="B18" s="52">
        <v>8.02</v>
      </c>
      <c r="C18" s="52">
        <v>2.98</v>
      </c>
      <c r="D18" s="52">
        <v>11.76</v>
      </c>
      <c r="E18" s="52">
        <v>4.42</v>
      </c>
      <c r="F18" s="52">
        <v>4.41</v>
      </c>
      <c r="G18" s="52">
        <v>44.42</v>
      </c>
      <c r="H18" s="52">
        <v>19.61</v>
      </c>
      <c r="I18" s="52">
        <v>1.18</v>
      </c>
      <c r="J18" s="52">
        <v>0.36</v>
      </c>
      <c r="K18" s="52">
        <v>351.18</v>
      </c>
      <c r="L18" s="52">
        <v>27.82</v>
      </c>
      <c r="M18" s="52">
        <v>100.47</v>
      </c>
      <c r="N18" s="52">
        <v>293.60000000000002</v>
      </c>
      <c r="O18" s="52">
        <v>0</v>
      </c>
      <c r="P18" s="52">
        <v>0.31</v>
      </c>
      <c r="Q18" s="52">
        <v>9.23</v>
      </c>
      <c r="R18" s="43"/>
      <c r="S18" s="43"/>
      <c r="T18" s="43"/>
      <c r="U18" s="43"/>
    </row>
    <row r="19" spans="1:21" s="11" customFormat="1" x14ac:dyDescent="0.25">
      <c r="A19" s="51" t="s">
        <v>310</v>
      </c>
      <c r="B19" s="52">
        <v>8</v>
      </c>
      <c r="C19" s="52">
        <v>3.08</v>
      </c>
      <c r="D19" s="52">
        <v>11.8</v>
      </c>
      <c r="E19" s="52">
        <v>4.33</v>
      </c>
      <c r="F19" s="52">
        <v>4.01</v>
      </c>
      <c r="G19" s="52">
        <v>50.08</v>
      </c>
      <c r="H19" s="52">
        <v>19.61</v>
      </c>
      <c r="I19" s="52">
        <v>1.1200000000000001</v>
      </c>
      <c r="J19" s="52">
        <v>0.28999999999999998</v>
      </c>
      <c r="K19" s="52">
        <v>349.38</v>
      </c>
      <c r="L19" s="52">
        <v>27.8</v>
      </c>
      <c r="M19" s="52">
        <v>99.1</v>
      </c>
      <c r="N19" s="52">
        <v>182.9</v>
      </c>
      <c r="O19" s="52">
        <v>0</v>
      </c>
      <c r="P19" s="52">
        <v>0.35</v>
      </c>
      <c r="Q19" s="52">
        <v>9.2899999999999991</v>
      </c>
      <c r="R19" s="43"/>
      <c r="S19" s="43"/>
      <c r="T19" s="43"/>
      <c r="U19" s="43"/>
    </row>
    <row r="20" spans="1:21" s="11" customFormat="1" x14ac:dyDescent="0.25">
      <c r="A20" s="51" t="s">
        <v>311</v>
      </c>
      <c r="B20" s="52">
        <v>8.02</v>
      </c>
      <c r="C20" s="52">
        <v>3.12</v>
      </c>
      <c r="D20" s="52">
        <v>11.83</v>
      </c>
      <c r="E20" s="52">
        <v>3.93</v>
      </c>
      <c r="F20" s="52">
        <v>4.45</v>
      </c>
      <c r="G20" s="52">
        <v>51.41</v>
      </c>
      <c r="H20" s="52">
        <v>15.61</v>
      </c>
      <c r="I20" s="52">
        <v>1.27</v>
      </c>
      <c r="J20" s="52">
        <v>0.27</v>
      </c>
      <c r="K20" s="52">
        <v>350.14</v>
      </c>
      <c r="L20" s="52">
        <v>27.81</v>
      </c>
      <c r="M20" s="52">
        <v>102.43</v>
      </c>
      <c r="N20" s="52">
        <v>455.5</v>
      </c>
      <c r="O20" s="52">
        <v>0</v>
      </c>
      <c r="P20" s="52">
        <v>0.37</v>
      </c>
      <c r="Q20" s="52">
        <v>9.3000000000000007</v>
      </c>
      <c r="R20" s="43"/>
      <c r="S20" s="43"/>
      <c r="T20" s="43"/>
      <c r="U20" s="43"/>
    </row>
    <row r="21" spans="1:21" s="11" customFormat="1" x14ac:dyDescent="0.25">
      <c r="A21" s="51" t="s">
        <v>312</v>
      </c>
      <c r="B21" s="52">
        <v>8.07</v>
      </c>
      <c r="C21" s="52">
        <v>3.11</v>
      </c>
      <c r="D21" s="52">
        <v>11.84</v>
      </c>
      <c r="E21" s="52">
        <v>3.86</v>
      </c>
      <c r="F21" s="52">
        <v>3.91</v>
      </c>
      <c r="G21" s="52">
        <v>52.82</v>
      </c>
      <c r="H21" s="52">
        <v>43.84</v>
      </c>
      <c r="I21" s="52">
        <v>1.28</v>
      </c>
      <c r="J21" s="52">
        <v>0.46</v>
      </c>
      <c r="K21" s="52">
        <v>327.23</v>
      </c>
      <c r="L21" s="52">
        <v>30.13</v>
      </c>
      <c r="M21" s="52">
        <v>93.12</v>
      </c>
      <c r="N21" s="52">
        <v>361.8</v>
      </c>
      <c r="O21" s="52">
        <v>0</v>
      </c>
      <c r="P21" s="52">
        <v>0.49</v>
      </c>
      <c r="Q21" s="52">
        <v>9.26</v>
      </c>
      <c r="R21" s="43"/>
      <c r="S21" s="43"/>
      <c r="T21" s="43"/>
      <c r="U21" s="43"/>
    </row>
    <row r="22" spans="1:21" s="11" customFormat="1" x14ac:dyDescent="0.25">
      <c r="A22" s="51" t="s">
        <v>313</v>
      </c>
      <c r="B22" s="52">
        <v>8.0299999999999994</v>
      </c>
      <c r="C22" s="52">
        <v>3.07</v>
      </c>
      <c r="D22" s="52">
        <v>11.82</v>
      </c>
      <c r="E22" s="52">
        <v>4.29</v>
      </c>
      <c r="F22" s="52">
        <v>4.7699999999999996</v>
      </c>
      <c r="G22" s="52">
        <v>58.78</v>
      </c>
      <c r="H22" s="52">
        <v>43.84</v>
      </c>
      <c r="I22" s="52">
        <v>1.74</v>
      </c>
      <c r="J22" s="52">
        <v>0.34</v>
      </c>
      <c r="K22" s="52">
        <v>325.33999999999997</v>
      </c>
      <c r="L22" s="52">
        <v>30.98</v>
      </c>
      <c r="M22" s="52">
        <v>90.43</v>
      </c>
      <c r="N22" s="52">
        <v>506.1</v>
      </c>
      <c r="O22" s="52">
        <v>0</v>
      </c>
      <c r="P22" s="52">
        <v>0.56000000000000005</v>
      </c>
      <c r="Q22" s="52">
        <v>9.3000000000000007</v>
      </c>
      <c r="R22" s="43"/>
      <c r="S22" s="43"/>
      <c r="T22" s="43"/>
      <c r="U22" s="43"/>
    </row>
    <row r="23" spans="1:21" s="11" customFormat="1" x14ac:dyDescent="0.25">
      <c r="A23" s="51" t="s">
        <v>314</v>
      </c>
      <c r="B23" s="52">
        <v>7.98</v>
      </c>
      <c r="C23" s="52">
        <v>3.03</v>
      </c>
      <c r="D23" s="52">
        <v>11.76</v>
      </c>
      <c r="E23" s="52">
        <v>4.01</v>
      </c>
      <c r="F23" s="52">
        <v>4.5599999999999996</v>
      </c>
      <c r="G23" s="52">
        <v>62.44</v>
      </c>
      <c r="H23" s="52">
        <v>40.840000000000003</v>
      </c>
      <c r="I23" s="52">
        <v>1.77</v>
      </c>
      <c r="J23" s="52">
        <v>0.36</v>
      </c>
      <c r="K23" s="52">
        <v>341.91</v>
      </c>
      <c r="L23" s="52">
        <v>30.49</v>
      </c>
      <c r="M23" s="52">
        <v>89.44</v>
      </c>
      <c r="N23" s="52">
        <v>342.8</v>
      </c>
      <c r="O23" s="52">
        <v>0</v>
      </c>
      <c r="P23" s="52">
        <v>0.55000000000000004</v>
      </c>
      <c r="Q23" s="52">
        <v>9.1999999999999993</v>
      </c>
      <c r="R23" s="43"/>
      <c r="S23" s="43"/>
      <c r="T23" s="43"/>
      <c r="U23" s="43"/>
    </row>
    <row r="24" spans="1:21" s="11" customFormat="1" x14ac:dyDescent="0.25">
      <c r="A24" s="51" t="s">
        <v>315</v>
      </c>
      <c r="B24" s="52">
        <v>7.94</v>
      </c>
      <c r="C24" s="52">
        <v>3.01</v>
      </c>
      <c r="D24" s="52">
        <v>11.71</v>
      </c>
      <c r="E24" s="52">
        <v>4.2</v>
      </c>
      <c r="F24" s="52">
        <v>5.77</v>
      </c>
      <c r="G24" s="52">
        <v>62.44</v>
      </c>
      <c r="H24" s="52">
        <v>40.840000000000003</v>
      </c>
      <c r="I24" s="52">
        <v>1.81</v>
      </c>
      <c r="J24" s="52">
        <v>0.33</v>
      </c>
      <c r="K24" s="52">
        <v>351.44</v>
      </c>
      <c r="L24" s="52">
        <v>31.28</v>
      </c>
      <c r="M24" s="52">
        <v>87.08</v>
      </c>
      <c r="N24" s="52">
        <v>304.2</v>
      </c>
      <c r="O24" s="52">
        <v>0</v>
      </c>
      <c r="P24" s="52">
        <v>0.52</v>
      </c>
      <c r="Q24" s="52">
        <v>9.25</v>
      </c>
      <c r="R24" s="43"/>
      <c r="S24" s="43"/>
      <c r="T24" s="43"/>
      <c r="U24" s="43"/>
    </row>
    <row r="25" spans="1:21" s="11" customFormat="1" x14ac:dyDescent="0.25">
      <c r="A25" s="51" t="s">
        <v>316</v>
      </c>
      <c r="B25" s="52">
        <v>8</v>
      </c>
      <c r="C25" s="52">
        <v>3.13</v>
      </c>
      <c r="D25" s="52">
        <v>11.83</v>
      </c>
      <c r="E25" s="52">
        <v>4.3899999999999997</v>
      </c>
      <c r="F25" s="52">
        <v>5.85</v>
      </c>
      <c r="G25" s="52">
        <v>60.15</v>
      </c>
      <c r="H25" s="52">
        <v>30.42</v>
      </c>
      <c r="I25" s="52">
        <v>1.95</v>
      </c>
      <c r="J25" s="52">
        <v>0.35</v>
      </c>
      <c r="K25" s="52">
        <v>323.41000000000003</v>
      </c>
      <c r="L25" s="52">
        <v>30.2</v>
      </c>
      <c r="M25" s="52">
        <v>87.36</v>
      </c>
      <c r="N25" s="52">
        <v>150.19999999999999</v>
      </c>
      <c r="O25" s="52">
        <v>0</v>
      </c>
      <c r="P25" s="52">
        <v>0.52</v>
      </c>
      <c r="Q25" s="52">
        <v>9.23</v>
      </c>
      <c r="R25" s="43"/>
      <c r="S25" s="43"/>
      <c r="T25" s="43"/>
      <c r="U25" s="43"/>
    </row>
    <row r="26" spans="1:21" s="11" customFormat="1" x14ac:dyDescent="0.25">
      <c r="A26" s="51" t="s">
        <v>317</v>
      </c>
      <c r="B26" s="52">
        <v>8.0500000000000007</v>
      </c>
      <c r="C26" s="52">
        <v>3.13</v>
      </c>
      <c r="D26" s="52">
        <v>11.87</v>
      </c>
      <c r="E26" s="52">
        <v>4.2</v>
      </c>
      <c r="F26" s="52">
        <v>3.77</v>
      </c>
      <c r="G26" s="52">
        <v>70.760000000000005</v>
      </c>
      <c r="H26" s="52">
        <v>30.42</v>
      </c>
      <c r="I26" s="52">
        <v>2.78</v>
      </c>
      <c r="J26" s="52">
        <v>0.26</v>
      </c>
      <c r="K26" s="52">
        <v>332.63</v>
      </c>
      <c r="L26" s="52">
        <v>30.25</v>
      </c>
      <c r="M26" s="52">
        <v>92.06</v>
      </c>
      <c r="N26" s="52">
        <v>111.7</v>
      </c>
      <c r="O26" s="52">
        <v>0</v>
      </c>
      <c r="P26" s="52">
        <v>0.57999999999999996</v>
      </c>
      <c r="Q26" s="52">
        <v>9.3800000000000008</v>
      </c>
      <c r="R26" s="43"/>
      <c r="S26" s="43"/>
      <c r="T26" s="43"/>
      <c r="U26" s="43"/>
    </row>
    <row r="27" spans="1:21" s="11" customFormat="1" x14ac:dyDescent="0.25">
      <c r="A27" s="51" t="s">
        <v>318</v>
      </c>
      <c r="B27" s="52">
        <v>8.0399999999999991</v>
      </c>
      <c r="C27" s="52">
        <v>3.15</v>
      </c>
      <c r="D27" s="52">
        <v>11.86</v>
      </c>
      <c r="E27" s="52">
        <v>4.66</v>
      </c>
      <c r="F27" s="52">
        <v>4.24</v>
      </c>
      <c r="G27" s="52">
        <v>82.15</v>
      </c>
      <c r="H27" s="52">
        <v>30.77</v>
      </c>
      <c r="I27" s="52">
        <v>3.38</v>
      </c>
      <c r="J27" s="52">
        <v>0.2</v>
      </c>
      <c r="K27" s="52">
        <v>330.24</v>
      </c>
      <c r="L27" s="52">
        <v>29.05</v>
      </c>
      <c r="M27" s="52">
        <v>96.91</v>
      </c>
      <c r="N27" s="52">
        <v>67.3</v>
      </c>
      <c r="O27" s="52">
        <v>0</v>
      </c>
      <c r="P27" s="52">
        <v>0.6</v>
      </c>
      <c r="Q27" s="52">
        <v>9.41</v>
      </c>
      <c r="R27" s="43"/>
      <c r="S27" s="43"/>
      <c r="T27" s="43"/>
      <c r="U27" s="43"/>
    </row>
    <row r="28" spans="1:21" s="11" customFormat="1" x14ac:dyDescent="0.25">
      <c r="A28" s="51" t="s">
        <v>319</v>
      </c>
      <c r="B28" s="52">
        <v>8.0299999999999994</v>
      </c>
      <c r="C28" s="52">
        <v>3.11</v>
      </c>
      <c r="D28" s="52">
        <v>11.84</v>
      </c>
      <c r="E28" s="52">
        <v>4.54</v>
      </c>
      <c r="F28" s="52">
        <v>4.8099999999999996</v>
      </c>
      <c r="G28" s="52">
        <v>82.15</v>
      </c>
      <c r="H28" s="52">
        <v>38.53</v>
      </c>
      <c r="I28" s="52">
        <v>3.82</v>
      </c>
      <c r="J28" s="52">
        <v>0.43</v>
      </c>
      <c r="K28" s="52">
        <v>329.21</v>
      </c>
      <c r="L28" s="52">
        <v>28.19</v>
      </c>
      <c r="M28" s="52">
        <v>102.58</v>
      </c>
      <c r="N28" s="52">
        <v>42.1</v>
      </c>
      <c r="O28" s="52">
        <v>4.4000000000000004</v>
      </c>
      <c r="P28" s="52">
        <v>0.6</v>
      </c>
      <c r="Q28" s="52">
        <v>9.4</v>
      </c>
      <c r="R28" s="43"/>
      <c r="S28" s="43"/>
      <c r="T28" s="43"/>
      <c r="U28" s="43"/>
    </row>
    <row r="29" spans="1:21" s="11" customFormat="1" x14ac:dyDescent="0.25">
      <c r="A29" s="51" t="s">
        <v>320</v>
      </c>
      <c r="B29" s="52">
        <v>8.07</v>
      </c>
      <c r="C29" s="52">
        <v>3.19</v>
      </c>
      <c r="D29" s="52">
        <v>11.91</v>
      </c>
      <c r="E29" s="52">
        <v>4.49</v>
      </c>
      <c r="F29" s="52">
        <v>5.14</v>
      </c>
      <c r="G29" s="52">
        <v>71.069999999999993</v>
      </c>
      <c r="H29" s="52">
        <v>38.53</v>
      </c>
      <c r="I29" s="52">
        <v>3.15</v>
      </c>
      <c r="J29" s="52">
        <v>0.23</v>
      </c>
      <c r="K29" s="52">
        <v>305.62</v>
      </c>
      <c r="L29" s="52">
        <v>24.72</v>
      </c>
      <c r="M29" s="52">
        <v>102.64</v>
      </c>
      <c r="N29" s="52">
        <v>38</v>
      </c>
      <c r="O29" s="52">
        <v>0</v>
      </c>
      <c r="P29" s="52">
        <v>0.59</v>
      </c>
      <c r="Q29" s="52">
        <v>9.3800000000000008</v>
      </c>
      <c r="R29" s="43"/>
      <c r="S29" s="43"/>
      <c r="T29" s="43"/>
      <c r="U29" s="43"/>
    </row>
    <row r="30" spans="1:21" s="11" customFormat="1" x14ac:dyDescent="0.25">
      <c r="A30" s="51" t="s">
        <v>321</v>
      </c>
      <c r="B30" s="52">
        <v>8.08</v>
      </c>
      <c r="C30" s="52">
        <v>3.14</v>
      </c>
      <c r="D30" s="52">
        <v>11.89</v>
      </c>
      <c r="E30" s="52">
        <v>4.5999999999999996</v>
      </c>
      <c r="F30" s="52">
        <v>3.65</v>
      </c>
      <c r="G30" s="52">
        <v>57.2</v>
      </c>
      <c r="H30" s="52">
        <v>34.24</v>
      </c>
      <c r="I30" s="52">
        <v>4.2</v>
      </c>
      <c r="J30" s="52">
        <v>0.2</v>
      </c>
      <c r="K30" s="52">
        <v>299.45</v>
      </c>
      <c r="L30" s="52">
        <v>24.94</v>
      </c>
      <c r="M30" s="52">
        <v>102.45</v>
      </c>
      <c r="N30" s="52">
        <v>38.200000000000003</v>
      </c>
      <c r="O30" s="52">
        <v>0</v>
      </c>
      <c r="P30" s="52">
        <v>0.75</v>
      </c>
      <c r="Q30" s="52">
        <v>9.44</v>
      </c>
      <c r="R30" s="43"/>
      <c r="S30" s="43"/>
      <c r="T30" s="43"/>
      <c r="U30" s="43"/>
    </row>
    <row r="31" spans="1:21" s="11" customFormat="1" x14ac:dyDescent="0.25">
      <c r="A31" s="51" t="s">
        <v>322</v>
      </c>
      <c r="B31" s="52">
        <v>8.11</v>
      </c>
      <c r="C31" s="52">
        <v>3.1</v>
      </c>
      <c r="D31" s="52">
        <v>11.9</v>
      </c>
      <c r="E31" s="52">
        <v>4.62</v>
      </c>
      <c r="F31" s="52">
        <v>4.2300000000000004</v>
      </c>
      <c r="G31" s="52">
        <v>60.74</v>
      </c>
      <c r="H31" s="52">
        <v>52.75</v>
      </c>
      <c r="I31" s="52">
        <v>5</v>
      </c>
      <c r="J31" s="52">
        <v>0.17</v>
      </c>
      <c r="K31" s="52">
        <v>359.76</v>
      </c>
      <c r="L31" s="52">
        <v>25.41</v>
      </c>
      <c r="M31" s="52">
        <v>102.47</v>
      </c>
      <c r="N31" s="52">
        <v>37.700000000000003</v>
      </c>
      <c r="O31" s="52">
        <v>0</v>
      </c>
      <c r="P31" s="52">
        <v>0.8</v>
      </c>
      <c r="Q31" s="52">
        <v>9.5399999999999991</v>
      </c>
      <c r="R31" s="43"/>
      <c r="S31" s="43"/>
      <c r="T31" s="43"/>
      <c r="U31" s="43"/>
    </row>
    <row r="32" spans="1:21" s="11" customFormat="1" x14ac:dyDescent="0.25">
      <c r="A32" s="51" t="s">
        <v>323</v>
      </c>
      <c r="B32" s="52">
        <v>8.0500000000000007</v>
      </c>
      <c r="C32" s="52">
        <v>3.11</v>
      </c>
      <c r="D32" s="52">
        <v>11.86</v>
      </c>
      <c r="E32" s="52">
        <v>4.22</v>
      </c>
      <c r="F32" s="52">
        <v>4.25</v>
      </c>
      <c r="G32" s="52">
        <v>60.74</v>
      </c>
      <c r="H32" s="52">
        <v>52.75</v>
      </c>
      <c r="I32" s="52">
        <v>5.14</v>
      </c>
      <c r="J32" s="52">
        <v>0.13</v>
      </c>
      <c r="K32" s="52">
        <v>328.01</v>
      </c>
      <c r="L32" s="52">
        <v>25.58</v>
      </c>
      <c r="M32" s="52">
        <v>102.5</v>
      </c>
      <c r="N32" s="52">
        <v>37.799999999999997</v>
      </c>
      <c r="O32" s="52">
        <v>0</v>
      </c>
      <c r="P32" s="52">
        <v>0.79</v>
      </c>
      <c r="Q32" s="52">
        <v>9.52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7.94</v>
      </c>
      <c r="C34" s="28">
        <f t="shared" si="0"/>
        <v>2.98</v>
      </c>
      <c r="D34" s="28">
        <f t="shared" si="0"/>
        <v>11.7</v>
      </c>
      <c r="E34" s="28">
        <f t="shared" si="0"/>
        <v>3.86</v>
      </c>
      <c r="F34" s="28">
        <f t="shared" si="0"/>
        <v>3.65</v>
      </c>
      <c r="G34" s="28">
        <f t="shared" si="0"/>
        <v>32.299999999999997</v>
      </c>
      <c r="H34" s="28">
        <f t="shared" si="0"/>
        <v>5.98</v>
      </c>
      <c r="I34" s="28">
        <f t="shared" si="0"/>
        <v>1</v>
      </c>
      <c r="J34" s="28">
        <f t="shared" si="0"/>
        <v>0.13</v>
      </c>
      <c r="K34" s="28">
        <f t="shared" si="0"/>
        <v>299.45</v>
      </c>
      <c r="L34" s="28">
        <f t="shared" si="0"/>
        <v>24.72</v>
      </c>
      <c r="M34" s="28">
        <f t="shared" si="0"/>
        <v>87.08</v>
      </c>
      <c r="N34" s="28">
        <f t="shared" si="0"/>
        <v>37.5</v>
      </c>
      <c r="O34" s="28">
        <f t="shared" si="0"/>
        <v>0</v>
      </c>
      <c r="P34" s="28">
        <f t="shared" si="0"/>
        <v>0.23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8.11</v>
      </c>
      <c r="C35" s="29">
        <f t="shared" si="1"/>
        <v>3.19</v>
      </c>
      <c r="D35" s="29">
        <f t="shared" si="1"/>
        <v>11.91</v>
      </c>
      <c r="E35" s="29">
        <f t="shared" si="1"/>
        <v>4.71</v>
      </c>
      <c r="F35" s="29">
        <f t="shared" si="1"/>
        <v>5.85</v>
      </c>
      <c r="G35" s="29">
        <f t="shared" si="1"/>
        <v>82.15</v>
      </c>
      <c r="H35" s="29">
        <f t="shared" si="1"/>
        <v>52.75</v>
      </c>
      <c r="I35" s="29">
        <f t="shared" si="1"/>
        <v>5.14</v>
      </c>
      <c r="J35" s="29">
        <f t="shared" si="1"/>
        <v>0.46</v>
      </c>
      <c r="K35" s="29">
        <f t="shared" si="1"/>
        <v>359.8</v>
      </c>
      <c r="L35" s="29">
        <f t="shared" si="1"/>
        <v>31.28</v>
      </c>
      <c r="M35" s="29">
        <f t="shared" si="1"/>
        <v>103.16</v>
      </c>
      <c r="N35" s="29">
        <f t="shared" si="1"/>
        <v>506.1</v>
      </c>
      <c r="O35" s="29">
        <f t="shared" si="1"/>
        <v>4.4000000000000004</v>
      </c>
      <c r="P35" s="29">
        <f t="shared" si="1"/>
        <v>0.8</v>
      </c>
      <c r="Q35" s="29">
        <f t="shared" si="1"/>
        <v>9.5399999999999991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8.0195833333333351</v>
      </c>
      <c r="C36" s="28">
        <f t="shared" si="2"/>
        <v>3.0775000000000001</v>
      </c>
      <c r="D36" s="28">
        <f t="shared" si="2"/>
        <v>11.810416666666667</v>
      </c>
      <c r="E36" s="28">
        <f t="shared" si="2"/>
        <v>4.3579166666666671</v>
      </c>
      <c r="F36" s="28">
        <f t="shared" si="2"/>
        <v>4.5137499999999999</v>
      </c>
      <c r="G36" s="28">
        <f t="shared" si="2"/>
        <v>55.358750000000008</v>
      </c>
      <c r="H36" s="28">
        <f t="shared" si="2"/>
        <v>29.85541666666667</v>
      </c>
      <c r="I36" s="28">
        <f t="shared" si="2"/>
        <v>2.1395833333333329</v>
      </c>
      <c r="J36" s="28">
        <f t="shared" si="2"/>
        <v>0.27625</v>
      </c>
      <c r="K36" s="28">
        <f t="shared" si="2"/>
        <v>339.86791666666664</v>
      </c>
      <c r="L36" s="28">
        <f t="shared" si="2"/>
        <v>27.314166666666676</v>
      </c>
      <c r="M36" s="28">
        <f t="shared" si="2"/>
        <v>99.016666666666652</v>
      </c>
      <c r="N36" s="28">
        <f t="shared" si="2"/>
        <v>153.91666666666666</v>
      </c>
      <c r="O36" s="28">
        <f t="shared" si="2"/>
        <v>0.18333333333333335</v>
      </c>
      <c r="P36" s="28">
        <f t="shared" si="2"/>
        <v>0.45999999999999996</v>
      </c>
      <c r="Q36" s="28">
        <f t="shared" si="2"/>
        <v>9.2920833333333324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4.1228859316984487E-2</v>
      </c>
      <c r="C37" s="28">
        <f t="shared" ref="C37:Q37" si="3">STDEV(C9:C32)</f>
        <v>5.7577924513691446E-2</v>
      </c>
      <c r="D37" s="28">
        <f t="shared" si="3"/>
        <v>5.8121250073832134E-2</v>
      </c>
      <c r="E37" s="28">
        <f t="shared" si="3"/>
        <v>0.23409361127672773</v>
      </c>
      <c r="F37" s="28">
        <f t="shared" si="3"/>
        <v>0.56304152677184016</v>
      </c>
      <c r="G37" s="28">
        <f t="shared" si="3"/>
        <v>13.976867632067851</v>
      </c>
      <c r="H37" s="28">
        <f t="shared" si="3"/>
        <v>14.220522518121676</v>
      </c>
      <c r="I37" s="28">
        <f t="shared" si="3"/>
        <v>1.285533146602799</v>
      </c>
      <c r="J37" s="28">
        <f t="shared" si="3"/>
        <v>8.0206933452869542E-2</v>
      </c>
      <c r="K37" s="28">
        <f t="shared" si="3"/>
        <v>16.289046460779996</v>
      </c>
      <c r="L37" s="28">
        <f t="shared" si="3"/>
        <v>2.237789897016341</v>
      </c>
      <c r="M37" s="28">
        <f t="shared" si="3"/>
        <v>5.6615773394889235</v>
      </c>
      <c r="N37" s="28">
        <f t="shared" si="3"/>
        <v>148.94300826203605</v>
      </c>
      <c r="O37" s="28">
        <f t="shared" si="3"/>
        <v>0.89814623902049873</v>
      </c>
      <c r="P37" s="28">
        <f t="shared" si="3"/>
        <v>0.17707772795902499</v>
      </c>
      <c r="Q37" s="28">
        <f t="shared" si="3"/>
        <v>0.10737901854267608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324</v>
      </c>
      <c r="B9" s="52">
        <v>8.1300000000000008</v>
      </c>
      <c r="C9" s="52">
        <v>3.26</v>
      </c>
      <c r="D9" s="52">
        <v>11.99</v>
      </c>
      <c r="E9" s="52">
        <v>4.05</v>
      </c>
      <c r="F9" s="52">
        <v>4.2</v>
      </c>
      <c r="G9" s="52">
        <v>50.37</v>
      </c>
      <c r="H9" s="52">
        <v>36.78</v>
      </c>
      <c r="I9" s="52">
        <v>4.95</v>
      </c>
      <c r="J9" s="52">
        <v>0.24</v>
      </c>
      <c r="K9" s="52">
        <v>354.33</v>
      </c>
      <c r="L9" s="52">
        <v>25.53</v>
      </c>
      <c r="M9" s="52">
        <v>102.53</v>
      </c>
      <c r="N9" s="52">
        <v>37.9</v>
      </c>
      <c r="O9" s="52">
        <v>0</v>
      </c>
      <c r="P9" s="52">
        <v>0.7</v>
      </c>
      <c r="Q9" s="52">
        <v>9.5</v>
      </c>
      <c r="R9" s="43"/>
      <c r="S9" s="43"/>
      <c r="T9" s="43"/>
      <c r="U9" s="43"/>
    </row>
    <row r="10" spans="1:21" s="11" customFormat="1" x14ac:dyDescent="0.25">
      <c r="A10" s="51" t="s">
        <v>325</v>
      </c>
      <c r="B10" s="52">
        <v>8.0399999999999991</v>
      </c>
      <c r="C10" s="52">
        <v>3.07</v>
      </c>
      <c r="D10" s="52">
        <v>11.8</v>
      </c>
      <c r="E10" s="52">
        <v>4.12</v>
      </c>
      <c r="F10" s="52">
        <v>4.2699999999999996</v>
      </c>
      <c r="G10" s="52">
        <v>43.63</v>
      </c>
      <c r="H10" s="52">
        <v>23.82</v>
      </c>
      <c r="I10" s="52">
        <v>4.33</v>
      </c>
      <c r="J10" s="52">
        <v>0.16</v>
      </c>
      <c r="K10" s="52">
        <v>330.72</v>
      </c>
      <c r="L10" s="52">
        <v>25.19</v>
      </c>
      <c r="M10" s="52">
        <v>102.59</v>
      </c>
      <c r="N10" s="52">
        <v>38</v>
      </c>
      <c r="O10" s="52">
        <v>0</v>
      </c>
      <c r="P10" s="52">
        <v>0.6</v>
      </c>
      <c r="Q10" s="52">
        <v>9.44</v>
      </c>
      <c r="R10" s="43"/>
      <c r="S10" s="43"/>
      <c r="T10" s="43"/>
      <c r="U10" s="43"/>
    </row>
    <row r="11" spans="1:21" s="11" customFormat="1" x14ac:dyDescent="0.25">
      <c r="A11" s="51" t="s">
        <v>326</v>
      </c>
      <c r="B11" s="52">
        <v>8.09</v>
      </c>
      <c r="C11" s="52">
        <v>3.13</v>
      </c>
      <c r="D11" s="52">
        <v>11.89</v>
      </c>
      <c r="E11" s="52">
        <v>4.12</v>
      </c>
      <c r="F11" s="52">
        <v>3.59</v>
      </c>
      <c r="G11" s="52">
        <v>38.74</v>
      </c>
      <c r="H11" s="52">
        <v>38.83</v>
      </c>
      <c r="I11" s="52">
        <v>4.1500000000000004</v>
      </c>
      <c r="J11" s="52">
        <v>0.17</v>
      </c>
      <c r="K11" s="52">
        <v>354.47</v>
      </c>
      <c r="L11" s="52">
        <v>24.95</v>
      </c>
      <c r="M11" s="52">
        <v>102.36</v>
      </c>
      <c r="N11" s="52">
        <v>37.799999999999997</v>
      </c>
      <c r="O11" s="52">
        <v>0</v>
      </c>
      <c r="P11" s="52">
        <v>0.53</v>
      </c>
      <c r="Q11" s="52">
        <v>9.4</v>
      </c>
      <c r="R11" s="43"/>
      <c r="S11" s="43"/>
      <c r="T11" s="43"/>
      <c r="U11" s="43"/>
    </row>
    <row r="12" spans="1:21" s="11" customFormat="1" x14ac:dyDescent="0.25">
      <c r="A12" s="51" t="s">
        <v>327</v>
      </c>
      <c r="B12" s="52">
        <v>8.01</v>
      </c>
      <c r="C12" s="52">
        <v>3.03</v>
      </c>
      <c r="D12" s="52">
        <v>11.78</v>
      </c>
      <c r="E12" s="52">
        <v>4.41</v>
      </c>
      <c r="F12" s="52">
        <v>3.88</v>
      </c>
      <c r="G12" s="52">
        <v>28.5</v>
      </c>
      <c r="H12" s="52">
        <v>38.83</v>
      </c>
      <c r="I12" s="52">
        <v>4.16</v>
      </c>
      <c r="J12" s="52">
        <v>0.16</v>
      </c>
      <c r="K12" s="52">
        <v>320.51</v>
      </c>
      <c r="L12" s="52">
        <v>24.92</v>
      </c>
      <c r="M12" s="52">
        <v>102.35</v>
      </c>
      <c r="N12" s="52">
        <v>37.799999999999997</v>
      </c>
      <c r="O12" s="52">
        <v>0</v>
      </c>
      <c r="P12" s="52">
        <v>0.48</v>
      </c>
      <c r="Q12" s="52">
        <v>9.3800000000000008</v>
      </c>
      <c r="R12" s="43"/>
      <c r="S12" s="43"/>
      <c r="T12" s="43"/>
      <c r="U12" s="43"/>
    </row>
    <row r="13" spans="1:21" s="11" customFormat="1" x14ac:dyDescent="0.25">
      <c r="A13" s="51" t="s">
        <v>328</v>
      </c>
      <c r="B13" s="52">
        <v>7.97</v>
      </c>
      <c r="C13" s="52">
        <v>2.99</v>
      </c>
      <c r="D13" s="52">
        <v>11.73</v>
      </c>
      <c r="E13" s="52">
        <v>4.45</v>
      </c>
      <c r="F13" s="52">
        <v>4.3499999999999996</v>
      </c>
      <c r="G13" s="52">
        <v>28.5</v>
      </c>
      <c r="H13" s="52">
        <v>20.079999999999998</v>
      </c>
      <c r="I13" s="52">
        <v>3.94</v>
      </c>
      <c r="J13" s="52">
        <v>0.25</v>
      </c>
      <c r="K13" s="52">
        <v>188.77</v>
      </c>
      <c r="L13" s="52">
        <v>24.86</v>
      </c>
      <c r="M13" s="52">
        <v>102.36</v>
      </c>
      <c r="N13" s="52">
        <v>37.700000000000003</v>
      </c>
      <c r="O13" s="52">
        <v>0</v>
      </c>
      <c r="P13" s="52">
        <v>0.44</v>
      </c>
      <c r="Q13" s="52">
        <v>9.34</v>
      </c>
      <c r="R13" s="43"/>
      <c r="S13" s="43"/>
      <c r="T13" s="43"/>
      <c r="U13" s="43"/>
    </row>
    <row r="14" spans="1:21" s="11" customFormat="1" x14ac:dyDescent="0.25">
      <c r="A14" s="51" t="s">
        <v>329</v>
      </c>
      <c r="B14" s="52">
        <v>8.15</v>
      </c>
      <c r="C14" s="52">
        <v>3.31</v>
      </c>
      <c r="D14" s="52">
        <v>12.04</v>
      </c>
      <c r="E14" s="52">
        <v>4.43</v>
      </c>
      <c r="F14" s="52">
        <v>4.83</v>
      </c>
      <c r="G14" s="52">
        <v>22.74</v>
      </c>
      <c r="H14" s="52">
        <v>7.19</v>
      </c>
      <c r="I14" s="52">
        <v>3.87</v>
      </c>
      <c r="J14" s="52">
        <v>0.13</v>
      </c>
      <c r="K14" s="52">
        <v>174.39</v>
      </c>
      <c r="L14" s="52">
        <v>24.84</v>
      </c>
      <c r="M14" s="52">
        <v>102.36</v>
      </c>
      <c r="N14" s="52">
        <v>50</v>
      </c>
      <c r="O14" s="52">
        <v>0</v>
      </c>
      <c r="P14" s="52">
        <v>0.39</v>
      </c>
      <c r="Q14" s="52">
        <v>9.36</v>
      </c>
      <c r="R14" s="43"/>
      <c r="S14" s="43"/>
      <c r="T14" s="43"/>
      <c r="U14" s="43"/>
    </row>
    <row r="15" spans="1:21" s="11" customFormat="1" x14ac:dyDescent="0.25">
      <c r="A15" s="51" t="s">
        <v>330</v>
      </c>
      <c r="B15" s="52">
        <v>8.06</v>
      </c>
      <c r="C15" s="52">
        <v>3.09</v>
      </c>
      <c r="D15" s="52">
        <v>11.83</v>
      </c>
      <c r="E15" s="52">
        <v>4.5199999999999996</v>
      </c>
      <c r="F15" s="52">
        <v>3.79</v>
      </c>
      <c r="G15" s="52">
        <v>24.02</v>
      </c>
      <c r="H15" s="52">
        <v>5.8</v>
      </c>
      <c r="I15" s="52">
        <v>4.0199999999999996</v>
      </c>
      <c r="J15" s="52">
        <v>0.13</v>
      </c>
      <c r="K15" s="52">
        <v>303.93</v>
      </c>
      <c r="L15" s="52">
        <v>26.69</v>
      </c>
      <c r="M15" s="52">
        <v>102.29</v>
      </c>
      <c r="N15" s="52">
        <v>181</v>
      </c>
      <c r="O15" s="52">
        <v>0</v>
      </c>
      <c r="P15" s="52">
        <v>0.36</v>
      </c>
      <c r="Q15" s="52">
        <v>9.3699999999999992</v>
      </c>
      <c r="R15" s="43"/>
      <c r="S15" s="43"/>
      <c r="T15" s="43"/>
      <c r="U15" s="43"/>
    </row>
    <row r="16" spans="1:21" s="11" customFormat="1" x14ac:dyDescent="0.25">
      <c r="A16" s="51" t="s">
        <v>331</v>
      </c>
      <c r="B16" s="52">
        <v>8.0399999999999991</v>
      </c>
      <c r="C16" s="52">
        <v>3.04</v>
      </c>
      <c r="D16" s="52">
        <v>11.81</v>
      </c>
      <c r="E16" s="52">
        <v>4.59</v>
      </c>
      <c r="F16" s="52">
        <v>3.27</v>
      </c>
      <c r="G16" s="52">
        <v>24.02</v>
      </c>
      <c r="H16" s="52">
        <v>3.27</v>
      </c>
      <c r="I16" s="52">
        <v>3.75</v>
      </c>
      <c r="J16" s="52">
        <v>0.23</v>
      </c>
      <c r="K16" s="52">
        <v>359.51</v>
      </c>
      <c r="L16" s="52">
        <v>28.43</v>
      </c>
      <c r="M16" s="52">
        <v>102.36</v>
      </c>
      <c r="N16" s="52">
        <v>334.6</v>
      </c>
      <c r="O16" s="52">
        <v>0</v>
      </c>
      <c r="P16" s="52">
        <v>0.36</v>
      </c>
      <c r="Q16" s="52">
        <v>9.36</v>
      </c>
      <c r="R16" s="43"/>
      <c r="S16" s="43"/>
      <c r="T16" s="43"/>
      <c r="U16" s="43"/>
    </row>
    <row r="17" spans="1:21" s="11" customFormat="1" x14ac:dyDescent="0.25">
      <c r="A17" s="51" t="s">
        <v>332</v>
      </c>
      <c r="B17" s="52">
        <v>8.0299999999999994</v>
      </c>
      <c r="C17" s="52">
        <v>3.04</v>
      </c>
      <c r="D17" s="52">
        <v>11.8</v>
      </c>
      <c r="E17" s="52">
        <v>4.34</v>
      </c>
      <c r="F17" s="52">
        <v>4.49</v>
      </c>
      <c r="G17" s="52">
        <v>29.05</v>
      </c>
      <c r="H17" s="52">
        <v>10.24</v>
      </c>
      <c r="I17" s="52">
        <v>3.14</v>
      </c>
      <c r="J17" s="52">
        <v>0.34</v>
      </c>
      <c r="K17" s="52">
        <v>349.59</v>
      </c>
      <c r="L17" s="52">
        <v>29.91</v>
      </c>
      <c r="M17" s="52">
        <v>96.3</v>
      </c>
      <c r="N17" s="52">
        <v>504.9</v>
      </c>
      <c r="O17" s="52">
        <v>0</v>
      </c>
      <c r="P17" s="52">
        <v>0.4</v>
      </c>
      <c r="Q17" s="52">
        <v>9.36</v>
      </c>
      <c r="R17" s="43"/>
      <c r="S17" s="43"/>
      <c r="T17" s="43"/>
      <c r="U17" s="43"/>
    </row>
    <row r="18" spans="1:21" s="11" customFormat="1" x14ac:dyDescent="0.25">
      <c r="A18" s="51" t="s">
        <v>333</v>
      </c>
      <c r="B18" s="52">
        <v>8.1300000000000008</v>
      </c>
      <c r="C18" s="52">
        <v>3.41</v>
      </c>
      <c r="D18" s="52">
        <v>12.08</v>
      </c>
      <c r="E18" s="52">
        <v>4.4000000000000004</v>
      </c>
      <c r="F18" s="52">
        <v>4.3099999999999996</v>
      </c>
      <c r="G18" s="52">
        <v>40.99</v>
      </c>
      <c r="H18" s="52">
        <v>10.88</v>
      </c>
      <c r="I18" s="52">
        <v>3.07</v>
      </c>
      <c r="J18" s="52">
        <v>0.36</v>
      </c>
      <c r="K18" s="52">
        <v>357.85</v>
      </c>
      <c r="L18" s="52">
        <v>30.12</v>
      </c>
      <c r="M18" s="52">
        <v>92.53</v>
      </c>
      <c r="N18" s="52">
        <v>491.4</v>
      </c>
      <c r="O18" s="52">
        <v>0</v>
      </c>
      <c r="P18" s="52">
        <v>0.44</v>
      </c>
      <c r="Q18" s="52">
        <v>9.32</v>
      </c>
      <c r="R18" s="43"/>
      <c r="S18" s="43"/>
      <c r="T18" s="43"/>
      <c r="U18" s="43"/>
    </row>
    <row r="19" spans="1:21" s="11" customFormat="1" x14ac:dyDescent="0.25">
      <c r="A19" s="51" t="s">
        <v>334</v>
      </c>
      <c r="B19" s="52">
        <v>7.99</v>
      </c>
      <c r="C19" s="52">
        <v>3.05</v>
      </c>
      <c r="D19" s="52">
        <v>11.77</v>
      </c>
      <c r="E19" s="52">
        <v>4.26</v>
      </c>
      <c r="F19" s="52">
        <v>4.59</v>
      </c>
      <c r="G19" s="52">
        <v>51.69</v>
      </c>
      <c r="H19" s="52">
        <v>23.47</v>
      </c>
      <c r="I19" s="52">
        <v>2.63</v>
      </c>
      <c r="J19" s="52">
        <v>0.33</v>
      </c>
      <c r="K19" s="52">
        <v>353.66</v>
      </c>
      <c r="L19" s="52">
        <v>30.88</v>
      </c>
      <c r="M19" s="52">
        <v>88.46</v>
      </c>
      <c r="N19" s="52">
        <v>556.79999999999995</v>
      </c>
      <c r="O19" s="52">
        <v>0</v>
      </c>
      <c r="P19" s="52">
        <v>0.43</v>
      </c>
      <c r="Q19" s="52">
        <v>9.32</v>
      </c>
      <c r="R19" s="43"/>
      <c r="S19" s="43"/>
      <c r="T19" s="43"/>
      <c r="U19" s="43"/>
    </row>
    <row r="20" spans="1:21" s="11" customFormat="1" x14ac:dyDescent="0.25">
      <c r="A20" s="51" t="s">
        <v>335</v>
      </c>
      <c r="B20" s="52">
        <v>8.01</v>
      </c>
      <c r="C20" s="52">
        <v>3.13</v>
      </c>
      <c r="D20" s="52">
        <v>11.81</v>
      </c>
      <c r="E20" s="52">
        <v>4.1900000000000004</v>
      </c>
      <c r="F20" s="52">
        <v>4.74</v>
      </c>
      <c r="G20" s="54" t="s">
        <v>12</v>
      </c>
      <c r="H20" s="54" t="s">
        <v>12</v>
      </c>
      <c r="I20" s="52">
        <v>2.02</v>
      </c>
      <c r="J20" s="52">
        <v>0.3</v>
      </c>
      <c r="K20" s="52">
        <v>347.25</v>
      </c>
      <c r="L20" s="52">
        <v>31.2</v>
      </c>
      <c r="M20" s="52">
        <v>90.9</v>
      </c>
      <c r="N20" s="52">
        <v>715.6</v>
      </c>
      <c r="O20" s="52">
        <v>0</v>
      </c>
      <c r="P20" s="52">
        <v>0.44</v>
      </c>
      <c r="Q20" s="52">
        <v>9.2100000000000009</v>
      </c>
      <c r="R20" s="43"/>
      <c r="S20" s="43"/>
      <c r="T20" s="43"/>
      <c r="U20" s="43"/>
    </row>
    <row r="21" spans="1:21" s="11" customFormat="1" x14ac:dyDescent="0.25">
      <c r="A21" s="51" t="s">
        <v>336</v>
      </c>
      <c r="B21" s="52">
        <v>7.97</v>
      </c>
      <c r="C21" s="52">
        <v>3.16</v>
      </c>
      <c r="D21" s="52">
        <v>11.82</v>
      </c>
      <c r="E21" s="52">
        <v>5.87</v>
      </c>
      <c r="F21" s="52">
        <v>7.79</v>
      </c>
      <c r="G21" s="54" t="s">
        <v>12</v>
      </c>
      <c r="H21" s="54" t="s">
        <v>12</v>
      </c>
      <c r="I21" s="52">
        <v>2.94</v>
      </c>
      <c r="J21" s="52">
        <v>0.33</v>
      </c>
      <c r="K21" s="52">
        <v>341.42</v>
      </c>
      <c r="L21" s="52">
        <v>31.96</v>
      </c>
      <c r="M21" s="52">
        <v>82.31</v>
      </c>
      <c r="N21" s="52">
        <v>922.4</v>
      </c>
      <c r="O21" s="52">
        <v>0</v>
      </c>
      <c r="P21" s="52">
        <v>0.43</v>
      </c>
      <c r="Q21" s="52">
        <v>9.1999999999999993</v>
      </c>
      <c r="R21" s="43"/>
      <c r="S21" s="43"/>
      <c r="T21" s="43"/>
      <c r="U21" s="43"/>
    </row>
    <row r="22" spans="1:21" s="11" customFormat="1" x14ac:dyDescent="0.25">
      <c r="A22" s="51" t="s">
        <v>337</v>
      </c>
      <c r="B22" s="52">
        <v>7.93</v>
      </c>
      <c r="C22" s="52">
        <v>3.11</v>
      </c>
      <c r="D22" s="52">
        <v>11.76</v>
      </c>
      <c r="E22" s="52">
        <v>5.28</v>
      </c>
      <c r="F22" s="52">
        <v>12.17</v>
      </c>
      <c r="G22" s="54" t="s">
        <v>12</v>
      </c>
      <c r="H22" s="54" t="s">
        <v>12</v>
      </c>
      <c r="I22" s="52">
        <v>6.37</v>
      </c>
      <c r="J22" s="52">
        <v>0.27</v>
      </c>
      <c r="K22" s="52">
        <v>337.05</v>
      </c>
      <c r="L22" s="52">
        <v>32.11</v>
      </c>
      <c r="M22" s="52">
        <v>81.93</v>
      </c>
      <c r="N22" s="52">
        <v>787.5</v>
      </c>
      <c r="O22" s="52">
        <v>0</v>
      </c>
      <c r="P22" s="52">
        <v>0.53</v>
      </c>
      <c r="Q22" s="52">
        <v>9.1999999999999993</v>
      </c>
      <c r="R22" s="43"/>
      <c r="S22" s="43"/>
      <c r="T22" s="43"/>
      <c r="U22" s="43"/>
    </row>
    <row r="23" spans="1:21" s="11" customFormat="1" x14ac:dyDescent="0.25">
      <c r="A23" s="51" t="s">
        <v>338</v>
      </c>
      <c r="B23" s="52">
        <v>7.91</v>
      </c>
      <c r="C23" s="52">
        <v>3.09</v>
      </c>
      <c r="D23" s="52">
        <v>11.73</v>
      </c>
      <c r="E23" s="52">
        <v>4.62</v>
      </c>
      <c r="F23" s="52">
        <v>10.17</v>
      </c>
      <c r="G23" s="54" t="s">
        <v>12</v>
      </c>
      <c r="H23" s="54" t="s">
        <v>12</v>
      </c>
      <c r="I23" s="52">
        <v>5.69</v>
      </c>
      <c r="J23" s="52">
        <v>0.28999999999999998</v>
      </c>
      <c r="K23" s="52">
        <v>335.69</v>
      </c>
      <c r="L23" s="52">
        <v>32.130000000000003</v>
      </c>
      <c r="M23" s="52">
        <v>81.900000000000006</v>
      </c>
      <c r="N23" s="52">
        <v>366.5</v>
      </c>
      <c r="O23" s="52">
        <v>0</v>
      </c>
      <c r="P23" s="52">
        <v>0.52</v>
      </c>
      <c r="Q23" s="52">
        <v>9.16</v>
      </c>
      <c r="R23" s="43"/>
      <c r="S23" s="43"/>
      <c r="T23" s="43"/>
      <c r="U23" s="43"/>
    </row>
    <row r="24" spans="1:21" s="11" customFormat="1" x14ac:dyDescent="0.25">
      <c r="A24" s="51" t="s">
        <v>339</v>
      </c>
      <c r="B24" s="52">
        <v>7.99</v>
      </c>
      <c r="C24" s="52">
        <v>3.07</v>
      </c>
      <c r="D24" s="52">
        <v>11.79</v>
      </c>
      <c r="E24" s="52">
        <v>4.99</v>
      </c>
      <c r="F24" s="52">
        <v>5.3</v>
      </c>
      <c r="G24" s="54" t="s">
        <v>12</v>
      </c>
      <c r="H24" s="54" t="s">
        <v>12</v>
      </c>
      <c r="I24" s="52">
        <v>3.66</v>
      </c>
      <c r="J24" s="52">
        <v>0.28000000000000003</v>
      </c>
      <c r="K24" s="52">
        <v>336.78</v>
      </c>
      <c r="L24" s="52">
        <v>32.26</v>
      </c>
      <c r="M24" s="52">
        <v>79.63</v>
      </c>
      <c r="N24" s="52">
        <v>206.4</v>
      </c>
      <c r="O24" s="52">
        <v>0</v>
      </c>
      <c r="P24" s="52">
        <v>0.51</v>
      </c>
      <c r="Q24" s="52">
        <v>9.26</v>
      </c>
      <c r="R24" s="43"/>
      <c r="S24" s="43"/>
      <c r="T24" s="43"/>
      <c r="U24" s="43"/>
    </row>
    <row r="25" spans="1:21" s="11" customFormat="1" x14ac:dyDescent="0.25">
      <c r="A25" s="51" t="s">
        <v>340</v>
      </c>
      <c r="B25" s="52">
        <v>7.96</v>
      </c>
      <c r="C25" s="52">
        <v>3.04</v>
      </c>
      <c r="D25" s="52">
        <v>11.75</v>
      </c>
      <c r="E25" s="52">
        <v>4.97</v>
      </c>
      <c r="F25" s="52">
        <v>5.0999999999999996</v>
      </c>
      <c r="G25" s="52">
        <v>156.06</v>
      </c>
      <c r="H25" s="52">
        <v>104.03</v>
      </c>
      <c r="I25" s="52">
        <v>3.36</v>
      </c>
      <c r="J25" s="52">
        <v>0.53</v>
      </c>
      <c r="K25" s="52">
        <v>346.35</v>
      </c>
      <c r="L25" s="52">
        <v>31.84</v>
      </c>
      <c r="M25" s="52">
        <v>82.35</v>
      </c>
      <c r="N25" s="52">
        <v>209</v>
      </c>
      <c r="O25" s="52">
        <v>0</v>
      </c>
      <c r="P25" s="52">
        <v>0.49</v>
      </c>
      <c r="Q25" s="52">
        <v>9.23</v>
      </c>
      <c r="R25" s="43"/>
      <c r="S25" s="43"/>
      <c r="T25" s="43"/>
      <c r="U25" s="43"/>
    </row>
    <row r="26" spans="1:21" s="11" customFormat="1" x14ac:dyDescent="0.25">
      <c r="A26" s="51" t="s">
        <v>341</v>
      </c>
      <c r="B26" s="52">
        <v>8.0399999999999991</v>
      </c>
      <c r="C26" s="52">
        <v>3.31</v>
      </c>
      <c r="D26" s="52">
        <v>11.95</v>
      </c>
      <c r="E26" s="52">
        <v>5.19</v>
      </c>
      <c r="F26" s="52">
        <v>4.82</v>
      </c>
      <c r="G26" s="52">
        <v>119.03</v>
      </c>
      <c r="H26" s="52">
        <v>67.83</v>
      </c>
      <c r="I26" s="52">
        <v>2.85</v>
      </c>
      <c r="J26" s="52">
        <v>0.56999999999999995</v>
      </c>
      <c r="K26" s="52">
        <v>345.76</v>
      </c>
      <c r="L26" s="52">
        <v>30.67</v>
      </c>
      <c r="M26" s="52">
        <v>91.78</v>
      </c>
      <c r="N26" s="52">
        <v>105.1</v>
      </c>
      <c r="O26" s="52">
        <v>0</v>
      </c>
      <c r="P26" s="52">
        <v>0.49</v>
      </c>
      <c r="Q26" s="52">
        <v>9.36</v>
      </c>
      <c r="R26" s="43"/>
      <c r="S26" s="43"/>
      <c r="T26" s="43"/>
      <c r="U26" s="43"/>
    </row>
    <row r="27" spans="1:21" s="11" customFormat="1" x14ac:dyDescent="0.25">
      <c r="A27" s="51" t="s">
        <v>342</v>
      </c>
      <c r="B27" s="52">
        <v>8.0299999999999994</v>
      </c>
      <c r="C27" s="52">
        <v>3.3</v>
      </c>
      <c r="D27" s="52">
        <v>11.94</v>
      </c>
      <c r="E27" s="52">
        <v>4.97</v>
      </c>
      <c r="F27" s="52">
        <v>4.6900000000000004</v>
      </c>
      <c r="G27" s="52">
        <v>107</v>
      </c>
      <c r="H27" s="52">
        <v>68.260000000000005</v>
      </c>
      <c r="I27" s="52">
        <v>2.8</v>
      </c>
      <c r="J27" s="52">
        <v>0.32</v>
      </c>
      <c r="K27" s="52">
        <v>355.39</v>
      </c>
      <c r="L27" s="52">
        <v>29.93</v>
      </c>
      <c r="M27" s="52">
        <v>92.48</v>
      </c>
      <c r="N27" s="52">
        <v>61.9</v>
      </c>
      <c r="O27" s="52">
        <v>0</v>
      </c>
      <c r="P27" s="52">
        <v>0.56000000000000005</v>
      </c>
      <c r="Q27" s="52">
        <v>9.35</v>
      </c>
      <c r="R27" s="43"/>
      <c r="S27" s="43"/>
      <c r="T27" s="43"/>
      <c r="U27" s="43"/>
    </row>
    <row r="28" spans="1:21" s="11" customFormat="1" x14ac:dyDescent="0.25">
      <c r="A28" s="51" t="s">
        <v>343</v>
      </c>
      <c r="B28" s="52">
        <v>8.01</v>
      </c>
      <c r="C28" s="52">
        <v>3.06</v>
      </c>
      <c r="D28" s="52">
        <v>11.79</v>
      </c>
      <c r="E28" s="52">
        <v>4.22</v>
      </c>
      <c r="F28" s="52">
        <v>3.83</v>
      </c>
      <c r="G28" s="52">
        <v>104.04</v>
      </c>
      <c r="H28" s="52">
        <v>70.61</v>
      </c>
      <c r="I28" s="52">
        <v>3.48</v>
      </c>
      <c r="J28" s="52">
        <v>0.19</v>
      </c>
      <c r="K28" s="52">
        <v>317.57</v>
      </c>
      <c r="L28" s="52">
        <v>29.16</v>
      </c>
      <c r="M28" s="52">
        <v>96.68</v>
      </c>
      <c r="N28" s="52">
        <v>38.1</v>
      </c>
      <c r="O28" s="52">
        <v>0</v>
      </c>
      <c r="P28" s="52">
        <v>0.63</v>
      </c>
      <c r="Q28" s="52">
        <v>9.41</v>
      </c>
      <c r="R28" s="43"/>
      <c r="S28" s="43"/>
      <c r="T28" s="43"/>
      <c r="U28" s="43"/>
    </row>
    <row r="29" spans="1:21" s="11" customFormat="1" x14ac:dyDescent="0.25">
      <c r="A29" s="51" t="s">
        <v>344</v>
      </c>
      <c r="B29" s="52">
        <v>8.09</v>
      </c>
      <c r="C29" s="52">
        <v>3.22</v>
      </c>
      <c r="D29" s="52">
        <v>11.95</v>
      </c>
      <c r="E29" s="52">
        <v>4.26</v>
      </c>
      <c r="F29" s="52">
        <v>3.73</v>
      </c>
      <c r="G29" s="52">
        <v>101.71</v>
      </c>
      <c r="H29" s="52">
        <v>54.35</v>
      </c>
      <c r="I29" s="52">
        <v>4.25</v>
      </c>
      <c r="J29" s="52">
        <v>0.11</v>
      </c>
      <c r="K29" s="52">
        <v>315.57</v>
      </c>
      <c r="L29" s="52">
        <v>28.75</v>
      </c>
      <c r="M29" s="52">
        <v>100.08</v>
      </c>
      <c r="N29" s="52">
        <v>38.1</v>
      </c>
      <c r="O29" s="52">
        <v>0</v>
      </c>
      <c r="P29" s="52">
        <v>0.67</v>
      </c>
      <c r="Q29" s="52">
        <v>9.44</v>
      </c>
      <c r="R29" s="43"/>
      <c r="S29" s="43"/>
      <c r="T29" s="43"/>
      <c r="U29" s="43"/>
    </row>
    <row r="30" spans="1:21" s="11" customFormat="1" x14ac:dyDescent="0.25">
      <c r="A30" s="51" t="s">
        <v>345</v>
      </c>
      <c r="B30" s="52">
        <v>8.0299999999999994</v>
      </c>
      <c r="C30" s="52">
        <v>3.11</v>
      </c>
      <c r="D30" s="52">
        <v>11.84</v>
      </c>
      <c r="E30" s="52">
        <v>4.6500000000000004</v>
      </c>
      <c r="F30" s="52">
        <v>4.63</v>
      </c>
      <c r="G30" s="52">
        <v>103.63</v>
      </c>
      <c r="H30" s="52">
        <v>48.78</v>
      </c>
      <c r="I30" s="52">
        <v>4.8600000000000003</v>
      </c>
      <c r="J30" s="52">
        <v>0.15</v>
      </c>
      <c r="K30" s="52">
        <v>356.99</v>
      </c>
      <c r="L30" s="52">
        <v>28.57</v>
      </c>
      <c r="M30" s="52">
        <v>99.61</v>
      </c>
      <c r="N30" s="52">
        <v>38.1</v>
      </c>
      <c r="O30" s="52">
        <v>0</v>
      </c>
      <c r="P30" s="52">
        <v>0.71</v>
      </c>
      <c r="Q30" s="52">
        <v>9.5</v>
      </c>
      <c r="R30" s="43"/>
      <c r="S30" s="43"/>
      <c r="T30" s="43"/>
      <c r="U30" s="43"/>
    </row>
    <row r="31" spans="1:21" s="11" customFormat="1" x14ac:dyDescent="0.25">
      <c r="A31" s="51" t="s">
        <v>346</v>
      </c>
      <c r="B31" s="52">
        <v>8.1</v>
      </c>
      <c r="C31" s="52">
        <v>3.24</v>
      </c>
      <c r="D31" s="52">
        <v>11.96</v>
      </c>
      <c r="E31" s="52">
        <v>4.5599999999999996</v>
      </c>
      <c r="F31" s="52">
        <v>4.74</v>
      </c>
      <c r="G31" s="52">
        <v>104.13</v>
      </c>
      <c r="H31" s="52">
        <v>48.78</v>
      </c>
      <c r="I31" s="52">
        <v>5.08</v>
      </c>
      <c r="J31" s="52">
        <v>0.18</v>
      </c>
      <c r="K31" s="52">
        <v>281.83999999999997</v>
      </c>
      <c r="L31" s="52">
        <v>28.24</v>
      </c>
      <c r="M31" s="52">
        <v>102.68</v>
      </c>
      <c r="N31" s="52">
        <v>38.1</v>
      </c>
      <c r="O31" s="52">
        <v>0</v>
      </c>
      <c r="P31" s="52">
        <v>0.71</v>
      </c>
      <c r="Q31" s="52">
        <v>9.51</v>
      </c>
      <c r="R31" s="43"/>
      <c r="S31" s="43"/>
      <c r="T31" s="43"/>
      <c r="U31" s="43"/>
    </row>
    <row r="32" spans="1:21" s="11" customFormat="1" x14ac:dyDescent="0.25">
      <c r="A32" s="51" t="s">
        <v>347</v>
      </c>
      <c r="B32" s="52">
        <v>7.99</v>
      </c>
      <c r="C32" s="52">
        <v>3.06</v>
      </c>
      <c r="D32" s="52">
        <v>11.78</v>
      </c>
      <c r="E32" s="52">
        <v>4.72</v>
      </c>
      <c r="F32" s="52">
        <v>4.54</v>
      </c>
      <c r="G32" s="52">
        <v>102.56</v>
      </c>
      <c r="H32" s="52">
        <v>48.78</v>
      </c>
      <c r="I32" s="52">
        <v>5.0999999999999996</v>
      </c>
      <c r="J32" s="52">
        <v>0.2</v>
      </c>
      <c r="K32" s="52">
        <v>300.5</v>
      </c>
      <c r="L32" s="52">
        <v>27.74</v>
      </c>
      <c r="M32" s="52">
        <v>102.8</v>
      </c>
      <c r="N32" s="52">
        <v>38.1</v>
      </c>
      <c r="O32" s="52">
        <v>0</v>
      </c>
      <c r="P32" s="52">
        <v>0.69</v>
      </c>
      <c r="Q32" s="52">
        <v>9.5299999999999994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7.91</v>
      </c>
      <c r="C34" s="28">
        <f t="shared" si="0"/>
        <v>2.99</v>
      </c>
      <c r="D34" s="28">
        <f t="shared" si="0"/>
        <v>11.73</v>
      </c>
      <c r="E34" s="28">
        <f t="shared" si="0"/>
        <v>4.05</v>
      </c>
      <c r="F34" s="28">
        <f t="shared" si="0"/>
        <v>3.27</v>
      </c>
      <c r="G34" s="28">
        <f t="shared" si="0"/>
        <v>22.74</v>
      </c>
      <c r="H34" s="28">
        <f t="shared" si="0"/>
        <v>3.27</v>
      </c>
      <c r="I34" s="28">
        <f t="shared" si="0"/>
        <v>2.02</v>
      </c>
      <c r="J34" s="28">
        <f t="shared" si="0"/>
        <v>0.11</v>
      </c>
      <c r="K34" s="28">
        <f t="shared" si="0"/>
        <v>174.39</v>
      </c>
      <c r="L34" s="28">
        <f t="shared" si="0"/>
        <v>24.84</v>
      </c>
      <c r="M34" s="28">
        <f t="shared" si="0"/>
        <v>79.63</v>
      </c>
      <c r="N34" s="28">
        <f t="shared" si="0"/>
        <v>37.700000000000003</v>
      </c>
      <c r="O34" s="28">
        <f t="shared" si="0"/>
        <v>0</v>
      </c>
      <c r="P34" s="28">
        <f t="shared" si="0"/>
        <v>0.36</v>
      </c>
      <c r="Q34" s="28">
        <f t="shared" si="0"/>
        <v>9.16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8.15</v>
      </c>
      <c r="C35" s="29">
        <f t="shared" si="1"/>
        <v>3.41</v>
      </c>
      <c r="D35" s="29">
        <f t="shared" si="1"/>
        <v>12.08</v>
      </c>
      <c r="E35" s="29">
        <f t="shared" si="1"/>
        <v>5.87</v>
      </c>
      <c r="F35" s="29">
        <f t="shared" si="1"/>
        <v>12.17</v>
      </c>
      <c r="G35" s="29">
        <f t="shared" si="1"/>
        <v>156.06</v>
      </c>
      <c r="H35" s="29">
        <f t="shared" si="1"/>
        <v>104.03</v>
      </c>
      <c r="I35" s="29">
        <f t="shared" si="1"/>
        <v>6.37</v>
      </c>
      <c r="J35" s="29">
        <f t="shared" si="1"/>
        <v>0.56999999999999995</v>
      </c>
      <c r="K35" s="29">
        <f t="shared" si="1"/>
        <v>359.51</v>
      </c>
      <c r="L35" s="29">
        <f t="shared" si="1"/>
        <v>32.26</v>
      </c>
      <c r="M35" s="29">
        <f t="shared" si="1"/>
        <v>102.8</v>
      </c>
      <c r="N35" s="29">
        <f t="shared" si="1"/>
        <v>922.4</v>
      </c>
      <c r="O35" s="29">
        <f t="shared" si="1"/>
        <v>0</v>
      </c>
      <c r="P35" s="29">
        <f t="shared" si="1"/>
        <v>0.71</v>
      </c>
      <c r="Q35" s="29">
        <f t="shared" si="1"/>
        <v>9.5299999999999994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8.0291666666666668</v>
      </c>
      <c r="C36" s="28">
        <f t="shared" si="2"/>
        <v>3.1383333333333332</v>
      </c>
      <c r="D36" s="28">
        <f t="shared" si="2"/>
        <v>11.849583333333328</v>
      </c>
      <c r="E36" s="28">
        <f t="shared" si="2"/>
        <v>4.5908333333333333</v>
      </c>
      <c r="F36" s="28">
        <f t="shared" si="2"/>
        <v>5.0758333333333328</v>
      </c>
      <c r="G36" s="28">
        <f t="shared" si="2"/>
        <v>67.389999999999986</v>
      </c>
      <c r="H36" s="28">
        <f t="shared" si="2"/>
        <v>38.45315789473684</v>
      </c>
      <c r="I36" s="28">
        <f t="shared" si="2"/>
        <v>3.9362499999999994</v>
      </c>
      <c r="J36" s="28">
        <f t="shared" si="2"/>
        <v>0.25916666666666677</v>
      </c>
      <c r="K36" s="28">
        <f t="shared" si="2"/>
        <v>323.57874999999996</v>
      </c>
      <c r="L36" s="28">
        <f t="shared" si="2"/>
        <v>28.786666666666662</v>
      </c>
      <c r="M36" s="28">
        <f t="shared" si="2"/>
        <v>95.06750000000001</v>
      </c>
      <c r="N36" s="28">
        <f t="shared" si="2"/>
        <v>244.70000000000005</v>
      </c>
      <c r="O36" s="28">
        <f t="shared" si="2"/>
        <v>0</v>
      </c>
      <c r="P36" s="28">
        <f t="shared" si="2"/>
        <v>0.5212500000000001</v>
      </c>
      <c r="Q36" s="28">
        <f t="shared" si="2"/>
        <v>9.3545833333333324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6.2618004541454678E-2</v>
      </c>
      <c r="C37" s="28">
        <f t="shared" ref="C37:Q37" si="3">STDEV(C9:C32)</f>
        <v>0.11223680968949255</v>
      </c>
      <c r="D37" s="28">
        <f t="shared" si="3"/>
        <v>0.10006429092758597</v>
      </c>
      <c r="E37" s="28">
        <f t="shared" si="3"/>
        <v>0.43612838822357441</v>
      </c>
      <c r="F37" s="28">
        <f t="shared" si="3"/>
        <v>2.0820765484542569</v>
      </c>
      <c r="G37" s="28">
        <f t="shared" si="3"/>
        <v>41.758589402527605</v>
      </c>
      <c r="H37" s="28">
        <f t="shared" si="3"/>
        <v>27.157444662279921</v>
      </c>
      <c r="I37" s="28">
        <f t="shared" si="3"/>
        <v>1.0379822085264261</v>
      </c>
      <c r="J37" s="28">
        <f t="shared" si="3"/>
        <v>0.11695099927697923</v>
      </c>
      <c r="K37" s="28">
        <f t="shared" si="3"/>
        <v>48.328130822579524</v>
      </c>
      <c r="L37" s="28">
        <f t="shared" si="3"/>
        <v>2.6547130634543845</v>
      </c>
      <c r="M37" s="28">
        <f t="shared" si="3"/>
        <v>8.3185744232279752</v>
      </c>
      <c r="N37" s="28">
        <f t="shared" si="3"/>
        <v>275.8015070741053</v>
      </c>
      <c r="O37" s="28">
        <f t="shared" si="3"/>
        <v>0</v>
      </c>
      <c r="P37" s="28">
        <f t="shared" si="3"/>
        <v>0.11376224253277878</v>
      </c>
      <c r="Q37" s="28">
        <f t="shared" si="3"/>
        <v>0.10458943194875045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COUNT(G9:G32)+5</f>
        <v>24</v>
      </c>
      <c r="H38" s="32">
        <f>COUNT(H9:H32)+5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348</v>
      </c>
      <c r="B9" s="52">
        <v>8.39</v>
      </c>
      <c r="C9" s="52">
        <v>3.82</v>
      </c>
      <c r="D9" s="52">
        <v>12.5</v>
      </c>
      <c r="E9" s="52">
        <v>4.9400000000000004</v>
      </c>
      <c r="F9" s="52">
        <v>3.74</v>
      </c>
      <c r="G9" s="52">
        <v>101.41</v>
      </c>
      <c r="H9" s="52">
        <v>10.63</v>
      </c>
      <c r="I9" s="52">
        <v>5.22</v>
      </c>
      <c r="J9" s="52">
        <v>0.17</v>
      </c>
      <c r="K9" s="52">
        <v>342.94</v>
      </c>
      <c r="L9" s="52">
        <v>27.61</v>
      </c>
      <c r="M9" s="52">
        <v>102.88</v>
      </c>
      <c r="N9" s="52">
        <v>38.1</v>
      </c>
      <c r="O9" s="52">
        <v>0</v>
      </c>
      <c r="P9" s="52">
        <v>0.66</v>
      </c>
      <c r="Q9" s="52">
        <v>9.48</v>
      </c>
      <c r="R9" s="43"/>
      <c r="S9" s="43"/>
      <c r="T9" s="43"/>
      <c r="U9" s="43"/>
    </row>
    <row r="10" spans="1:21" s="11" customFormat="1" x14ac:dyDescent="0.25">
      <c r="A10" s="51" t="s">
        <v>349</v>
      </c>
      <c r="B10" s="52">
        <v>10.32</v>
      </c>
      <c r="C10" s="52">
        <v>4.1100000000000003</v>
      </c>
      <c r="D10" s="52">
        <v>14.2</v>
      </c>
      <c r="E10" s="52">
        <v>4.6500000000000004</v>
      </c>
      <c r="F10" s="52">
        <v>3.65</v>
      </c>
      <c r="G10" s="52">
        <v>88.11</v>
      </c>
      <c r="H10" s="52">
        <v>0.74</v>
      </c>
      <c r="I10" s="52">
        <v>5.16</v>
      </c>
      <c r="J10" s="52">
        <v>0.34</v>
      </c>
      <c r="K10" s="52">
        <v>339.69</v>
      </c>
      <c r="L10" s="52">
        <v>27.21</v>
      </c>
      <c r="M10" s="52">
        <v>103.08</v>
      </c>
      <c r="N10" s="52">
        <v>38.1</v>
      </c>
      <c r="O10" s="52">
        <v>0</v>
      </c>
      <c r="P10" s="52">
        <v>0.6</v>
      </c>
      <c r="Q10" s="52">
        <v>9.4700000000000006</v>
      </c>
      <c r="R10" s="43"/>
      <c r="S10" s="43"/>
      <c r="T10" s="43"/>
      <c r="U10" s="43"/>
    </row>
    <row r="11" spans="1:21" s="11" customFormat="1" x14ac:dyDescent="0.25">
      <c r="A11" s="51" t="s">
        <v>350</v>
      </c>
      <c r="B11" s="52">
        <v>10.1</v>
      </c>
      <c r="C11" s="52">
        <v>5.4</v>
      </c>
      <c r="D11" s="52">
        <v>14.34</v>
      </c>
      <c r="E11" s="52">
        <v>4.7699999999999996</v>
      </c>
      <c r="F11" s="52">
        <v>4.1100000000000003</v>
      </c>
      <c r="G11" s="52">
        <v>79.959999999999994</v>
      </c>
      <c r="H11" s="52">
        <v>69.099999999999994</v>
      </c>
      <c r="I11" s="52">
        <v>5.45</v>
      </c>
      <c r="J11" s="52">
        <v>0.28999999999999998</v>
      </c>
      <c r="K11" s="52">
        <v>263.52999999999997</v>
      </c>
      <c r="L11" s="52">
        <v>26.94</v>
      </c>
      <c r="M11" s="52">
        <v>102.53</v>
      </c>
      <c r="N11" s="52">
        <v>38.1</v>
      </c>
      <c r="O11" s="52">
        <v>0</v>
      </c>
      <c r="P11" s="52">
        <v>0.55000000000000004</v>
      </c>
      <c r="Q11" s="52">
        <v>9.4700000000000006</v>
      </c>
      <c r="R11" s="43"/>
      <c r="S11" s="43"/>
      <c r="T11" s="43"/>
      <c r="U11" s="43"/>
    </row>
    <row r="12" spans="1:21" s="11" customFormat="1" x14ac:dyDescent="0.25">
      <c r="A12" s="51" t="s">
        <v>351</v>
      </c>
      <c r="B12" s="52">
        <v>9.5299999999999994</v>
      </c>
      <c r="C12" s="52">
        <v>5.32</v>
      </c>
      <c r="D12" s="52">
        <v>14.19</v>
      </c>
      <c r="E12" s="52">
        <v>3.51</v>
      </c>
      <c r="F12" s="52">
        <v>4.04</v>
      </c>
      <c r="G12" s="52">
        <v>73.92</v>
      </c>
      <c r="H12" s="52">
        <v>98.4</v>
      </c>
      <c r="I12" s="52">
        <v>5.38</v>
      </c>
      <c r="J12" s="52">
        <v>0.17</v>
      </c>
      <c r="K12" s="52">
        <v>338.06</v>
      </c>
      <c r="L12" s="52">
        <v>26.7</v>
      </c>
      <c r="M12" s="52">
        <v>102.58</v>
      </c>
      <c r="N12" s="52">
        <v>38.1</v>
      </c>
      <c r="O12" s="52">
        <v>0</v>
      </c>
      <c r="P12" s="52">
        <v>0.5</v>
      </c>
      <c r="Q12" s="52">
        <v>9.4</v>
      </c>
      <c r="R12" s="43"/>
      <c r="S12" s="43"/>
      <c r="T12" s="43"/>
      <c r="U12" s="43"/>
    </row>
    <row r="13" spans="1:21" s="11" customFormat="1" x14ac:dyDescent="0.25">
      <c r="A13" s="51" t="s">
        <v>352</v>
      </c>
      <c r="B13" s="52">
        <v>9.26</v>
      </c>
      <c r="C13" s="52">
        <v>5.1100000000000003</v>
      </c>
      <c r="D13" s="52">
        <v>13.87</v>
      </c>
      <c r="E13" s="52">
        <v>3.14</v>
      </c>
      <c r="F13" s="52">
        <v>4.54</v>
      </c>
      <c r="G13" s="52">
        <v>59.63</v>
      </c>
      <c r="H13" s="52">
        <v>39.93</v>
      </c>
      <c r="I13" s="52">
        <v>5.0599999999999996</v>
      </c>
      <c r="J13" s="52">
        <v>0.16</v>
      </c>
      <c r="K13" s="52">
        <v>348.26</v>
      </c>
      <c r="L13" s="52">
        <v>26.68</v>
      </c>
      <c r="M13" s="52">
        <v>102.6</v>
      </c>
      <c r="N13" s="52">
        <v>37.9</v>
      </c>
      <c r="O13" s="52">
        <v>0</v>
      </c>
      <c r="P13" s="52">
        <v>0.46</v>
      </c>
      <c r="Q13" s="52">
        <v>9.39</v>
      </c>
      <c r="R13" s="43"/>
      <c r="S13" s="43"/>
      <c r="T13" s="43"/>
      <c r="U13" s="43"/>
    </row>
    <row r="14" spans="1:21" s="11" customFormat="1" x14ac:dyDescent="0.25">
      <c r="A14" s="51" t="s">
        <v>353</v>
      </c>
      <c r="B14" s="52">
        <v>9.1</v>
      </c>
      <c r="C14" s="52">
        <v>4.82</v>
      </c>
      <c r="D14" s="52">
        <v>13.57</v>
      </c>
      <c r="E14" s="52">
        <v>3.32</v>
      </c>
      <c r="F14" s="52">
        <v>3.57</v>
      </c>
      <c r="G14" s="52">
        <v>56.39</v>
      </c>
      <c r="H14" s="52">
        <v>46.02</v>
      </c>
      <c r="I14" s="52">
        <v>4.82</v>
      </c>
      <c r="J14" s="52">
        <v>0.18</v>
      </c>
      <c r="K14" s="52">
        <v>264.7</v>
      </c>
      <c r="L14" s="52">
        <v>26.55</v>
      </c>
      <c r="M14" s="52">
        <v>102.62</v>
      </c>
      <c r="N14" s="52">
        <v>49.2</v>
      </c>
      <c r="O14" s="52">
        <v>0</v>
      </c>
      <c r="P14" s="52">
        <v>0.42</v>
      </c>
      <c r="Q14" s="52">
        <v>9.3699999999999992</v>
      </c>
      <c r="R14" s="43"/>
      <c r="S14" s="43"/>
      <c r="T14" s="43"/>
      <c r="U14" s="43"/>
    </row>
    <row r="15" spans="1:21" s="11" customFormat="1" x14ac:dyDescent="0.25">
      <c r="A15" s="51" t="s">
        <v>354</v>
      </c>
      <c r="B15" s="52">
        <v>8.9700000000000006</v>
      </c>
      <c r="C15" s="52">
        <v>4.59</v>
      </c>
      <c r="D15" s="52">
        <v>13.36</v>
      </c>
      <c r="E15" s="52">
        <v>4.57</v>
      </c>
      <c r="F15" s="52">
        <v>3.51</v>
      </c>
      <c r="G15" s="52">
        <v>56.62</v>
      </c>
      <c r="H15" s="52">
        <v>55.82</v>
      </c>
      <c r="I15" s="52">
        <v>4.83</v>
      </c>
      <c r="J15" s="52">
        <v>0.18</v>
      </c>
      <c r="K15" s="52">
        <v>340.17</v>
      </c>
      <c r="L15" s="52">
        <v>27.74</v>
      </c>
      <c r="M15" s="52">
        <v>102.61</v>
      </c>
      <c r="N15" s="52">
        <v>163</v>
      </c>
      <c r="O15" s="52">
        <v>0</v>
      </c>
      <c r="P15" s="52">
        <v>0.39</v>
      </c>
      <c r="Q15" s="52">
        <v>9.39</v>
      </c>
      <c r="R15" s="43"/>
      <c r="S15" s="43"/>
      <c r="T15" s="43"/>
      <c r="U15" s="43"/>
    </row>
    <row r="16" spans="1:21" s="11" customFormat="1" x14ac:dyDescent="0.25">
      <c r="A16" s="51" t="s">
        <v>355</v>
      </c>
      <c r="B16" s="52">
        <v>8.9600000000000009</v>
      </c>
      <c r="C16" s="52">
        <v>4.74</v>
      </c>
      <c r="D16" s="52">
        <v>13.44</v>
      </c>
      <c r="E16" s="52">
        <v>3.97</v>
      </c>
      <c r="F16" s="52">
        <v>4.3099999999999996</v>
      </c>
      <c r="G16" s="52">
        <v>57.56</v>
      </c>
      <c r="H16" s="52">
        <v>63.66</v>
      </c>
      <c r="I16" s="52">
        <v>4.8</v>
      </c>
      <c r="J16" s="52">
        <v>0.28999999999999998</v>
      </c>
      <c r="K16" s="52">
        <v>350.77</v>
      </c>
      <c r="L16" s="52">
        <v>30.46</v>
      </c>
      <c r="M16" s="52">
        <v>101.76</v>
      </c>
      <c r="N16" s="52">
        <v>441.3</v>
      </c>
      <c r="O16" s="52">
        <v>0</v>
      </c>
      <c r="P16" s="52">
        <v>0.4</v>
      </c>
      <c r="Q16" s="52">
        <v>9.41</v>
      </c>
      <c r="R16" s="43"/>
      <c r="S16" s="43"/>
      <c r="T16" s="43"/>
      <c r="U16" s="43"/>
    </row>
    <row r="17" spans="1:21" s="11" customFormat="1" x14ac:dyDescent="0.25">
      <c r="A17" s="51" t="s">
        <v>356</v>
      </c>
      <c r="B17" s="52">
        <v>8.86</v>
      </c>
      <c r="C17" s="52">
        <v>4.93</v>
      </c>
      <c r="D17" s="52">
        <v>13.45</v>
      </c>
      <c r="E17" s="52">
        <v>4.05</v>
      </c>
      <c r="F17" s="52">
        <v>4.3899999999999997</v>
      </c>
      <c r="G17" s="52">
        <v>66.53</v>
      </c>
      <c r="H17" s="52">
        <v>24.39</v>
      </c>
      <c r="I17" s="52">
        <v>4.18</v>
      </c>
      <c r="J17" s="52">
        <v>0.33</v>
      </c>
      <c r="K17" s="52">
        <v>358.61</v>
      </c>
      <c r="L17" s="52">
        <v>32.67</v>
      </c>
      <c r="M17" s="52">
        <v>94.39</v>
      </c>
      <c r="N17" s="52">
        <v>657.6</v>
      </c>
      <c r="O17" s="52">
        <v>0</v>
      </c>
      <c r="P17" s="52">
        <v>0.52</v>
      </c>
      <c r="Q17" s="52">
        <v>9.34</v>
      </c>
      <c r="R17" s="43"/>
      <c r="S17" s="43"/>
      <c r="T17" s="43"/>
      <c r="U17" s="43"/>
    </row>
    <row r="18" spans="1:21" s="11" customFormat="1" x14ac:dyDescent="0.25">
      <c r="A18" s="51" t="s">
        <v>357</v>
      </c>
      <c r="B18" s="52">
        <v>8.39</v>
      </c>
      <c r="C18" s="52">
        <v>4.17</v>
      </c>
      <c r="D18" s="52">
        <v>12.68</v>
      </c>
      <c r="E18" s="52">
        <v>3.9</v>
      </c>
      <c r="F18" s="52">
        <v>4.04</v>
      </c>
      <c r="G18" s="52">
        <v>79.180000000000007</v>
      </c>
      <c r="H18" s="52">
        <v>33.86</v>
      </c>
      <c r="I18" s="52">
        <v>3.8</v>
      </c>
      <c r="J18" s="52">
        <v>0.35</v>
      </c>
      <c r="K18" s="52">
        <v>343.4</v>
      </c>
      <c r="L18" s="52">
        <v>34.57</v>
      </c>
      <c r="M18" s="52">
        <v>87.15</v>
      </c>
      <c r="N18" s="52">
        <v>699.5</v>
      </c>
      <c r="O18" s="52">
        <v>0</v>
      </c>
      <c r="P18" s="52">
        <v>0.63</v>
      </c>
      <c r="Q18" s="52">
        <v>9.32</v>
      </c>
      <c r="R18" s="43"/>
      <c r="S18" s="43"/>
      <c r="T18" s="43"/>
      <c r="U18" s="43"/>
    </row>
    <row r="19" spans="1:21" s="11" customFormat="1" x14ac:dyDescent="0.25">
      <c r="A19" s="51" t="s">
        <v>358</v>
      </c>
      <c r="B19" s="52">
        <v>8.14</v>
      </c>
      <c r="C19" s="52">
        <v>3.45</v>
      </c>
      <c r="D19" s="52">
        <v>12.11</v>
      </c>
      <c r="E19" s="52">
        <v>4.71</v>
      </c>
      <c r="F19" s="52">
        <v>5.9</v>
      </c>
      <c r="G19" s="52">
        <v>87.23</v>
      </c>
      <c r="H19" s="52">
        <v>56.64</v>
      </c>
      <c r="I19" s="52">
        <v>3.88</v>
      </c>
      <c r="J19" s="52">
        <v>0.4</v>
      </c>
      <c r="K19" s="52">
        <v>332.98</v>
      </c>
      <c r="L19" s="52">
        <v>34.64</v>
      </c>
      <c r="M19" s="52">
        <v>83.12</v>
      </c>
      <c r="N19" s="52">
        <v>734.4</v>
      </c>
      <c r="O19" s="52">
        <v>0</v>
      </c>
      <c r="P19" s="52">
        <v>0.69</v>
      </c>
      <c r="Q19" s="52">
        <v>9.31</v>
      </c>
      <c r="R19" s="43"/>
      <c r="S19" s="43"/>
      <c r="T19" s="43"/>
      <c r="U19" s="43"/>
    </row>
    <row r="20" spans="1:21" s="11" customFormat="1" x14ac:dyDescent="0.25">
      <c r="A20" s="51" t="s">
        <v>359</v>
      </c>
      <c r="B20" s="52">
        <v>7.97</v>
      </c>
      <c r="C20" s="52">
        <v>3.05</v>
      </c>
      <c r="D20" s="52">
        <v>11.76</v>
      </c>
      <c r="E20" s="52">
        <v>4.91</v>
      </c>
      <c r="F20" s="52">
        <v>5.24</v>
      </c>
      <c r="G20" s="52">
        <v>88.83</v>
      </c>
      <c r="H20" s="52">
        <v>65.239999999999995</v>
      </c>
      <c r="I20" s="52">
        <v>3.65</v>
      </c>
      <c r="J20" s="52">
        <v>0.33</v>
      </c>
      <c r="K20" s="52">
        <v>349.94</v>
      </c>
      <c r="L20" s="52">
        <v>34.909999999999997</v>
      </c>
      <c r="M20" s="52">
        <v>70.709999999999994</v>
      </c>
      <c r="N20" s="52">
        <v>1018.8</v>
      </c>
      <c r="O20" s="52">
        <v>0</v>
      </c>
      <c r="P20" s="52">
        <v>0.68</v>
      </c>
      <c r="Q20" s="52">
        <v>9.3000000000000007</v>
      </c>
      <c r="R20" s="43"/>
      <c r="S20" s="43"/>
      <c r="T20" s="43"/>
      <c r="U20" s="43"/>
    </row>
    <row r="21" spans="1:21" s="11" customFormat="1" x14ac:dyDescent="0.25">
      <c r="A21" s="51" t="s">
        <v>360</v>
      </c>
      <c r="B21" s="52">
        <v>7.93</v>
      </c>
      <c r="C21" s="52">
        <v>3.14</v>
      </c>
      <c r="D21" s="52">
        <v>11.78</v>
      </c>
      <c r="E21" s="52">
        <v>4.57</v>
      </c>
      <c r="F21" s="52">
        <v>5.52</v>
      </c>
      <c r="G21" s="52">
        <v>90.15</v>
      </c>
      <c r="H21" s="52">
        <v>27.23</v>
      </c>
      <c r="I21" s="52">
        <v>3.43</v>
      </c>
      <c r="J21" s="52">
        <v>0.28000000000000003</v>
      </c>
      <c r="K21" s="52">
        <v>338.6</v>
      </c>
      <c r="L21" s="52">
        <v>34.21</v>
      </c>
      <c r="M21" s="52">
        <v>70.77</v>
      </c>
      <c r="N21" s="52">
        <v>834.2</v>
      </c>
      <c r="O21" s="52">
        <v>0</v>
      </c>
      <c r="P21" s="52">
        <v>0.61</v>
      </c>
      <c r="Q21" s="52">
        <v>9.26</v>
      </c>
      <c r="R21" s="43"/>
      <c r="S21" s="43"/>
      <c r="T21" s="43"/>
      <c r="U21" s="43"/>
    </row>
    <row r="22" spans="1:21" s="11" customFormat="1" x14ac:dyDescent="0.25">
      <c r="A22" s="51" t="s">
        <v>361</v>
      </c>
      <c r="B22" s="52">
        <v>7.96</v>
      </c>
      <c r="C22" s="52">
        <v>3.26</v>
      </c>
      <c r="D22" s="52">
        <v>11.86</v>
      </c>
      <c r="E22" s="52">
        <v>5.0199999999999996</v>
      </c>
      <c r="F22" s="52">
        <v>9.69</v>
      </c>
      <c r="G22" s="52">
        <v>95.54</v>
      </c>
      <c r="H22" s="52">
        <v>42.19</v>
      </c>
      <c r="I22" s="52">
        <v>2.8</v>
      </c>
      <c r="J22" s="52">
        <v>0.31</v>
      </c>
      <c r="K22" s="52">
        <v>341.13</v>
      </c>
      <c r="L22" s="52">
        <v>34.22</v>
      </c>
      <c r="M22" s="52">
        <v>69.87</v>
      </c>
      <c r="N22" s="52">
        <v>834.2</v>
      </c>
      <c r="O22" s="52">
        <v>0</v>
      </c>
      <c r="P22" s="52">
        <v>0.49</v>
      </c>
      <c r="Q22" s="52">
        <v>9.19</v>
      </c>
      <c r="R22" s="43"/>
      <c r="S22" s="43"/>
      <c r="T22" s="43"/>
      <c r="U22" s="43"/>
    </row>
    <row r="23" spans="1:21" s="11" customFormat="1" x14ac:dyDescent="0.25">
      <c r="A23" s="51" t="s">
        <v>362</v>
      </c>
      <c r="B23" s="52">
        <v>7.97</v>
      </c>
      <c r="C23" s="52">
        <v>3.06</v>
      </c>
      <c r="D23" s="52">
        <v>11.76</v>
      </c>
      <c r="E23" s="52">
        <v>5.53</v>
      </c>
      <c r="F23" s="52">
        <v>7.31</v>
      </c>
      <c r="G23" s="52">
        <v>58.62</v>
      </c>
      <c r="H23" s="52">
        <v>46.45</v>
      </c>
      <c r="I23" s="52">
        <v>1.5</v>
      </c>
      <c r="J23" s="52">
        <v>0.24</v>
      </c>
      <c r="K23" s="52">
        <v>350</v>
      </c>
      <c r="L23" s="52">
        <v>33.47</v>
      </c>
      <c r="M23" s="52">
        <v>68.72</v>
      </c>
      <c r="N23" s="52">
        <v>307</v>
      </c>
      <c r="O23" s="52">
        <v>0</v>
      </c>
      <c r="P23" s="52">
        <v>0.34</v>
      </c>
      <c r="Q23" s="52">
        <v>9.2200000000000006</v>
      </c>
      <c r="R23" s="43"/>
      <c r="S23" s="43"/>
      <c r="T23" s="43"/>
      <c r="U23" s="43"/>
    </row>
    <row r="24" spans="1:21" s="11" customFormat="1" x14ac:dyDescent="0.25">
      <c r="A24" s="51" t="s">
        <v>363</v>
      </c>
      <c r="B24" s="52">
        <v>7.97</v>
      </c>
      <c r="C24" s="52">
        <v>3.08</v>
      </c>
      <c r="D24" s="52">
        <v>11.77</v>
      </c>
      <c r="E24" s="52">
        <v>5.08</v>
      </c>
      <c r="F24" s="52">
        <v>6.89</v>
      </c>
      <c r="G24" s="52">
        <v>73.87</v>
      </c>
      <c r="H24" s="52">
        <v>17.97</v>
      </c>
      <c r="I24" s="52">
        <v>1.61</v>
      </c>
      <c r="J24" s="52">
        <v>0.33</v>
      </c>
      <c r="K24" s="52">
        <v>340.65</v>
      </c>
      <c r="L24" s="52">
        <v>33.130000000000003</v>
      </c>
      <c r="M24" s="52">
        <v>71.06</v>
      </c>
      <c r="N24" s="52">
        <v>180.6</v>
      </c>
      <c r="O24" s="52">
        <v>0</v>
      </c>
      <c r="P24" s="52">
        <v>0.31</v>
      </c>
      <c r="Q24" s="52">
        <v>9.25</v>
      </c>
      <c r="R24" s="43"/>
      <c r="S24" s="43"/>
      <c r="T24" s="43"/>
      <c r="U24" s="43"/>
    </row>
    <row r="25" spans="1:21" s="11" customFormat="1" x14ac:dyDescent="0.25">
      <c r="A25" s="51" t="s">
        <v>364</v>
      </c>
      <c r="B25" s="52">
        <v>8.06</v>
      </c>
      <c r="C25" s="52">
        <v>3.36</v>
      </c>
      <c r="D25" s="52">
        <v>11.99</v>
      </c>
      <c r="E25" s="52">
        <v>4.99</v>
      </c>
      <c r="F25" s="52">
        <v>4.75</v>
      </c>
      <c r="G25" s="52">
        <v>87.67</v>
      </c>
      <c r="H25" s="52">
        <v>17.329999999999998</v>
      </c>
      <c r="I25" s="52">
        <v>1.24</v>
      </c>
      <c r="J25" s="52">
        <v>0.37</v>
      </c>
      <c r="K25" s="52">
        <v>350.17</v>
      </c>
      <c r="L25" s="52">
        <v>32.82</v>
      </c>
      <c r="M25" s="52">
        <v>75.19</v>
      </c>
      <c r="N25" s="52">
        <v>175.8</v>
      </c>
      <c r="O25" s="52">
        <v>0</v>
      </c>
      <c r="P25" s="52">
        <v>0.34</v>
      </c>
      <c r="Q25" s="52">
        <v>9.35</v>
      </c>
      <c r="R25" s="43"/>
      <c r="S25" s="43"/>
      <c r="T25" s="43"/>
      <c r="U25" s="43"/>
    </row>
    <row r="26" spans="1:21" s="11" customFormat="1" x14ac:dyDescent="0.25">
      <c r="A26" s="51" t="s">
        <v>365</v>
      </c>
      <c r="B26" s="52">
        <v>8.0500000000000007</v>
      </c>
      <c r="C26" s="52">
        <v>3.53</v>
      </c>
      <c r="D26" s="52">
        <v>12.07</v>
      </c>
      <c r="E26" s="52">
        <v>5.15</v>
      </c>
      <c r="F26" s="52">
        <v>5.86</v>
      </c>
      <c r="G26" s="52">
        <v>79.599999999999994</v>
      </c>
      <c r="H26" s="52">
        <v>24.84</v>
      </c>
      <c r="I26" s="52">
        <v>1.71</v>
      </c>
      <c r="J26" s="52">
        <v>0.75</v>
      </c>
      <c r="K26" s="52">
        <v>332.28</v>
      </c>
      <c r="L26" s="52">
        <v>32.53</v>
      </c>
      <c r="M26" s="52">
        <v>76.5</v>
      </c>
      <c r="N26" s="52">
        <v>128.9</v>
      </c>
      <c r="O26" s="52">
        <v>0</v>
      </c>
      <c r="P26" s="52">
        <v>0.44</v>
      </c>
      <c r="Q26" s="52">
        <v>9.32</v>
      </c>
      <c r="R26" s="43"/>
      <c r="S26" s="43"/>
      <c r="T26" s="43"/>
      <c r="U26" s="43"/>
    </row>
    <row r="27" spans="1:21" s="11" customFormat="1" x14ac:dyDescent="0.25">
      <c r="A27" s="51" t="s">
        <v>366</v>
      </c>
      <c r="B27" s="52">
        <v>8.02</v>
      </c>
      <c r="C27" s="52">
        <v>3.19</v>
      </c>
      <c r="D27" s="52">
        <v>11.86</v>
      </c>
      <c r="E27" s="52">
        <v>5.45</v>
      </c>
      <c r="F27" s="52">
        <v>3.65</v>
      </c>
      <c r="G27" s="52">
        <v>82.12</v>
      </c>
      <c r="H27" s="52">
        <v>27.19</v>
      </c>
      <c r="I27" s="52">
        <v>2.17</v>
      </c>
      <c r="J27" s="52">
        <v>0.52</v>
      </c>
      <c r="K27" s="52">
        <v>338.88</v>
      </c>
      <c r="L27" s="52">
        <v>31.33</v>
      </c>
      <c r="M27" s="52">
        <v>90.97</v>
      </c>
      <c r="N27" s="52">
        <v>72.8</v>
      </c>
      <c r="O27" s="52">
        <v>0</v>
      </c>
      <c r="P27" s="52">
        <v>0.5</v>
      </c>
      <c r="Q27" s="52">
        <v>9.36</v>
      </c>
      <c r="R27" s="43"/>
      <c r="S27" s="43"/>
      <c r="T27" s="43"/>
      <c r="U27" s="43"/>
    </row>
    <row r="28" spans="1:21" s="11" customFormat="1" x14ac:dyDescent="0.25">
      <c r="A28" s="51" t="s">
        <v>367</v>
      </c>
      <c r="B28" s="52">
        <v>8.08</v>
      </c>
      <c r="C28" s="52">
        <v>3.18</v>
      </c>
      <c r="D28" s="52">
        <v>11.92</v>
      </c>
      <c r="E28" s="52">
        <v>5.74</v>
      </c>
      <c r="F28" s="52">
        <v>3.59</v>
      </c>
      <c r="G28" s="52">
        <v>88.09</v>
      </c>
      <c r="H28" s="52">
        <v>18.48</v>
      </c>
      <c r="I28" s="52">
        <v>3.04</v>
      </c>
      <c r="J28" s="52">
        <v>0.33</v>
      </c>
      <c r="K28" s="52">
        <v>344.93</v>
      </c>
      <c r="L28" s="52">
        <v>30.3</v>
      </c>
      <c r="M28" s="52">
        <v>89.21</v>
      </c>
      <c r="N28" s="52">
        <v>48.8</v>
      </c>
      <c r="O28" s="52">
        <v>0</v>
      </c>
      <c r="P28" s="52">
        <v>0.6</v>
      </c>
      <c r="Q28" s="52">
        <v>9.5500000000000007</v>
      </c>
      <c r="R28" s="43"/>
      <c r="S28" s="43"/>
      <c r="T28" s="43"/>
      <c r="U28" s="43"/>
    </row>
    <row r="29" spans="1:21" s="11" customFormat="1" x14ac:dyDescent="0.25">
      <c r="A29" s="51" t="s">
        <v>368</v>
      </c>
      <c r="B29" s="52">
        <v>8.1999999999999993</v>
      </c>
      <c r="C29" s="52">
        <v>3.43</v>
      </c>
      <c r="D29" s="52">
        <v>12.14</v>
      </c>
      <c r="E29" s="52">
        <v>5.64</v>
      </c>
      <c r="F29" s="52">
        <v>4.45</v>
      </c>
      <c r="G29" s="52">
        <v>91.6</v>
      </c>
      <c r="H29" s="52">
        <v>25.56</v>
      </c>
      <c r="I29" s="52">
        <v>3.77</v>
      </c>
      <c r="J29" s="52">
        <v>0.24</v>
      </c>
      <c r="K29" s="52">
        <v>326.16000000000003</v>
      </c>
      <c r="L29" s="52">
        <v>30.07</v>
      </c>
      <c r="M29" s="52">
        <v>89.9</v>
      </c>
      <c r="N29" s="52">
        <v>48.6</v>
      </c>
      <c r="O29" s="52">
        <v>0</v>
      </c>
      <c r="P29" s="52">
        <v>0.72</v>
      </c>
      <c r="Q29" s="52">
        <v>9.7200000000000006</v>
      </c>
      <c r="R29" s="43"/>
      <c r="S29" s="43"/>
      <c r="T29" s="43"/>
      <c r="U29" s="43"/>
    </row>
    <row r="30" spans="1:21" s="11" customFormat="1" x14ac:dyDescent="0.25">
      <c r="A30" s="51" t="s">
        <v>369</v>
      </c>
      <c r="B30" s="52">
        <v>8.8699999999999992</v>
      </c>
      <c r="C30" s="52">
        <v>4.38</v>
      </c>
      <c r="D30" s="52">
        <v>13.18</v>
      </c>
      <c r="E30" s="52">
        <v>6.32</v>
      </c>
      <c r="F30" s="52">
        <v>4.04</v>
      </c>
      <c r="G30" s="52">
        <v>106.99</v>
      </c>
      <c r="H30" s="52">
        <v>36.409999999999997</v>
      </c>
      <c r="I30" s="52">
        <v>4.63</v>
      </c>
      <c r="J30" s="52">
        <v>0.15</v>
      </c>
      <c r="K30" s="52">
        <v>301.89999999999998</v>
      </c>
      <c r="L30" s="52">
        <v>29.72</v>
      </c>
      <c r="M30" s="52">
        <v>92.92</v>
      </c>
      <c r="N30" s="52">
        <v>48.6</v>
      </c>
      <c r="O30" s="52">
        <v>0</v>
      </c>
      <c r="P30" s="52">
        <v>0.86</v>
      </c>
      <c r="Q30" s="52">
        <v>9.86</v>
      </c>
      <c r="R30" s="43"/>
      <c r="S30" s="43"/>
      <c r="T30" s="43"/>
      <c r="U30" s="43"/>
    </row>
    <row r="31" spans="1:21" s="11" customFormat="1" x14ac:dyDescent="0.25">
      <c r="A31" s="51" t="s">
        <v>370</v>
      </c>
      <c r="B31" s="52">
        <v>8.85</v>
      </c>
      <c r="C31" s="52">
        <v>4.3499999999999996</v>
      </c>
      <c r="D31" s="52">
        <v>13.14</v>
      </c>
      <c r="E31" s="52">
        <v>6.13</v>
      </c>
      <c r="F31" s="52">
        <v>3.52</v>
      </c>
      <c r="G31" s="52">
        <v>116.02</v>
      </c>
      <c r="H31" s="52">
        <v>39.869999999999997</v>
      </c>
      <c r="I31" s="52">
        <v>5.42</v>
      </c>
      <c r="J31" s="52">
        <v>0.18</v>
      </c>
      <c r="K31" s="52">
        <v>311.75</v>
      </c>
      <c r="L31" s="52">
        <v>29.62</v>
      </c>
      <c r="M31" s="52">
        <v>93.66</v>
      </c>
      <c r="N31" s="52">
        <v>48.6</v>
      </c>
      <c r="O31" s="52">
        <v>0</v>
      </c>
      <c r="P31" s="52">
        <v>0.89</v>
      </c>
      <c r="Q31" s="52">
        <v>9.93</v>
      </c>
      <c r="R31" s="43"/>
      <c r="S31" s="43"/>
      <c r="T31" s="43"/>
      <c r="U31" s="43"/>
    </row>
    <row r="32" spans="1:21" s="11" customFormat="1" x14ac:dyDescent="0.25">
      <c r="A32" s="51" t="s">
        <v>371</v>
      </c>
      <c r="B32" s="52">
        <v>8.6</v>
      </c>
      <c r="C32" s="52">
        <v>3.92</v>
      </c>
      <c r="D32" s="52">
        <v>12.72</v>
      </c>
      <c r="E32" s="52">
        <v>5.0199999999999996</v>
      </c>
      <c r="F32" s="52">
        <v>3.63</v>
      </c>
      <c r="G32" s="52">
        <v>117.54</v>
      </c>
      <c r="H32" s="52">
        <v>37.369999999999997</v>
      </c>
      <c r="I32" s="52">
        <v>5.77</v>
      </c>
      <c r="J32" s="52">
        <v>0.16</v>
      </c>
      <c r="K32" s="52">
        <v>337.47</v>
      </c>
      <c r="L32" s="52">
        <v>29.35</v>
      </c>
      <c r="M32" s="52">
        <v>98.15</v>
      </c>
      <c r="N32" s="52">
        <v>48.7</v>
      </c>
      <c r="O32" s="52">
        <v>0</v>
      </c>
      <c r="P32" s="52">
        <v>0.87</v>
      </c>
      <c r="Q32" s="52">
        <v>9.91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3.05</v>
      </c>
      <c r="D34" s="28">
        <f t="shared" si="0"/>
        <v>11.76</v>
      </c>
      <c r="E34" s="28">
        <f t="shared" si="0"/>
        <v>3.14</v>
      </c>
      <c r="F34" s="28">
        <f t="shared" si="0"/>
        <v>3.51</v>
      </c>
      <c r="G34" s="28">
        <f t="shared" si="0"/>
        <v>56.39</v>
      </c>
      <c r="H34" s="28">
        <f t="shared" si="0"/>
        <v>0.74</v>
      </c>
      <c r="I34" s="28">
        <f t="shared" si="0"/>
        <v>1.24</v>
      </c>
      <c r="J34" s="28">
        <f t="shared" si="0"/>
        <v>0.15</v>
      </c>
      <c r="K34" s="28">
        <f t="shared" si="0"/>
        <v>263.52999999999997</v>
      </c>
      <c r="L34" s="28">
        <f t="shared" si="0"/>
        <v>26.55</v>
      </c>
      <c r="M34" s="28">
        <f t="shared" si="0"/>
        <v>68.72</v>
      </c>
      <c r="N34" s="28">
        <f t="shared" si="0"/>
        <v>37.9</v>
      </c>
      <c r="O34" s="28">
        <f t="shared" si="0"/>
        <v>0</v>
      </c>
      <c r="P34" s="28">
        <f t="shared" si="0"/>
        <v>0.31</v>
      </c>
      <c r="Q34" s="28">
        <f t="shared" si="0"/>
        <v>9.19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10.32</v>
      </c>
      <c r="C35" s="29">
        <f t="shared" si="1"/>
        <v>5.4</v>
      </c>
      <c r="D35" s="29">
        <f t="shared" si="1"/>
        <v>14.34</v>
      </c>
      <c r="E35" s="29">
        <f t="shared" si="1"/>
        <v>6.32</v>
      </c>
      <c r="F35" s="29">
        <f t="shared" si="1"/>
        <v>9.69</v>
      </c>
      <c r="G35" s="29">
        <f t="shared" si="1"/>
        <v>117.54</v>
      </c>
      <c r="H35" s="29">
        <f t="shared" si="1"/>
        <v>98.4</v>
      </c>
      <c r="I35" s="29">
        <f t="shared" si="1"/>
        <v>5.77</v>
      </c>
      <c r="J35" s="29">
        <f t="shared" si="1"/>
        <v>0.75</v>
      </c>
      <c r="K35" s="29">
        <f t="shared" si="1"/>
        <v>358.61</v>
      </c>
      <c r="L35" s="29">
        <f t="shared" si="1"/>
        <v>34.909999999999997</v>
      </c>
      <c r="M35" s="29">
        <f t="shared" si="1"/>
        <v>103.08</v>
      </c>
      <c r="N35" s="29">
        <f t="shared" si="1"/>
        <v>1018.8</v>
      </c>
      <c r="O35" s="29">
        <f t="shared" si="1"/>
        <v>0</v>
      </c>
      <c r="P35" s="29">
        <f t="shared" si="1"/>
        <v>0.89</v>
      </c>
      <c r="Q35" s="29">
        <f t="shared" si="1"/>
        <v>9.93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8.6062500000000011</v>
      </c>
      <c r="C36" s="28">
        <f t="shared" si="2"/>
        <v>3.9745833333333338</v>
      </c>
      <c r="D36" s="28">
        <f t="shared" si="2"/>
        <v>12.735833333333332</v>
      </c>
      <c r="E36" s="28">
        <f t="shared" si="2"/>
        <v>4.7949999999999999</v>
      </c>
      <c r="F36" s="28">
        <f t="shared" si="2"/>
        <v>4.7474999999999996</v>
      </c>
      <c r="G36" s="28">
        <f t="shared" si="2"/>
        <v>82.632499999999979</v>
      </c>
      <c r="H36" s="28">
        <f t="shared" si="2"/>
        <v>38.555</v>
      </c>
      <c r="I36" s="28">
        <f t="shared" si="2"/>
        <v>3.8883333333333323</v>
      </c>
      <c r="J36" s="28">
        <f t="shared" si="2"/>
        <v>0.29375000000000001</v>
      </c>
      <c r="K36" s="28">
        <f t="shared" si="2"/>
        <v>332.79041666666666</v>
      </c>
      <c r="L36" s="28">
        <f t="shared" si="2"/>
        <v>30.72708333333334</v>
      </c>
      <c r="M36" s="28">
        <f t="shared" si="2"/>
        <v>89.28958333333334</v>
      </c>
      <c r="N36" s="28">
        <f t="shared" si="2"/>
        <v>280.45416666666671</v>
      </c>
      <c r="O36" s="28">
        <f t="shared" si="2"/>
        <v>0</v>
      </c>
      <c r="P36" s="28">
        <f t="shared" si="2"/>
        <v>0.56124999999999992</v>
      </c>
      <c r="Q36" s="28">
        <f t="shared" si="2"/>
        <v>9.4404166666666658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0.68959227083835561</v>
      </c>
      <c r="C37" s="28">
        <f t="shared" ref="C37:Q37" si="3">STDEV(C9:C32)</f>
        <v>0.7858751929158817</v>
      </c>
      <c r="D37" s="28">
        <f t="shared" si="3"/>
        <v>0.89262639668450938</v>
      </c>
      <c r="E37" s="28">
        <f t="shared" si="3"/>
        <v>0.82876545168886173</v>
      </c>
      <c r="F37" s="28">
        <f t="shared" si="3"/>
        <v>1.500528167882462</v>
      </c>
      <c r="G37" s="28">
        <f t="shared" si="3"/>
        <v>17.775835882015592</v>
      </c>
      <c r="H37" s="28">
        <f t="shared" si="3"/>
        <v>21.816351067789572</v>
      </c>
      <c r="I37" s="28">
        <f t="shared" si="3"/>
        <v>1.4193405286371157</v>
      </c>
      <c r="J37" s="28">
        <f t="shared" si="3"/>
        <v>0.13499798710254579</v>
      </c>
      <c r="K37" s="28">
        <f t="shared" si="3"/>
        <v>24.417447874182226</v>
      </c>
      <c r="L37" s="28">
        <f t="shared" si="3"/>
        <v>2.928053930316274</v>
      </c>
      <c r="M37" s="28">
        <f t="shared" si="3"/>
        <v>12.820449181294094</v>
      </c>
      <c r="N37" s="28">
        <f t="shared" si="3"/>
        <v>324.74795441222955</v>
      </c>
      <c r="O37" s="28">
        <f t="shared" si="3"/>
        <v>0</v>
      </c>
      <c r="P37" s="28">
        <f t="shared" si="3"/>
        <v>0.16734012486939387</v>
      </c>
      <c r="Q37" s="28">
        <f t="shared" si="3"/>
        <v>0.20985459078934229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F48" sqref="F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372</v>
      </c>
      <c r="B9" s="52">
        <v>8.2200000000000006</v>
      </c>
      <c r="C9" s="52">
        <v>3.34</v>
      </c>
      <c r="D9" s="52">
        <v>12.11</v>
      </c>
      <c r="E9" s="52">
        <v>5.01</v>
      </c>
      <c r="F9" s="52">
        <v>3.62</v>
      </c>
      <c r="G9" s="52">
        <v>117.68</v>
      </c>
      <c r="H9" s="52">
        <v>34</v>
      </c>
      <c r="I9" s="52">
        <v>6.06</v>
      </c>
      <c r="J9" s="52">
        <v>0.16</v>
      </c>
      <c r="K9" s="52">
        <v>328.18</v>
      </c>
      <c r="L9" s="52">
        <v>29.1</v>
      </c>
      <c r="M9" s="52">
        <v>102.6</v>
      </c>
      <c r="N9" s="52">
        <v>48.6</v>
      </c>
      <c r="O9" s="52">
        <v>0</v>
      </c>
      <c r="P9" s="52">
        <v>0.73</v>
      </c>
      <c r="Q9" s="52">
        <v>9.89</v>
      </c>
      <c r="R9" s="43"/>
      <c r="S9" s="43"/>
      <c r="T9" s="43"/>
      <c r="U9" s="43"/>
    </row>
    <row r="10" spans="1:21" s="11" customFormat="1" x14ac:dyDescent="0.25">
      <c r="A10" s="51" t="s">
        <v>373</v>
      </c>
      <c r="B10" s="52">
        <v>8.25</v>
      </c>
      <c r="C10" s="52">
        <v>3.42</v>
      </c>
      <c r="D10" s="52">
        <v>12.18</v>
      </c>
      <c r="E10" s="52">
        <v>4.99</v>
      </c>
      <c r="F10" s="52">
        <v>4.33</v>
      </c>
      <c r="G10" s="52">
        <v>110.28</v>
      </c>
      <c r="H10" s="52">
        <v>31.46</v>
      </c>
      <c r="I10" s="52">
        <v>6.22</v>
      </c>
      <c r="J10" s="52">
        <v>0.19</v>
      </c>
      <c r="K10" s="52">
        <v>339.57</v>
      </c>
      <c r="L10" s="52">
        <v>28.74</v>
      </c>
      <c r="M10" s="52">
        <v>103.04</v>
      </c>
      <c r="N10" s="52">
        <v>48.6</v>
      </c>
      <c r="O10" s="52">
        <v>0</v>
      </c>
      <c r="P10" s="52">
        <v>0.68</v>
      </c>
      <c r="Q10" s="52">
        <v>9.83</v>
      </c>
      <c r="R10" s="43"/>
      <c r="S10" s="43"/>
      <c r="T10" s="43"/>
      <c r="U10" s="43"/>
    </row>
    <row r="11" spans="1:21" s="11" customFormat="1" x14ac:dyDescent="0.25">
      <c r="A11" s="51" t="s">
        <v>374</v>
      </c>
      <c r="B11" s="52">
        <v>8.2100000000000009</v>
      </c>
      <c r="C11" s="52">
        <v>3.32</v>
      </c>
      <c r="D11" s="52">
        <v>12.1</v>
      </c>
      <c r="E11" s="52">
        <v>5.0199999999999996</v>
      </c>
      <c r="F11" s="52">
        <v>4.5199999999999996</v>
      </c>
      <c r="G11" s="52">
        <v>88.55</v>
      </c>
      <c r="H11" s="52">
        <v>37.89</v>
      </c>
      <c r="I11" s="52">
        <v>5.96</v>
      </c>
      <c r="J11" s="52">
        <v>0.16</v>
      </c>
      <c r="K11" s="52">
        <v>355.25</v>
      </c>
      <c r="L11" s="52">
        <v>28.59</v>
      </c>
      <c r="M11" s="52">
        <v>102.23</v>
      </c>
      <c r="N11" s="52">
        <v>48.5</v>
      </c>
      <c r="O11" s="52">
        <v>0</v>
      </c>
      <c r="P11" s="52">
        <v>0.6</v>
      </c>
      <c r="Q11" s="52">
        <v>9.69</v>
      </c>
      <c r="R11" s="43"/>
      <c r="S11" s="43"/>
      <c r="T11" s="43"/>
      <c r="U11" s="43"/>
    </row>
    <row r="12" spans="1:21" s="11" customFormat="1" x14ac:dyDescent="0.25">
      <c r="A12" s="51" t="s">
        <v>375</v>
      </c>
      <c r="B12" s="52">
        <v>8.08</v>
      </c>
      <c r="C12" s="52">
        <v>3.14</v>
      </c>
      <c r="D12" s="52">
        <v>11.89</v>
      </c>
      <c r="E12" s="52">
        <v>5.13</v>
      </c>
      <c r="F12" s="52">
        <v>3.64</v>
      </c>
      <c r="G12" s="52">
        <v>74.41</v>
      </c>
      <c r="H12" s="52">
        <v>39.64</v>
      </c>
      <c r="I12" s="52">
        <v>5.56</v>
      </c>
      <c r="J12" s="52">
        <v>0.15</v>
      </c>
      <c r="K12" s="52">
        <v>340.9</v>
      </c>
      <c r="L12" s="52">
        <v>28.35</v>
      </c>
      <c r="M12" s="52">
        <v>102.23</v>
      </c>
      <c r="N12" s="52">
        <v>48.3</v>
      </c>
      <c r="O12" s="52">
        <v>0</v>
      </c>
      <c r="P12" s="52">
        <v>0.52</v>
      </c>
      <c r="Q12" s="52">
        <v>9.61</v>
      </c>
      <c r="R12" s="43"/>
      <c r="S12" s="43"/>
      <c r="T12" s="43"/>
      <c r="U12" s="43"/>
    </row>
    <row r="13" spans="1:21" s="11" customFormat="1" x14ac:dyDescent="0.25">
      <c r="A13" s="51" t="s">
        <v>376</v>
      </c>
      <c r="B13" s="52">
        <v>8.02</v>
      </c>
      <c r="C13" s="52">
        <v>3.1</v>
      </c>
      <c r="D13" s="52">
        <v>11.82</v>
      </c>
      <c r="E13" s="52">
        <v>4.8099999999999996</v>
      </c>
      <c r="F13" s="52">
        <v>3.73</v>
      </c>
      <c r="G13" s="52">
        <v>61.35</v>
      </c>
      <c r="H13" s="52">
        <v>31.57</v>
      </c>
      <c r="I13" s="52">
        <v>5.17</v>
      </c>
      <c r="J13" s="52">
        <v>0.17</v>
      </c>
      <c r="K13" s="52">
        <v>321.51</v>
      </c>
      <c r="L13" s="52">
        <v>28.16</v>
      </c>
      <c r="M13" s="52">
        <v>102.27</v>
      </c>
      <c r="N13" s="52">
        <v>48.3</v>
      </c>
      <c r="O13" s="52">
        <v>0</v>
      </c>
      <c r="P13" s="52">
        <v>0.44</v>
      </c>
      <c r="Q13" s="52">
        <v>9.4700000000000006</v>
      </c>
      <c r="R13" s="43"/>
      <c r="S13" s="43"/>
      <c r="T13" s="43"/>
      <c r="U13" s="43"/>
    </row>
    <row r="14" spans="1:21" s="11" customFormat="1" x14ac:dyDescent="0.25">
      <c r="A14" s="51" t="s">
        <v>377</v>
      </c>
      <c r="B14" s="52">
        <v>8.0299999999999994</v>
      </c>
      <c r="C14" s="52">
        <v>3.04</v>
      </c>
      <c r="D14" s="52">
        <v>11.8</v>
      </c>
      <c r="E14" s="52">
        <v>4.96</v>
      </c>
      <c r="F14" s="52">
        <v>3.25</v>
      </c>
      <c r="G14" s="52">
        <v>55.89</v>
      </c>
      <c r="H14" s="52">
        <v>35.299999999999997</v>
      </c>
      <c r="I14" s="52">
        <v>5.14</v>
      </c>
      <c r="J14" s="52">
        <v>0.19</v>
      </c>
      <c r="K14" s="52">
        <v>331.26</v>
      </c>
      <c r="L14" s="52">
        <v>27.97</v>
      </c>
      <c r="M14" s="52">
        <v>102.45</v>
      </c>
      <c r="N14" s="52">
        <v>53.5</v>
      </c>
      <c r="O14" s="52">
        <v>0</v>
      </c>
      <c r="P14" s="52">
        <v>0.4</v>
      </c>
      <c r="Q14" s="52">
        <v>9.4700000000000006</v>
      </c>
      <c r="R14" s="43"/>
      <c r="S14" s="43"/>
      <c r="T14" s="43"/>
      <c r="U14" s="43"/>
    </row>
    <row r="15" spans="1:21" s="11" customFormat="1" x14ac:dyDescent="0.25">
      <c r="A15" s="51" t="s">
        <v>378</v>
      </c>
      <c r="B15" s="52">
        <v>8.01</v>
      </c>
      <c r="C15" s="52">
        <v>3.08</v>
      </c>
      <c r="D15" s="52">
        <v>11.79</v>
      </c>
      <c r="E15" s="52">
        <v>5.09</v>
      </c>
      <c r="F15" s="52">
        <v>4.3600000000000003</v>
      </c>
      <c r="G15" s="52">
        <v>57.51</v>
      </c>
      <c r="H15" s="52">
        <v>21.37</v>
      </c>
      <c r="I15" s="52">
        <v>5</v>
      </c>
      <c r="J15" s="52">
        <v>0.22</v>
      </c>
      <c r="K15" s="52">
        <v>349.97</v>
      </c>
      <c r="L15" s="52">
        <v>28.53</v>
      </c>
      <c r="M15" s="52">
        <v>103.05</v>
      </c>
      <c r="N15" s="52">
        <v>120.6</v>
      </c>
      <c r="O15" s="52">
        <v>0</v>
      </c>
      <c r="P15" s="52">
        <v>0.42</v>
      </c>
      <c r="Q15" s="52">
        <v>9.4600000000000009</v>
      </c>
      <c r="R15" s="43"/>
      <c r="S15" s="43"/>
      <c r="T15" s="43"/>
      <c r="U15" s="43"/>
    </row>
    <row r="16" spans="1:21" s="11" customFormat="1" x14ac:dyDescent="0.25">
      <c r="A16" s="51" t="s">
        <v>379</v>
      </c>
      <c r="B16" s="52">
        <v>8.08</v>
      </c>
      <c r="C16" s="52">
        <v>3.15</v>
      </c>
      <c r="D16" s="52">
        <v>11.89</v>
      </c>
      <c r="E16" s="52">
        <v>4.67</v>
      </c>
      <c r="F16" s="52">
        <v>4.13</v>
      </c>
      <c r="G16" s="52">
        <v>57.9</v>
      </c>
      <c r="H16" s="52">
        <v>13.69</v>
      </c>
      <c r="I16" s="52">
        <v>4.68</v>
      </c>
      <c r="J16" s="52">
        <v>0.15</v>
      </c>
      <c r="K16" s="52">
        <v>330.64</v>
      </c>
      <c r="L16" s="52">
        <v>28.58</v>
      </c>
      <c r="M16" s="52">
        <v>101.57</v>
      </c>
      <c r="N16" s="52">
        <v>123.6</v>
      </c>
      <c r="O16" s="52">
        <v>0</v>
      </c>
      <c r="P16" s="52">
        <v>0.42</v>
      </c>
      <c r="Q16" s="52">
        <v>9.43</v>
      </c>
      <c r="R16" s="43"/>
      <c r="S16" s="43"/>
      <c r="T16" s="43"/>
      <c r="U16" s="43"/>
    </row>
    <row r="17" spans="1:21" s="11" customFormat="1" x14ac:dyDescent="0.25">
      <c r="A17" s="51" t="s">
        <v>380</v>
      </c>
      <c r="B17" s="52">
        <v>8.0299999999999994</v>
      </c>
      <c r="C17" s="52">
        <v>3.09</v>
      </c>
      <c r="D17" s="52">
        <v>11.83</v>
      </c>
      <c r="E17" s="52">
        <v>4.72</v>
      </c>
      <c r="F17" s="52">
        <v>3.92</v>
      </c>
      <c r="G17" s="52">
        <v>63</v>
      </c>
      <c r="H17" s="52">
        <v>24.29</v>
      </c>
      <c r="I17" s="52">
        <v>4.1500000000000004</v>
      </c>
      <c r="J17" s="52">
        <v>0.25</v>
      </c>
      <c r="K17" s="52">
        <v>345</v>
      </c>
      <c r="L17" s="52">
        <v>28.94</v>
      </c>
      <c r="M17" s="52">
        <v>101.73</v>
      </c>
      <c r="N17" s="52">
        <v>165.4</v>
      </c>
      <c r="O17" s="52">
        <v>0</v>
      </c>
      <c r="P17" s="52">
        <v>0.43</v>
      </c>
      <c r="Q17" s="52">
        <v>9.4</v>
      </c>
      <c r="R17" s="43"/>
      <c r="S17" s="43"/>
      <c r="T17" s="43"/>
      <c r="U17" s="43"/>
    </row>
    <row r="18" spans="1:21" s="11" customFormat="1" x14ac:dyDescent="0.25">
      <c r="A18" s="51" t="s">
        <v>381</v>
      </c>
      <c r="B18" s="52">
        <v>8.0399999999999991</v>
      </c>
      <c r="C18" s="52">
        <v>3.1</v>
      </c>
      <c r="D18" s="52">
        <v>11.84</v>
      </c>
      <c r="E18" s="52">
        <v>4.3499999999999996</v>
      </c>
      <c r="F18" s="52">
        <v>3.74</v>
      </c>
      <c r="G18" s="52">
        <v>74.069999999999993</v>
      </c>
      <c r="H18" s="52">
        <v>31.11</v>
      </c>
      <c r="I18" s="52">
        <v>4.21</v>
      </c>
      <c r="J18" s="52">
        <v>0.24</v>
      </c>
      <c r="K18" s="52">
        <v>336.01</v>
      </c>
      <c r="L18" s="52">
        <v>29.88</v>
      </c>
      <c r="M18" s="52">
        <v>101.75</v>
      </c>
      <c r="N18" s="52">
        <v>172.8</v>
      </c>
      <c r="O18" s="52">
        <v>0</v>
      </c>
      <c r="P18" s="52">
        <v>0.51</v>
      </c>
      <c r="Q18" s="52">
        <v>9.43</v>
      </c>
      <c r="R18" s="43"/>
      <c r="S18" s="43"/>
      <c r="T18" s="43"/>
      <c r="U18" s="43"/>
    </row>
    <row r="19" spans="1:21" s="11" customFormat="1" x14ac:dyDescent="0.25">
      <c r="A19" s="51" t="s">
        <v>382</v>
      </c>
      <c r="B19" s="52">
        <v>8.0299999999999994</v>
      </c>
      <c r="C19" s="52">
        <v>3.03</v>
      </c>
      <c r="D19" s="52">
        <v>11.79</v>
      </c>
      <c r="E19" s="52">
        <v>5.0599999999999996</v>
      </c>
      <c r="F19" s="52">
        <v>3.89</v>
      </c>
      <c r="G19" s="52">
        <v>77.73</v>
      </c>
      <c r="H19" s="52">
        <v>31.54</v>
      </c>
      <c r="I19" s="52">
        <v>4.9400000000000004</v>
      </c>
      <c r="J19" s="52">
        <v>0.19</v>
      </c>
      <c r="K19" s="52">
        <v>332.16</v>
      </c>
      <c r="L19" s="52">
        <v>30.01</v>
      </c>
      <c r="M19" s="52">
        <v>100.17</v>
      </c>
      <c r="N19" s="52">
        <v>176</v>
      </c>
      <c r="O19" s="52">
        <v>0</v>
      </c>
      <c r="P19" s="52">
        <v>0.59</v>
      </c>
      <c r="Q19" s="52">
        <v>9.51</v>
      </c>
      <c r="R19" s="43"/>
      <c r="S19" s="43"/>
      <c r="T19" s="43"/>
      <c r="U19" s="43"/>
    </row>
    <row r="20" spans="1:21" s="11" customFormat="1" x14ac:dyDescent="0.25">
      <c r="A20" s="51" t="s">
        <v>383</v>
      </c>
      <c r="B20" s="52">
        <v>8.27</v>
      </c>
      <c r="C20" s="52">
        <v>3.53</v>
      </c>
      <c r="D20" s="52">
        <v>12.25</v>
      </c>
      <c r="E20" s="52">
        <v>4.95</v>
      </c>
      <c r="F20" s="52">
        <v>4.18</v>
      </c>
      <c r="G20" s="52">
        <v>95.21</v>
      </c>
      <c r="H20" s="52">
        <v>33.97</v>
      </c>
      <c r="I20" s="52">
        <v>5.25</v>
      </c>
      <c r="J20" s="52">
        <v>0.44</v>
      </c>
      <c r="K20" s="52">
        <v>336.68</v>
      </c>
      <c r="L20" s="52">
        <v>30.87</v>
      </c>
      <c r="M20" s="52">
        <v>97.69</v>
      </c>
      <c r="N20" s="52">
        <v>217.8</v>
      </c>
      <c r="O20" s="52">
        <v>0</v>
      </c>
      <c r="P20" s="52">
        <v>0.67</v>
      </c>
      <c r="Q20" s="52">
        <v>9.56</v>
      </c>
      <c r="R20" s="43"/>
      <c r="S20" s="43"/>
      <c r="T20" s="43"/>
      <c r="U20" s="43"/>
    </row>
    <row r="21" spans="1:21" s="11" customFormat="1" x14ac:dyDescent="0.25">
      <c r="A21" s="51" t="s">
        <v>384</v>
      </c>
      <c r="B21" s="52">
        <v>8.32</v>
      </c>
      <c r="C21" s="52">
        <v>3.57</v>
      </c>
      <c r="D21" s="52">
        <v>12.32</v>
      </c>
      <c r="E21" s="52">
        <v>5.0999999999999996</v>
      </c>
      <c r="F21" s="52">
        <v>4.22</v>
      </c>
      <c r="G21" s="52">
        <v>104.2</v>
      </c>
      <c r="H21" s="52">
        <v>35.619999999999997</v>
      </c>
      <c r="I21" s="52">
        <v>5.47</v>
      </c>
      <c r="J21" s="52">
        <v>0.25</v>
      </c>
      <c r="K21" s="52">
        <v>322.89999999999998</v>
      </c>
      <c r="L21" s="52">
        <v>31.22</v>
      </c>
      <c r="M21" s="52">
        <v>89.2</v>
      </c>
      <c r="N21" s="52">
        <v>215.3</v>
      </c>
      <c r="O21" s="52">
        <v>0</v>
      </c>
      <c r="P21" s="52">
        <v>0.7</v>
      </c>
      <c r="Q21" s="52">
        <v>9.58</v>
      </c>
      <c r="R21" s="43"/>
      <c r="S21" s="43"/>
      <c r="T21" s="43"/>
      <c r="U21" s="43"/>
    </row>
    <row r="22" spans="1:21" s="11" customFormat="1" x14ac:dyDescent="0.25">
      <c r="A22" s="51" t="s">
        <v>385</v>
      </c>
      <c r="B22" s="52">
        <v>8.08</v>
      </c>
      <c r="C22" s="52">
        <v>3.17</v>
      </c>
      <c r="D22" s="52">
        <v>11.91</v>
      </c>
      <c r="E22" s="52">
        <v>5.01</v>
      </c>
      <c r="F22" s="52">
        <v>4.0199999999999996</v>
      </c>
      <c r="G22" s="52">
        <v>96.01</v>
      </c>
      <c r="H22" s="52">
        <v>28.16</v>
      </c>
      <c r="I22" s="52">
        <v>5.55</v>
      </c>
      <c r="J22" s="52">
        <v>0.25</v>
      </c>
      <c r="K22" s="52">
        <v>347.16</v>
      </c>
      <c r="L22" s="52">
        <v>30.7</v>
      </c>
      <c r="M22" s="52">
        <v>99.26</v>
      </c>
      <c r="N22" s="52">
        <v>202.8</v>
      </c>
      <c r="O22" s="52">
        <v>0</v>
      </c>
      <c r="P22" s="52">
        <v>0.69</v>
      </c>
      <c r="Q22" s="52">
        <v>9.57</v>
      </c>
      <c r="R22" s="43"/>
      <c r="S22" s="43"/>
      <c r="T22" s="43"/>
      <c r="U22" s="43"/>
    </row>
    <row r="23" spans="1:21" s="11" customFormat="1" x14ac:dyDescent="0.25">
      <c r="A23" s="51" t="s">
        <v>386</v>
      </c>
      <c r="B23" s="52">
        <v>8.0399999999999991</v>
      </c>
      <c r="C23" s="52">
        <v>3.1</v>
      </c>
      <c r="D23" s="52">
        <v>11.84</v>
      </c>
      <c r="E23" s="52">
        <v>4.92</v>
      </c>
      <c r="F23" s="52">
        <v>3.63</v>
      </c>
      <c r="G23" s="52">
        <v>91.47</v>
      </c>
      <c r="H23" s="52">
        <v>22.82</v>
      </c>
      <c r="I23" s="52">
        <v>5.53</v>
      </c>
      <c r="J23" s="52">
        <v>0.76</v>
      </c>
      <c r="K23" s="52">
        <v>281.2</v>
      </c>
      <c r="L23" s="52">
        <v>28.39</v>
      </c>
      <c r="M23" s="52">
        <v>101.51</v>
      </c>
      <c r="N23" s="52">
        <v>183.2</v>
      </c>
      <c r="O23" s="52">
        <v>0</v>
      </c>
      <c r="P23" s="52">
        <v>0.64</v>
      </c>
      <c r="Q23" s="52">
        <v>9.5</v>
      </c>
      <c r="R23" s="43"/>
      <c r="S23" s="43"/>
      <c r="T23" s="43"/>
      <c r="U23" s="43"/>
    </row>
    <row r="24" spans="1:21" s="11" customFormat="1" x14ac:dyDescent="0.25">
      <c r="A24" s="51" t="s">
        <v>387</v>
      </c>
      <c r="B24" s="52">
        <v>8.0299999999999994</v>
      </c>
      <c r="C24" s="52">
        <v>3.08</v>
      </c>
      <c r="D24" s="52">
        <v>11.82</v>
      </c>
      <c r="E24" s="52">
        <v>4.29</v>
      </c>
      <c r="F24" s="52">
        <v>4.5</v>
      </c>
      <c r="G24" s="52">
        <v>86.83</v>
      </c>
      <c r="H24" s="52">
        <v>20.86</v>
      </c>
      <c r="I24" s="52">
        <v>5.38</v>
      </c>
      <c r="J24" s="52">
        <v>0.19</v>
      </c>
      <c r="K24" s="52">
        <v>337.58</v>
      </c>
      <c r="L24" s="52">
        <v>28.79</v>
      </c>
      <c r="M24" s="52">
        <v>102.18</v>
      </c>
      <c r="N24" s="52">
        <v>170.6</v>
      </c>
      <c r="O24" s="52">
        <v>0</v>
      </c>
      <c r="P24" s="52">
        <v>0.59</v>
      </c>
      <c r="Q24" s="52">
        <v>9.48</v>
      </c>
      <c r="R24" s="43"/>
      <c r="S24" s="43"/>
      <c r="T24" s="43"/>
      <c r="U24" s="43"/>
    </row>
    <row r="25" spans="1:21" s="11" customFormat="1" x14ac:dyDescent="0.25">
      <c r="A25" s="51" t="s">
        <v>388</v>
      </c>
      <c r="B25" s="52">
        <v>8</v>
      </c>
      <c r="C25" s="52">
        <v>3.1</v>
      </c>
      <c r="D25" s="52">
        <v>11.81</v>
      </c>
      <c r="E25" s="52">
        <v>4.37</v>
      </c>
      <c r="F25" s="52">
        <v>4.0999999999999996</v>
      </c>
      <c r="G25" s="52">
        <v>74.150000000000006</v>
      </c>
      <c r="H25" s="52">
        <v>19.510000000000002</v>
      </c>
      <c r="I25" s="52">
        <v>5.09</v>
      </c>
      <c r="J25" s="52">
        <v>0.24</v>
      </c>
      <c r="K25" s="52">
        <v>291.02999999999997</v>
      </c>
      <c r="L25" s="52">
        <v>28.58</v>
      </c>
      <c r="M25" s="52">
        <v>102.87</v>
      </c>
      <c r="N25" s="52">
        <v>143.69999999999999</v>
      </c>
      <c r="O25" s="52">
        <v>0</v>
      </c>
      <c r="P25" s="52">
        <v>0.53</v>
      </c>
      <c r="Q25" s="52">
        <v>9.4700000000000006</v>
      </c>
      <c r="R25" s="43"/>
      <c r="S25" s="43"/>
      <c r="T25" s="43"/>
      <c r="U25" s="43"/>
    </row>
    <row r="26" spans="1:21" s="11" customFormat="1" x14ac:dyDescent="0.25">
      <c r="A26" s="51" t="s">
        <v>389</v>
      </c>
      <c r="B26" s="52">
        <v>8.01</v>
      </c>
      <c r="C26" s="52">
        <v>3.11</v>
      </c>
      <c r="D26" s="52">
        <v>11.81</v>
      </c>
      <c r="E26" s="52">
        <v>4.1900000000000004</v>
      </c>
      <c r="F26" s="52">
        <v>4.25</v>
      </c>
      <c r="G26" s="52">
        <v>69.88</v>
      </c>
      <c r="H26" s="52">
        <v>20.11</v>
      </c>
      <c r="I26" s="52">
        <v>4.53</v>
      </c>
      <c r="J26" s="52">
        <v>0.14000000000000001</v>
      </c>
      <c r="K26" s="52">
        <v>302.56</v>
      </c>
      <c r="L26" s="52">
        <v>28.51</v>
      </c>
      <c r="M26" s="52">
        <v>102.25</v>
      </c>
      <c r="N26" s="52">
        <v>112.4</v>
      </c>
      <c r="O26" s="52">
        <v>0</v>
      </c>
      <c r="P26" s="52">
        <v>0.47</v>
      </c>
      <c r="Q26" s="52">
        <v>9.3699999999999992</v>
      </c>
      <c r="R26" s="43"/>
      <c r="S26" s="43"/>
      <c r="T26" s="43"/>
      <c r="U26" s="43"/>
    </row>
    <row r="27" spans="1:21" s="11" customFormat="1" x14ac:dyDescent="0.25">
      <c r="A27" s="51" t="s">
        <v>390</v>
      </c>
      <c r="B27" s="52">
        <v>8.0399999999999991</v>
      </c>
      <c r="C27" s="52">
        <v>3.13</v>
      </c>
      <c r="D27" s="52">
        <v>11.86</v>
      </c>
      <c r="E27" s="52">
        <v>4.3600000000000003</v>
      </c>
      <c r="F27" s="52">
        <v>3.31</v>
      </c>
      <c r="G27" s="52">
        <v>55.95</v>
      </c>
      <c r="H27" s="52">
        <v>45.78</v>
      </c>
      <c r="I27" s="52">
        <v>4.66</v>
      </c>
      <c r="J27" s="52">
        <v>0.67</v>
      </c>
      <c r="K27" s="52">
        <v>325.70999999999998</v>
      </c>
      <c r="L27" s="52">
        <v>28.53</v>
      </c>
      <c r="M27" s="52">
        <v>102.24</v>
      </c>
      <c r="N27" s="52">
        <v>55.2</v>
      </c>
      <c r="O27" s="52">
        <v>0</v>
      </c>
      <c r="P27" s="52">
        <v>0.53</v>
      </c>
      <c r="Q27" s="52">
        <v>9.3800000000000008</v>
      </c>
      <c r="R27" s="43"/>
      <c r="S27" s="43"/>
      <c r="T27" s="43"/>
      <c r="U27" s="43"/>
    </row>
    <row r="28" spans="1:21" s="11" customFormat="1" x14ac:dyDescent="0.25">
      <c r="A28" s="51" t="s">
        <v>391</v>
      </c>
      <c r="B28" s="52">
        <v>8.06</v>
      </c>
      <c r="C28" s="52">
        <v>3.13</v>
      </c>
      <c r="D28" s="52">
        <v>11.86</v>
      </c>
      <c r="E28" s="52">
        <v>4.55</v>
      </c>
      <c r="F28" s="52">
        <v>3.76</v>
      </c>
      <c r="G28" s="52">
        <v>62.17</v>
      </c>
      <c r="H28" s="52">
        <v>45.78</v>
      </c>
      <c r="I28" s="52">
        <v>4.66</v>
      </c>
      <c r="J28" s="52">
        <v>0.61</v>
      </c>
      <c r="K28" s="52">
        <v>329.14</v>
      </c>
      <c r="L28" s="52">
        <v>28.53</v>
      </c>
      <c r="M28" s="52">
        <v>101.04</v>
      </c>
      <c r="N28" s="52">
        <v>49.4</v>
      </c>
      <c r="O28" s="52">
        <v>0</v>
      </c>
      <c r="P28" s="52">
        <v>0.59</v>
      </c>
      <c r="Q28" s="52">
        <v>9.5</v>
      </c>
      <c r="R28" s="43"/>
      <c r="S28" s="43"/>
      <c r="T28" s="43"/>
      <c r="U28" s="43"/>
    </row>
    <row r="29" spans="1:21" s="11" customFormat="1" x14ac:dyDescent="0.25">
      <c r="A29" s="51" t="s">
        <v>392</v>
      </c>
      <c r="B29" s="52">
        <v>8.06</v>
      </c>
      <c r="C29" s="52">
        <v>3.17</v>
      </c>
      <c r="D29" s="52">
        <v>11.9</v>
      </c>
      <c r="E29" s="52">
        <v>4.29</v>
      </c>
      <c r="F29" s="52">
        <v>4.4800000000000004</v>
      </c>
      <c r="G29" s="52">
        <v>66.13</v>
      </c>
      <c r="H29" s="52">
        <v>44.78</v>
      </c>
      <c r="I29" s="52">
        <v>4.22</v>
      </c>
      <c r="J29" s="52">
        <v>1.02</v>
      </c>
      <c r="K29" s="52">
        <v>358.01</v>
      </c>
      <c r="L29" s="52">
        <v>28.08</v>
      </c>
      <c r="M29" s="52">
        <v>100.73</v>
      </c>
      <c r="N29" s="52">
        <v>49.4</v>
      </c>
      <c r="O29" s="52">
        <v>0</v>
      </c>
      <c r="P29" s="52">
        <v>0.62</v>
      </c>
      <c r="Q29" s="52">
        <v>9.48</v>
      </c>
      <c r="R29" s="43"/>
      <c r="S29" s="43"/>
      <c r="T29" s="43"/>
      <c r="U29" s="43"/>
    </row>
    <row r="30" spans="1:21" s="11" customFormat="1" x14ac:dyDescent="0.25">
      <c r="A30" s="51" t="s">
        <v>393</v>
      </c>
      <c r="B30" s="52">
        <v>8.26</v>
      </c>
      <c r="C30" s="52">
        <v>3.54</v>
      </c>
      <c r="D30" s="52">
        <v>12.25</v>
      </c>
      <c r="E30" s="52">
        <v>4.38</v>
      </c>
      <c r="F30" s="52">
        <v>4.66</v>
      </c>
      <c r="G30" s="52">
        <v>67.14</v>
      </c>
      <c r="H30" s="52">
        <v>44.78</v>
      </c>
      <c r="I30" s="52">
        <v>3.79</v>
      </c>
      <c r="J30" s="52">
        <v>0.28000000000000003</v>
      </c>
      <c r="K30" s="52">
        <v>329.99</v>
      </c>
      <c r="L30" s="52">
        <v>27.79</v>
      </c>
      <c r="M30" s="52">
        <v>101.43</v>
      </c>
      <c r="N30" s="52">
        <v>49.4</v>
      </c>
      <c r="O30" s="52">
        <v>0</v>
      </c>
      <c r="P30" s="52">
        <v>0.65</v>
      </c>
      <c r="Q30" s="52">
        <v>9.5299999999999994</v>
      </c>
      <c r="R30" s="43"/>
      <c r="S30" s="43"/>
      <c r="T30" s="43"/>
      <c r="U30" s="43"/>
    </row>
    <row r="31" spans="1:21" s="11" customFormat="1" x14ac:dyDescent="0.25">
      <c r="A31" s="51" t="s">
        <v>394</v>
      </c>
      <c r="B31" s="52">
        <v>8.11</v>
      </c>
      <c r="C31" s="52">
        <v>3.13</v>
      </c>
      <c r="D31" s="52">
        <v>11.91</v>
      </c>
      <c r="E31" s="52">
        <v>4.74</v>
      </c>
      <c r="F31" s="52">
        <v>4.57</v>
      </c>
      <c r="G31" s="52">
        <v>61.1</v>
      </c>
      <c r="H31" s="52">
        <v>45.78</v>
      </c>
      <c r="I31" s="52">
        <v>3.95</v>
      </c>
      <c r="J31" s="52">
        <v>0.72</v>
      </c>
      <c r="K31" s="52">
        <v>347.21</v>
      </c>
      <c r="L31" s="52">
        <v>26.87</v>
      </c>
      <c r="M31" s="52">
        <v>102.19</v>
      </c>
      <c r="N31" s="52">
        <v>49.3</v>
      </c>
      <c r="O31" s="52">
        <v>0.2</v>
      </c>
      <c r="P31" s="52">
        <v>0.68</v>
      </c>
      <c r="Q31" s="52">
        <v>9.64</v>
      </c>
      <c r="R31" s="43"/>
      <c r="S31" s="43"/>
      <c r="T31" s="43"/>
      <c r="U31" s="43"/>
    </row>
    <row r="32" spans="1:21" s="11" customFormat="1" x14ac:dyDescent="0.25">
      <c r="A32" s="51" t="s">
        <v>395</v>
      </c>
      <c r="B32" s="52">
        <v>8.14</v>
      </c>
      <c r="C32" s="52">
        <v>3.21</v>
      </c>
      <c r="D32" s="52">
        <v>11.98</v>
      </c>
      <c r="E32" s="52">
        <v>4.68</v>
      </c>
      <c r="F32" s="52">
        <v>3.47</v>
      </c>
      <c r="G32" s="52">
        <v>50.76</v>
      </c>
      <c r="H32" s="52">
        <v>45.78</v>
      </c>
      <c r="I32" s="52">
        <v>4.74</v>
      </c>
      <c r="J32" s="52">
        <v>0.48</v>
      </c>
      <c r="K32" s="52">
        <v>337.24</v>
      </c>
      <c r="L32" s="52">
        <v>26.1</v>
      </c>
      <c r="M32" s="52">
        <v>102.48</v>
      </c>
      <c r="N32" s="52">
        <v>49.8</v>
      </c>
      <c r="O32" s="52">
        <v>0</v>
      </c>
      <c r="P32" s="52">
        <v>0.69</v>
      </c>
      <c r="Q32" s="52">
        <v>9.77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8</v>
      </c>
      <c r="C34" s="28">
        <f t="shared" si="0"/>
        <v>3.03</v>
      </c>
      <c r="D34" s="28">
        <f t="shared" si="0"/>
        <v>11.79</v>
      </c>
      <c r="E34" s="28">
        <f t="shared" si="0"/>
        <v>4.1900000000000004</v>
      </c>
      <c r="F34" s="28">
        <f t="shared" si="0"/>
        <v>3.25</v>
      </c>
      <c r="G34" s="28">
        <f t="shared" si="0"/>
        <v>50.76</v>
      </c>
      <c r="H34" s="28">
        <f t="shared" si="0"/>
        <v>13.69</v>
      </c>
      <c r="I34" s="28">
        <f t="shared" si="0"/>
        <v>3.79</v>
      </c>
      <c r="J34" s="28">
        <f t="shared" si="0"/>
        <v>0.14000000000000001</v>
      </c>
      <c r="K34" s="28">
        <f t="shared" si="0"/>
        <v>281.2</v>
      </c>
      <c r="L34" s="28">
        <f t="shared" si="0"/>
        <v>26.1</v>
      </c>
      <c r="M34" s="28">
        <f t="shared" si="0"/>
        <v>89.2</v>
      </c>
      <c r="N34" s="28">
        <f t="shared" si="0"/>
        <v>48.3</v>
      </c>
      <c r="O34" s="28">
        <f t="shared" si="0"/>
        <v>0</v>
      </c>
      <c r="P34" s="28">
        <f t="shared" si="0"/>
        <v>0.4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8.32</v>
      </c>
      <c r="C35" s="29">
        <f t="shared" si="1"/>
        <v>3.57</v>
      </c>
      <c r="D35" s="29">
        <f t="shared" si="1"/>
        <v>12.32</v>
      </c>
      <c r="E35" s="29">
        <f t="shared" si="1"/>
        <v>5.13</v>
      </c>
      <c r="F35" s="29">
        <f t="shared" si="1"/>
        <v>4.66</v>
      </c>
      <c r="G35" s="29">
        <f t="shared" si="1"/>
        <v>117.68</v>
      </c>
      <c r="H35" s="29">
        <f t="shared" si="1"/>
        <v>45.78</v>
      </c>
      <c r="I35" s="29">
        <f t="shared" si="1"/>
        <v>6.22</v>
      </c>
      <c r="J35" s="29">
        <f t="shared" si="1"/>
        <v>1.02</v>
      </c>
      <c r="K35" s="29">
        <f t="shared" si="1"/>
        <v>358.01</v>
      </c>
      <c r="L35" s="29">
        <f t="shared" si="1"/>
        <v>31.22</v>
      </c>
      <c r="M35" s="29">
        <f t="shared" si="1"/>
        <v>103.05</v>
      </c>
      <c r="N35" s="29">
        <f t="shared" si="1"/>
        <v>217.8</v>
      </c>
      <c r="O35" s="29">
        <f t="shared" si="1"/>
        <v>0.2</v>
      </c>
      <c r="P35" s="29">
        <f t="shared" si="1"/>
        <v>0.73</v>
      </c>
      <c r="Q35" s="29">
        <f t="shared" si="1"/>
        <v>9.89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8.1008333333333322</v>
      </c>
      <c r="C36" s="28">
        <f t="shared" si="2"/>
        <v>3.1991666666666667</v>
      </c>
      <c r="D36" s="28">
        <f t="shared" si="2"/>
        <v>11.94</v>
      </c>
      <c r="E36" s="28">
        <f t="shared" si="2"/>
        <v>4.7350000000000003</v>
      </c>
      <c r="F36" s="28">
        <f t="shared" si="2"/>
        <v>4.0116666666666667</v>
      </c>
      <c r="G36" s="28">
        <f t="shared" si="2"/>
        <v>75.807083333333324</v>
      </c>
      <c r="H36" s="28">
        <f t="shared" si="2"/>
        <v>32.732916666666661</v>
      </c>
      <c r="I36" s="28">
        <f t="shared" si="2"/>
        <v>4.9962499999999999</v>
      </c>
      <c r="J36" s="28">
        <f t="shared" si="2"/>
        <v>0.33833333333333332</v>
      </c>
      <c r="K36" s="28">
        <f t="shared" si="2"/>
        <v>331.5358333333333</v>
      </c>
      <c r="L36" s="28">
        <f t="shared" si="2"/>
        <v>28.74208333333333</v>
      </c>
      <c r="M36" s="28">
        <f t="shared" si="2"/>
        <v>101.17333333333333</v>
      </c>
      <c r="N36" s="28">
        <f t="shared" si="2"/>
        <v>108.43750000000001</v>
      </c>
      <c r="O36" s="28">
        <f t="shared" si="2"/>
        <v>8.3333333333333332E-3</v>
      </c>
      <c r="P36" s="28">
        <f t="shared" si="2"/>
        <v>0.57458333333333322</v>
      </c>
      <c r="Q36" s="28">
        <f t="shared" si="2"/>
        <v>9.5425000000000004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9.8020258184177408E-2</v>
      </c>
      <c r="C37" s="28">
        <f t="shared" ref="C37:Q37" si="3">STDEV(C9:C32)</f>
        <v>0.16285273867133343</v>
      </c>
      <c r="D37" s="28">
        <f t="shared" si="3"/>
        <v>0.16560823335970262</v>
      </c>
      <c r="E37" s="28">
        <f t="shared" si="3"/>
        <v>0.31193644837704826</v>
      </c>
      <c r="F37" s="28">
        <f t="shared" si="3"/>
        <v>0.40988510231703867</v>
      </c>
      <c r="G37" s="28">
        <f t="shared" si="3"/>
        <v>18.796538876396507</v>
      </c>
      <c r="H37" s="28">
        <f t="shared" si="3"/>
        <v>9.8420625618319857</v>
      </c>
      <c r="I37" s="28">
        <f t="shared" si="3"/>
        <v>0.66142016179943042</v>
      </c>
      <c r="J37" s="28">
        <f t="shared" si="3"/>
        <v>0.24251699477278543</v>
      </c>
      <c r="K37" s="28">
        <f t="shared" si="3"/>
        <v>18.398531821545053</v>
      </c>
      <c r="L37" s="28">
        <f t="shared" si="3"/>
        <v>1.1587248582391978</v>
      </c>
      <c r="M37" s="28">
        <f t="shared" si="3"/>
        <v>2.8314425063325346</v>
      </c>
      <c r="N37" s="28">
        <f t="shared" si="3"/>
        <v>64.793114318139303</v>
      </c>
      <c r="O37" s="28">
        <f t="shared" si="3"/>
        <v>4.0824829046386311E-2</v>
      </c>
      <c r="P37" s="28">
        <f t="shared" si="3"/>
        <v>0.10438137292876024</v>
      </c>
      <c r="Q37" s="28">
        <f t="shared" si="3"/>
        <v>0.13680357228999662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396</v>
      </c>
      <c r="B9" s="52">
        <v>8.15</v>
      </c>
      <c r="C9" s="52">
        <v>3.26</v>
      </c>
      <c r="D9" s="52">
        <v>12.02</v>
      </c>
      <c r="E9" s="52">
        <v>4.75</v>
      </c>
      <c r="F9" s="52">
        <v>4.1100000000000003</v>
      </c>
      <c r="G9" s="52">
        <v>35.72</v>
      </c>
      <c r="H9" s="52">
        <v>0</v>
      </c>
      <c r="I9" s="52">
        <v>5.99</v>
      </c>
      <c r="J9" s="52">
        <v>0.2</v>
      </c>
      <c r="K9" s="52">
        <v>343.98</v>
      </c>
      <c r="L9" s="52">
        <v>26.09</v>
      </c>
      <c r="M9" s="52">
        <v>102.78</v>
      </c>
      <c r="N9" s="52">
        <v>49.7</v>
      </c>
      <c r="O9" s="52">
        <v>0</v>
      </c>
      <c r="P9" s="52">
        <v>0.64</v>
      </c>
      <c r="Q9" s="52">
        <v>9.8000000000000007</v>
      </c>
      <c r="R9" s="43"/>
      <c r="S9" s="43"/>
      <c r="T9" s="43"/>
      <c r="U9" s="43"/>
    </row>
    <row r="10" spans="1:21" s="11" customFormat="1" x14ac:dyDescent="0.25">
      <c r="A10" s="51" t="s">
        <v>397</v>
      </c>
      <c r="B10" s="52">
        <v>8.16</v>
      </c>
      <c r="C10" s="52">
        <v>3.26</v>
      </c>
      <c r="D10" s="52">
        <v>12.02</v>
      </c>
      <c r="E10" s="52">
        <v>4.53</v>
      </c>
      <c r="F10" s="52">
        <v>4.3499999999999996</v>
      </c>
      <c r="G10" s="52">
        <v>31.31</v>
      </c>
      <c r="H10" s="52">
        <v>0</v>
      </c>
      <c r="I10" s="52">
        <v>6.23</v>
      </c>
      <c r="J10" s="52">
        <v>0.21</v>
      </c>
      <c r="K10" s="52">
        <v>342.9</v>
      </c>
      <c r="L10" s="52">
        <v>26.09</v>
      </c>
      <c r="M10" s="52">
        <v>102.61</v>
      </c>
      <c r="N10" s="52">
        <v>49.6</v>
      </c>
      <c r="O10" s="52">
        <v>0</v>
      </c>
      <c r="P10" s="52">
        <v>0.57999999999999996</v>
      </c>
      <c r="Q10" s="52">
        <v>9.6999999999999993</v>
      </c>
      <c r="R10" s="43"/>
      <c r="S10" s="43"/>
      <c r="T10" s="43"/>
      <c r="U10" s="43"/>
    </row>
    <row r="11" spans="1:21" s="11" customFormat="1" x14ac:dyDescent="0.25">
      <c r="A11" s="51" t="s">
        <v>398</v>
      </c>
      <c r="B11" s="52">
        <v>8</v>
      </c>
      <c r="C11" s="52">
        <v>3.04</v>
      </c>
      <c r="D11" s="52">
        <v>11.78</v>
      </c>
      <c r="E11" s="52">
        <v>4.59</v>
      </c>
      <c r="F11" s="52">
        <v>3.85</v>
      </c>
      <c r="G11" s="52">
        <v>23.17</v>
      </c>
      <c r="H11" s="52">
        <v>1.6</v>
      </c>
      <c r="I11" s="52">
        <v>6.98</v>
      </c>
      <c r="J11" s="52">
        <v>0.19</v>
      </c>
      <c r="K11" s="52">
        <v>332.15</v>
      </c>
      <c r="L11" s="52">
        <v>26.22</v>
      </c>
      <c r="M11" s="52">
        <v>102.69</v>
      </c>
      <c r="N11" s="52">
        <v>49.4</v>
      </c>
      <c r="O11" s="52">
        <v>0</v>
      </c>
      <c r="P11" s="52">
        <v>0.51</v>
      </c>
      <c r="Q11" s="52">
        <v>9.59</v>
      </c>
      <c r="R11" s="43"/>
      <c r="S11" s="43"/>
      <c r="T11" s="43"/>
      <c r="U11" s="43"/>
    </row>
    <row r="12" spans="1:21" s="11" customFormat="1" x14ac:dyDescent="0.25">
      <c r="A12" s="51" t="s">
        <v>399</v>
      </c>
      <c r="B12" s="52">
        <v>8.07</v>
      </c>
      <c r="C12" s="52">
        <v>3.12</v>
      </c>
      <c r="D12" s="52">
        <v>11.88</v>
      </c>
      <c r="E12" s="52">
        <v>4.1100000000000003</v>
      </c>
      <c r="F12" s="52">
        <v>3.66</v>
      </c>
      <c r="G12" s="52">
        <v>23.68</v>
      </c>
      <c r="H12" s="52">
        <v>7.43</v>
      </c>
      <c r="I12" s="52">
        <v>8.1300000000000008</v>
      </c>
      <c r="J12" s="52">
        <v>0.17</v>
      </c>
      <c r="K12" s="52">
        <v>353.43</v>
      </c>
      <c r="L12" s="52">
        <v>26.19</v>
      </c>
      <c r="M12" s="52">
        <v>102.9</v>
      </c>
      <c r="N12" s="52">
        <v>49.4</v>
      </c>
      <c r="O12" s="52">
        <v>0</v>
      </c>
      <c r="P12" s="52">
        <v>0.47</v>
      </c>
      <c r="Q12" s="52">
        <v>9.5</v>
      </c>
      <c r="R12" s="43"/>
      <c r="S12" s="43"/>
      <c r="T12" s="43"/>
      <c r="U12" s="43"/>
    </row>
    <row r="13" spans="1:21" s="11" customFormat="1" x14ac:dyDescent="0.25">
      <c r="A13" s="51" t="s">
        <v>400</v>
      </c>
      <c r="B13" s="52">
        <v>8.0399999999999991</v>
      </c>
      <c r="C13" s="52">
        <v>3.06</v>
      </c>
      <c r="D13" s="52">
        <v>11.8</v>
      </c>
      <c r="E13" s="52">
        <v>4.09</v>
      </c>
      <c r="F13" s="52">
        <v>4.51</v>
      </c>
      <c r="G13" s="52">
        <v>29.64</v>
      </c>
      <c r="H13" s="52">
        <v>9.64</v>
      </c>
      <c r="I13" s="52">
        <v>8.4700000000000006</v>
      </c>
      <c r="J13" s="52">
        <v>0.21</v>
      </c>
      <c r="K13" s="52">
        <v>194.62</v>
      </c>
      <c r="L13" s="52">
        <v>25.94</v>
      </c>
      <c r="M13" s="52">
        <v>103.07</v>
      </c>
      <c r="N13" s="52">
        <v>49.1</v>
      </c>
      <c r="O13" s="52">
        <v>0</v>
      </c>
      <c r="P13" s="52">
        <v>0.43</v>
      </c>
      <c r="Q13" s="52">
        <v>9.5</v>
      </c>
      <c r="R13" s="43"/>
      <c r="S13" s="43"/>
      <c r="T13" s="43"/>
      <c r="U13" s="43"/>
    </row>
    <row r="14" spans="1:21" s="11" customFormat="1" x14ac:dyDescent="0.25">
      <c r="A14" s="51" t="s">
        <v>401</v>
      </c>
      <c r="B14" s="52">
        <v>8.02</v>
      </c>
      <c r="C14" s="52">
        <v>3.07</v>
      </c>
      <c r="D14" s="52">
        <v>11.81</v>
      </c>
      <c r="E14" s="52">
        <v>4.12</v>
      </c>
      <c r="F14" s="52">
        <v>4.54</v>
      </c>
      <c r="G14" s="52">
        <v>32.49</v>
      </c>
      <c r="H14" s="52">
        <v>12.23</v>
      </c>
      <c r="I14" s="52">
        <v>8.5399999999999991</v>
      </c>
      <c r="J14" s="52">
        <v>0.12</v>
      </c>
      <c r="K14" s="52">
        <v>357.29</v>
      </c>
      <c r="L14" s="52">
        <v>25.85</v>
      </c>
      <c r="M14" s="52">
        <v>103.38</v>
      </c>
      <c r="N14" s="52">
        <v>55.1</v>
      </c>
      <c r="O14" s="52">
        <v>0</v>
      </c>
      <c r="P14" s="52">
        <v>0.4</v>
      </c>
      <c r="Q14" s="52">
        <v>9.44</v>
      </c>
      <c r="R14" s="43"/>
      <c r="S14" s="43"/>
      <c r="T14" s="43"/>
      <c r="U14" s="43"/>
    </row>
    <row r="15" spans="1:21" s="11" customFormat="1" x14ac:dyDescent="0.25">
      <c r="A15" s="51" t="s">
        <v>402</v>
      </c>
      <c r="B15" s="52">
        <v>8.0399999999999991</v>
      </c>
      <c r="C15" s="52">
        <v>3.1</v>
      </c>
      <c r="D15" s="52">
        <v>11.84</v>
      </c>
      <c r="E15" s="52">
        <v>4.71</v>
      </c>
      <c r="F15" s="52">
        <v>5</v>
      </c>
      <c r="G15" s="52">
        <v>26.04</v>
      </c>
      <c r="H15" s="52">
        <v>25.34</v>
      </c>
      <c r="I15" s="52">
        <v>7.91</v>
      </c>
      <c r="J15" s="52">
        <v>0.19</v>
      </c>
      <c r="K15" s="52">
        <v>348.75</v>
      </c>
      <c r="L15" s="52">
        <v>26.25</v>
      </c>
      <c r="M15" s="52">
        <v>103.16</v>
      </c>
      <c r="N15" s="52">
        <v>97</v>
      </c>
      <c r="O15" s="52">
        <v>0</v>
      </c>
      <c r="P15" s="52">
        <v>0.37</v>
      </c>
      <c r="Q15" s="52">
        <v>9.42</v>
      </c>
      <c r="R15" s="43"/>
      <c r="S15" s="43"/>
      <c r="T15" s="43"/>
      <c r="U15" s="43"/>
    </row>
    <row r="16" spans="1:21" s="11" customFormat="1" x14ac:dyDescent="0.25">
      <c r="A16" s="51" t="s">
        <v>403</v>
      </c>
      <c r="B16" s="52">
        <v>8.01</v>
      </c>
      <c r="C16" s="52">
        <v>3.03</v>
      </c>
      <c r="D16" s="52">
        <v>11.78</v>
      </c>
      <c r="E16" s="52">
        <v>4.7</v>
      </c>
      <c r="F16" s="52">
        <v>3.56</v>
      </c>
      <c r="G16" s="52">
        <v>26.29</v>
      </c>
      <c r="H16" s="52">
        <v>30.21</v>
      </c>
      <c r="I16" s="52">
        <v>6.92</v>
      </c>
      <c r="J16" s="52">
        <v>0.23</v>
      </c>
      <c r="K16" s="52">
        <v>344.1</v>
      </c>
      <c r="L16" s="52">
        <v>28.17</v>
      </c>
      <c r="M16" s="52">
        <v>103.14</v>
      </c>
      <c r="N16" s="52">
        <v>235.1</v>
      </c>
      <c r="O16" s="52">
        <v>0</v>
      </c>
      <c r="P16" s="52">
        <v>0.37</v>
      </c>
      <c r="Q16" s="52">
        <v>9.3699999999999992</v>
      </c>
      <c r="R16" s="43"/>
      <c r="S16" s="43"/>
      <c r="T16" s="43"/>
      <c r="U16" s="43"/>
    </row>
    <row r="17" spans="1:21" s="11" customFormat="1" x14ac:dyDescent="0.25">
      <c r="A17" s="51" t="s">
        <v>404</v>
      </c>
      <c r="B17" s="52">
        <v>8.02</v>
      </c>
      <c r="C17" s="52">
        <v>3.05</v>
      </c>
      <c r="D17" s="52">
        <v>11.79</v>
      </c>
      <c r="E17" s="52">
        <v>4.62</v>
      </c>
      <c r="F17" s="52">
        <v>3.5</v>
      </c>
      <c r="G17" s="52">
        <v>38.049999999999997</v>
      </c>
      <c r="H17" s="52">
        <v>16.82</v>
      </c>
      <c r="I17" s="52">
        <v>5.86</v>
      </c>
      <c r="J17" s="52">
        <v>0.77</v>
      </c>
      <c r="K17" s="52">
        <v>333.92</v>
      </c>
      <c r="L17" s="52">
        <v>30.73</v>
      </c>
      <c r="M17" s="52">
        <v>98.69</v>
      </c>
      <c r="N17" s="52">
        <v>340.5</v>
      </c>
      <c r="O17" s="52">
        <v>0</v>
      </c>
      <c r="P17" s="52">
        <v>0.42</v>
      </c>
      <c r="Q17" s="52">
        <v>9.4700000000000006</v>
      </c>
      <c r="R17" s="43"/>
      <c r="S17" s="43"/>
      <c r="T17" s="43"/>
      <c r="U17" s="43"/>
    </row>
    <row r="18" spans="1:21" s="11" customFormat="1" x14ac:dyDescent="0.25">
      <c r="A18" s="51" t="s">
        <v>405</v>
      </c>
      <c r="B18" s="52">
        <v>8.08</v>
      </c>
      <c r="C18" s="52">
        <v>3.18</v>
      </c>
      <c r="D18" s="52">
        <v>11.92</v>
      </c>
      <c r="E18" s="52">
        <v>5.03</v>
      </c>
      <c r="F18" s="52">
        <v>4.1399999999999997</v>
      </c>
      <c r="G18" s="52">
        <v>47.37</v>
      </c>
      <c r="H18" s="52">
        <v>21.86</v>
      </c>
      <c r="I18" s="52">
        <v>5.32</v>
      </c>
      <c r="J18" s="52">
        <v>1.32</v>
      </c>
      <c r="K18" s="52">
        <v>334.46</v>
      </c>
      <c r="L18" s="52">
        <v>31.25</v>
      </c>
      <c r="M18" s="52">
        <v>101.41</v>
      </c>
      <c r="N18" s="52">
        <v>303</v>
      </c>
      <c r="O18" s="52">
        <v>1</v>
      </c>
      <c r="P18" s="52">
        <v>0.46</v>
      </c>
      <c r="Q18" s="52">
        <v>9.51</v>
      </c>
      <c r="R18" s="43"/>
      <c r="S18" s="43"/>
      <c r="T18" s="43"/>
      <c r="U18" s="43"/>
    </row>
    <row r="19" spans="1:21" s="11" customFormat="1" x14ac:dyDescent="0.25">
      <c r="A19" s="51" t="s">
        <v>406</v>
      </c>
      <c r="B19" s="52">
        <v>8.06</v>
      </c>
      <c r="C19" s="52">
        <v>3.15</v>
      </c>
      <c r="D19" s="52">
        <v>11.89</v>
      </c>
      <c r="E19" s="52">
        <v>4.8099999999999996</v>
      </c>
      <c r="F19" s="52">
        <v>4.75</v>
      </c>
      <c r="G19" s="52">
        <v>49.48</v>
      </c>
      <c r="H19" s="52">
        <v>21.86</v>
      </c>
      <c r="I19" s="52">
        <v>4.79</v>
      </c>
      <c r="J19" s="52">
        <v>1.1499999999999999</v>
      </c>
      <c r="K19" s="52">
        <v>336.81</v>
      </c>
      <c r="L19" s="52">
        <v>27.63</v>
      </c>
      <c r="M19" s="52">
        <v>103.28</v>
      </c>
      <c r="N19" s="52">
        <v>278.39999999999998</v>
      </c>
      <c r="O19" s="52">
        <v>0.8</v>
      </c>
      <c r="P19" s="52">
        <v>0.47</v>
      </c>
      <c r="Q19" s="52">
        <v>9.49</v>
      </c>
      <c r="R19" s="43"/>
      <c r="S19" s="43"/>
      <c r="T19" s="43"/>
      <c r="U19" s="43"/>
    </row>
    <row r="20" spans="1:21" s="11" customFormat="1" x14ac:dyDescent="0.25">
      <c r="A20" s="51" t="s">
        <v>407</v>
      </c>
      <c r="B20" s="52">
        <v>8.1199999999999992</v>
      </c>
      <c r="C20" s="52">
        <v>3.26</v>
      </c>
      <c r="D20" s="52">
        <v>11.99</v>
      </c>
      <c r="E20" s="52">
        <v>4.5599999999999996</v>
      </c>
      <c r="F20" s="52">
        <v>4.4800000000000004</v>
      </c>
      <c r="G20" s="52">
        <v>41.45</v>
      </c>
      <c r="H20" s="52">
        <v>21.86</v>
      </c>
      <c r="I20" s="52">
        <v>3.92</v>
      </c>
      <c r="J20" s="52">
        <v>1.1299999999999999</v>
      </c>
      <c r="K20" s="52">
        <v>332.38</v>
      </c>
      <c r="L20" s="52">
        <v>28.94</v>
      </c>
      <c r="M20" s="52">
        <v>103.3</v>
      </c>
      <c r="N20" s="52">
        <v>364.5</v>
      </c>
      <c r="O20" s="52">
        <v>0.2</v>
      </c>
      <c r="P20" s="52">
        <v>0.51</v>
      </c>
      <c r="Q20" s="52">
        <v>9.5299999999999994</v>
      </c>
      <c r="R20" s="43"/>
      <c r="S20" s="43"/>
      <c r="T20" s="43"/>
      <c r="U20" s="43"/>
    </row>
    <row r="21" spans="1:21" s="11" customFormat="1" x14ac:dyDescent="0.25">
      <c r="A21" s="51" t="s">
        <v>408</v>
      </c>
      <c r="B21" s="52">
        <v>8.07</v>
      </c>
      <c r="C21" s="52">
        <v>3.18</v>
      </c>
      <c r="D21" s="52">
        <v>11.91</v>
      </c>
      <c r="E21" s="52">
        <v>4.51</v>
      </c>
      <c r="F21" s="52">
        <v>3.59</v>
      </c>
      <c r="G21" s="52">
        <v>39.159999999999997</v>
      </c>
      <c r="H21" s="52">
        <v>35.1</v>
      </c>
      <c r="I21" s="52">
        <v>3.67</v>
      </c>
      <c r="J21" s="52">
        <v>0.96</v>
      </c>
      <c r="K21" s="52">
        <v>321.24</v>
      </c>
      <c r="L21" s="52">
        <v>29.26</v>
      </c>
      <c r="M21" s="52">
        <v>101.96</v>
      </c>
      <c r="N21" s="52">
        <v>346.2</v>
      </c>
      <c r="O21" s="52">
        <v>0</v>
      </c>
      <c r="P21" s="52">
        <v>0.5</v>
      </c>
      <c r="Q21" s="52">
        <v>9.4700000000000006</v>
      </c>
      <c r="R21" s="43"/>
      <c r="S21" s="43"/>
      <c r="T21" s="43"/>
      <c r="U21" s="43"/>
    </row>
    <row r="22" spans="1:21" s="11" customFormat="1" x14ac:dyDescent="0.25">
      <c r="A22" s="51" t="s">
        <v>409</v>
      </c>
      <c r="B22" s="52">
        <v>7.99</v>
      </c>
      <c r="C22" s="52">
        <v>3.02</v>
      </c>
      <c r="D22" s="52">
        <v>11.76</v>
      </c>
      <c r="E22" s="52">
        <v>4.62</v>
      </c>
      <c r="F22" s="52">
        <v>3.65</v>
      </c>
      <c r="G22" s="52">
        <v>45.38</v>
      </c>
      <c r="H22" s="52">
        <v>36.1</v>
      </c>
      <c r="I22" s="52">
        <v>2.78</v>
      </c>
      <c r="J22" s="52">
        <v>1.24</v>
      </c>
      <c r="K22" s="52">
        <v>339</v>
      </c>
      <c r="L22" s="52">
        <v>30.48</v>
      </c>
      <c r="M22" s="52">
        <v>95.69</v>
      </c>
      <c r="N22" s="52">
        <v>383</v>
      </c>
      <c r="O22" s="52">
        <v>0</v>
      </c>
      <c r="P22" s="52">
        <v>0.5</v>
      </c>
      <c r="Q22" s="52">
        <v>9.5</v>
      </c>
      <c r="R22" s="43"/>
      <c r="S22" s="43"/>
      <c r="T22" s="43"/>
      <c r="U22" s="43"/>
    </row>
    <row r="23" spans="1:21" s="11" customFormat="1" x14ac:dyDescent="0.25">
      <c r="A23" s="51" t="s">
        <v>410</v>
      </c>
      <c r="B23" s="52">
        <v>8</v>
      </c>
      <c r="C23" s="52">
        <v>3.06</v>
      </c>
      <c r="D23" s="52">
        <v>11.78</v>
      </c>
      <c r="E23" s="52">
        <v>5.05</v>
      </c>
      <c r="F23" s="52">
        <v>4.72</v>
      </c>
      <c r="G23" s="52">
        <v>46.33</v>
      </c>
      <c r="H23" s="52">
        <v>10.199999999999999</v>
      </c>
      <c r="I23" s="52">
        <v>2.61</v>
      </c>
      <c r="J23" s="52">
        <v>0.8</v>
      </c>
      <c r="K23" s="52">
        <v>332.4</v>
      </c>
      <c r="L23" s="52">
        <v>30.06</v>
      </c>
      <c r="M23" s="52">
        <v>93.7</v>
      </c>
      <c r="N23" s="52">
        <v>273.8</v>
      </c>
      <c r="O23" s="52">
        <v>0</v>
      </c>
      <c r="P23" s="52">
        <v>0.51</v>
      </c>
      <c r="Q23" s="52">
        <v>9.5</v>
      </c>
      <c r="R23" s="43"/>
      <c r="S23" s="43"/>
      <c r="T23" s="43"/>
      <c r="U23" s="43"/>
    </row>
    <row r="24" spans="1:21" s="11" customFormat="1" x14ac:dyDescent="0.25">
      <c r="A24" s="51" t="s">
        <v>411</v>
      </c>
      <c r="B24" s="52">
        <v>8.06</v>
      </c>
      <c r="C24" s="52">
        <v>3.17</v>
      </c>
      <c r="D24" s="52">
        <v>11.89</v>
      </c>
      <c r="E24" s="52">
        <v>4.4000000000000004</v>
      </c>
      <c r="F24" s="52">
        <v>3.82</v>
      </c>
      <c r="G24" s="52">
        <v>50.21</v>
      </c>
      <c r="H24" s="52">
        <v>41.3</v>
      </c>
      <c r="I24" s="52">
        <v>2.9</v>
      </c>
      <c r="J24" s="52">
        <v>0.83</v>
      </c>
      <c r="K24" s="52">
        <v>340.21</v>
      </c>
      <c r="L24" s="52">
        <v>30.29</v>
      </c>
      <c r="M24" s="52">
        <v>89.24</v>
      </c>
      <c r="N24" s="52">
        <v>232.5</v>
      </c>
      <c r="O24" s="52">
        <v>0</v>
      </c>
      <c r="P24" s="52">
        <v>0.54</v>
      </c>
      <c r="Q24" s="52">
        <v>9.48</v>
      </c>
      <c r="R24" s="43"/>
      <c r="S24" s="43"/>
      <c r="T24" s="43"/>
      <c r="U24" s="43"/>
    </row>
    <row r="25" spans="1:21" s="11" customFormat="1" x14ac:dyDescent="0.25">
      <c r="A25" s="51" t="s">
        <v>412</v>
      </c>
      <c r="B25" s="52">
        <v>8.09</v>
      </c>
      <c r="C25" s="52">
        <v>3.19</v>
      </c>
      <c r="D25" s="52">
        <v>11.93</v>
      </c>
      <c r="E25" s="52">
        <v>4.3600000000000003</v>
      </c>
      <c r="F25" s="52">
        <v>3.57</v>
      </c>
      <c r="G25" s="52">
        <v>53.23</v>
      </c>
      <c r="H25" s="52">
        <v>56.84</v>
      </c>
      <c r="I25" s="52">
        <v>3.1</v>
      </c>
      <c r="J25" s="52">
        <v>0.65</v>
      </c>
      <c r="K25" s="52">
        <v>327.98</v>
      </c>
      <c r="L25" s="52">
        <v>30.1</v>
      </c>
      <c r="M25" s="52">
        <v>94.29</v>
      </c>
      <c r="N25" s="52">
        <v>175.7</v>
      </c>
      <c r="O25" s="52">
        <v>0</v>
      </c>
      <c r="P25" s="52">
        <v>0.56000000000000005</v>
      </c>
      <c r="Q25" s="52">
        <v>9.4600000000000009</v>
      </c>
      <c r="R25" s="43"/>
      <c r="S25" s="43"/>
      <c r="T25" s="43"/>
      <c r="U25" s="43"/>
    </row>
    <row r="26" spans="1:21" s="11" customFormat="1" x14ac:dyDescent="0.25">
      <c r="A26" s="51" t="s">
        <v>413</v>
      </c>
      <c r="B26" s="52">
        <v>8.1</v>
      </c>
      <c r="C26" s="52">
        <v>3.2</v>
      </c>
      <c r="D26" s="52">
        <v>11.94</v>
      </c>
      <c r="E26" s="52">
        <v>4.38</v>
      </c>
      <c r="F26" s="52">
        <v>3.75</v>
      </c>
      <c r="G26" s="52">
        <v>58.25</v>
      </c>
      <c r="H26" s="52">
        <v>41.59</v>
      </c>
      <c r="I26" s="52">
        <v>3.61</v>
      </c>
      <c r="J26" s="52">
        <v>0.7</v>
      </c>
      <c r="K26" s="52">
        <v>346.02</v>
      </c>
      <c r="L26" s="52">
        <v>29</v>
      </c>
      <c r="M26" s="52">
        <v>102.15</v>
      </c>
      <c r="N26" s="52">
        <v>98.3</v>
      </c>
      <c r="O26" s="52">
        <v>0</v>
      </c>
      <c r="P26" s="52">
        <v>0.61</v>
      </c>
      <c r="Q26" s="52">
        <v>9.56</v>
      </c>
      <c r="R26" s="43"/>
      <c r="S26" s="43"/>
      <c r="T26" s="43"/>
      <c r="U26" s="43"/>
    </row>
    <row r="27" spans="1:21" s="11" customFormat="1" x14ac:dyDescent="0.25">
      <c r="A27" s="51" t="s">
        <v>414</v>
      </c>
      <c r="B27" s="52">
        <v>8.06</v>
      </c>
      <c r="C27" s="52">
        <v>3.1</v>
      </c>
      <c r="D27" s="52">
        <v>11.86</v>
      </c>
      <c r="E27" s="52">
        <v>4.71</v>
      </c>
      <c r="F27" s="52">
        <v>4.51</v>
      </c>
      <c r="G27" s="52">
        <v>74.430000000000007</v>
      </c>
      <c r="H27" s="52">
        <v>30.44</v>
      </c>
      <c r="I27" s="52">
        <v>4.57</v>
      </c>
      <c r="J27" s="52">
        <v>0.47</v>
      </c>
      <c r="K27" s="52">
        <v>336.78</v>
      </c>
      <c r="L27" s="52">
        <v>27.99</v>
      </c>
      <c r="M27" s="52">
        <v>102.97</v>
      </c>
      <c r="N27" s="52">
        <v>63.1</v>
      </c>
      <c r="O27" s="52">
        <v>0</v>
      </c>
      <c r="P27" s="52">
        <v>0.72</v>
      </c>
      <c r="Q27" s="52">
        <v>9.69</v>
      </c>
      <c r="R27" s="43"/>
      <c r="S27" s="43"/>
      <c r="T27" s="43"/>
      <c r="U27" s="43"/>
    </row>
    <row r="28" spans="1:21" s="11" customFormat="1" x14ac:dyDescent="0.25">
      <c r="A28" s="51" t="s">
        <v>415</v>
      </c>
      <c r="B28" s="52">
        <v>8.16</v>
      </c>
      <c r="C28" s="52">
        <v>3.31</v>
      </c>
      <c r="D28" s="52">
        <v>12.05</v>
      </c>
      <c r="E28" s="52">
        <v>5.05</v>
      </c>
      <c r="F28" s="52">
        <v>3.89</v>
      </c>
      <c r="G28" s="52">
        <v>80.12</v>
      </c>
      <c r="H28" s="52">
        <v>36.340000000000003</v>
      </c>
      <c r="I28" s="52">
        <v>4.8099999999999996</v>
      </c>
      <c r="J28" s="52">
        <v>0.19</v>
      </c>
      <c r="K28" s="52">
        <v>343.09</v>
      </c>
      <c r="L28" s="52">
        <v>27.55</v>
      </c>
      <c r="M28" s="52">
        <v>103.17</v>
      </c>
      <c r="N28" s="52">
        <v>50.9</v>
      </c>
      <c r="O28" s="52">
        <v>0</v>
      </c>
      <c r="P28" s="52">
        <v>0.77</v>
      </c>
      <c r="Q28" s="52">
        <v>9.75</v>
      </c>
      <c r="R28" s="43"/>
      <c r="S28" s="43"/>
      <c r="T28" s="43"/>
      <c r="U28" s="43"/>
    </row>
    <row r="29" spans="1:21" s="11" customFormat="1" x14ac:dyDescent="0.25">
      <c r="A29" s="51" t="s">
        <v>416</v>
      </c>
      <c r="B29" s="52">
        <v>8.26</v>
      </c>
      <c r="C29" s="52">
        <v>3.44</v>
      </c>
      <c r="D29" s="52">
        <v>12.19</v>
      </c>
      <c r="E29" s="52">
        <v>5.01</v>
      </c>
      <c r="F29" s="52">
        <v>3.44</v>
      </c>
      <c r="G29" s="52">
        <v>75.010000000000005</v>
      </c>
      <c r="H29" s="52">
        <v>24.23</v>
      </c>
      <c r="I29" s="52">
        <v>4.91</v>
      </c>
      <c r="J29" s="52">
        <v>0.27</v>
      </c>
      <c r="K29" s="52">
        <v>343.52</v>
      </c>
      <c r="L29" s="52">
        <v>27.6</v>
      </c>
      <c r="M29" s="52">
        <v>102.5</v>
      </c>
      <c r="N29" s="52">
        <v>51.1</v>
      </c>
      <c r="O29" s="52">
        <v>0</v>
      </c>
      <c r="P29" s="52">
        <v>0.77</v>
      </c>
      <c r="Q29" s="52">
        <v>9.6999999999999993</v>
      </c>
      <c r="R29" s="43"/>
      <c r="S29" s="43"/>
      <c r="T29" s="43"/>
      <c r="U29" s="43"/>
    </row>
    <row r="30" spans="1:21" s="11" customFormat="1" x14ac:dyDescent="0.25">
      <c r="A30" s="51" t="s">
        <v>417</v>
      </c>
      <c r="B30" s="52">
        <v>8.08</v>
      </c>
      <c r="C30" s="52">
        <v>3.15</v>
      </c>
      <c r="D30" s="52">
        <v>11.9</v>
      </c>
      <c r="E30" s="52">
        <v>4.78</v>
      </c>
      <c r="F30" s="52">
        <v>3.53</v>
      </c>
      <c r="G30" s="52">
        <v>75.67</v>
      </c>
      <c r="H30" s="52">
        <v>27.69</v>
      </c>
      <c r="I30" s="52">
        <v>4.47</v>
      </c>
      <c r="J30" s="52">
        <v>0.23</v>
      </c>
      <c r="K30" s="52">
        <v>352.22</v>
      </c>
      <c r="L30" s="52">
        <v>26.87</v>
      </c>
      <c r="M30" s="52">
        <v>103.01</v>
      </c>
      <c r="N30" s="52">
        <v>51.1</v>
      </c>
      <c r="O30" s="52">
        <v>0</v>
      </c>
      <c r="P30" s="52">
        <v>0.72</v>
      </c>
      <c r="Q30" s="52">
        <v>9.6</v>
      </c>
      <c r="R30" s="43"/>
      <c r="S30" s="43"/>
      <c r="T30" s="43"/>
      <c r="U30" s="43"/>
    </row>
    <row r="31" spans="1:21" s="11" customFormat="1" x14ac:dyDescent="0.25">
      <c r="A31" s="51" t="s">
        <v>418</v>
      </c>
      <c r="B31" s="52">
        <v>8.06</v>
      </c>
      <c r="C31" s="52">
        <v>3.15</v>
      </c>
      <c r="D31" s="52">
        <v>11.88</v>
      </c>
      <c r="E31" s="52">
        <v>5.0599999999999996</v>
      </c>
      <c r="F31" s="52">
        <v>3.2</v>
      </c>
      <c r="G31" s="52">
        <v>64.61</v>
      </c>
      <c r="H31" s="52">
        <v>23.51</v>
      </c>
      <c r="I31" s="52">
        <v>4.08</v>
      </c>
      <c r="J31" s="52">
        <v>0.21</v>
      </c>
      <c r="K31" s="52">
        <v>342.33</v>
      </c>
      <c r="L31" s="52">
        <v>26.11</v>
      </c>
      <c r="M31" s="52">
        <v>102.95</v>
      </c>
      <c r="N31" s="52">
        <v>50.9</v>
      </c>
      <c r="O31" s="52">
        <v>0.2</v>
      </c>
      <c r="P31" s="52">
        <v>0.67</v>
      </c>
      <c r="Q31" s="52">
        <v>9.59</v>
      </c>
      <c r="R31" s="43"/>
      <c r="S31" s="43"/>
      <c r="T31" s="43"/>
      <c r="U31" s="43"/>
    </row>
    <row r="32" spans="1:21" s="11" customFormat="1" x14ac:dyDescent="0.25">
      <c r="A32" s="51" t="s">
        <v>419</v>
      </c>
      <c r="B32" s="52">
        <v>8.06</v>
      </c>
      <c r="C32" s="52">
        <v>3.14</v>
      </c>
      <c r="D32" s="52">
        <v>11.88</v>
      </c>
      <c r="E32" s="52">
        <v>4.71</v>
      </c>
      <c r="F32" s="52">
        <v>4.41</v>
      </c>
      <c r="G32" s="52">
        <v>57.58</v>
      </c>
      <c r="H32" s="52">
        <v>27.96</v>
      </c>
      <c r="I32" s="52">
        <v>4.01</v>
      </c>
      <c r="J32" s="52">
        <v>0.19</v>
      </c>
      <c r="K32" s="52">
        <v>346.91</v>
      </c>
      <c r="L32" s="52">
        <v>25.95</v>
      </c>
      <c r="M32" s="52">
        <v>103.11</v>
      </c>
      <c r="N32" s="52">
        <v>51.2</v>
      </c>
      <c r="O32" s="52">
        <v>0</v>
      </c>
      <c r="P32" s="52">
        <v>0.62</v>
      </c>
      <c r="Q32" s="52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7.99</v>
      </c>
      <c r="C34" s="28">
        <f t="shared" si="0"/>
        <v>3.02</v>
      </c>
      <c r="D34" s="28">
        <f t="shared" si="0"/>
        <v>11.76</v>
      </c>
      <c r="E34" s="28">
        <f t="shared" si="0"/>
        <v>4.09</v>
      </c>
      <c r="F34" s="28">
        <f t="shared" si="0"/>
        <v>3.2</v>
      </c>
      <c r="G34" s="28">
        <f t="shared" si="0"/>
        <v>23.17</v>
      </c>
      <c r="H34" s="28">
        <f t="shared" si="0"/>
        <v>0</v>
      </c>
      <c r="I34" s="28">
        <f t="shared" si="0"/>
        <v>2.61</v>
      </c>
      <c r="J34" s="28">
        <f t="shared" si="0"/>
        <v>0.12</v>
      </c>
      <c r="K34" s="28">
        <f t="shared" si="0"/>
        <v>194.62</v>
      </c>
      <c r="L34" s="28">
        <f t="shared" si="0"/>
        <v>25.85</v>
      </c>
      <c r="M34" s="28">
        <f t="shared" si="0"/>
        <v>89.24</v>
      </c>
      <c r="N34" s="28">
        <f t="shared" si="0"/>
        <v>49.1</v>
      </c>
      <c r="O34" s="28">
        <f t="shared" si="0"/>
        <v>0</v>
      </c>
      <c r="P34" s="28">
        <f t="shared" si="0"/>
        <v>0.37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8.26</v>
      </c>
      <c r="C35" s="29">
        <f t="shared" si="1"/>
        <v>3.44</v>
      </c>
      <c r="D35" s="29">
        <f t="shared" si="1"/>
        <v>12.19</v>
      </c>
      <c r="E35" s="29">
        <f t="shared" si="1"/>
        <v>5.0599999999999996</v>
      </c>
      <c r="F35" s="29">
        <f t="shared" si="1"/>
        <v>5</v>
      </c>
      <c r="G35" s="29">
        <f t="shared" si="1"/>
        <v>80.12</v>
      </c>
      <c r="H35" s="29">
        <f t="shared" si="1"/>
        <v>56.84</v>
      </c>
      <c r="I35" s="29">
        <f t="shared" si="1"/>
        <v>8.5399999999999991</v>
      </c>
      <c r="J35" s="29">
        <f t="shared" si="1"/>
        <v>1.32</v>
      </c>
      <c r="K35" s="29">
        <f t="shared" si="1"/>
        <v>357.29</v>
      </c>
      <c r="L35" s="29">
        <f t="shared" si="1"/>
        <v>31.25</v>
      </c>
      <c r="M35" s="29">
        <f t="shared" si="1"/>
        <v>103.38</v>
      </c>
      <c r="N35" s="29">
        <f t="shared" si="1"/>
        <v>383</v>
      </c>
      <c r="O35" s="29">
        <f t="shared" si="1"/>
        <v>1</v>
      </c>
      <c r="P35" s="29">
        <f t="shared" si="1"/>
        <v>0.77</v>
      </c>
      <c r="Q35" s="29">
        <f t="shared" si="1"/>
        <v>9.8000000000000007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8.0733333333333324</v>
      </c>
      <c r="C36" s="28">
        <f t="shared" si="2"/>
        <v>3.1537500000000009</v>
      </c>
      <c r="D36" s="28">
        <f t="shared" si="2"/>
        <v>11.895416666666668</v>
      </c>
      <c r="E36" s="28">
        <f t="shared" si="2"/>
        <v>4.6358333333333333</v>
      </c>
      <c r="F36" s="28">
        <f t="shared" si="2"/>
        <v>4.0220833333333337</v>
      </c>
      <c r="G36" s="28">
        <f t="shared" si="2"/>
        <v>46.861249999999991</v>
      </c>
      <c r="H36" s="28">
        <f t="shared" si="2"/>
        <v>23.339583333333337</v>
      </c>
      <c r="I36" s="28">
        <f t="shared" si="2"/>
        <v>5.1908333333333339</v>
      </c>
      <c r="J36" s="28">
        <f t="shared" si="2"/>
        <v>0.52625</v>
      </c>
      <c r="K36" s="28">
        <f t="shared" si="2"/>
        <v>334.43708333333331</v>
      </c>
      <c r="L36" s="28">
        <f t="shared" si="2"/>
        <v>27.942083333333333</v>
      </c>
      <c r="M36" s="28">
        <f t="shared" si="2"/>
        <v>101.04791666666667</v>
      </c>
      <c r="N36" s="28">
        <f t="shared" si="2"/>
        <v>156.19166666666666</v>
      </c>
      <c r="O36" s="28">
        <f t="shared" si="2"/>
        <v>9.1666666666666674E-2</v>
      </c>
      <c r="P36" s="28">
        <f t="shared" si="2"/>
        <v>0.54666666666666663</v>
      </c>
      <c r="Q36" s="28">
        <f t="shared" si="2"/>
        <v>9.5495833333333326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6.2391935562125397E-2</v>
      </c>
      <c r="C37" s="28">
        <f t="shared" ref="C37:Q37" si="3">STDEV(C9:C32)</f>
        <v>0.1008577345011063</v>
      </c>
      <c r="D37" s="28">
        <f t="shared" si="3"/>
        <v>0.10333479428607256</v>
      </c>
      <c r="E37" s="28">
        <f t="shared" si="3"/>
        <v>0.2931228658647318</v>
      </c>
      <c r="F37" s="28">
        <f t="shared" si="3"/>
        <v>0.50097278557228409</v>
      </c>
      <c r="G37" s="28">
        <f t="shared" si="3"/>
        <v>17.569868800702935</v>
      </c>
      <c r="H37" s="28">
        <f t="shared" si="3"/>
        <v>14.353933404006952</v>
      </c>
      <c r="I37" s="28">
        <f t="shared" si="3"/>
        <v>1.8511310682617941</v>
      </c>
      <c r="J37" s="28">
        <f t="shared" si="3"/>
        <v>0.40369825688092281</v>
      </c>
      <c r="K37" s="28">
        <f t="shared" si="3"/>
        <v>30.937079972262172</v>
      </c>
      <c r="L37" s="28">
        <f t="shared" si="3"/>
        <v>1.8261791406166012</v>
      </c>
      <c r="M37" s="28">
        <f t="shared" si="3"/>
        <v>3.83090973321716</v>
      </c>
      <c r="N37" s="28">
        <f t="shared" si="3"/>
        <v>126.0885434807677</v>
      </c>
      <c r="O37" s="28">
        <f t="shared" si="3"/>
        <v>0.25693285650851116</v>
      </c>
      <c r="P37" s="28">
        <f t="shared" si="3"/>
        <v>0.12081846485233694</v>
      </c>
      <c r="Q37" s="28">
        <f t="shared" si="3"/>
        <v>0.10956352799479697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420</v>
      </c>
      <c r="B9" s="52">
        <v>7.98</v>
      </c>
      <c r="C9" s="52">
        <v>3.06</v>
      </c>
      <c r="D9" s="52">
        <v>11.78</v>
      </c>
      <c r="E9" s="52">
        <v>4.6500000000000004</v>
      </c>
      <c r="F9" s="52">
        <v>3.7</v>
      </c>
      <c r="G9" s="52">
        <v>48.59</v>
      </c>
      <c r="H9" s="52">
        <v>18.98</v>
      </c>
      <c r="I9" s="52">
        <v>3.92</v>
      </c>
      <c r="J9" s="52">
        <v>0.1</v>
      </c>
      <c r="K9" s="52">
        <v>324.92</v>
      </c>
      <c r="L9" s="52">
        <v>25.84</v>
      </c>
      <c r="M9" s="52">
        <v>103.25</v>
      </c>
      <c r="N9" s="52">
        <v>51.2</v>
      </c>
      <c r="O9" s="52">
        <v>0</v>
      </c>
      <c r="P9" s="52">
        <v>0.54</v>
      </c>
      <c r="Q9" s="52">
        <v>9.49</v>
      </c>
      <c r="R9" s="43"/>
      <c r="S9" s="43"/>
      <c r="T9" s="43"/>
      <c r="U9" s="43"/>
    </row>
    <row r="10" spans="1:21" s="11" customFormat="1" x14ac:dyDescent="0.25">
      <c r="A10" s="51" t="s">
        <v>421</v>
      </c>
      <c r="B10" s="52">
        <v>7.99</v>
      </c>
      <c r="C10" s="52">
        <v>3.05</v>
      </c>
      <c r="D10" s="52">
        <v>11.78</v>
      </c>
      <c r="E10" s="52">
        <v>4.67</v>
      </c>
      <c r="F10" s="52">
        <v>3.56</v>
      </c>
      <c r="G10" s="52">
        <v>37.14</v>
      </c>
      <c r="H10" s="52">
        <v>10.11</v>
      </c>
      <c r="I10" s="52">
        <v>3.73</v>
      </c>
      <c r="J10" s="52">
        <v>0.18</v>
      </c>
      <c r="K10" s="52">
        <v>335.52</v>
      </c>
      <c r="L10" s="52">
        <v>25.4</v>
      </c>
      <c r="M10" s="52">
        <v>103.3</v>
      </c>
      <c r="N10" s="52">
        <v>51.3</v>
      </c>
      <c r="O10" s="52">
        <v>0</v>
      </c>
      <c r="P10" s="52">
        <v>0.49</v>
      </c>
      <c r="Q10" s="52">
        <v>9.44</v>
      </c>
      <c r="R10" s="43"/>
      <c r="S10" s="43"/>
      <c r="T10" s="43"/>
      <c r="U10" s="43"/>
    </row>
    <row r="11" spans="1:21" s="11" customFormat="1" x14ac:dyDescent="0.25">
      <c r="A11" s="51" t="s">
        <v>422</v>
      </c>
      <c r="B11" s="52">
        <v>8</v>
      </c>
      <c r="C11" s="52">
        <v>3.02</v>
      </c>
      <c r="D11" s="52">
        <v>11.77</v>
      </c>
      <c r="E11" s="52">
        <v>4.55</v>
      </c>
      <c r="F11" s="52">
        <v>3.66</v>
      </c>
      <c r="G11" s="52">
        <v>29.2</v>
      </c>
      <c r="H11" s="52">
        <v>7.28</v>
      </c>
      <c r="I11" s="52">
        <v>3.74</v>
      </c>
      <c r="J11" s="52">
        <v>0.2</v>
      </c>
      <c r="K11" s="52">
        <v>340.44</v>
      </c>
      <c r="L11" s="52">
        <v>25.16</v>
      </c>
      <c r="M11" s="52">
        <v>103.22</v>
      </c>
      <c r="N11" s="52">
        <v>50.9</v>
      </c>
      <c r="O11" s="52">
        <v>0</v>
      </c>
      <c r="P11" s="52">
        <v>0.43</v>
      </c>
      <c r="Q11" s="52">
        <v>9.39</v>
      </c>
      <c r="R11" s="43"/>
      <c r="S11" s="43"/>
      <c r="T11" s="43"/>
      <c r="U11" s="43"/>
    </row>
    <row r="12" spans="1:21" s="11" customFormat="1" x14ac:dyDescent="0.25">
      <c r="A12" s="51" t="s">
        <v>423</v>
      </c>
      <c r="B12" s="52">
        <v>8</v>
      </c>
      <c r="C12" s="52">
        <v>3.02</v>
      </c>
      <c r="D12" s="52">
        <v>11.77</v>
      </c>
      <c r="E12" s="52">
        <v>3.31</v>
      </c>
      <c r="F12" s="52">
        <v>4.25</v>
      </c>
      <c r="G12" s="52">
        <v>27.31</v>
      </c>
      <c r="H12" s="52">
        <v>7.75</v>
      </c>
      <c r="I12" s="52">
        <v>3.5</v>
      </c>
      <c r="J12" s="52">
        <v>0.19</v>
      </c>
      <c r="K12" s="52">
        <v>345.2</v>
      </c>
      <c r="L12" s="52">
        <v>25.11</v>
      </c>
      <c r="M12" s="52">
        <v>103.44</v>
      </c>
      <c r="N12" s="52">
        <v>50.9</v>
      </c>
      <c r="O12" s="52">
        <v>0</v>
      </c>
      <c r="P12" s="52">
        <v>0.39</v>
      </c>
      <c r="Q12" s="52">
        <v>9.3699999999999992</v>
      </c>
      <c r="R12" s="43"/>
      <c r="S12" s="43"/>
      <c r="T12" s="43"/>
      <c r="U12" s="43"/>
    </row>
    <row r="13" spans="1:21" s="11" customFormat="1" x14ac:dyDescent="0.25">
      <c r="A13" s="51" t="s">
        <v>424</v>
      </c>
      <c r="B13" s="52">
        <v>7.97</v>
      </c>
      <c r="C13" s="52">
        <v>3</v>
      </c>
      <c r="D13" s="52">
        <v>11.73</v>
      </c>
      <c r="E13" s="52">
        <v>3.4</v>
      </c>
      <c r="F13" s="52">
        <v>4.16</v>
      </c>
      <c r="G13" s="52">
        <v>22.74</v>
      </c>
      <c r="H13" s="52">
        <v>8.0399999999999991</v>
      </c>
      <c r="I13" s="52">
        <v>3.17</v>
      </c>
      <c r="J13" s="52">
        <v>0.14000000000000001</v>
      </c>
      <c r="K13" s="52">
        <v>349.84</v>
      </c>
      <c r="L13" s="52">
        <v>25.1</v>
      </c>
      <c r="M13" s="52">
        <v>104.23</v>
      </c>
      <c r="N13" s="52">
        <v>50.8</v>
      </c>
      <c r="O13" s="52">
        <v>0</v>
      </c>
      <c r="P13" s="52">
        <v>0.35</v>
      </c>
      <c r="Q13" s="52">
        <v>9.2799999999999994</v>
      </c>
      <c r="R13" s="43"/>
      <c r="S13" s="43"/>
      <c r="T13" s="43"/>
      <c r="U13" s="43"/>
    </row>
    <row r="14" spans="1:21" s="11" customFormat="1" x14ac:dyDescent="0.25">
      <c r="A14" s="51" t="s">
        <v>425</v>
      </c>
      <c r="B14" s="52">
        <v>8.0399999999999991</v>
      </c>
      <c r="C14" s="52">
        <v>3.1</v>
      </c>
      <c r="D14" s="52">
        <v>11.84</v>
      </c>
      <c r="E14" s="52">
        <v>3.17</v>
      </c>
      <c r="F14" s="52">
        <v>3.66</v>
      </c>
      <c r="G14" s="52">
        <v>24.2</v>
      </c>
      <c r="H14" s="52">
        <v>8.98</v>
      </c>
      <c r="I14" s="52">
        <v>3.12</v>
      </c>
      <c r="J14" s="52">
        <v>0.16</v>
      </c>
      <c r="K14" s="52">
        <v>335.07</v>
      </c>
      <c r="L14" s="52">
        <v>25.23</v>
      </c>
      <c r="M14" s="52">
        <v>102.87</v>
      </c>
      <c r="N14" s="52">
        <v>53.6</v>
      </c>
      <c r="O14" s="52">
        <v>0</v>
      </c>
      <c r="P14" s="52">
        <v>0.33</v>
      </c>
      <c r="Q14" s="52">
        <v>9.27</v>
      </c>
      <c r="R14" s="43"/>
      <c r="S14" s="43"/>
      <c r="T14" s="43"/>
      <c r="U14" s="43"/>
    </row>
    <row r="15" spans="1:21" s="11" customFormat="1" x14ac:dyDescent="0.25">
      <c r="A15" s="51" t="s">
        <v>426</v>
      </c>
      <c r="B15" s="52">
        <v>8</v>
      </c>
      <c r="C15" s="52">
        <v>3.02</v>
      </c>
      <c r="D15" s="52">
        <v>11.77</v>
      </c>
      <c r="E15" s="52">
        <v>3.65</v>
      </c>
      <c r="F15" s="52">
        <v>3.9</v>
      </c>
      <c r="G15" s="52">
        <v>19.329999999999998</v>
      </c>
      <c r="H15" s="52">
        <v>32.83</v>
      </c>
      <c r="I15" s="52">
        <v>3</v>
      </c>
      <c r="J15" s="52">
        <v>0.2</v>
      </c>
      <c r="K15" s="52">
        <v>334.67</v>
      </c>
      <c r="L15" s="52">
        <v>25.42</v>
      </c>
      <c r="M15" s="52">
        <v>102.71</v>
      </c>
      <c r="N15" s="52">
        <v>87.6</v>
      </c>
      <c r="O15" s="52">
        <v>0</v>
      </c>
      <c r="P15" s="52">
        <v>0.31</v>
      </c>
      <c r="Q15" s="52">
        <v>9.27</v>
      </c>
      <c r="R15" s="43"/>
      <c r="S15" s="43"/>
      <c r="T15" s="43"/>
      <c r="U15" s="43"/>
    </row>
    <row r="16" spans="1:21" s="11" customFormat="1" x14ac:dyDescent="0.25">
      <c r="A16" s="51" t="s">
        <v>427</v>
      </c>
      <c r="B16" s="52">
        <v>7.97</v>
      </c>
      <c r="C16" s="52">
        <v>2.99</v>
      </c>
      <c r="D16" s="52">
        <v>11.73</v>
      </c>
      <c r="E16" s="52">
        <v>3.98</v>
      </c>
      <c r="F16" s="52">
        <v>3.67</v>
      </c>
      <c r="G16" s="52">
        <v>28.64</v>
      </c>
      <c r="H16" s="52">
        <v>44.22</v>
      </c>
      <c r="I16" s="52">
        <v>2.83</v>
      </c>
      <c r="J16" s="52">
        <v>0.25</v>
      </c>
      <c r="K16" s="52">
        <v>340.13</v>
      </c>
      <c r="L16" s="52">
        <v>27.04</v>
      </c>
      <c r="M16" s="52">
        <v>102.31</v>
      </c>
      <c r="N16" s="52">
        <v>207.5</v>
      </c>
      <c r="O16" s="52">
        <v>0</v>
      </c>
      <c r="P16" s="52">
        <v>0.33</v>
      </c>
      <c r="Q16" s="52">
        <v>9.33</v>
      </c>
      <c r="R16" s="43"/>
      <c r="S16" s="43"/>
      <c r="T16" s="43"/>
      <c r="U16" s="43"/>
    </row>
    <row r="17" spans="1:21" s="11" customFormat="1" x14ac:dyDescent="0.25">
      <c r="A17" s="51" t="s">
        <v>428</v>
      </c>
      <c r="B17" s="52">
        <v>7.97</v>
      </c>
      <c r="C17" s="52">
        <v>3.02</v>
      </c>
      <c r="D17" s="52">
        <v>11.75</v>
      </c>
      <c r="E17" s="52">
        <v>4.18</v>
      </c>
      <c r="F17" s="52">
        <v>4.63</v>
      </c>
      <c r="G17" s="52">
        <v>39.979999999999997</v>
      </c>
      <c r="H17" s="52">
        <v>30.85</v>
      </c>
      <c r="I17" s="52">
        <v>2.71</v>
      </c>
      <c r="J17" s="52">
        <v>0.32</v>
      </c>
      <c r="K17" s="52">
        <v>348.21</v>
      </c>
      <c r="L17" s="52">
        <v>27.71</v>
      </c>
      <c r="M17" s="52">
        <v>102.26</v>
      </c>
      <c r="N17" s="52">
        <v>179.7</v>
      </c>
      <c r="O17" s="52">
        <v>0</v>
      </c>
      <c r="P17" s="52">
        <v>0.37</v>
      </c>
      <c r="Q17" s="52">
        <v>9.34</v>
      </c>
      <c r="R17" s="43"/>
      <c r="S17" s="43"/>
      <c r="T17" s="43"/>
      <c r="U17" s="43"/>
    </row>
    <row r="18" spans="1:21" s="11" customFormat="1" x14ac:dyDescent="0.25">
      <c r="A18" s="51" t="s">
        <v>429</v>
      </c>
      <c r="B18" s="52">
        <v>7.99</v>
      </c>
      <c r="C18" s="52">
        <v>3.1</v>
      </c>
      <c r="D18" s="52">
        <v>11.8</v>
      </c>
      <c r="E18" s="52">
        <v>4.01</v>
      </c>
      <c r="F18" s="52">
        <v>4.5999999999999996</v>
      </c>
      <c r="G18" s="52">
        <v>48.59</v>
      </c>
      <c r="H18" s="52">
        <v>21.21</v>
      </c>
      <c r="I18" s="52">
        <v>2.54</v>
      </c>
      <c r="J18" s="52">
        <v>1.07</v>
      </c>
      <c r="K18" s="52">
        <v>324.31</v>
      </c>
      <c r="L18" s="52">
        <v>29.75</v>
      </c>
      <c r="M18" s="52">
        <v>100.15</v>
      </c>
      <c r="N18" s="52">
        <v>366.1</v>
      </c>
      <c r="O18" s="52">
        <v>0</v>
      </c>
      <c r="P18" s="52">
        <v>0.42</v>
      </c>
      <c r="Q18" s="52">
        <v>9.36</v>
      </c>
      <c r="R18" s="43"/>
      <c r="S18" s="43"/>
      <c r="T18" s="43"/>
      <c r="U18" s="43"/>
    </row>
    <row r="19" spans="1:21" s="11" customFormat="1" x14ac:dyDescent="0.25">
      <c r="A19" s="51" t="s">
        <v>430</v>
      </c>
      <c r="B19" s="52">
        <v>7.98</v>
      </c>
      <c r="C19" s="52">
        <v>3.05</v>
      </c>
      <c r="D19" s="52">
        <v>11.76</v>
      </c>
      <c r="E19" s="52">
        <v>3.91</v>
      </c>
      <c r="F19" s="52">
        <v>4.47</v>
      </c>
      <c r="G19" s="52">
        <v>50.85</v>
      </c>
      <c r="H19" s="52">
        <v>14.66</v>
      </c>
      <c r="I19" s="52">
        <v>2.21</v>
      </c>
      <c r="J19" s="52">
        <v>1.92</v>
      </c>
      <c r="K19" s="52">
        <v>335.98</v>
      </c>
      <c r="L19" s="52">
        <v>29.63</v>
      </c>
      <c r="M19" s="52">
        <v>94.62</v>
      </c>
      <c r="N19" s="52">
        <v>306.39999999999998</v>
      </c>
      <c r="O19" s="52">
        <v>0</v>
      </c>
      <c r="P19" s="52">
        <v>0.46</v>
      </c>
      <c r="Q19" s="52">
        <v>9.41</v>
      </c>
      <c r="R19" s="43"/>
      <c r="S19" s="43"/>
      <c r="T19" s="43"/>
      <c r="U19" s="43"/>
    </row>
    <row r="20" spans="1:21" s="11" customFormat="1" x14ac:dyDescent="0.25">
      <c r="A20" s="51" t="s">
        <v>431</v>
      </c>
      <c r="B20" s="52">
        <v>8.0299999999999994</v>
      </c>
      <c r="C20" s="52">
        <v>3.1</v>
      </c>
      <c r="D20" s="52">
        <v>11.84</v>
      </c>
      <c r="E20" s="52">
        <v>3.76</v>
      </c>
      <c r="F20" s="52">
        <v>4.1500000000000004</v>
      </c>
      <c r="G20" s="52">
        <v>38.979999999999997</v>
      </c>
      <c r="H20" s="52">
        <v>14.39</v>
      </c>
      <c r="I20" s="52">
        <v>1.91</v>
      </c>
      <c r="J20" s="52">
        <v>1.51</v>
      </c>
      <c r="K20" s="52">
        <v>335.07</v>
      </c>
      <c r="L20" s="52">
        <v>27.8</v>
      </c>
      <c r="M20" s="52">
        <v>102.3</v>
      </c>
      <c r="N20" s="52">
        <v>220.3</v>
      </c>
      <c r="O20" s="52">
        <v>0.4</v>
      </c>
      <c r="P20" s="52">
        <v>0.46</v>
      </c>
      <c r="Q20" s="52">
        <v>9.3800000000000008</v>
      </c>
      <c r="R20" s="43"/>
      <c r="S20" s="43"/>
      <c r="T20" s="43"/>
      <c r="U20" s="43"/>
    </row>
    <row r="21" spans="1:21" s="11" customFormat="1" x14ac:dyDescent="0.25">
      <c r="A21" s="51" t="s">
        <v>432</v>
      </c>
      <c r="B21" s="52">
        <v>8.06</v>
      </c>
      <c r="C21" s="52">
        <v>3.17</v>
      </c>
      <c r="D21" s="52">
        <v>11.89</v>
      </c>
      <c r="E21" s="52">
        <v>3.8</v>
      </c>
      <c r="F21" s="52">
        <v>3.64</v>
      </c>
      <c r="G21" s="52">
        <v>33.92</v>
      </c>
      <c r="H21" s="52">
        <v>15.6</v>
      </c>
      <c r="I21" s="52">
        <v>1.66</v>
      </c>
      <c r="J21" s="52">
        <v>1.1299999999999999</v>
      </c>
      <c r="K21" s="52">
        <v>337.99</v>
      </c>
      <c r="L21" s="52">
        <v>26.04</v>
      </c>
      <c r="M21" s="52">
        <v>102.35</v>
      </c>
      <c r="N21" s="52">
        <v>187.4</v>
      </c>
      <c r="O21" s="52">
        <v>0.2</v>
      </c>
      <c r="P21" s="52">
        <v>0.47</v>
      </c>
      <c r="Q21" s="52">
        <v>9.49</v>
      </c>
      <c r="R21" s="43"/>
      <c r="S21" s="43"/>
      <c r="T21" s="43"/>
      <c r="U21" s="43"/>
    </row>
    <row r="22" spans="1:21" s="11" customFormat="1" x14ac:dyDescent="0.25">
      <c r="A22" s="51" t="s">
        <v>433</v>
      </c>
      <c r="B22" s="52">
        <v>8.0399999999999991</v>
      </c>
      <c r="C22" s="52">
        <v>3.13</v>
      </c>
      <c r="D22" s="52">
        <v>11.86</v>
      </c>
      <c r="E22" s="52">
        <v>4.5599999999999996</v>
      </c>
      <c r="F22" s="52">
        <v>3.94</v>
      </c>
      <c r="G22" s="52">
        <v>30.74</v>
      </c>
      <c r="H22" s="52">
        <v>12.97</v>
      </c>
      <c r="I22" s="52">
        <v>1.81</v>
      </c>
      <c r="J22" s="52">
        <v>1.52</v>
      </c>
      <c r="K22" s="52">
        <v>339.93</v>
      </c>
      <c r="L22" s="52">
        <v>25.72</v>
      </c>
      <c r="M22" s="52">
        <v>102.33</v>
      </c>
      <c r="N22" s="52">
        <v>198.6</v>
      </c>
      <c r="O22" s="52">
        <v>1.4</v>
      </c>
      <c r="P22" s="52">
        <v>0.49</v>
      </c>
      <c r="Q22" s="52">
        <v>9.5299999999999994</v>
      </c>
      <c r="R22" s="43"/>
      <c r="S22" s="43"/>
      <c r="T22" s="43"/>
      <c r="U22" s="43"/>
    </row>
    <row r="23" spans="1:21" s="11" customFormat="1" x14ac:dyDescent="0.25">
      <c r="A23" s="51" t="s">
        <v>434</v>
      </c>
      <c r="B23" s="52">
        <v>8.0399999999999991</v>
      </c>
      <c r="C23" s="52">
        <v>3.15</v>
      </c>
      <c r="D23" s="52">
        <v>11.87</v>
      </c>
      <c r="E23" s="52">
        <v>3.96</v>
      </c>
      <c r="F23" s="52">
        <v>4.3099999999999996</v>
      </c>
      <c r="G23" s="52">
        <v>30.88</v>
      </c>
      <c r="H23" s="52">
        <v>18.54</v>
      </c>
      <c r="I23" s="52">
        <v>1.84</v>
      </c>
      <c r="J23" s="52">
        <v>0.94</v>
      </c>
      <c r="K23" s="52">
        <v>332.72</v>
      </c>
      <c r="L23" s="52">
        <v>26.31</v>
      </c>
      <c r="M23" s="52">
        <v>102.26</v>
      </c>
      <c r="N23" s="52">
        <v>224.4</v>
      </c>
      <c r="O23" s="52">
        <v>0.4</v>
      </c>
      <c r="P23" s="52">
        <v>0.51</v>
      </c>
      <c r="Q23" s="52">
        <v>9.5299999999999994</v>
      </c>
      <c r="R23" s="43"/>
      <c r="S23" s="43"/>
      <c r="T23" s="43"/>
      <c r="U23" s="43"/>
    </row>
    <row r="24" spans="1:21" s="11" customFormat="1" x14ac:dyDescent="0.25">
      <c r="A24" s="51" t="s">
        <v>435</v>
      </c>
      <c r="B24" s="52">
        <v>8.0399999999999991</v>
      </c>
      <c r="C24" s="52">
        <v>3.13</v>
      </c>
      <c r="D24" s="52">
        <v>11.86</v>
      </c>
      <c r="E24" s="52">
        <v>4.67</v>
      </c>
      <c r="F24" s="52">
        <v>4.4000000000000004</v>
      </c>
      <c r="G24" s="52">
        <v>23.85</v>
      </c>
      <c r="H24" s="52">
        <v>20.6</v>
      </c>
      <c r="I24" s="52">
        <v>1.79</v>
      </c>
      <c r="J24" s="52">
        <v>0.22</v>
      </c>
      <c r="K24" s="52">
        <v>322.8</v>
      </c>
      <c r="L24" s="52">
        <v>26.89</v>
      </c>
      <c r="M24" s="52">
        <v>102.25</v>
      </c>
      <c r="N24" s="52">
        <v>245.5</v>
      </c>
      <c r="O24" s="52">
        <v>0.2</v>
      </c>
      <c r="P24" s="52">
        <v>0.51</v>
      </c>
      <c r="Q24" s="52">
        <v>9.5500000000000007</v>
      </c>
      <c r="R24" s="43"/>
      <c r="S24" s="43"/>
      <c r="T24" s="43"/>
      <c r="U24" s="43"/>
    </row>
    <row r="25" spans="1:21" s="11" customFormat="1" x14ac:dyDescent="0.25">
      <c r="A25" s="51" t="s">
        <v>436</v>
      </c>
      <c r="B25" s="52">
        <v>8.0399999999999991</v>
      </c>
      <c r="C25" s="52">
        <v>3.07</v>
      </c>
      <c r="D25" s="52">
        <v>11.81</v>
      </c>
      <c r="E25" s="52">
        <v>4.5999999999999996</v>
      </c>
      <c r="F25" s="52">
        <v>3.37</v>
      </c>
      <c r="G25" s="52">
        <v>23.25</v>
      </c>
      <c r="H25" s="52">
        <v>18.46</v>
      </c>
      <c r="I25" s="52">
        <v>2.04</v>
      </c>
      <c r="J25" s="52">
        <v>0.34</v>
      </c>
      <c r="K25" s="52">
        <v>316.89</v>
      </c>
      <c r="L25" s="52">
        <v>27.4</v>
      </c>
      <c r="M25" s="52">
        <v>102.25</v>
      </c>
      <c r="N25" s="52">
        <v>202.6</v>
      </c>
      <c r="O25" s="52">
        <v>0</v>
      </c>
      <c r="P25" s="52">
        <v>0.52</v>
      </c>
      <c r="Q25" s="52">
        <v>9.57</v>
      </c>
      <c r="R25" s="43"/>
      <c r="S25" s="43"/>
      <c r="T25" s="43"/>
      <c r="U25" s="43"/>
    </row>
    <row r="26" spans="1:21" s="11" customFormat="1" x14ac:dyDescent="0.25">
      <c r="A26" s="51" t="s">
        <v>437</v>
      </c>
      <c r="B26" s="52">
        <v>8.1199999999999992</v>
      </c>
      <c r="C26" s="52">
        <v>3.26</v>
      </c>
      <c r="D26" s="52">
        <v>11.99</v>
      </c>
      <c r="E26" s="52">
        <v>4.62</v>
      </c>
      <c r="F26" s="52">
        <v>3.57</v>
      </c>
      <c r="G26" s="52">
        <v>46.8</v>
      </c>
      <c r="H26" s="52">
        <v>13.53</v>
      </c>
      <c r="I26" s="52">
        <v>2.68</v>
      </c>
      <c r="J26" s="52">
        <v>0.28999999999999998</v>
      </c>
      <c r="K26" s="52">
        <v>307.67</v>
      </c>
      <c r="L26" s="52">
        <v>27.24</v>
      </c>
      <c r="M26" s="52">
        <v>102.29</v>
      </c>
      <c r="N26" s="52">
        <v>131.69999999999999</v>
      </c>
      <c r="O26" s="52">
        <v>0</v>
      </c>
      <c r="P26" s="52">
        <v>0.56999999999999995</v>
      </c>
      <c r="Q26" s="52">
        <v>9.66</v>
      </c>
      <c r="R26" s="43"/>
      <c r="S26" s="43"/>
      <c r="T26" s="43"/>
      <c r="U26" s="43"/>
    </row>
    <row r="27" spans="1:21" s="11" customFormat="1" x14ac:dyDescent="0.25">
      <c r="A27" s="51" t="s">
        <v>438</v>
      </c>
      <c r="B27" s="52">
        <v>8.1</v>
      </c>
      <c r="C27" s="52">
        <v>3.18</v>
      </c>
      <c r="D27" s="52">
        <v>11.93</v>
      </c>
      <c r="E27" s="52">
        <v>4.5999999999999996</v>
      </c>
      <c r="F27" s="52">
        <v>4.22</v>
      </c>
      <c r="G27" s="52">
        <v>81.61</v>
      </c>
      <c r="H27" s="52">
        <v>12.89</v>
      </c>
      <c r="I27" s="52">
        <v>3.45</v>
      </c>
      <c r="J27" s="52">
        <v>0.16</v>
      </c>
      <c r="K27" s="52">
        <v>283.2</v>
      </c>
      <c r="L27" s="52">
        <v>26.37</v>
      </c>
      <c r="M27" s="52">
        <v>102.37</v>
      </c>
      <c r="N27" s="52">
        <v>67</v>
      </c>
      <c r="O27" s="52">
        <v>0</v>
      </c>
      <c r="P27" s="52">
        <v>0.73</v>
      </c>
      <c r="Q27" s="52">
        <v>9.7200000000000006</v>
      </c>
      <c r="R27" s="43"/>
      <c r="S27" s="43"/>
      <c r="T27" s="43"/>
      <c r="U27" s="43"/>
    </row>
    <row r="28" spans="1:21" s="11" customFormat="1" x14ac:dyDescent="0.25">
      <c r="A28" s="51" t="s">
        <v>439</v>
      </c>
      <c r="B28" s="52">
        <v>8.58</v>
      </c>
      <c r="C28" s="52">
        <v>3.84</v>
      </c>
      <c r="D28" s="52">
        <v>12.66</v>
      </c>
      <c r="E28" s="52">
        <v>4.92</v>
      </c>
      <c r="F28" s="52">
        <v>4.07</v>
      </c>
      <c r="G28" s="52">
        <v>129.34</v>
      </c>
      <c r="H28" s="52">
        <v>18.25</v>
      </c>
      <c r="I28" s="52">
        <v>4.88</v>
      </c>
      <c r="J28" s="52">
        <v>0.21</v>
      </c>
      <c r="K28" s="52">
        <v>356.81</v>
      </c>
      <c r="L28" s="52">
        <v>25.69</v>
      </c>
      <c r="M28" s="52">
        <v>102.42</v>
      </c>
      <c r="N28" s="52">
        <v>51</v>
      </c>
      <c r="O28" s="52">
        <v>0</v>
      </c>
      <c r="P28" s="52">
        <v>0.98</v>
      </c>
      <c r="Q28" s="52">
        <v>9.99</v>
      </c>
      <c r="R28" s="43"/>
      <c r="S28" s="43"/>
      <c r="T28" s="43"/>
      <c r="U28" s="43"/>
    </row>
    <row r="29" spans="1:21" s="11" customFormat="1" x14ac:dyDescent="0.25">
      <c r="A29" s="51" t="s">
        <v>440</v>
      </c>
      <c r="B29" s="52">
        <v>8.1</v>
      </c>
      <c r="C29" s="52">
        <v>3.12</v>
      </c>
      <c r="D29" s="52">
        <v>11.9</v>
      </c>
      <c r="E29" s="52">
        <v>5.0599999999999996</v>
      </c>
      <c r="F29" s="52">
        <v>3.77</v>
      </c>
      <c r="G29" s="52">
        <v>144.56</v>
      </c>
      <c r="H29" s="52">
        <v>26.3</v>
      </c>
      <c r="I29" s="52">
        <v>5.82</v>
      </c>
      <c r="J29" s="52">
        <v>0.17</v>
      </c>
      <c r="K29" s="52">
        <v>269.67</v>
      </c>
      <c r="L29" s="52">
        <v>26.09</v>
      </c>
      <c r="M29" s="52">
        <v>102.44</v>
      </c>
      <c r="N29" s="52">
        <v>51.2</v>
      </c>
      <c r="O29" s="52">
        <v>0</v>
      </c>
      <c r="P29" s="52">
        <v>1.03</v>
      </c>
      <c r="Q29" s="52">
        <v>10.11</v>
      </c>
      <c r="R29" s="43"/>
      <c r="S29" s="43"/>
      <c r="T29" s="43"/>
      <c r="U29" s="43"/>
    </row>
    <row r="30" spans="1:21" s="11" customFormat="1" x14ac:dyDescent="0.25">
      <c r="A30" s="51" t="s">
        <v>441</v>
      </c>
      <c r="B30" s="52">
        <v>8.24</v>
      </c>
      <c r="C30" s="52">
        <v>3.36</v>
      </c>
      <c r="D30" s="52">
        <v>12.14</v>
      </c>
      <c r="E30" s="52">
        <v>5.34</v>
      </c>
      <c r="F30" s="52">
        <v>3.57</v>
      </c>
      <c r="G30" s="52">
        <v>126.1</v>
      </c>
      <c r="H30" s="52">
        <v>28.9</v>
      </c>
      <c r="I30" s="52">
        <v>6.64</v>
      </c>
      <c r="J30" s="52">
        <v>0.16</v>
      </c>
      <c r="K30" s="52">
        <v>252.21</v>
      </c>
      <c r="L30" s="52">
        <v>26.15</v>
      </c>
      <c r="M30" s="52">
        <v>102.5</v>
      </c>
      <c r="N30" s="52">
        <v>50.9</v>
      </c>
      <c r="O30" s="52">
        <v>0</v>
      </c>
      <c r="P30" s="52">
        <v>1.1000000000000001</v>
      </c>
      <c r="Q30" s="52">
        <v>10.18</v>
      </c>
      <c r="R30" s="43"/>
      <c r="S30" s="43"/>
      <c r="T30" s="43"/>
      <c r="U30" s="43"/>
    </row>
    <row r="31" spans="1:21" s="11" customFormat="1" x14ac:dyDescent="0.25">
      <c r="A31" s="51" t="s">
        <v>442</v>
      </c>
      <c r="B31" s="52">
        <v>8.31</v>
      </c>
      <c r="C31" s="52">
        <v>3.43</v>
      </c>
      <c r="D31" s="52">
        <v>12.23</v>
      </c>
      <c r="E31" s="52">
        <v>5.22</v>
      </c>
      <c r="F31" s="52">
        <v>4.6500000000000004</v>
      </c>
      <c r="G31" s="52">
        <v>129.41999999999999</v>
      </c>
      <c r="H31" s="52">
        <v>24.11</v>
      </c>
      <c r="I31" s="52">
        <v>6.99</v>
      </c>
      <c r="J31" s="52">
        <v>0.17</v>
      </c>
      <c r="K31" s="52">
        <v>332.9</v>
      </c>
      <c r="L31" s="52">
        <v>26.15</v>
      </c>
      <c r="M31" s="52">
        <v>102.49</v>
      </c>
      <c r="N31" s="52">
        <v>50.9</v>
      </c>
      <c r="O31" s="52">
        <v>0</v>
      </c>
      <c r="P31" s="52">
        <v>1.1399999999999999</v>
      </c>
      <c r="Q31" s="52">
        <v>10.220000000000001</v>
      </c>
      <c r="R31" s="43"/>
      <c r="S31" s="43"/>
      <c r="T31" s="43"/>
      <c r="U31" s="43"/>
    </row>
    <row r="32" spans="1:21" s="11" customFormat="1" x14ac:dyDescent="0.25">
      <c r="A32" s="51" t="s">
        <v>443</v>
      </c>
      <c r="B32" s="52">
        <v>8.3000000000000007</v>
      </c>
      <c r="C32" s="52">
        <v>3.46</v>
      </c>
      <c r="D32" s="52">
        <v>12.24</v>
      </c>
      <c r="E32" s="52">
        <v>4.83</v>
      </c>
      <c r="F32" s="52">
        <v>4.1900000000000004</v>
      </c>
      <c r="G32" s="52">
        <v>118.58</v>
      </c>
      <c r="H32" s="52">
        <v>22.12</v>
      </c>
      <c r="I32" s="52">
        <v>6.91</v>
      </c>
      <c r="J32" s="52">
        <v>0.24</v>
      </c>
      <c r="K32" s="52">
        <v>353.6</v>
      </c>
      <c r="L32" s="52">
        <v>26.31</v>
      </c>
      <c r="M32" s="52">
        <v>102.83</v>
      </c>
      <c r="N32" s="52">
        <v>50.9</v>
      </c>
      <c r="O32" s="52">
        <v>0</v>
      </c>
      <c r="P32" s="52">
        <v>1.1200000000000001</v>
      </c>
      <c r="Q32" s="52">
        <v>10.26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7.97</v>
      </c>
      <c r="C34" s="28">
        <f t="shared" si="0"/>
        <v>2.99</v>
      </c>
      <c r="D34" s="28">
        <f t="shared" si="0"/>
        <v>11.73</v>
      </c>
      <c r="E34" s="28">
        <f t="shared" si="0"/>
        <v>3.17</v>
      </c>
      <c r="F34" s="28">
        <f t="shared" si="0"/>
        <v>3.37</v>
      </c>
      <c r="G34" s="28">
        <f t="shared" si="0"/>
        <v>19.329999999999998</v>
      </c>
      <c r="H34" s="28">
        <f t="shared" si="0"/>
        <v>7.28</v>
      </c>
      <c r="I34" s="28">
        <f t="shared" si="0"/>
        <v>1.66</v>
      </c>
      <c r="J34" s="28">
        <f t="shared" si="0"/>
        <v>0.1</v>
      </c>
      <c r="K34" s="28">
        <f t="shared" si="0"/>
        <v>252.21</v>
      </c>
      <c r="L34" s="28">
        <f t="shared" si="0"/>
        <v>25.1</v>
      </c>
      <c r="M34" s="28">
        <f t="shared" si="0"/>
        <v>94.62</v>
      </c>
      <c r="N34" s="28">
        <f t="shared" si="0"/>
        <v>50.8</v>
      </c>
      <c r="O34" s="28">
        <f t="shared" si="0"/>
        <v>0</v>
      </c>
      <c r="P34" s="28">
        <f t="shared" si="0"/>
        <v>0.31</v>
      </c>
      <c r="Q34" s="28">
        <f t="shared" si="0"/>
        <v>9.27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8.58</v>
      </c>
      <c r="C35" s="29">
        <f t="shared" si="1"/>
        <v>3.84</v>
      </c>
      <c r="D35" s="29">
        <f t="shared" si="1"/>
        <v>12.66</v>
      </c>
      <c r="E35" s="29">
        <f t="shared" si="1"/>
        <v>5.34</v>
      </c>
      <c r="F35" s="29">
        <f t="shared" si="1"/>
        <v>4.6500000000000004</v>
      </c>
      <c r="G35" s="29">
        <f t="shared" si="1"/>
        <v>144.56</v>
      </c>
      <c r="H35" s="29">
        <f t="shared" si="1"/>
        <v>44.22</v>
      </c>
      <c r="I35" s="29">
        <f t="shared" si="1"/>
        <v>6.99</v>
      </c>
      <c r="J35" s="29">
        <f t="shared" si="1"/>
        <v>1.92</v>
      </c>
      <c r="K35" s="29">
        <f t="shared" si="1"/>
        <v>356.81</v>
      </c>
      <c r="L35" s="29">
        <f t="shared" si="1"/>
        <v>29.75</v>
      </c>
      <c r="M35" s="29">
        <f t="shared" si="1"/>
        <v>104.23</v>
      </c>
      <c r="N35" s="29">
        <f t="shared" si="1"/>
        <v>366.1</v>
      </c>
      <c r="O35" s="29">
        <f t="shared" si="1"/>
        <v>1.4</v>
      </c>
      <c r="P35" s="29">
        <f t="shared" si="1"/>
        <v>1.1399999999999999</v>
      </c>
      <c r="Q35" s="29">
        <f t="shared" si="1"/>
        <v>10.26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8.0787500000000012</v>
      </c>
      <c r="C36" s="28">
        <f t="shared" si="2"/>
        <v>3.1595833333333339</v>
      </c>
      <c r="D36" s="28">
        <f t="shared" si="2"/>
        <v>11.904166666666669</v>
      </c>
      <c r="E36" s="28">
        <f t="shared" si="2"/>
        <v>4.309166666666667</v>
      </c>
      <c r="F36" s="28">
        <f t="shared" si="2"/>
        <v>4.0045833333333336</v>
      </c>
      <c r="G36" s="28">
        <f t="shared" si="2"/>
        <v>55.608333333333327</v>
      </c>
      <c r="H36" s="28">
        <f t="shared" si="2"/>
        <v>18.815416666666668</v>
      </c>
      <c r="I36" s="28">
        <f t="shared" si="2"/>
        <v>3.4537499999999999</v>
      </c>
      <c r="J36" s="28">
        <f t="shared" si="2"/>
        <v>0.49125000000000002</v>
      </c>
      <c r="K36" s="28">
        <f t="shared" si="2"/>
        <v>327.32291666666674</v>
      </c>
      <c r="L36" s="28">
        <f t="shared" si="2"/>
        <v>26.481249999999999</v>
      </c>
      <c r="M36" s="28">
        <f t="shared" si="2"/>
        <v>102.22666666666665</v>
      </c>
      <c r="N36" s="28">
        <f t="shared" si="2"/>
        <v>132.85</v>
      </c>
      <c r="O36" s="28">
        <f t="shared" si="2"/>
        <v>0.10833333333333334</v>
      </c>
      <c r="P36" s="28">
        <f t="shared" si="2"/>
        <v>0.5854166666666667</v>
      </c>
      <c r="Q36" s="28">
        <f t="shared" si="2"/>
        <v>9.5891666666666655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0.14474302566362535</v>
      </c>
      <c r="C37" s="28">
        <f t="shared" ref="C37:Q37" si="3">STDEV(C9:C32)</f>
        <v>0.19396277470436041</v>
      </c>
      <c r="D37" s="28">
        <f t="shared" si="3"/>
        <v>0.21641177872522224</v>
      </c>
      <c r="E37" s="28">
        <f t="shared" si="3"/>
        <v>0.60710944981771608</v>
      </c>
      <c r="F37" s="28">
        <f t="shared" si="3"/>
        <v>0.38687127582436387</v>
      </c>
      <c r="G37" s="28">
        <f t="shared" si="3"/>
        <v>41.089751781305218</v>
      </c>
      <c r="H37" s="28">
        <f t="shared" si="3"/>
        <v>9.044131885259695</v>
      </c>
      <c r="I37" s="28">
        <f t="shared" si="3"/>
        <v>1.6498769716979294</v>
      </c>
      <c r="J37" s="28">
        <f t="shared" si="3"/>
        <v>0.53640763620022514</v>
      </c>
      <c r="K37" s="28">
        <f t="shared" si="3"/>
        <v>25.750536588612075</v>
      </c>
      <c r="L37" s="28">
        <f t="shared" si="3"/>
        <v>1.2751344771366699</v>
      </c>
      <c r="M37" s="28">
        <f t="shared" si="3"/>
        <v>1.7711447211304905</v>
      </c>
      <c r="N37" s="28">
        <f t="shared" si="3"/>
        <v>96.196271282704402</v>
      </c>
      <c r="O37" s="28">
        <f t="shared" si="3"/>
        <v>0.30060325820020595</v>
      </c>
      <c r="P37" s="28">
        <f t="shared" si="3"/>
        <v>0.27276330185818554</v>
      </c>
      <c r="Q37" s="28">
        <f t="shared" si="3"/>
        <v>0.31941409223583206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12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444</v>
      </c>
      <c r="B9" s="52">
        <v>8.7100000000000009</v>
      </c>
      <c r="C9" s="52">
        <v>4.03</v>
      </c>
      <c r="D9" s="52">
        <v>12.87</v>
      </c>
      <c r="E9" s="52">
        <v>4.5199999999999996</v>
      </c>
      <c r="F9" s="52">
        <v>4.28</v>
      </c>
      <c r="G9" s="52">
        <v>118.82</v>
      </c>
      <c r="H9" s="52">
        <v>22.22</v>
      </c>
      <c r="I9" s="52">
        <v>6.76</v>
      </c>
      <c r="J9" s="52">
        <v>0.2</v>
      </c>
      <c r="K9" s="52">
        <v>327.11</v>
      </c>
      <c r="L9" s="52">
        <v>26.41</v>
      </c>
      <c r="M9" s="52">
        <v>103.19</v>
      </c>
      <c r="N9" s="52">
        <v>51.1</v>
      </c>
      <c r="O9" s="52">
        <v>0</v>
      </c>
      <c r="P9" s="52">
        <v>0.93</v>
      </c>
      <c r="Q9" s="52">
        <v>10.220000000000001</v>
      </c>
      <c r="R9" s="43"/>
      <c r="S9" s="43"/>
      <c r="T9" s="43"/>
      <c r="U9" s="43"/>
    </row>
    <row r="10" spans="1:21" s="11" customFormat="1" x14ac:dyDescent="0.25">
      <c r="A10" s="51" t="s">
        <v>445</v>
      </c>
      <c r="B10" s="52">
        <v>8.1300000000000008</v>
      </c>
      <c r="C10" s="52">
        <v>3.18</v>
      </c>
      <c r="D10" s="52">
        <v>11.96</v>
      </c>
      <c r="E10" s="52">
        <v>4.5599999999999996</v>
      </c>
      <c r="F10" s="52">
        <v>4</v>
      </c>
      <c r="G10" s="52">
        <v>92.57</v>
      </c>
      <c r="H10" s="52">
        <v>17.96</v>
      </c>
      <c r="I10" s="52">
        <v>6.41</v>
      </c>
      <c r="J10" s="52">
        <v>0.22</v>
      </c>
      <c r="K10" s="52">
        <v>343.34</v>
      </c>
      <c r="L10" s="52">
        <v>26.37</v>
      </c>
      <c r="M10" s="52">
        <v>103.1</v>
      </c>
      <c r="N10" s="52">
        <v>51</v>
      </c>
      <c r="O10" s="52">
        <v>0</v>
      </c>
      <c r="P10" s="52">
        <v>0.84</v>
      </c>
      <c r="Q10" s="52">
        <v>10.1</v>
      </c>
      <c r="R10" s="43"/>
      <c r="S10" s="43"/>
      <c r="T10" s="43"/>
      <c r="U10" s="43"/>
    </row>
    <row r="11" spans="1:21" s="11" customFormat="1" x14ac:dyDescent="0.25">
      <c r="A11" s="51" t="s">
        <v>446</v>
      </c>
      <c r="B11" s="52">
        <v>8.08</v>
      </c>
      <c r="C11" s="52">
        <v>3.14</v>
      </c>
      <c r="D11" s="52">
        <v>11.9</v>
      </c>
      <c r="E11" s="52">
        <v>4.38</v>
      </c>
      <c r="F11" s="52">
        <v>4.26</v>
      </c>
      <c r="G11" s="52">
        <v>75.09</v>
      </c>
      <c r="H11" s="52">
        <v>17.96</v>
      </c>
      <c r="I11" s="52">
        <v>5.6</v>
      </c>
      <c r="J11" s="52">
        <v>0.15</v>
      </c>
      <c r="K11" s="52">
        <v>323.18</v>
      </c>
      <c r="L11" s="52">
        <v>25.79</v>
      </c>
      <c r="M11" s="52">
        <v>102.99</v>
      </c>
      <c r="N11" s="52">
        <v>50.7</v>
      </c>
      <c r="O11" s="52">
        <v>0</v>
      </c>
      <c r="P11" s="52">
        <v>0.74</v>
      </c>
      <c r="Q11" s="52">
        <v>9.9600000000000009</v>
      </c>
      <c r="R11" s="43"/>
      <c r="S11" s="43"/>
      <c r="T11" s="43"/>
      <c r="U11" s="43"/>
    </row>
    <row r="12" spans="1:21" s="11" customFormat="1" x14ac:dyDescent="0.25">
      <c r="A12" s="51" t="s">
        <v>447</v>
      </c>
      <c r="B12" s="52">
        <v>8.08</v>
      </c>
      <c r="C12" s="52">
        <v>3.15</v>
      </c>
      <c r="D12" s="52">
        <v>11.9</v>
      </c>
      <c r="E12" s="52">
        <v>4.21</v>
      </c>
      <c r="F12" s="52">
        <v>4.26</v>
      </c>
      <c r="G12" s="52">
        <v>67.83</v>
      </c>
      <c r="H12" s="52">
        <v>17.96</v>
      </c>
      <c r="I12" s="52">
        <v>5.45</v>
      </c>
      <c r="J12" s="52">
        <v>0.18</v>
      </c>
      <c r="K12" s="52">
        <v>353.32</v>
      </c>
      <c r="L12" s="52">
        <v>25.73</v>
      </c>
      <c r="M12" s="52">
        <v>102.89</v>
      </c>
      <c r="N12" s="52">
        <v>50.8</v>
      </c>
      <c r="O12" s="52">
        <v>0</v>
      </c>
      <c r="P12" s="52">
        <v>0.68</v>
      </c>
      <c r="Q12" s="52">
        <v>9.8000000000000007</v>
      </c>
      <c r="R12" s="43"/>
      <c r="S12" s="43"/>
      <c r="T12" s="43"/>
      <c r="U12" s="43"/>
    </row>
    <row r="13" spans="1:21" s="11" customFormat="1" x14ac:dyDescent="0.25">
      <c r="A13" s="51" t="s">
        <v>448</v>
      </c>
      <c r="B13" s="52">
        <v>8.0500000000000007</v>
      </c>
      <c r="C13" s="52">
        <v>3.1</v>
      </c>
      <c r="D13" s="52">
        <v>11.85</v>
      </c>
      <c r="E13" s="52">
        <v>4.07</v>
      </c>
      <c r="F13" s="52">
        <v>4.9000000000000004</v>
      </c>
      <c r="G13" s="52">
        <v>67.56</v>
      </c>
      <c r="H13" s="52">
        <v>40</v>
      </c>
      <c r="I13" s="52">
        <v>5.08</v>
      </c>
      <c r="J13" s="52">
        <v>0.15</v>
      </c>
      <c r="K13" s="52">
        <v>338.01</v>
      </c>
      <c r="L13" s="52">
        <v>25.65</v>
      </c>
      <c r="M13" s="52">
        <v>102.86</v>
      </c>
      <c r="N13" s="52">
        <v>50.9</v>
      </c>
      <c r="O13" s="52">
        <v>0</v>
      </c>
      <c r="P13" s="52">
        <v>0.64</v>
      </c>
      <c r="Q13" s="52">
        <v>9.7200000000000006</v>
      </c>
      <c r="R13" s="43"/>
      <c r="S13" s="43"/>
      <c r="T13" s="43"/>
      <c r="U13" s="43"/>
    </row>
    <row r="14" spans="1:21" s="11" customFormat="1" x14ac:dyDescent="0.25">
      <c r="A14" s="51" t="s">
        <v>449</v>
      </c>
      <c r="B14" s="52">
        <v>8.02</v>
      </c>
      <c r="C14" s="52">
        <v>3.07</v>
      </c>
      <c r="D14" s="52">
        <v>11.81</v>
      </c>
      <c r="E14" s="52">
        <v>3.81</v>
      </c>
      <c r="F14" s="52">
        <v>3.42</v>
      </c>
      <c r="G14" s="52">
        <v>59.57</v>
      </c>
      <c r="H14" s="52">
        <v>23.24</v>
      </c>
      <c r="I14" s="52">
        <v>4.79</v>
      </c>
      <c r="J14" s="52">
        <v>0.21</v>
      </c>
      <c r="K14" s="52">
        <v>353.01</v>
      </c>
      <c r="L14" s="52">
        <v>25.8</v>
      </c>
      <c r="M14" s="52">
        <v>102.43</v>
      </c>
      <c r="N14" s="52">
        <v>55.4</v>
      </c>
      <c r="O14" s="52">
        <v>0</v>
      </c>
      <c r="P14" s="52">
        <v>0.55000000000000004</v>
      </c>
      <c r="Q14" s="52">
        <v>9.57</v>
      </c>
      <c r="R14" s="43"/>
      <c r="S14" s="43"/>
      <c r="T14" s="43"/>
      <c r="U14" s="43"/>
    </row>
    <row r="15" spans="1:21" s="11" customFormat="1" x14ac:dyDescent="0.25">
      <c r="A15" s="51" t="s">
        <v>450</v>
      </c>
      <c r="B15" s="52">
        <v>8.0299999999999994</v>
      </c>
      <c r="C15" s="52">
        <v>3.09</v>
      </c>
      <c r="D15" s="52">
        <v>11.83</v>
      </c>
      <c r="E15" s="52">
        <v>5.57</v>
      </c>
      <c r="F15" s="52">
        <v>3.5</v>
      </c>
      <c r="G15" s="52">
        <v>58.96</v>
      </c>
      <c r="H15" s="52">
        <v>30.53</v>
      </c>
      <c r="I15" s="52">
        <v>3.96</v>
      </c>
      <c r="J15" s="52">
        <v>0.25</v>
      </c>
      <c r="K15" s="52">
        <v>345.44</v>
      </c>
      <c r="L15" s="52">
        <v>26.45</v>
      </c>
      <c r="M15" s="52">
        <v>102.35</v>
      </c>
      <c r="N15" s="52">
        <v>165.8</v>
      </c>
      <c r="O15" s="52">
        <v>0</v>
      </c>
      <c r="P15" s="52">
        <v>0.5</v>
      </c>
      <c r="Q15" s="52">
        <v>9.51</v>
      </c>
      <c r="R15" s="43"/>
      <c r="S15" s="43"/>
      <c r="T15" s="43"/>
      <c r="U15" s="43"/>
    </row>
    <row r="16" spans="1:21" s="11" customFormat="1" x14ac:dyDescent="0.25">
      <c r="A16" s="51" t="s">
        <v>451</v>
      </c>
      <c r="B16" s="52">
        <v>8.01</v>
      </c>
      <c r="C16" s="52">
        <v>3.08</v>
      </c>
      <c r="D16" s="52">
        <v>11.79</v>
      </c>
      <c r="E16" s="52">
        <v>5.47</v>
      </c>
      <c r="F16" s="52">
        <v>4.42</v>
      </c>
      <c r="G16" s="52">
        <v>60.36</v>
      </c>
      <c r="H16" s="52">
        <v>33.119999999999997</v>
      </c>
      <c r="I16" s="52">
        <v>3.32</v>
      </c>
      <c r="J16" s="52">
        <v>0.3</v>
      </c>
      <c r="K16" s="52">
        <v>358.41</v>
      </c>
      <c r="L16" s="52">
        <v>26.77</v>
      </c>
      <c r="M16" s="52">
        <v>102.27</v>
      </c>
      <c r="N16" s="52">
        <v>193.2</v>
      </c>
      <c r="O16" s="52">
        <v>0</v>
      </c>
      <c r="P16" s="52">
        <v>0.45</v>
      </c>
      <c r="Q16" s="52">
        <v>9.44</v>
      </c>
      <c r="R16" s="43"/>
      <c r="S16" s="43"/>
      <c r="T16" s="43"/>
      <c r="U16" s="43"/>
    </row>
    <row r="17" spans="1:21" s="11" customFormat="1" x14ac:dyDescent="0.25">
      <c r="A17" s="51" t="s">
        <v>452</v>
      </c>
      <c r="B17" s="52">
        <v>7.96</v>
      </c>
      <c r="C17" s="52">
        <v>3.02</v>
      </c>
      <c r="D17" s="52">
        <v>11.73</v>
      </c>
      <c r="E17" s="52">
        <v>5.55</v>
      </c>
      <c r="F17" s="52">
        <v>4.5999999999999996</v>
      </c>
      <c r="G17" s="52">
        <v>58.81</v>
      </c>
      <c r="H17" s="52">
        <v>17.03</v>
      </c>
      <c r="I17" s="52">
        <v>2.31</v>
      </c>
      <c r="J17" s="52">
        <v>0.3</v>
      </c>
      <c r="K17" s="52">
        <v>355.63</v>
      </c>
      <c r="L17" s="52">
        <v>28.69</v>
      </c>
      <c r="M17" s="52">
        <v>102.23</v>
      </c>
      <c r="N17" s="52">
        <v>467.7</v>
      </c>
      <c r="O17" s="52">
        <v>0</v>
      </c>
      <c r="P17" s="52">
        <v>0.41</v>
      </c>
      <c r="Q17" s="52">
        <v>9.3800000000000008</v>
      </c>
      <c r="R17" s="43"/>
      <c r="S17" s="43"/>
      <c r="T17" s="43"/>
      <c r="U17" s="43"/>
    </row>
    <row r="18" spans="1:21" s="11" customFormat="1" x14ac:dyDescent="0.25">
      <c r="A18" s="51" t="s">
        <v>453</v>
      </c>
      <c r="B18" s="52">
        <v>8</v>
      </c>
      <c r="C18" s="52">
        <v>3.13</v>
      </c>
      <c r="D18" s="52">
        <v>11.82</v>
      </c>
      <c r="E18" s="52">
        <v>5.24</v>
      </c>
      <c r="F18" s="52">
        <v>5.18</v>
      </c>
      <c r="G18" s="52">
        <v>60.4</v>
      </c>
      <c r="H18" s="52">
        <v>22.95</v>
      </c>
      <c r="I18" s="52">
        <v>1.94</v>
      </c>
      <c r="J18" s="52">
        <v>0.36</v>
      </c>
      <c r="K18" s="52">
        <v>355.79</v>
      </c>
      <c r="L18" s="52">
        <v>30.07</v>
      </c>
      <c r="M18" s="52">
        <v>92.8</v>
      </c>
      <c r="N18" s="52">
        <v>584.79999999999995</v>
      </c>
      <c r="O18" s="52">
        <v>0</v>
      </c>
      <c r="P18" s="52">
        <v>0.38</v>
      </c>
      <c r="Q18" s="52">
        <v>9.2799999999999994</v>
      </c>
      <c r="R18" s="43"/>
      <c r="S18" s="43"/>
      <c r="T18" s="43"/>
      <c r="U18" s="43"/>
    </row>
    <row r="19" spans="1:21" s="11" customFormat="1" x14ac:dyDescent="0.25">
      <c r="A19" s="51" t="s">
        <v>454</v>
      </c>
      <c r="B19" s="52">
        <v>7.97</v>
      </c>
      <c r="C19" s="52">
        <v>3.08</v>
      </c>
      <c r="D19" s="52">
        <v>11.77</v>
      </c>
      <c r="E19" s="52">
        <v>5.27</v>
      </c>
      <c r="F19" s="52">
        <v>6.5</v>
      </c>
      <c r="G19" s="52">
        <v>60.82</v>
      </c>
      <c r="H19" s="52">
        <v>45.19</v>
      </c>
      <c r="I19" s="52">
        <v>1.82</v>
      </c>
      <c r="J19" s="52">
        <v>0.37</v>
      </c>
      <c r="K19" s="52">
        <v>346.14</v>
      </c>
      <c r="L19" s="52">
        <v>30.22</v>
      </c>
      <c r="M19" s="52">
        <v>93.68</v>
      </c>
      <c r="N19" s="52">
        <v>577.20000000000005</v>
      </c>
      <c r="O19" s="52">
        <v>0</v>
      </c>
      <c r="P19" s="52">
        <v>0.38</v>
      </c>
      <c r="Q19" s="52">
        <v>9.2200000000000006</v>
      </c>
      <c r="R19" s="43"/>
      <c r="S19" s="43"/>
      <c r="T19" s="43"/>
      <c r="U19" s="43"/>
    </row>
    <row r="20" spans="1:21" s="11" customFormat="1" x14ac:dyDescent="0.25">
      <c r="A20" s="51" t="s">
        <v>455</v>
      </c>
      <c r="B20" s="52">
        <v>7.96</v>
      </c>
      <c r="C20" s="52">
        <v>3.05</v>
      </c>
      <c r="D20" s="52">
        <v>11.74</v>
      </c>
      <c r="E20" s="52">
        <v>4.3</v>
      </c>
      <c r="F20" s="52">
        <v>4.7300000000000004</v>
      </c>
      <c r="G20" s="52">
        <v>43.78</v>
      </c>
      <c r="H20" s="52">
        <v>54.81</v>
      </c>
      <c r="I20" s="52">
        <v>1.89</v>
      </c>
      <c r="J20" s="52">
        <v>0.32</v>
      </c>
      <c r="K20" s="52">
        <v>335.9</v>
      </c>
      <c r="L20" s="52">
        <v>31.87</v>
      </c>
      <c r="M20" s="52">
        <v>84.6</v>
      </c>
      <c r="N20" s="52">
        <v>891.2</v>
      </c>
      <c r="O20" s="52">
        <v>0</v>
      </c>
      <c r="P20" s="52">
        <v>0.53</v>
      </c>
      <c r="Q20" s="52">
        <v>9.32</v>
      </c>
      <c r="R20" s="43"/>
      <c r="S20" s="43"/>
      <c r="T20" s="43"/>
      <c r="U20" s="43"/>
    </row>
    <row r="21" spans="1:21" s="11" customFormat="1" x14ac:dyDescent="0.25">
      <c r="A21" s="51" t="s">
        <v>456</v>
      </c>
      <c r="B21" s="52">
        <v>7.93</v>
      </c>
      <c r="C21" s="52">
        <v>3.07</v>
      </c>
      <c r="D21" s="52">
        <v>11.73</v>
      </c>
      <c r="E21" s="52">
        <v>4.1100000000000003</v>
      </c>
      <c r="F21" s="52">
        <v>4.3899999999999997</v>
      </c>
      <c r="G21" s="52">
        <v>77.22</v>
      </c>
      <c r="H21" s="52">
        <v>35.35</v>
      </c>
      <c r="I21" s="52">
        <v>2.86</v>
      </c>
      <c r="J21" s="52">
        <v>0.45</v>
      </c>
      <c r="K21" s="52">
        <v>346.27</v>
      </c>
      <c r="L21" s="52">
        <v>32.81</v>
      </c>
      <c r="M21" s="52">
        <v>82.4</v>
      </c>
      <c r="N21" s="52">
        <v>896</v>
      </c>
      <c r="O21" s="52">
        <v>0</v>
      </c>
      <c r="P21" s="52">
        <v>0.61</v>
      </c>
      <c r="Q21" s="52">
        <v>9.31</v>
      </c>
      <c r="R21" s="43"/>
      <c r="S21" s="43"/>
      <c r="T21" s="43"/>
      <c r="U21" s="43"/>
    </row>
    <row r="22" spans="1:21" s="11" customFormat="1" x14ac:dyDescent="0.25">
      <c r="A22" s="51" t="s">
        <v>457</v>
      </c>
      <c r="B22" s="52">
        <v>7.92</v>
      </c>
      <c r="C22" s="52">
        <v>3.04</v>
      </c>
      <c r="D22" s="52">
        <v>11.71</v>
      </c>
      <c r="E22" s="52">
        <v>5.82</v>
      </c>
      <c r="F22" s="52">
        <v>8.56</v>
      </c>
      <c r="G22" s="52">
        <v>90.8</v>
      </c>
      <c r="H22" s="52">
        <v>37.39</v>
      </c>
      <c r="I22" s="52">
        <v>3.28</v>
      </c>
      <c r="J22" s="52">
        <v>0.3</v>
      </c>
      <c r="K22" s="52">
        <v>328.91</v>
      </c>
      <c r="L22" s="52">
        <v>32.29</v>
      </c>
      <c r="M22" s="52">
        <v>81.89</v>
      </c>
      <c r="N22" s="52">
        <v>808.9</v>
      </c>
      <c r="O22" s="52">
        <v>0</v>
      </c>
      <c r="P22" s="52">
        <v>0.66</v>
      </c>
      <c r="Q22" s="52">
        <v>9.41</v>
      </c>
      <c r="R22" s="43"/>
      <c r="S22" s="43"/>
      <c r="T22" s="43"/>
      <c r="U22" s="43"/>
    </row>
    <row r="23" spans="1:21" s="11" customFormat="1" x14ac:dyDescent="0.25">
      <c r="A23" s="51" t="s">
        <v>458</v>
      </c>
      <c r="B23" s="52">
        <v>7.98</v>
      </c>
      <c r="C23" s="52">
        <v>3.12</v>
      </c>
      <c r="D23" s="52">
        <v>11.81</v>
      </c>
      <c r="E23" s="52">
        <v>4.1500000000000004</v>
      </c>
      <c r="F23" s="52">
        <v>4.66</v>
      </c>
      <c r="G23" s="52">
        <v>95.95</v>
      </c>
      <c r="H23" s="52">
        <v>40.049999999999997</v>
      </c>
      <c r="I23" s="52">
        <v>3.41</v>
      </c>
      <c r="J23" s="52">
        <v>0.28999999999999998</v>
      </c>
      <c r="K23" s="52">
        <v>346.87</v>
      </c>
      <c r="L23" s="52">
        <v>31.64</v>
      </c>
      <c r="M23" s="52">
        <v>84.01</v>
      </c>
      <c r="N23" s="52">
        <v>359.9</v>
      </c>
      <c r="O23" s="52">
        <v>0</v>
      </c>
      <c r="P23" s="52">
        <v>0.62</v>
      </c>
      <c r="Q23" s="52">
        <v>9.2100000000000009</v>
      </c>
      <c r="R23" s="43"/>
      <c r="S23" s="43"/>
      <c r="T23" s="43"/>
      <c r="U23" s="43"/>
    </row>
    <row r="24" spans="1:21" s="11" customFormat="1" x14ac:dyDescent="0.25">
      <c r="A24" s="51" t="s">
        <v>459</v>
      </c>
      <c r="B24" s="52">
        <v>7.97</v>
      </c>
      <c r="C24" s="52">
        <v>3.08</v>
      </c>
      <c r="D24" s="52">
        <v>11.77</v>
      </c>
      <c r="E24" s="52">
        <v>4.46</v>
      </c>
      <c r="F24" s="52">
        <v>6.28</v>
      </c>
      <c r="G24" s="52">
        <v>108.08</v>
      </c>
      <c r="H24" s="52">
        <v>32.78</v>
      </c>
      <c r="I24" s="52">
        <v>3.2</v>
      </c>
      <c r="J24" s="52">
        <v>0.35</v>
      </c>
      <c r="K24" s="52">
        <v>348.81</v>
      </c>
      <c r="L24" s="52">
        <v>31.6</v>
      </c>
      <c r="M24" s="52">
        <v>83.03</v>
      </c>
      <c r="N24" s="52">
        <v>251.4</v>
      </c>
      <c r="O24" s="52">
        <v>0</v>
      </c>
      <c r="P24" s="52">
        <v>0.56000000000000005</v>
      </c>
      <c r="Q24" s="52">
        <v>9.36</v>
      </c>
      <c r="R24" s="43"/>
      <c r="S24" s="43"/>
      <c r="T24" s="43"/>
      <c r="U24" s="43"/>
    </row>
    <row r="25" spans="1:21" s="11" customFormat="1" x14ac:dyDescent="0.25">
      <c r="A25" s="51" t="s">
        <v>460</v>
      </c>
      <c r="B25" s="52">
        <v>7.93</v>
      </c>
      <c r="C25" s="52">
        <v>3.01</v>
      </c>
      <c r="D25" s="52">
        <v>11.71</v>
      </c>
      <c r="E25" s="52">
        <v>4.97</v>
      </c>
      <c r="F25" s="52">
        <v>7.57</v>
      </c>
      <c r="G25" s="52">
        <v>67.2</v>
      </c>
      <c r="H25" s="52">
        <v>19.13</v>
      </c>
      <c r="I25" s="52">
        <v>2.5499999999999998</v>
      </c>
      <c r="J25" s="52">
        <v>0.32</v>
      </c>
      <c r="K25" s="52">
        <v>349.55</v>
      </c>
      <c r="L25" s="52">
        <v>101.5</v>
      </c>
      <c r="M25" s="52">
        <v>87.19</v>
      </c>
      <c r="N25" s="52">
        <v>246.2</v>
      </c>
      <c r="O25" s="52">
        <v>0</v>
      </c>
      <c r="P25" s="52">
        <v>0.44</v>
      </c>
      <c r="Q25" s="52">
        <v>9.3800000000000008</v>
      </c>
      <c r="R25" s="43"/>
      <c r="S25" s="43"/>
      <c r="T25" s="43"/>
      <c r="U25" s="43"/>
    </row>
    <row r="26" spans="1:21" s="11" customFormat="1" x14ac:dyDescent="0.25">
      <c r="A26" s="51" t="s">
        <v>461</v>
      </c>
      <c r="B26" s="52">
        <v>7.91</v>
      </c>
      <c r="C26" s="52">
        <v>3.06</v>
      </c>
      <c r="D26" s="52">
        <v>11.71</v>
      </c>
      <c r="E26" s="52">
        <v>4.6100000000000003</v>
      </c>
      <c r="F26" s="52">
        <v>8.77</v>
      </c>
      <c r="G26" s="52">
        <v>81.11</v>
      </c>
      <c r="H26" s="52">
        <v>31.57</v>
      </c>
      <c r="I26" s="52">
        <v>1.97</v>
      </c>
      <c r="J26" s="52">
        <v>0.27</v>
      </c>
      <c r="K26" s="52">
        <v>355.51</v>
      </c>
      <c r="L26" s="52">
        <v>30.58</v>
      </c>
      <c r="M26" s="52">
        <v>92.67</v>
      </c>
      <c r="N26" s="52">
        <v>141.9</v>
      </c>
      <c r="O26" s="52">
        <v>0</v>
      </c>
      <c r="P26" s="52">
        <v>0.48</v>
      </c>
      <c r="Q26" s="52">
        <v>9.2799999999999994</v>
      </c>
      <c r="R26" s="43"/>
      <c r="S26" s="43"/>
      <c r="T26" s="43"/>
      <c r="U26" s="43"/>
    </row>
    <row r="27" spans="1:21" s="11" customFormat="1" x14ac:dyDescent="0.25">
      <c r="A27" s="51" t="s">
        <v>462</v>
      </c>
      <c r="B27" s="52">
        <v>7.95</v>
      </c>
      <c r="C27" s="52">
        <v>3.18</v>
      </c>
      <c r="D27" s="52">
        <v>11.81</v>
      </c>
      <c r="E27" s="52">
        <v>4.99</v>
      </c>
      <c r="F27" s="52">
        <v>12.19</v>
      </c>
      <c r="G27" s="52">
        <v>94.48</v>
      </c>
      <c r="H27" s="52">
        <v>35.979999999999997</v>
      </c>
      <c r="I27" s="52">
        <v>12.54</v>
      </c>
      <c r="J27" s="52">
        <v>0.21</v>
      </c>
      <c r="K27" s="52">
        <v>358.8</v>
      </c>
      <c r="L27" s="52">
        <v>29.67</v>
      </c>
      <c r="M27" s="52">
        <v>96.96</v>
      </c>
      <c r="N27" s="52">
        <v>87.1</v>
      </c>
      <c r="O27" s="52">
        <v>0</v>
      </c>
      <c r="P27" s="52">
        <v>0.67</v>
      </c>
      <c r="Q27" s="52">
        <v>9.44</v>
      </c>
      <c r="R27" s="43"/>
      <c r="S27" s="43"/>
      <c r="T27" s="43"/>
      <c r="U27" s="43"/>
    </row>
    <row r="28" spans="1:21" s="11" customFormat="1" x14ac:dyDescent="0.25">
      <c r="A28" s="51" t="s">
        <v>463</v>
      </c>
      <c r="B28" s="52">
        <v>7.91</v>
      </c>
      <c r="C28" s="52">
        <v>3.28</v>
      </c>
      <c r="D28" s="52">
        <v>11.83</v>
      </c>
      <c r="E28" s="52">
        <v>4.82</v>
      </c>
      <c r="F28" s="52">
        <v>12.27</v>
      </c>
      <c r="G28" s="52">
        <v>100.21</v>
      </c>
      <c r="H28" s="52">
        <v>37.869999999999997</v>
      </c>
      <c r="I28" s="52">
        <v>2.96</v>
      </c>
      <c r="J28" s="52">
        <v>0.18</v>
      </c>
      <c r="K28" s="52">
        <v>358.46</v>
      </c>
      <c r="L28" s="52">
        <v>29.01</v>
      </c>
      <c r="M28" s="52">
        <v>99.81</v>
      </c>
      <c r="N28" s="52">
        <v>72.900000000000006</v>
      </c>
      <c r="O28" s="52">
        <v>0</v>
      </c>
      <c r="P28" s="52">
        <v>0.83</v>
      </c>
      <c r="Q28" s="52">
        <v>9.4</v>
      </c>
      <c r="R28" s="43"/>
      <c r="S28" s="43"/>
      <c r="T28" s="43"/>
      <c r="U28" s="43"/>
    </row>
    <row r="29" spans="1:21" s="11" customFormat="1" x14ac:dyDescent="0.25">
      <c r="A29" s="51" t="s">
        <v>464</v>
      </c>
      <c r="B29" s="52">
        <v>7.95</v>
      </c>
      <c r="C29" s="52">
        <v>3.09</v>
      </c>
      <c r="D29" s="52">
        <v>11.77</v>
      </c>
      <c r="E29" s="52">
        <v>4.0199999999999996</v>
      </c>
      <c r="F29" s="52">
        <v>4.66</v>
      </c>
      <c r="G29" s="52">
        <v>109.74</v>
      </c>
      <c r="H29" s="52">
        <v>47.49</v>
      </c>
      <c r="I29" s="52">
        <v>2.73</v>
      </c>
      <c r="J29" s="52">
        <v>0.15</v>
      </c>
      <c r="K29" s="52">
        <v>337.38</v>
      </c>
      <c r="L29" s="52">
        <v>28.64</v>
      </c>
      <c r="M29" s="52">
        <v>102.33</v>
      </c>
      <c r="N29" s="52">
        <v>73.3</v>
      </c>
      <c r="O29" s="52">
        <v>0</v>
      </c>
      <c r="P29" s="52">
        <v>0.69</v>
      </c>
      <c r="Q29" s="52">
        <v>9.27</v>
      </c>
      <c r="R29" s="43"/>
      <c r="S29" s="43"/>
      <c r="T29" s="43"/>
      <c r="U29" s="43"/>
    </row>
    <row r="30" spans="1:21" s="11" customFormat="1" x14ac:dyDescent="0.25">
      <c r="A30" s="51" t="s">
        <v>465</v>
      </c>
      <c r="B30" s="52">
        <v>7.95</v>
      </c>
      <c r="C30" s="52">
        <v>3.06</v>
      </c>
      <c r="D30" s="52">
        <v>11.75</v>
      </c>
      <c r="E30" s="52">
        <v>4.3899999999999997</v>
      </c>
      <c r="F30" s="52">
        <v>4.78</v>
      </c>
      <c r="G30" s="52">
        <v>118.61</v>
      </c>
      <c r="H30" s="52">
        <v>56.2</v>
      </c>
      <c r="I30" s="52">
        <v>3.14</v>
      </c>
      <c r="J30" s="52">
        <v>0.21</v>
      </c>
      <c r="K30" s="52">
        <v>359.98</v>
      </c>
      <c r="L30" s="52">
        <v>28.19</v>
      </c>
      <c r="M30" s="52">
        <v>102.56</v>
      </c>
      <c r="N30" s="52">
        <v>73.400000000000006</v>
      </c>
      <c r="O30" s="52">
        <v>0</v>
      </c>
      <c r="P30" s="52">
        <v>0.69</v>
      </c>
      <c r="Q30" s="52">
        <v>9.43</v>
      </c>
      <c r="R30" s="43"/>
      <c r="S30" s="43"/>
      <c r="T30" s="43"/>
      <c r="U30" s="43"/>
    </row>
    <row r="31" spans="1:21" s="11" customFormat="1" x14ac:dyDescent="0.25">
      <c r="A31" s="51" t="s">
        <v>466</v>
      </c>
      <c r="B31" s="52">
        <v>7.93</v>
      </c>
      <c r="C31" s="52">
        <v>3.02</v>
      </c>
      <c r="D31" s="52">
        <v>11.71</v>
      </c>
      <c r="E31" s="52">
        <v>4.13</v>
      </c>
      <c r="F31" s="52">
        <v>4.42</v>
      </c>
      <c r="G31" s="52">
        <v>116.67</v>
      </c>
      <c r="H31" s="52">
        <v>39.39</v>
      </c>
      <c r="I31" s="52">
        <v>3.19</v>
      </c>
      <c r="J31" s="52">
        <v>0.16</v>
      </c>
      <c r="K31" s="52">
        <v>348.73</v>
      </c>
      <c r="L31" s="52">
        <v>27.75</v>
      </c>
      <c r="M31" s="52">
        <v>102.56</v>
      </c>
      <c r="N31" s="52">
        <v>73.5</v>
      </c>
      <c r="O31" s="52">
        <v>0</v>
      </c>
      <c r="P31" s="52">
        <v>0.67</v>
      </c>
      <c r="Q31" s="52">
        <v>9.36</v>
      </c>
      <c r="R31" s="43"/>
      <c r="S31" s="43"/>
      <c r="T31" s="43"/>
      <c r="U31" s="43"/>
    </row>
    <row r="32" spans="1:21" s="11" customFormat="1" x14ac:dyDescent="0.25">
      <c r="A32" s="51" t="s">
        <v>467</v>
      </c>
      <c r="B32" s="52">
        <v>7.95</v>
      </c>
      <c r="C32" s="52">
        <v>3.03</v>
      </c>
      <c r="D32" s="52">
        <v>11.73</v>
      </c>
      <c r="E32" s="52">
        <v>4.3600000000000003</v>
      </c>
      <c r="F32" s="52">
        <v>4.3099999999999996</v>
      </c>
      <c r="G32" s="52">
        <v>117.63</v>
      </c>
      <c r="H32" s="52">
        <v>31.76</v>
      </c>
      <c r="I32" s="52">
        <v>3.22</v>
      </c>
      <c r="J32" s="52">
        <v>0.21</v>
      </c>
      <c r="K32" s="52">
        <v>357.27</v>
      </c>
      <c r="L32" s="52">
        <v>27.47</v>
      </c>
      <c r="M32" s="52">
        <v>102.46</v>
      </c>
      <c r="N32" s="52">
        <v>73.900000000000006</v>
      </c>
      <c r="O32" s="52">
        <v>0</v>
      </c>
      <c r="P32" s="52">
        <v>0.64</v>
      </c>
      <c r="Q32" s="52">
        <v>9.39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7.91</v>
      </c>
      <c r="C34" s="28">
        <f t="shared" si="0"/>
        <v>3.01</v>
      </c>
      <c r="D34" s="28">
        <f t="shared" si="0"/>
        <v>11.71</v>
      </c>
      <c r="E34" s="28">
        <f t="shared" si="0"/>
        <v>3.81</v>
      </c>
      <c r="F34" s="28">
        <f t="shared" si="0"/>
        <v>3.42</v>
      </c>
      <c r="G34" s="28">
        <f t="shared" si="0"/>
        <v>43.78</v>
      </c>
      <c r="H34" s="28">
        <f t="shared" si="0"/>
        <v>17.03</v>
      </c>
      <c r="I34" s="28">
        <f t="shared" si="0"/>
        <v>1.82</v>
      </c>
      <c r="J34" s="28">
        <f t="shared" si="0"/>
        <v>0.15</v>
      </c>
      <c r="K34" s="28">
        <f t="shared" si="0"/>
        <v>323.18</v>
      </c>
      <c r="L34" s="28">
        <f t="shared" si="0"/>
        <v>25.65</v>
      </c>
      <c r="M34" s="28">
        <f t="shared" si="0"/>
        <v>81.89</v>
      </c>
      <c r="N34" s="28">
        <f t="shared" si="0"/>
        <v>50.7</v>
      </c>
      <c r="O34" s="28">
        <f t="shared" si="0"/>
        <v>0</v>
      </c>
      <c r="P34" s="28">
        <f t="shared" si="0"/>
        <v>0.38</v>
      </c>
      <c r="Q34" s="28">
        <f t="shared" si="0"/>
        <v>9.2100000000000009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8.7100000000000009</v>
      </c>
      <c r="C35" s="29">
        <f t="shared" si="1"/>
        <v>4.03</v>
      </c>
      <c r="D35" s="29">
        <f t="shared" si="1"/>
        <v>12.87</v>
      </c>
      <c r="E35" s="29">
        <f t="shared" si="1"/>
        <v>5.82</v>
      </c>
      <c r="F35" s="29">
        <f t="shared" si="1"/>
        <v>12.27</v>
      </c>
      <c r="G35" s="29">
        <f t="shared" si="1"/>
        <v>118.82</v>
      </c>
      <c r="H35" s="29">
        <f t="shared" si="1"/>
        <v>56.2</v>
      </c>
      <c r="I35" s="29">
        <f t="shared" si="1"/>
        <v>12.54</v>
      </c>
      <c r="J35" s="29">
        <f t="shared" si="1"/>
        <v>0.45</v>
      </c>
      <c r="K35" s="29">
        <f t="shared" si="1"/>
        <v>359.98</v>
      </c>
      <c r="L35" s="29">
        <f t="shared" si="1"/>
        <v>101.5</v>
      </c>
      <c r="M35" s="29">
        <f t="shared" si="1"/>
        <v>103.19</v>
      </c>
      <c r="N35" s="29">
        <f t="shared" si="1"/>
        <v>896</v>
      </c>
      <c r="O35" s="29">
        <f t="shared" si="1"/>
        <v>0</v>
      </c>
      <c r="P35" s="29">
        <f t="shared" si="1"/>
        <v>0.93</v>
      </c>
      <c r="Q35" s="29">
        <f t="shared" si="1"/>
        <v>10.220000000000001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8.0116666666666649</v>
      </c>
      <c r="C36" s="28">
        <f t="shared" si="2"/>
        <v>3.1316666666666664</v>
      </c>
      <c r="D36" s="28">
        <f t="shared" si="2"/>
        <v>11.833750000000002</v>
      </c>
      <c r="E36" s="28">
        <f t="shared" si="2"/>
        <v>4.6574999999999998</v>
      </c>
      <c r="F36" s="28">
        <f t="shared" si="2"/>
        <v>5.7045833333333329</v>
      </c>
      <c r="G36" s="28">
        <f t="shared" si="2"/>
        <v>83.427916666666661</v>
      </c>
      <c r="H36" s="28">
        <f t="shared" si="2"/>
        <v>32.830416666666672</v>
      </c>
      <c r="I36" s="28">
        <f t="shared" si="2"/>
        <v>3.9324999999999992</v>
      </c>
      <c r="J36" s="28">
        <f t="shared" si="2"/>
        <v>0.25458333333333333</v>
      </c>
      <c r="K36" s="28">
        <f t="shared" si="2"/>
        <v>347.15916666666664</v>
      </c>
      <c r="L36" s="28">
        <f t="shared" si="2"/>
        <v>31.70708333333334</v>
      </c>
      <c r="M36" s="28">
        <f t="shared" si="2"/>
        <v>96.385833333333338</v>
      </c>
      <c r="N36" s="28">
        <f t="shared" si="2"/>
        <v>264.50833333333327</v>
      </c>
      <c r="O36" s="28">
        <f t="shared" si="2"/>
        <v>0</v>
      </c>
      <c r="P36" s="28">
        <f t="shared" si="2"/>
        <v>0.60791666666666666</v>
      </c>
      <c r="Q36" s="28">
        <f t="shared" si="2"/>
        <v>9.49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0.15977339024970369</v>
      </c>
      <c r="C37" s="28">
        <f t="shared" ref="C37:Q37" si="3">STDEV(C9:C32)</f>
        <v>0.20105518746303741</v>
      </c>
      <c r="D37" s="28">
        <f t="shared" si="3"/>
        <v>0.2307042620363548</v>
      </c>
      <c r="E37" s="28">
        <f t="shared" si="3"/>
        <v>0.57218308106835247</v>
      </c>
      <c r="F37" s="28">
        <f t="shared" si="3"/>
        <v>2.4623265406427364</v>
      </c>
      <c r="G37" s="28">
        <f t="shared" si="3"/>
        <v>23.363884798173409</v>
      </c>
      <c r="H37" s="28">
        <f t="shared" si="3"/>
        <v>11.453015353539252</v>
      </c>
      <c r="I37" s="28">
        <f t="shared" si="3"/>
        <v>2.3143902380352905</v>
      </c>
      <c r="J37" s="28">
        <f t="shared" si="3"/>
        <v>8.1559749592695491E-2</v>
      </c>
      <c r="K37" s="28">
        <f t="shared" si="3"/>
        <v>10.613866613668819</v>
      </c>
      <c r="L37" s="28">
        <f t="shared" si="3"/>
        <v>15.044284334031579</v>
      </c>
      <c r="M37" s="28">
        <f t="shared" si="3"/>
        <v>8.1169285884591176</v>
      </c>
      <c r="N37" s="28">
        <f t="shared" si="3"/>
        <v>283.9901221746166</v>
      </c>
      <c r="O37" s="28">
        <f t="shared" si="3"/>
        <v>0</v>
      </c>
      <c r="P37" s="28">
        <f t="shared" si="3"/>
        <v>0.14619757824279458</v>
      </c>
      <c r="Q37" s="28">
        <f t="shared" si="3"/>
        <v>0.27362303488082168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468</v>
      </c>
      <c r="B9" s="52">
        <v>7.95</v>
      </c>
      <c r="C9" s="52">
        <v>2.94</v>
      </c>
      <c r="D9" s="52">
        <v>11.68</v>
      </c>
      <c r="E9" s="52">
        <v>4.18</v>
      </c>
      <c r="F9" s="52">
        <v>3.74</v>
      </c>
      <c r="G9" s="52">
        <v>109.95</v>
      </c>
      <c r="H9" s="52">
        <v>34.799999999999997</v>
      </c>
      <c r="I9" s="52">
        <v>3.03</v>
      </c>
      <c r="J9" s="52">
        <v>0.19</v>
      </c>
      <c r="K9" s="52">
        <v>344.97</v>
      </c>
      <c r="L9" s="52">
        <v>27.46</v>
      </c>
      <c r="M9" s="52">
        <v>102.42</v>
      </c>
      <c r="N9" s="52">
        <v>74.099999999999994</v>
      </c>
      <c r="O9" s="52">
        <v>0</v>
      </c>
      <c r="P9" s="52">
        <v>0.56000000000000005</v>
      </c>
      <c r="Q9" s="52">
        <v>9.35</v>
      </c>
      <c r="R9" s="43"/>
      <c r="S9" s="43"/>
      <c r="T9" s="43"/>
      <c r="U9" s="43"/>
    </row>
    <row r="10" spans="1:21" s="11" customFormat="1" x14ac:dyDescent="0.25">
      <c r="A10" s="51" t="s">
        <v>469</v>
      </c>
      <c r="B10" s="52">
        <v>7.97</v>
      </c>
      <c r="C10" s="52">
        <v>2.97</v>
      </c>
      <c r="D10" s="52">
        <v>11.71</v>
      </c>
      <c r="E10" s="52">
        <v>4.37</v>
      </c>
      <c r="F10" s="52">
        <v>4.3899999999999997</v>
      </c>
      <c r="G10" s="52">
        <v>105.39</v>
      </c>
      <c r="H10" s="52">
        <v>35.51</v>
      </c>
      <c r="I10" s="52">
        <v>3.14</v>
      </c>
      <c r="J10" s="52">
        <v>0.23</v>
      </c>
      <c r="K10" s="52">
        <v>352.55</v>
      </c>
      <c r="L10" s="52">
        <v>27.38</v>
      </c>
      <c r="M10" s="52">
        <v>102.52</v>
      </c>
      <c r="N10" s="52">
        <v>74.5</v>
      </c>
      <c r="O10" s="52">
        <v>0</v>
      </c>
      <c r="P10" s="52">
        <v>0.49</v>
      </c>
      <c r="Q10" s="52">
        <v>9.36</v>
      </c>
      <c r="R10" s="43"/>
      <c r="S10" s="43"/>
      <c r="T10" s="43"/>
      <c r="U10" s="43"/>
    </row>
    <row r="11" spans="1:21" s="11" customFormat="1" x14ac:dyDescent="0.25">
      <c r="A11" s="51" t="s">
        <v>470</v>
      </c>
      <c r="B11" s="52">
        <v>7.93</v>
      </c>
      <c r="C11" s="52">
        <v>2.94</v>
      </c>
      <c r="D11" s="52">
        <v>11.66</v>
      </c>
      <c r="E11" s="52">
        <v>4.49</v>
      </c>
      <c r="F11" s="52">
        <v>4.97</v>
      </c>
      <c r="G11" s="52">
        <v>94.09</v>
      </c>
      <c r="H11" s="52">
        <v>41.11</v>
      </c>
      <c r="I11" s="52">
        <v>3</v>
      </c>
      <c r="J11" s="52">
        <v>0.21</v>
      </c>
      <c r="K11" s="52">
        <v>349.64</v>
      </c>
      <c r="L11" s="52">
        <v>26.95</v>
      </c>
      <c r="M11" s="52">
        <v>102.58</v>
      </c>
      <c r="N11" s="52">
        <v>75.099999999999994</v>
      </c>
      <c r="O11" s="52">
        <v>0</v>
      </c>
      <c r="P11" s="52">
        <v>0.44</v>
      </c>
      <c r="Q11" s="52">
        <v>9.31</v>
      </c>
      <c r="R11" s="43"/>
      <c r="S11" s="43"/>
      <c r="T11" s="43"/>
      <c r="U11" s="43"/>
    </row>
    <row r="12" spans="1:21" s="11" customFormat="1" x14ac:dyDescent="0.25">
      <c r="A12" s="51" t="s">
        <v>471</v>
      </c>
      <c r="B12" s="52">
        <v>7.92</v>
      </c>
      <c r="C12" s="52">
        <v>2.95</v>
      </c>
      <c r="D12" s="52">
        <v>11.66</v>
      </c>
      <c r="E12" s="52">
        <v>4.29</v>
      </c>
      <c r="F12" s="52">
        <v>4.55</v>
      </c>
      <c r="G12" s="52">
        <v>86.13</v>
      </c>
      <c r="H12" s="52">
        <v>36.840000000000003</v>
      </c>
      <c r="I12" s="52">
        <v>2.77</v>
      </c>
      <c r="J12" s="52">
        <v>0.22</v>
      </c>
      <c r="K12" s="52">
        <v>352.92</v>
      </c>
      <c r="L12" s="52">
        <v>26.88</v>
      </c>
      <c r="M12" s="52">
        <v>102.58</v>
      </c>
      <c r="N12" s="52">
        <v>75.7</v>
      </c>
      <c r="O12" s="52">
        <v>0</v>
      </c>
      <c r="P12" s="52">
        <v>0.41</v>
      </c>
      <c r="Q12" s="52">
        <v>9.2799999999999994</v>
      </c>
      <c r="R12" s="43"/>
      <c r="S12" s="43"/>
      <c r="T12" s="43"/>
      <c r="U12" s="43"/>
    </row>
    <row r="13" spans="1:21" s="11" customFormat="1" x14ac:dyDescent="0.25">
      <c r="A13" s="51" t="s">
        <v>472</v>
      </c>
      <c r="B13" s="52">
        <v>7.96</v>
      </c>
      <c r="C13" s="52">
        <v>3</v>
      </c>
      <c r="D13" s="52">
        <v>11.72</v>
      </c>
      <c r="E13" s="52">
        <v>4.33</v>
      </c>
      <c r="F13" s="52">
        <v>3.57</v>
      </c>
      <c r="G13" s="52">
        <v>86.59</v>
      </c>
      <c r="H13" s="52">
        <v>27.97</v>
      </c>
      <c r="I13" s="52">
        <v>2.6</v>
      </c>
      <c r="J13" s="52">
        <v>0.19</v>
      </c>
      <c r="K13" s="52">
        <v>350.95</v>
      </c>
      <c r="L13" s="52">
        <v>26.96</v>
      </c>
      <c r="M13" s="52">
        <v>102.46</v>
      </c>
      <c r="N13" s="52">
        <v>76.099999999999994</v>
      </c>
      <c r="O13" s="52">
        <v>0</v>
      </c>
      <c r="P13" s="52">
        <v>0.37</v>
      </c>
      <c r="Q13" s="52">
        <v>9.24</v>
      </c>
      <c r="R13" s="43"/>
      <c r="S13" s="43"/>
      <c r="T13" s="43"/>
      <c r="U13" s="43"/>
    </row>
    <row r="14" spans="1:21" s="11" customFormat="1" x14ac:dyDescent="0.25">
      <c r="A14" s="51" t="s">
        <v>473</v>
      </c>
      <c r="B14" s="52">
        <v>7.96</v>
      </c>
      <c r="C14" s="52">
        <v>3.03</v>
      </c>
      <c r="D14" s="52">
        <v>11.74</v>
      </c>
      <c r="E14" s="52">
        <v>4.3499999999999996</v>
      </c>
      <c r="F14" s="52">
        <v>4.34</v>
      </c>
      <c r="G14" s="52">
        <v>78.760000000000005</v>
      </c>
      <c r="H14" s="52">
        <v>32.369999999999997</v>
      </c>
      <c r="I14" s="52">
        <v>2.58</v>
      </c>
      <c r="J14" s="52">
        <v>0.77</v>
      </c>
      <c r="K14" s="52">
        <v>333.42</v>
      </c>
      <c r="L14" s="52">
        <v>26.92</v>
      </c>
      <c r="M14" s="52">
        <v>102.35</v>
      </c>
      <c r="N14" s="52">
        <v>81.7</v>
      </c>
      <c r="O14" s="52">
        <v>2.6</v>
      </c>
      <c r="P14" s="52">
        <v>0.4</v>
      </c>
      <c r="Q14" s="52">
        <v>9.27</v>
      </c>
      <c r="R14" s="43"/>
      <c r="S14" s="43"/>
      <c r="T14" s="43"/>
      <c r="U14" s="43"/>
    </row>
    <row r="15" spans="1:21" s="11" customFormat="1" x14ac:dyDescent="0.25">
      <c r="A15" s="51" t="s">
        <v>474</v>
      </c>
      <c r="B15" s="52">
        <v>7.94</v>
      </c>
      <c r="C15" s="52">
        <v>2.98</v>
      </c>
      <c r="D15" s="52">
        <v>11.7</v>
      </c>
      <c r="E15" s="52">
        <v>4.67</v>
      </c>
      <c r="F15" s="52">
        <v>4.28</v>
      </c>
      <c r="G15" s="52">
        <v>76.73</v>
      </c>
      <c r="H15" s="52">
        <v>36.92</v>
      </c>
      <c r="I15" s="52">
        <v>2.82</v>
      </c>
      <c r="J15" s="52">
        <v>1</v>
      </c>
      <c r="K15" s="52">
        <v>325.12</v>
      </c>
      <c r="L15" s="52">
        <v>25.95</v>
      </c>
      <c r="M15" s="52">
        <v>102.39</v>
      </c>
      <c r="N15" s="52">
        <v>159.6</v>
      </c>
      <c r="O15" s="52">
        <v>0.2</v>
      </c>
      <c r="P15" s="52">
        <v>0.42</v>
      </c>
      <c r="Q15" s="52">
        <v>9.3000000000000007</v>
      </c>
      <c r="R15" s="43"/>
      <c r="S15" s="43"/>
      <c r="T15" s="43"/>
      <c r="U15" s="43"/>
    </row>
    <row r="16" spans="1:21" s="11" customFormat="1" x14ac:dyDescent="0.25">
      <c r="A16" s="51" t="s">
        <v>475</v>
      </c>
      <c r="B16" s="52">
        <v>7.94</v>
      </c>
      <c r="C16" s="52">
        <v>2.95</v>
      </c>
      <c r="D16" s="52">
        <v>11.68</v>
      </c>
      <c r="E16" s="52">
        <v>5.41</v>
      </c>
      <c r="F16" s="52">
        <v>4.84</v>
      </c>
      <c r="G16" s="52">
        <v>65.84</v>
      </c>
      <c r="H16" s="52">
        <v>35.090000000000003</v>
      </c>
      <c r="I16" s="52">
        <v>2.39</v>
      </c>
      <c r="J16" s="52">
        <v>0.73</v>
      </c>
      <c r="K16" s="52">
        <v>326.36</v>
      </c>
      <c r="L16" s="52">
        <v>26.3</v>
      </c>
      <c r="M16" s="52">
        <v>102.41</v>
      </c>
      <c r="N16" s="52">
        <v>208.3</v>
      </c>
      <c r="O16" s="52">
        <v>0.2</v>
      </c>
      <c r="P16" s="52">
        <v>0.37</v>
      </c>
      <c r="Q16" s="52">
        <v>9.27</v>
      </c>
      <c r="R16" s="43"/>
      <c r="S16" s="43"/>
      <c r="T16" s="43"/>
      <c r="U16" s="43"/>
    </row>
    <row r="17" spans="1:21" s="11" customFormat="1" x14ac:dyDescent="0.25">
      <c r="A17" s="51" t="s">
        <v>476</v>
      </c>
      <c r="B17" s="52">
        <v>7.97</v>
      </c>
      <c r="C17" s="52">
        <v>3.03</v>
      </c>
      <c r="D17" s="52">
        <v>11.75</v>
      </c>
      <c r="E17" s="52">
        <v>5.29</v>
      </c>
      <c r="F17" s="52">
        <v>4.84</v>
      </c>
      <c r="G17" s="52">
        <v>58.08</v>
      </c>
      <c r="H17" s="52">
        <v>40.07</v>
      </c>
      <c r="I17" s="52">
        <v>2</v>
      </c>
      <c r="J17" s="52">
        <v>0.52</v>
      </c>
      <c r="K17" s="52">
        <v>333.59</v>
      </c>
      <c r="L17" s="52">
        <v>26.84</v>
      </c>
      <c r="M17" s="52">
        <v>102.37</v>
      </c>
      <c r="N17" s="52">
        <v>297.8</v>
      </c>
      <c r="O17" s="52">
        <v>0</v>
      </c>
      <c r="P17" s="52">
        <v>0.35</v>
      </c>
      <c r="Q17" s="52">
        <v>9.2200000000000006</v>
      </c>
      <c r="R17" s="43"/>
      <c r="S17" s="43"/>
      <c r="T17" s="43"/>
      <c r="U17" s="43"/>
    </row>
    <row r="18" spans="1:21" s="11" customFormat="1" x14ac:dyDescent="0.25">
      <c r="A18" s="51" t="s">
        <v>477</v>
      </c>
      <c r="B18" s="52">
        <v>7.96</v>
      </c>
      <c r="C18" s="52">
        <v>3.01</v>
      </c>
      <c r="D18" s="52">
        <v>11.73</v>
      </c>
      <c r="E18" s="52">
        <v>5.64</v>
      </c>
      <c r="F18" s="52">
        <v>3.69</v>
      </c>
      <c r="G18" s="52">
        <v>57.08</v>
      </c>
      <c r="H18" s="52">
        <v>34.35</v>
      </c>
      <c r="I18" s="52">
        <v>1.52</v>
      </c>
      <c r="J18" s="52">
        <v>0.36</v>
      </c>
      <c r="K18" s="52">
        <v>322.44</v>
      </c>
      <c r="L18" s="52">
        <v>28.11</v>
      </c>
      <c r="M18" s="52">
        <v>102.17</v>
      </c>
      <c r="N18" s="52">
        <v>348.5</v>
      </c>
      <c r="O18" s="52">
        <v>0</v>
      </c>
      <c r="P18" s="52">
        <v>0.38</v>
      </c>
      <c r="Q18" s="52">
        <v>9.27</v>
      </c>
      <c r="R18" s="43"/>
      <c r="S18" s="43"/>
      <c r="T18" s="43"/>
      <c r="U18" s="43"/>
    </row>
    <row r="19" spans="1:21" s="11" customFormat="1" x14ac:dyDescent="0.25">
      <c r="A19" s="51" t="s">
        <v>478</v>
      </c>
      <c r="B19" s="52">
        <v>7.99</v>
      </c>
      <c r="C19" s="52">
        <v>3.09</v>
      </c>
      <c r="D19" s="52">
        <v>11.79</v>
      </c>
      <c r="E19" s="52">
        <v>5.54</v>
      </c>
      <c r="F19" s="52">
        <v>4.34</v>
      </c>
      <c r="G19" s="52">
        <v>78.02</v>
      </c>
      <c r="H19" s="52">
        <v>19.95</v>
      </c>
      <c r="I19" s="52">
        <v>2.35</v>
      </c>
      <c r="J19" s="52">
        <v>0.7</v>
      </c>
      <c r="K19" s="52">
        <v>345.11</v>
      </c>
      <c r="L19" s="52">
        <v>28.63</v>
      </c>
      <c r="M19" s="52">
        <v>98.13</v>
      </c>
      <c r="N19" s="52">
        <v>183.9</v>
      </c>
      <c r="O19" s="52">
        <v>0</v>
      </c>
      <c r="P19" s="52">
        <v>0.51</v>
      </c>
      <c r="Q19" s="52">
        <v>9.41</v>
      </c>
      <c r="R19" s="43"/>
      <c r="S19" s="43"/>
      <c r="T19" s="43"/>
      <c r="U19" s="43"/>
    </row>
    <row r="20" spans="1:21" s="11" customFormat="1" x14ac:dyDescent="0.25">
      <c r="A20" s="51" t="s">
        <v>479</v>
      </c>
      <c r="B20" s="52">
        <v>8.07</v>
      </c>
      <c r="C20" s="52">
        <v>3.11</v>
      </c>
      <c r="D20" s="52">
        <v>11.87</v>
      </c>
      <c r="E20" s="52">
        <v>5.55</v>
      </c>
      <c r="F20" s="52">
        <v>4.22</v>
      </c>
      <c r="G20" s="52">
        <v>93.88</v>
      </c>
      <c r="H20" s="52">
        <v>19.95</v>
      </c>
      <c r="I20" s="52">
        <v>3.44</v>
      </c>
      <c r="J20" s="52">
        <v>0.72</v>
      </c>
      <c r="K20" s="52">
        <v>344.45</v>
      </c>
      <c r="L20" s="52">
        <v>28.49</v>
      </c>
      <c r="M20" s="52">
        <v>101.35</v>
      </c>
      <c r="N20" s="52">
        <v>170.7</v>
      </c>
      <c r="O20" s="52">
        <v>0</v>
      </c>
      <c r="P20" s="52">
        <v>0.64</v>
      </c>
      <c r="Q20" s="52">
        <v>9.51</v>
      </c>
      <c r="R20" s="43"/>
      <c r="S20" s="43"/>
      <c r="T20" s="43"/>
      <c r="U20" s="43"/>
    </row>
    <row r="21" spans="1:21" s="11" customFormat="1" x14ac:dyDescent="0.25">
      <c r="A21" s="51" t="s">
        <v>480</v>
      </c>
      <c r="B21" s="52">
        <v>8.1199999999999992</v>
      </c>
      <c r="C21" s="52">
        <v>3.22</v>
      </c>
      <c r="D21" s="52">
        <v>11.97</v>
      </c>
      <c r="E21" s="52">
        <v>3.27</v>
      </c>
      <c r="F21" s="52">
        <v>3.69</v>
      </c>
      <c r="G21" s="52">
        <v>102.4</v>
      </c>
      <c r="H21" s="52">
        <v>19.95</v>
      </c>
      <c r="I21" s="52">
        <v>4.26</v>
      </c>
      <c r="J21" s="52">
        <v>0.52</v>
      </c>
      <c r="K21" s="52">
        <v>343.83</v>
      </c>
      <c r="L21" s="52">
        <v>27.77</v>
      </c>
      <c r="M21" s="52">
        <v>102.43</v>
      </c>
      <c r="N21" s="52">
        <v>250.1</v>
      </c>
      <c r="O21" s="52">
        <v>0.4</v>
      </c>
      <c r="P21" s="52">
        <v>0.75</v>
      </c>
      <c r="Q21" s="52">
        <v>9.7100000000000009</v>
      </c>
      <c r="R21" s="43"/>
      <c r="S21" s="43"/>
      <c r="T21" s="43"/>
      <c r="U21" s="43"/>
    </row>
    <row r="22" spans="1:21" s="11" customFormat="1" x14ac:dyDescent="0.25">
      <c r="A22" s="51" t="s">
        <v>481</v>
      </c>
      <c r="B22" s="52">
        <v>8.17</v>
      </c>
      <c r="C22" s="52">
        <v>3.32</v>
      </c>
      <c r="D22" s="52">
        <v>12.06</v>
      </c>
      <c r="E22" s="52">
        <v>3.32</v>
      </c>
      <c r="F22" s="52">
        <v>3.69</v>
      </c>
      <c r="G22" s="52">
        <v>104.37</v>
      </c>
      <c r="H22" s="52">
        <v>39.950000000000003</v>
      </c>
      <c r="I22" s="52">
        <v>4.5</v>
      </c>
      <c r="J22" s="52">
        <v>1.01</v>
      </c>
      <c r="K22" s="52">
        <v>327.44</v>
      </c>
      <c r="L22" s="52">
        <v>29.58</v>
      </c>
      <c r="M22" s="52">
        <v>102.39</v>
      </c>
      <c r="N22" s="52">
        <v>403.3</v>
      </c>
      <c r="O22" s="52">
        <v>0.2</v>
      </c>
      <c r="P22" s="52">
        <v>0.72</v>
      </c>
      <c r="Q22" s="52">
        <v>9.84</v>
      </c>
      <c r="R22" s="43"/>
      <c r="S22" s="43"/>
      <c r="T22" s="43"/>
      <c r="U22" s="43"/>
    </row>
    <row r="23" spans="1:21" s="11" customFormat="1" x14ac:dyDescent="0.25">
      <c r="A23" s="51" t="s">
        <v>482</v>
      </c>
      <c r="B23" s="52">
        <v>8.02</v>
      </c>
      <c r="C23" s="52">
        <v>3.09</v>
      </c>
      <c r="D23" s="52">
        <v>11.82</v>
      </c>
      <c r="E23" s="52">
        <v>3.28</v>
      </c>
      <c r="F23" s="52">
        <v>4.6100000000000003</v>
      </c>
      <c r="G23" s="52">
        <v>92.49</v>
      </c>
      <c r="H23" s="52">
        <v>2.91</v>
      </c>
      <c r="I23" s="52">
        <v>3.99</v>
      </c>
      <c r="J23" s="52">
        <v>0.91</v>
      </c>
      <c r="K23" s="52">
        <v>326.42</v>
      </c>
      <c r="L23" s="52">
        <v>31.62</v>
      </c>
      <c r="M23" s="52">
        <v>94.39</v>
      </c>
      <c r="N23" s="52">
        <v>445.1</v>
      </c>
      <c r="O23" s="52">
        <v>0</v>
      </c>
      <c r="P23" s="52">
        <v>0.68</v>
      </c>
      <c r="Q23" s="52">
        <v>9.7799999999999994</v>
      </c>
      <c r="R23" s="43"/>
      <c r="S23" s="43"/>
      <c r="T23" s="43"/>
      <c r="U23" s="43"/>
    </row>
    <row r="24" spans="1:21" s="11" customFormat="1" x14ac:dyDescent="0.25">
      <c r="A24" s="51" t="s">
        <v>483</v>
      </c>
      <c r="B24" s="52">
        <v>8</v>
      </c>
      <c r="C24" s="52">
        <v>3.15</v>
      </c>
      <c r="D24" s="52">
        <v>11.84</v>
      </c>
      <c r="E24" s="52">
        <v>4.1399999999999997</v>
      </c>
      <c r="F24" s="52">
        <v>4.18</v>
      </c>
      <c r="G24" s="52">
        <v>90.24</v>
      </c>
      <c r="H24" s="52">
        <v>1.47</v>
      </c>
      <c r="I24" s="52">
        <v>3.2</v>
      </c>
      <c r="J24" s="52">
        <v>1</v>
      </c>
      <c r="K24" s="52">
        <v>333.52</v>
      </c>
      <c r="L24" s="52">
        <v>31.84</v>
      </c>
      <c r="M24" s="52">
        <v>88.66</v>
      </c>
      <c r="N24" s="52">
        <v>303.5</v>
      </c>
      <c r="O24" s="52">
        <v>0</v>
      </c>
      <c r="P24" s="52">
        <v>0.65</v>
      </c>
      <c r="Q24" s="52">
        <v>9.67</v>
      </c>
      <c r="R24" s="43"/>
      <c r="S24" s="43"/>
      <c r="T24" s="43"/>
      <c r="U24" s="43"/>
    </row>
    <row r="25" spans="1:21" s="11" customFormat="1" x14ac:dyDescent="0.25">
      <c r="A25" s="51" t="s">
        <v>484</v>
      </c>
      <c r="B25" s="52">
        <v>8.11</v>
      </c>
      <c r="C25" s="52">
        <v>3.29</v>
      </c>
      <c r="D25" s="52">
        <v>12</v>
      </c>
      <c r="E25" s="52">
        <v>4.34</v>
      </c>
      <c r="F25" s="52">
        <v>3.65</v>
      </c>
      <c r="G25" s="52">
        <v>91.3</v>
      </c>
      <c r="H25" s="52">
        <v>27.46</v>
      </c>
      <c r="I25" s="52">
        <v>2.85</v>
      </c>
      <c r="J25" s="52">
        <v>2.1</v>
      </c>
      <c r="K25" s="52">
        <v>335.7</v>
      </c>
      <c r="L25" s="52">
        <v>31.48</v>
      </c>
      <c r="M25" s="52">
        <v>88.92</v>
      </c>
      <c r="N25" s="52">
        <v>266.10000000000002</v>
      </c>
      <c r="O25" s="52">
        <v>0</v>
      </c>
      <c r="P25" s="52">
        <v>0.59</v>
      </c>
      <c r="Q25" s="52">
        <v>9.61</v>
      </c>
      <c r="R25" s="43"/>
      <c r="S25" s="43"/>
      <c r="T25" s="43"/>
      <c r="U25" s="43"/>
    </row>
    <row r="26" spans="1:21" s="11" customFormat="1" x14ac:dyDescent="0.25">
      <c r="A26" s="51" t="s">
        <v>485</v>
      </c>
      <c r="B26" s="52">
        <v>8</v>
      </c>
      <c r="C26" s="52">
        <v>3.11</v>
      </c>
      <c r="D26" s="52">
        <v>11.82</v>
      </c>
      <c r="E26" s="52">
        <v>4.3</v>
      </c>
      <c r="F26" s="52">
        <v>3.65</v>
      </c>
      <c r="G26" s="52">
        <v>84.5</v>
      </c>
      <c r="H26" s="52">
        <v>38.590000000000003</v>
      </c>
      <c r="I26" s="52">
        <v>2.38</v>
      </c>
      <c r="J26" s="52">
        <v>1.93</v>
      </c>
      <c r="K26" s="52">
        <v>334.86</v>
      </c>
      <c r="L26" s="52">
        <v>30.02</v>
      </c>
      <c r="M26" s="52">
        <v>90.14</v>
      </c>
      <c r="N26" s="52">
        <v>184.1</v>
      </c>
      <c r="O26" s="52">
        <v>0</v>
      </c>
      <c r="P26" s="52">
        <v>0.56999999999999995</v>
      </c>
      <c r="Q26" s="52">
        <v>9.5500000000000007</v>
      </c>
      <c r="R26" s="43"/>
      <c r="S26" s="43"/>
      <c r="T26" s="43"/>
      <c r="U26" s="43"/>
    </row>
    <row r="27" spans="1:21" s="11" customFormat="1" x14ac:dyDescent="0.25">
      <c r="A27" s="51" t="s">
        <v>486</v>
      </c>
      <c r="B27" s="52">
        <v>7.98</v>
      </c>
      <c r="C27" s="52">
        <v>3.04</v>
      </c>
      <c r="D27" s="52">
        <v>11.75</v>
      </c>
      <c r="E27" s="52">
        <v>4.5999999999999996</v>
      </c>
      <c r="F27" s="52">
        <v>3.95</v>
      </c>
      <c r="G27" s="52">
        <v>90.85</v>
      </c>
      <c r="H27" s="52">
        <v>3.09</v>
      </c>
      <c r="I27" s="52">
        <v>3.1</v>
      </c>
      <c r="J27" s="52">
        <v>1.02</v>
      </c>
      <c r="K27" s="52">
        <v>333.05</v>
      </c>
      <c r="L27" s="52">
        <v>28.91</v>
      </c>
      <c r="M27" s="52">
        <v>87.27</v>
      </c>
      <c r="N27" s="52">
        <v>91.7</v>
      </c>
      <c r="O27" s="52">
        <v>0</v>
      </c>
      <c r="P27" s="52">
        <v>0.63</v>
      </c>
      <c r="Q27" s="52">
        <v>9.56</v>
      </c>
      <c r="R27" s="43"/>
      <c r="S27" s="43"/>
      <c r="T27" s="43"/>
      <c r="U27" s="43"/>
    </row>
    <row r="28" spans="1:21" s="11" customFormat="1" x14ac:dyDescent="0.25">
      <c r="A28" s="51" t="s">
        <v>487</v>
      </c>
      <c r="B28" s="52">
        <v>8.01</v>
      </c>
      <c r="C28" s="52">
        <v>3.12</v>
      </c>
      <c r="D28" s="52">
        <v>11.83</v>
      </c>
      <c r="E28" s="52">
        <v>5.41</v>
      </c>
      <c r="F28" s="52">
        <v>4.51</v>
      </c>
      <c r="G28" s="52">
        <v>93.92</v>
      </c>
      <c r="H28" s="52">
        <v>0.25</v>
      </c>
      <c r="I28" s="52">
        <v>3.83</v>
      </c>
      <c r="J28" s="52">
        <v>0.21</v>
      </c>
      <c r="K28" s="52">
        <v>248</v>
      </c>
      <c r="L28" s="52">
        <v>27.55</v>
      </c>
      <c r="M28" s="52">
        <v>98.37</v>
      </c>
      <c r="N28" s="52">
        <v>77.900000000000006</v>
      </c>
      <c r="O28" s="52">
        <v>0</v>
      </c>
      <c r="P28" s="52">
        <v>0.74</v>
      </c>
      <c r="Q28" s="52">
        <v>9.6199999999999992</v>
      </c>
      <c r="R28" s="43"/>
      <c r="S28" s="43"/>
      <c r="T28" s="43"/>
      <c r="U28" s="43"/>
    </row>
    <row r="29" spans="1:21" s="11" customFormat="1" x14ac:dyDescent="0.25">
      <c r="A29" s="51" t="s">
        <v>488</v>
      </c>
      <c r="B29" s="52">
        <v>8.2200000000000006</v>
      </c>
      <c r="C29" s="52">
        <v>3.39</v>
      </c>
      <c r="D29" s="52">
        <v>12.14</v>
      </c>
      <c r="E29" s="52">
        <v>5.18</v>
      </c>
      <c r="F29" s="52">
        <v>4.01</v>
      </c>
      <c r="G29" s="52">
        <v>99.78</v>
      </c>
      <c r="H29" s="52">
        <v>0.03</v>
      </c>
      <c r="I29" s="52">
        <v>4.59</v>
      </c>
      <c r="J29" s="52">
        <v>0.18</v>
      </c>
      <c r="K29" s="52">
        <v>326.02</v>
      </c>
      <c r="L29" s="52">
        <v>26.87</v>
      </c>
      <c r="M29" s="52">
        <v>102.2</v>
      </c>
      <c r="N29" s="52">
        <v>78</v>
      </c>
      <c r="O29" s="52">
        <v>0</v>
      </c>
      <c r="P29" s="52">
        <v>0.82</v>
      </c>
      <c r="Q29" s="52">
        <v>9.6999999999999993</v>
      </c>
      <c r="R29" s="43"/>
      <c r="S29" s="43"/>
      <c r="T29" s="43"/>
      <c r="U29" s="43"/>
    </row>
    <row r="30" spans="1:21" s="11" customFormat="1" x14ac:dyDescent="0.25">
      <c r="A30" s="51" t="s">
        <v>489</v>
      </c>
      <c r="B30" s="52">
        <v>8.0299999999999994</v>
      </c>
      <c r="C30" s="52">
        <v>3.03</v>
      </c>
      <c r="D30" s="52">
        <v>11.8</v>
      </c>
      <c r="E30" s="52">
        <v>5.0999999999999996</v>
      </c>
      <c r="F30" s="52">
        <v>3.58</v>
      </c>
      <c r="G30" s="52">
        <v>114.84</v>
      </c>
      <c r="H30" s="52">
        <v>10</v>
      </c>
      <c r="I30" s="52">
        <v>5.31</v>
      </c>
      <c r="J30" s="52">
        <v>0.18</v>
      </c>
      <c r="K30" s="52">
        <v>335.57</v>
      </c>
      <c r="L30" s="52">
        <v>26.47</v>
      </c>
      <c r="M30" s="52">
        <v>102.75</v>
      </c>
      <c r="N30" s="52">
        <v>78.099999999999994</v>
      </c>
      <c r="O30" s="52">
        <v>0</v>
      </c>
      <c r="P30" s="52">
        <v>0.9</v>
      </c>
      <c r="Q30" s="52">
        <v>9.7100000000000009</v>
      </c>
      <c r="R30" s="43"/>
      <c r="S30" s="43"/>
      <c r="T30" s="43"/>
      <c r="U30" s="43"/>
    </row>
    <row r="31" spans="1:21" s="11" customFormat="1" x14ac:dyDescent="0.25">
      <c r="A31" s="51" t="s">
        <v>490</v>
      </c>
      <c r="B31" s="52">
        <v>8.0500000000000007</v>
      </c>
      <c r="C31" s="52">
        <v>3.06</v>
      </c>
      <c r="D31" s="52">
        <v>11.82</v>
      </c>
      <c r="E31" s="52">
        <v>5.42</v>
      </c>
      <c r="F31" s="52">
        <v>4.5999999999999996</v>
      </c>
      <c r="G31" s="52">
        <v>123.8</v>
      </c>
      <c r="H31" s="52">
        <v>10</v>
      </c>
      <c r="I31" s="52">
        <v>6.5</v>
      </c>
      <c r="J31" s="52">
        <v>0.82</v>
      </c>
      <c r="K31" s="52">
        <v>341.23</v>
      </c>
      <c r="L31" s="52">
        <v>26.3</v>
      </c>
      <c r="M31" s="52">
        <v>103.24</v>
      </c>
      <c r="N31" s="52">
        <v>77.8</v>
      </c>
      <c r="O31" s="52">
        <v>0</v>
      </c>
      <c r="P31" s="52">
        <v>0.99</v>
      </c>
      <c r="Q31" s="52">
        <v>9.81</v>
      </c>
      <c r="R31" s="43"/>
      <c r="S31" s="43"/>
      <c r="T31" s="43"/>
      <c r="U31" s="43"/>
    </row>
    <row r="32" spans="1:21" s="11" customFormat="1" x14ac:dyDescent="0.25">
      <c r="A32" s="51" t="s">
        <v>491</v>
      </c>
      <c r="B32" s="52">
        <v>8.15</v>
      </c>
      <c r="C32" s="52">
        <v>3.26</v>
      </c>
      <c r="D32" s="52">
        <v>12.01</v>
      </c>
      <c r="E32" s="52">
        <v>5.94</v>
      </c>
      <c r="F32" s="52">
        <v>4.97</v>
      </c>
      <c r="G32" s="52">
        <v>130.27000000000001</v>
      </c>
      <c r="H32" s="52">
        <v>52.39</v>
      </c>
      <c r="I32" s="52">
        <v>6.56</v>
      </c>
      <c r="J32" s="52">
        <v>0.67</v>
      </c>
      <c r="K32" s="52">
        <v>352.28</v>
      </c>
      <c r="L32" s="52">
        <v>26.23</v>
      </c>
      <c r="M32" s="52">
        <v>103.32</v>
      </c>
      <c r="N32" s="52">
        <v>77.8</v>
      </c>
      <c r="O32" s="52">
        <v>0</v>
      </c>
      <c r="P32" s="52">
        <v>1.03</v>
      </c>
      <c r="Q32" s="52">
        <v>9.7899999999999991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7.92</v>
      </c>
      <c r="C34" s="28">
        <f t="shared" si="0"/>
        <v>2.94</v>
      </c>
      <c r="D34" s="28">
        <f t="shared" si="0"/>
        <v>11.66</v>
      </c>
      <c r="E34" s="28">
        <f t="shared" si="0"/>
        <v>3.27</v>
      </c>
      <c r="F34" s="28">
        <f t="shared" si="0"/>
        <v>3.57</v>
      </c>
      <c r="G34" s="28">
        <f t="shared" si="0"/>
        <v>57.08</v>
      </c>
      <c r="H34" s="28">
        <f t="shared" si="0"/>
        <v>0.03</v>
      </c>
      <c r="I34" s="28">
        <f t="shared" si="0"/>
        <v>1.52</v>
      </c>
      <c r="J34" s="28">
        <f t="shared" si="0"/>
        <v>0.18</v>
      </c>
      <c r="K34" s="28">
        <f t="shared" si="0"/>
        <v>248</v>
      </c>
      <c r="L34" s="28">
        <f t="shared" si="0"/>
        <v>25.95</v>
      </c>
      <c r="M34" s="28">
        <f t="shared" si="0"/>
        <v>87.27</v>
      </c>
      <c r="N34" s="28">
        <f t="shared" si="0"/>
        <v>74.099999999999994</v>
      </c>
      <c r="O34" s="28">
        <f t="shared" si="0"/>
        <v>0</v>
      </c>
      <c r="P34" s="28">
        <f t="shared" si="0"/>
        <v>0.35</v>
      </c>
      <c r="Q34" s="28">
        <f t="shared" si="0"/>
        <v>9.2200000000000006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8.2200000000000006</v>
      </c>
      <c r="C35" s="29">
        <f t="shared" si="1"/>
        <v>3.39</v>
      </c>
      <c r="D35" s="29">
        <f t="shared" si="1"/>
        <v>12.14</v>
      </c>
      <c r="E35" s="29">
        <f t="shared" si="1"/>
        <v>5.94</v>
      </c>
      <c r="F35" s="29">
        <f t="shared" si="1"/>
        <v>4.97</v>
      </c>
      <c r="G35" s="29">
        <f t="shared" si="1"/>
        <v>130.27000000000001</v>
      </c>
      <c r="H35" s="29">
        <f t="shared" si="1"/>
        <v>52.39</v>
      </c>
      <c r="I35" s="29">
        <f t="shared" si="1"/>
        <v>6.56</v>
      </c>
      <c r="J35" s="29">
        <f t="shared" si="1"/>
        <v>2.1</v>
      </c>
      <c r="K35" s="29">
        <f t="shared" si="1"/>
        <v>352.92</v>
      </c>
      <c r="L35" s="29">
        <f t="shared" si="1"/>
        <v>31.84</v>
      </c>
      <c r="M35" s="29">
        <f t="shared" si="1"/>
        <v>103.32</v>
      </c>
      <c r="N35" s="29">
        <f t="shared" si="1"/>
        <v>445.1</v>
      </c>
      <c r="O35" s="29">
        <f t="shared" si="1"/>
        <v>2.6</v>
      </c>
      <c r="P35" s="29">
        <f t="shared" si="1"/>
        <v>1.03</v>
      </c>
      <c r="Q35" s="29">
        <f t="shared" si="1"/>
        <v>9.84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8.0175000000000001</v>
      </c>
      <c r="C36" s="28">
        <f t="shared" si="2"/>
        <v>3.0866666666666664</v>
      </c>
      <c r="D36" s="28">
        <f t="shared" si="2"/>
        <v>11.814583333333333</v>
      </c>
      <c r="E36" s="28">
        <f t="shared" si="2"/>
        <v>4.683749999999999</v>
      </c>
      <c r="F36" s="28">
        <f t="shared" si="2"/>
        <v>4.2025000000000006</v>
      </c>
      <c r="G36" s="28">
        <f t="shared" si="2"/>
        <v>92.05416666666666</v>
      </c>
      <c r="H36" s="28">
        <f t="shared" si="2"/>
        <v>25.0425</v>
      </c>
      <c r="I36" s="28">
        <f t="shared" si="2"/>
        <v>3.4462500000000005</v>
      </c>
      <c r="J36" s="28">
        <f t="shared" si="2"/>
        <v>0.68291666666666673</v>
      </c>
      <c r="K36" s="28">
        <f t="shared" si="2"/>
        <v>334.14333333333326</v>
      </c>
      <c r="L36" s="28">
        <f t="shared" si="2"/>
        <v>27.979583333333327</v>
      </c>
      <c r="M36" s="28">
        <f t="shared" si="2"/>
        <v>99.492083333333355</v>
      </c>
      <c r="N36" s="28">
        <f t="shared" si="2"/>
        <v>173.3125</v>
      </c>
      <c r="O36" s="28">
        <f t="shared" si="2"/>
        <v>0.15000000000000002</v>
      </c>
      <c r="P36" s="28">
        <f t="shared" si="2"/>
        <v>0.60041666666666671</v>
      </c>
      <c r="Q36" s="28">
        <f t="shared" si="2"/>
        <v>9.5058333333333334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8.2316990691604738E-2</v>
      </c>
      <c r="C37" s="28">
        <f t="shared" ref="C37:Q37" si="3">STDEV(C9:C32)</f>
        <v>0.12737028070078632</v>
      </c>
      <c r="D37" s="28">
        <f t="shared" si="3"/>
        <v>0.13282807346886161</v>
      </c>
      <c r="E37" s="28">
        <f t="shared" si="3"/>
        <v>0.76722998365945994</v>
      </c>
      <c r="F37" s="28">
        <f t="shared" si="3"/>
        <v>0.47139247932610379</v>
      </c>
      <c r="G37" s="28">
        <f t="shared" si="3"/>
        <v>18.196477661222403</v>
      </c>
      <c r="H37" s="28">
        <f t="shared" si="3"/>
        <v>15.709919948319561</v>
      </c>
      <c r="I37" s="28">
        <f t="shared" si="3"/>
        <v>1.2953556251671474</v>
      </c>
      <c r="J37" s="28">
        <f t="shared" si="3"/>
        <v>0.51427009623743236</v>
      </c>
      <c r="K37" s="28">
        <f t="shared" si="3"/>
        <v>20.755600117363123</v>
      </c>
      <c r="L37" s="28">
        <f t="shared" si="3"/>
        <v>1.7646220907572263</v>
      </c>
      <c r="M37" s="28">
        <f t="shared" si="3"/>
        <v>5.3094280205872559</v>
      </c>
      <c r="N37" s="28">
        <f t="shared" si="3"/>
        <v>116.99794242895344</v>
      </c>
      <c r="O37" s="28">
        <f t="shared" si="3"/>
        <v>0.53160953307119496</v>
      </c>
      <c r="P37" s="28">
        <f t="shared" si="3"/>
        <v>0.19966230548574773</v>
      </c>
      <c r="Q37" s="28">
        <f t="shared" si="3"/>
        <v>0.21290775031672174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492</v>
      </c>
      <c r="B9" s="52">
        <v>8.26</v>
      </c>
      <c r="C9" s="52">
        <v>3.47</v>
      </c>
      <c r="D9" s="52">
        <v>12.21</v>
      </c>
      <c r="E9" s="52">
        <v>4.8499999999999996</v>
      </c>
      <c r="F9" s="52">
        <v>4.2699999999999996</v>
      </c>
      <c r="G9" s="52">
        <v>139.66999999999999</v>
      </c>
      <c r="H9" s="57" t="s">
        <v>8</v>
      </c>
      <c r="I9" s="52">
        <v>6.98</v>
      </c>
      <c r="J9" s="52">
        <v>0.43</v>
      </c>
      <c r="K9" s="52">
        <v>346.13</v>
      </c>
      <c r="L9" s="52">
        <v>26.18</v>
      </c>
      <c r="M9" s="52">
        <v>103.25</v>
      </c>
      <c r="N9" s="52">
        <v>77.8</v>
      </c>
      <c r="O9" s="52">
        <v>0</v>
      </c>
      <c r="P9" s="52">
        <v>1.0900000000000001</v>
      </c>
      <c r="Q9" s="52">
        <v>9.81</v>
      </c>
      <c r="R9" s="43"/>
      <c r="S9" s="43"/>
      <c r="T9" s="43"/>
      <c r="U9" s="43"/>
    </row>
    <row r="10" spans="1:21" s="11" customFormat="1" x14ac:dyDescent="0.25">
      <c r="A10" s="51" t="s">
        <v>493</v>
      </c>
      <c r="B10" s="52">
        <v>8.06</v>
      </c>
      <c r="C10" s="52">
        <v>3.13</v>
      </c>
      <c r="D10" s="52">
        <v>11.87</v>
      </c>
      <c r="E10" s="52">
        <v>4.6900000000000004</v>
      </c>
      <c r="F10" s="52">
        <v>3.8</v>
      </c>
      <c r="G10" s="52">
        <v>142.79</v>
      </c>
      <c r="H10" s="57" t="s">
        <v>8</v>
      </c>
      <c r="I10" s="52">
        <v>7.31</v>
      </c>
      <c r="J10" s="52">
        <v>0.3</v>
      </c>
      <c r="K10" s="52">
        <v>338.58</v>
      </c>
      <c r="L10" s="52">
        <v>25.65</v>
      </c>
      <c r="M10" s="52">
        <v>103.39</v>
      </c>
      <c r="N10" s="52">
        <v>77.599999999999994</v>
      </c>
      <c r="O10" s="52">
        <v>0</v>
      </c>
      <c r="P10" s="52">
        <v>1.03</v>
      </c>
      <c r="Q10" s="52">
        <v>9.8000000000000007</v>
      </c>
      <c r="R10" s="43"/>
      <c r="S10" s="43"/>
      <c r="T10" s="43"/>
      <c r="U10" s="43"/>
    </row>
    <row r="11" spans="1:21" s="11" customFormat="1" x14ac:dyDescent="0.25">
      <c r="A11" s="51" t="s">
        <v>494</v>
      </c>
      <c r="B11" s="52">
        <v>8.09</v>
      </c>
      <c r="C11" s="52">
        <v>3.18</v>
      </c>
      <c r="D11" s="52">
        <v>11.93</v>
      </c>
      <c r="E11" s="52">
        <v>4.95</v>
      </c>
      <c r="F11" s="52">
        <v>4.74</v>
      </c>
      <c r="G11" s="52">
        <v>138.66</v>
      </c>
      <c r="H11" s="57" t="s">
        <v>8</v>
      </c>
      <c r="I11" s="52">
        <v>7.63</v>
      </c>
      <c r="J11" s="52">
        <v>0.26</v>
      </c>
      <c r="K11" s="52">
        <v>317.89</v>
      </c>
      <c r="L11" s="52">
        <v>25.67</v>
      </c>
      <c r="M11" s="52">
        <v>103.38</v>
      </c>
      <c r="N11" s="52">
        <v>77.7</v>
      </c>
      <c r="O11" s="52">
        <v>0</v>
      </c>
      <c r="P11" s="52">
        <v>1</v>
      </c>
      <c r="Q11" s="52">
        <v>9.77</v>
      </c>
      <c r="R11" s="43"/>
      <c r="S11" s="43"/>
      <c r="T11" s="43"/>
      <c r="U11" s="43"/>
    </row>
    <row r="12" spans="1:21" s="11" customFormat="1" x14ac:dyDescent="0.25">
      <c r="A12" s="51" t="s">
        <v>495</v>
      </c>
      <c r="B12" s="52">
        <v>8.01</v>
      </c>
      <c r="C12" s="52">
        <v>3.05</v>
      </c>
      <c r="D12" s="52">
        <v>11.79</v>
      </c>
      <c r="E12" s="52">
        <v>4.9000000000000004</v>
      </c>
      <c r="F12" s="52">
        <v>4.58</v>
      </c>
      <c r="G12" s="52">
        <v>114.16</v>
      </c>
      <c r="H12" s="57" t="s">
        <v>8</v>
      </c>
      <c r="I12" s="52">
        <v>7.67</v>
      </c>
      <c r="J12" s="52">
        <v>0.18</v>
      </c>
      <c r="K12" s="52">
        <v>114.84</v>
      </c>
      <c r="L12" s="52">
        <v>25.71</v>
      </c>
      <c r="M12" s="52">
        <v>103.43</v>
      </c>
      <c r="N12" s="52">
        <v>77.599999999999994</v>
      </c>
      <c r="O12" s="52">
        <v>0</v>
      </c>
      <c r="P12" s="52">
        <v>0.94</v>
      </c>
      <c r="Q12" s="52">
        <v>9.64</v>
      </c>
      <c r="R12" s="43"/>
      <c r="S12" s="43"/>
      <c r="T12" s="43"/>
      <c r="U12" s="43"/>
    </row>
    <row r="13" spans="1:21" s="11" customFormat="1" x14ac:dyDescent="0.25">
      <c r="A13" s="51" t="s">
        <v>496</v>
      </c>
      <c r="B13" s="52">
        <v>8.09</v>
      </c>
      <c r="C13" s="52">
        <v>3.16</v>
      </c>
      <c r="D13" s="52">
        <v>11.91</v>
      </c>
      <c r="E13" s="52">
        <v>4.16</v>
      </c>
      <c r="F13" s="52">
        <v>4.5</v>
      </c>
      <c r="G13" s="52">
        <v>102.65</v>
      </c>
      <c r="H13" s="57" t="s">
        <v>8</v>
      </c>
      <c r="I13" s="52">
        <v>7.37</v>
      </c>
      <c r="J13" s="52">
        <v>0.19</v>
      </c>
      <c r="K13" s="52">
        <v>111.85</v>
      </c>
      <c r="L13" s="52">
        <v>25.74</v>
      </c>
      <c r="M13" s="52">
        <v>103.51</v>
      </c>
      <c r="N13" s="52">
        <v>77.599999999999994</v>
      </c>
      <c r="O13" s="52">
        <v>0</v>
      </c>
      <c r="P13" s="52">
        <v>0.85</v>
      </c>
      <c r="Q13" s="52">
        <v>9.59</v>
      </c>
      <c r="R13" s="43"/>
      <c r="S13" s="43"/>
      <c r="T13" s="43"/>
      <c r="U13" s="43"/>
    </row>
    <row r="14" spans="1:21" s="11" customFormat="1" x14ac:dyDescent="0.25">
      <c r="A14" s="51" t="s">
        <v>497</v>
      </c>
      <c r="B14" s="52">
        <v>8.0299999999999994</v>
      </c>
      <c r="C14" s="52">
        <v>3.08</v>
      </c>
      <c r="D14" s="52">
        <v>11.81</v>
      </c>
      <c r="E14" s="52">
        <v>4.01</v>
      </c>
      <c r="F14" s="52">
        <v>3.5</v>
      </c>
      <c r="G14" s="52">
        <v>83.95</v>
      </c>
      <c r="H14" s="57" t="s">
        <v>8</v>
      </c>
      <c r="I14" s="52">
        <v>7.23</v>
      </c>
      <c r="J14" s="52">
        <v>0.33</v>
      </c>
      <c r="K14" s="52">
        <v>338.42</v>
      </c>
      <c r="L14" s="52">
        <v>25.71</v>
      </c>
      <c r="M14" s="52">
        <v>103.37</v>
      </c>
      <c r="N14" s="52">
        <v>79.900000000000006</v>
      </c>
      <c r="O14" s="52">
        <v>0</v>
      </c>
      <c r="P14" s="52">
        <v>0.77</v>
      </c>
      <c r="Q14" s="52">
        <v>9.6199999999999992</v>
      </c>
      <c r="R14" s="43"/>
      <c r="S14" s="43"/>
      <c r="T14" s="43"/>
      <c r="U14" s="43"/>
    </row>
    <row r="15" spans="1:21" s="11" customFormat="1" x14ac:dyDescent="0.25">
      <c r="A15" s="51" t="s">
        <v>498</v>
      </c>
      <c r="B15" s="52">
        <v>8.0500000000000007</v>
      </c>
      <c r="C15" s="52">
        <v>3.12</v>
      </c>
      <c r="D15" s="52">
        <v>11.87</v>
      </c>
      <c r="E15" s="52">
        <v>4.32</v>
      </c>
      <c r="F15" s="52">
        <v>4.26</v>
      </c>
      <c r="G15" s="52">
        <v>84.58</v>
      </c>
      <c r="H15" s="57" t="s">
        <v>8</v>
      </c>
      <c r="I15" s="52">
        <v>7.59</v>
      </c>
      <c r="J15" s="52">
        <v>0.18</v>
      </c>
      <c r="K15" s="52">
        <v>307.69</v>
      </c>
      <c r="L15" s="52">
        <v>26.09</v>
      </c>
      <c r="M15" s="52">
        <v>102.98</v>
      </c>
      <c r="N15" s="52">
        <v>111.1</v>
      </c>
      <c r="O15" s="52">
        <v>0</v>
      </c>
      <c r="P15" s="52">
        <v>0.73</v>
      </c>
      <c r="Q15" s="52">
        <v>9.68</v>
      </c>
      <c r="R15" s="43"/>
      <c r="S15" s="43"/>
      <c r="T15" s="43"/>
      <c r="U15" s="43"/>
    </row>
    <row r="16" spans="1:21" s="11" customFormat="1" x14ac:dyDescent="0.25">
      <c r="A16" s="51" t="s">
        <v>499</v>
      </c>
      <c r="B16" s="52">
        <v>8.15</v>
      </c>
      <c r="C16" s="52">
        <v>3.25</v>
      </c>
      <c r="D16" s="52">
        <v>12.01</v>
      </c>
      <c r="E16" s="52">
        <v>4.43</v>
      </c>
      <c r="F16" s="52">
        <v>3.9</v>
      </c>
      <c r="G16" s="52">
        <v>74.7</v>
      </c>
      <c r="H16" s="57" t="s">
        <v>8</v>
      </c>
      <c r="I16" s="52">
        <v>7.67</v>
      </c>
      <c r="J16" s="52">
        <v>0.41</v>
      </c>
      <c r="K16" s="52">
        <v>336.07</v>
      </c>
      <c r="L16" s="52">
        <v>30.27</v>
      </c>
      <c r="M16" s="52">
        <v>102.95</v>
      </c>
      <c r="N16" s="52">
        <v>335.7</v>
      </c>
      <c r="O16" s="52">
        <v>0</v>
      </c>
      <c r="P16" s="52">
        <v>0.78</v>
      </c>
      <c r="Q16" s="52">
        <v>9.6199999999999992</v>
      </c>
      <c r="R16" s="43"/>
      <c r="S16" s="43"/>
      <c r="T16" s="43"/>
      <c r="U16" s="43"/>
    </row>
    <row r="17" spans="1:21" s="11" customFormat="1" x14ac:dyDescent="0.25">
      <c r="A17" s="51" t="s">
        <v>500</v>
      </c>
      <c r="B17" s="52">
        <v>8.14</v>
      </c>
      <c r="C17" s="52">
        <v>3.26</v>
      </c>
      <c r="D17" s="52">
        <v>12</v>
      </c>
      <c r="E17" s="52">
        <v>4.67</v>
      </c>
      <c r="F17" s="52">
        <v>4.24</v>
      </c>
      <c r="G17" s="52">
        <v>77.09</v>
      </c>
      <c r="H17" s="57" t="s">
        <v>8</v>
      </c>
      <c r="I17" s="52">
        <v>7.53</v>
      </c>
      <c r="J17" s="52">
        <v>0.68</v>
      </c>
      <c r="K17" s="52">
        <v>341.18</v>
      </c>
      <c r="L17" s="52">
        <v>33.26</v>
      </c>
      <c r="M17" s="52">
        <v>86.97</v>
      </c>
      <c r="N17" s="52">
        <v>811.8</v>
      </c>
      <c r="O17" s="52">
        <v>0</v>
      </c>
      <c r="P17" s="52">
        <v>0.77</v>
      </c>
      <c r="Q17" s="52">
        <v>9.6300000000000008</v>
      </c>
      <c r="R17" s="43"/>
      <c r="S17" s="43"/>
      <c r="T17" s="43"/>
      <c r="U17" s="43"/>
    </row>
    <row r="18" spans="1:21" s="11" customFormat="1" x14ac:dyDescent="0.25">
      <c r="A18" s="51" t="s">
        <v>501</v>
      </c>
      <c r="B18" s="52">
        <v>8.0399999999999991</v>
      </c>
      <c r="C18" s="52">
        <v>3.11</v>
      </c>
      <c r="D18" s="52">
        <v>11.85</v>
      </c>
      <c r="E18" s="52">
        <v>4.6399999999999997</v>
      </c>
      <c r="F18" s="52">
        <v>3.5</v>
      </c>
      <c r="G18" s="52">
        <v>81.38</v>
      </c>
      <c r="H18" s="57" t="s">
        <v>8</v>
      </c>
      <c r="I18" s="52">
        <v>6.82</v>
      </c>
      <c r="J18" s="52">
        <v>0.6</v>
      </c>
      <c r="K18" s="52">
        <v>344.1</v>
      </c>
      <c r="L18" s="52">
        <v>35.06</v>
      </c>
      <c r="M18" s="52">
        <v>74.13</v>
      </c>
      <c r="N18" s="52">
        <v>893.1</v>
      </c>
      <c r="O18" s="52">
        <v>0</v>
      </c>
      <c r="P18" s="52">
        <v>0.72</v>
      </c>
      <c r="Q18" s="52">
        <v>9.6199999999999992</v>
      </c>
      <c r="R18" s="43"/>
      <c r="S18" s="43"/>
      <c r="T18" s="43"/>
      <c r="U18" s="43"/>
    </row>
    <row r="19" spans="1:21" s="11" customFormat="1" x14ac:dyDescent="0.25">
      <c r="A19" s="51" t="s">
        <v>502</v>
      </c>
      <c r="B19" s="52">
        <v>8</v>
      </c>
      <c r="C19" s="52">
        <v>3.18</v>
      </c>
      <c r="D19" s="52">
        <v>11.84</v>
      </c>
      <c r="E19" s="52">
        <v>4.96</v>
      </c>
      <c r="F19" s="52">
        <v>13.71</v>
      </c>
      <c r="G19" s="52">
        <v>82.54</v>
      </c>
      <c r="H19" s="57" t="s">
        <v>8</v>
      </c>
      <c r="I19" s="52">
        <v>6.3</v>
      </c>
      <c r="J19" s="52">
        <v>0.86</v>
      </c>
      <c r="K19" s="52">
        <v>342.54</v>
      </c>
      <c r="L19" s="52">
        <v>37.82</v>
      </c>
      <c r="M19" s="52">
        <v>61.56</v>
      </c>
      <c r="N19" s="52">
        <v>972.5</v>
      </c>
      <c r="O19" s="52">
        <v>0</v>
      </c>
      <c r="P19" s="52">
        <v>0.69</v>
      </c>
      <c r="Q19" s="52">
        <v>9.61</v>
      </c>
      <c r="R19" s="43"/>
      <c r="S19" s="43"/>
      <c r="T19" s="43"/>
      <c r="U19" s="43"/>
    </row>
    <row r="20" spans="1:21" s="11" customFormat="1" x14ac:dyDescent="0.25">
      <c r="A20" s="51" t="s">
        <v>503</v>
      </c>
      <c r="B20" s="52">
        <v>7.97</v>
      </c>
      <c r="C20" s="52">
        <v>3.08</v>
      </c>
      <c r="D20" s="52">
        <v>11.77</v>
      </c>
      <c r="E20" s="52">
        <v>5.03</v>
      </c>
      <c r="F20" s="52">
        <v>12.97</v>
      </c>
      <c r="G20" s="57" t="s">
        <v>8</v>
      </c>
      <c r="H20" s="57" t="s">
        <v>8</v>
      </c>
      <c r="I20" s="52">
        <v>2.33</v>
      </c>
      <c r="J20" s="52">
        <v>0.86</v>
      </c>
      <c r="K20" s="52">
        <v>339.41</v>
      </c>
      <c r="L20" s="52">
        <v>37.840000000000003</v>
      </c>
      <c r="M20" s="52">
        <v>59.81</v>
      </c>
      <c r="N20" s="52">
        <v>934.2</v>
      </c>
      <c r="O20" s="52">
        <v>0</v>
      </c>
      <c r="P20" s="52">
        <v>0.56000000000000005</v>
      </c>
      <c r="Q20" s="52">
        <v>9.3000000000000007</v>
      </c>
      <c r="R20" s="43"/>
      <c r="S20" s="43"/>
      <c r="T20" s="43"/>
      <c r="U20" s="43"/>
    </row>
    <row r="21" spans="1:21" s="11" customFormat="1" x14ac:dyDescent="0.25">
      <c r="A21" s="51" t="s">
        <v>504</v>
      </c>
      <c r="B21" s="52">
        <v>8.01</v>
      </c>
      <c r="C21" s="52">
        <v>3.07</v>
      </c>
      <c r="D21" s="52">
        <v>11.8</v>
      </c>
      <c r="E21" s="52">
        <v>4.93</v>
      </c>
      <c r="F21" s="52">
        <v>4.13</v>
      </c>
      <c r="G21" s="57" t="s">
        <v>8</v>
      </c>
      <c r="H21" s="57" t="s">
        <v>8</v>
      </c>
      <c r="I21" s="52">
        <v>3.02</v>
      </c>
      <c r="J21" s="52">
        <v>1.47</v>
      </c>
      <c r="K21" s="52">
        <v>343.15</v>
      </c>
      <c r="L21" s="52">
        <v>35.54</v>
      </c>
      <c r="M21" s="52">
        <v>63.32</v>
      </c>
      <c r="N21" s="52">
        <v>607.29999999999995</v>
      </c>
      <c r="O21" s="52">
        <v>0</v>
      </c>
      <c r="P21" s="52">
        <v>0.56000000000000005</v>
      </c>
      <c r="Q21" s="52">
        <v>9.41</v>
      </c>
      <c r="R21" s="43"/>
      <c r="S21" s="43"/>
      <c r="T21" s="43"/>
      <c r="U21" s="43"/>
    </row>
    <row r="22" spans="1:21" s="11" customFormat="1" x14ac:dyDescent="0.25">
      <c r="A22" s="51" t="s">
        <v>505</v>
      </c>
      <c r="B22" s="52">
        <v>8.01</v>
      </c>
      <c r="C22" s="52">
        <v>3.18</v>
      </c>
      <c r="D22" s="52">
        <v>11.86</v>
      </c>
      <c r="E22" s="52">
        <v>10.82</v>
      </c>
      <c r="F22" s="52">
        <v>23.83</v>
      </c>
      <c r="G22" s="57" t="s">
        <v>8</v>
      </c>
      <c r="H22" s="57" t="s">
        <v>8</v>
      </c>
      <c r="I22" s="52">
        <v>3.9</v>
      </c>
      <c r="J22" s="52">
        <v>0.74</v>
      </c>
      <c r="K22" s="52">
        <v>335.78</v>
      </c>
      <c r="L22" s="52">
        <v>35.14</v>
      </c>
      <c r="M22" s="52">
        <v>66.099999999999994</v>
      </c>
      <c r="N22" s="52">
        <v>894.4</v>
      </c>
      <c r="O22" s="52">
        <v>0</v>
      </c>
      <c r="P22" s="52">
        <v>0.51</v>
      </c>
      <c r="Q22" s="52">
        <v>9.4499999999999993</v>
      </c>
      <c r="R22" s="43"/>
      <c r="S22" s="43"/>
      <c r="T22" s="43"/>
      <c r="U22" s="43"/>
    </row>
    <row r="23" spans="1:21" s="11" customFormat="1" x14ac:dyDescent="0.25">
      <c r="A23" s="51" t="s">
        <v>506</v>
      </c>
      <c r="B23" s="52">
        <v>7.98</v>
      </c>
      <c r="C23" s="52">
        <v>3.23</v>
      </c>
      <c r="D23" s="52">
        <v>11.85</v>
      </c>
      <c r="E23" s="52">
        <v>5.51</v>
      </c>
      <c r="F23" s="52">
        <v>13.97</v>
      </c>
      <c r="G23" s="52">
        <v>163.95</v>
      </c>
      <c r="H23" s="57" t="s">
        <v>8</v>
      </c>
      <c r="I23" s="52">
        <v>2.1800000000000002</v>
      </c>
      <c r="J23" s="52">
        <v>0.98</v>
      </c>
      <c r="K23" s="52">
        <v>340.82</v>
      </c>
      <c r="L23" s="52">
        <v>34.22</v>
      </c>
      <c r="M23" s="52">
        <v>67.05</v>
      </c>
      <c r="N23" s="52">
        <v>245.3</v>
      </c>
      <c r="O23" s="52">
        <v>0</v>
      </c>
      <c r="P23" s="52">
        <v>0.76</v>
      </c>
      <c r="Q23" s="52">
        <v>9.26</v>
      </c>
      <c r="R23" s="43"/>
      <c r="S23" s="43"/>
      <c r="T23" s="43"/>
      <c r="U23" s="43"/>
    </row>
    <row r="24" spans="1:21" s="11" customFormat="1" x14ac:dyDescent="0.25">
      <c r="A24" s="51" t="s">
        <v>507</v>
      </c>
      <c r="B24" s="52">
        <v>7.96</v>
      </c>
      <c r="C24" s="52">
        <v>3.15</v>
      </c>
      <c r="D24" s="52">
        <v>11.8</v>
      </c>
      <c r="E24" s="52">
        <v>5.93</v>
      </c>
      <c r="F24" s="52">
        <v>6.2</v>
      </c>
      <c r="G24" s="52">
        <v>163.95</v>
      </c>
      <c r="H24" s="57" t="s">
        <v>8</v>
      </c>
      <c r="I24" s="52">
        <v>3.64</v>
      </c>
      <c r="J24" s="52">
        <v>0.51</v>
      </c>
      <c r="K24" s="52">
        <v>335.58</v>
      </c>
      <c r="L24" s="52">
        <v>33.770000000000003</v>
      </c>
      <c r="M24" s="52">
        <v>66.8</v>
      </c>
      <c r="N24" s="52">
        <v>180.2</v>
      </c>
      <c r="O24" s="52">
        <v>0</v>
      </c>
      <c r="P24" s="52">
        <v>0.68</v>
      </c>
      <c r="Q24" s="52">
        <v>9.4499999999999993</v>
      </c>
      <c r="R24" s="43"/>
      <c r="S24" s="43"/>
      <c r="T24" s="43"/>
      <c r="U24" s="43"/>
    </row>
    <row r="25" spans="1:21" s="11" customFormat="1" x14ac:dyDescent="0.25">
      <c r="A25" s="51" t="s">
        <v>508</v>
      </c>
      <c r="B25" s="52">
        <v>8</v>
      </c>
      <c r="C25" s="52">
        <v>3.09</v>
      </c>
      <c r="D25" s="52">
        <v>11.8</v>
      </c>
      <c r="E25" s="52">
        <v>5.96</v>
      </c>
      <c r="F25" s="52">
        <v>5.16</v>
      </c>
      <c r="G25" s="52">
        <v>183.32</v>
      </c>
      <c r="H25" s="57" t="s">
        <v>8</v>
      </c>
      <c r="I25" s="52">
        <v>4.1900000000000004</v>
      </c>
      <c r="J25" s="52">
        <v>0.79</v>
      </c>
      <c r="K25" s="52">
        <v>331.75</v>
      </c>
      <c r="L25" s="52">
        <v>33.6</v>
      </c>
      <c r="M25" s="52">
        <v>68.7</v>
      </c>
      <c r="N25" s="52">
        <v>119</v>
      </c>
      <c r="O25" s="52">
        <v>0</v>
      </c>
      <c r="P25" s="52">
        <v>0.67</v>
      </c>
      <c r="Q25" s="52">
        <v>9.57</v>
      </c>
      <c r="R25" s="43"/>
      <c r="S25" s="43"/>
      <c r="T25" s="43"/>
      <c r="U25" s="43"/>
    </row>
    <row r="26" spans="1:21" s="11" customFormat="1" x14ac:dyDescent="0.25">
      <c r="A26" s="51" t="s">
        <v>509</v>
      </c>
      <c r="B26" s="52">
        <v>8.01</v>
      </c>
      <c r="C26" s="52">
        <v>3.12</v>
      </c>
      <c r="D26" s="52">
        <v>11.8</v>
      </c>
      <c r="E26" s="52">
        <v>5.88</v>
      </c>
      <c r="F26" s="52">
        <v>5.17</v>
      </c>
      <c r="G26" s="52">
        <v>183.32</v>
      </c>
      <c r="H26" s="57" t="s">
        <v>8</v>
      </c>
      <c r="I26" s="52">
        <v>4.8600000000000003</v>
      </c>
      <c r="J26" s="52">
        <v>1.1000000000000001</v>
      </c>
      <c r="K26" s="52">
        <v>118.06</v>
      </c>
      <c r="L26" s="52">
        <v>32.19</v>
      </c>
      <c r="M26" s="52">
        <v>71.2</v>
      </c>
      <c r="N26" s="52">
        <v>97.7</v>
      </c>
      <c r="O26" s="52">
        <v>0</v>
      </c>
      <c r="P26" s="52">
        <v>0.64</v>
      </c>
      <c r="Q26" s="52">
        <v>9.5</v>
      </c>
      <c r="R26" s="43"/>
      <c r="S26" s="43"/>
      <c r="T26" s="43"/>
      <c r="U26" s="43"/>
    </row>
    <row r="27" spans="1:21" s="11" customFormat="1" x14ac:dyDescent="0.25">
      <c r="A27" s="51" t="s">
        <v>510</v>
      </c>
      <c r="B27" s="52">
        <v>8</v>
      </c>
      <c r="C27" s="52">
        <v>3.03</v>
      </c>
      <c r="D27" s="52">
        <v>11.77</v>
      </c>
      <c r="E27" s="52">
        <v>5.79</v>
      </c>
      <c r="F27" s="52">
        <v>3.71</v>
      </c>
      <c r="G27" s="52">
        <v>148</v>
      </c>
      <c r="H27" s="57" t="s">
        <v>8</v>
      </c>
      <c r="I27" s="52">
        <v>5.33</v>
      </c>
      <c r="J27" s="52">
        <v>0.75</v>
      </c>
      <c r="K27" s="52">
        <v>341.15</v>
      </c>
      <c r="L27" s="52">
        <v>31.79</v>
      </c>
      <c r="M27" s="52">
        <v>76.680000000000007</v>
      </c>
      <c r="N27" s="52">
        <v>55.4</v>
      </c>
      <c r="O27" s="52">
        <v>0</v>
      </c>
      <c r="P27" s="52">
        <v>0.68</v>
      </c>
      <c r="Q27" s="52">
        <v>9.44</v>
      </c>
      <c r="R27" s="43"/>
      <c r="S27" s="43"/>
      <c r="T27" s="43"/>
      <c r="U27" s="43"/>
    </row>
    <row r="28" spans="1:21" s="11" customFormat="1" x14ac:dyDescent="0.25">
      <c r="A28" s="51" t="s">
        <v>511</v>
      </c>
      <c r="B28" s="52">
        <v>8.0399999999999991</v>
      </c>
      <c r="C28" s="52">
        <v>3.12</v>
      </c>
      <c r="D28" s="52">
        <v>11.85</v>
      </c>
      <c r="E28" s="52">
        <v>6.18</v>
      </c>
      <c r="F28" s="52">
        <v>4.93</v>
      </c>
      <c r="G28" s="52">
        <v>111.55</v>
      </c>
      <c r="H28" s="57" t="s">
        <v>8</v>
      </c>
      <c r="I28" s="52">
        <v>5.62</v>
      </c>
      <c r="J28" s="52">
        <v>0.63</v>
      </c>
      <c r="K28" s="52">
        <v>344.35</v>
      </c>
      <c r="L28" s="52">
        <v>30.77</v>
      </c>
      <c r="M28" s="52">
        <v>84.56</v>
      </c>
      <c r="N28" s="52">
        <v>40</v>
      </c>
      <c r="O28" s="52">
        <v>0</v>
      </c>
      <c r="P28" s="52">
        <v>0.83</v>
      </c>
      <c r="Q28" s="52">
        <v>9.51</v>
      </c>
      <c r="R28" s="43"/>
      <c r="S28" s="43"/>
      <c r="T28" s="43"/>
      <c r="U28" s="43"/>
    </row>
    <row r="29" spans="1:21" s="11" customFormat="1" x14ac:dyDescent="0.25">
      <c r="A29" s="51" t="s">
        <v>512</v>
      </c>
      <c r="B29" s="52">
        <v>8.0500000000000007</v>
      </c>
      <c r="C29" s="52">
        <v>3.17</v>
      </c>
      <c r="D29" s="52">
        <v>11.89</v>
      </c>
      <c r="E29" s="52">
        <v>4.67</v>
      </c>
      <c r="F29" s="52">
        <v>4.8099999999999996</v>
      </c>
      <c r="G29" s="52">
        <v>111.6</v>
      </c>
      <c r="H29" s="57" t="s">
        <v>8</v>
      </c>
      <c r="I29" s="52">
        <v>5.64</v>
      </c>
      <c r="J29" s="52">
        <v>1.57</v>
      </c>
      <c r="K29" s="52">
        <v>334.26</v>
      </c>
      <c r="L29" s="52">
        <v>29.92</v>
      </c>
      <c r="M29" s="52">
        <v>95.57</v>
      </c>
      <c r="N29" s="52">
        <v>40.299999999999997</v>
      </c>
      <c r="O29" s="52">
        <v>0</v>
      </c>
      <c r="P29" s="52">
        <v>0.85</v>
      </c>
      <c r="Q29" s="52">
        <v>9.6199999999999992</v>
      </c>
      <c r="R29" s="43"/>
      <c r="S29" s="43"/>
      <c r="T29" s="43"/>
      <c r="U29" s="43"/>
    </row>
    <row r="30" spans="1:21" s="11" customFormat="1" x14ac:dyDescent="0.25">
      <c r="A30" s="51" t="s">
        <v>513</v>
      </c>
      <c r="B30" s="52">
        <v>8.0500000000000007</v>
      </c>
      <c r="C30" s="52">
        <v>3.11</v>
      </c>
      <c r="D30" s="52">
        <v>11.85</v>
      </c>
      <c r="E30" s="52">
        <v>4.62</v>
      </c>
      <c r="F30" s="52">
        <v>4.21</v>
      </c>
      <c r="G30" s="52">
        <v>111.6</v>
      </c>
      <c r="H30" s="57" t="s">
        <v>8</v>
      </c>
      <c r="I30" s="52">
        <v>5.0999999999999996</v>
      </c>
      <c r="J30" s="52">
        <v>1.1000000000000001</v>
      </c>
      <c r="K30" s="52">
        <v>341.7</v>
      </c>
      <c r="L30" s="52">
        <v>28.89</v>
      </c>
      <c r="M30" s="52">
        <v>97.3</v>
      </c>
      <c r="N30" s="52">
        <v>39.9</v>
      </c>
      <c r="O30" s="52">
        <v>0</v>
      </c>
      <c r="P30" s="52">
        <v>0.8</v>
      </c>
      <c r="Q30" s="52">
        <v>9.56</v>
      </c>
      <c r="R30" s="43"/>
      <c r="S30" s="43"/>
      <c r="T30" s="43"/>
      <c r="U30" s="43"/>
    </row>
    <row r="31" spans="1:21" s="11" customFormat="1" x14ac:dyDescent="0.25">
      <c r="A31" s="51" t="s">
        <v>514</v>
      </c>
      <c r="B31" s="52">
        <v>8.1</v>
      </c>
      <c r="C31" s="52">
        <v>3.19</v>
      </c>
      <c r="D31" s="52">
        <v>11.93</v>
      </c>
      <c r="E31" s="52">
        <v>4.5</v>
      </c>
      <c r="F31" s="52">
        <v>3.58</v>
      </c>
      <c r="G31" s="52">
        <v>98.19</v>
      </c>
      <c r="H31" s="57" t="s">
        <v>8</v>
      </c>
      <c r="I31" s="52">
        <v>4.3099999999999996</v>
      </c>
      <c r="J31" s="52">
        <v>1.1399999999999999</v>
      </c>
      <c r="K31" s="52">
        <v>340.8</v>
      </c>
      <c r="L31" s="52">
        <v>28.36</v>
      </c>
      <c r="M31" s="52">
        <v>99.42</v>
      </c>
      <c r="N31" s="52">
        <v>39.700000000000003</v>
      </c>
      <c r="O31" s="52">
        <v>0</v>
      </c>
      <c r="P31" s="52">
        <v>0.77</v>
      </c>
      <c r="Q31" s="52">
        <v>9.6300000000000008</v>
      </c>
      <c r="R31" s="43"/>
      <c r="S31" s="43"/>
      <c r="T31" s="43"/>
      <c r="U31" s="43"/>
    </row>
    <row r="32" spans="1:21" s="11" customFormat="1" x14ac:dyDescent="0.25">
      <c r="A32" s="51" t="s">
        <v>515</v>
      </c>
      <c r="B32" s="52">
        <v>8.08</v>
      </c>
      <c r="C32" s="52">
        <v>3.11</v>
      </c>
      <c r="D32" s="52">
        <v>11.88</v>
      </c>
      <c r="E32" s="52">
        <v>5.12</v>
      </c>
      <c r="F32" s="52">
        <v>4.3499999999999996</v>
      </c>
      <c r="G32" s="52">
        <v>88.8</v>
      </c>
      <c r="H32" s="57" t="s">
        <v>8</v>
      </c>
      <c r="I32" s="52">
        <v>4.51</v>
      </c>
      <c r="J32" s="52">
        <v>0.23</v>
      </c>
      <c r="K32" s="52">
        <v>343.07</v>
      </c>
      <c r="L32" s="52">
        <v>28.02</v>
      </c>
      <c r="M32" s="52">
        <v>101.3</v>
      </c>
      <c r="N32" s="52">
        <v>39.700000000000003</v>
      </c>
      <c r="O32" s="52">
        <v>0</v>
      </c>
      <c r="P32" s="52">
        <v>0.74</v>
      </c>
      <c r="Q32" s="52">
        <v>9.65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7.96</v>
      </c>
      <c r="C34" s="28">
        <f t="shared" si="0"/>
        <v>3.03</v>
      </c>
      <c r="D34" s="28">
        <f t="shared" si="0"/>
        <v>11.77</v>
      </c>
      <c r="E34" s="28">
        <f t="shared" si="0"/>
        <v>4.01</v>
      </c>
      <c r="F34" s="28">
        <f t="shared" si="0"/>
        <v>3.5</v>
      </c>
      <c r="G34" s="28">
        <f t="shared" si="0"/>
        <v>74.7</v>
      </c>
      <c r="H34" s="28">
        <f t="shared" si="0"/>
        <v>0</v>
      </c>
      <c r="I34" s="28">
        <f t="shared" si="0"/>
        <v>2.1800000000000002</v>
      </c>
      <c r="J34" s="28">
        <f t="shared" si="0"/>
        <v>0.18</v>
      </c>
      <c r="K34" s="28">
        <f t="shared" si="0"/>
        <v>111.85</v>
      </c>
      <c r="L34" s="28">
        <f t="shared" si="0"/>
        <v>25.65</v>
      </c>
      <c r="M34" s="28">
        <f t="shared" si="0"/>
        <v>59.81</v>
      </c>
      <c r="N34" s="28">
        <f t="shared" si="0"/>
        <v>39.700000000000003</v>
      </c>
      <c r="O34" s="28">
        <f t="shared" si="0"/>
        <v>0</v>
      </c>
      <c r="P34" s="28">
        <f t="shared" si="0"/>
        <v>0.51</v>
      </c>
      <c r="Q34" s="28">
        <f t="shared" si="0"/>
        <v>9.26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8.26</v>
      </c>
      <c r="C35" s="29">
        <f t="shared" si="1"/>
        <v>3.47</v>
      </c>
      <c r="D35" s="29">
        <f t="shared" si="1"/>
        <v>12.21</v>
      </c>
      <c r="E35" s="29">
        <f t="shared" si="1"/>
        <v>10.82</v>
      </c>
      <c r="F35" s="29">
        <f t="shared" si="1"/>
        <v>23.83</v>
      </c>
      <c r="G35" s="29">
        <f t="shared" si="1"/>
        <v>183.32</v>
      </c>
      <c r="H35" s="29">
        <f t="shared" si="1"/>
        <v>0</v>
      </c>
      <c r="I35" s="29">
        <f t="shared" si="1"/>
        <v>7.67</v>
      </c>
      <c r="J35" s="29">
        <f t="shared" si="1"/>
        <v>1.57</v>
      </c>
      <c r="K35" s="29">
        <f t="shared" si="1"/>
        <v>346.13</v>
      </c>
      <c r="L35" s="29">
        <f t="shared" si="1"/>
        <v>37.840000000000003</v>
      </c>
      <c r="M35" s="29">
        <f t="shared" si="1"/>
        <v>103.51</v>
      </c>
      <c r="N35" s="29">
        <f t="shared" si="1"/>
        <v>972.5</v>
      </c>
      <c r="O35" s="29">
        <f t="shared" si="1"/>
        <v>0</v>
      </c>
      <c r="P35" s="29">
        <f t="shared" si="1"/>
        <v>1.0900000000000001</v>
      </c>
      <c r="Q35" s="29">
        <f t="shared" si="1"/>
        <v>9.81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8.0491666666666681</v>
      </c>
      <c r="C36" s="28">
        <f t="shared" si="2"/>
        <v>3.151666666666666</v>
      </c>
      <c r="D36" s="28">
        <f t="shared" si="2"/>
        <v>11.872500000000004</v>
      </c>
      <c r="E36" s="28">
        <f t="shared" si="2"/>
        <v>5.2300000000000013</v>
      </c>
      <c r="F36" s="28">
        <f t="shared" si="2"/>
        <v>6.3341666666666674</v>
      </c>
      <c r="G36" s="28">
        <f t="shared" si="2"/>
        <v>118.40238095238097</v>
      </c>
      <c r="H36" s="28" t="e">
        <f t="shared" si="2"/>
        <v>#DIV/0!</v>
      </c>
      <c r="I36" s="28">
        <f t="shared" si="2"/>
        <v>5.6137499999999996</v>
      </c>
      <c r="J36" s="28">
        <f t="shared" si="2"/>
        <v>0.67874999999999996</v>
      </c>
      <c r="K36" s="28">
        <f t="shared" si="2"/>
        <v>309.54874999999998</v>
      </c>
      <c r="L36" s="28">
        <f t="shared" si="2"/>
        <v>30.717083333333331</v>
      </c>
      <c r="M36" s="28">
        <f t="shared" si="2"/>
        <v>86.113749999999996</v>
      </c>
      <c r="N36" s="28">
        <f t="shared" si="2"/>
        <v>288.56249999999994</v>
      </c>
      <c r="O36" s="28">
        <f t="shared" si="2"/>
        <v>0</v>
      </c>
      <c r="P36" s="28">
        <f t="shared" si="2"/>
        <v>0.76750000000000007</v>
      </c>
      <c r="Q36" s="28">
        <f t="shared" si="2"/>
        <v>9.572499999999998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6.6849387279990458E-2</v>
      </c>
      <c r="C37" s="28">
        <f t="shared" ref="C37:Q37" si="3">STDEV(C9:C32)</f>
        <v>9.034555241172483E-2</v>
      </c>
      <c r="D37" s="28">
        <f t="shared" si="3"/>
        <v>9.633501327455514E-2</v>
      </c>
      <c r="E37" s="28">
        <f t="shared" si="3"/>
        <v>1.3320138398549759</v>
      </c>
      <c r="F37" s="28">
        <f t="shared" si="3"/>
        <v>4.8812702522358169</v>
      </c>
      <c r="G37" s="28">
        <f t="shared" si="3"/>
        <v>35.500702796530931</v>
      </c>
      <c r="H37" s="28" t="e">
        <f t="shared" si="3"/>
        <v>#DIV/0!</v>
      </c>
      <c r="I37" s="28">
        <f t="shared" si="3"/>
        <v>1.7992505988303324</v>
      </c>
      <c r="J37" s="28">
        <f t="shared" si="3"/>
        <v>0.40190105314833313</v>
      </c>
      <c r="K37" s="28">
        <f t="shared" si="3"/>
        <v>75.627691978677532</v>
      </c>
      <c r="L37" s="28">
        <f t="shared" si="3"/>
        <v>4.1052611834155348</v>
      </c>
      <c r="M37" s="28">
        <f t="shared" si="3"/>
        <v>17.059235624983188</v>
      </c>
      <c r="N37" s="28">
        <f t="shared" si="3"/>
        <v>344.80131495323252</v>
      </c>
      <c r="O37" s="28">
        <f t="shared" si="3"/>
        <v>0</v>
      </c>
      <c r="P37" s="28">
        <f t="shared" si="3"/>
        <v>0.14438023470653069</v>
      </c>
      <c r="Q37" s="28">
        <f t="shared" si="3"/>
        <v>0.13860328122096321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COUNT(H9:H32)+24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516</v>
      </c>
      <c r="B9" s="52">
        <v>8.02</v>
      </c>
      <c r="C9" s="52">
        <v>3.11</v>
      </c>
      <c r="D9" s="52">
        <v>11.82</v>
      </c>
      <c r="E9" s="52">
        <v>5.39</v>
      </c>
      <c r="F9" s="52">
        <v>4.72</v>
      </c>
      <c r="G9" s="52">
        <v>71.56</v>
      </c>
      <c r="H9" s="57" t="s">
        <v>8</v>
      </c>
      <c r="I9" s="52">
        <v>4.49</v>
      </c>
      <c r="J9" s="52">
        <v>0.28999999999999998</v>
      </c>
      <c r="K9" s="52">
        <v>352.95</v>
      </c>
      <c r="L9" s="52">
        <v>27.93</v>
      </c>
      <c r="M9" s="52">
        <v>103.12</v>
      </c>
      <c r="N9" s="52">
        <v>39.799999999999997</v>
      </c>
      <c r="O9" s="52">
        <v>0</v>
      </c>
      <c r="P9" s="52">
        <v>0.68</v>
      </c>
      <c r="Q9" s="52">
        <v>9.56</v>
      </c>
      <c r="R9" s="43"/>
      <c r="S9" s="43"/>
      <c r="T9" s="43"/>
      <c r="U9" s="43"/>
    </row>
    <row r="10" spans="1:21" s="11" customFormat="1" x14ac:dyDescent="0.25">
      <c r="A10" s="51" t="s">
        <v>517</v>
      </c>
      <c r="B10" s="52">
        <v>8.0299999999999994</v>
      </c>
      <c r="C10" s="52">
        <v>3.03</v>
      </c>
      <c r="D10" s="52">
        <v>11.79</v>
      </c>
      <c r="E10" s="52">
        <v>4.96</v>
      </c>
      <c r="F10" s="52">
        <v>4.63</v>
      </c>
      <c r="G10" s="52">
        <v>66.349999999999994</v>
      </c>
      <c r="H10" s="57" t="s">
        <v>8</v>
      </c>
      <c r="I10" s="52">
        <v>4.1399999999999997</v>
      </c>
      <c r="J10" s="52">
        <v>0.26</v>
      </c>
      <c r="K10" s="52">
        <v>350.45</v>
      </c>
      <c r="L10" s="52">
        <v>27.87</v>
      </c>
      <c r="M10" s="52">
        <v>103.15</v>
      </c>
      <c r="N10" s="52">
        <v>39.6</v>
      </c>
      <c r="O10" s="52">
        <v>0</v>
      </c>
      <c r="P10" s="52">
        <v>0.55000000000000004</v>
      </c>
      <c r="Q10" s="52">
        <v>9.48</v>
      </c>
      <c r="R10" s="43"/>
      <c r="S10" s="43"/>
      <c r="T10" s="43"/>
      <c r="U10" s="43"/>
    </row>
    <row r="11" spans="1:21" s="11" customFormat="1" x14ac:dyDescent="0.25">
      <c r="A11" s="51" t="s">
        <v>518</v>
      </c>
      <c r="B11" s="52">
        <v>7.99</v>
      </c>
      <c r="C11" s="52">
        <v>2.99</v>
      </c>
      <c r="D11" s="52">
        <v>11.74</v>
      </c>
      <c r="E11" s="52">
        <v>4.83</v>
      </c>
      <c r="F11" s="52">
        <v>4.12</v>
      </c>
      <c r="G11" s="52">
        <v>49.65</v>
      </c>
      <c r="H11" s="57" t="s">
        <v>8</v>
      </c>
      <c r="I11" s="52">
        <v>3.21</v>
      </c>
      <c r="J11" s="52">
        <v>0.28000000000000003</v>
      </c>
      <c r="K11" s="52">
        <v>357.57</v>
      </c>
      <c r="L11" s="52">
        <v>27.73</v>
      </c>
      <c r="M11" s="52">
        <v>103.01</v>
      </c>
      <c r="N11" s="52">
        <v>39.799999999999997</v>
      </c>
      <c r="O11" s="52">
        <v>0</v>
      </c>
      <c r="P11" s="52">
        <v>0.46</v>
      </c>
      <c r="Q11" s="52">
        <v>9.4</v>
      </c>
      <c r="R11" s="43"/>
      <c r="S11" s="43"/>
      <c r="T11" s="43"/>
      <c r="U11" s="43"/>
    </row>
    <row r="12" spans="1:21" s="11" customFormat="1" x14ac:dyDescent="0.25">
      <c r="A12" s="51" t="s">
        <v>519</v>
      </c>
      <c r="B12" s="52">
        <v>8.01</v>
      </c>
      <c r="C12" s="52">
        <v>2.97</v>
      </c>
      <c r="D12" s="52">
        <v>11.73</v>
      </c>
      <c r="E12" s="52">
        <v>4.83</v>
      </c>
      <c r="F12" s="52">
        <v>5.26</v>
      </c>
      <c r="G12" s="52">
        <v>42.48</v>
      </c>
      <c r="H12" s="57" t="s">
        <v>8</v>
      </c>
      <c r="I12" s="52">
        <v>2.4900000000000002</v>
      </c>
      <c r="J12" s="52">
        <v>0.2</v>
      </c>
      <c r="K12" s="52">
        <v>342.8</v>
      </c>
      <c r="L12" s="52">
        <v>27.43</v>
      </c>
      <c r="M12" s="52">
        <v>102.87</v>
      </c>
      <c r="N12" s="52">
        <v>40</v>
      </c>
      <c r="O12" s="52">
        <v>0</v>
      </c>
      <c r="P12" s="52">
        <v>0.39</v>
      </c>
      <c r="Q12" s="52">
        <v>9.33</v>
      </c>
      <c r="R12" s="43"/>
      <c r="S12" s="43"/>
      <c r="T12" s="43"/>
      <c r="U12" s="43"/>
    </row>
    <row r="13" spans="1:21" s="11" customFormat="1" x14ac:dyDescent="0.25">
      <c r="A13" s="51" t="s">
        <v>520</v>
      </c>
      <c r="B13" s="52">
        <v>7.95</v>
      </c>
      <c r="C13" s="52">
        <v>2.99</v>
      </c>
      <c r="D13" s="52">
        <v>11.71</v>
      </c>
      <c r="E13" s="52">
        <v>5.92</v>
      </c>
      <c r="F13" s="52">
        <v>5.76</v>
      </c>
      <c r="G13" s="52">
        <v>35.74</v>
      </c>
      <c r="H13" s="57" t="s">
        <v>8</v>
      </c>
      <c r="I13" s="52">
        <v>1.98</v>
      </c>
      <c r="J13" s="52">
        <v>0.18</v>
      </c>
      <c r="K13" s="52">
        <v>355.62</v>
      </c>
      <c r="L13" s="52">
        <v>27.04</v>
      </c>
      <c r="M13" s="52">
        <v>102.86</v>
      </c>
      <c r="N13" s="52">
        <v>29.8</v>
      </c>
      <c r="O13" s="52">
        <v>0</v>
      </c>
      <c r="P13" s="52">
        <v>0.35</v>
      </c>
      <c r="Q13" s="52">
        <v>9.16</v>
      </c>
      <c r="R13" s="43"/>
      <c r="S13" s="43"/>
      <c r="T13" s="43"/>
      <c r="U13" s="43"/>
    </row>
    <row r="14" spans="1:21" s="11" customFormat="1" x14ac:dyDescent="0.25">
      <c r="A14" s="51" t="s">
        <v>521</v>
      </c>
      <c r="B14" s="52">
        <v>7.97</v>
      </c>
      <c r="C14" s="52">
        <v>3.04</v>
      </c>
      <c r="D14" s="52">
        <v>11.74</v>
      </c>
      <c r="E14" s="52">
        <v>5.54</v>
      </c>
      <c r="F14" s="52">
        <v>4.84</v>
      </c>
      <c r="G14" s="52">
        <v>32.94</v>
      </c>
      <c r="H14" s="57" t="s">
        <v>8</v>
      </c>
      <c r="I14" s="52">
        <v>2.11</v>
      </c>
      <c r="J14" s="52">
        <v>0.19</v>
      </c>
      <c r="K14" s="52">
        <v>351.63</v>
      </c>
      <c r="L14" s="52">
        <v>26.84</v>
      </c>
      <c r="M14" s="52">
        <v>102.97</v>
      </c>
      <c r="N14" s="52">
        <v>0</v>
      </c>
      <c r="O14" s="52">
        <v>0</v>
      </c>
      <c r="P14" s="52">
        <v>0.31</v>
      </c>
      <c r="Q14" s="52">
        <v>9.23</v>
      </c>
      <c r="R14" s="43"/>
      <c r="S14" s="43"/>
      <c r="T14" s="43"/>
      <c r="U14" s="43"/>
    </row>
    <row r="15" spans="1:21" s="11" customFormat="1" x14ac:dyDescent="0.25">
      <c r="A15" s="51" t="s">
        <v>522</v>
      </c>
      <c r="B15" s="52">
        <v>8.02</v>
      </c>
      <c r="C15" s="52">
        <v>3.06</v>
      </c>
      <c r="D15" s="52">
        <v>11.8</v>
      </c>
      <c r="E15" s="52">
        <v>5.66</v>
      </c>
      <c r="F15" s="52">
        <v>3.82</v>
      </c>
      <c r="G15" s="52">
        <v>34.18</v>
      </c>
      <c r="H15" s="57" t="s">
        <v>8</v>
      </c>
      <c r="I15" s="52">
        <v>2.39</v>
      </c>
      <c r="J15" s="52">
        <v>0.15</v>
      </c>
      <c r="K15" s="52">
        <v>319.01</v>
      </c>
      <c r="L15" s="52">
        <v>26.9</v>
      </c>
      <c r="M15" s="52">
        <v>103.1</v>
      </c>
      <c r="N15" s="52">
        <v>88.3</v>
      </c>
      <c r="O15" s="52">
        <v>0</v>
      </c>
      <c r="P15" s="52">
        <v>0.3</v>
      </c>
      <c r="Q15" s="52">
        <v>9.2799999999999994</v>
      </c>
      <c r="R15" s="43"/>
      <c r="S15" s="43"/>
      <c r="T15" s="43"/>
      <c r="U15" s="43"/>
    </row>
    <row r="16" spans="1:21" s="11" customFormat="1" x14ac:dyDescent="0.25">
      <c r="A16" s="51" t="s">
        <v>523</v>
      </c>
      <c r="B16" s="52">
        <v>7.99</v>
      </c>
      <c r="C16" s="52">
        <v>3.02</v>
      </c>
      <c r="D16" s="52">
        <v>11.76</v>
      </c>
      <c r="E16" s="52">
        <v>5.72</v>
      </c>
      <c r="F16" s="52">
        <v>3.7</v>
      </c>
      <c r="G16" s="52">
        <v>39.799999999999997</v>
      </c>
      <c r="H16" s="57" t="s">
        <v>8</v>
      </c>
      <c r="I16" s="52">
        <v>2.83</v>
      </c>
      <c r="J16" s="52">
        <v>0.49</v>
      </c>
      <c r="K16" s="52">
        <v>335.68</v>
      </c>
      <c r="L16" s="52">
        <v>27.3</v>
      </c>
      <c r="M16" s="52">
        <v>103.37</v>
      </c>
      <c r="N16" s="52">
        <v>149</v>
      </c>
      <c r="O16" s="52">
        <v>0</v>
      </c>
      <c r="P16" s="52">
        <v>0.34</v>
      </c>
      <c r="Q16" s="52">
        <v>9.31</v>
      </c>
      <c r="R16" s="43"/>
      <c r="S16" s="43"/>
      <c r="T16" s="43"/>
      <c r="U16" s="43"/>
    </row>
    <row r="17" spans="1:21" s="11" customFormat="1" x14ac:dyDescent="0.25">
      <c r="A17" s="51" t="s">
        <v>524</v>
      </c>
      <c r="B17" s="52">
        <v>8.0299999999999994</v>
      </c>
      <c r="C17" s="52">
        <v>3.11</v>
      </c>
      <c r="D17" s="52">
        <v>11.84</v>
      </c>
      <c r="E17" s="52">
        <v>4.25</v>
      </c>
      <c r="F17" s="52">
        <v>4.7</v>
      </c>
      <c r="G17" s="52">
        <v>42.27</v>
      </c>
      <c r="H17" s="57" t="s">
        <v>8</v>
      </c>
      <c r="I17" s="52">
        <v>3.18</v>
      </c>
      <c r="J17" s="52">
        <v>0.36</v>
      </c>
      <c r="K17" s="52">
        <v>340.43</v>
      </c>
      <c r="L17" s="52">
        <v>28.14</v>
      </c>
      <c r="M17" s="52">
        <v>103.67</v>
      </c>
      <c r="N17" s="52">
        <v>181.3</v>
      </c>
      <c r="O17" s="52">
        <v>0</v>
      </c>
      <c r="P17" s="52">
        <v>0.35</v>
      </c>
      <c r="Q17" s="52">
        <v>9.31</v>
      </c>
      <c r="R17" s="43"/>
      <c r="S17" s="43"/>
      <c r="T17" s="43"/>
      <c r="U17" s="43"/>
    </row>
    <row r="18" spans="1:21" s="11" customFormat="1" x14ac:dyDescent="0.25">
      <c r="A18" s="51" t="s">
        <v>525</v>
      </c>
      <c r="B18" s="52">
        <v>7.99</v>
      </c>
      <c r="C18" s="52">
        <v>3.01</v>
      </c>
      <c r="D18" s="52">
        <v>11.75</v>
      </c>
      <c r="E18" s="52">
        <v>4.2699999999999996</v>
      </c>
      <c r="F18" s="52">
        <v>4.62</v>
      </c>
      <c r="G18" s="52">
        <v>43.34</v>
      </c>
      <c r="H18" s="57" t="s">
        <v>8</v>
      </c>
      <c r="I18" s="52">
        <v>3.21</v>
      </c>
      <c r="J18" s="52">
        <v>0.5</v>
      </c>
      <c r="K18" s="52">
        <v>332.9</v>
      </c>
      <c r="L18" s="52">
        <v>28.54</v>
      </c>
      <c r="M18" s="52">
        <v>102.97</v>
      </c>
      <c r="N18" s="52">
        <v>137.9</v>
      </c>
      <c r="O18" s="52">
        <v>0</v>
      </c>
      <c r="P18" s="52">
        <v>0.36</v>
      </c>
      <c r="Q18" s="52">
        <v>9.3000000000000007</v>
      </c>
      <c r="R18" s="43"/>
      <c r="S18" s="43"/>
      <c r="T18" s="43"/>
      <c r="U18" s="43"/>
    </row>
    <row r="19" spans="1:21" s="11" customFormat="1" x14ac:dyDescent="0.25">
      <c r="A19" s="51" t="s">
        <v>526</v>
      </c>
      <c r="B19" s="52">
        <v>8</v>
      </c>
      <c r="C19" s="52">
        <v>3.03</v>
      </c>
      <c r="D19" s="52">
        <v>11.78</v>
      </c>
      <c r="E19" s="52">
        <v>3.88</v>
      </c>
      <c r="F19" s="52">
        <v>3.72</v>
      </c>
      <c r="G19" s="52">
        <v>43.34</v>
      </c>
      <c r="H19" s="57" t="s">
        <v>8</v>
      </c>
      <c r="I19" s="52">
        <v>3.04</v>
      </c>
      <c r="J19" s="52">
        <v>0.2</v>
      </c>
      <c r="K19" s="52">
        <v>338.96</v>
      </c>
      <c r="L19" s="52">
        <v>29.45</v>
      </c>
      <c r="M19" s="52">
        <v>99.4</v>
      </c>
      <c r="N19" s="52">
        <v>285.89999999999998</v>
      </c>
      <c r="O19" s="52">
        <v>0</v>
      </c>
      <c r="P19" s="52">
        <v>0.37</v>
      </c>
      <c r="Q19" s="52">
        <v>9.2899999999999991</v>
      </c>
      <c r="R19" s="43"/>
      <c r="S19" s="43"/>
      <c r="T19" s="43"/>
      <c r="U19" s="43"/>
    </row>
    <row r="20" spans="1:21" s="11" customFormat="1" x14ac:dyDescent="0.25">
      <c r="A20" s="51" t="s">
        <v>527</v>
      </c>
      <c r="B20" s="52">
        <v>8.01</v>
      </c>
      <c r="C20" s="52">
        <v>3.06</v>
      </c>
      <c r="D20" s="52">
        <v>11.79</v>
      </c>
      <c r="E20" s="52">
        <v>4.3600000000000003</v>
      </c>
      <c r="F20" s="52">
        <v>12.64</v>
      </c>
      <c r="G20" s="52">
        <v>39.25</v>
      </c>
      <c r="H20" s="57" t="s">
        <v>8</v>
      </c>
      <c r="I20" s="52">
        <v>2.74</v>
      </c>
      <c r="J20" s="52">
        <v>0.18</v>
      </c>
      <c r="K20" s="52">
        <v>343.27</v>
      </c>
      <c r="L20" s="52">
        <v>29.91</v>
      </c>
      <c r="M20" s="52">
        <v>96.66</v>
      </c>
      <c r="N20" s="52">
        <v>372.9</v>
      </c>
      <c r="O20" s="52">
        <v>0</v>
      </c>
      <c r="P20" s="52">
        <v>0.37</v>
      </c>
      <c r="Q20" s="52">
        <v>9.3000000000000007</v>
      </c>
      <c r="R20" s="43"/>
      <c r="S20" s="43"/>
      <c r="T20" s="43"/>
      <c r="U20" s="43"/>
    </row>
    <row r="21" spans="1:21" s="11" customFormat="1" x14ac:dyDescent="0.25">
      <c r="A21" s="51" t="s">
        <v>528</v>
      </c>
      <c r="B21" s="52">
        <v>7.99</v>
      </c>
      <c r="C21" s="52">
        <v>3.07</v>
      </c>
      <c r="D21" s="52">
        <v>11.78</v>
      </c>
      <c r="E21" s="52">
        <v>4.2300000000000004</v>
      </c>
      <c r="F21" s="52">
        <v>8.66</v>
      </c>
      <c r="G21" s="52">
        <v>39.25</v>
      </c>
      <c r="H21" s="57" t="s">
        <v>8</v>
      </c>
      <c r="I21" s="52">
        <v>1.61</v>
      </c>
      <c r="J21" s="52">
        <v>0.15</v>
      </c>
      <c r="K21" s="52">
        <v>263.45999999999998</v>
      </c>
      <c r="L21" s="52">
        <v>31.46</v>
      </c>
      <c r="M21" s="52">
        <v>93.59</v>
      </c>
      <c r="N21" s="52">
        <v>165.5</v>
      </c>
      <c r="O21" s="52">
        <v>0</v>
      </c>
      <c r="P21" s="52">
        <v>0.33</v>
      </c>
      <c r="Q21" s="52">
        <v>9.1999999999999993</v>
      </c>
      <c r="R21" s="43"/>
      <c r="S21" s="43"/>
      <c r="T21" s="43"/>
      <c r="U21" s="43"/>
    </row>
    <row r="22" spans="1:21" s="11" customFormat="1" x14ac:dyDescent="0.25">
      <c r="A22" s="51" t="s">
        <v>529</v>
      </c>
      <c r="B22" s="52">
        <v>8.07</v>
      </c>
      <c r="C22" s="52">
        <v>3.4</v>
      </c>
      <c r="D22" s="52">
        <v>12.03</v>
      </c>
      <c r="E22" s="52">
        <v>5.47</v>
      </c>
      <c r="F22" s="52">
        <v>9.61</v>
      </c>
      <c r="G22" s="52">
        <v>45.18</v>
      </c>
      <c r="H22" s="57" t="s">
        <v>8</v>
      </c>
      <c r="I22" s="52">
        <v>1.62</v>
      </c>
      <c r="J22" s="52">
        <v>1.29</v>
      </c>
      <c r="K22" s="52">
        <v>162.97</v>
      </c>
      <c r="L22" s="52">
        <v>31.27</v>
      </c>
      <c r="M22" s="52">
        <v>90.57</v>
      </c>
      <c r="N22" s="52">
        <v>261.2</v>
      </c>
      <c r="O22" s="52">
        <v>0</v>
      </c>
      <c r="P22" s="52">
        <v>0.31</v>
      </c>
      <c r="Q22" s="52">
        <v>9.1300000000000008</v>
      </c>
      <c r="R22" s="43"/>
      <c r="S22" s="43"/>
      <c r="T22" s="43"/>
      <c r="U22" s="43"/>
    </row>
    <row r="23" spans="1:21" s="11" customFormat="1" x14ac:dyDescent="0.25">
      <c r="A23" s="51" t="s">
        <v>530</v>
      </c>
      <c r="B23" s="52">
        <v>8.4700000000000006</v>
      </c>
      <c r="C23" s="52">
        <v>4.72</v>
      </c>
      <c r="D23" s="52">
        <v>12.97</v>
      </c>
      <c r="E23" s="52">
        <v>4.26</v>
      </c>
      <c r="F23" s="52">
        <v>16.04</v>
      </c>
      <c r="G23" s="52">
        <v>45.18</v>
      </c>
      <c r="H23" s="57" t="s">
        <v>8</v>
      </c>
      <c r="I23" s="52">
        <v>2.04</v>
      </c>
      <c r="J23" s="52">
        <v>0.63</v>
      </c>
      <c r="K23" s="52">
        <v>172.81</v>
      </c>
      <c r="L23" s="52">
        <v>31.46</v>
      </c>
      <c r="M23" s="52">
        <v>86.09</v>
      </c>
      <c r="N23" s="52">
        <v>285.8</v>
      </c>
      <c r="O23" s="52">
        <v>0</v>
      </c>
      <c r="P23" s="52">
        <v>0.28999999999999998</v>
      </c>
      <c r="Q23" s="52">
        <v>9.4600000000000009</v>
      </c>
      <c r="R23" s="43"/>
      <c r="S23" s="43"/>
      <c r="T23" s="43"/>
      <c r="U23" s="43"/>
    </row>
    <row r="24" spans="1:21" s="11" customFormat="1" x14ac:dyDescent="0.25">
      <c r="A24" s="51" t="s">
        <v>531</v>
      </c>
      <c r="B24" s="52">
        <v>8.07</v>
      </c>
      <c r="C24" s="52">
        <v>3.5</v>
      </c>
      <c r="D24" s="52">
        <v>12.08</v>
      </c>
      <c r="E24" s="52">
        <v>4.09</v>
      </c>
      <c r="F24" s="52">
        <v>15.64</v>
      </c>
      <c r="G24" s="52">
        <v>44.17</v>
      </c>
      <c r="H24" s="57" t="s">
        <v>8</v>
      </c>
      <c r="I24" s="52">
        <v>2.15</v>
      </c>
      <c r="J24" s="52">
        <v>0.36</v>
      </c>
      <c r="K24" s="52">
        <v>201.5</v>
      </c>
      <c r="L24" s="52">
        <v>31.31</v>
      </c>
      <c r="M24" s="52">
        <v>86.57</v>
      </c>
      <c r="N24" s="52">
        <v>196.9</v>
      </c>
      <c r="O24" s="52">
        <v>0</v>
      </c>
      <c r="P24" s="52">
        <v>0.25</v>
      </c>
      <c r="Q24" s="52">
        <v>9.43</v>
      </c>
      <c r="R24" s="43"/>
      <c r="S24" s="43"/>
      <c r="T24" s="43"/>
      <c r="U24" s="43"/>
    </row>
    <row r="25" spans="1:21" s="11" customFormat="1" x14ac:dyDescent="0.25">
      <c r="A25" s="51" t="s">
        <v>532</v>
      </c>
      <c r="B25" s="52">
        <v>7.99</v>
      </c>
      <c r="C25" s="52">
        <v>3.03</v>
      </c>
      <c r="D25" s="52">
        <v>11.76</v>
      </c>
      <c r="E25" s="52">
        <v>3.71</v>
      </c>
      <c r="F25" s="52">
        <v>14.73</v>
      </c>
      <c r="G25" s="52">
        <v>47.55</v>
      </c>
      <c r="H25" s="57" t="s">
        <v>8</v>
      </c>
      <c r="I25" s="52">
        <v>1.1299999999999999</v>
      </c>
      <c r="J25" s="52">
        <v>0.12</v>
      </c>
      <c r="K25" s="52">
        <v>124.3</v>
      </c>
      <c r="L25" s="52">
        <v>31.33</v>
      </c>
      <c r="M25" s="52">
        <v>83.26</v>
      </c>
      <c r="N25" s="52">
        <v>165.1</v>
      </c>
      <c r="O25" s="52">
        <v>0</v>
      </c>
      <c r="P25" s="52">
        <v>0.3</v>
      </c>
      <c r="Q25" s="52">
        <v>9.49</v>
      </c>
      <c r="R25" s="43"/>
      <c r="S25" s="43"/>
      <c r="T25" s="43"/>
      <c r="U25" s="43"/>
    </row>
    <row r="26" spans="1:21" s="11" customFormat="1" x14ac:dyDescent="0.25">
      <c r="A26" s="51" t="s">
        <v>533</v>
      </c>
      <c r="B26" s="52">
        <v>7.94</v>
      </c>
      <c r="C26" s="52">
        <v>3</v>
      </c>
      <c r="D26" s="52">
        <v>11.69</v>
      </c>
      <c r="E26" s="52">
        <v>3.93</v>
      </c>
      <c r="F26" s="52">
        <v>20.82</v>
      </c>
      <c r="G26" s="52">
        <v>47.55</v>
      </c>
      <c r="H26" s="57" t="s">
        <v>8</v>
      </c>
      <c r="I26" s="52">
        <v>1.07</v>
      </c>
      <c r="J26" s="52">
        <v>0.2</v>
      </c>
      <c r="K26" s="52">
        <v>266.66000000000003</v>
      </c>
      <c r="L26" s="52">
        <v>30.93</v>
      </c>
      <c r="M26" s="52">
        <v>87.16</v>
      </c>
      <c r="N26" s="52">
        <v>78.5</v>
      </c>
      <c r="O26" s="52">
        <v>0</v>
      </c>
      <c r="P26" s="52">
        <v>0.4</v>
      </c>
      <c r="Q26" s="52">
        <v>9.4700000000000006</v>
      </c>
      <c r="R26" s="43"/>
      <c r="S26" s="43"/>
      <c r="T26" s="43"/>
      <c r="U26" s="43"/>
    </row>
    <row r="27" spans="1:21" s="11" customFormat="1" x14ac:dyDescent="0.25">
      <c r="A27" s="51" t="s">
        <v>534</v>
      </c>
      <c r="B27" s="52">
        <v>7.95</v>
      </c>
      <c r="C27" s="52">
        <v>3.03</v>
      </c>
      <c r="D27" s="52">
        <v>11.71</v>
      </c>
      <c r="E27" s="52">
        <v>3.95</v>
      </c>
      <c r="F27" s="52">
        <v>18.45</v>
      </c>
      <c r="G27" s="52">
        <v>43.56</v>
      </c>
      <c r="H27" s="57" t="s">
        <v>8</v>
      </c>
      <c r="I27" s="52">
        <v>1.24</v>
      </c>
      <c r="J27" s="52">
        <v>0.7</v>
      </c>
      <c r="K27" s="52">
        <v>258.11</v>
      </c>
      <c r="L27" s="52">
        <v>30.25</v>
      </c>
      <c r="M27" s="52">
        <v>90.97</v>
      </c>
      <c r="N27" s="52">
        <v>35.5</v>
      </c>
      <c r="O27" s="52">
        <v>0</v>
      </c>
      <c r="P27" s="52">
        <v>0.49</v>
      </c>
      <c r="Q27" s="52">
        <v>9.42</v>
      </c>
      <c r="R27" s="43"/>
      <c r="S27" s="43"/>
      <c r="T27" s="43"/>
      <c r="U27" s="43"/>
    </row>
    <row r="28" spans="1:21" s="11" customFormat="1" x14ac:dyDescent="0.25">
      <c r="A28" s="51" t="s">
        <v>535</v>
      </c>
      <c r="B28" s="52">
        <v>8.01</v>
      </c>
      <c r="C28" s="52">
        <v>3.13</v>
      </c>
      <c r="D28" s="52">
        <v>11.83</v>
      </c>
      <c r="E28" s="52">
        <v>3.25</v>
      </c>
      <c r="F28" s="52">
        <v>3.72</v>
      </c>
      <c r="G28" s="52">
        <v>58.8</v>
      </c>
      <c r="H28" s="57" t="s">
        <v>8</v>
      </c>
      <c r="I28" s="52">
        <v>2.63</v>
      </c>
      <c r="J28" s="52">
        <v>0.79</v>
      </c>
      <c r="K28" s="52">
        <v>335.07</v>
      </c>
      <c r="L28" s="52">
        <v>29.86</v>
      </c>
      <c r="M28" s="52">
        <v>96.74</v>
      </c>
      <c r="N28" s="52">
        <v>28.2</v>
      </c>
      <c r="O28" s="52">
        <v>0</v>
      </c>
      <c r="P28" s="52">
        <v>0.46</v>
      </c>
      <c r="Q28" s="52">
        <v>9.4700000000000006</v>
      </c>
      <c r="R28" s="43"/>
      <c r="S28" s="43"/>
      <c r="T28" s="43"/>
      <c r="U28" s="43"/>
    </row>
    <row r="29" spans="1:21" s="11" customFormat="1" x14ac:dyDescent="0.25">
      <c r="A29" s="51" t="s">
        <v>536</v>
      </c>
      <c r="B29" s="52">
        <v>8.02</v>
      </c>
      <c r="C29" s="52">
        <v>2.99</v>
      </c>
      <c r="D29" s="52">
        <v>11.77</v>
      </c>
      <c r="E29" s="52">
        <v>4.45</v>
      </c>
      <c r="F29" s="52">
        <v>4.8499999999999996</v>
      </c>
      <c r="G29" s="52">
        <v>58.8</v>
      </c>
      <c r="H29" s="57" t="s">
        <v>8</v>
      </c>
      <c r="I29" s="52">
        <v>3.61</v>
      </c>
      <c r="J29" s="52">
        <v>0.68</v>
      </c>
      <c r="K29" s="52">
        <v>341.14</v>
      </c>
      <c r="L29" s="52">
        <v>27.66</v>
      </c>
      <c r="M29" s="52">
        <v>101.78</v>
      </c>
      <c r="N29" s="52">
        <v>27.7</v>
      </c>
      <c r="O29" s="52">
        <v>0</v>
      </c>
      <c r="P29" s="52">
        <v>0.54</v>
      </c>
      <c r="Q29" s="52">
        <v>9.6300000000000008</v>
      </c>
      <c r="R29" s="43"/>
      <c r="S29" s="43"/>
      <c r="T29" s="43"/>
      <c r="U29" s="43"/>
    </row>
    <row r="30" spans="1:21" s="11" customFormat="1" x14ac:dyDescent="0.25">
      <c r="A30" s="51" t="s">
        <v>537</v>
      </c>
      <c r="B30" s="52">
        <v>8.01</v>
      </c>
      <c r="C30" s="52">
        <v>3.04</v>
      </c>
      <c r="D30" s="52">
        <v>11.79</v>
      </c>
      <c r="E30" s="52">
        <v>4.5</v>
      </c>
      <c r="F30" s="52">
        <v>4.58</v>
      </c>
      <c r="G30" s="52">
        <v>54.93</v>
      </c>
      <c r="H30" s="57" t="s">
        <v>8</v>
      </c>
      <c r="I30" s="52">
        <v>4</v>
      </c>
      <c r="J30" s="52">
        <v>0.12</v>
      </c>
      <c r="K30" s="52">
        <v>80.650000000000006</v>
      </c>
      <c r="L30" s="52">
        <v>26.96</v>
      </c>
      <c r="M30" s="52">
        <v>101.81</v>
      </c>
      <c r="N30" s="52">
        <v>26.3</v>
      </c>
      <c r="O30" s="52">
        <v>0</v>
      </c>
      <c r="P30" s="52">
        <v>0.67</v>
      </c>
      <c r="Q30" s="52">
        <v>9.64</v>
      </c>
      <c r="R30" s="43"/>
      <c r="S30" s="43"/>
      <c r="T30" s="43"/>
      <c r="U30" s="43"/>
    </row>
    <row r="31" spans="1:21" s="11" customFormat="1" x14ac:dyDescent="0.25">
      <c r="A31" s="51" t="s">
        <v>538</v>
      </c>
      <c r="B31" s="52">
        <v>8.06</v>
      </c>
      <c r="C31" s="52">
        <v>3.09</v>
      </c>
      <c r="D31" s="52">
        <v>11.84</v>
      </c>
      <c r="E31" s="52">
        <v>4.3499999999999996</v>
      </c>
      <c r="F31" s="52">
        <v>4.01</v>
      </c>
      <c r="G31" s="52">
        <v>42.59</v>
      </c>
      <c r="H31" s="57" t="s">
        <v>8</v>
      </c>
      <c r="I31" s="52">
        <v>4.47</v>
      </c>
      <c r="J31" s="52">
        <v>0.15</v>
      </c>
      <c r="K31" s="52">
        <v>329.07</v>
      </c>
      <c r="L31" s="52">
        <v>26.73</v>
      </c>
      <c r="M31" s="52">
        <v>102.05</v>
      </c>
      <c r="N31" s="52">
        <v>25.5</v>
      </c>
      <c r="O31" s="52">
        <v>0</v>
      </c>
      <c r="P31" s="52">
        <v>0.82</v>
      </c>
      <c r="Q31" s="52">
        <v>9.75</v>
      </c>
      <c r="R31" s="43"/>
      <c r="S31" s="43"/>
      <c r="T31" s="43"/>
      <c r="U31" s="43"/>
    </row>
    <row r="32" spans="1:21" s="11" customFormat="1" x14ac:dyDescent="0.25">
      <c r="A32" s="51" t="s">
        <v>539</v>
      </c>
      <c r="B32" s="52">
        <v>8.07</v>
      </c>
      <c r="C32" s="52">
        <v>3.08</v>
      </c>
      <c r="D32" s="52">
        <v>11.85</v>
      </c>
      <c r="E32" s="52">
        <v>4.63</v>
      </c>
      <c r="F32" s="52">
        <v>3.29</v>
      </c>
      <c r="G32" s="52">
        <v>34.9</v>
      </c>
      <c r="H32" s="57" t="s">
        <v>8</v>
      </c>
      <c r="I32" s="52">
        <v>5.53</v>
      </c>
      <c r="J32" s="52">
        <v>0.19</v>
      </c>
      <c r="K32" s="52">
        <v>126.68</v>
      </c>
      <c r="L32" s="52">
        <v>26.73</v>
      </c>
      <c r="M32" s="52">
        <v>101.23</v>
      </c>
      <c r="N32" s="52">
        <v>25</v>
      </c>
      <c r="O32" s="52">
        <v>0</v>
      </c>
      <c r="P32" s="52">
        <v>0.9</v>
      </c>
      <c r="Q32" s="52">
        <v>9.92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7.94</v>
      </c>
      <c r="C34" s="28">
        <f t="shared" si="0"/>
        <v>2.97</v>
      </c>
      <c r="D34" s="28">
        <f t="shared" si="0"/>
        <v>11.69</v>
      </c>
      <c r="E34" s="28">
        <f t="shared" si="0"/>
        <v>3.25</v>
      </c>
      <c r="F34" s="28">
        <f t="shared" si="0"/>
        <v>3.29</v>
      </c>
      <c r="G34" s="28">
        <f t="shared" si="0"/>
        <v>32.94</v>
      </c>
      <c r="H34" s="28">
        <f t="shared" si="0"/>
        <v>0</v>
      </c>
      <c r="I34" s="28">
        <f t="shared" si="0"/>
        <v>1.07</v>
      </c>
      <c r="J34" s="28">
        <f t="shared" si="0"/>
        <v>0.12</v>
      </c>
      <c r="K34" s="28">
        <f t="shared" si="0"/>
        <v>80.650000000000006</v>
      </c>
      <c r="L34" s="28">
        <f t="shared" si="0"/>
        <v>26.73</v>
      </c>
      <c r="M34" s="28">
        <f t="shared" si="0"/>
        <v>83.26</v>
      </c>
      <c r="N34" s="28">
        <f t="shared" si="0"/>
        <v>0</v>
      </c>
      <c r="O34" s="28">
        <f t="shared" si="0"/>
        <v>0</v>
      </c>
      <c r="P34" s="28">
        <f t="shared" si="0"/>
        <v>0.25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8.4700000000000006</v>
      </c>
      <c r="C35" s="29">
        <f t="shared" si="1"/>
        <v>4.72</v>
      </c>
      <c r="D35" s="29">
        <f t="shared" si="1"/>
        <v>12.97</v>
      </c>
      <c r="E35" s="29">
        <f t="shared" si="1"/>
        <v>5.92</v>
      </c>
      <c r="F35" s="29">
        <f t="shared" si="1"/>
        <v>20.82</v>
      </c>
      <c r="G35" s="29">
        <f t="shared" si="1"/>
        <v>71.56</v>
      </c>
      <c r="H35" s="29">
        <f t="shared" si="1"/>
        <v>0</v>
      </c>
      <c r="I35" s="29">
        <f t="shared" si="1"/>
        <v>5.53</v>
      </c>
      <c r="J35" s="29">
        <f t="shared" si="1"/>
        <v>1.29</v>
      </c>
      <c r="K35" s="29">
        <f t="shared" si="1"/>
        <v>357.57</v>
      </c>
      <c r="L35" s="29">
        <f t="shared" si="1"/>
        <v>31.46</v>
      </c>
      <c r="M35" s="29">
        <f t="shared" si="1"/>
        <v>103.67</v>
      </c>
      <c r="N35" s="29">
        <f t="shared" si="1"/>
        <v>372.9</v>
      </c>
      <c r="O35" s="29">
        <f t="shared" si="1"/>
        <v>0</v>
      </c>
      <c r="P35" s="29">
        <f t="shared" si="1"/>
        <v>0.9</v>
      </c>
      <c r="Q35" s="29">
        <f t="shared" si="1"/>
        <v>9.92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8.0274999999999981</v>
      </c>
      <c r="C36" s="28">
        <f t="shared" si="2"/>
        <v>3.1458333333333339</v>
      </c>
      <c r="D36" s="28">
        <f t="shared" si="2"/>
        <v>11.847916666666668</v>
      </c>
      <c r="E36" s="28">
        <f t="shared" si="2"/>
        <v>4.6012499999999994</v>
      </c>
      <c r="F36" s="28">
        <f t="shared" si="2"/>
        <v>7.7887499999999994</v>
      </c>
      <c r="G36" s="28">
        <f t="shared" si="2"/>
        <v>45.973333333333322</v>
      </c>
      <c r="H36" s="28" t="e">
        <f t="shared" si="2"/>
        <v>#DIV/0!</v>
      </c>
      <c r="I36" s="28">
        <f t="shared" si="2"/>
        <v>2.7879166666666664</v>
      </c>
      <c r="J36" s="28">
        <f t="shared" si="2"/>
        <v>0.36083333333333334</v>
      </c>
      <c r="K36" s="28">
        <f t="shared" si="2"/>
        <v>282.65375</v>
      </c>
      <c r="L36" s="28">
        <f t="shared" si="2"/>
        <v>28.792916666666667</v>
      </c>
      <c r="M36" s="28">
        <f t="shared" si="2"/>
        <v>97.873750000000015</v>
      </c>
      <c r="N36" s="28">
        <f t="shared" si="2"/>
        <v>113.5625</v>
      </c>
      <c r="O36" s="28">
        <f t="shared" si="2"/>
        <v>0</v>
      </c>
      <c r="P36" s="28">
        <f t="shared" si="2"/>
        <v>0.44124999999999998</v>
      </c>
      <c r="Q36" s="28">
        <f t="shared" si="2"/>
        <v>9.4150000000000009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0.10096275680105801</v>
      </c>
      <c r="C37" s="28">
        <f t="shared" ref="C37:Q37" si="3">STDEV(C9:C32)</f>
        <v>0.35717389099120078</v>
      </c>
      <c r="D37" s="28">
        <f t="shared" si="3"/>
        <v>0.25539362912394958</v>
      </c>
      <c r="E37" s="28">
        <f t="shared" si="3"/>
        <v>0.70779088351194108</v>
      </c>
      <c r="F37" s="28">
        <f t="shared" si="3"/>
        <v>5.4360410086593438</v>
      </c>
      <c r="G37" s="28">
        <f t="shared" si="3"/>
        <v>9.8334388105372952</v>
      </c>
      <c r="H37" s="28" t="e">
        <f t="shared" si="3"/>
        <v>#DIV/0!</v>
      </c>
      <c r="I37" s="28">
        <f t="shared" si="3"/>
        <v>1.1608541801347114</v>
      </c>
      <c r="J37" s="28">
        <f t="shared" si="3"/>
        <v>0.28325617022584787</v>
      </c>
      <c r="K37" s="28">
        <f t="shared" si="3"/>
        <v>88.077277423689523</v>
      </c>
      <c r="L37" s="28">
        <f t="shared" si="3"/>
        <v>1.7884957953948137</v>
      </c>
      <c r="M37" s="28">
        <f t="shared" si="3"/>
        <v>6.7679287259198029</v>
      </c>
      <c r="N37" s="28">
        <f t="shared" si="3"/>
        <v>105.22518632417109</v>
      </c>
      <c r="O37" s="28">
        <f t="shared" si="3"/>
        <v>0</v>
      </c>
      <c r="P37" s="28">
        <f t="shared" si="3"/>
        <v>0.1722059560652528</v>
      </c>
      <c r="Q37" s="28">
        <f t="shared" si="3"/>
        <v>0.18879480464480367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COUNT(H9:H32)+24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540</v>
      </c>
      <c r="B9" s="52">
        <v>8.15</v>
      </c>
      <c r="C9" s="52">
        <v>3.18</v>
      </c>
      <c r="D9" s="52">
        <v>11.97</v>
      </c>
      <c r="E9" s="52">
        <v>5.15</v>
      </c>
      <c r="F9" s="52">
        <v>4.18</v>
      </c>
      <c r="G9" s="52">
        <v>38.840000000000003</v>
      </c>
      <c r="H9" s="57" t="s">
        <v>8</v>
      </c>
      <c r="I9" s="52">
        <v>6.25</v>
      </c>
      <c r="J9" s="52">
        <v>0.18</v>
      </c>
      <c r="K9" s="52">
        <v>297.82</v>
      </c>
      <c r="L9" s="52">
        <v>26.9</v>
      </c>
      <c r="M9" s="52">
        <v>101.43</v>
      </c>
      <c r="N9" s="52">
        <v>26.7</v>
      </c>
      <c r="O9" s="52">
        <v>-2000000000</v>
      </c>
      <c r="P9" s="52">
        <v>0.89</v>
      </c>
      <c r="Q9" s="52">
        <v>10.02</v>
      </c>
      <c r="R9" s="43"/>
      <c r="S9" s="43"/>
      <c r="T9" s="43"/>
      <c r="U9" s="43"/>
    </row>
    <row r="10" spans="1:21" s="11" customFormat="1" x14ac:dyDescent="0.25">
      <c r="A10" s="51" t="s">
        <v>541</v>
      </c>
      <c r="B10" s="52">
        <v>8.09</v>
      </c>
      <c r="C10" s="52">
        <v>3.13</v>
      </c>
      <c r="D10" s="52">
        <v>11.9</v>
      </c>
      <c r="E10" s="52">
        <v>4.9400000000000004</v>
      </c>
      <c r="F10" s="52">
        <v>4.66</v>
      </c>
      <c r="G10" s="52">
        <v>38.840000000000003</v>
      </c>
      <c r="H10" s="57" t="s">
        <v>8</v>
      </c>
      <c r="I10" s="52">
        <v>6.25</v>
      </c>
      <c r="J10" s="52">
        <v>0.17</v>
      </c>
      <c r="K10" s="52">
        <v>335.49</v>
      </c>
      <c r="L10" s="52">
        <v>26.76</v>
      </c>
      <c r="M10" s="52">
        <v>101.48</v>
      </c>
      <c r="N10" s="52">
        <v>27.1</v>
      </c>
      <c r="O10" s="52">
        <v>-2000000000</v>
      </c>
      <c r="P10" s="52">
        <v>0.74</v>
      </c>
      <c r="Q10" s="52">
        <v>9.92</v>
      </c>
      <c r="R10" s="43"/>
      <c r="S10" s="43"/>
      <c r="T10" s="43"/>
      <c r="U10" s="43"/>
    </row>
    <row r="11" spans="1:21" s="11" customFormat="1" x14ac:dyDescent="0.25">
      <c r="A11" s="51" t="s">
        <v>542</v>
      </c>
      <c r="B11" s="52">
        <v>8.07</v>
      </c>
      <c r="C11" s="52">
        <v>3.17</v>
      </c>
      <c r="D11" s="52">
        <v>11.91</v>
      </c>
      <c r="E11" s="52">
        <v>4.82</v>
      </c>
      <c r="F11" s="52">
        <v>4.5</v>
      </c>
      <c r="G11" s="52">
        <v>35.9</v>
      </c>
      <c r="H11" s="57" t="s">
        <v>8</v>
      </c>
      <c r="I11" s="52">
        <v>5.57</v>
      </c>
      <c r="J11" s="52">
        <v>0.08</v>
      </c>
      <c r="K11" s="52">
        <v>345.11</v>
      </c>
      <c r="L11" s="52">
        <v>26.25</v>
      </c>
      <c r="M11" s="52">
        <v>101.49</v>
      </c>
      <c r="N11" s="52">
        <v>26.8</v>
      </c>
      <c r="O11" s="52">
        <v>-2000000000</v>
      </c>
      <c r="P11" s="52">
        <v>0.63</v>
      </c>
      <c r="Q11" s="52">
        <v>9.7899999999999991</v>
      </c>
      <c r="R11" s="43"/>
      <c r="S11" s="43"/>
      <c r="T11" s="43"/>
      <c r="U11" s="43"/>
    </row>
    <row r="12" spans="1:21" s="11" customFormat="1" x14ac:dyDescent="0.25">
      <c r="A12" s="51" t="s">
        <v>543</v>
      </c>
      <c r="B12" s="52">
        <v>8.0299999999999994</v>
      </c>
      <c r="C12" s="52">
        <v>3.03</v>
      </c>
      <c r="D12" s="52">
        <v>11.8</v>
      </c>
      <c r="E12" s="52">
        <v>4.53</v>
      </c>
      <c r="F12" s="52">
        <v>3.42</v>
      </c>
      <c r="G12" s="52">
        <v>27.28</v>
      </c>
      <c r="H12" s="57" t="s">
        <v>8</v>
      </c>
      <c r="I12" s="52">
        <v>4.6900000000000004</v>
      </c>
      <c r="J12" s="52">
        <v>0.14000000000000001</v>
      </c>
      <c r="K12" s="52">
        <v>285.24</v>
      </c>
      <c r="L12" s="52">
        <v>25.53</v>
      </c>
      <c r="M12" s="52">
        <v>101.78</v>
      </c>
      <c r="N12" s="52">
        <v>25.4</v>
      </c>
      <c r="O12" s="52">
        <v>-2000000000</v>
      </c>
      <c r="P12" s="52">
        <v>0.55000000000000004</v>
      </c>
      <c r="Q12" s="52">
        <v>9.68</v>
      </c>
      <c r="R12" s="43"/>
      <c r="S12" s="43"/>
      <c r="T12" s="43"/>
      <c r="U12" s="43"/>
    </row>
    <row r="13" spans="1:21" s="11" customFormat="1" x14ac:dyDescent="0.25">
      <c r="A13" s="51" t="s">
        <v>544</v>
      </c>
      <c r="B13" s="52">
        <v>8.0299999999999994</v>
      </c>
      <c r="C13" s="52">
        <v>3.02</v>
      </c>
      <c r="D13" s="52">
        <v>11.78</v>
      </c>
      <c r="E13" s="52">
        <v>4.1500000000000004</v>
      </c>
      <c r="F13" s="52">
        <v>4.91</v>
      </c>
      <c r="G13" s="52">
        <v>21.13</v>
      </c>
      <c r="H13" s="57" t="s">
        <v>8</v>
      </c>
      <c r="I13" s="52">
        <v>5.22</v>
      </c>
      <c r="J13" s="52">
        <v>0.12</v>
      </c>
      <c r="K13" s="52">
        <v>308.31</v>
      </c>
      <c r="L13" s="52">
        <v>25.57</v>
      </c>
      <c r="M13" s="52">
        <v>101.95</v>
      </c>
      <c r="N13" s="52">
        <v>25.6</v>
      </c>
      <c r="O13" s="52">
        <v>-2000000000</v>
      </c>
      <c r="P13" s="52">
        <v>0.5</v>
      </c>
      <c r="Q13" s="52">
        <v>9.66</v>
      </c>
      <c r="R13" s="43"/>
      <c r="S13" s="43"/>
      <c r="T13" s="43"/>
      <c r="U13" s="43"/>
    </row>
    <row r="14" spans="1:21" s="11" customFormat="1" x14ac:dyDescent="0.25">
      <c r="A14" s="51" t="s">
        <v>545</v>
      </c>
      <c r="B14" s="52">
        <v>8.0500000000000007</v>
      </c>
      <c r="C14" s="52">
        <v>3.03</v>
      </c>
      <c r="D14" s="52">
        <v>11.81</v>
      </c>
      <c r="E14" s="52">
        <v>4.42</v>
      </c>
      <c r="F14" s="52">
        <v>4.51</v>
      </c>
      <c r="G14" s="52">
        <v>25.77</v>
      </c>
      <c r="H14" s="57" t="s">
        <v>8</v>
      </c>
      <c r="I14" s="52">
        <v>5.33</v>
      </c>
      <c r="J14" s="52">
        <v>0.35</v>
      </c>
      <c r="K14" s="52">
        <v>324.29000000000002</v>
      </c>
      <c r="L14" s="52">
        <v>26.1</v>
      </c>
      <c r="M14" s="52">
        <v>101.97</v>
      </c>
      <c r="N14" s="52">
        <v>28.2</v>
      </c>
      <c r="O14" s="52">
        <v>-2000000000</v>
      </c>
      <c r="P14" s="52">
        <v>0.49</v>
      </c>
      <c r="Q14" s="52">
        <v>9.6300000000000008</v>
      </c>
      <c r="R14" s="43"/>
      <c r="S14" s="43"/>
      <c r="T14" s="43"/>
      <c r="U14" s="43"/>
    </row>
    <row r="15" spans="1:21" s="11" customFormat="1" x14ac:dyDescent="0.25">
      <c r="A15" s="51" t="s">
        <v>546</v>
      </c>
      <c r="B15" s="52">
        <v>7.98</v>
      </c>
      <c r="C15" s="52">
        <v>3.02</v>
      </c>
      <c r="D15" s="52">
        <v>11.75</v>
      </c>
      <c r="E15" s="52">
        <v>4.37</v>
      </c>
      <c r="F15" s="52">
        <v>4.45</v>
      </c>
      <c r="G15" s="52">
        <v>25.77</v>
      </c>
      <c r="H15" s="57" t="s">
        <v>8</v>
      </c>
      <c r="I15" s="52">
        <v>4.8600000000000003</v>
      </c>
      <c r="J15" s="52">
        <v>0.56999999999999995</v>
      </c>
      <c r="K15" s="52">
        <v>158.94999999999999</v>
      </c>
      <c r="L15" s="52">
        <v>26.61</v>
      </c>
      <c r="M15" s="52">
        <v>101.89</v>
      </c>
      <c r="N15" s="52">
        <v>0</v>
      </c>
      <c r="O15" s="52">
        <v>-2000000000</v>
      </c>
      <c r="P15" s="52">
        <v>0.43</v>
      </c>
      <c r="Q15" s="52">
        <v>9.6199999999999992</v>
      </c>
      <c r="R15" s="43"/>
      <c r="S15" s="43"/>
      <c r="T15" s="43"/>
      <c r="U15" s="43"/>
    </row>
    <row r="16" spans="1:21" s="11" customFormat="1" x14ac:dyDescent="0.25">
      <c r="A16" s="51" t="s">
        <v>547</v>
      </c>
      <c r="B16" s="52">
        <v>8.06</v>
      </c>
      <c r="C16" s="52">
        <v>3.06</v>
      </c>
      <c r="D16" s="52">
        <v>11.84</v>
      </c>
      <c r="E16" s="52">
        <v>4.5</v>
      </c>
      <c r="F16" s="52">
        <v>3.69</v>
      </c>
      <c r="G16" s="52">
        <v>22.28</v>
      </c>
      <c r="H16" s="57" t="s">
        <v>8</v>
      </c>
      <c r="I16" s="52">
        <v>4.8</v>
      </c>
      <c r="J16" s="52">
        <v>0.57999999999999996</v>
      </c>
      <c r="K16" s="52">
        <v>153.21</v>
      </c>
      <c r="L16" s="52">
        <v>28.39</v>
      </c>
      <c r="M16" s="52">
        <v>102.02</v>
      </c>
      <c r="N16" s="52">
        <v>0</v>
      </c>
      <c r="O16" s="52">
        <v>-2000000000</v>
      </c>
      <c r="P16" s="52">
        <v>0.43</v>
      </c>
      <c r="Q16" s="52">
        <v>9.6</v>
      </c>
      <c r="R16" s="43"/>
      <c r="S16" s="43"/>
      <c r="T16" s="43"/>
      <c r="U16" s="43"/>
    </row>
    <row r="17" spans="1:21" s="11" customFormat="1" x14ac:dyDescent="0.25">
      <c r="A17" s="51" t="s">
        <v>548</v>
      </c>
      <c r="B17" s="52">
        <v>8.0299999999999994</v>
      </c>
      <c r="C17" s="52">
        <v>3.08</v>
      </c>
      <c r="D17" s="52">
        <v>11.82</v>
      </c>
      <c r="E17" s="52">
        <v>5.13</v>
      </c>
      <c r="F17" s="52">
        <v>3.98</v>
      </c>
      <c r="G17" s="52">
        <v>30.75</v>
      </c>
      <c r="H17" s="57" t="s">
        <v>8</v>
      </c>
      <c r="I17" s="52">
        <v>5.32</v>
      </c>
      <c r="J17" s="52">
        <v>0.83</v>
      </c>
      <c r="K17" s="52">
        <v>145.78</v>
      </c>
      <c r="L17" s="52">
        <v>31.19</v>
      </c>
      <c r="M17" s="52">
        <v>100.02</v>
      </c>
      <c r="N17" s="52">
        <v>0</v>
      </c>
      <c r="O17" s="52">
        <v>-2000000000</v>
      </c>
      <c r="P17" s="52">
        <v>0.41</v>
      </c>
      <c r="Q17" s="52">
        <v>9.59</v>
      </c>
      <c r="R17" s="43"/>
      <c r="S17" s="43"/>
      <c r="T17" s="43"/>
      <c r="U17" s="43"/>
    </row>
    <row r="18" spans="1:21" s="11" customFormat="1" x14ac:dyDescent="0.25">
      <c r="A18" s="51" t="s">
        <v>549</v>
      </c>
      <c r="B18" s="52">
        <v>7.99</v>
      </c>
      <c r="C18" s="52">
        <v>3.05</v>
      </c>
      <c r="D18" s="52">
        <v>11.77</v>
      </c>
      <c r="E18" s="52">
        <v>5.43</v>
      </c>
      <c r="F18" s="52">
        <v>4.9400000000000004</v>
      </c>
      <c r="G18" s="52">
        <v>30.75</v>
      </c>
      <c r="H18" s="57" t="s">
        <v>8</v>
      </c>
      <c r="I18" s="52">
        <v>5.04</v>
      </c>
      <c r="J18" s="52">
        <v>0.16</v>
      </c>
      <c r="K18" s="52">
        <v>331.09</v>
      </c>
      <c r="L18" s="52">
        <v>34.31</v>
      </c>
      <c r="M18" s="52">
        <v>85.83</v>
      </c>
      <c r="N18" s="52">
        <v>0</v>
      </c>
      <c r="O18" s="52">
        <v>-2000000000</v>
      </c>
      <c r="P18" s="52">
        <v>0.39</v>
      </c>
      <c r="Q18" s="52">
        <v>9.61</v>
      </c>
      <c r="R18" s="43"/>
      <c r="S18" s="43"/>
      <c r="T18" s="43"/>
      <c r="U18" s="43"/>
    </row>
    <row r="19" spans="1:21" s="11" customFormat="1" x14ac:dyDescent="0.25">
      <c r="A19" s="51" t="s">
        <v>550</v>
      </c>
      <c r="B19" s="52">
        <v>8.01</v>
      </c>
      <c r="C19" s="52">
        <v>3.09</v>
      </c>
      <c r="D19" s="52">
        <v>11.8</v>
      </c>
      <c r="E19" s="52">
        <v>5.12</v>
      </c>
      <c r="F19" s="52">
        <v>5.68</v>
      </c>
      <c r="G19" s="52">
        <v>31.35</v>
      </c>
      <c r="H19" s="57" t="s">
        <v>8</v>
      </c>
      <c r="I19" s="52">
        <v>4.2</v>
      </c>
      <c r="J19" s="52">
        <v>0.16</v>
      </c>
      <c r="K19" s="52">
        <v>314.99</v>
      </c>
      <c r="L19" s="52">
        <v>33.950000000000003</v>
      </c>
      <c r="M19" s="52">
        <v>76.94</v>
      </c>
      <c r="N19" s="52">
        <v>806.2</v>
      </c>
      <c r="O19" s="52">
        <v>-2000000000</v>
      </c>
      <c r="P19" s="52">
        <v>0.4</v>
      </c>
      <c r="Q19" s="52">
        <v>9.52</v>
      </c>
      <c r="R19" s="43"/>
      <c r="S19" s="43"/>
      <c r="T19" s="43"/>
      <c r="U19" s="43"/>
    </row>
    <row r="20" spans="1:21" s="11" customFormat="1" x14ac:dyDescent="0.25">
      <c r="A20" s="51" t="s">
        <v>551</v>
      </c>
      <c r="B20" s="52">
        <v>7.98</v>
      </c>
      <c r="C20" s="52">
        <v>3.04</v>
      </c>
      <c r="D20" s="52">
        <v>11.76</v>
      </c>
      <c r="E20" s="52">
        <v>5.34</v>
      </c>
      <c r="F20" s="52">
        <v>5.66</v>
      </c>
      <c r="G20" s="52">
        <v>32.29</v>
      </c>
      <c r="H20" s="57" t="s">
        <v>8</v>
      </c>
      <c r="I20" s="52">
        <v>3.55</v>
      </c>
      <c r="J20" s="52">
        <v>0.23</v>
      </c>
      <c r="K20" s="52">
        <v>341.49</v>
      </c>
      <c r="L20" s="52">
        <v>35.590000000000003</v>
      </c>
      <c r="M20" s="52">
        <v>70.37</v>
      </c>
      <c r="N20" s="52">
        <v>550.6</v>
      </c>
      <c r="O20" s="52">
        <v>-2000000000</v>
      </c>
      <c r="P20" s="52">
        <v>0.37</v>
      </c>
      <c r="Q20" s="52">
        <v>9.4600000000000009</v>
      </c>
      <c r="R20" s="43"/>
      <c r="S20" s="43"/>
      <c r="T20" s="43"/>
      <c r="U20" s="43"/>
    </row>
    <row r="21" spans="1:21" s="11" customFormat="1" x14ac:dyDescent="0.25">
      <c r="A21" s="51" t="s">
        <v>552</v>
      </c>
      <c r="B21" s="52">
        <v>7.98</v>
      </c>
      <c r="C21" s="52">
        <v>3.03</v>
      </c>
      <c r="D21" s="52">
        <v>11.75</v>
      </c>
      <c r="E21" s="52">
        <v>4.3899999999999997</v>
      </c>
      <c r="F21" s="52">
        <v>6.49</v>
      </c>
      <c r="G21" s="52">
        <v>32.29</v>
      </c>
      <c r="H21" s="57" t="s">
        <v>8</v>
      </c>
      <c r="I21" s="52">
        <v>2.48</v>
      </c>
      <c r="J21" s="52">
        <v>0.24</v>
      </c>
      <c r="K21" s="52">
        <v>342.67</v>
      </c>
      <c r="L21" s="52">
        <v>35</v>
      </c>
      <c r="M21" s="52">
        <v>69.569999999999993</v>
      </c>
      <c r="N21" s="52">
        <v>0</v>
      </c>
      <c r="O21" s="52">
        <v>-2000000000</v>
      </c>
      <c r="P21" s="52">
        <v>0.33</v>
      </c>
      <c r="Q21" s="52">
        <v>9.44</v>
      </c>
      <c r="R21" s="43"/>
      <c r="S21" s="43"/>
      <c r="T21" s="43"/>
      <c r="U21" s="43"/>
    </row>
    <row r="22" spans="1:21" s="11" customFormat="1" x14ac:dyDescent="0.25">
      <c r="A22" s="51" t="s">
        <v>553</v>
      </c>
      <c r="B22" s="52">
        <v>7.96</v>
      </c>
      <c r="C22" s="52">
        <v>2.99</v>
      </c>
      <c r="D22" s="52">
        <v>11.72</v>
      </c>
      <c r="E22" s="52">
        <v>4.53</v>
      </c>
      <c r="F22" s="52">
        <v>5.62</v>
      </c>
      <c r="G22" s="52">
        <v>43.06</v>
      </c>
      <c r="H22" s="57" t="s">
        <v>8</v>
      </c>
      <c r="I22" s="52">
        <v>2.2799999999999998</v>
      </c>
      <c r="J22" s="52">
        <v>0.15</v>
      </c>
      <c r="K22" s="52">
        <v>347.36</v>
      </c>
      <c r="L22" s="52">
        <v>34.99</v>
      </c>
      <c r="M22" s="52">
        <v>70.88</v>
      </c>
      <c r="N22" s="52">
        <v>370.4</v>
      </c>
      <c r="O22" s="52">
        <v>-2000000000</v>
      </c>
      <c r="P22" s="52">
        <v>0.35</v>
      </c>
      <c r="Q22" s="52">
        <v>9.48</v>
      </c>
      <c r="R22" s="43"/>
      <c r="S22" s="43"/>
      <c r="T22" s="43"/>
      <c r="U22" s="43"/>
    </row>
    <row r="23" spans="1:21" s="11" customFormat="1" x14ac:dyDescent="0.25">
      <c r="A23" s="51" t="s">
        <v>554</v>
      </c>
      <c r="B23" s="52">
        <v>7.98</v>
      </c>
      <c r="C23" s="52">
        <v>2.98</v>
      </c>
      <c r="D23" s="52">
        <v>11.73</v>
      </c>
      <c r="E23" s="52">
        <v>4.1100000000000003</v>
      </c>
      <c r="F23" s="52">
        <v>4.67</v>
      </c>
      <c r="G23" s="52">
        <v>43.06</v>
      </c>
      <c r="H23" s="57" t="s">
        <v>8</v>
      </c>
      <c r="I23" s="52">
        <v>2.29</v>
      </c>
      <c r="J23" s="52">
        <v>0.1</v>
      </c>
      <c r="K23" s="52">
        <v>189.82</v>
      </c>
      <c r="L23" s="52">
        <v>33.15</v>
      </c>
      <c r="M23" s="52">
        <v>72.39</v>
      </c>
      <c r="N23" s="52">
        <v>239.4</v>
      </c>
      <c r="O23" s="52">
        <v>-2000000000</v>
      </c>
      <c r="P23" s="52">
        <v>0.34</v>
      </c>
      <c r="Q23" s="52">
        <v>9.5</v>
      </c>
      <c r="R23" s="43"/>
      <c r="S23" s="43"/>
      <c r="T23" s="43"/>
      <c r="U23" s="43"/>
    </row>
    <row r="24" spans="1:21" s="11" customFormat="1" x14ac:dyDescent="0.25">
      <c r="A24" s="51" t="s">
        <v>555</v>
      </c>
      <c r="B24" s="52">
        <v>7.99</v>
      </c>
      <c r="C24" s="52">
        <v>2.98</v>
      </c>
      <c r="D24" s="52">
        <v>11.74</v>
      </c>
      <c r="E24" s="52">
        <v>5.04</v>
      </c>
      <c r="F24" s="52">
        <v>8.86</v>
      </c>
      <c r="G24" s="52">
        <v>54.46</v>
      </c>
      <c r="H24" s="57" t="s">
        <v>8</v>
      </c>
      <c r="I24" s="52">
        <v>2.35</v>
      </c>
      <c r="J24" s="52">
        <v>0.41</v>
      </c>
      <c r="K24" s="52">
        <v>139.54</v>
      </c>
      <c r="L24" s="52">
        <v>33.26</v>
      </c>
      <c r="M24" s="52">
        <v>80.260000000000005</v>
      </c>
      <c r="N24" s="52">
        <v>238.8</v>
      </c>
      <c r="O24" s="52">
        <v>-2000000000</v>
      </c>
      <c r="P24" s="52">
        <v>0.32</v>
      </c>
      <c r="Q24" s="52">
        <v>9.49</v>
      </c>
      <c r="R24" s="43"/>
      <c r="S24" s="43"/>
      <c r="T24" s="43"/>
      <c r="U24" s="43"/>
    </row>
    <row r="25" spans="1:21" s="11" customFormat="1" x14ac:dyDescent="0.25">
      <c r="A25" s="51" t="s">
        <v>556</v>
      </c>
      <c r="B25" s="52">
        <v>8.02</v>
      </c>
      <c r="C25" s="52">
        <v>3.06</v>
      </c>
      <c r="D25" s="52">
        <v>11.8</v>
      </c>
      <c r="E25" s="52">
        <v>5.19</v>
      </c>
      <c r="F25" s="52">
        <v>8.66</v>
      </c>
      <c r="G25" s="52">
        <v>54.46</v>
      </c>
      <c r="H25" s="57" t="s">
        <v>8</v>
      </c>
      <c r="I25" s="52">
        <v>2.13</v>
      </c>
      <c r="J25" s="52">
        <v>1.48</v>
      </c>
      <c r="K25" s="52">
        <v>337.75</v>
      </c>
      <c r="L25" s="52">
        <v>30.82</v>
      </c>
      <c r="M25" s="52">
        <v>91.58</v>
      </c>
      <c r="N25" s="52">
        <v>85.5</v>
      </c>
      <c r="O25" s="52">
        <v>-2000000000</v>
      </c>
      <c r="P25" s="52">
        <v>0.37</v>
      </c>
      <c r="Q25" s="52">
        <v>9.4499999999999993</v>
      </c>
      <c r="R25" s="43"/>
      <c r="S25" s="43"/>
      <c r="T25" s="43"/>
      <c r="U25" s="43"/>
    </row>
    <row r="26" spans="1:21" s="11" customFormat="1" x14ac:dyDescent="0.25">
      <c r="A26" s="51" t="s">
        <v>557</v>
      </c>
      <c r="B26" s="52">
        <v>8.01</v>
      </c>
      <c r="C26" s="52">
        <v>3.05</v>
      </c>
      <c r="D26" s="52">
        <v>11.79</v>
      </c>
      <c r="E26" s="52">
        <v>5.24</v>
      </c>
      <c r="F26" s="52">
        <v>5.67</v>
      </c>
      <c r="G26" s="52">
        <v>54.46</v>
      </c>
      <c r="H26" s="57" t="s">
        <v>8</v>
      </c>
      <c r="I26" s="52">
        <v>2.86</v>
      </c>
      <c r="J26" s="52">
        <v>0.59</v>
      </c>
      <c r="K26" s="52">
        <v>340.15</v>
      </c>
      <c r="L26" s="52">
        <v>29.78</v>
      </c>
      <c r="M26" s="52">
        <v>92.63</v>
      </c>
      <c r="N26" s="52">
        <v>66.099999999999994</v>
      </c>
      <c r="O26" s="52">
        <v>-2000000000</v>
      </c>
      <c r="P26" s="52">
        <v>0.51</v>
      </c>
      <c r="Q26" s="52">
        <v>9.64</v>
      </c>
      <c r="R26" s="43"/>
      <c r="S26" s="43"/>
      <c r="T26" s="43"/>
      <c r="U26" s="43"/>
    </row>
    <row r="27" spans="1:21" s="11" customFormat="1" x14ac:dyDescent="0.25">
      <c r="A27" s="51" t="s">
        <v>558</v>
      </c>
      <c r="B27" s="52">
        <v>7.98</v>
      </c>
      <c r="C27" s="52">
        <v>3.05</v>
      </c>
      <c r="D27" s="52">
        <v>11.76</v>
      </c>
      <c r="E27" s="52">
        <v>5.18</v>
      </c>
      <c r="F27" s="52">
        <v>4.49</v>
      </c>
      <c r="G27" s="52">
        <v>87.64</v>
      </c>
      <c r="H27" s="57" t="s">
        <v>8</v>
      </c>
      <c r="I27" s="52">
        <v>3.02</v>
      </c>
      <c r="J27" s="52">
        <v>1.23</v>
      </c>
      <c r="K27" s="52">
        <v>338.59</v>
      </c>
      <c r="L27" s="52">
        <v>28.98</v>
      </c>
      <c r="M27" s="52">
        <v>101.35</v>
      </c>
      <c r="N27" s="52">
        <v>28.4</v>
      </c>
      <c r="O27" s="52">
        <v>-2000000000</v>
      </c>
      <c r="P27" s="52">
        <v>0.59</v>
      </c>
      <c r="Q27" s="52">
        <v>9.56</v>
      </c>
      <c r="R27" s="43"/>
      <c r="S27" s="43"/>
      <c r="T27" s="43"/>
      <c r="U27" s="43"/>
    </row>
    <row r="28" spans="1:21" s="11" customFormat="1" x14ac:dyDescent="0.25">
      <c r="A28" s="51" t="s">
        <v>559</v>
      </c>
      <c r="B28" s="52">
        <v>8.0500000000000007</v>
      </c>
      <c r="C28" s="52">
        <v>3.11</v>
      </c>
      <c r="D28" s="52">
        <v>11.85</v>
      </c>
      <c r="E28" s="52">
        <v>5.08</v>
      </c>
      <c r="F28" s="52">
        <v>3.85</v>
      </c>
      <c r="G28" s="52">
        <v>87.64</v>
      </c>
      <c r="H28" s="57" t="s">
        <v>8</v>
      </c>
      <c r="I28" s="52">
        <v>3.31</v>
      </c>
      <c r="J28" s="52">
        <v>0.32</v>
      </c>
      <c r="K28" s="52">
        <v>344.08</v>
      </c>
      <c r="L28" s="52">
        <v>28.33</v>
      </c>
      <c r="M28" s="52">
        <v>101.71</v>
      </c>
      <c r="N28" s="52">
        <v>26.8</v>
      </c>
      <c r="O28" s="52">
        <v>-2000000000</v>
      </c>
      <c r="P28" s="52">
        <v>0.67</v>
      </c>
      <c r="Q28" s="52">
        <v>9.64</v>
      </c>
      <c r="R28" s="43"/>
      <c r="S28" s="43"/>
      <c r="T28" s="43"/>
      <c r="U28" s="43"/>
    </row>
    <row r="29" spans="1:21" s="11" customFormat="1" x14ac:dyDescent="0.25">
      <c r="A29" s="51" t="s">
        <v>560</v>
      </c>
      <c r="B29" s="52">
        <v>8.0399999999999991</v>
      </c>
      <c r="C29" s="52">
        <v>3.07</v>
      </c>
      <c r="D29" s="52">
        <v>11.81</v>
      </c>
      <c r="E29" s="52">
        <v>4</v>
      </c>
      <c r="F29" s="52">
        <v>3.9</v>
      </c>
      <c r="G29" s="52">
        <v>85.36</v>
      </c>
      <c r="H29" s="57" t="s">
        <v>8</v>
      </c>
      <c r="I29" s="52">
        <v>4.78</v>
      </c>
      <c r="J29" s="52">
        <v>0.51</v>
      </c>
      <c r="K29" s="52">
        <v>148.41</v>
      </c>
      <c r="L29" s="52">
        <v>28.89</v>
      </c>
      <c r="M29" s="52">
        <v>97.11</v>
      </c>
      <c r="N29" s="52">
        <v>27</v>
      </c>
      <c r="O29" s="52">
        <v>-2000000000</v>
      </c>
      <c r="P29" s="52">
        <v>0.72</v>
      </c>
      <c r="Q29" s="52">
        <v>9.7200000000000006</v>
      </c>
      <c r="R29" s="43"/>
      <c r="S29" s="43"/>
      <c r="T29" s="43"/>
      <c r="U29" s="43"/>
    </row>
    <row r="30" spans="1:21" s="11" customFormat="1" x14ac:dyDescent="0.25">
      <c r="A30" s="51" t="s">
        <v>561</v>
      </c>
      <c r="B30" s="52">
        <v>8.01</v>
      </c>
      <c r="C30" s="52">
        <v>3.06</v>
      </c>
      <c r="D30" s="52">
        <v>11.79</v>
      </c>
      <c r="E30" s="52">
        <v>4.6399999999999997</v>
      </c>
      <c r="F30" s="52">
        <v>5.14</v>
      </c>
      <c r="G30" s="52">
        <v>72.89</v>
      </c>
      <c r="H30" s="57" t="s">
        <v>8</v>
      </c>
      <c r="I30" s="52">
        <v>5.39</v>
      </c>
      <c r="J30" s="52">
        <v>1.99</v>
      </c>
      <c r="K30" s="52">
        <v>169.08</v>
      </c>
      <c r="L30" s="52">
        <v>27.29</v>
      </c>
      <c r="M30" s="52">
        <v>102.57</v>
      </c>
      <c r="N30" s="52">
        <v>30.2</v>
      </c>
      <c r="O30" s="52">
        <v>-2000000000</v>
      </c>
      <c r="P30" s="52">
        <v>0.7</v>
      </c>
      <c r="Q30" s="52">
        <v>9.73</v>
      </c>
      <c r="R30" s="43"/>
      <c r="S30" s="43"/>
      <c r="T30" s="43"/>
      <c r="U30" s="43"/>
    </row>
    <row r="31" spans="1:21" s="11" customFormat="1" x14ac:dyDescent="0.25">
      <c r="A31" s="51" t="s">
        <v>562</v>
      </c>
      <c r="B31" s="52">
        <v>8.01</v>
      </c>
      <c r="C31" s="52">
        <v>3.06</v>
      </c>
      <c r="D31" s="52">
        <v>11.79</v>
      </c>
      <c r="E31" s="52">
        <v>4.46</v>
      </c>
      <c r="F31" s="52">
        <v>4.92</v>
      </c>
      <c r="G31" s="52">
        <v>54.58</v>
      </c>
      <c r="H31" s="57" t="s">
        <v>8</v>
      </c>
      <c r="I31" s="52">
        <v>5.36</v>
      </c>
      <c r="J31" s="52">
        <v>0.96</v>
      </c>
      <c r="K31" s="52">
        <v>149.81</v>
      </c>
      <c r="L31" s="52">
        <v>24.22</v>
      </c>
      <c r="M31" s="52">
        <v>102.99</v>
      </c>
      <c r="N31" s="52">
        <v>27.4</v>
      </c>
      <c r="O31" s="52">
        <v>-2000000000</v>
      </c>
      <c r="P31" s="52">
        <v>0.56000000000000005</v>
      </c>
      <c r="Q31" s="52">
        <v>9.57</v>
      </c>
      <c r="R31" s="43"/>
      <c r="S31" s="43"/>
      <c r="T31" s="43"/>
      <c r="U31" s="43"/>
    </row>
    <row r="32" spans="1:21" s="11" customFormat="1" x14ac:dyDescent="0.25">
      <c r="A32" s="51" t="s">
        <v>563</v>
      </c>
      <c r="B32" s="52">
        <v>7.98</v>
      </c>
      <c r="C32" s="52">
        <v>3.01</v>
      </c>
      <c r="D32" s="52">
        <v>11.75</v>
      </c>
      <c r="E32" s="52">
        <v>4.54</v>
      </c>
      <c r="F32" s="52">
        <v>4.76</v>
      </c>
      <c r="G32" s="52">
        <v>30.36</v>
      </c>
      <c r="H32" s="57" t="s">
        <v>8</v>
      </c>
      <c r="I32" s="52">
        <v>5.08</v>
      </c>
      <c r="J32" s="52">
        <v>1.49</v>
      </c>
      <c r="K32" s="52">
        <v>341.49</v>
      </c>
      <c r="L32" s="52">
        <v>24.7</v>
      </c>
      <c r="M32" s="52">
        <v>106.28</v>
      </c>
      <c r="N32" s="52">
        <v>13.8</v>
      </c>
      <c r="O32" s="52">
        <v>-2000000000</v>
      </c>
      <c r="P32" s="52">
        <v>0.5</v>
      </c>
      <c r="Q32" s="52">
        <v>9.5500000000000007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7.96</v>
      </c>
      <c r="C34" s="28">
        <f t="shared" si="0"/>
        <v>2.98</v>
      </c>
      <c r="D34" s="28">
        <f t="shared" si="0"/>
        <v>11.72</v>
      </c>
      <c r="E34" s="28">
        <f t="shared" si="0"/>
        <v>4</v>
      </c>
      <c r="F34" s="28">
        <f t="shared" si="0"/>
        <v>3.42</v>
      </c>
      <c r="G34" s="28">
        <f t="shared" si="0"/>
        <v>21.13</v>
      </c>
      <c r="H34" s="28">
        <f t="shared" si="0"/>
        <v>0</v>
      </c>
      <c r="I34" s="28">
        <f t="shared" si="0"/>
        <v>2.13</v>
      </c>
      <c r="J34" s="28">
        <f t="shared" si="0"/>
        <v>0.08</v>
      </c>
      <c r="K34" s="28">
        <f t="shared" si="0"/>
        <v>139.54</v>
      </c>
      <c r="L34" s="28">
        <f t="shared" si="0"/>
        <v>24.22</v>
      </c>
      <c r="M34" s="28">
        <f t="shared" si="0"/>
        <v>69.569999999999993</v>
      </c>
      <c r="N34" s="28">
        <f t="shared" si="0"/>
        <v>0</v>
      </c>
      <c r="O34" s="28">
        <f t="shared" si="0"/>
        <v>-2000000000</v>
      </c>
      <c r="P34" s="28">
        <f t="shared" si="0"/>
        <v>0.32</v>
      </c>
      <c r="Q34" s="28">
        <f t="shared" si="0"/>
        <v>9.44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8.15</v>
      </c>
      <c r="C35" s="29">
        <f t="shared" si="1"/>
        <v>3.18</v>
      </c>
      <c r="D35" s="29">
        <f t="shared" si="1"/>
        <v>11.97</v>
      </c>
      <c r="E35" s="29">
        <f t="shared" si="1"/>
        <v>5.43</v>
      </c>
      <c r="F35" s="29">
        <f t="shared" si="1"/>
        <v>8.86</v>
      </c>
      <c r="G35" s="29">
        <f t="shared" si="1"/>
        <v>87.64</v>
      </c>
      <c r="H35" s="29">
        <f t="shared" si="1"/>
        <v>0</v>
      </c>
      <c r="I35" s="29">
        <f t="shared" si="1"/>
        <v>6.25</v>
      </c>
      <c r="J35" s="29">
        <f t="shared" si="1"/>
        <v>1.99</v>
      </c>
      <c r="K35" s="29">
        <f t="shared" si="1"/>
        <v>347.36</v>
      </c>
      <c r="L35" s="29">
        <f t="shared" si="1"/>
        <v>35.590000000000003</v>
      </c>
      <c r="M35" s="29">
        <f t="shared" si="1"/>
        <v>106.28</v>
      </c>
      <c r="N35" s="29">
        <f t="shared" si="1"/>
        <v>806.2</v>
      </c>
      <c r="O35" s="29">
        <f t="shared" si="1"/>
        <v>-2000000000</v>
      </c>
      <c r="P35" s="29">
        <f t="shared" si="1"/>
        <v>0.89</v>
      </c>
      <c r="Q35" s="29">
        <f t="shared" si="1"/>
        <v>10.02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8.02</v>
      </c>
      <c r="C36" s="28">
        <f t="shared" si="2"/>
        <v>3.0562499999999999</v>
      </c>
      <c r="D36" s="28">
        <f t="shared" si="2"/>
        <v>11.799583333333333</v>
      </c>
      <c r="E36" s="28">
        <f t="shared" si="2"/>
        <v>4.7625000000000002</v>
      </c>
      <c r="F36" s="28">
        <f t="shared" si="2"/>
        <v>5.0670833333333336</v>
      </c>
      <c r="G36" s="28">
        <f t="shared" si="2"/>
        <v>44.217083333333335</v>
      </c>
      <c r="H36" s="28" t="e">
        <f t="shared" si="2"/>
        <v>#DIV/0!</v>
      </c>
      <c r="I36" s="28">
        <f t="shared" si="2"/>
        <v>4.2670833333333329</v>
      </c>
      <c r="J36" s="28">
        <f t="shared" si="2"/>
        <v>0.54333333333333333</v>
      </c>
      <c r="K36" s="28">
        <f t="shared" si="2"/>
        <v>272.10499999999996</v>
      </c>
      <c r="L36" s="28">
        <f t="shared" si="2"/>
        <v>29.44</v>
      </c>
      <c r="M36" s="28">
        <f t="shared" si="2"/>
        <v>93.18708333333332</v>
      </c>
      <c r="N36" s="28">
        <f t="shared" si="2"/>
        <v>111.26666666666669</v>
      </c>
      <c r="O36" s="28">
        <f t="shared" si="2"/>
        <v>-2000000000</v>
      </c>
      <c r="P36" s="28">
        <f t="shared" si="2"/>
        <v>0.50791666666666668</v>
      </c>
      <c r="Q36" s="28">
        <f t="shared" si="2"/>
        <v>9.6195833333333312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4.3638833922172514E-2</v>
      </c>
      <c r="C37" s="28">
        <f t="shared" ref="C37:Q37" si="3">STDEV(C9:C32)</f>
        <v>5.1820132062322284E-2</v>
      </c>
      <c r="D37" s="28">
        <f t="shared" si="3"/>
        <v>6.003471218109302E-2</v>
      </c>
      <c r="E37" s="28">
        <f t="shared" si="3"/>
        <v>0.42299398700629093</v>
      </c>
      <c r="F37" s="28">
        <f t="shared" si="3"/>
        <v>1.3508273766285892</v>
      </c>
      <c r="G37" s="28">
        <f t="shared" si="3"/>
        <v>20.667464765152982</v>
      </c>
      <c r="H37" s="28" t="e">
        <f t="shared" si="3"/>
        <v>#DIV/0!</v>
      </c>
      <c r="I37" s="28">
        <f t="shared" si="3"/>
        <v>1.3474984203158191</v>
      </c>
      <c r="J37" s="28">
        <f t="shared" si="3"/>
        <v>0.52615642133318574</v>
      </c>
      <c r="K37" s="28">
        <f t="shared" si="3"/>
        <v>85.072346142920452</v>
      </c>
      <c r="L37" s="28">
        <f t="shared" si="3"/>
        <v>3.6562121049689646</v>
      </c>
      <c r="M37" s="28">
        <f t="shared" si="3"/>
        <v>12.58139395026986</v>
      </c>
      <c r="N37" s="28">
        <f t="shared" si="3"/>
        <v>200.82157918577042</v>
      </c>
      <c r="O37" s="28">
        <f t="shared" si="3"/>
        <v>0</v>
      </c>
      <c r="P37" s="28">
        <f t="shared" si="3"/>
        <v>0.15322558438506606</v>
      </c>
      <c r="Q37" s="28">
        <f t="shared" si="3"/>
        <v>0.14253845146109703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COUNT(H9:H32)+24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564</v>
      </c>
      <c r="B9" s="52">
        <v>8.0299999999999994</v>
      </c>
      <c r="C9" s="52">
        <v>3.05</v>
      </c>
      <c r="D9" s="52">
        <v>11.8</v>
      </c>
      <c r="E9" s="52">
        <v>4.1399999999999997</v>
      </c>
      <c r="F9" s="52">
        <v>3.54</v>
      </c>
      <c r="G9" s="52">
        <v>17.66</v>
      </c>
      <c r="H9" s="58" t="s">
        <v>15</v>
      </c>
      <c r="I9" s="52">
        <v>4.9400000000000004</v>
      </c>
      <c r="J9" s="52">
        <v>0.41</v>
      </c>
      <c r="K9" s="52">
        <v>337.96</v>
      </c>
      <c r="L9" s="52">
        <v>24.88</v>
      </c>
      <c r="M9" s="52">
        <v>105.05</v>
      </c>
      <c r="N9" s="52">
        <v>26.6</v>
      </c>
      <c r="O9" s="57" t="s">
        <v>8</v>
      </c>
      <c r="P9" s="52">
        <v>0.45</v>
      </c>
      <c r="Q9" s="52">
        <v>9.5500000000000007</v>
      </c>
      <c r="R9" s="43"/>
      <c r="S9" s="43"/>
      <c r="T9" s="43"/>
      <c r="U9" s="43"/>
    </row>
    <row r="10" spans="1:21" s="11" customFormat="1" x14ac:dyDescent="0.25">
      <c r="A10" s="51" t="s">
        <v>565</v>
      </c>
      <c r="B10" s="52">
        <v>8.0299999999999994</v>
      </c>
      <c r="C10" s="52">
        <v>3.03</v>
      </c>
      <c r="D10" s="52">
        <v>11.8</v>
      </c>
      <c r="E10" s="52">
        <v>4.22</v>
      </c>
      <c r="F10" s="52">
        <v>4.17</v>
      </c>
      <c r="G10" s="52">
        <v>14.92</v>
      </c>
      <c r="H10" s="58" t="s">
        <v>15</v>
      </c>
      <c r="I10" s="52">
        <v>5.01</v>
      </c>
      <c r="J10" s="52">
        <v>0.28999999999999998</v>
      </c>
      <c r="K10" s="52">
        <v>197.76</v>
      </c>
      <c r="L10" s="52">
        <v>24.96</v>
      </c>
      <c r="M10" s="52">
        <v>105.11</v>
      </c>
      <c r="N10" s="52">
        <v>27.2</v>
      </c>
      <c r="O10" s="57" t="s">
        <v>8</v>
      </c>
      <c r="P10" s="52">
        <v>0.41</v>
      </c>
      <c r="Q10" s="52">
        <v>9.56</v>
      </c>
      <c r="R10" s="43"/>
      <c r="S10" s="43"/>
      <c r="T10" s="43"/>
      <c r="U10" s="43"/>
    </row>
    <row r="11" spans="1:21" s="11" customFormat="1" x14ac:dyDescent="0.25">
      <c r="A11" s="51" t="s">
        <v>566</v>
      </c>
      <c r="B11" s="52">
        <v>7.98</v>
      </c>
      <c r="C11" s="52">
        <v>3.01</v>
      </c>
      <c r="D11" s="52">
        <v>11.74</v>
      </c>
      <c r="E11" s="52">
        <v>4.29</v>
      </c>
      <c r="F11" s="52">
        <v>5.21</v>
      </c>
      <c r="G11" s="52">
        <v>14.27</v>
      </c>
      <c r="H11" s="58" t="s">
        <v>15</v>
      </c>
      <c r="I11" s="52">
        <v>4.78</v>
      </c>
      <c r="J11" s="52">
        <v>0.12</v>
      </c>
      <c r="K11" s="52">
        <v>274.67</v>
      </c>
      <c r="L11" s="52">
        <v>24.96</v>
      </c>
      <c r="M11" s="52">
        <v>108.62</v>
      </c>
      <c r="N11" s="52">
        <v>26.9</v>
      </c>
      <c r="O11" s="57" t="s">
        <v>8</v>
      </c>
      <c r="P11" s="52">
        <v>0.39</v>
      </c>
      <c r="Q11" s="52">
        <v>9.52</v>
      </c>
      <c r="R11" s="43"/>
      <c r="S11" s="43"/>
      <c r="T11" s="43"/>
      <c r="U11" s="43"/>
    </row>
    <row r="12" spans="1:21" s="11" customFormat="1" x14ac:dyDescent="0.25">
      <c r="A12" s="51" t="s">
        <v>567</v>
      </c>
      <c r="B12" s="52">
        <v>7.97</v>
      </c>
      <c r="C12" s="52">
        <v>3.03</v>
      </c>
      <c r="D12" s="52">
        <v>11.75</v>
      </c>
      <c r="E12" s="52">
        <v>5.56</v>
      </c>
      <c r="F12" s="52">
        <v>4.45</v>
      </c>
      <c r="G12" s="52">
        <v>12.01</v>
      </c>
      <c r="H12" s="58" t="s">
        <v>15</v>
      </c>
      <c r="I12" s="52">
        <v>4.1500000000000004</v>
      </c>
      <c r="J12" s="52">
        <v>0.55000000000000004</v>
      </c>
      <c r="K12" s="52">
        <v>155.74</v>
      </c>
      <c r="L12" s="52">
        <v>25.28</v>
      </c>
      <c r="M12" s="52">
        <v>105.65</v>
      </c>
      <c r="N12" s="52">
        <v>27.3</v>
      </c>
      <c r="O12" s="57" t="s">
        <v>8</v>
      </c>
      <c r="P12" s="52">
        <v>0.35</v>
      </c>
      <c r="Q12" s="52">
        <v>9.49</v>
      </c>
      <c r="R12" s="43"/>
      <c r="S12" s="43"/>
      <c r="T12" s="43"/>
      <c r="U12" s="43"/>
    </row>
    <row r="13" spans="1:21" s="11" customFormat="1" x14ac:dyDescent="0.25">
      <c r="A13" s="51" t="s">
        <v>568</v>
      </c>
      <c r="B13" s="52">
        <v>8</v>
      </c>
      <c r="C13" s="52">
        <v>2.99</v>
      </c>
      <c r="D13" s="52">
        <v>11.75</v>
      </c>
      <c r="E13" s="52">
        <v>4.43</v>
      </c>
      <c r="F13" s="52">
        <v>3.4</v>
      </c>
      <c r="G13" s="52">
        <v>14.64</v>
      </c>
      <c r="H13" s="58" t="s">
        <v>15</v>
      </c>
      <c r="I13" s="52">
        <v>4.05</v>
      </c>
      <c r="J13" s="52">
        <v>0.08</v>
      </c>
      <c r="K13" s="52">
        <v>279.92</v>
      </c>
      <c r="L13" s="52">
        <v>25.43</v>
      </c>
      <c r="M13" s="52">
        <v>105.4</v>
      </c>
      <c r="N13" s="52">
        <v>26.9</v>
      </c>
      <c r="O13" s="57" t="s">
        <v>8</v>
      </c>
      <c r="P13" s="52">
        <v>0.32</v>
      </c>
      <c r="Q13" s="52">
        <v>9.5</v>
      </c>
      <c r="R13" s="43"/>
      <c r="S13" s="43"/>
      <c r="T13" s="43"/>
      <c r="U13" s="43"/>
    </row>
    <row r="14" spans="1:21" s="11" customFormat="1" x14ac:dyDescent="0.25">
      <c r="A14" s="51" t="s">
        <v>569</v>
      </c>
      <c r="B14" s="52">
        <v>7.98</v>
      </c>
      <c r="C14" s="52">
        <v>2.96</v>
      </c>
      <c r="D14" s="52">
        <v>11.72</v>
      </c>
      <c r="E14" s="52">
        <v>4.74</v>
      </c>
      <c r="F14" s="52">
        <v>4.41</v>
      </c>
      <c r="G14" s="52">
        <v>14.64</v>
      </c>
      <c r="H14" s="58" t="s">
        <v>15</v>
      </c>
      <c r="I14" s="52">
        <v>4.3499999999999996</v>
      </c>
      <c r="J14" s="52">
        <v>0.12</v>
      </c>
      <c r="K14" s="52">
        <v>347.39</v>
      </c>
      <c r="L14" s="52">
        <v>25.52</v>
      </c>
      <c r="M14" s="52">
        <v>105.11</v>
      </c>
      <c r="N14" s="52">
        <v>26.9</v>
      </c>
      <c r="O14" s="57" t="s">
        <v>8</v>
      </c>
      <c r="P14" s="52">
        <v>0.31</v>
      </c>
      <c r="Q14" s="52">
        <v>9.52</v>
      </c>
      <c r="R14" s="43"/>
      <c r="S14" s="43"/>
      <c r="T14" s="43"/>
      <c r="U14" s="43"/>
    </row>
    <row r="15" spans="1:21" s="11" customFormat="1" x14ac:dyDescent="0.25">
      <c r="A15" s="51" t="s">
        <v>570</v>
      </c>
      <c r="B15" s="52">
        <v>7.99</v>
      </c>
      <c r="C15" s="52">
        <v>3.08</v>
      </c>
      <c r="D15" s="52">
        <v>11.79</v>
      </c>
      <c r="E15" s="52">
        <v>4.5199999999999996</v>
      </c>
      <c r="F15" s="52">
        <v>4.51</v>
      </c>
      <c r="G15" s="52">
        <v>10.55</v>
      </c>
      <c r="H15" s="58" t="s">
        <v>15</v>
      </c>
      <c r="I15" s="52">
        <v>4.3600000000000003</v>
      </c>
      <c r="J15" s="52">
        <v>7.0000000000000007E-2</v>
      </c>
      <c r="K15" s="52">
        <v>358.66</v>
      </c>
      <c r="L15" s="52">
        <v>25.54</v>
      </c>
      <c r="M15" s="52">
        <v>105.1</v>
      </c>
      <c r="N15" s="52">
        <v>0</v>
      </c>
      <c r="O15" s="57" t="s">
        <v>8</v>
      </c>
      <c r="P15" s="52">
        <v>0.31</v>
      </c>
      <c r="Q15" s="52">
        <v>9.4600000000000009</v>
      </c>
      <c r="R15" s="43"/>
      <c r="S15" s="43"/>
      <c r="T15" s="43"/>
      <c r="U15" s="43"/>
    </row>
    <row r="16" spans="1:21" s="11" customFormat="1" x14ac:dyDescent="0.25">
      <c r="A16" s="51" t="s">
        <v>571</v>
      </c>
      <c r="B16" s="52">
        <v>7.98</v>
      </c>
      <c r="C16" s="52">
        <v>2.99</v>
      </c>
      <c r="D16" s="52">
        <v>11.74</v>
      </c>
      <c r="E16" s="52">
        <v>4.54</v>
      </c>
      <c r="F16" s="52">
        <v>4.9000000000000004</v>
      </c>
      <c r="G16" s="52">
        <v>14.13</v>
      </c>
      <c r="H16" s="58" t="s">
        <v>15</v>
      </c>
      <c r="I16" s="52">
        <v>4.08</v>
      </c>
      <c r="J16" s="52">
        <v>0.04</v>
      </c>
      <c r="K16" s="52">
        <v>347.04</v>
      </c>
      <c r="L16" s="52">
        <v>25.61</v>
      </c>
      <c r="M16" s="52">
        <v>105.33</v>
      </c>
      <c r="N16" s="52">
        <v>0</v>
      </c>
      <c r="O16" s="57" t="s">
        <v>8</v>
      </c>
      <c r="P16" s="52">
        <v>0.31</v>
      </c>
      <c r="Q16" s="52">
        <v>9.4600000000000009</v>
      </c>
      <c r="R16" s="43"/>
      <c r="S16" s="43"/>
      <c r="T16" s="43"/>
      <c r="U16" s="43"/>
    </row>
    <row r="17" spans="1:21" s="11" customFormat="1" x14ac:dyDescent="0.25">
      <c r="A17" s="51" t="s">
        <v>572</v>
      </c>
      <c r="B17" s="52">
        <v>7.99</v>
      </c>
      <c r="C17" s="52">
        <v>2.98</v>
      </c>
      <c r="D17" s="52">
        <v>11.73</v>
      </c>
      <c r="E17" s="52">
        <v>4.66</v>
      </c>
      <c r="F17" s="52">
        <v>3.46</v>
      </c>
      <c r="G17" s="52">
        <v>14.13</v>
      </c>
      <c r="H17" s="58" t="s">
        <v>15</v>
      </c>
      <c r="I17" s="52">
        <v>3.71</v>
      </c>
      <c r="J17" s="52">
        <v>0.12</v>
      </c>
      <c r="K17" s="52">
        <v>352.58</v>
      </c>
      <c r="L17" s="52">
        <v>25.89</v>
      </c>
      <c r="M17" s="52">
        <v>105.35</v>
      </c>
      <c r="N17" s="52">
        <v>0</v>
      </c>
      <c r="O17" s="57" t="s">
        <v>8</v>
      </c>
      <c r="P17" s="52">
        <v>0.33</v>
      </c>
      <c r="Q17" s="52">
        <v>9.52</v>
      </c>
      <c r="R17" s="43"/>
      <c r="S17" s="43"/>
      <c r="T17" s="43"/>
      <c r="U17" s="43"/>
    </row>
    <row r="18" spans="1:21" s="11" customFormat="1" x14ac:dyDescent="0.25">
      <c r="A18" s="51" t="s">
        <v>573</v>
      </c>
      <c r="B18" s="52">
        <v>8.0500000000000007</v>
      </c>
      <c r="C18" s="52">
        <v>3.04</v>
      </c>
      <c r="D18" s="52">
        <v>11.82</v>
      </c>
      <c r="E18" s="52">
        <v>4.59</v>
      </c>
      <c r="F18" s="52">
        <v>3.26</v>
      </c>
      <c r="G18" s="52">
        <v>10.34</v>
      </c>
      <c r="H18" s="58" t="s">
        <v>15</v>
      </c>
      <c r="I18" s="52">
        <v>4.4400000000000004</v>
      </c>
      <c r="J18" s="52">
        <v>0.43</v>
      </c>
      <c r="K18" s="52">
        <v>340.94</v>
      </c>
      <c r="L18" s="52">
        <v>25.68</v>
      </c>
      <c r="M18" s="52">
        <v>105.49</v>
      </c>
      <c r="N18" s="52">
        <v>0.3</v>
      </c>
      <c r="O18" s="57" t="s">
        <v>8</v>
      </c>
      <c r="P18" s="52">
        <v>0.37</v>
      </c>
      <c r="Q18" s="52">
        <v>9.66</v>
      </c>
      <c r="R18" s="43"/>
      <c r="S18" s="43"/>
      <c r="T18" s="43"/>
      <c r="U18" s="43"/>
    </row>
    <row r="19" spans="1:21" s="11" customFormat="1" x14ac:dyDescent="0.25">
      <c r="A19" s="51" t="s">
        <v>574</v>
      </c>
      <c r="B19" s="52">
        <v>8.0399999999999991</v>
      </c>
      <c r="C19" s="52">
        <v>3.12</v>
      </c>
      <c r="D19" s="52">
        <v>11.85</v>
      </c>
      <c r="E19" s="52">
        <v>4.72</v>
      </c>
      <c r="F19" s="52">
        <v>4.3099999999999996</v>
      </c>
      <c r="G19" s="52">
        <v>12.87</v>
      </c>
      <c r="H19" s="58" t="s">
        <v>15</v>
      </c>
      <c r="I19" s="52">
        <v>4.7699999999999996</v>
      </c>
      <c r="J19" s="52">
        <v>0.33</v>
      </c>
      <c r="K19" s="52">
        <v>174.44</v>
      </c>
      <c r="L19" s="52">
        <v>25.9</v>
      </c>
      <c r="M19" s="52">
        <v>105.55</v>
      </c>
      <c r="N19" s="52">
        <v>5.5</v>
      </c>
      <c r="O19" s="57" t="s">
        <v>8</v>
      </c>
      <c r="P19" s="52">
        <v>0.4</v>
      </c>
      <c r="Q19" s="52">
        <v>9.73</v>
      </c>
      <c r="R19" s="43"/>
      <c r="S19" s="43"/>
      <c r="T19" s="43"/>
      <c r="U19" s="43"/>
    </row>
    <row r="20" spans="1:21" s="11" customFormat="1" x14ac:dyDescent="0.25">
      <c r="A20" s="51" t="s">
        <v>575</v>
      </c>
      <c r="B20" s="52">
        <v>8</v>
      </c>
      <c r="C20" s="52">
        <v>3.04</v>
      </c>
      <c r="D20" s="52">
        <v>11.77</v>
      </c>
      <c r="E20" s="52">
        <v>4.8099999999999996</v>
      </c>
      <c r="F20" s="52">
        <v>4.3099999999999996</v>
      </c>
      <c r="G20" s="52">
        <v>12.87</v>
      </c>
      <c r="H20" s="58" t="s">
        <v>15</v>
      </c>
      <c r="I20" s="52">
        <v>4.97</v>
      </c>
      <c r="J20" s="52">
        <v>0.35</v>
      </c>
      <c r="K20" s="52">
        <v>125.02</v>
      </c>
      <c r="L20" s="52">
        <v>26.27</v>
      </c>
      <c r="M20" s="52">
        <v>105.28</v>
      </c>
      <c r="N20" s="52">
        <v>67.3</v>
      </c>
      <c r="O20" s="57" t="s">
        <v>8</v>
      </c>
      <c r="P20" s="52">
        <v>0.42</v>
      </c>
      <c r="Q20" s="52">
        <v>9.76</v>
      </c>
      <c r="R20" s="43"/>
      <c r="S20" s="43"/>
      <c r="T20" s="43"/>
      <c r="U20" s="43"/>
    </row>
    <row r="21" spans="1:21" s="11" customFormat="1" x14ac:dyDescent="0.25">
      <c r="A21" s="51" t="s">
        <v>576</v>
      </c>
      <c r="B21" s="52">
        <v>8.0399999999999991</v>
      </c>
      <c r="C21" s="52">
        <v>3.08</v>
      </c>
      <c r="D21" s="52">
        <v>11.81</v>
      </c>
      <c r="E21" s="52">
        <v>4.2</v>
      </c>
      <c r="F21" s="52">
        <v>3.89</v>
      </c>
      <c r="G21" s="52">
        <v>10.92</v>
      </c>
      <c r="H21" s="58" t="s">
        <v>15</v>
      </c>
      <c r="I21" s="52">
        <v>5.0199999999999996</v>
      </c>
      <c r="J21" s="52">
        <v>0.82</v>
      </c>
      <c r="K21" s="52">
        <v>153.53</v>
      </c>
      <c r="L21" s="52">
        <v>26.98</v>
      </c>
      <c r="M21" s="52">
        <v>105.25</v>
      </c>
      <c r="N21" s="52">
        <v>199.3</v>
      </c>
      <c r="O21" s="57" t="s">
        <v>8</v>
      </c>
      <c r="P21" s="52">
        <v>0.42</v>
      </c>
      <c r="Q21" s="52">
        <v>9.73</v>
      </c>
      <c r="R21" s="43"/>
      <c r="S21" s="43"/>
      <c r="T21" s="43"/>
      <c r="U21" s="43"/>
    </row>
    <row r="22" spans="1:21" s="11" customFormat="1" x14ac:dyDescent="0.25">
      <c r="A22" s="51" t="s">
        <v>577</v>
      </c>
      <c r="B22" s="52">
        <v>8.08</v>
      </c>
      <c r="C22" s="52">
        <v>3.12</v>
      </c>
      <c r="D22" s="52">
        <v>11.88</v>
      </c>
      <c r="E22" s="52">
        <v>4.4800000000000004</v>
      </c>
      <c r="F22" s="52">
        <v>3.41</v>
      </c>
      <c r="G22" s="52">
        <v>10.88</v>
      </c>
      <c r="H22" s="58" t="s">
        <v>15</v>
      </c>
      <c r="I22" s="52">
        <v>5.32</v>
      </c>
      <c r="J22" s="52">
        <v>0.74</v>
      </c>
      <c r="K22" s="52">
        <v>166.68</v>
      </c>
      <c r="L22" s="52">
        <v>28.33</v>
      </c>
      <c r="M22" s="52">
        <v>105.17</v>
      </c>
      <c r="N22" s="52">
        <v>236.6</v>
      </c>
      <c r="O22" s="57" t="s">
        <v>8</v>
      </c>
      <c r="P22" s="52">
        <v>0.39</v>
      </c>
      <c r="Q22" s="52">
        <v>9.73</v>
      </c>
      <c r="R22" s="43"/>
      <c r="S22" s="43"/>
      <c r="T22" s="43"/>
      <c r="U22" s="43"/>
    </row>
    <row r="23" spans="1:21" s="11" customFormat="1" x14ac:dyDescent="0.25">
      <c r="A23" s="51" t="s">
        <v>578</v>
      </c>
      <c r="B23" s="52">
        <v>8.0299999999999994</v>
      </c>
      <c r="C23" s="52">
        <v>3.07</v>
      </c>
      <c r="D23" s="52">
        <v>11.81</v>
      </c>
      <c r="E23" s="52">
        <v>4.4000000000000004</v>
      </c>
      <c r="F23" s="52">
        <v>4.13</v>
      </c>
      <c r="G23" s="52">
        <v>10.88</v>
      </c>
      <c r="H23" s="58" t="s">
        <v>15</v>
      </c>
      <c r="I23" s="52">
        <v>5.27</v>
      </c>
      <c r="J23" s="52">
        <v>0.73</v>
      </c>
      <c r="K23" s="52">
        <v>330.72</v>
      </c>
      <c r="L23" s="52">
        <v>29.36</v>
      </c>
      <c r="M23" s="52">
        <v>105.64</v>
      </c>
      <c r="N23" s="52">
        <v>166.9</v>
      </c>
      <c r="O23" s="57" t="s">
        <v>8</v>
      </c>
      <c r="P23" s="52">
        <v>0.38</v>
      </c>
      <c r="Q23" s="52">
        <v>9.6999999999999993</v>
      </c>
      <c r="R23" s="43"/>
      <c r="S23" s="43"/>
      <c r="T23" s="43"/>
      <c r="U23" s="43"/>
    </row>
    <row r="24" spans="1:21" s="11" customFormat="1" x14ac:dyDescent="0.25">
      <c r="A24" s="51" t="s">
        <v>579</v>
      </c>
      <c r="B24" s="52">
        <v>8.0299999999999994</v>
      </c>
      <c r="C24" s="52">
        <v>3.11</v>
      </c>
      <c r="D24" s="52">
        <v>11.84</v>
      </c>
      <c r="E24" s="52">
        <v>4.41</v>
      </c>
      <c r="F24" s="52">
        <v>4.9000000000000004</v>
      </c>
      <c r="G24" s="52">
        <v>17.600000000000001</v>
      </c>
      <c r="H24" s="58" t="s">
        <v>15</v>
      </c>
      <c r="I24" s="52">
        <v>4.59</v>
      </c>
      <c r="J24" s="52">
        <v>0.42</v>
      </c>
      <c r="K24" s="52">
        <v>357.56</v>
      </c>
      <c r="L24" s="52">
        <v>29.43</v>
      </c>
      <c r="M24" s="52">
        <v>105.46</v>
      </c>
      <c r="N24" s="52">
        <v>124.4</v>
      </c>
      <c r="O24" s="57" t="s">
        <v>8</v>
      </c>
      <c r="P24" s="52">
        <v>0.37</v>
      </c>
      <c r="Q24" s="52">
        <v>9.6199999999999992</v>
      </c>
      <c r="R24" s="43"/>
      <c r="S24" s="43"/>
      <c r="T24" s="43"/>
      <c r="U24" s="43"/>
    </row>
    <row r="25" spans="1:21" s="11" customFormat="1" x14ac:dyDescent="0.25">
      <c r="A25" s="51" t="s">
        <v>580</v>
      </c>
      <c r="B25" s="52">
        <v>8.01</v>
      </c>
      <c r="C25" s="52">
        <v>3.04</v>
      </c>
      <c r="D25" s="52">
        <v>11.79</v>
      </c>
      <c r="E25" s="52">
        <v>3.39</v>
      </c>
      <c r="F25" s="52">
        <v>3.45</v>
      </c>
      <c r="G25" s="52">
        <v>17.600000000000001</v>
      </c>
      <c r="H25" s="58" t="s">
        <v>15</v>
      </c>
      <c r="I25" s="52">
        <v>3.9</v>
      </c>
      <c r="J25" s="52">
        <v>0.06</v>
      </c>
      <c r="K25" s="52">
        <v>333.3</v>
      </c>
      <c r="L25" s="52">
        <v>26.2</v>
      </c>
      <c r="M25" s="52">
        <v>105.47</v>
      </c>
      <c r="N25" s="52">
        <v>104.1</v>
      </c>
      <c r="O25" s="57" t="s">
        <v>8</v>
      </c>
      <c r="P25" s="52">
        <v>0.41</v>
      </c>
      <c r="Q25" s="52">
        <v>9.56</v>
      </c>
      <c r="R25" s="43"/>
      <c r="S25" s="43"/>
      <c r="T25" s="43"/>
      <c r="U25" s="43"/>
    </row>
    <row r="26" spans="1:21" s="11" customFormat="1" x14ac:dyDescent="0.25">
      <c r="A26" s="51" t="s">
        <v>581</v>
      </c>
      <c r="B26" s="52">
        <v>8.0500000000000007</v>
      </c>
      <c r="C26" s="52">
        <v>3.05</v>
      </c>
      <c r="D26" s="52">
        <v>11.83</v>
      </c>
      <c r="E26" s="52">
        <v>3.5</v>
      </c>
      <c r="F26" s="52">
        <v>3.37</v>
      </c>
      <c r="G26" s="52">
        <v>20.67</v>
      </c>
      <c r="H26" s="58" t="s">
        <v>15</v>
      </c>
      <c r="I26" s="52">
        <v>4.6399999999999997</v>
      </c>
      <c r="J26" s="52">
        <v>0.33</v>
      </c>
      <c r="K26" s="52">
        <v>217.31</v>
      </c>
      <c r="L26" s="52">
        <v>26.68</v>
      </c>
      <c r="M26" s="52">
        <v>105.33</v>
      </c>
      <c r="N26" s="52">
        <v>92.5</v>
      </c>
      <c r="O26" s="57" t="s">
        <v>8</v>
      </c>
      <c r="P26" s="52">
        <v>0.45</v>
      </c>
      <c r="Q26" s="52">
        <v>9.66</v>
      </c>
      <c r="R26" s="43"/>
      <c r="S26" s="43"/>
      <c r="T26" s="43"/>
      <c r="U26" s="43"/>
    </row>
    <row r="27" spans="1:21" s="11" customFormat="1" x14ac:dyDescent="0.25">
      <c r="A27" s="51" t="s">
        <v>582</v>
      </c>
      <c r="B27" s="52">
        <v>8.02</v>
      </c>
      <c r="C27" s="52">
        <v>3.06</v>
      </c>
      <c r="D27" s="52">
        <v>11.81</v>
      </c>
      <c r="E27" s="52">
        <v>3.94</v>
      </c>
      <c r="F27" s="52">
        <v>4.76</v>
      </c>
      <c r="G27" s="52">
        <v>23.19</v>
      </c>
      <c r="H27" s="58" t="s">
        <v>15</v>
      </c>
      <c r="I27" s="52">
        <v>5.39</v>
      </c>
      <c r="J27" s="52">
        <v>0.25</v>
      </c>
      <c r="K27" s="52">
        <v>297.49</v>
      </c>
      <c r="L27" s="52">
        <v>26.73</v>
      </c>
      <c r="M27" s="52">
        <v>105.32</v>
      </c>
      <c r="N27" s="52">
        <v>30</v>
      </c>
      <c r="O27" s="57" t="s">
        <v>8</v>
      </c>
      <c r="P27" s="52">
        <v>0.56999999999999995</v>
      </c>
      <c r="Q27" s="52">
        <v>9.7200000000000006</v>
      </c>
      <c r="R27" s="43"/>
      <c r="S27" s="43"/>
      <c r="T27" s="43"/>
      <c r="U27" s="43"/>
    </row>
    <row r="28" spans="1:21" s="11" customFormat="1" x14ac:dyDescent="0.25">
      <c r="A28" s="51" t="s">
        <v>583</v>
      </c>
      <c r="B28" s="52">
        <v>8.06</v>
      </c>
      <c r="C28" s="52">
        <v>3.13</v>
      </c>
      <c r="D28" s="52">
        <v>11.87</v>
      </c>
      <c r="E28" s="52">
        <v>4.8</v>
      </c>
      <c r="F28" s="52">
        <v>4.3499999999999996</v>
      </c>
      <c r="G28" s="52">
        <v>36.35</v>
      </c>
      <c r="H28" s="58" t="s">
        <v>15</v>
      </c>
      <c r="I28" s="52">
        <v>5.54</v>
      </c>
      <c r="J28" s="52">
        <v>0.31</v>
      </c>
      <c r="K28" s="52">
        <v>353.31</v>
      </c>
      <c r="L28" s="52">
        <v>26.71</v>
      </c>
      <c r="M28" s="52">
        <v>104.32</v>
      </c>
      <c r="N28" s="52">
        <v>28.3</v>
      </c>
      <c r="O28" s="57" t="s">
        <v>8</v>
      </c>
      <c r="P28" s="52">
        <v>0.72</v>
      </c>
      <c r="Q28" s="52">
        <v>9.91</v>
      </c>
      <c r="R28" s="43"/>
      <c r="S28" s="43"/>
      <c r="T28" s="43"/>
      <c r="U28" s="43"/>
    </row>
    <row r="29" spans="1:21" s="11" customFormat="1" x14ac:dyDescent="0.25">
      <c r="A29" s="51" t="s">
        <v>584</v>
      </c>
      <c r="B29" s="52">
        <v>8.08</v>
      </c>
      <c r="C29" s="52">
        <v>3.18</v>
      </c>
      <c r="D29" s="52">
        <v>11.92</v>
      </c>
      <c r="E29" s="52">
        <v>5.0599999999999996</v>
      </c>
      <c r="F29" s="52">
        <v>4.66</v>
      </c>
      <c r="G29" s="52">
        <v>36.35</v>
      </c>
      <c r="H29" s="58" t="s">
        <v>15</v>
      </c>
      <c r="I29" s="52">
        <v>5.63</v>
      </c>
      <c r="J29" s="52">
        <v>0.25</v>
      </c>
      <c r="K29" s="52">
        <v>255.38</v>
      </c>
      <c r="L29" s="52">
        <v>24.46</v>
      </c>
      <c r="M29" s="52">
        <v>104.33</v>
      </c>
      <c r="N29" s="52">
        <v>18.8</v>
      </c>
      <c r="O29" s="57" t="s">
        <v>8</v>
      </c>
      <c r="P29" s="52">
        <v>0.67</v>
      </c>
      <c r="Q29" s="52">
        <v>9.91</v>
      </c>
      <c r="R29" s="43"/>
      <c r="S29" s="43"/>
      <c r="T29" s="43"/>
      <c r="U29" s="43"/>
    </row>
    <row r="30" spans="1:21" s="11" customFormat="1" x14ac:dyDescent="0.25">
      <c r="A30" s="51" t="s">
        <v>585</v>
      </c>
      <c r="B30" s="52">
        <v>8.08</v>
      </c>
      <c r="C30" s="52">
        <v>3.2</v>
      </c>
      <c r="D30" s="52">
        <v>11.93</v>
      </c>
      <c r="E30" s="52">
        <v>4.8499999999999996</v>
      </c>
      <c r="F30" s="52">
        <v>3.36</v>
      </c>
      <c r="G30" s="52">
        <v>33.22</v>
      </c>
      <c r="H30" s="58" t="s">
        <v>15</v>
      </c>
      <c r="I30" s="52">
        <v>4.8099999999999996</v>
      </c>
      <c r="J30" s="52">
        <v>0.11</v>
      </c>
      <c r="K30" s="52">
        <v>345.63</v>
      </c>
      <c r="L30" s="52">
        <v>24.33</v>
      </c>
      <c r="M30" s="52">
        <v>104.4</v>
      </c>
      <c r="N30" s="52">
        <v>25.9</v>
      </c>
      <c r="O30" s="57" t="s">
        <v>8</v>
      </c>
      <c r="P30" s="52">
        <v>0.62</v>
      </c>
      <c r="Q30" s="52">
        <v>9.83</v>
      </c>
      <c r="R30" s="43"/>
      <c r="S30" s="43"/>
      <c r="T30" s="43"/>
      <c r="U30" s="43"/>
    </row>
    <row r="31" spans="1:21" s="11" customFormat="1" x14ac:dyDescent="0.25">
      <c r="A31" s="51" t="s">
        <v>586</v>
      </c>
      <c r="B31" s="52">
        <v>8.0500000000000007</v>
      </c>
      <c r="C31" s="52">
        <v>3.14</v>
      </c>
      <c r="D31" s="52">
        <v>11.87</v>
      </c>
      <c r="E31" s="52">
        <v>4.97</v>
      </c>
      <c r="F31" s="52">
        <v>3.8</v>
      </c>
      <c r="G31" s="52">
        <v>21.75</v>
      </c>
      <c r="H31" s="58" t="s">
        <v>15</v>
      </c>
      <c r="I31" s="52">
        <v>4.8600000000000003</v>
      </c>
      <c r="J31" s="52">
        <v>0.23</v>
      </c>
      <c r="K31" s="52">
        <v>358.98</v>
      </c>
      <c r="L31" s="52">
        <v>24.98</v>
      </c>
      <c r="M31" s="52">
        <v>104.58</v>
      </c>
      <c r="N31" s="52">
        <v>25.7</v>
      </c>
      <c r="O31" s="57" t="s">
        <v>8</v>
      </c>
      <c r="P31" s="52">
        <v>0.59</v>
      </c>
      <c r="Q31" s="52">
        <v>9.81</v>
      </c>
      <c r="R31" s="43"/>
      <c r="S31" s="43"/>
      <c r="T31" s="43"/>
      <c r="U31" s="43"/>
    </row>
    <row r="32" spans="1:21" s="11" customFormat="1" x14ac:dyDescent="0.25">
      <c r="A32" s="51" t="s">
        <v>587</v>
      </c>
      <c r="B32" s="52">
        <v>7.98</v>
      </c>
      <c r="C32" s="52">
        <v>3</v>
      </c>
      <c r="D32" s="52">
        <v>11.73</v>
      </c>
      <c r="E32" s="52">
        <v>4.8499999999999996</v>
      </c>
      <c r="F32" s="52">
        <v>4.54</v>
      </c>
      <c r="G32" s="52">
        <v>15.09</v>
      </c>
      <c r="H32" s="58" t="s">
        <v>15</v>
      </c>
      <c r="I32" s="52">
        <v>4.17</v>
      </c>
      <c r="J32" s="52">
        <v>0.28000000000000003</v>
      </c>
      <c r="K32" s="52">
        <v>358.47</v>
      </c>
      <c r="L32" s="52">
        <v>24.88</v>
      </c>
      <c r="M32" s="52">
        <v>104.62</v>
      </c>
      <c r="N32" s="52">
        <v>24.8</v>
      </c>
      <c r="O32" s="57" t="s">
        <v>8</v>
      </c>
      <c r="P32" s="52">
        <v>0.49</v>
      </c>
      <c r="Q32" s="52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7.97</v>
      </c>
      <c r="C34" s="28">
        <f t="shared" si="0"/>
        <v>2.96</v>
      </c>
      <c r="D34" s="28">
        <f t="shared" si="0"/>
        <v>11.72</v>
      </c>
      <c r="E34" s="28">
        <f t="shared" si="0"/>
        <v>3.39</v>
      </c>
      <c r="F34" s="28">
        <f t="shared" si="0"/>
        <v>3.26</v>
      </c>
      <c r="G34" s="28">
        <f t="shared" si="0"/>
        <v>10.34</v>
      </c>
      <c r="H34" s="28">
        <f t="shared" si="0"/>
        <v>0</v>
      </c>
      <c r="I34" s="28">
        <f t="shared" si="0"/>
        <v>3.71</v>
      </c>
      <c r="J34" s="28">
        <f t="shared" si="0"/>
        <v>0.04</v>
      </c>
      <c r="K34" s="28">
        <f t="shared" si="0"/>
        <v>125.02</v>
      </c>
      <c r="L34" s="28">
        <f t="shared" si="0"/>
        <v>24.33</v>
      </c>
      <c r="M34" s="28">
        <f t="shared" si="0"/>
        <v>104.32</v>
      </c>
      <c r="N34" s="28">
        <f t="shared" si="0"/>
        <v>0</v>
      </c>
      <c r="O34" s="28">
        <f t="shared" si="0"/>
        <v>0</v>
      </c>
      <c r="P34" s="28">
        <f t="shared" si="0"/>
        <v>0.31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8.08</v>
      </c>
      <c r="C35" s="29">
        <f t="shared" si="1"/>
        <v>3.2</v>
      </c>
      <c r="D35" s="29">
        <f t="shared" si="1"/>
        <v>11.93</v>
      </c>
      <c r="E35" s="29">
        <f t="shared" si="1"/>
        <v>5.56</v>
      </c>
      <c r="F35" s="29">
        <f t="shared" si="1"/>
        <v>5.21</v>
      </c>
      <c r="G35" s="29">
        <f t="shared" si="1"/>
        <v>36.35</v>
      </c>
      <c r="H35" s="29">
        <f t="shared" si="1"/>
        <v>0</v>
      </c>
      <c r="I35" s="29">
        <f t="shared" si="1"/>
        <v>5.63</v>
      </c>
      <c r="J35" s="29">
        <f t="shared" si="1"/>
        <v>0.82</v>
      </c>
      <c r="K35" s="29">
        <f t="shared" si="1"/>
        <v>358.98</v>
      </c>
      <c r="L35" s="29">
        <f t="shared" si="1"/>
        <v>29.43</v>
      </c>
      <c r="M35" s="29">
        <f t="shared" si="1"/>
        <v>108.62</v>
      </c>
      <c r="N35" s="29">
        <f t="shared" si="1"/>
        <v>236.6</v>
      </c>
      <c r="O35" s="29">
        <f t="shared" si="1"/>
        <v>0</v>
      </c>
      <c r="P35" s="29">
        <f t="shared" si="1"/>
        <v>0.72</v>
      </c>
      <c r="Q35" s="29">
        <f t="shared" si="1"/>
        <v>9.91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8.0229166666666671</v>
      </c>
      <c r="C36" s="28">
        <f t="shared" si="2"/>
        <v>3.0625</v>
      </c>
      <c r="D36" s="28">
        <f t="shared" si="2"/>
        <v>11.80625</v>
      </c>
      <c r="E36" s="28">
        <f t="shared" si="2"/>
        <v>4.5029166666666667</v>
      </c>
      <c r="F36" s="28">
        <f t="shared" si="2"/>
        <v>4.1062500000000002</v>
      </c>
      <c r="G36" s="28">
        <f t="shared" si="2"/>
        <v>17.397083333333335</v>
      </c>
      <c r="H36" s="28" t="e">
        <f t="shared" si="2"/>
        <v>#DIV/0!</v>
      </c>
      <c r="I36" s="28">
        <f t="shared" si="2"/>
        <v>4.697916666666667</v>
      </c>
      <c r="J36" s="28">
        <f t="shared" si="2"/>
        <v>0.31000000000000005</v>
      </c>
      <c r="K36" s="28">
        <f t="shared" si="2"/>
        <v>284.18666666666678</v>
      </c>
      <c r="L36" s="28">
        <f t="shared" si="2"/>
        <v>26.041250000000005</v>
      </c>
      <c r="M36" s="28">
        <f t="shared" si="2"/>
        <v>105.28874999999999</v>
      </c>
      <c r="N36" s="28">
        <f t="shared" si="2"/>
        <v>54.67499999999999</v>
      </c>
      <c r="O36" s="28" t="e">
        <f t="shared" si="2"/>
        <v>#DIV/0!</v>
      </c>
      <c r="P36" s="28">
        <f t="shared" si="2"/>
        <v>0.43541666666666662</v>
      </c>
      <c r="Q36" s="28">
        <f t="shared" si="2"/>
        <v>9.6508333333333329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3.4701104689428323E-2</v>
      </c>
      <c r="C37" s="28">
        <f t="shared" ref="C37:Q37" si="3">STDEV(C9:C32)</f>
        <v>6.2987231280219255E-2</v>
      </c>
      <c r="D37" s="28">
        <f t="shared" si="3"/>
        <v>5.96229092241213E-2</v>
      </c>
      <c r="E37" s="28">
        <f t="shared" si="3"/>
        <v>0.47282204729242056</v>
      </c>
      <c r="F37" s="28">
        <f t="shared" si="3"/>
        <v>0.59084179078593013</v>
      </c>
      <c r="G37" s="28">
        <f t="shared" si="3"/>
        <v>7.7558950814520946</v>
      </c>
      <c r="H37" s="28" t="e">
        <f t="shared" si="3"/>
        <v>#DIV/0!</v>
      </c>
      <c r="I37" s="28">
        <f t="shared" si="3"/>
        <v>0.53020077547928335</v>
      </c>
      <c r="J37" s="28">
        <f t="shared" si="3"/>
        <v>0.22135943621178641</v>
      </c>
      <c r="K37" s="28">
        <f t="shared" si="3"/>
        <v>81.219415469918914</v>
      </c>
      <c r="L37" s="28">
        <f t="shared" si="3"/>
        <v>1.374457402822624</v>
      </c>
      <c r="M37" s="28">
        <f t="shared" si="3"/>
        <v>0.81592472212448297</v>
      </c>
      <c r="N37" s="28">
        <f t="shared" si="3"/>
        <v>65.807150728142929</v>
      </c>
      <c r="O37" s="28" t="e">
        <f t="shared" si="3"/>
        <v>#DIV/0!</v>
      </c>
      <c r="P37" s="28">
        <f t="shared" si="3"/>
        <v>0.11669280245553937</v>
      </c>
      <c r="Q37" s="28">
        <f t="shared" si="3"/>
        <v>0.13733224285482354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>COUNT(O9:O32)+24</f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27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53" sqref="H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588</v>
      </c>
      <c r="B9" s="52">
        <v>7.96</v>
      </c>
      <c r="C9" s="52">
        <v>3</v>
      </c>
      <c r="D9" s="52">
        <v>11.72</v>
      </c>
      <c r="E9" s="52">
        <v>4.1100000000000003</v>
      </c>
      <c r="F9" s="52">
        <v>4.67</v>
      </c>
      <c r="G9" s="52">
        <v>15.09</v>
      </c>
      <c r="H9" s="58" t="s">
        <v>15</v>
      </c>
      <c r="I9" s="52">
        <v>3.04</v>
      </c>
      <c r="J9" s="52">
        <v>0.13</v>
      </c>
      <c r="K9" s="52">
        <v>341.62</v>
      </c>
      <c r="L9" s="52">
        <v>24.51</v>
      </c>
      <c r="M9" s="52">
        <v>104.63</v>
      </c>
      <c r="N9" s="52">
        <v>26.1</v>
      </c>
      <c r="O9" s="52">
        <v>0</v>
      </c>
      <c r="P9" s="52">
        <v>0.42</v>
      </c>
      <c r="Q9" s="52">
        <v>9.56</v>
      </c>
      <c r="R9" s="43"/>
      <c r="S9" s="43"/>
      <c r="T9" s="43"/>
      <c r="U9" s="43"/>
    </row>
    <row r="10" spans="1:21" s="11" customFormat="1" x14ac:dyDescent="0.25">
      <c r="A10" s="51" t="s">
        <v>589</v>
      </c>
      <c r="B10" s="52">
        <v>7.98</v>
      </c>
      <c r="C10" s="52">
        <v>3</v>
      </c>
      <c r="D10" s="52">
        <v>11.72</v>
      </c>
      <c r="E10" s="52">
        <v>3.9</v>
      </c>
      <c r="F10" s="52">
        <v>3.43</v>
      </c>
      <c r="G10" s="52">
        <v>14.1</v>
      </c>
      <c r="H10" s="58" t="s">
        <v>15</v>
      </c>
      <c r="I10" s="52">
        <v>2.64</v>
      </c>
      <c r="J10" s="52">
        <v>0.16</v>
      </c>
      <c r="K10" s="52">
        <v>348.43</v>
      </c>
      <c r="L10" s="52">
        <v>24.71</v>
      </c>
      <c r="M10" s="52">
        <v>104.63</v>
      </c>
      <c r="N10" s="52">
        <v>25.8</v>
      </c>
      <c r="O10" s="52">
        <v>0</v>
      </c>
      <c r="P10" s="52">
        <v>0.35</v>
      </c>
      <c r="Q10" s="52">
        <v>9.5299999999999994</v>
      </c>
      <c r="R10" s="43"/>
      <c r="S10" s="43"/>
      <c r="T10" s="43"/>
      <c r="U10" s="43"/>
    </row>
    <row r="11" spans="1:21" s="11" customFormat="1" x14ac:dyDescent="0.25">
      <c r="A11" s="51" t="s">
        <v>590</v>
      </c>
      <c r="B11" s="52">
        <v>7.99</v>
      </c>
      <c r="C11" s="52">
        <v>3.01</v>
      </c>
      <c r="D11" s="52">
        <v>11.75</v>
      </c>
      <c r="E11" s="52">
        <v>3.77</v>
      </c>
      <c r="F11" s="52">
        <v>3.78</v>
      </c>
      <c r="G11" s="52">
        <v>14.1</v>
      </c>
      <c r="H11" s="58" t="s">
        <v>15</v>
      </c>
      <c r="I11" s="52">
        <v>2.72</v>
      </c>
      <c r="J11" s="52">
        <v>0.11</v>
      </c>
      <c r="K11" s="52">
        <v>355.75</v>
      </c>
      <c r="L11" s="52">
        <v>24.73</v>
      </c>
      <c r="M11" s="52">
        <v>104.64</v>
      </c>
      <c r="N11" s="52">
        <v>26.1</v>
      </c>
      <c r="O11" s="52">
        <v>0</v>
      </c>
      <c r="P11" s="52">
        <v>0.32</v>
      </c>
      <c r="Q11" s="52">
        <v>9.5299999999999994</v>
      </c>
      <c r="R11" s="43"/>
      <c r="S11" s="43"/>
      <c r="T11" s="43"/>
      <c r="U11" s="43"/>
    </row>
    <row r="12" spans="1:21" s="11" customFormat="1" x14ac:dyDescent="0.25">
      <c r="A12" s="51" t="s">
        <v>591</v>
      </c>
      <c r="B12" s="52">
        <v>7.98</v>
      </c>
      <c r="C12" s="52">
        <v>2.99</v>
      </c>
      <c r="D12" s="52">
        <v>11.73</v>
      </c>
      <c r="E12" s="52">
        <v>4.45</v>
      </c>
      <c r="F12" s="52">
        <v>4.42</v>
      </c>
      <c r="G12" s="52">
        <v>11.9</v>
      </c>
      <c r="H12" s="58" t="s">
        <v>15</v>
      </c>
      <c r="I12" s="52">
        <v>2.4700000000000002</v>
      </c>
      <c r="J12" s="52">
        <v>0.09</v>
      </c>
      <c r="K12" s="52">
        <v>352.55</v>
      </c>
      <c r="L12" s="52">
        <v>24.53</v>
      </c>
      <c r="M12" s="52">
        <v>104.59</v>
      </c>
      <c r="N12" s="52">
        <v>25.5</v>
      </c>
      <c r="O12" s="52">
        <v>0</v>
      </c>
      <c r="P12" s="52">
        <v>0.3</v>
      </c>
      <c r="Q12" s="52">
        <v>9.5399999999999991</v>
      </c>
      <c r="R12" s="43"/>
      <c r="S12" s="43"/>
      <c r="T12" s="43"/>
      <c r="U12" s="43"/>
    </row>
    <row r="13" spans="1:21" s="11" customFormat="1" x14ac:dyDescent="0.25">
      <c r="A13" s="51" t="s">
        <v>592</v>
      </c>
      <c r="B13" s="52">
        <v>7.99</v>
      </c>
      <c r="C13" s="52">
        <v>3</v>
      </c>
      <c r="D13" s="52">
        <v>11.74</v>
      </c>
      <c r="E13" s="52">
        <v>3.76</v>
      </c>
      <c r="F13" s="52">
        <v>4.59</v>
      </c>
      <c r="G13" s="52">
        <v>11.9</v>
      </c>
      <c r="H13" s="58" t="s">
        <v>15</v>
      </c>
      <c r="I13" s="52">
        <v>2.39</v>
      </c>
      <c r="J13" s="52">
        <v>0.09</v>
      </c>
      <c r="K13" s="52">
        <v>350.87</v>
      </c>
      <c r="L13" s="52">
        <v>24.43</v>
      </c>
      <c r="M13" s="52">
        <v>104.55</v>
      </c>
      <c r="N13" s="52">
        <v>26.1</v>
      </c>
      <c r="O13" s="52">
        <v>0</v>
      </c>
      <c r="P13" s="52">
        <v>0.27</v>
      </c>
      <c r="Q13" s="52">
        <v>9.49</v>
      </c>
      <c r="R13" s="43"/>
      <c r="S13" s="43"/>
      <c r="T13" s="43"/>
      <c r="U13" s="43"/>
    </row>
    <row r="14" spans="1:21" s="11" customFormat="1" x14ac:dyDescent="0.25">
      <c r="A14" s="51" t="s">
        <v>593</v>
      </c>
      <c r="B14" s="52">
        <v>8</v>
      </c>
      <c r="C14" s="52">
        <v>3.03</v>
      </c>
      <c r="D14" s="52">
        <v>11.77</v>
      </c>
      <c r="E14" s="52">
        <v>3.68</v>
      </c>
      <c r="F14" s="52">
        <v>3.41</v>
      </c>
      <c r="G14" s="52">
        <v>10.67</v>
      </c>
      <c r="H14" s="58" t="s">
        <v>15</v>
      </c>
      <c r="I14" s="52">
        <v>2.64</v>
      </c>
      <c r="J14" s="52">
        <v>0.08</v>
      </c>
      <c r="K14" s="52">
        <v>357.91</v>
      </c>
      <c r="L14" s="52">
        <v>24.56</v>
      </c>
      <c r="M14" s="52">
        <v>104.56</v>
      </c>
      <c r="N14" s="52">
        <v>28.2</v>
      </c>
      <c r="O14" s="52">
        <v>0</v>
      </c>
      <c r="P14" s="52">
        <v>0.26</v>
      </c>
      <c r="Q14" s="52">
        <v>9.51</v>
      </c>
      <c r="R14" s="43"/>
      <c r="S14" s="43"/>
      <c r="T14" s="43"/>
      <c r="U14" s="43"/>
    </row>
    <row r="15" spans="1:21" s="11" customFormat="1" x14ac:dyDescent="0.25">
      <c r="A15" s="51" t="s">
        <v>594</v>
      </c>
      <c r="B15" s="52">
        <v>7.98</v>
      </c>
      <c r="C15" s="52">
        <v>2.99</v>
      </c>
      <c r="D15" s="52">
        <v>11.73</v>
      </c>
      <c r="E15" s="52">
        <v>3.99</v>
      </c>
      <c r="F15" s="52">
        <v>3.56</v>
      </c>
      <c r="G15" s="52">
        <v>10.67</v>
      </c>
      <c r="H15" s="58" t="s">
        <v>15</v>
      </c>
      <c r="I15" s="52">
        <v>2.98</v>
      </c>
      <c r="J15" s="52">
        <v>7.0000000000000007E-2</v>
      </c>
      <c r="K15" s="52">
        <v>349.24</v>
      </c>
      <c r="L15" s="52">
        <v>24.95</v>
      </c>
      <c r="M15" s="52">
        <v>104.57</v>
      </c>
      <c r="N15" s="52">
        <v>43.7</v>
      </c>
      <c r="O15" s="52">
        <v>0</v>
      </c>
      <c r="P15" s="52">
        <v>0.27</v>
      </c>
      <c r="Q15" s="52">
        <v>9.5</v>
      </c>
      <c r="R15" s="43"/>
      <c r="S15" s="43"/>
      <c r="T15" s="43"/>
      <c r="U15" s="43"/>
    </row>
    <row r="16" spans="1:21" s="11" customFormat="1" x14ac:dyDescent="0.25">
      <c r="A16" s="51" t="s">
        <v>595</v>
      </c>
      <c r="B16" s="52">
        <v>7.99</v>
      </c>
      <c r="C16" s="52">
        <v>3.05</v>
      </c>
      <c r="D16" s="52">
        <v>11.77</v>
      </c>
      <c r="E16" s="52">
        <v>3.97</v>
      </c>
      <c r="F16" s="52">
        <v>4.1100000000000003</v>
      </c>
      <c r="G16" s="52">
        <v>7.95</v>
      </c>
      <c r="H16" s="58" t="s">
        <v>15</v>
      </c>
      <c r="I16" s="52">
        <v>3.18</v>
      </c>
      <c r="J16" s="52">
        <v>7.0000000000000007E-2</v>
      </c>
      <c r="K16" s="52">
        <v>316.89</v>
      </c>
      <c r="L16" s="52">
        <v>25.48</v>
      </c>
      <c r="M16" s="52">
        <v>104.58</v>
      </c>
      <c r="N16" s="52">
        <v>89.3</v>
      </c>
      <c r="O16" s="52">
        <v>0</v>
      </c>
      <c r="P16" s="52">
        <v>0.35</v>
      </c>
      <c r="Q16" s="52">
        <v>9.57</v>
      </c>
      <c r="R16" s="43"/>
      <c r="S16" s="43"/>
      <c r="T16" s="43"/>
      <c r="U16" s="43"/>
    </row>
    <row r="17" spans="1:21" s="11" customFormat="1" x14ac:dyDescent="0.25">
      <c r="A17" s="51" t="s">
        <v>596</v>
      </c>
      <c r="B17" s="52">
        <v>8</v>
      </c>
      <c r="C17" s="52">
        <v>3.06</v>
      </c>
      <c r="D17" s="52">
        <v>11.79</v>
      </c>
      <c r="E17" s="52">
        <v>4.58</v>
      </c>
      <c r="F17" s="52">
        <v>4.47</v>
      </c>
      <c r="G17" s="52">
        <v>15.5</v>
      </c>
      <c r="H17" s="58" t="s">
        <v>15</v>
      </c>
      <c r="I17" s="52">
        <v>3.05</v>
      </c>
      <c r="J17" s="52">
        <v>0.13</v>
      </c>
      <c r="K17" s="52">
        <v>346.86</v>
      </c>
      <c r="L17" s="52">
        <v>26.2</v>
      </c>
      <c r="M17" s="52">
        <v>104.58</v>
      </c>
      <c r="N17" s="52">
        <v>158.5</v>
      </c>
      <c r="O17" s="52">
        <v>0</v>
      </c>
      <c r="P17" s="52">
        <v>0.37</v>
      </c>
      <c r="Q17" s="52">
        <v>9.6</v>
      </c>
      <c r="R17" s="43"/>
      <c r="S17" s="43"/>
      <c r="T17" s="43"/>
      <c r="U17" s="43"/>
    </row>
    <row r="18" spans="1:21" s="11" customFormat="1" x14ac:dyDescent="0.25">
      <c r="A18" s="51" t="s">
        <v>597</v>
      </c>
      <c r="B18" s="52">
        <v>8.02</v>
      </c>
      <c r="C18" s="52">
        <v>3.06</v>
      </c>
      <c r="D18" s="52">
        <v>11.81</v>
      </c>
      <c r="E18" s="52">
        <v>4.59</v>
      </c>
      <c r="F18" s="52">
        <v>3.83</v>
      </c>
      <c r="G18" s="52">
        <v>15.5</v>
      </c>
      <c r="H18" s="58" t="s">
        <v>15</v>
      </c>
      <c r="I18" s="52">
        <v>2.86</v>
      </c>
      <c r="J18" s="52">
        <v>0.15</v>
      </c>
      <c r="K18" s="52">
        <v>344.77</v>
      </c>
      <c r="L18" s="52">
        <v>29.14</v>
      </c>
      <c r="M18" s="52">
        <v>104.51</v>
      </c>
      <c r="N18" s="52">
        <v>398.4</v>
      </c>
      <c r="O18" s="52">
        <v>0</v>
      </c>
      <c r="P18" s="52">
        <v>0.39</v>
      </c>
      <c r="Q18" s="52">
        <v>9.56</v>
      </c>
      <c r="R18" s="43"/>
      <c r="S18" s="43"/>
      <c r="T18" s="43"/>
      <c r="U18" s="43"/>
    </row>
    <row r="19" spans="1:21" s="11" customFormat="1" x14ac:dyDescent="0.25">
      <c r="A19" s="51" t="s">
        <v>598</v>
      </c>
      <c r="B19" s="52">
        <v>8.01</v>
      </c>
      <c r="C19" s="52">
        <v>3.08</v>
      </c>
      <c r="D19" s="52">
        <v>11.8</v>
      </c>
      <c r="E19" s="52">
        <v>4.55</v>
      </c>
      <c r="F19" s="52">
        <v>4.26</v>
      </c>
      <c r="G19" s="52">
        <v>18.87</v>
      </c>
      <c r="H19" s="58" t="s">
        <v>15</v>
      </c>
      <c r="I19" s="52">
        <v>2.84</v>
      </c>
      <c r="J19" s="52">
        <v>0.27</v>
      </c>
      <c r="K19" s="52">
        <v>330.24</v>
      </c>
      <c r="L19" s="52">
        <v>32.909999999999997</v>
      </c>
      <c r="M19" s="52">
        <v>93.18</v>
      </c>
      <c r="N19" s="52">
        <v>657.5</v>
      </c>
      <c r="O19" s="52">
        <v>0</v>
      </c>
      <c r="P19" s="52">
        <v>0.48</v>
      </c>
      <c r="Q19" s="52">
        <v>9.6</v>
      </c>
      <c r="R19" s="43"/>
      <c r="S19" s="43"/>
      <c r="T19" s="43"/>
      <c r="U19" s="43"/>
    </row>
    <row r="20" spans="1:21" s="11" customFormat="1" x14ac:dyDescent="0.25">
      <c r="A20" s="51" t="s">
        <v>599</v>
      </c>
      <c r="B20" s="52">
        <v>7.99</v>
      </c>
      <c r="C20" s="52">
        <v>3.13</v>
      </c>
      <c r="D20" s="52">
        <v>11.82</v>
      </c>
      <c r="E20" s="52">
        <v>4.34</v>
      </c>
      <c r="F20" s="52">
        <v>10.54</v>
      </c>
      <c r="G20" s="52">
        <v>18.87</v>
      </c>
      <c r="H20" s="58" t="s">
        <v>15</v>
      </c>
      <c r="I20" s="52">
        <v>2.76</v>
      </c>
      <c r="J20" s="52">
        <v>0.33</v>
      </c>
      <c r="K20" s="52">
        <v>335.59</v>
      </c>
      <c r="L20" s="52">
        <v>31.91</v>
      </c>
      <c r="M20" s="52">
        <v>89.19</v>
      </c>
      <c r="N20" s="52">
        <v>306.3</v>
      </c>
      <c r="O20" s="52">
        <v>0</v>
      </c>
      <c r="P20" s="52">
        <v>0.57999999999999996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600</v>
      </c>
      <c r="B21" s="52">
        <v>7.98</v>
      </c>
      <c r="C21" s="52">
        <v>3.02</v>
      </c>
      <c r="D21" s="52">
        <v>11.74</v>
      </c>
      <c r="E21" s="52">
        <v>4.72</v>
      </c>
      <c r="F21" s="52">
        <v>5.31</v>
      </c>
      <c r="G21" s="52">
        <v>22.79</v>
      </c>
      <c r="H21" s="58" t="s">
        <v>15</v>
      </c>
      <c r="I21" s="52">
        <v>2.35</v>
      </c>
      <c r="J21" s="52">
        <v>0.68</v>
      </c>
      <c r="K21" s="52">
        <v>324.47000000000003</v>
      </c>
      <c r="L21" s="52">
        <v>33.15</v>
      </c>
      <c r="M21" s="52">
        <v>81.02</v>
      </c>
      <c r="N21" s="52">
        <v>441.5</v>
      </c>
      <c r="O21" s="52">
        <v>0</v>
      </c>
      <c r="P21" s="52">
        <v>0.61</v>
      </c>
      <c r="Q21" s="52">
        <v>9.4499999999999993</v>
      </c>
      <c r="R21" s="43"/>
      <c r="S21" s="43"/>
      <c r="T21" s="43"/>
      <c r="U21" s="43"/>
    </row>
    <row r="22" spans="1:21" s="11" customFormat="1" x14ac:dyDescent="0.25">
      <c r="A22" s="51" t="s">
        <v>601</v>
      </c>
      <c r="B22" s="52">
        <v>7.98</v>
      </c>
      <c r="C22" s="52">
        <v>3.09</v>
      </c>
      <c r="D22" s="52">
        <v>11.79</v>
      </c>
      <c r="E22" s="52">
        <v>4.45</v>
      </c>
      <c r="F22" s="52">
        <v>5.95</v>
      </c>
      <c r="G22" s="52">
        <v>34.979999999999997</v>
      </c>
      <c r="H22" s="58" t="s">
        <v>15</v>
      </c>
      <c r="I22" s="52">
        <v>2.16</v>
      </c>
      <c r="J22" s="52">
        <v>0.53</v>
      </c>
      <c r="K22" s="52">
        <v>323.19</v>
      </c>
      <c r="L22" s="52">
        <v>33.35</v>
      </c>
      <c r="M22" s="52">
        <v>87.54</v>
      </c>
      <c r="N22" s="52">
        <v>431.7</v>
      </c>
      <c r="O22" s="52">
        <v>0</v>
      </c>
      <c r="P22" s="52">
        <v>0.51</v>
      </c>
      <c r="Q22" s="52">
        <v>9.49</v>
      </c>
      <c r="R22" s="43"/>
      <c r="S22" s="43"/>
      <c r="T22" s="43"/>
      <c r="U22" s="43"/>
    </row>
    <row r="23" spans="1:21" s="11" customFormat="1" x14ac:dyDescent="0.25">
      <c r="A23" s="51" t="s">
        <v>602</v>
      </c>
      <c r="B23" s="52">
        <v>7.96</v>
      </c>
      <c r="C23" s="52">
        <v>3</v>
      </c>
      <c r="D23" s="52">
        <v>11.73</v>
      </c>
      <c r="E23" s="52">
        <v>4.3099999999999996</v>
      </c>
      <c r="F23" s="52">
        <v>7.86</v>
      </c>
      <c r="G23" s="52">
        <v>34.979999999999997</v>
      </c>
      <c r="H23" s="58" t="s">
        <v>15</v>
      </c>
      <c r="I23" s="52">
        <v>2.68</v>
      </c>
      <c r="J23" s="52">
        <v>0.79</v>
      </c>
      <c r="K23" s="52">
        <v>346.8</v>
      </c>
      <c r="L23" s="52">
        <v>30.82</v>
      </c>
      <c r="M23" s="52">
        <v>90.89</v>
      </c>
      <c r="N23" s="52">
        <v>244.1</v>
      </c>
      <c r="O23" s="52">
        <v>0</v>
      </c>
      <c r="P23" s="52">
        <v>0.45</v>
      </c>
      <c r="Q23" s="52">
        <v>9.5399999999999991</v>
      </c>
      <c r="R23" s="43"/>
      <c r="S23" s="43"/>
      <c r="T23" s="43"/>
      <c r="U23" s="43"/>
    </row>
    <row r="24" spans="1:21" s="11" customFormat="1" x14ac:dyDescent="0.25">
      <c r="A24" s="51" t="s">
        <v>603</v>
      </c>
      <c r="B24" s="52">
        <v>7.96</v>
      </c>
      <c r="C24" s="52">
        <v>3.02</v>
      </c>
      <c r="D24" s="52">
        <v>11.72</v>
      </c>
      <c r="E24" s="52">
        <v>4.87</v>
      </c>
      <c r="F24" s="52">
        <v>5.26</v>
      </c>
      <c r="G24" s="52">
        <v>33.89</v>
      </c>
      <c r="H24" s="58" t="s">
        <v>15</v>
      </c>
      <c r="I24" s="52">
        <v>3.15</v>
      </c>
      <c r="J24" s="52">
        <v>0.31</v>
      </c>
      <c r="K24" s="52">
        <v>358.04</v>
      </c>
      <c r="L24" s="52">
        <v>31.25</v>
      </c>
      <c r="M24" s="52">
        <v>102.58</v>
      </c>
      <c r="N24" s="52">
        <v>207.3</v>
      </c>
      <c r="O24" s="52">
        <v>0</v>
      </c>
      <c r="P24" s="52">
        <v>0.44</v>
      </c>
      <c r="Q24" s="52">
        <v>9.5299999999999994</v>
      </c>
      <c r="R24" s="43"/>
      <c r="S24" s="43"/>
      <c r="T24" s="43"/>
      <c r="U24" s="43"/>
    </row>
    <row r="25" spans="1:21" s="11" customFormat="1" x14ac:dyDescent="0.25">
      <c r="A25" s="51" t="s">
        <v>604</v>
      </c>
      <c r="B25" s="52">
        <v>7.96</v>
      </c>
      <c r="C25" s="52">
        <v>3.03</v>
      </c>
      <c r="D25" s="52">
        <v>11.73</v>
      </c>
      <c r="E25" s="52">
        <v>3.89</v>
      </c>
      <c r="F25" s="52">
        <v>4.45</v>
      </c>
      <c r="G25" s="52">
        <v>53.05</v>
      </c>
      <c r="H25" s="58" t="s">
        <v>15</v>
      </c>
      <c r="I25" s="52">
        <v>3.16</v>
      </c>
      <c r="J25" s="52">
        <v>0.75</v>
      </c>
      <c r="K25" s="52">
        <v>329.25</v>
      </c>
      <c r="L25" s="52">
        <v>30.95</v>
      </c>
      <c r="M25" s="52">
        <v>105.39</v>
      </c>
      <c r="N25" s="52">
        <v>144.80000000000001</v>
      </c>
      <c r="O25" s="52">
        <v>0</v>
      </c>
      <c r="P25" s="52">
        <v>0.44</v>
      </c>
      <c r="Q25" s="52">
        <v>9.51</v>
      </c>
      <c r="R25" s="43"/>
      <c r="S25" s="43"/>
      <c r="T25" s="43"/>
      <c r="U25" s="43"/>
    </row>
    <row r="26" spans="1:21" s="11" customFormat="1" x14ac:dyDescent="0.25">
      <c r="A26" s="51" t="s">
        <v>605</v>
      </c>
      <c r="B26" s="52">
        <v>7.97</v>
      </c>
      <c r="C26" s="52">
        <v>3.07</v>
      </c>
      <c r="D26" s="52">
        <v>11.77</v>
      </c>
      <c r="E26" s="52">
        <v>3.81</v>
      </c>
      <c r="F26" s="52">
        <v>4.0999999999999996</v>
      </c>
      <c r="G26" s="52">
        <v>53.05</v>
      </c>
      <c r="H26" s="58" t="s">
        <v>15</v>
      </c>
      <c r="I26" s="52">
        <v>2.82</v>
      </c>
      <c r="J26" s="52">
        <v>0.26</v>
      </c>
      <c r="K26" s="52">
        <v>359.62</v>
      </c>
      <c r="L26" s="52">
        <v>25.04</v>
      </c>
      <c r="M26" s="52">
        <v>105.45</v>
      </c>
      <c r="N26" s="52">
        <v>89.4</v>
      </c>
      <c r="O26" s="52">
        <v>0</v>
      </c>
      <c r="P26" s="52">
        <v>0.41</v>
      </c>
      <c r="Q26" s="52">
        <v>9.52</v>
      </c>
      <c r="R26" s="43"/>
      <c r="S26" s="43"/>
      <c r="T26" s="43"/>
      <c r="U26" s="43"/>
    </row>
    <row r="27" spans="1:21" s="11" customFormat="1" x14ac:dyDescent="0.25">
      <c r="A27" s="51" t="s">
        <v>606</v>
      </c>
      <c r="B27" s="52">
        <v>7.99</v>
      </c>
      <c r="C27" s="52">
        <v>3.02</v>
      </c>
      <c r="D27" s="52">
        <v>11.75</v>
      </c>
      <c r="E27" s="52">
        <v>3.76</v>
      </c>
      <c r="F27" s="52">
        <v>4.12</v>
      </c>
      <c r="G27" s="52">
        <v>34.49</v>
      </c>
      <c r="H27" s="58" t="s">
        <v>15</v>
      </c>
      <c r="I27" s="52">
        <v>2.4900000000000002</v>
      </c>
      <c r="J27" s="52">
        <v>0.47</v>
      </c>
      <c r="K27" s="52">
        <v>351.89</v>
      </c>
      <c r="L27" s="52">
        <v>25.38</v>
      </c>
      <c r="M27" s="52">
        <v>105.33</v>
      </c>
      <c r="N27" s="52">
        <v>48.3</v>
      </c>
      <c r="O27" s="52">
        <v>0</v>
      </c>
      <c r="P27" s="52">
        <v>0.39</v>
      </c>
      <c r="Q27" s="52">
        <v>9.5399999999999991</v>
      </c>
      <c r="R27" s="43"/>
      <c r="S27" s="43"/>
      <c r="T27" s="43"/>
      <c r="U27" s="43"/>
    </row>
    <row r="28" spans="1:21" s="11" customFormat="1" x14ac:dyDescent="0.25">
      <c r="A28" s="51" t="s">
        <v>607</v>
      </c>
      <c r="B28" s="52">
        <v>7.98</v>
      </c>
      <c r="C28" s="52">
        <v>3</v>
      </c>
      <c r="D28" s="52">
        <v>11.73</v>
      </c>
      <c r="E28" s="52">
        <v>4.75</v>
      </c>
      <c r="F28" s="52">
        <v>5.2</v>
      </c>
      <c r="G28" s="52">
        <v>23.48</v>
      </c>
      <c r="H28" s="58" t="s">
        <v>15</v>
      </c>
      <c r="I28" s="52">
        <v>3.43</v>
      </c>
      <c r="J28" s="52">
        <v>0.84</v>
      </c>
      <c r="K28" s="52">
        <v>142.02000000000001</v>
      </c>
      <c r="L28" s="52">
        <v>25.64</v>
      </c>
      <c r="M28" s="52">
        <v>104.72</v>
      </c>
      <c r="N28" s="52">
        <v>26.4</v>
      </c>
      <c r="O28" s="52">
        <v>0</v>
      </c>
      <c r="P28" s="52">
        <v>0.46</v>
      </c>
      <c r="Q28" s="52">
        <v>9.58</v>
      </c>
      <c r="R28" s="43"/>
      <c r="S28" s="43"/>
      <c r="T28" s="43"/>
      <c r="U28" s="43"/>
    </row>
    <row r="29" spans="1:21" s="11" customFormat="1" x14ac:dyDescent="0.25">
      <c r="A29" s="51" t="s">
        <v>608</v>
      </c>
      <c r="B29" s="52">
        <v>7.97</v>
      </c>
      <c r="C29" s="52">
        <v>3.01</v>
      </c>
      <c r="D29" s="52">
        <v>11.73</v>
      </c>
      <c r="E29" s="52">
        <v>4.8</v>
      </c>
      <c r="F29" s="52">
        <v>5.24</v>
      </c>
      <c r="G29" s="52">
        <v>24.04</v>
      </c>
      <c r="H29" s="58" t="s">
        <v>15</v>
      </c>
      <c r="I29" s="52">
        <v>3.71</v>
      </c>
      <c r="J29" s="52">
        <v>0.45</v>
      </c>
      <c r="K29" s="52">
        <v>330.77</v>
      </c>
      <c r="L29" s="52">
        <v>25.58</v>
      </c>
      <c r="M29" s="52">
        <v>104</v>
      </c>
      <c r="N29" s="52">
        <v>24.3</v>
      </c>
      <c r="O29" s="52">
        <v>0</v>
      </c>
      <c r="P29" s="52">
        <v>0.45</v>
      </c>
      <c r="Q29" s="52">
        <v>9.49</v>
      </c>
      <c r="R29" s="43"/>
      <c r="S29" s="43"/>
      <c r="T29" s="43"/>
      <c r="U29" s="43"/>
    </row>
    <row r="30" spans="1:21" s="11" customFormat="1" x14ac:dyDescent="0.25">
      <c r="A30" s="51" t="s">
        <v>609</v>
      </c>
      <c r="B30" s="52">
        <v>7.98</v>
      </c>
      <c r="C30" s="52">
        <v>3</v>
      </c>
      <c r="D30" s="52">
        <v>11.74</v>
      </c>
      <c r="E30" s="52">
        <v>4.6500000000000004</v>
      </c>
      <c r="F30" s="52">
        <v>4.66</v>
      </c>
      <c r="G30" s="52">
        <v>24.04</v>
      </c>
      <c r="H30" s="58" t="s">
        <v>15</v>
      </c>
      <c r="I30" s="52">
        <v>3.65</v>
      </c>
      <c r="J30" s="52">
        <v>0.3</v>
      </c>
      <c r="K30" s="52">
        <v>211.53</v>
      </c>
      <c r="L30" s="52">
        <v>25.71</v>
      </c>
      <c r="M30" s="52">
        <v>104.08</v>
      </c>
      <c r="N30" s="52">
        <v>26.1</v>
      </c>
      <c r="O30" s="52">
        <v>0</v>
      </c>
      <c r="P30" s="52">
        <v>0.45</v>
      </c>
      <c r="Q30" s="52">
        <v>9.52</v>
      </c>
      <c r="R30" s="43"/>
      <c r="S30" s="43"/>
      <c r="T30" s="43"/>
      <c r="U30" s="43"/>
    </row>
    <row r="31" spans="1:21" s="11" customFormat="1" x14ac:dyDescent="0.25">
      <c r="A31" s="51" t="s">
        <v>610</v>
      </c>
      <c r="B31" s="52">
        <v>7.98</v>
      </c>
      <c r="C31" s="52">
        <v>3</v>
      </c>
      <c r="D31" s="52">
        <v>11.74</v>
      </c>
      <c r="E31" s="52">
        <v>4.43</v>
      </c>
      <c r="F31" s="52">
        <v>3.56</v>
      </c>
      <c r="G31" s="52">
        <v>19.309999999999999</v>
      </c>
      <c r="H31" s="58" t="s">
        <v>15</v>
      </c>
      <c r="I31" s="52">
        <v>3.98</v>
      </c>
      <c r="J31" s="52">
        <v>0.24</v>
      </c>
      <c r="K31" s="52">
        <v>149.91</v>
      </c>
      <c r="L31" s="52">
        <v>25.69</v>
      </c>
      <c r="M31" s="52">
        <v>104.08</v>
      </c>
      <c r="N31" s="52">
        <v>26.1</v>
      </c>
      <c r="O31" s="52">
        <v>0</v>
      </c>
      <c r="P31" s="52">
        <v>0.43</v>
      </c>
      <c r="Q31" s="52">
        <v>9.61</v>
      </c>
      <c r="R31" s="43"/>
      <c r="S31" s="43"/>
      <c r="T31" s="43"/>
      <c r="U31" s="43"/>
    </row>
    <row r="32" spans="1:21" s="11" customFormat="1" x14ac:dyDescent="0.25">
      <c r="A32" s="51" t="s">
        <v>611</v>
      </c>
      <c r="B32" s="52">
        <v>8</v>
      </c>
      <c r="C32" s="52">
        <v>3.02</v>
      </c>
      <c r="D32" s="52">
        <v>11.76</v>
      </c>
      <c r="E32" s="52">
        <v>4.8499999999999996</v>
      </c>
      <c r="F32" s="52">
        <v>4.53</v>
      </c>
      <c r="G32" s="52">
        <v>14.41</v>
      </c>
      <c r="H32" s="58" t="s">
        <v>15</v>
      </c>
      <c r="I32" s="52">
        <v>4.24</v>
      </c>
      <c r="J32" s="52">
        <v>0.33</v>
      </c>
      <c r="K32" s="52">
        <v>143.59</v>
      </c>
      <c r="L32" s="52">
        <v>25.66</v>
      </c>
      <c r="M32" s="52">
        <v>104.13</v>
      </c>
      <c r="N32" s="52">
        <v>26</v>
      </c>
      <c r="O32" s="52">
        <v>0</v>
      </c>
      <c r="P32" s="52">
        <v>0.42</v>
      </c>
      <c r="Q32" s="52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7.96</v>
      </c>
      <c r="C34" s="28">
        <f t="shared" si="0"/>
        <v>2.99</v>
      </c>
      <c r="D34" s="28">
        <f t="shared" si="0"/>
        <v>11.72</v>
      </c>
      <c r="E34" s="28">
        <f t="shared" si="0"/>
        <v>3.68</v>
      </c>
      <c r="F34" s="28">
        <f t="shared" si="0"/>
        <v>3.41</v>
      </c>
      <c r="G34" s="28">
        <f t="shared" si="0"/>
        <v>7.95</v>
      </c>
      <c r="H34" s="28">
        <f t="shared" si="0"/>
        <v>0</v>
      </c>
      <c r="I34" s="28">
        <f t="shared" si="0"/>
        <v>2.16</v>
      </c>
      <c r="J34" s="28">
        <f t="shared" si="0"/>
        <v>7.0000000000000007E-2</v>
      </c>
      <c r="K34" s="28">
        <f t="shared" si="0"/>
        <v>142.02000000000001</v>
      </c>
      <c r="L34" s="28">
        <f t="shared" si="0"/>
        <v>24.43</v>
      </c>
      <c r="M34" s="28">
        <f t="shared" si="0"/>
        <v>81.02</v>
      </c>
      <c r="N34" s="28">
        <f t="shared" si="0"/>
        <v>24.3</v>
      </c>
      <c r="O34" s="28">
        <f t="shared" si="0"/>
        <v>0</v>
      </c>
      <c r="P34" s="28">
        <f t="shared" si="0"/>
        <v>0.26</v>
      </c>
      <c r="Q34" s="28">
        <f t="shared" si="0"/>
        <v>9.4499999999999993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8.02</v>
      </c>
      <c r="C35" s="29">
        <f t="shared" si="1"/>
        <v>3.13</v>
      </c>
      <c r="D35" s="29">
        <f t="shared" si="1"/>
        <v>11.82</v>
      </c>
      <c r="E35" s="29">
        <f t="shared" si="1"/>
        <v>4.87</v>
      </c>
      <c r="F35" s="29">
        <f t="shared" si="1"/>
        <v>10.54</v>
      </c>
      <c r="G35" s="29">
        <f t="shared" si="1"/>
        <v>53.05</v>
      </c>
      <c r="H35" s="29">
        <f t="shared" si="1"/>
        <v>0</v>
      </c>
      <c r="I35" s="29">
        <f t="shared" si="1"/>
        <v>4.24</v>
      </c>
      <c r="J35" s="29">
        <f t="shared" si="1"/>
        <v>0.84</v>
      </c>
      <c r="K35" s="29">
        <f t="shared" si="1"/>
        <v>359.62</v>
      </c>
      <c r="L35" s="29">
        <f t="shared" si="1"/>
        <v>33.35</v>
      </c>
      <c r="M35" s="29">
        <f t="shared" si="1"/>
        <v>105.45</v>
      </c>
      <c r="N35" s="29">
        <f t="shared" si="1"/>
        <v>657.5</v>
      </c>
      <c r="O35" s="29">
        <f t="shared" si="1"/>
        <v>0</v>
      </c>
      <c r="P35" s="29">
        <f t="shared" si="1"/>
        <v>0.61</v>
      </c>
      <c r="Q35" s="29">
        <f t="shared" si="1"/>
        <v>9.61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7.9833333333333316</v>
      </c>
      <c r="C36" s="28">
        <f t="shared" si="2"/>
        <v>3.0283333333333338</v>
      </c>
      <c r="D36" s="28">
        <f t="shared" si="2"/>
        <v>11.753333333333332</v>
      </c>
      <c r="E36" s="28">
        <f t="shared" si="2"/>
        <v>4.2908333333333344</v>
      </c>
      <c r="F36" s="28">
        <f t="shared" si="2"/>
        <v>4.8045833333333334</v>
      </c>
      <c r="G36" s="28">
        <f t="shared" si="2"/>
        <v>22.401250000000001</v>
      </c>
      <c r="H36" s="28" t="e">
        <f t="shared" si="2"/>
        <v>#DIV/0!</v>
      </c>
      <c r="I36" s="28">
        <f t="shared" si="2"/>
        <v>2.9745833333333329</v>
      </c>
      <c r="J36" s="28">
        <f t="shared" si="2"/>
        <v>0.31791666666666668</v>
      </c>
      <c r="K36" s="28">
        <f t="shared" si="2"/>
        <v>312.57499999999999</v>
      </c>
      <c r="L36" s="28">
        <f t="shared" si="2"/>
        <v>27.345000000000002</v>
      </c>
      <c r="M36" s="28">
        <f t="shared" si="2"/>
        <v>101.1425</v>
      </c>
      <c r="N36" s="28">
        <f t="shared" si="2"/>
        <v>147.81250000000003</v>
      </c>
      <c r="O36" s="28">
        <f t="shared" si="2"/>
        <v>0</v>
      </c>
      <c r="P36" s="28">
        <f t="shared" si="2"/>
        <v>0.40916666666666668</v>
      </c>
      <c r="Q36" s="28">
        <f t="shared" si="2"/>
        <v>9.5408333333333335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1.5788456616111633E-2</v>
      </c>
      <c r="C37" s="28">
        <f t="shared" ref="C37:Q37" si="3">STDEV(C9:C32)</f>
        <v>3.6435370615434323E-2</v>
      </c>
      <c r="D37" s="28">
        <f t="shared" si="3"/>
        <v>3.0024144873123468E-2</v>
      </c>
      <c r="E37" s="28">
        <f t="shared" si="3"/>
        <v>0.40234007534905597</v>
      </c>
      <c r="F37" s="28">
        <f t="shared" si="3"/>
        <v>1.5544242025423025</v>
      </c>
      <c r="G37" s="28">
        <f t="shared" si="3"/>
        <v>12.457716418732819</v>
      </c>
      <c r="H37" s="28" t="e">
        <f t="shared" si="3"/>
        <v>#DIV/0!</v>
      </c>
      <c r="I37" s="28">
        <f t="shared" si="3"/>
        <v>0.52317574706674197</v>
      </c>
      <c r="J37" s="28">
        <f t="shared" si="3"/>
        <v>0.24331012893132861</v>
      </c>
      <c r="K37" s="28">
        <f t="shared" si="3"/>
        <v>70.927164171361596</v>
      </c>
      <c r="L37" s="28">
        <f t="shared" si="3"/>
        <v>3.2642916536363309</v>
      </c>
      <c r="M37" s="28">
        <f t="shared" si="3"/>
        <v>6.9879357218118354</v>
      </c>
      <c r="N37" s="28">
        <f t="shared" si="3"/>
        <v>176.69775794571777</v>
      </c>
      <c r="O37" s="28">
        <f t="shared" si="3"/>
        <v>0</v>
      </c>
      <c r="P37" s="28">
        <f t="shared" si="3"/>
        <v>8.9681400653582585E-2</v>
      </c>
      <c r="Q37" s="28">
        <f t="shared" si="3"/>
        <v>4.3730067923337466E-2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0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50" sqref="H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612</v>
      </c>
      <c r="B9" s="52">
        <v>7.98</v>
      </c>
      <c r="C9" s="52">
        <v>3.02</v>
      </c>
      <c r="D9" s="52">
        <v>11.75</v>
      </c>
      <c r="E9" s="52">
        <v>5.14</v>
      </c>
      <c r="F9" s="52">
        <v>5.2</v>
      </c>
      <c r="G9" s="52">
        <v>14.08</v>
      </c>
      <c r="H9" s="57" t="s">
        <v>8</v>
      </c>
      <c r="I9" s="52">
        <v>4.1399999999999997</v>
      </c>
      <c r="J9" s="52">
        <v>0.23</v>
      </c>
      <c r="K9" s="52">
        <v>215.18</v>
      </c>
      <c r="L9" s="52">
        <v>25.69</v>
      </c>
      <c r="M9" s="52">
        <v>104.13</v>
      </c>
      <c r="N9" s="52">
        <v>25.9</v>
      </c>
      <c r="O9" s="52">
        <v>0</v>
      </c>
      <c r="P9" s="52">
        <v>0.4</v>
      </c>
      <c r="Q9" s="52">
        <v>9.5299999999999994</v>
      </c>
      <c r="R9" s="43"/>
      <c r="S9" s="43"/>
      <c r="T9" s="43"/>
      <c r="U9" s="43"/>
    </row>
    <row r="10" spans="1:21" s="11" customFormat="1" x14ac:dyDescent="0.25">
      <c r="A10" s="51" t="s">
        <v>613</v>
      </c>
      <c r="B10" s="52">
        <v>7.99</v>
      </c>
      <c r="C10" s="52">
        <v>2.98</v>
      </c>
      <c r="D10" s="52">
        <v>11.74</v>
      </c>
      <c r="E10" s="52">
        <v>4.8099999999999996</v>
      </c>
      <c r="F10" s="52">
        <v>4.58</v>
      </c>
      <c r="G10" s="52">
        <v>13.9</v>
      </c>
      <c r="H10" s="57" t="s">
        <v>8</v>
      </c>
      <c r="I10" s="52">
        <v>3.94</v>
      </c>
      <c r="J10" s="52">
        <v>0.06</v>
      </c>
      <c r="K10" s="52">
        <v>358.07</v>
      </c>
      <c r="L10" s="52">
        <v>25.67</v>
      </c>
      <c r="M10" s="52">
        <v>104.15</v>
      </c>
      <c r="N10" s="52">
        <v>26</v>
      </c>
      <c r="O10" s="52">
        <v>0</v>
      </c>
      <c r="P10" s="52">
        <v>0.37</v>
      </c>
      <c r="Q10" s="52">
        <v>9.5399999999999991</v>
      </c>
      <c r="R10" s="43"/>
      <c r="S10" s="43"/>
      <c r="T10" s="43"/>
      <c r="U10" s="43"/>
    </row>
    <row r="11" spans="1:21" s="11" customFormat="1" x14ac:dyDescent="0.25">
      <c r="A11" s="51" t="s">
        <v>614</v>
      </c>
      <c r="B11" s="52">
        <v>8</v>
      </c>
      <c r="C11" s="52">
        <v>3.02</v>
      </c>
      <c r="D11" s="52">
        <v>11.76</v>
      </c>
      <c r="E11" s="52">
        <v>4.75</v>
      </c>
      <c r="F11" s="52">
        <v>3.6</v>
      </c>
      <c r="G11" s="52">
        <v>9.84</v>
      </c>
      <c r="H11" s="57" t="s">
        <v>8</v>
      </c>
      <c r="I11" s="52">
        <v>3.73</v>
      </c>
      <c r="J11" s="52">
        <v>0.11</v>
      </c>
      <c r="K11" s="52">
        <v>342.18</v>
      </c>
      <c r="L11" s="52">
        <v>25.53</v>
      </c>
      <c r="M11" s="52">
        <v>104.17</v>
      </c>
      <c r="N11" s="52">
        <v>26.1</v>
      </c>
      <c r="O11" s="52">
        <v>0</v>
      </c>
      <c r="P11" s="52">
        <v>0.34</v>
      </c>
      <c r="Q11" s="52">
        <v>9.5399999999999991</v>
      </c>
      <c r="R11" s="43"/>
      <c r="S11" s="43"/>
      <c r="T11" s="43"/>
      <c r="U11" s="43"/>
    </row>
    <row r="12" spans="1:21" s="11" customFormat="1" x14ac:dyDescent="0.25">
      <c r="A12" s="51" t="s">
        <v>615</v>
      </c>
      <c r="B12" s="52">
        <v>7.98</v>
      </c>
      <c r="C12" s="52">
        <v>2.99</v>
      </c>
      <c r="D12" s="52">
        <v>11.73</v>
      </c>
      <c r="E12" s="52">
        <v>4.78</v>
      </c>
      <c r="F12" s="52">
        <v>4.28</v>
      </c>
      <c r="G12" s="52">
        <v>7.34</v>
      </c>
      <c r="H12" s="57" t="s">
        <v>8</v>
      </c>
      <c r="I12" s="52">
        <v>3.68</v>
      </c>
      <c r="J12" s="52">
        <v>0.1</v>
      </c>
      <c r="K12" s="52">
        <v>357.05</v>
      </c>
      <c r="L12" s="52">
        <v>25.55</v>
      </c>
      <c r="M12" s="52">
        <v>104.16</v>
      </c>
      <c r="N12" s="52">
        <v>26.1</v>
      </c>
      <c r="O12" s="52">
        <v>0</v>
      </c>
      <c r="P12" s="52">
        <v>0.32</v>
      </c>
      <c r="Q12" s="52">
        <v>9.5500000000000007</v>
      </c>
      <c r="R12" s="43"/>
      <c r="S12" s="43"/>
      <c r="T12" s="43"/>
      <c r="U12" s="43"/>
    </row>
    <row r="13" spans="1:21" s="11" customFormat="1" x14ac:dyDescent="0.25">
      <c r="A13" s="51" t="s">
        <v>616</v>
      </c>
      <c r="B13" s="52">
        <v>7.95</v>
      </c>
      <c r="C13" s="52">
        <v>3.06</v>
      </c>
      <c r="D13" s="52">
        <v>11.75</v>
      </c>
      <c r="E13" s="52">
        <v>5.07</v>
      </c>
      <c r="F13" s="52">
        <v>4.7</v>
      </c>
      <c r="G13" s="52">
        <v>5.28</v>
      </c>
      <c r="H13" s="57" t="s">
        <v>8</v>
      </c>
      <c r="I13" s="52">
        <v>3.44</v>
      </c>
      <c r="J13" s="52">
        <v>0.1</v>
      </c>
      <c r="K13" s="52">
        <v>350.53</v>
      </c>
      <c r="L13" s="52">
        <v>25.34</v>
      </c>
      <c r="M13" s="52">
        <v>104.2</v>
      </c>
      <c r="N13" s="52">
        <v>25.8</v>
      </c>
      <c r="O13" s="52">
        <v>0</v>
      </c>
      <c r="P13" s="52">
        <v>0.3</v>
      </c>
      <c r="Q13" s="52">
        <v>9.48</v>
      </c>
      <c r="R13" s="43"/>
      <c r="S13" s="43"/>
      <c r="T13" s="43"/>
      <c r="U13" s="43"/>
    </row>
    <row r="14" spans="1:21" s="11" customFormat="1" x14ac:dyDescent="0.25">
      <c r="A14" s="51" t="s">
        <v>617</v>
      </c>
      <c r="B14" s="52">
        <v>7.98</v>
      </c>
      <c r="C14" s="52">
        <v>3.07</v>
      </c>
      <c r="D14" s="52">
        <v>11.78</v>
      </c>
      <c r="E14" s="52">
        <v>4.8600000000000003</v>
      </c>
      <c r="F14" s="52">
        <v>4.12</v>
      </c>
      <c r="G14" s="52">
        <v>5.18</v>
      </c>
      <c r="H14" s="57" t="s">
        <v>8</v>
      </c>
      <c r="I14" s="52">
        <v>3.15</v>
      </c>
      <c r="J14" s="52">
        <v>0.08</v>
      </c>
      <c r="K14" s="52">
        <v>354.39</v>
      </c>
      <c r="L14" s="52">
        <v>25.27</v>
      </c>
      <c r="M14" s="52">
        <v>104.22</v>
      </c>
      <c r="N14" s="52">
        <v>25.4</v>
      </c>
      <c r="O14" s="52">
        <v>0</v>
      </c>
      <c r="P14" s="52">
        <v>0.28999999999999998</v>
      </c>
      <c r="Q14" s="52">
        <v>9.4700000000000006</v>
      </c>
      <c r="R14" s="43"/>
      <c r="S14" s="43"/>
      <c r="T14" s="43"/>
      <c r="U14" s="43"/>
    </row>
    <row r="15" spans="1:21" s="11" customFormat="1" x14ac:dyDescent="0.25">
      <c r="A15" s="51" t="s">
        <v>618</v>
      </c>
      <c r="B15" s="52">
        <v>7.97</v>
      </c>
      <c r="C15" s="52">
        <v>2.99</v>
      </c>
      <c r="D15" s="52">
        <v>11.73</v>
      </c>
      <c r="E15" s="52">
        <v>4.7300000000000004</v>
      </c>
      <c r="F15" s="52">
        <v>3.72</v>
      </c>
      <c r="G15" s="52">
        <v>5.18</v>
      </c>
      <c r="H15" s="57" t="s">
        <v>8</v>
      </c>
      <c r="I15" s="52">
        <v>2.95</v>
      </c>
      <c r="J15" s="52">
        <v>0.09</v>
      </c>
      <c r="K15" s="52">
        <v>353.31</v>
      </c>
      <c r="L15" s="52">
        <v>26.02</v>
      </c>
      <c r="M15" s="52">
        <v>104.18</v>
      </c>
      <c r="N15" s="52">
        <v>104.7</v>
      </c>
      <c r="O15" s="52">
        <v>0</v>
      </c>
      <c r="P15" s="52">
        <v>0.28000000000000003</v>
      </c>
      <c r="Q15" s="52">
        <v>9.5</v>
      </c>
      <c r="R15" s="43"/>
      <c r="S15" s="43"/>
      <c r="T15" s="43"/>
      <c r="U15" s="43"/>
    </row>
    <row r="16" spans="1:21" s="11" customFormat="1" x14ac:dyDescent="0.25">
      <c r="A16" s="51" t="s">
        <v>619</v>
      </c>
      <c r="B16" s="52">
        <v>7.98</v>
      </c>
      <c r="C16" s="52">
        <v>2.96</v>
      </c>
      <c r="D16" s="52">
        <v>11.72</v>
      </c>
      <c r="E16" s="52">
        <v>5.0599999999999996</v>
      </c>
      <c r="F16" s="52">
        <v>3.74</v>
      </c>
      <c r="G16" s="52">
        <v>9.3800000000000008</v>
      </c>
      <c r="H16" s="57" t="s">
        <v>8</v>
      </c>
      <c r="I16" s="52">
        <v>3.03</v>
      </c>
      <c r="J16" s="52">
        <v>0.15</v>
      </c>
      <c r="K16" s="52">
        <v>349.5</v>
      </c>
      <c r="L16" s="52">
        <v>27.24</v>
      </c>
      <c r="M16" s="52">
        <v>104.22</v>
      </c>
      <c r="N16" s="52">
        <v>200.1</v>
      </c>
      <c r="O16" s="52">
        <v>0</v>
      </c>
      <c r="P16" s="52">
        <v>0.3</v>
      </c>
      <c r="Q16" s="52">
        <v>9.5500000000000007</v>
      </c>
      <c r="R16" s="43"/>
      <c r="S16" s="43"/>
      <c r="T16" s="43"/>
      <c r="U16" s="43"/>
    </row>
    <row r="17" spans="1:21" s="11" customFormat="1" x14ac:dyDescent="0.25">
      <c r="A17" s="51" t="s">
        <v>620</v>
      </c>
      <c r="B17" s="52">
        <v>7.99</v>
      </c>
      <c r="C17" s="52">
        <v>3.08</v>
      </c>
      <c r="D17" s="52">
        <v>11.79</v>
      </c>
      <c r="E17" s="52">
        <v>4.76</v>
      </c>
      <c r="F17" s="52">
        <v>4.42</v>
      </c>
      <c r="G17" s="52">
        <v>9.3800000000000008</v>
      </c>
      <c r="H17" s="57" t="s">
        <v>8</v>
      </c>
      <c r="I17" s="52">
        <v>2.76</v>
      </c>
      <c r="J17" s="52">
        <v>0.25</v>
      </c>
      <c r="K17" s="52">
        <v>353.23</v>
      </c>
      <c r="L17" s="52">
        <v>27.15</v>
      </c>
      <c r="M17" s="52">
        <v>104.13</v>
      </c>
      <c r="N17" s="52">
        <v>272</v>
      </c>
      <c r="O17" s="52">
        <v>0</v>
      </c>
      <c r="P17" s="52">
        <v>0.32</v>
      </c>
      <c r="Q17" s="52">
        <v>9.5399999999999991</v>
      </c>
      <c r="R17" s="43"/>
      <c r="S17" s="43"/>
      <c r="T17" s="43"/>
      <c r="U17" s="43"/>
    </row>
    <row r="18" spans="1:21" s="11" customFormat="1" x14ac:dyDescent="0.25">
      <c r="A18" s="51" t="s">
        <v>621</v>
      </c>
      <c r="B18" s="52">
        <v>7.98</v>
      </c>
      <c r="C18" s="52">
        <v>3</v>
      </c>
      <c r="D18" s="52">
        <v>11.74</v>
      </c>
      <c r="E18" s="52">
        <v>4.5999999999999996</v>
      </c>
      <c r="F18" s="52">
        <v>5.21</v>
      </c>
      <c r="G18" s="52">
        <v>9.25</v>
      </c>
      <c r="H18" s="57" t="s">
        <v>8</v>
      </c>
      <c r="I18" s="52">
        <v>2.0499999999999998</v>
      </c>
      <c r="J18" s="52">
        <v>0.26</v>
      </c>
      <c r="K18" s="52">
        <v>346.47</v>
      </c>
      <c r="L18" s="52">
        <v>27.74</v>
      </c>
      <c r="M18" s="52">
        <v>103.91</v>
      </c>
      <c r="N18" s="52">
        <v>275.39999999999998</v>
      </c>
      <c r="O18" s="52">
        <v>0</v>
      </c>
      <c r="P18" s="52">
        <v>0.34</v>
      </c>
      <c r="Q18" s="52">
        <v>9.48</v>
      </c>
      <c r="R18" s="43"/>
      <c r="S18" s="43"/>
      <c r="T18" s="43"/>
      <c r="U18" s="43"/>
    </row>
    <row r="19" spans="1:21" s="11" customFormat="1" x14ac:dyDescent="0.25">
      <c r="A19" s="51" t="s">
        <v>622</v>
      </c>
      <c r="B19" s="52">
        <v>7.98</v>
      </c>
      <c r="C19" s="52">
        <v>3</v>
      </c>
      <c r="D19" s="52">
        <v>11.74</v>
      </c>
      <c r="E19" s="52">
        <v>4.57</v>
      </c>
      <c r="F19" s="52">
        <v>7.63</v>
      </c>
      <c r="G19" s="52">
        <v>9.8000000000000007</v>
      </c>
      <c r="H19" s="57" t="s">
        <v>8</v>
      </c>
      <c r="I19" s="52">
        <v>1.58</v>
      </c>
      <c r="J19" s="52">
        <v>0.22</v>
      </c>
      <c r="K19" s="52">
        <v>350.62</v>
      </c>
      <c r="L19" s="52">
        <v>28.49</v>
      </c>
      <c r="M19" s="52">
        <v>97.24</v>
      </c>
      <c r="N19" s="52">
        <v>514.9</v>
      </c>
      <c r="O19" s="52">
        <v>0</v>
      </c>
      <c r="P19" s="52">
        <v>0.35</v>
      </c>
      <c r="Q19" s="52">
        <v>9.42</v>
      </c>
      <c r="R19" s="43"/>
      <c r="S19" s="43"/>
      <c r="T19" s="43"/>
      <c r="U19" s="43"/>
    </row>
    <row r="20" spans="1:21" s="11" customFormat="1" x14ac:dyDescent="0.25">
      <c r="A20" s="51" t="s">
        <v>623</v>
      </c>
      <c r="B20" s="52">
        <v>7.96</v>
      </c>
      <c r="C20" s="52">
        <v>3</v>
      </c>
      <c r="D20" s="52">
        <v>11.72</v>
      </c>
      <c r="E20" s="52">
        <v>4.49</v>
      </c>
      <c r="F20" s="52">
        <v>17.41</v>
      </c>
      <c r="G20" s="52">
        <v>9.8000000000000007</v>
      </c>
      <c r="H20" s="57" t="s">
        <v>8</v>
      </c>
      <c r="I20" s="52">
        <v>1.26</v>
      </c>
      <c r="J20" s="52">
        <v>0.21</v>
      </c>
      <c r="K20" s="52">
        <v>353.65</v>
      </c>
      <c r="L20" s="52">
        <v>28.76</v>
      </c>
      <c r="M20" s="52">
        <v>94.44</v>
      </c>
      <c r="N20" s="52">
        <v>463.8</v>
      </c>
      <c r="O20" s="52">
        <v>0</v>
      </c>
      <c r="P20" s="52">
        <v>0.34</v>
      </c>
      <c r="Q20" s="52">
        <v>9.4499999999999993</v>
      </c>
      <c r="R20" s="43"/>
      <c r="S20" s="43"/>
      <c r="T20" s="43"/>
      <c r="U20" s="43"/>
    </row>
    <row r="21" spans="1:21" s="11" customFormat="1" x14ac:dyDescent="0.25">
      <c r="A21" s="51" t="s">
        <v>624</v>
      </c>
      <c r="B21" s="52">
        <v>7.93</v>
      </c>
      <c r="C21" s="52">
        <v>2.94</v>
      </c>
      <c r="D21" s="52">
        <v>11.66</v>
      </c>
      <c r="E21" s="52">
        <v>5.23</v>
      </c>
      <c r="F21" s="52">
        <v>15.6</v>
      </c>
      <c r="G21" s="52">
        <v>15.48</v>
      </c>
      <c r="H21" s="57" t="s">
        <v>8</v>
      </c>
      <c r="I21" s="52">
        <v>0.73</v>
      </c>
      <c r="J21" s="52">
        <v>0.27</v>
      </c>
      <c r="K21" s="52">
        <v>347.03</v>
      </c>
      <c r="L21" s="52">
        <v>28.74</v>
      </c>
      <c r="M21" s="52">
        <v>94.52</v>
      </c>
      <c r="N21" s="52">
        <v>443.1</v>
      </c>
      <c r="O21" s="52">
        <v>0</v>
      </c>
      <c r="P21" s="52">
        <v>0.32</v>
      </c>
      <c r="Q21" s="52">
        <v>9.3699999999999992</v>
      </c>
      <c r="R21" s="43"/>
      <c r="S21" s="43"/>
      <c r="T21" s="43"/>
      <c r="U21" s="43"/>
    </row>
    <row r="22" spans="1:21" s="11" customFormat="1" x14ac:dyDescent="0.25">
      <c r="A22" s="51" t="s">
        <v>625</v>
      </c>
      <c r="B22" s="52">
        <v>7.95</v>
      </c>
      <c r="C22" s="52">
        <v>2.96</v>
      </c>
      <c r="D22" s="52">
        <v>11.69</v>
      </c>
      <c r="E22" s="52">
        <v>6.26</v>
      </c>
      <c r="F22" s="52">
        <v>18.420000000000002</v>
      </c>
      <c r="G22" s="57" t="s">
        <v>8</v>
      </c>
      <c r="H22" s="57" t="s">
        <v>8</v>
      </c>
      <c r="I22" s="52">
        <v>0.59</v>
      </c>
      <c r="J22" s="52">
        <v>0.21</v>
      </c>
      <c r="K22" s="52">
        <v>347.84</v>
      </c>
      <c r="L22" s="52">
        <v>29.12</v>
      </c>
      <c r="M22" s="52">
        <v>93.78</v>
      </c>
      <c r="N22" s="52">
        <v>524.6</v>
      </c>
      <c r="O22" s="52">
        <v>0</v>
      </c>
      <c r="P22" s="52">
        <v>0.28000000000000003</v>
      </c>
      <c r="Q22" s="52">
        <v>9.36</v>
      </c>
      <c r="R22" s="43"/>
      <c r="S22" s="43"/>
      <c r="T22" s="43"/>
      <c r="U22" s="43"/>
    </row>
    <row r="23" spans="1:21" s="11" customFormat="1" x14ac:dyDescent="0.25">
      <c r="A23" s="51" t="s">
        <v>626</v>
      </c>
      <c r="B23" s="52">
        <v>7.96</v>
      </c>
      <c r="C23" s="52">
        <v>2.96</v>
      </c>
      <c r="D23" s="52">
        <v>11.71</v>
      </c>
      <c r="E23" s="52">
        <v>5.85</v>
      </c>
      <c r="F23" s="52">
        <v>8.36</v>
      </c>
      <c r="G23" s="57" t="s">
        <v>8</v>
      </c>
      <c r="H23" s="57" t="s">
        <v>8</v>
      </c>
      <c r="I23" s="52">
        <v>0.66</v>
      </c>
      <c r="J23" s="52">
        <v>0.33</v>
      </c>
      <c r="K23" s="52">
        <v>353.85</v>
      </c>
      <c r="L23" s="52">
        <v>29.38</v>
      </c>
      <c r="M23" s="52">
        <v>99.02</v>
      </c>
      <c r="N23" s="52">
        <v>246.9</v>
      </c>
      <c r="O23" s="52">
        <v>0</v>
      </c>
      <c r="P23" s="52">
        <v>0.27</v>
      </c>
      <c r="Q23" s="52">
        <v>9.36</v>
      </c>
      <c r="R23" s="43"/>
      <c r="S23" s="43"/>
      <c r="T23" s="43"/>
      <c r="U23" s="43"/>
    </row>
    <row r="24" spans="1:21" s="11" customFormat="1" x14ac:dyDescent="0.25">
      <c r="A24" s="51" t="s">
        <v>627</v>
      </c>
      <c r="B24" s="52">
        <v>7.97</v>
      </c>
      <c r="C24" s="52">
        <v>2.98</v>
      </c>
      <c r="D24" s="52">
        <v>11.72</v>
      </c>
      <c r="E24" s="52">
        <v>4.7300000000000004</v>
      </c>
      <c r="F24" s="52">
        <v>15.2</v>
      </c>
      <c r="G24" s="57" t="s">
        <v>8</v>
      </c>
      <c r="H24" s="57" t="s">
        <v>8</v>
      </c>
      <c r="I24" s="52">
        <v>0.78</v>
      </c>
      <c r="J24" s="52">
        <v>0.08</v>
      </c>
      <c r="K24" s="52">
        <v>314.16000000000003</v>
      </c>
      <c r="L24" s="52">
        <v>29.4</v>
      </c>
      <c r="M24" s="52">
        <v>90.28</v>
      </c>
      <c r="N24" s="52">
        <v>228</v>
      </c>
      <c r="O24" s="52">
        <v>0</v>
      </c>
      <c r="P24" s="52">
        <v>0.25</v>
      </c>
      <c r="Q24" s="52">
        <v>9.36</v>
      </c>
      <c r="R24" s="43"/>
      <c r="S24" s="43"/>
      <c r="T24" s="43"/>
      <c r="U24" s="43"/>
    </row>
    <row r="25" spans="1:21" s="11" customFormat="1" x14ac:dyDescent="0.25">
      <c r="A25" s="51" t="s">
        <v>628</v>
      </c>
      <c r="B25" s="52">
        <v>7.93</v>
      </c>
      <c r="C25" s="52">
        <v>3.04</v>
      </c>
      <c r="D25" s="52">
        <v>11.72</v>
      </c>
      <c r="E25" s="52">
        <v>5.51</v>
      </c>
      <c r="F25" s="52">
        <v>19.27</v>
      </c>
      <c r="G25" s="57" t="s">
        <v>8</v>
      </c>
      <c r="H25" s="57" t="s">
        <v>8</v>
      </c>
      <c r="I25" s="52">
        <v>0.47</v>
      </c>
      <c r="J25" s="52">
        <v>0.3</v>
      </c>
      <c r="K25" s="52">
        <v>172.74</v>
      </c>
      <c r="L25" s="52">
        <v>28.88</v>
      </c>
      <c r="M25" s="52">
        <v>91.06</v>
      </c>
      <c r="N25" s="52">
        <v>118.6</v>
      </c>
      <c r="O25" s="52">
        <v>0</v>
      </c>
      <c r="P25" s="52">
        <v>0.24</v>
      </c>
      <c r="Q25" s="52">
        <v>9.49</v>
      </c>
      <c r="R25" s="43"/>
      <c r="S25" s="43"/>
      <c r="T25" s="43"/>
      <c r="U25" s="43"/>
    </row>
    <row r="26" spans="1:21" s="11" customFormat="1" x14ac:dyDescent="0.25">
      <c r="A26" s="51" t="s">
        <v>629</v>
      </c>
      <c r="B26" s="52">
        <v>7.95</v>
      </c>
      <c r="C26" s="52">
        <v>2.98</v>
      </c>
      <c r="D26" s="52">
        <v>11.69</v>
      </c>
      <c r="E26" s="52">
        <v>5</v>
      </c>
      <c r="F26" s="52">
        <v>9.15</v>
      </c>
      <c r="G26" s="57" t="s">
        <v>8</v>
      </c>
      <c r="H26" s="57" t="s">
        <v>8</v>
      </c>
      <c r="I26" s="52">
        <v>0.67</v>
      </c>
      <c r="J26" s="52">
        <v>0.31</v>
      </c>
      <c r="K26" s="52">
        <v>175.77</v>
      </c>
      <c r="L26" s="52">
        <v>28.52</v>
      </c>
      <c r="M26" s="52">
        <v>95.56</v>
      </c>
      <c r="N26" s="52">
        <v>103.7</v>
      </c>
      <c r="O26" s="52">
        <v>0</v>
      </c>
      <c r="P26" s="52">
        <v>0.24</v>
      </c>
      <c r="Q26" s="52">
        <v>9.51</v>
      </c>
      <c r="R26" s="43"/>
      <c r="S26" s="43"/>
      <c r="T26" s="43"/>
      <c r="U26" s="43"/>
    </row>
    <row r="27" spans="1:21" s="11" customFormat="1" x14ac:dyDescent="0.25">
      <c r="A27" s="51" t="s">
        <v>630</v>
      </c>
      <c r="B27" s="52">
        <v>7.96</v>
      </c>
      <c r="C27" s="52">
        <v>2.95</v>
      </c>
      <c r="D27" s="52">
        <v>11.69</v>
      </c>
      <c r="E27" s="52">
        <v>4.8600000000000003</v>
      </c>
      <c r="F27" s="52">
        <v>3.6</v>
      </c>
      <c r="G27" s="57" t="s">
        <v>8</v>
      </c>
      <c r="H27" s="57" t="s">
        <v>8</v>
      </c>
      <c r="I27" s="52">
        <v>1.1000000000000001</v>
      </c>
      <c r="J27" s="52">
        <v>0.38</v>
      </c>
      <c r="K27" s="52">
        <v>156.38</v>
      </c>
      <c r="L27" s="52">
        <v>27.66</v>
      </c>
      <c r="M27" s="52">
        <v>101.54</v>
      </c>
      <c r="N27" s="52">
        <v>33.700000000000003</v>
      </c>
      <c r="O27" s="52">
        <v>0</v>
      </c>
      <c r="P27" s="52">
        <v>0.25</v>
      </c>
      <c r="Q27" s="52">
        <v>9.5299999999999994</v>
      </c>
      <c r="R27" s="43"/>
      <c r="S27" s="43"/>
      <c r="T27" s="43"/>
      <c r="U27" s="43"/>
    </row>
    <row r="28" spans="1:21" s="11" customFormat="1" x14ac:dyDescent="0.25">
      <c r="A28" s="51" t="s">
        <v>631</v>
      </c>
      <c r="B28" s="52">
        <v>7.98</v>
      </c>
      <c r="C28" s="52">
        <v>2.96</v>
      </c>
      <c r="D28" s="52">
        <v>11.71</v>
      </c>
      <c r="E28" s="52">
        <v>4.8899999999999997</v>
      </c>
      <c r="F28" s="52">
        <v>3.45</v>
      </c>
      <c r="G28" s="52">
        <v>20.05</v>
      </c>
      <c r="H28" s="52">
        <v>24.99</v>
      </c>
      <c r="I28" s="52">
        <v>2.15</v>
      </c>
      <c r="J28" s="52">
        <v>0.61</v>
      </c>
      <c r="K28" s="52">
        <v>154.15</v>
      </c>
      <c r="L28" s="52">
        <v>27.25</v>
      </c>
      <c r="M28" s="52">
        <v>103.72</v>
      </c>
      <c r="N28" s="52">
        <v>25.3</v>
      </c>
      <c r="O28" s="52">
        <v>0</v>
      </c>
      <c r="P28" s="52">
        <v>0.27</v>
      </c>
      <c r="Q28" s="52">
        <v>9.56</v>
      </c>
      <c r="R28" s="43"/>
      <c r="S28" s="43"/>
      <c r="T28" s="43"/>
      <c r="U28" s="43"/>
    </row>
    <row r="29" spans="1:21" s="11" customFormat="1" x14ac:dyDescent="0.25">
      <c r="A29" s="51" t="s">
        <v>632</v>
      </c>
      <c r="B29" s="52">
        <v>7.98</v>
      </c>
      <c r="C29" s="52">
        <v>3</v>
      </c>
      <c r="D29" s="52">
        <v>11.73</v>
      </c>
      <c r="E29" s="52">
        <v>5.52</v>
      </c>
      <c r="F29" s="52">
        <v>4.92</v>
      </c>
      <c r="G29" s="52">
        <v>20.05</v>
      </c>
      <c r="H29" s="52">
        <v>24.99</v>
      </c>
      <c r="I29" s="52">
        <v>3.07</v>
      </c>
      <c r="J29" s="52">
        <v>0.5</v>
      </c>
      <c r="K29" s="52">
        <v>155.04</v>
      </c>
      <c r="L29" s="52">
        <v>27.04</v>
      </c>
      <c r="M29" s="52">
        <v>103.57</v>
      </c>
      <c r="N29" s="52">
        <v>25.4</v>
      </c>
      <c r="O29" s="52">
        <v>0</v>
      </c>
      <c r="P29" s="52">
        <v>0.3</v>
      </c>
      <c r="Q29" s="52">
        <v>9.56</v>
      </c>
      <c r="R29" s="43"/>
      <c r="S29" s="43"/>
      <c r="T29" s="43"/>
      <c r="U29" s="43"/>
    </row>
    <row r="30" spans="1:21" s="11" customFormat="1" x14ac:dyDescent="0.25">
      <c r="A30" s="51" t="s">
        <v>633</v>
      </c>
      <c r="B30" s="52">
        <v>7.96</v>
      </c>
      <c r="C30" s="52">
        <v>2.98</v>
      </c>
      <c r="D30" s="52">
        <v>11.71</v>
      </c>
      <c r="E30" s="52">
        <v>5.62</v>
      </c>
      <c r="F30" s="52">
        <v>5.47</v>
      </c>
      <c r="G30" s="52">
        <v>17.39</v>
      </c>
      <c r="H30" s="52">
        <v>12.25</v>
      </c>
      <c r="I30" s="52">
        <v>2.91</v>
      </c>
      <c r="J30" s="52">
        <v>0.28000000000000003</v>
      </c>
      <c r="K30" s="52">
        <v>172.69</v>
      </c>
      <c r="L30" s="52">
        <v>26.59</v>
      </c>
      <c r="M30" s="52">
        <v>104.82</v>
      </c>
      <c r="N30" s="52">
        <v>27.7</v>
      </c>
      <c r="O30" s="52">
        <v>0</v>
      </c>
      <c r="P30" s="52">
        <v>0.3</v>
      </c>
      <c r="Q30" s="52">
        <v>9.5</v>
      </c>
      <c r="R30" s="43"/>
      <c r="S30" s="43"/>
      <c r="T30" s="43"/>
      <c r="U30" s="43"/>
    </row>
    <row r="31" spans="1:21" s="11" customFormat="1" x14ac:dyDescent="0.25">
      <c r="A31" s="51" t="s">
        <v>634</v>
      </c>
      <c r="B31" s="52">
        <v>7.98</v>
      </c>
      <c r="C31" s="52">
        <v>2.99</v>
      </c>
      <c r="D31" s="52">
        <v>11.73</v>
      </c>
      <c r="E31" s="52">
        <v>5.49</v>
      </c>
      <c r="F31" s="52">
        <v>3.88</v>
      </c>
      <c r="G31" s="52">
        <v>16.64</v>
      </c>
      <c r="H31" s="52">
        <v>4.6399999999999997</v>
      </c>
      <c r="I31" s="52">
        <v>2.36</v>
      </c>
      <c r="J31" s="52">
        <v>0.08</v>
      </c>
      <c r="K31" s="52">
        <v>293.08</v>
      </c>
      <c r="L31" s="52">
        <v>24.15</v>
      </c>
      <c r="M31" s="52">
        <v>104.9</v>
      </c>
      <c r="N31" s="52">
        <v>24.9</v>
      </c>
      <c r="O31" s="52">
        <v>0</v>
      </c>
      <c r="P31" s="52">
        <v>0.28999999999999998</v>
      </c>
      <c r="Q31" s="52">
        <v>9.52</v>
      </c>
      <c r="R31" s="43"/>
      <c r="S31" s="43"/>
      <c r="T31" s="43"/>
      <c r="U31" s="43"/>
    </row>
    <row r="32" spans="1:21" s="11" customFormat="1" x14ac:dyDescent="0.25">
      <c r="A32" s="51" t="s">
        <v>635</v>
      </c>
      <c r="B32" s="52">
        <v>8.01</v>
      </c>
      <c r="C32" s="52">
        <v>3</v>
      </c>
      <c r="D32" s="52">
        <v>11.76</v>
      </c>
      <c r="E32" s="52">
        <v>5.34</v>
      </c>
      <c r="F32" s="52">
        <v>3.62</v>
      </c>
      <c r="G32" s="52">
        <v>13.22</v>
      </c>
      <c r="H32" s="52">
        <v>3.37</v>
      </c>
      <c r="I32" s="52">
        <v>2.35</v>
      </c>
      <c r="J32" s="52">
        <v>0.32</v>
      </c>
      <c r="K32" s="52">
        <v>168.6</v>
      </c>
      <c r="L32" s="52">
        <v>24.97</v>
      </c>
      <c r="M32" s="52">
        <v>104.92</v>
      </c>
      <c r="N32" s="52">
        <v>25.6</v>
      </c>
      <c r="O32" s="52">
        <v>0</v>
      </c>
      <c r="P32" s="52">
        <v>0.28999999999999998</v>
      </c>
      <c r="Q32" s="52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2.94</v>
      </c>
      <c r="D34" s="28">
        <f t="shared" si="0"/>
        <v>11.66</v>
      </c>
      <c r="E34" s="28">
        <f t="shared" si="0"/>
        <v>4.49</v>
      </c>
      <c r="F34" s="28">
        <f t="shared" si="0"/>
        <v>3.45</v>
      </c>
      <c r="G34" s="28">
        <f t="shared" si="0"/>
        <v>5.18</v>
      </c>
      <c r="H34" s="28">
        <f t="shared" si="0"/>
        <v>3.37</v>
      </c>
      <c r="I34" s="28">
        <f t="shared" si="0"/>
        <v>0.47</v>
      </c>
      <c r="J34" s="28">
        <f t="shared" si="0"/>
        <v>0.06</v>
      </c>
      <c r="K34" s="28">
        <f t="shared" si="0"/>
        <v>154.15</v>
      </c>
      <c r="L34" s="28">
        <f t="shared" si="0"/>
        <v>24.15</v>
      </c>
      <c r="M34" s="28">
        <f t="shared" si="0"/>
        <v>90.28</v>
      </c>
      <c r="N34" s="28">
        <f t="shared" si="0"/>
        <v>24.9</v>
      </c>
      <c r="O34" s="28">
        <f t="shared" si="0"/>
        <v>0</v>
      </c>
      <c r="P34" s="28">
        <f t="shared" si="0"/>
        <v>0.24</v>
      </c>
      <c r="Q34" s="28">
        <f t="shared" si="0"/>
        <v>9.36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8.01</v>
      </c>
      <c r="C35" s="29">
        <f t="shared" si="1"/>
        <v>3.08</v>
      </c>
      <c r="D35" s="29">
        <f t="shared" si="1"/>
        <v>11.79</v>
      </c>
      <c r="E35" s="29">
        <f t="shared" si="1"/>
        <v>6.26</v>
      </c>
      <c r="F35" s="29">
        <f t="shared" si="1"/>
        <v>19.27</v>
      </c>
      <c r="G35" s="29">
        <f t="shared" si="1"/>
        <v>20.05</v>
      </c>
      <c r="H35" s="29">
        <f t="shared" si="1"/>
        <v>24.99</v>
      </c>
      <c r="I35" s="29">
        <f t="shared" si="1"/>
        <v>4.1399999999999997</v>
      </c>
      <c r="J35" s="29">
        <f t="shared" si="1"/>
        <v>0.61</v>
      </c>
      <c r="K35" s="29">
        <f t="shared" si="1"/>
        <v>358.07</v>
      </c>
      <c r="L35" s="29">
        <f t="shared" si="1"/>
        <v>29.4</v>
      </c>
      <c r="M35" s="29">
        <f t="shared" si="1"/>
        <v>104.92</v>
      </c>
      <c r="N35" s="29">
        <f t="shared" si="1"/>
        <v>524.6</v>
      </c>
      <c r="O35" s="29">
        <f t="shared" si="1"/>
        <v>0</v>
      </c>
      <c r="P35" s="29">
        <f t="shared" si="1"/>
        <v>0.4</v>
      </c>
      <c r="Q35" s="29">
        <f t="shared" si="1"/>
        <v>9.56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7.9708333333333314</v>
      </c>
      <c r="C36" s="28">
        <f t="shared" si="2"/>
        <v>2.9962499999999999</v>
      </c>
      <c r="D36" s="28">
        <f t="shared" si="2"/>
        <v>11.727916666666665</v>
      </c>
      <c r="E36" s="28">
        <f t="shared" si="2"/>
        <v>5.080000000000001</v>
      </c>
      <c r="F36" s="28">
        <f t="shared" si="2"/>
        <v>7.4812499999999993</v>
      </c>
      <c r="G36" s="28">
        <f t="shared" si="2"/>
        <v>11.735555555555555</v>
      </c>
      <c r="H36" s="28">
        <f t="shared" si="2"/>
        <v>14.047999999999998</v>
      </c>
      <c r="I36" s="28">
        <f t="shared" si="2"/>
        <v>2.2312499999999997</v>
      </c>
      <c r="J36" s="28">
        <f t="shared" si="2"/>
        <v>0.23041666666666669</v>
      </c>
      <c r="K36" s="28">
        <f t="shared" si="2"/>
        <v>287.31291666666669</v>
      </c>
      <c r="L36" s="28">
        <f t="shared" si="2"/>
        <v>27.089583333333334</v>
      </c>
      <c r="M36" s="28">
        <f t="shared" si="2"/>
        <v>100.86833333333334</v>
      </c>
      <c r="N36" s="28">
        <f t="shared" si="2"/>
        <v>158.90416666666667</v>
      </c>
      <c r="O36" s="28">
        <f t="shared" si="2"/>
        <v>0</v>
      </c>
      <c r="P36" s="28">
        <f t="shared" si="2"/>
        <v>0.30208333333333331</v>
      </c>
      <c r="Q36" s="28">
        <f t="shared" si="2"/>
        <v>9.4887500000000014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1.9763089590064904E-2</v>
      </c>
      <c r="C37" s="28">
        <f t="shared" ref="C37:Q37" si="3">STDEV(C9:C32)</f>
        <v>3.6926778312245688E-2</v>
      </c>
      <c r="D37" s="28">
        <f t="shared" si="3"/>
        <v>2.963240979307822E-2</v>
      </c>
      <c r="E37" s="28">
        <f t="shared" si="3"/>
        <v>0.44305265169493452</v>
      </c>
      <c r="F37" s="28">
        <f t="shared" si="3"/>
        <v>5.3435139980939601</v>
      </c>
      <c r="G37" s="28">
        <f t="shared" si="3"/>
        <v>4.8263909573513271</v>
      </c>
      <c r="H37" s="28">
        <f t="shared" si="3"/>
        <v>10.550090994868244</v>
      </c>
      <c r="I37" s="28">
        <f t="shared" si="3"/>
        <v>1.2085036111906617</v>
      </c>
      <c r="J37" s="28">
        <f t="shared" si="3"/>
        <v>0.13926762371237883</v>
      </c>
      <c r="K37" s="28">
        <f t="shared" si="3"/>
        <v>85.627532167149454</v>
      </c>
      <c r="L37" s="28">
        <f t="shared" si="3"/>
        <v>1.5868001138925074</v>
      </c>
      <c r="M37" s="28">
        <f t="shared" si="3"/>
        <v>4.9197107255598285</v>
      </c>
      <c r="N37" s="28">
        <f t="shared" si="3"/>
        <v>173.56123459977204</v>
      </c>
      <c r="O37" s="28">
        <f t="shared" si="3"/>
        <v>0</v>
      </c>
      <c r="P37" s="28">
        <f t="shared" si="3"/>
        <v>4.0858096602399599E-2</v>
      </c>
      <c r="Q37" s="28">
        <f t="shared" si="3"/>
        <v>6.7971381445812926E-2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COUNT(G9:G32)+6</f>
        <v>24</v>
      </c>
      <c r="H38" s="32">
        <f>COUNT(H9:H32)+19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636</v>
      </c>
      <c r="B9" s="52">
        <v>7.99</v>
      </c>
      <c r="C9" s="52">
        <v>2.99</v>
      </c>
      <c r="D9" s="52">
        <v>11.74</v>
      </c>
      <c r="E9" s="52">
        <v>4.6900000000000004</v>
      </c>
      <c r="F9" s="52">
        <v>4.82</v>
      </c>
      <c r="G9" s="52">
        <v>12.29</v>
      </c>
      <c r="H9" s="52">
        <v>1.83</v>
      </c>
      <c r="I9" s="52">
        <v>2.94</v>
      </c>
      <c r="J9" s="52">
        <v>0.49</v>
      </c>
      <c r="K9" s="52">
        <v>147.41</v>
      </c>
      <c r="L9" s="52">
        <v>24.91</v>
      </c>
      <c r="M9" s="52">
        <v>104.97</v>
      </c>
      <c r="N9" s="52">
        <v>26.4</v>
      </c>
      <c r="O9" s="52">
        <v>0</v>
      </c>
      <c r="P9" s="52">
        <v>0.28000000000000003</v>
      </c>
      <c r="Q9" s="52">
        <v>9.57</v>
      </c>
      <c r="R9" s="43"/>
      <c r="S9" s="43"/>
      <c r="T9" s="43"/>
      <c r="U9" s="43"/>
    </row>
    <row r="10" spans="1:21" s="11" customFormat="1" x14ac:dyDescent="0.25">
      <c r="A10" s="51" t="s">
        <v>637</v>
      </c>
      <c r="B10" s="52">
        <v>7.95</v>
      </c>
      <c r="C10" s="52">
        <v>2.94</v>
      </c>
      <c r="D10" s="52">
        <v>11.68</v>
      </c>
      <c r="E10" s="52">
        <v>4.34</v>
      </c>
      <c r="F10" s="52">
        <v>5.03</v>
      </c>
      <c r="G10" s="52">
        <v>12.29</v>
      </c>
      <c r="H10" s="52">
        <v>1.83</v>
      </c>
      <c r="I10" s="52">
        <v>2.81</v>
      </c>
      <c r="J10" s="52">
        <v>0.27</v>
      </c>
      <c r="K10" s="52">
        <v>212.19</v>
      </c>
      <c r="L10" s="52">
        <v>24.38</v>
      </c>
      <c r="M10" s="52">
        <v>104.96</v>
      </c>
      <c r="N10" s="52">
        <v>25.9</v>
      </c>
      <c r="O10" s="52">
        <v>0</v>
      </c>
      <c r="P10" s="52">
        <v>0.27</v>
      </c>
      <c r="Q10" s="52">
        <v>9.4499999999999993</v>
      </c>
      <c r="R10" s="43"/>
      <c r="S10" s="43"/>
      <c r="T10" s="43"/>
      <c r="U10" s="43"/>
    </row>
    <row r="11" spans="1:21" s="11" customFormat="1" x14ac:dyDescent="0.25">
      <c r="A11" s="51" t="s">
        <v>638</v>
      </c>
      <c r="B11" s="52">
        <v>7.96</v>
      </c>
      <c r="C11" s="52">
        <v>2.95</v>
      </c>
      <c r="D11" s="52">
        <v>11.69</v>
      </c>
      <c r="E11" s="52">
        <v>4.62</v>
      </c>
      <c r="F11" s="52">
        <v>5.19</v>
      </c>
      <c r="G11" s="52">
        <v>8.94</v>
      </c>
      <c r="H11" s="52">
        <v>1.57</v>
      </c>
      <c r="I11" s="52">
        <v>2.48</v>
      </c>
      <c r="J11" s="52">
        <v>0.22</v>
      </c>
      <c r="K11" s="52">
        <v>359.94</v>
      </c>
      <c r="L11" s="52">
        <v>23.91</v>
      </c>
      <c r="M11" s="52">
        <v>105</v>
      </c>
      <c r="N11" s="52">
        <v>23.5</v>
      </c>
      <c r="O11" s="52">
        <v>0</v>
      </c>
      <c r="P11" s="52">
        <v>0.26</v>
      </c>
      <c r="Q11" s="52">
        <v>9.4600000000000009</v>
      </c>
      <c r="R11" s="43"/>
      <c r="S11" s="43"/>
      <c r="T11" s="43"/>
      <c r="U11" s="43"/>
    </row>
    <row r="12" spans="1:21" s="11" customFormat="1" x14ac:dyDescent="0.25">
      <c r="A12" s="51" t="s">
        <v>639</v>
      </c>
      <c r="B12" s="52">
        <v>7.99</v>
      </c>
      <c r="C12" s="52">
        <v>2.99</v>
      </c>
      <c r="D12" s="52">
        <v>11.73</v>
      </c>
      <c r="E12" s="52">
        <v>4.3099999999999996</v>
      </c>
      <c r="F12" s="52">
        <v>4.68</v>
      </c>
      <c r="G12" s="52">
        <v>6.52</v>
      </c>
      <c r="H12" s="52">
        <v>0.28000000000000003</v>
      </c>
      <c r="I12" s="52">
        <v>1.81</v>
      </c>
      <c r="J12" s="52">
        <v>0.15</v>
      </c>
      <c r="K12" s="52">
        <v>354.4</v>
      </c>
      <c r="L12" s="52">
        <v>23.39</v>
      </c>
      <c r="M12" s="52">
        <v>105.05</v>
      </c>
      <c r="N12" s="52">
        <v>25.7</v>
      </c>
      <c r="O12" s="52">
        <v>0</v>
      </c>
      <c r="P12" s="52">
        <v>0.23</v>
      </c>
      <c r="Q12" s="52">
        <v>9.49</v>
      </c>
      <c r="R12" s="43"/>
      <c r="S12" s="43"/>
      <c r="T12" s="43"/>
      <c r="U12" s="43"/>
    </row>
    <row r="13" spans="1:21" s="11" customFormat="1" x14ac:dyDescent="0.25">
      <c r="A13" s="51" t="s">
        <v>640</v>
      </c>
      <c r="B13" s="52">
        <v>7.99</v>
      </c>
      <c r="C13" s="52">
        <v>3.01</v>
      </c>
      <c r="D13" s="52">
        <v>11.75</v>
      </c>
      <c r="E13" s="52">
        <v>3.79</v>
      </c>
      <c r="F13" s="52">
        <v>4.28</v>
      </c>
      <c r="G13" s="52">
        <v>4.59</v>
      </c>
      <c r="H13" s="52">
        <v>0.17</v>
      </c>
      <c r="I13" s="52">
        <v>1.31</v>
      </c>
      <c r="J13" s="52">
        <v>0.1</v>
      </c>
      <c r="K13" s="52">
        <v>353.2</v>
      </c>
      <c r="L13" s="52">
        <v>23.79</v>
      </c>
      <c r="M13" s="52">
        <v>105.01</v>
      </c>
      <c r="N13" s="52">
        <v>25.7</v>
      </c>
      <c r="O13" s="52">
        <v>0</v>
      </c>
      <c r="P13" s="52">
        <v>0.23</v>
      </c>
      <c r="Q13" s="52">
        <v>9.48</v>
      </c>
      <c r="R13" s="43"/>
      <c r="S13" s="43"/>
      <c r="T13" s="43"/>
      <c r="U13" s="43"/>
    </row>
    <row r="14" spans="1:21" s="11" customFormat="1" x14ac:dyDescent="0.25">
      <c r="A14" s="51" t="s">
        <v>641</v>
      </c>
      <c r="B14" s="52">
        <v>7.96</v>
      </c>
      <c r="C14" s="52">
        <v>2.97</v>
      </c>
      <c r="D14" s="52">
        <v>11.7</v>
      </c>
      <c r="E14" s="52">
        <v>3.88</v>
      </c>
      <c r="F14" s="52">
        <v>3.84</v>
      </c>
      <c r="G14" s="52">
        <v>3.99</v>
      </c>
      <c r="H14" s="52">
        <v>0.59</v>
      </c>
      <c r="I14" s="52">
        <v>1.45</v>
      </c>
      <c r="J14" s="52">
        <v>0.08</v>
      </c>
      <c r="K14" s="52">
        <v>337.58</v>
      </c>
      <c r="L14" s="52">
        <v>24.02</v>
      </c>
      <c r="M14" s="52">
        <v>105</v>
      </c>
      <c r="N14" s="52">
        <v>28.4</v>
      </c>
      <c r="O14" s="52">
        <v>0</v>
      </c>
      <c r="P14" s="52">
        <v>0.24</v>
      </c>
      <c r="Q14" s="52">
        <v>9.49</v>
      </c>
      <c r="R14" s="43"/>
      <c r="S14" s="43"/>
      <c r="T14" s="43"/>
      <c r="U14" s="43"/>
    </row>
    <row r="15" spans="1:21" s="11" customFormat="1" x14ac:dyDescent="0.25">
      <c r="A15" s="51" t="s">
        <v>642</v>
      </c>
      <c r="B15" s="52">
        <v>7.94</v>
      </c>
      <c r="C15" s="52">
        <v>2.98</v>
      </c>
      <c r="D15" s="52">
        <v>11.7</v>
      </c>
      <c r="E15" s="52">
        <v>3.98</v>
      </c>
      <c r="F15" s="52">
        <v>4.57</v>
      </c>
      <c r="G15" s="52">
        <v>3.99</v>
      </c>
      <c r="H15" s="52">
        <v>1.1000000000000001</v>
      </c>
      <c r="I15" s="52">
        <v>1.45</v>
      </c>
      <c r="J15" s="52">
        <v>0.15</v>
      </c>
      <c r="K15" s="52">
        <v>359.97</v>
      </c>
      <c r="L15" s="52">
        <v>24.35</v>
      </c>
      <c r="M15" s="52">
        <v>104.93</v>
      </c>
      <c r="N15" s="52">
        <v>45.6</v>
      </c>
      <c r="O15" s="52">
        <v>0</v>
      </c>
      <c r="P15" s="52">
        <v>0.24</v>
      </c>
      <c r="Q15" s="52">
        <v>9.49</v>
      </c>
      <c r="R15" s="43"/>
      <c r="S15" s="43"/>
      <c r="T15" s="43"/>
      <c r="U15" s="43"/>
    </row>
    <row r="16" spans="1:21" s="11" customFormat="1" x14ac:dyDescent="0.25">
      <c r="A16" s="51" t="s">
        <v>643</v>
      </c>
      <c r="B16" s="52">
        <v>7.99</v>
      </c>
      <c r="C16" s="52">
        <v>2.96</v>
      </c>
      <c r="D16" s="52">
        <v>11.72</v>
      </c>
      <c r="E16" s="52">
        <v>3.48</v>
      </c>
      <c r="F16" s="52">
        <v>3.66</v>
      </c>
      <c r="G16" s="52">
        <v>3.43</v>
      </c>
      <c r="H16" s="52">
        <v>4.5199999999999996</v>
      </c>
      <c r="I16" s="52">
        <v>1.42</v>
      </c>
      <c r="J16" s="52">
        <v>0.17</v>
      </c>
      <c r="K16" s="52">
        <v>356.91</v>
      </c>
      <c r="L16" s="52">
        <v>24.82</v>
      </c>
      <c r="M16" s="52">
        <v>104.91</v>
      </c>
      <c r="N16" s="52">
        <v>82.2</v>
      </c>
      <c r="O16" s="52">
        <v>0</v>
      </c>
      <c r="P16" s="52">
        <v>0.24</v>
      </c>
      <c r="Q16" s="52">
        <v>9.5399999999999991</v>
      </c>
      <c r="R16" s="43"/>
      <c r="S16" s="43"/>
      <c r="T16" s="43"/>
      <c r="U16" s="43"/>
    </row>
    <row r="17" spans="1:21" s="11" customFormat="1" x14ac:dyDescent="0.25">
      <c r="A17" s="51" t="s">
        <v>644</v>
      </c>
      <c r="B17" s="52">
        <v>8.01</v>
      </c>
      <c r="C17" s="52">
        <v>2.98</v>
      </c>
      <c r="D17" s="52">
        <v>11.75</v>
      </c>
      <c r="E17" s="52">
        <v>4.18</v>
      </c>
      <c r="F17" s="52">
        <v>4.84</v>
      </c>
      <c r="G17" s="52">
        <v>3.26</v>
      </c>
      <c r="H17" s="52">
        <v>4.5199999999999996</v>
      </c>
      <c r="I17" s="52">
        <v>1.46</v>
      </c>
      <c r="J17" s="52">
        <v>0.23</v>
      </c>
      <c r="K17" s="52">
        <v>350.78</v>
      </c>
      <c r="L17" s="52">
        <v>25.45</v>
      </c>
      <c r="M17" s="52">
        <v>104.86</v>
      </c>
      <c r="N17" s="52">
        <v>157.4</v>
      </c>
      <c r="O17" s="52">
        <v>0</v>
      </c>
      <c r="P17" s="52">
        <v>0.26</v>
      </c>
      <c r="Q17" s="52">
        <v>9.5500000000000007</v>
      </c>
      <c r="R17" s="43"/>
      <c r="S17" s="43"/>
      <c r="T17" s="43"/>
      <c r="U17" s="43"/>
    </row>
    <row r="18" spans="1:21" s="11" customFormat="1" x14ac:dyDescent="0.25">
      <c r="A18" s="51" t="s">
        <v>645</v>
      </c>
      <c r="B18" s="52">
        <v>7.96</v>
      </c>
      <c r="C18" s="52">
        <v>2.98</v>
      </c>
      <c r="D18" s="52">
        <v>11.71</v>
      </c>
      <c r="E18" s="52">
        <v>4.3600000000000003</v>
      </c>
      <c r="F18" s="52">
        <v>5.33</v>
      </c>
      <c r="G18" s="52">
        <v>9.0299999999999994</v>
      </c>
      <c r="H18" s="52">
        <v>2.1800000000000002</v>
      </c>
      <c r="I18" s="52">
        <v>1.25</v>
      </c>
      <c r="J18" s="52">
        <v>0.35</v>
      </c>
      <c r="K18" s="52">
        <v>354.27</v>
      </c>
      <c r="L18" s="52">
        <v>26.15</v>
      </c>
      <c r="M18" s="52">
        <v>104.54</v>
      </c>
      <c r="N18" s="52">
        <v>277.89999999999998</v>
      </c>
      <c r="O18" s="52">
        <v>0</v>
      </c>
      <c r="P18" s="52">
        <v>0.3</v>
      </c>
      <c r="Q18" s="52">
        <v>9.48</v>
      </c>
      <c r="R18" s="43"/>
      <c r="S18" s="43"/>
      <c r="T18" s="43"/>
      <c r="U18" s="43"/>
    </row>
    <row r="19" spans="1:21" s="11" customFormat="1" x14ac:dyDescent="0.25">
      <c r="A19" s="51" t="s">
        <v>646</v>
      </c>
      <c r="B19" s="52">
        <v>7.95</v>
      </c>
      <c r="C19" s="52">
        <v>2.99</v>
      </c>
      <c r="D19" s="52">
        <v>11.71</v>
      </c>
      <c r="E19" s="52">
        <v>4.0599999999999996</v>
      </c>
      <c r="F19" s="52">
        <v>3.83</v>
      </c>
      <c r="G19" s="52">
        <v>9.0299999999999994</v>
      </c>
      <c r="H19" s="52">
        <v>1.98</v>
      </c>
      <c r="I19" s="52">
        <v>0.94</v>
      </c>
      <c r="J19" s="52">
        <v>0.28999999999999998</v>
      </c>
      <c r="K19" s="52">
        <v>353.47</v>
      </c>
      <c r="L19" s="52">
        <v>26.13</v>
      </c>
      <c r="M19" s="52">
        <v>103.18</v>
      </c>
      <c r="N19" s="52">
        <v>164.6</v>
      </c>
      <c r="O19" s="52">
        <v>0</v>
      </c>
      <c r="P19" s="52">
        <v>0.32</v>
      </c>
      <c r="Q19" s="52">
        <v>9.49</v>
      </c>
      <c r="R19" s="43"/>
      <c r="S19" s="43"/>
      <c r="T19" s="43"/>
      <c r="U19" s="43"/>
    </row>
    <row r="20" spans="1:21" s="11" customFormat="1" x14ac:dyDescent="0.25">
      <c r="A20" s="51" t="s">
        <v>647</v>
      </c>
      <c r="B20" s="52">
        <v>7.98</v>
      </c>
      <c r="C20" s="52">
        <v>2.99</v>
      </c>
      <c r="D20" s="52">
        <v>11.74</v>
      </c>
      <c r="E20" s="52">
        <v>3.95</v>
      </c>
      <c r="F20" s="52">
        <v>4.0599999999999996</v>
      </c>
      <c r="G20" s="52">
        <v>14.16</v>
      </c>
      <c r="H20" s="52">
        <v>4.5</v>
      </c>
      <c r="I20" s="52">
        <v>0.95</v>
      </c>
      <c r="J20" s="52">
        <v>0.32</v>
      </c>
      <c r="K20" s="52">
        <v>355.33</v>
      </c>
      <c r="L20" s="52">
        <v>26.62</v>
      </c>
      <c r="M20" s="52">
        <v>104.02</v>
      </c>
      <c r="N20" s="52">
        <v>205.5</v>
      </c>
      <c r="O20" s="52">
        <v>0</v>
      </c>
      <c r="P20" s="52">
        <v>0.34</v>
      </c>
      <c r="Q20" s="52">
        <v>9.52</v>
      </c>
      <c r="R20" s="43"/>
      <c r="S20" s="43"/>
      <c r="T20" s="43"/>
      <c r="U20" s="43"/>
    </row>
    <row r="21" spans="1:21" s="11" customFormat="1" x14ac:dyDescent="0.25">
      <c r="A21" s="51" t="s">
        <v>648</v>
      </c>
      <c r="B21" s="52">
        <v>8.01</v>
      </c>
      <c r="C21" s="52">
        <v>3.02</v>
      </c>
      <c r="D21" s="52">
        <v>11.77</v>
      </c>
      <c r="E21" s="52">
        <v>4.1900000000000004</v>
      </c>
      <c r="F21" s="52">
        <v>4</v>
      </c>
      <c r="G21" s="52">
        <v>14.16</v>
      </c>
      <c r="H21" s="52">
        <v>4.5</v>
      </c>
      <c r="I21" s="52">
        <v>0.94</v>
      </c>
      <c r="J21" s="52">
        <v>0.24</v>
      </c>
      <c r="K21" s="52">
        <v>350.11</v>
      </c>
      <c r="L21" s="52">
        <v>26.26</v>
      </c>
      <c r="M21" s="52">
        <v>104.62</v>
      </c>
      <c r="N21" s="52">
        <v>177</v>
      </c>
      <c r="O21" s="52">
        <v>0</v>
      </c>
      <c r="P21" s="52">
        <v>0.34</v>
      </c>
      <c r="Q21" s="52">
        <v>9.5299999999999994</v>
      </c>
      <c r="R21" s="43"/>
      <c r="S21" s="43"/>
      <c r="T21" s="43"/>
      <c r="U21" s="43"/>
    </row>
    <row r="22" spans="1:21" s="11" customFormat="1" x14ac:dyDescent="0.25">
      <c r="A22" s="51" t="s">
        <v>649</v>
      </c>
      <c r="B22" s="52">
        <v>7.97</v>
      </c>
      <c r="C22" s="52">
        <v>3.03</v>
      </c>
      <c r="D22" s="52">
        <v>11.74</v>
      </c>
      <c r="E22" s="52">
        <v>4.3600000000000003</v>
      </c>
      <c r="F22" s="52">
        <v>4.79</v>
      </c>
      <c r="G22" s="52">
        <v>15.4</v>
      </c>
      <c r="H22" s="52">
        <v>5.0999999999999996</v>
      </c>
      <c r="I22" s="52">
        <v>1.1200000000000001</v>
      </c>
      <c r="J22" s="52">
        <v>0.14000000000000001</v>
      </c>
      <c r="K22" s="52">
        <v>324.47000000000003</v>
      </c>
      <c r="L22" s="52">
        <v>27.1</v>
      </c>
      <c r="M22" s="52">
        <v>104.62</v>
      </c>
      <c r="N22" s="52">
        <v>170.8</v>
      </c>
      <c r="O22" s="52">
        <v>0</v>
      </c>
      <c r="P22" s="52">
        <v>0.33</v>
      </c>
      <c r="Q22" s="52">
        <v>9.5500000000000007</v>
      </c>
      <c r="R22" s="43"/>
      <c r="S22" s="43"/>
      <c r="T22" s="43"/>
      <c r="U22" s="43"/>
    </row>
    <row r="23" spans="1:21" s="11" customFormat="1" x14ac:dyDescent="0.25">
      <c r="A23" s="51" t="s">
        <v>650</v>
      </c>
      <c r="B23" s="52">
        <v>7.96</v>
      </c>
      <c r="C23" s="52">
        <v>2.94</v>
      </c>
      <c r="D23" s="52">
        <v>11.7</v>
      </c>
      <c r="E23" s="52">
        <v>4.3099999999999996</v>
      </c>
      <c r="F23" s="52">
        <v>5.26</v>
      </c>
      <c r="G23" s="52">
        <v>15.4</v>
      </c>
      <c r="H23" s="52">
        <v>5.0999999999999996</v>
      </c>
      <c r="I23" s="52">
        <v>1.25</v>
      </c>
      <c r="J23" s="52">
        <v>0.18</v>
      </c>
      <c r="K23" s="52">
        <v>347.03</v>
      </c>
      <c r="L23" s="52">
        <v>27.58</v>
      </c>
      <c r="M23" s="52">
        <v>98.95</v>
      </c>
      <c r="N23" s="52">
        <v>219</v>
      </c>
      <c r="O23" s="52">
        <v>0</v>
      </c>
      <c r="P23" s="52">
        <v>0.34</v>
      </c>
      <c r="Q23" s="52">
        <v>9.56</v>
      </c>
      <c r="R23" s="43"/>
      <c r="S23" s="43"/>
      <c r="T23" s="43"/>
      <c r="U23" s="43"/>
    </row>
    <row r="24" spans="1:21" s="11" customFormat="1" x14ac:dyDescent="0.25">
      <c r="A24" s="51" t="s">
        <v>651</v>
      </c>
      <c r="B24" s="52">
        <v>8</v>
      </c>
      <c r="C24" s="52">
        <v>3.02</v>
      </c>
      <c r="D24" s="52">
        <v>11.77</v>
      </c>
      <c r="E24" s="52">
        <v>5.04</v>
      </c>
      <c r="F24" s="52">
        <v>4.8600000000000003</v>
      </c>
      <c r="G24" s="52">
        <v>20.91</v>
      </c>
      <c r="H24" s="52">
        <v>4.42</v>
      </c>
      <c r="I24" s="52">
        <v>1.17</v>
      </c>
      <c r="J24" s="52">
        <v>0.28000000000000003</v>
      </c>
      <c r="K24" s="52">
        <v>351.72</v>
      </c>
      <c r="L24" s="52">
        <v>27.96</v>
      </c>
      <c r="M24" s="52">
        <v>96.64</v>
      </c>
      <c r="N24" s="52">
        <v>191.7</v>
      </c>
      <c r="O24" s="52">
        <v>0</v>
      </c>
      <c r="P24" s="52">
        <v>0.35</v>
      </c>
      <c r="Q24" s="52">
        <v>9.5500000000000007</v>
      </c>
      <c r="R24" s="43"/>
      <c r="S24" s="43"/>
      <c r="T24" s="43"/>
      <c r="U24" s="43"/>
    </row>
    <row r="25" spans="1:21" s="11" customFormat="1" x14ac:dyDescent="0.25">
      <c r="A25" s="51" t="s">
        <v>652</v>
      </c>
      <c r="B25" s="52">
        <v>8.01</v>
      </c>
      <c r="C25" s="52">
        <v>2.97</v>
      </c>
      <c r="D25" s="52">
        <v>11.74</v>
      </c>
      <c r="E25" s="52">
        <v>4.6900000000000004</v>
      </c>
      <c r="F25" s="52">
        <v>3.81</v>
      </c>
      <c r="G25" s="52">
        <v>20.91</v>
      </c>
      <c r="H25" s="52">
        <v>4.01</v>
      </c>
      <c r="I25" s="52">
        <v>1.2</v>
      </c>
      <c r="J25" s="52">
        <v>0.21</v>
      </c>
      <c r="K25" s="52">
        <v>355.31</v>
      </c>
      <c r="L25" s="52">
        <v>27.65</v>
      </c>
      <c r="M25" s="52">
        <v>96.84</v>
      </c>
      <c r="N25" s="52">
        <v>128</v>
      </c>
      <c r="O25" s="52">
        <v>0</v>
      </c>
      <c r="P25" s="52">
        <v>0.35</v>
      </c>
      <c r="Q25" s="52">
        <v>9.56</v>
      </c>
      <c r="R25" s="43"/>
      <c r="S25" s="43"/>
      <c r="T25" s="43"/>
      <c r="U25" s="43"/>
    </row>
    <row r="26" spans="1:21" s="11" customFormat="1" x14ac:dyDescent="0.25">
      <c r="A26" s="51" t="s">
        <v>653</v>
      </c>
      <c r="B26" s="52">
        <v>7.98</v>
      </c>
      <c r="C26" s="52">
        <v>2.96</v>
      </c>
      <c r="D26" s="52">
        <v>11.73</v>
      </c>
      <c r="E26" s="52">
        <v>4.92</v>
      </c>
      <c r="F26" s="52">
        <v>4.32</v>
      </c>
      <c r="G26" s="52">
        <v>18.28</v>
      </c>
      <c r="H26" s="52">
        <v>2.11</v>
      </c>
      <c r="I26" s="52">
        <v>1.24</v>
      </c>
      <c r="J26" s="52">
        <v>0.28999999999999998</v>
      </c>
      <c r="K26" s="52">
        <v>355.5</v>
      </c>
      <c r="L26" s="52">
        <v>27</v>
      </c>
      <c r="M26" s="52">
        <v>102.85</v>
      </c>
      <c r="N26" s="52">
        <v>50.2</v>
      </c>
      <c r="O26" s="52">
        <v>0</v>
      </c>
      <c r="P26" s="52">
        <v>0.37</v>
      </c>
      <c r="Q26" s="52">
        <v>9.57</v>
      </c>
      <c r="R26" s="43"/>
      <c r="S26" s="43"/>
      <c r="T26" s="43"/>
      <c r="U26" s="43"/>
    </row>
    <row r="27" spans="1:21" s="11" customFormat="1" x14ac:dyDescent="0.25">
      <c r="A27" s="51" t="s">
        <v>654</v>
      </c>
      <c r="B27" s="52">
        <v>7.98</v>
      </c>
      <c r="C27" s="52">
        <v>3</v>
      </c>
      <c r="D27" s="52">
        <v>11.74</v>
      </c>
      <c r="E27" s="52">
        <v>4.82</v>
      </c>
      <c r="F27" s="52">
        <v>3.87</v>
      </c>
      <c r="G27" s="52">
        <v>21.42</v>
      </c>
      <c r="H27" s="52">
        <v>1.21</v>
      </c>
      <c r="I27" s="52">
        <v>1.3</v>
      </c>
      <c r="J27" s="52">
        <v>0.26</v>
      </c>
      <c r="K27" s="52">
        <v>8.91</v>
      </c>
      <c r="L27" s="52">
        <v>26.22</v>
      </c>
      <c r="M27" s="52">
        <v>102.39</v>
      </c>
      <c r="N27" s="52">
        <v>30</v>
      </c>
      <c r="O27" s="52">
        <v>0</v>
      </c>
      <c r="P27" s="52">
        <v>0.41</v>
      </c>
      <c r="Q27" s="52">
        <v>9.59</v>
      </c>
      <c r="R27" s="43"/>
      <c r="S27" s="43"/>
      <c r="T27" s="43"/>
      <c r="U27" s="43"/>
    </row>
    <row r="28" spans="1:21" s="11" customFormat="1" x14ac:dyDescent="0.25">
      <c r="A28" s="51" t="s">
        <v>655</v>
      </c>
      <c r="B28" s="52">
        <v>7.99</v>
      </c>
      <c r="C28" s="52">
        <v>3.05</v>
      </c>
      <c r="D28" s="52">
        <v>11.77</v>
      </c>
      <c r="E28" s="52">
        <v>4.67</v>
      </c>
      <c r="F28" s="52">
        <v>3.69</v>
      </c>
      <c r="G28" s="52">
        <v>21.84</v>
      </c>
      <c r="H28" s="52">
        <v>4.97</v>
      </c>
      <c r="I28" s="52">
        <v>1.33</v>
      </c>
      <c r="J28" s="52">
        <v>0.21</v>
      </c>
      <c r="K28" s="52">
        <v>359.64</v>
      </c>
      <c r="L28" s="52">
        <v>25.97</v>
      </c>
      <c r="M28" s="52">
        <v>104.59</v>
      </c>
      <c r="N28" s="52">
        <v>25.4</v>
      </c>
      <c r="O28" s="52">
        <v>0</v>
      </c>
      <c r="P28" s="52">
        <v>0.44</v>
      </c>
      <c r="Q28" s="52">
        <v>9.58</v>
      </c>
      <c r="R28" s="43"/>
      <c r="S28" s="43"/>
      <c r="T28" s="43"/>
      <c r="U28" s="43"/>
    </row>
    <row r="29" spans="1:21" s="11" customFormat="1" x14ac:dyDescent="0.25">
      <c r="A29" s="51" t="s">
        <v>656</v>
      </c>
      <c r="B29" s="52">
        <v>8.01</v>
      </c>
      <c r="C29" s="52">
        <v>2.99</v>
      </c>
      <c r="D29" s="52">
        <v>11.75</v>
      </c>
      <c r="E29" s="52">
        <v>4.09</v>
      </c>
      <c r="F29" s="52">
        <v>3.54</v>
      </c>
      <c r="G29" s="52">
        <v>22.5</v>
      </c>
      <c r="H29" s="52">
        <v>4.97</v>
      </c>
      <c r="I29" s="52">
        <v>1.68</v>
      </c>
      <c r="J29" s="52">
        <v>0.14000000000000001</v>
      </c>
      <c r="K29" s="52">
        <v>342.67</v>
      </c>
      <c r="L29" s="52">
        <v>25.72</v>
      </c>
      <c r="M29" s="52">
        <v>104.7</v>
      </c>
      <c r="N29" s="52">
        <v>25.4</v>
      </c>
      <c r="O29" s="52">
        <v>0</v>
      </c>
      <c r="P29" s="52">
        <v>0.46</v>
      </c>
      <c r="Q29" s="52">
        <v>9.6199999999999992</v>
      </c>
      <c r="R29" s="43"/>
      <c r="S29" s="43"/>
      <c r="T29" s="43"/>
      <c r="U29" s="43"/>
    </row>
    <row r="30" spans="1:21" s="11" customFormat="1" x14ac:dyDescent="0.25">
      <c r="A30" s="51" t="s">
        <v>657</v>
      </c>
      <c r="B30" s="52">
        <v>8.01</v>
      </c>
      <c r="C30" s="52">
        <v>3</v>
      </c>
      <c r="D30" s="52">
        <v>11.75</v>
      </c>
      <c r="E30" s="52">
        <v>4.1500000000000004</v>
      </c>
      <c r="F30" s="52">
        <v>4.03</v>
      </c>
      <c r="G30" s="52">
        <v>26.65</v>
      </c>
      <c r="H30" s="52">
        <v>2.96</v>
      </c>
      <c r="I30" s="52">
        <v>2.5299999999999998</v>
      </c>
      <c r="J30" s="52">
        <v>0.08</v>
      </c>
      <c r="K30" s="52">
        <v>284.14999999999998</v>
      </c>
      <c r="L30" s="52">
        <v>25.61</v>
      </c>
      <c r="M30" s="52">
        <v>104.75</v>
      </c>
      <c r="N30" s="52">
        <v>25.4</v>
      </c>
      <c r="O30" s="52">
        <v>0</v>
      </c>
      <c r="P30" s="52">
        <v>0.46</v>
      </c>
      <c r="Q30" s="52">
        <v>9.64</v>
      </c>
      <c r="R30" s="43"/>
      <c r="S30" s="43"/>
      <c r="T30" s="43"/>
      <c r="U30" s="43"/>
    </row>
    <row r="31" spans="1:21" s="11" customFormat="1" x14ac:dyDescent="0.25">
      <c r="A31" s="51" t="s">
        <v>658</v>
      </c>
      <c r="B31" s="52">
        <v>7.98</v>
      </c>
      <c r="C31" s="52">
        <v>3</v>
      </c>
      <c r="D31" s="52">
        <v>11.74</v>
      </c>
      <c r="E31" s="52">
        <v>4.22</v>
      </c>
      <c r="F31" s="52">
        <v>4.1900000000000004</v>
      </c>
      <c r="G31" s="52">
        <v>26.91</v>
      </c>
      <c r="H31" s="52">
        <v>8.4</v>
      </c>
      <c r="I31" s="52">
        <v>2.78</v>
      </c>
      <c r="J31" s="52">
        <v>0.54</v>
      </c>
      <c r="K31" s="52">
        <v>165.08</v>
      </c>
      <c r="L31" s="52">
        <v>25.47</v>
      </c>
      <c r="M31" s="52">
        <v>104.81</v>
      </c>
      <c r="N31" s="52">
        <v>25.3</v>
      </c>
      <c r="O31" s="52">
        <v>0</v>
      </c>
      <c r="P31" s="52">
        <v>0.46</v>
      </c>
      <c r="Q31" s="52">
        <v>9.6300000000000008</v>
      </c>
      <c r="R31" s="43"/>
      <c r="S31" s="43"/>
      <c r="T31" s="43"/>
      <c r="U31" s="43"/>
    </row>
    <row r="32" spans="1:21" s="11" customFormat="1" x14ac:dyDescent="0.25">
      <c r="A32" s="51" t="s">
        <v>659</v>
      </c>
      <c r="B32" s="52">
        <v>8.01</v>
      </c>
      <c r="C32" s="52">
        <v>3.01</v>
      </c>
      <c r="D32" s="52">
        <v>11.76</v>
      </c>
      <c r="E32" s="52">
        <v>5.22</v>
      </c>
      <c r="F32" s="52">
        <v>3.63</v>
      </c>
      <c r="G32" s="52">
        <v>26.91</v>
      </c>
      <c r="H32" s="52">
        <v>8.7100000000000009</v>
      </c>
      <c r="I32" s="52">
        <v>2.94</v>
      </c>
      <c r="J32" s="52">
        <v>0.37</v>
      </c>
      <c r="K32" s="52">
        <v>145.13999999999999</v>
      </c>
      <c r="L32" s="52">
        <v>25.37</v>
      </c>
      <c r="M32" s="52">
        <v>104.83</v>
      </c>
      <c r="N32" s="52">
        <v>25.1</v>
      </c>
      <c r="O32" s="52">
        <v>0</v>
      </c>
      <c r="P32" s="52">
        <v>0.43</v>
      </c>
      <c r="Q32" s="52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7.94</v>
      </c>
      <c r="C34" s="28">
        <f t="shared" si="0"/>
        <v>2.94</v>
      </c>
      <c r="D34" s="28">
        <f t="shared" si="0"/>
        <v>11.68</v>
      </c>
      <c r="E34" s="28">
        <f t="shared" si="0"/>
        <v>3.48</v>
      </c>
      <c r="F34" s="28">
        <f t="shared" si="0"/>
        <v>3.54</v>
      </c>
      <c r="G34" s="28">
        <f t="shared" si="0"/>
        <v>3.26</v>
      </c>
      <c r="H34" s="28">
        <f t="shared" si="0"/>
        <v>0.17</v>
      </c>
      <c r="I34" s="28">
        <f t="shared" si="0"/>
        <v>0.94</v>
      </c>
      <c r="J34" s="28">
        <f t="shared" si="0"/>
        <v>0.08</v>
      </c>
      <c r="K34" s="28">
        <f t="shared" si="0"/>
        <v>8.91</v>
      </c>
      <c r="L34" s="28">
        <f t="shared" si="0"/>
        <v>23.39</v>
      </c>
      <c r="M34" s="28">
        <f t="shared" si="0"/>
        <v>96.64</v>
      </c>
      <c r="N34" s="28">
        <f t="shared" si="0"/>
        <v>23.5</v>
      </c>
      <c r="O34" s="28">
        <f t="shared" si="0"/>
        <v>0</v>
      </c>
      <c r="P34" s="28">
        <f t="shared" si="0"/>
        <v>0.23</v>
      </c>
      <c r="Q34" s="28">
        <f t="shared" si="0"/>
        <v>9.4499999999999993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8.01</v>
      </c>
      <c r="C35" s="29">
        <f t="shared" si="1"/>
        <v>3.05</v>
      </c>
      <c r="D35" s="29">
        <f t="shared" si="1"/>
        <v>11.77</v>
      </c>
      <c r="E35" s="29">
        <f t="shared" si="1"/>
        <v>5.22</v>
      </c>
      <c r="F35" s="29">
        <f t="shared" si="1"/>
        <v>5.33</v>
      </c>
      <c r="G35" s="29">
        <f t="shared" si="1"/>
        <v>26.91</v>
      </c>
      <c r="H35" s="29">
        <f t="shared" si="1"/>
        <v>8.7100000000000009</v>
      </c>
      <c r="I35" s="29">
        <f t="shared" si="1"/>
        <v>2.94</v>
      </c>
      <c r="J35" s="29">
        <f t="shared" si="1"/>
        <v>0.54</v>
      </c>
      <c r="K35" s="29">
        <f t="shared" si="1"/>
        <v>359.97</v>
      </c>
      <c r="L35" s="29">
        <f t="shared" si="1"/>
        <v>27.96</v>
      </c>
      <c r="M35" s="29">
        <f t="shared" si="1"/>
        <v>105.05</v>
      </c>
      <c r="N35" s="29">
        <f t="shared" si="1"/>
        <v>277.89999999999998</v>
      </c>
      <c r="O35" s="29">
        <f t="shared" si="1"/>
        <v>0</v>
      </c>
      <c r="P35" s="29">
        <f t="shared" si="1"/>
        <v>0.46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7.9824999999999982</v>
      </c>
      <c r="C36" s="28">
        <f t="shared" si="2"/>
        <v>2.9883333333333337</v>
      </c>
      <c r="D36" s="28">
        <f t="shared" si="2"/>
        <v>11.732500000000002</v>
      </c>
      <c r="E36" s="28">
        <f t="shared" si="2"/>
        <v>4.3466666666666667</v>
      </c>
      <c r="F36" s="28">
        <f t="shared" si="2"/>
        <v>4.3383333333333338</v>
      </c>
      <c r="G36" s="28">
        <f t="shared" si="2"/>
        <v>14.283750000000003</v>
      </c>
      <c r="H36" s="28">
        <f t="shared" si="2"/>
        <v>3.3970833333333332</v>
      </c>
      <c r="I36" s="28">
        <f t="shared" si="2"/>
        <v>1.65625</v>
      </c>
      <c r="J36" s="28">
        <f t="shared" si="2"/>
        <v>0.24</v>
      </c>
      <c r="K36" s="28">
        <f t="shared" si="2"/>
        <v>303.54916666666668</v>
      </c>
      <c r="L36" s="28">
        <f t="shared" si="2"/>
        <v>25.659583333333334</v>
      </c>
      <c r="M36" s="28">
        <f t="shared" si="2"/>
        <v>103.62583333333333</v>
      </c>
      <c r="N36" s="28">
        <f t="shared" si="2"/>
        <v>90.920833333333348</v>
      </c>
      <c r="O36" s="28">
        <f t="shared" si="2"/>
        <v>0</v>
      </c>
      <c r="P36" s="28">
        <f t="shared" si="2"/>
        <v>0.33124999999999999</v>
      </c>
      <c r="Q36" s="28">
        <f t="shared" si="2"/>
        <v>9.5429166666666685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2.2116293423234467E-2</v>
      </c>
      <c r="C37" s="28">
        <f t="shared" ref="C37:Q37" si="3">STDEV(C9:C32)</f>
        <v>2.7610122067453946E-2</v>
      </c>
      <c r="D37" s="28">
        <f t="shared" si="3"/>
        <v>2.5917930674241411E-2</v>
      </c>
      <c r="E37" s="28">
        <f t="shared" si="3"/>
        <v>0.41910532728935679</v>
      </c>
      <c r="F37" s="28">
        <f t="shared" si="3"/>
        <v>0.57120518407909648</v>
      </c>
      <c r="G37" s="28">
        <f t="shared" si="3"/>
        <v>7.9422069063628777</v>
      </c>
      <c r="H37" s="28">
        <f t="shared" si="3"/>
        <v>2.303472764189392</v>
      </c>
      <c r="I37" s="28">
        <f t="shared" si="3"/>
        <v>0.68044622507395158</v>
      </c>
      <c r="J37" s="28">
        <f t="shared" si="3"/>
        <v>0.11676807187196193</v>
      </c>
      <c r="K37" s="28">
        <f t="shared" si="3"/>
        <v>94.742075447738245</v>
      </c>
      <c r="L37" s="28">
        <f t="shared" si="3"/>
        <v>1.287952467279369</v>
      </c>
      <c r="M37" s="28">
        <f t="shared" si="3"/>
        <v>2.5055484805538679</v>
      </c>
      <c r="N37" s="28">
        <f t="shared" si="3"/>
        <v>81.835768618387846</v>
      </c>
      <c r="O37" s="28">
        <f t="shared" si="3"/>
        <v>0</v>
      </c>
      <c r="P37" s="28">
        <f t="shared" si="3"/>
        <v>7.8867665717023583E-2</v>
      </c>
      <c r="Q37" s="28">
        <f t="shared" si="3"/>
        <v>5.6528497366308612E-2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9"/>
      <c r="B8" s="60" t="s">
        <v>22</v>
      </c>
      <c r="C8" s="60" t="s">
        <v>22</v>
      </c>
      <c r="D8" s="29" t="s">
        <v>42</v>
      </c>
      <c r="E8" s="60" t="s">
        <v>22</v>
      </c>
      <c r="F8" s="60" t="s">
        <v>22</v>
      </c>
      <c r="G8" s="60" t="s">
        <v>23</v>
      </c>
      <c r="H8" s="60" t="s">
        <v>22</v>
      </c>
      <c r="I8" s="60" t="s">
        <v>22</v>
      </c>
      <c r="J8" s="60" t="s">
        <v>24</v>
      </c>
      <c r="K8" s="60" t="s">
        <v>25</v>
      </c>
      <c r="L8" s="59" t="s">
        <v>27</v>
      </c>
      <c r="M8" s="60" t="s">
        <v>26</v>
      </c>
      <c r="N8" s="60" t="s">
        <v>28</v>
      </c>
      <c r="O8" s="59" t="s">
        <v>29</v>
      </c>
      <c r="P8" s="60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660</v>
      </c>
      <c r="B9" s="52">
        <v>8</v>
      </c>
      <c r="C9" s="52">
        <v>3.01</v>
      </c>
      <c r="D9" s="52">
        <v>11.76</v>
      </c>
      <c r="E9" s="52">
        <v>4.8899999999999997</v>
      </c>
      <c r="F9" s="52">
        <v>3.49</v>
      </c>
      <c r="G9" s="52">
        <v>25.7</v>
      </c>
      <c r="H9" s="52">
        <v>20.59</v>
      </c>
      <c r="I9" s="52">
        <v>3.31</v>
      </c>
      <c r="J9" s="52">
        <v>0.38</v>
      </c>
      <c r="K9" s="52">
        <v>152.36000000000001</v>
      </c>
      <c r="L9" s="52">
        <v>25.38</v>
      </c>
      <c r="M9" s="52">
        <v>104.8</v>
      </c>
      <c r="N9" s="52">
        <v>25.3</v>
      </c>
      <c r="O9" s="52">
        <v>0</v>
      </c>
      <c r="P9" s="52">
        <v>0.4</v>
      </c>
      <c r="Q9" s="52">
        <v>9.68</v>
      </c>
      <c r="R9" s="43"/>
      <c r="S9" s="43"/>
      <c r="T9" s="43"/>
      <c r="U9" s="43"/>
    </row>
    <row r="10" spans="1:21" s="11" customFormat="1" x14ac:dyDescent="0.25">
      <c r="A10" s="51" t="s">
        <v>661</v>
      </c>
      <c r="B10" s="52">
        <v>8</v>
      </c>
      <c r="C10" s="52">
        <v>2.97</v>
      </c>
      <c r="D10" s="52">
        <v>11.75</v>
      </c>
      <c r="E10" s="52">
        <v>4.84</v>
      </c>
      <c r="F10" s="52">
        <v>4.3099999999999996</v>
      </c>
      <c r="G10" s="52">
        <v>21.41</v>
      </c>
      <c r="H10" s="52">
        <v>20.59</v>
      </c>
      <c r="I10" s="52">
        <v>3.62</v>
      </c>
      <c r="J10" s="52">
        <v>0.31</v>
      </c>
      <c r="K10" s="52">
        <v>145.41999999999999</v>
      </c>
      <c r="L10" s="52">
        <v>25.12</v>
      </c>
      <c r="M10" s="52">
        <v>104.82</v>
      </c>
      <c r="N10" s="52">
        <v>25.2</v>
      </c>
      <c r="O10" s="52">
        <v>0</v>
      </c>
      <c r="P10" s="52">
        <v>0.37</v>
      </c>
      <c r="Q10" s="52">
        <v>9.67</v>
      </c>
      <c r="R10" s="43"/>
      <c r="S10" s="43"/>
      <c r="T10" s="43"/>
      <c r="U10" s="43"/>
    </row>
    <row r="11" spans="1:21" s="11" customFormat="1" x14ac:dyDescent="0.25">
      <c r="A11" s="51" t="s">
        <v>662</v>
      </c>
      <c r="B11" s="52">
        <v>7.98</v>
      </c>
      <c r="C11" s="52">
        <v>3</v>
      </c>
      <c r="D11" s="52">
        <v>11.72</v>
      </c>
      <c r="E11" s="52">
        <v>4.92</v>
      </c>
      <c r="F11" s="52">
        <v>4.0599999999999996</v>
      </c>
      <c r="G11" s="52">
        <v>18.79</v>
      </c>
      <c r="H11" s="52">
        <v>14.36</v>
      </c>
      <c r="I11" s="52">
        <v>3.48</v>
      </c>
      <c r="J11" s="52">
        <v>0.06</v>
      </c>
      <c r="K11" s="52">
        <v>328.71</v>
      </c>
      <c r="L11" s="52">
        <v>25.03</v>
      </c>
      <c r="M11" s="52">
        <v>104.84</v>
      </c>
      <c r="N11" s="52">
        <v>25.1</v>
      </c>
      <c r="O11" s="52">
        <v>0</v>
      </c>
      <c r="P11" s="52">
        <v>0.34</v>
      </c>
      <c r="Q11" s="52">
        <v>9.6</v>
      </c>
      <c r="R11" s="43"/>
      <c r="S11" s="43"/>
      <c r="T11" s="43"/>
      <c r="U11" s="43"/>
    </row>
    <row r="12" spans="1:21" s="11" customFormat="1" x14ac:dyDescent="0.25">
      <c r="A12" s="51" t="s">
        <v>663</v>
      </c>
      <c r="B12" s="52">
        <v>7.99</v>
      </c>
      <c r="C12" s="52">
        <v>3</v>
      </c>
      <c r="D12" s="52">
        <v>11.75</v>
      </c>
      <c r="E12" s="52">
        <v>4.68</v>
      </c>
      <c r="F12" s="52">
        <v>3.95</v>
      </c>
      <c r="G12" s="52">
        <v>13.77</v>
      </c>
      <c r="H12" s="52">
        <v>14.36</v>
      </c>
      <c r="I12" s="52">
        <v>3.08</v>
      </c>
      <c r="J12" s="52">
        <v>0.46</v>
      </c>
      <c r="K12" s="52">
        <v>145.97999999999999</v>
      </c>
      <c r="L12" s="52">
        <v>24.93</v>
      </c>
      <c r="M12" s="52">
        <v>104.88</v>
      </c>
      <c r="N12" s="52">
        <v>25.1</v>
      </c>
      <c r="O12" s="52">
        <v>0</v>
      </c>
      <c r="P12" s="52">
        <v>0.31</v>
      </c>
      <c r="Q12" s="52">
        <v>9.57</v>
      </c>
      <c r="R12" s="43"/>
      <c r="S12" s="43"/>
      <c r="T12" s="43"/>
      <c r="U12" s="43"/>
    </row>
    <row r="13" spans="1:21" s="11" customFormat="1" x14ac:dyDescent="0.25">
      <c r="A13" s="51" t="s">
        <v>664</v>
      </c>
      <c r="B13" s="52">
        <v>7.99</v>
      </c>
      <c r="C13" s="52">
        <v>2.97</v>
      </c>
      <c r="D13" s="52">
        <v>11.73</v>
      </c>
      <c r="E13" s="52">
        <v>4.6100000000000003</v>
      </c>
      <c r="F13" s="52">
        <v>3.82</v>
      </c>
      <c r="G13" s="52">
        <v>11.43</v>
      </c>
      <c r="H13" s="52">
        <v>10.130000000000001</v>
      </c>
      <c r="I13" s="52">
        <v>3.15</v>
      </c>
      <c r="J13" s="52">
        <v>0.26</v>
      </c>
      <c r="K13" s="52">
        <v>150.43</v>
      </c>
      <c r="L13" s="52">
        <v>24.93</v>
      </c>
      <c r="M13" s="52">
        <v>104.89</v>
      </c>
      <c r="N13" s="52">
        <v>25</v>
      </c>
      <c r="O13" s="52">
        <v>0</v>
      </c>
      <c r="P13" s="52">
        <v>0.28999999999999998</v>
      </c>
      <c r="Q13" s="52">
        <v>9.59</v>
      </c>
      <c r="R13" s="43"/>
      <c r="S13" s="43"/>
      <c r="T13" s="43"/>
      <c r="U13" s="43"/>
    </row>
    <row r="14" spans="1:21" s="11" customFormat="1" x14ac:dyDescent="0.25">
      <c r="A14" s="51" t="s">
        <v>665</v>
      </c>
      <c r="B14" s="52">
        <v>8.0299999999999994</v>
      </c>
      <c r="C14" s="52">
        <v>2.97</v>
      </c>
      <c r="D14" s="52">
        <v>11.75</v>
      </c>
      <c r="E14" s="52">
        <v>4.79</v>
      </c>
      <c r="F14" s="52">
        <v>3.72</v>
      </c>
      <c r="G14" s="52">
        <v>12.68</v>
      </c>
      <c r="H14" s="52">
        <v>7.09</v>
      </c>
      <c r="I14" s="52">
        <v>3.58</v>
      </c>
      <c r="J14" s="52">
        <v>0.28000000000000003</v>
      </c>
      <c r="K14" s="52">
        <v>353.99</v>
      </c>
      <c r="L14" s="52">
        <v>24.95</v>
      </c>
      <c r="M14" s="52">
        <v>104.96</v>
      </c>
      <c r="N14" s="52">
        <v>29.4</v>
      </c>
      <c r="O14" s="52">
        <v>0</v>
      </c>
      <c r="P14" s="52">
        <v>0.27</v>
      </c>
      <c r="Q14" s="52">
        <v>9.64</v>
      </c>
      <c r="R14" s="43"/>
      <c r="S14" s="43"/>
      <c r="T14" s="43"/>
      <c r="U14" s="43"/>
    </row>
    <row r="15" spans="1:21" s="11" customFormat="1" x14ac:dyDescent="0.25">
      <c r="A15" s="51" t="s">
        <v>666</v>
      </c>
      <c r="B15" s="52">
        <v>7.96</v>
      </c>
      <c r="C15" s="52">
        <v>2.96</v>
      </c>
      <c r="D15" s="52">
        <v>11.69</v>
      </c>
      <c r="E15" s="52">
        <v>4.82</v>
      </c>
      <c r="F15" s="52">
        <v>3.9</v>
      </c>
      <c r="G15" s="52">
        <v>12.68</v>
      </c>
      <c r="H15" s="52">
        <v>4.97</v>
      </c>
      <c r="I15" s="52">
        <v>3.77</v>
      </c>
      <c r="J15" s="52">
        <v>0.2</v>
      </c>
      <c r="K15" s="52">
        <v>351.07</v>
      </c>
      <c r="L15" s="52">
        <v>25.39</v>
      </c>
      <c r="M15" s="52">
        <v>104.97</v>
      </c>
      <c r="N15" s="52">
        <v>83.6</v>
      </c>
      <c r="O15" s="52">
        <v>0</v>
      </c>
      <c r="P15" s="52">
        <v>0.27</v>
      </c>
      <c r="Q15" s="52">
        <v>9.61</v>
      </c>
      <c r="R15" s="43"/>
      <c r="S15" s="43"/>
      <c r="T15" s="43"/>
      <c r="U15" s="43"/>
    </row>
    <row r="16" spans="1:21" s="11" customFormat="1" x14ac:dyDescent="0.25">
      <c r="A16" s="51" t="s">
        <v>667</v>
      </c>
      <c r="B16" s="52">
        <v>7.98</v>
      </c>
      <c r="C16" s="52">
        <v>2.98</v>
      </c>
      <c r="D16" s="52">
        <v>11.73</v>
      </c>
      <c r="E16" s="52">
        <v>5.17</v>
      </c>
      <c r="F16" s="52">
        <v>3.76</v>
      </c>
      <c r="G16" s="52">
        <v>14.64</v>
      </c>
      <c r="H16" s="52">
        <v>3.48</v>
      </c>
      <c r="I16" s="52">
        <v>3.13</v>
      </c>
      <c r="J16" s="52">
        <v>0.22</v>
      </c>
      <c r="K16" s="52">
        <v>356.44</v>
      </c>
      <c r="L16" s="52">
        <v>26.33</v>
      </c>
      <c r="M16" s="52">
        <v>104.97</v>
      </c>
      <c r="N16" s="52">
        <v>166.3</v>
      </c>
      <c r="O16" s="52">
        <v>0</v>
      </c>
      <c r="P16" s="52">
        <v>0.3</v>
      </c>
      <c r="Q16" s="52">
        <v>9.61</v>
      </c>
      <c r="R16" s="43"/>
      <c r="S16" s="43"/>
      <c r="T16" s="43"/>
      <c r="U16" s="43"/>
    </row>
    <row r="17" spans="1:21" s="11" customFormat="1" x14ac:dyDescent="0.25">
      <c r="A17" s="51" t="s">
        <v>668</v>
      </c>
      <c r="B17" s="52">
        <v>8.02</v>
      </c>
      <c r="C17" s="52">
        <v>3.04</v>
      </c>
      <c r="D17" s="52">
        <v>11.8</v>
      </c>
      <c r="E17" s="52">
        <v>5.37</v>
      </c>
      <c r="F17" s="52">
        <v>3.66</v>
      </c>
      <c r="G17" s="52">
        <v>14.64</v>
      </c>
      <c r="H17" s="52">
        <v>26.86</v>
      </c>
      <c r="I17" s="52">
        <v>2.48</v>
      </c>
      <c r="J17" s="52">
        <v>0.15</v>
      </c>
      <c r="K17" s="52">
        <v>348.87</v>
      </c>
      <c r="L17" s="52">
        <v>26.65</v>
      </c>
      <c r="M17" s="52">
        <v>104.32</v>
      </c>
      <c r="N17" s="52">
        <v>204</v>
      </c>
      <c r="O17" s="52">
        <v>0</v>
      </c>
      <c r="P17" s="52">
        <v>0.28999999999999998</v>
      </c>
      <c r="Q17" s="52">
        <v>9.59</v>
      </c>
      <c r="R17" s="43"/>
      <c r="S17" s="43"/>
      <c r="T17" s="43"/>
      <c r="U17" s="43"/>
    </row>
    <row r="18" spans="1:21" s="11" customFormat="1" x14ac:dyDescent="0.25">
      <c r="A18" s="51" t="s">
        <v>669</v>
      </c>
      <c r="B18" s="52">
        <v>8.02</v>
      </c>
      <c r="C18" s="52">
        <v>2.99</v>
      </c>
      <c r="D18" s="52">
        <v>11.77</v>
      </c>
      <c r="E18" s="52">
        <v>5.41</v>
      </c>
      <c r="F18" s="52">
        <v>3.8</v>
      </c>
      <c r="G18" s="52">
        <v>15.74</v>
      </c>
      <c r="H18" s="52">
        <v>30.8</v>
      </c>
      <c r="I18" s="52">
        <v>1.93</v>
      </c>
      <c r="J18" s="52">
        <v>0.27</v>
      </c>
      <c r="K18" s="52">
        <v>349.84</v>
      </c>
      <c r="L18" s="52">
        <v>27.38</v>
      </c>
      <c r="M18" s="52">
        <v>101.33</v>
      </c>
      <c r="N18" s="52">
        <v>220.3</v>
      </c>
      <c r="O18" s="52">
        <v>0</v>
      </c>
      <c r="P18" s="52">
        <v>0.31</v>
      </c>
      <c r="Q18" s="52">
        <v>9.58</v>
      </c>
      <c r="R18" s="43"/>
      <c r="S18" s="43"/>
      <c r="T18" s="43"/>
      <c r="U18" s="43"/>
    </row>
    <row r="19" spans="1:21" s="11" customFormat="1" x14ac:dyDescent="0.25">
      <c r="A19" s="51" t="s">
        <v>670</v>
      </c>
      <c r="B19" s="52">
        <v>7.97</v>
      </c>
      <c r="C19" s="52">
        <v>3</v>
      </c>
      <c r="D19" s="52">
        <v>11.73</v>
      </c>
      <c r="E19" s="52">
        <v>5.41</v>
      </c>
      <c r="F19" s="52">
        <v>4.75</v>
      </c>
      <c r="G19" s="52">
        <v>15.74</v>
      </c>
      <c r="H19" s="52">
        <v>30.8</v>
      </c>
      <c r="I19" s="52">
        <v>1.45</v>
      </c>
      <c r="J19" s="52">
        <v>0.28999999999999998</v>
      </c>
      <c r="K19" s="52">
        <v>353.67</v>
      </c>
      <c r="L19" s="52">
        <v>28.12</v>
      </c>
      <c r="M19" s="52">
        <v>98.5</v>
      </c>
      <c r="N19" s="52">
        <v>209.6</v>
      </c>
      <c r="O19" s="52">
        <v>0</v>
      </c>
      <c r="P19" s="52">
        <v>0.35</v>
      </c>
      <c r="Q19" s="52">
        <v>9.57</v>
      </c>
      <c r="R19" s="43"/>
      <c r="S19" s="43"/>
      <c r="T19" s="43"/>
      <c r="U19" s="43"/>
    </row>
    <row r="20" spans="1:21" s="11" customFormat="1" x14ac:dyDescent="0.25">
      <c r="A20" s="51" t="s">
        <v>671</v>
      </c>
      <c r="B20" s="52">
        <v>7.97</v>
      </c>
      <c r="C20" s="52">
        <v>3.01</v>
      </c>
      <c r="D20" s="52">
        <v>11.74</v>
      </c>
      <c r="E20" s="52">
        <v>5.41</v>
      </c>
      <c r="F20" s="52">
        <v>6.4</v>
      </c>
      <c r="G20" s="54" t="s">
        <v>12</v>
      </c>
      <c r="H20" s="54" t="s">
        <v>12</v>
      </c>
      <c r="I20" s="52">
        <v>1.25</v>
      </c>
      <c r="J20" s="52">
        <v>0.37</v>
      </c>
      <c r="K20" s="52">
        <v>353.93</v>
      </c>
      <c r="L20" s="52">
        <v>29.93</v>
      </c>
      <c r="M20" s="52">
        <v>92.66</v>
      </c>
      <c r="N20" s="52">
        <v>474</v>
      </c>
      <c r="O20" s="52">
        <v>0</v>
      </c>
      <c r="P20" s="52">
        <v>0.37</v>
      </c>
      <c r="Q20" s="52">
        <v>9.58</v>
      </c>
      <c r="R20" s="43"/>
      <c r="S20" s="43"/>
      <c r="T20" s="43"/>
      <c r="U20" s="43"/>
    </row>
    <row r="21" spans="1:21" s="11" customFormat="1" x14ac:dyDescent="0.25">
      <c r="A21" s="51" t="s">
        <v>672</v>
      </c>
      <c r="B21" s="52">
        <v>9.35</v>
      </c>
      <c r="C21" s="52">
        <v>3.91</v>
      </c>
      <c r="D21" s="52">
        <v>13.32</v>
      </c>
      <c r="E21" s="52">
        <v>5.41</v>
      </c>
      <c r="F21" s="52">
        <v>5.53</v>
      </c>
      <c r="G21" s="54" t="s">
        <v>12</v>
      </c>
      <c r="H21" s="54" t="s">
        <v>12</v>
      </c>
      <c r="I21" s="52">
        <v>5.15</v>
      </c>
      <c r="J21" s="52">
        <v>0.35</v>
      </c>
      <c r="K21" s="52">
        <v>346.4</v>
      </c>
      <c r="L21" s="52">
        <v>30.55</v>
      </c>
      <c r="M21" s="52">
        <v>81.67</v>
      </c>
      <c r="N21" s="52">
        <v>559.4</v>
      </c>
      <c r="O21" s="52">
        <v>0</v>
      </c>
      <c r="P21" s="52">
        <v>0.34</v>
      </c>
      <c r="Q21" s="52">
        <v>9.49</v>
      </c>
      <c r="R21" s="43"/>
      <c r="S21" s="43"/>
      <c r="T21" s="43"/>
      <c r="U21" s="43"/>
    </row>
    <row r="22" spans="1:21" s="11" customFormat="1" x14ac:dyDescent="0.25">
      <c r="A22" s="51" t="s">
        <v>673</v>
      </c>
      <c r="B22" s="52">
        <v>8.0399999999999991</v>
      </c>
      <c r="C22" s="52">
        <v>3.03</v>
      </c>
      <c r="D22" s="52">
        <v>11.8</v>
      </c>
      <c r="E22" s="52">
        <v>5.41</v>
      </c>
      <c r="F22" s="52">
        <v>6.64</v>
      </c>
      <c r="G22" s="54" t="s">
        <v>12</v>
      </c>
      <c r="H22" s="54" t="s">
        <v>12</v>
      </c>
      <c r="I22" s="52">
        <v>6.67</v>
      </c>
      <c r="J22" s="52">
        <v>0.26</v>
      </c>
      <c r="K22" s="52">
        <v>333.2</v>
      </c>
      <c r="L22" s="52">
        <v>31.33</v>
      </c>
      <c r="M22" s="52">
        <v>80.33</v>
      </c>
      <c r="N22" s="52">
        <v>555.4</v>
      </c>
      <c r="O22" s="52">
        <v>0</v>
      </c>
      <c r="P22" s="52">
        <v>0.32</v>
      </c>
      <c r="Q22" s="52">
        <v>9.5</v>
      </c>
      <c r="R22" s="43"/>
      <c r="S22" s="43"/>
      <c r="T22" s="43"/>
      <c r="U22" s="43"/>
    </row>
    <row r="23" spans="1:21" s="11" customFormat="1" x14ac:dyDescent="0.25">
      <c r="A23" s="51" t="s">
        <v>674</v>
      </c>
      <c r="B23" s="52">
        <v>7.96</v>
      </c>
      <c r="C23" s="52">
        <v>2.98</v>
      </c>
      <c r="D23" s="52">
        <v>11.71</v>
      </c>
      <c r="E23" s="52">
        <v>3.53</v>
      </c>
      <c r="F23" s="52">
        <v>6.15</v>
      </c>
      <c r="G23" s="54" t="s">
        <v>12</v>
      </c>
      <c r="H23" s="54" t="s">
        <v>12</v>
      </c>
      <c r="I23" s="52">
        <v>3.88</v>
      </c>
      <c r="J23" s="52">
        <v>0.39</v>
      </c>
      <c r="K23" s="52">
        <v>345.6</v>
      </c>
      <c r="L23" s="52">
        <v>30.86</v>
      </c>
      <c r="M23" s="52">
        <v>80.16</v>
      </c>
      <c r="N23" s="52">
        <v>263.39999999999998</v>
      </c>
      <c r="O23" s="52">
        <v>0</v>
      </c>
      <c r="P23" s="52">
        <v>0.35</v>
      </c>
      <c r="Q23" s="52">
        <v>9.6199999999999992</v>
      </c>
      <c r="R23" s="43"/>
      <c r="S23" s="43"/>
      <c r="T23" s="43"/>
      <c r="U23" s="43"/>
    </row>
    <row r="24" spans="1:21" s="11" customFormat="1" x14ac:dyDescent="0.25">
      <c r="A24" s="51" t="s">
        <v>675</v>
      </c>
      <c r="B24" s="52">
        <v>7.94</v>
      </c>
      <c r="C24" s="52">
        <v>2.96</v>
      </c>
      <c r="D24" s="52">
        <v>11.69</v>
      </c>
      <c r="E24" s="52">
        <v>5.38</v>
      </c>
      <c r="F24" s="52">
        <v>5.43</v>
      </c>
      <c r="G24" s="54" t="s">
        <v>12</v>
      </c>
      <c r="H24" s="54" t="s">
        <v>12</v>
      </c>
      <c r="I24" s="52">
        <v>2.0499999999999998</v>
      </c>
      <c r="J24" s="52">
        <v>0.35</v>
      </c>
      <c r="K24" s="52">
        <v>349.99</v>
      </c>
      <c r="L24" s="52">
        <v>30.5</v>
      </c>
      <c r="M24" s="52">
        <v>80.430000000000007</v>
      </c>
      <c r="N24" s="52">
        <v>162.4</v>
      </c>
      <c r="O24" s="52">
        <v>0</v>
      </c>
      <c r="P24" s="52">
        <v>0.36</v>
      </c>
      <c r="Q24" s="52">
        <v>9.57</v>
      </c>
      <c r="R24" s="43"/>
      <c r="S24" s="43"/>
      <c r="T24" s="43"/>
      <c r="U24" s="43"/>
    </row>
    <row r="25" spans="1:21" s="11" customFormat="1" x14ac:dyDescent="0.25">
      <c r="A25" s="51" t="s">
        <v>676</v>
      </c>
      <c r="B25" s="52">
        <v>8</v>
      </c>
      <c r="C25" s="52">
        <v>3.01</v>
      </c>
      <c r="D25" s="52">
        <v>11.76</v>
      </c>
      <c r="E25" s="52">
        <v>5.73</v>
      </c>
      <c r="F25" s="52">
        <v>4.25</v>
      </c>
      <c r="G25" s="52">
        <v>42.5</v>
      </c>
      <c r="H25" s="52">
        <v>6.34</v>
      </c>
      <c r="I25" s="52">
        <v>1.59</v>
      </c>
      <c r="J25" s="52">
        <v>0.28000000000000003</v>
      </c>
      <c r="K25" s="52">
        <v>358.43</v>
      </c>
      <c r="L25" s="52">
        <v>29.98</v>
      </c>
      <c r="M25" s="52">
        <v>83.04</v>
      </c>
      <c r="N25" s="52">
        <v>126.7</v>
      </c>
      <c r="O25" s="52">
        <v>0</v>
      </c>
      <c r="P25" s="52">
        <v>0.36</v>
      </c>
      <c r="Q25" s="52">
        <v>9.58</v>
      </c>
      <c r="R25" s="43"/>
      <c r="S25" s="43"/>
      <c r="T25" s="43"/>
      <c r="U25" s="43"/>
    </row>
    <row r="26" spans="1:21" s="11" customFormat="1" x14ac:dyDescent="0.25">
      <c r="A26" s="51" t="s">
        <v>677</v>
      </c>
      <c r="B26" s="52">
        <v>8.01</v>
      </c>
      <c r="C26" s="52">
        <v>3</v>
      </c>
      <c r="D26" s="52">
        <v>11.76</v>
      </c>
      <c r="E26" s="52">
        <v>5.88</v>
      </c>
      <c r="F26" s="52">
        <v>4.24</v>
      </c>
      <c r="G26" s="52">
        <v>36.770000000000003</v>
      </c>
      <c r="H26" s="52">
        <v>11.67</v>
      </c>
      <c r="I26" s="52">
        <v>1.36</v>
      </c>
      <c r="J26" s="52">
        <v>0.32</v>
      </c>
      <c r="K26" s="52">
        <v>359.41</v>
      </c>
      <c r="L26" s="52">
        <v>29.51</v>
      </c>
      <c r="M26" s="52">
        <v>86.24</v>
      </c>
      <c r="N26" s="52">
        <v>62.3</v>
      </c>
      <c r="O26" s="52">
        <v>0</v>
      </c>
      <c r="P26" s="52">
        <v>0.37</v>
      </c>
      <c r="Q26" s="52">
        <v>9.56</v>
      </c>
      <c r="R26" s="43"/>
      <c r="S26" s="43"/>
      <c r="T26" s="43"/>
      <c r="U26" s="43"/>
    </row>
    <row r="27" spans="1:21" s="11" customFormat="1" x14ac:dyDescent="0.25">
      <c r="A27" s="51" t="s">
        <v>678</v>
      </c>
      <c r="B27" s="52">
        <v>7.97</v>
      </c>
      <c r="C27" s="52">
        <v>2.97</v>
      </c>
      <c r="D27" s="52">
        <v>11.7</v>
      </c>
      <c r="E27" s="52">
        <v>6</v>
      </c>
      <c r="F27" s="52">
        <v>5.2</v>
      </c>
      <c r="G27" s="52">
        <v>32.770000000000003</v>
      </c>
      <c r="H27" s="52">
        <v>11.67</v>
      </c>
      <c r="I27" s="52">
        <v>1.49</v>
      </c>
      <c r="J27" s="52">
        <v>0.25</v>
      </c>
      <c r="K27" s="52">
        <v>353.79</v>
      </c>
      <c r="L27" s="52">
        <v>28.74</v>
      </c>
      <c r="M27" s="52">
        <v>92.25</v>
      </c>
      <c r="N27" s="52">
        <v>32.4</v>
      </c>
      <c r="O27" s="52">
        <v>0</v>
      </c>
      <c r="P27" s="52">
        <v>0.42</v>
      </c>
      <c r="Q27" s="52">
        <v>9.6</v>
      </c>
      <c r="R27" s="43"/>
      <c r="S27" s="43"/>
      <c r="T27" s="43"/>
      <c r="U27" s="43"/>
    </row>
    <row r="28" spans="1:21" s="11" customFormat="1" x14ac:dyDescent="0.25">
      <c r="A28" s="51" t="s">
        <v>679</v>
      </c>
      <c r="B28" s="52">
        <v>7.99</v>
      </c>
      <c r="C28" s="52">
        <v>3.01</v>
      </c>
      <c r="D28" s="52">
        <v>11.74</v>
      </c>
      <c r="E28" s="52">
        <v>6.13</v>
      </c>
      <c r="F28" s="52">
        <v>3.97</v>
      </c>
      <c r="G28" s="52">
        <v>32.81</v>
      </c>
      <c r="H28" s="52">
        <v>13.13</v>
      </c>
      <c r="I28" s="52">
        <v>1.86</v>
      </c>
      <c r="J28" s="52">
        <v>0.14000000000000001</v>
      </c>
      <c r="K28" s="52">
        <v>244.11</v>
      </c>
      <c r="L28" s="52">
        <v>28.07</v>
      </c>
      <c r="M28" s="52">
        <v>97.12</v>
      </c>
      <c r="N28" s="52">
        <v>25.7</v>
      </c>
      <c r="O28" s="52">
        <v>0</v>
      </c>
      <c r="P28" s="52">
        <v>0.45</v>
      </c>
      <c r="Q28" s="52">
        <v>9.56</v>
      </c>
      <c r="R28" s="43"/>
      <c r="S28" s="43"/>
      <c r="T28" s="43"/>
      <c r="U28" s="43"/>
    </row>
    <row r="29" spans="1:21" s="11" customFormat="1" x14ac:dyDescent="0.25">
      <c r="A29" s="51" t="s">
        <v>680</v>
      </c>
      <c r="B29" s="52">
        <v>7.99</v>
      </c>
      <c r="C29" s="52">
        <v>3</v>
      </c>
      <c r="D29" s="52">
        <v>11.75</v>
      </c>
      <c r="E29" s="52">
        <v>4.3499999999999996</v>
      </c>
      <c r="F29" s="52">
        <v>3.69</v>
      </c>
      <c r="G29" s="52">
        <v>33.630000000000003</v>
      </c>
      <c r="H29" s="52">
        <v>13.32</v>
      </c>
      <c r="I29" s="52">
        <v>2.44</v>
      </c>
      <c r="J29" s="52">
        <v>0.26</v>
      </c>
      <c r="K29" s="52">
        <v>348.6</v>
      </c>
      <c r="L29" s="52">
        <v>27.91</v>
      </c>
      <c r="M29" s="52">
        <v>103.37</v>
      </c>
      <c r="N29" s="52">
        <v>26.3</v>
      </c>
      <c r="O29" s="52">
        <v>0</v>
      </c>
      <c r="P29" s="52">
        <v>0.48</v>
      </c>
      <c r="Q29" s="52">
        <v>9.58</v>
      </c>
      <c r="R29" s="43"/>
      <c r="S29" s="43"/>
      <c r="T29" s="43"/>
      <c r="U29" s="43"/>
    </row>
    <row r="30" spans="1:21" s="11" customFormat="1" x14ac:dyDescent="0.25">
      <c r="A30" s="51" t="s">
        <v>681</v>
      </c>
      <c r="B30" s="52">
        <v>8.02</v>
      </c>
      <c r="C30" s="52">
        <v>3.02</v>
      </c>
      <c r="D30" s="52">
        <v>11.78</v>
      </c>
      <c r="E30" s="52">
        <v>4.26</v>
      </c>
      <c r="F30" s="52">
        <v>3.62</v>
      </c>
      <c r="G30" s="52">
        <v>33.67</v>
      </c>
      <c r="H30" s="52">
        <v>19.21</v>
      </c>
      <c r="I30" s="52">
        <v>2.5499999999999998</v>
      </c>
      <c r="J30" s="52">
        <v>0.22</v>
      </c>
      <c r="K30" s="52">
        <v>353.34</v>
      </c>
      <c r="L30" s="52">
        <v>26.8</v>
      </c>
      <c r="M30" s="52">
        <v>104.67</v>
      </c>
      <c r="N30" s="52">
        <v>25.8</v>
      </c>
      <c r="O30" s="52">
        <v>0</v>
      </c>
      <c r="P30" s="52">
        <v>0.48</v>
      </c>
      <c r="Q30" s="52">
        <v>9.59</v>
      </c>
      <c r="R30" s="43"/>
      <c r="S30" s="43"/>
      <c r="T30" s="43"/>
      <c r="U30" s="43"/>
    </row>
    <row r="31" spans="1:21" s="11" customFormat="1" x14ac:dyDescent="0.25">
      <c r="A31" s="51" t="s">
        <v>682</v>
      </c>
      <c r="B31" s="52">
        <v>7.98</v>
      </c>
      <c r="C31" s="52">
        <v>3</v>
      </c>
      <c r="D31" s="52">
        <v>11.73</v>
      </c>
      <c r="E31" s="52">
        <v>4.41</v>
      </c>
      <c r="F31" s="52">
        <v>4.29</v>
      </c>
      <c r="G31" s="52">
        <v>31.19</v>
      </c>
      <c r="H31" s="52">
        <v>19.21</v>
      </c>
      <c r="I31" s="52">
        <v>3.18</v>
      </c>
      <c r="J31" s="52">
        <v>0.27</v>
      </c>
      <c r="K31" s="52">
        <v>321.85000000000002</v>
      </c>
      <c r="L31" s="52">
        <v>26.46</v>
      </c>
      <c r="M31" s="52">
        <v>105.05</v>
      </c>
      <c r="N31" s="52">
        <v>25.8</v>
      </c>
      <c r="O31" s="52">
        <v>0</v>
      </c>
      <c r="P31" s="52">
        <v>0.46</v>
      </c>
      <c r="Q31" s="52">
        <v>9.6</v>
      </c>
      <c r="R31" s="43"/>
      <c r="S31" s="43"/>
      <c r="T31" s="43"/>
      <c r="U31" s="43"/>
    </row>
    <row r="32" spans="1:21" s="11" customFormat="1" x14ac:dyDescent="0.25">
      <c r="A32" s="51" t="s">
        <v>683</v>
      </c>
      <c r="B32" s="52">
        <v>7.97</v>
      </c>
      <c r="C32" s="52">
        <v>2.98</v>
      </c>
      <c r="D32" s="52">
        <v>11.72</v>
      </c>
      <c r="E32" s="52">
        <v>5.6</v>
      </c>
      <c r="F32" s="52">
        <v>4.04</v>
      </c>
      <c r="G32" s="52">
        <v>30.47</v>
      </c>
      <c r="H32" s="52">
        <v>13.66</v>
      </c>
      <c r="I32" s="52">
        <v>3.19</v>
      </c>
      <c r="J32" s="52">
        <v>0.28999999999999998</v>
      </c>
      <c r="K32" s="52">
        <v>204.96</v>
      </c>
      <c r="L32" s="52">
        <v>26.04</v>
      </c>
      <c r="M32" s="52">
        <v>105.11</v>
      </c>
      <c r="N32" s="52">
        <v>25.7</v>
      </c>
      <c r="O32" s="52">
        <v>0</v>
      </c>
      <c r="P32" s="52">
        <v>0.45</v>
      </c>
      <c r="Q32" s="52">
        <v>9.5399999999999991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7.94</v>
      </c>
      <c r="C34" s="28">
        <f t="shared" si="0"/>
        <v>2.96</v>
      </c>
      <c r="D34" s="28">
        <f t="shared" si="0"/>
        <v>11.69</v>
      </c>
      <c r="E34" s="28">
        <f t="shared" si="0"/>
        <v>3.53</v>
      </c>
      <c r="F34" s="28">
        <f t="shared" si="0"/>
        <v>3.49</v>
      </c>
      <c r="G34" s="28">
        <f t="shared" si="0"/>
        <v>11.43</v>
      </c>
      <c r="H34" s="28">
        <f t="shared" si="0"/>
        <v>3.48</v>
      </c>
      <c r="I34" s="28">
        <f t="shared" si="0"/>
        <v>1.25</v>
      </c>
      <c r="J34" s="28">
        <f t="shared" si="0"/>
        <v>0.06</v>
      </c>
      <c r="K34" s="28">
        <f t="shared" si="0"/>
        <v>145.41999999999999</v>
      </c>
      <c r="L34" s="28">
        <f t="shared" si="0"/>
        <v>24.93</v>
      </c>
      <c r="M34" s="28">
        <f t="shared" si="0"/>
        <v>80.16</v>
      </c>
      <c r="N34" s="28">
        <f t="shared" si="0"/>
        <v>25</v>
      </c>
      <c r="O34" s="28">
        <f t="shared" si="0"/>
        <v>0</v>
      </c>
      <c r="P34" s="28">
        <f t="shared" si="0"/>
        <v>0.27</v>
      </c>
      <c r="Q34" s="28">
        <f t="shared" si="0"/>
        <v>9.49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9.35</v>
      </c>
      <c r="C35" s="29">
        <f t="shared" si="1"/>
        <v>3.91</v>
      </c>
      <c r="D35" s="29">
        <f t="shared" si="1"/>
        <v>13.32</v>
      </c>
      <c r="E35" s="29">
        <f t="shared" si="1"/>
        <v>6.13</v>
      </c>
      <c r="F35" s="29">
        <f t="shared" si="1"/>
        <v>6.64</v>
      </c>
      <c r="G35" s="29">
        <f t="shared" si="1"/>
        <v>42.5</v>
      </c>
      <c r="H35" s="29">
        <f t="shared" si="1"/>
        <v>30.8</v>
      </c>
      <c r="I35" s="29">
        <f t="shared" si="1"/>
        <v>6.67</v>
      </c>
      <c r="J35" s="29">
        <f t="shared" si="1"/>
        <v>0.46</v>
      </c>
      <c r="K35" s="29">
        <f t="shared" si="1"/>
        <v>359.41</v>
      </c>
      <c r="L35" s="29">
        <f t="shared" si="1"/>
        <v>31.33</v>
      </c>
      <c r="M35" s="29">
        <f t="shared" si="1"/>
        <v>105.11</v>
      </c>
      <c r="N35" s="29">
        <f t="shared" si="1"/>
        <v>559.4</v>
      </c>
      <c r="O35" s="29">
        <f t="shared" si="1"/>
        <v>0</v>
      </c>
      <c r="P35" s="29">
        <f t="shared" si="1"/>
        <v>0.48</v>
      </c>
      <c r="Q35" s="29">
        <f t="shared" si="1"/>
        <v>9.68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8.0470833333333331</v>
      </c>
      <c r="C36" s="28">
        <f t="shared" si="2"/>
        <v>3.032083333333333</v>
      </c>
      <c r="D36" s="28">
        <f t="shared" si="2"/>
        <v>11.807499999999999</v>
      </c>
      <c r="E36" s="28">
        <f t="shared" si="2"/>
        <v>5.100416666666665</v>
      </c>
      <c r="F36" s="28">
        <f t="shared" si="2"/>
        <v>4.444583333333334</v>
      </c>
      <c r="G36" s="28">
        <f t="shared" si="2"/>
        <v>23.738421052631576</v>
      </c>
      <c r="H36" s="28">
        <f t="shared" si="2"/>
        <v>15.381052631578948</v>
      </c>
      <c r="I36" s="28">
        <f t="shared" si="2"/>
        <v>2.9016666666666668</v>
      </c>
      <c r="J36" s="28">
        <f t="shared" si="2"/>
        <v>0.27625</v>
      </c>
      <c r="K36" s="28">
        <f t="shared" si="2"/>
        <v>304.59958333333333</v>
      </c>
      <c r="L36" s="28">
        <f t="shared" si="2"/>
        <v>27.537083333333332</v>
      </c>
      <c r="M36" s="28">
        <f t="shared" si="2"/>
        <v>97.307500000000019</v>
      </c>
      <c r="N36" s="28">
        <f t="shared" si="2"/>
        <v>141.84166666666667</v>
      </c>
      <c r="O36" s="28">
        <f t="shared" si="2"/>
        <v>0</v>
      </c>
      <c r="P36" s="28">
        <f t="shared" si="2"/>
        <v>0.36291666666666672</v>
      </c>
      <c r="Q36" s="28">
        <f t="shared" si="2"/>
        <v>9.5866666666666678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0.27859085110398107</v>
      </c>
      <c r="C37" s="28">
        <f t="shared" ref="C37:Q37" si="3">STDEV(C9:C32)</f>
        <v>0.18821770851091951</v>
      </c>
      <c r="D37" s="28">
        <f t="shared" si="3"/>
        <v>0.32350324237337558</v>
      </c>
      <c r="E37" s="28">
        <f t="shared" si="3"/>
        <v>0.61527992333407278</v>
      </c>
      <c r="F37" s="28">
        <f t="shared" si="3"/>
        <v>0.93576743286234987</v>
      </c>
      <c r="G37" s="28">
        <f t="shared" si="3"/>
        <v>10.015859237095441</v>
      </c>
      <c r="H37" s="28">
        <f t="shared" si="3"/>
        <v>8.030597663337975</v>
      </c>
      <c r="I37" s="28">
        <f t="shared" si="3"/>
        <v>1.2673926218701981</v>
      </c>
      <c r="J37" s="28">
        <f t="shared" si="3"/>
        <v>8.7367912724941904E-2</v>
      </c>
      <c r="K37" s="28">
        <f t="shared" si="3"/>
        <v>79.941155340726581</v>
      </c>
      <c r="L37" s="28">
        <f t="shared" si="3"/>
        <v>2.1766697322259079</v>
      </c>
      <c r="M37" s="28">
        <f t="shared" si="3"/>
        <v>9.8325551767761681</v>
      </c>
      <c r="N37" s="28">
        <f t="shared" si="3"/>
        <v>168.88981979943028</v>
      </c>
      <c r="O37" s="28">
        <f t="shared" si="3"/>
        <v>0</v>
      </c>
      <c r="P37" s="28">
        <f t="shared" si="3"/>
        <v>6.5107213696811508E-2</v>
      </c>
      <c r="Q37" s="28">
        <f t="shared" si="3"/>
        <v>4.310418789970117E-2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COUNT(G9:G32)+5</f>
        <v>24</v>
      </c>
      <c r="H38" s="32">
        <f>COUNT(H9:H32)+5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56" t="s">
        <v>22</v>
      </c>
      <c r="R8" s="27"/>
      <c r="S8" s="29"/>
      <c r="T8" s="27"/>
      <c r="U8" s="27"/>
    </row>
    <row r="9" spans="1:21" s="11" customFormat="1" x14ac:dyDescent="0.25">
      <c r="A9" s="51" t="s">
        <v>684</v>
      </c>
      <c r="B9" s="52">
        <v>7.96</v>
      </c>
      <c r="C9" s="52">
        <v>2.95</v>
      </c>
      <c r="D9" s="52">
        <v>11.69</v>
      </c>
      <c r="E9" s="52">
        <v>5.45</v>
      </c>
      <c r="F9" s="52">
        <v>4.08</v>
      </c>
      <c r="G9" s="52">
        <v>30.52</v>
      </c>
      <c r="H9" s="52">
        <v>13.66</v>
      </c>
      <c r="I9" s="52">
        <v>3.28</v>
      </c>
      <c r="J9" s="52">
        <v>0.08</v>
      </c>
      <c r="K9" s="52">
        <v>82.8</v>
      </c>
      <c r="L9" s="52">
        <v>26.06</v>
      </c>
      <c r="M9" s="52">
        <v>105.15</v>
      </c>
      <c r="N9" s="52">
        <v>25.4</v>
      </c>
      <c r="O9" s="52">
        <v>0</v>
      </c>
      <c r="P9" s="52">
        <v>0.42</v>
      </c>
      <c r="Q9" s="52">
        <v>9.5399999999999991</v>
      </c>
      <c r="R9" s="43"/>
      <c r="S9" s="43"/>
      <c r="T9" s="43"/>
      <c r="U9" s="43"/>
    </row>
    <row r="10" spans="1:21" s="11" customFormat="1" x14ac:dyDescent="0.25">
      <c r="A10" s="51" t="s">
        <v>685</v>
      </c>
      <c r="B10" s="52">
        <v>8</v>
      </c>
      <c r="C10" s="52">
        <v>2.99</v>
      </c>
      <c r="D10" s="52">
        <v>11.74</v>
      </c>
      <c r="E10" s="52">
        <v>5.17</v>
      </c>
      <c r="F10" s="52">
        <v>4.2</v>
      </c>
      <c r="G10" s="52">
        <v>25.67</v>
      </c>
      <c r="H10" s="52">
        <v>8.7100000000000009</v>
      </c>
      <c r="I10" s="52">
        <v>3.61</v>
      </c>
      <c r="J10" s="52">
        <v>0.12</v>
      </c>
      <c r="K10" s="52">
        <v>187.07</v>
      </c>
      <c r="L10" s="52">
        <v>26.05</v>
      </c>
      <c r="M10" s="52">
        <v>105.24</v>
      </c>
      <c r="N10" s="52">
        <v>25.5</v>
      </c>
      <c r="O10" s="52">
        <v>0</v>
      </c>
      <c r="P10" s="52">
        <v>0.39</v>
      </c>
      <c r="Q10" s="52">
        <v>9.6199999999999992</v>
      </c>
      <c r="R10" s="43"/>
      <c r="S10" s="43"/>
      <c r="T10" s="43"/>
      <c r="U10" s="43"/>
    </row>
    <row r="11" spans="1:21" s="11" customFormat="1" x14ac:dyDescent="0.25">
      <c r="A11" s="51" t="s">
        <v>686</v>
      </c>
      <c r="B11" s="52">
        <v>8.02</v>
      </c>
      <c r="C11" s="52">
        <v>3.02</v>
      </c>
      <c r="D11" s="52">
        <v>11.78</v>
      </c>
      <c r="E11" s="52">
        <v>5.32</v>
      </c>
      <c r="F11" s="52">
        <v>4.42</v>
      </c>
      <c r="G11" s="52">
        <v>25.15</v>
      </c>
      <c r="H11" s="52">
        <v>18.52</v>
      </c>
      <c r="I11" s="52">
        <v>3.9</v>
      </c>
      <c r="J11" s="52">
        <v>0.11</v>
      </c>
      <c r="K11" s="52">
        <v>225.82</v>
      </c>
      <c r="L11" s="52">
        <v>25.99</v>
      </c>
      <c r="M11" s="52">
        <v>105.34</v>
      </c>
      <c r="N11" s="52">
        <v>25.4</v>
      </c>
      <c r="O11" s="52">
        <v>0</v>
      </c>
      <c r="P11" s="52">
        <v>0.37</v>
      </c>
      <c r="Q11" s="52">
        <v>9.61</v>
      </c>
      <c r="R11" s="43"/>
      <c r="S11" s="43"/>
      <c r="T11" s="43"/>
      <c r="U11" s="43"/>
    </row>
    <row r="12" spans="1:21" s="11" customFormat="1" x14ac:dyDescent="0.25">
      <c r="A12" s="51" t="s">
        <v>687</v>
      </c>
      <c r="B12" s="52">
        <v>7.98</v>
      </c>
      <c r="C12" s="52">
        <v>3</v>
      </c>
      <c r="D12" s="52">
        <v>11.74</v>
      </c>
      <c r="E12" s="52">
        <v>5.31</v>
      </c>
      <c r="F12" s="52">
        <v>4.5</v>
      </c>
      <c r="G12" s="52">
        <v>21.72</v>
      </c>
      <c r="H12" s="52">
        <v>18.52</v>
      </c>
      <c r="I12" s="52">
        <v>3.75</v>
      </c>
      <c r="J12" s="52">
        <v>0.14000000000000001</v>
      </c>
      <c r="K12" s="52">
        <v>345.79</v>
      </c>
      <c r="L12" s="52">
        <v>25.97</v>
      </c>
      <c r="M12" s="52">
        <v>105.4</v>
      </c>
      <c r="N12" s="52">
        <v>25.3</v>
      </c>
      <c r="O12" s="52">
        <v>0</v>
      </c>
      <c r="P12" s="52">
        <v>0.36</v>
      </c>
      <c r="Q12" s="52">
        <v>9.56</v>
      </c>
      <c r="R12" s="43"/>
      <c r="S12" s="43"/>
      <c r="T12" s="43"/>
      <c r="U12" s="43"/>
    </row>
    <row r="13" spans="1:21" s="11" customFormat="1" x14ac:dyDescent="0.25">
      <c r="A13" s="51" t="s">
        <v>688</v>
      </c>
      <c r="B13" s="52">
        <v>7.95</v>
      </c>
      <c r="C13" s="52">
        <v>2.95</v>
      </c>
      <c r="D13" s="52">
        <v>11.69</v>
      </c>
      <c r="E13" s="52">
        <v>4.58</v>
      </c>
      <c r="F13" s="52">
        <v>4.32</v>
      </c>
      <c r="G13" s="52">
        <v>17.649999999999999</v>
      </c>
      <c r="H13" s="52">
        <v>8.84</v>
      </c>
      <c r="I13" s="52">
        <v>3.37</v>
      </c>
      <c r="J13" s="52">
        <v>0.19</v>
      </c>
      <c r="K13" s="52">
        <v>359.17</v>
      </c>
      <c r="L13" s="52">
        <v>25.98</v>
      </c>
      <c r="M13" s="52">
        <v>105.44</v>
      </c>
      <c r="N13" s="52">
        <v>26.2</v>
      </c>
      <c r="O13" s="52">
        <v>0</v>
      </c>
      <c r="P13" s="52">
        <v>0.34</v>
      </c>
      <c r="Q13" s="52">
        <v>9.56</v>
      </c>
      <c r="R13" s="43"/>
      <c r="S13" s="43"/>
      <c r="T13" s="43"/>
      <c r="U13" s="43"/>
    </row>
    <row r="14" spans="1:21" s="11" customFormat="1" x14ac:dyDescent="0.25">
      <c r="A14" s="51" t="s">
        <v>689</v>
      </c>
      <c r="B14" s="52">
        <v>8.01</v>
      </c>
      <c r="C14" s="52">
        <v>2.99</v>
      </c>
      <c r="D14" s="52">
        <v>11.75</v>
      </c>
      <c r="E14" s="52">
        <v>4.6500000000000004</v>
      </c>
      <c r="F14" s="52">
        <v>3.66</v>
      </c>
      <c r="G14" s="52">
        <v>19.03</v>
      </c>
      <c r="H14" s="52">
        <v>8.84</v>
      </c>
      <c r="I14" s="52">
        <v>3.3</v>
      </c>
      <c r="J14" s="52">
        <v>0.14000000000000001</v>
      </c>
      <c r="K14" s="52">
        <v>173.05</v>
      </c>
      <c r="L14" s="52">
        <v>25.84</v>
      </c>
      <c r="M14" s="52">
        <v>105.59</v>
      </c>
      <c r="N14" s="52">
        <v>29.7</v>
      </c>
      <c r="O14" s="52">
        <v>0</v>
      </c>
      <c r="P14" s="52">
        <v>0.32</v>
      </c>
      <c r="Q14" s="52">
        <v>9.61</v>
      </c>
      <c r="R14" s="43"/>
      <c r="S14" s="43"/>
      <c r="T14" s="43"/>
      <c r="U14" s="43"/>
    </row>
    <row r="15" spans="1:21" s="11" customFormat="1" x14ac:dyDescent="0.25">
      <c r="A15" s="51" t="s">
        <v>690</v>
      </c>
      <c r="B15" s="52">
        <v>8.0399999999999991</v>
      </c>
      <c r="C15" s="52">
        <v>3</v>
      </c>
      <c r="D15" s="52">
        <v>11.78</v>
      </c>
      <c r="E15" s="52">
        <v>4.58</v>
      </c>
      <c r="F15" s="52">
        <v>4.1399999999999997</v>
      </c>
      <c r="G15" s="52">
        <v>19.09</v>
      </c>
      <c r="H15" s="52">
        <v>9.1199999999999992</v>
      </c>
      <c r="I15" s="52">
        <v>3.76</v>
      </c>
      <c r="J15" s="52">
        <v>0.1</v>
      </c>
      <c r="K15" s="52">
        <v>343.69</v>
      </c>
      <c r="L15" s="52">
        <v>25.92</v>
      </c>
      <c r="M15" s="52">
        <v>105.6</v>
      </c>
      <c r="N15" s="52">
        <v>78.2</v>
      </c>
      <c r="O15" s="52">
        <v>0</v>
      </c>
      <c r="P15" s="52">
        <v>0.32</v>
      </c>
      <c r="Q15" s="52">
        <v>9.6199999999999992</v>
      </c>
      <c r="R15" s="43"/>
      <c r="S15" s="43"/>
      <c r="T15" s="43"/>
      <c r="U15" s="43"/>
    </row>
    <row r="16" spans="1:21" s="11" customFormat="1" x14ac:dyDescent="0.25">
      <c r="A16" s="51" t="s">
        <v>691</v>
      </c>
      <c r="B16" s="52">
        <v>7.96</v>
      </c>
      <c r="C16" s="52">
        <v>2.96</v>
      </c>
      <c r="D16" s="52">
        <v>11.7</v>
      </c>
      <c r="E16" s="52">
        <v>4.6500000000000004</v>
      </c>
      <c r="F16" s="52">
        <v>4.34</v>
      </c>
      <c r="G16" s="52">
        <v>17.91</v>
      </c>
      <c r="H16" s="52">
        <v>9.1199999999999992</v>
      </c>
      <c r="I16" s="52">
        <v>3.72</v>
      </c>
      <c r="J16" s="52">
        <v>0.19</v>
      </c>
      <c r="K16" s="52">
        <v>344.32</v>
      </c>
      <c r="L16" s="52">
        <v>26.31</v>
      </c>
      <c r="M16" s="52">
        <v>105.68</v>
      </c>
      <c r="N16" s="52">
        <v>158.9</v>
      </c>
      <c r="O16" s="52">
        <v>0</v>
      </c>
      <c r="P16" s="52">
        <v>0.32</v>
      </c>
      <c r="Q16" s="52">
        <v>9.6</v>
      </c>
      <c r="R16" s="43"/>
      <c r="S16" s="43"/>
      <c r="T16" s="43"/>
      <c r="U16" s="43"/>
    </row>
    <row r="17" spans="1:21" s="11" customFormat="1" x14ac:dyDescent="0.25">
      <c r="A17" s="51" t="s">
        <v>692</v>
      </c>
      <c r="B17" s="52">
        <v>7.96</v>
      </c>
      <c r="C17" s="52">
        <v>3</v>
      </c>
      <c r="D17" s="52">
        <v>11.73</v>
      </c>
      <c r="E17" s="52">
        <v>4.1399999999999997</v>
      </c>
      <c r="F17" s="52">
        <v>4.2</v>
      </c>
      <c r="G17" s="52">
        <v>21.37</v>
      </c>
      <c r="H17" s="52">
        <v>11.95</v>
      </c>
      <c r="I17" s="52">
        <v>3.18</v>
      </c>
      <c r="J17" s="52">
        <v>0.25</v>
      </c>
      <c r="K17" s="52">
        <v>346.53</v>
      </c>
      <c r="L17" s="52">
        <v>27.35</v>
      </c>
      <c r="M17" s="52">
        <v>103.83</v>
      </c>
      <c r="N17" s="52">
        <v>229.1</v>
      </c>
      <c r="O17" s="52">
        <v>0</v>
      </c>
      <c r="P17" s="52">
        <v>0.33</v>
      </c>
      <c r="Q17" s="52">
        <v>9.59</v>
      </c>
      <c r="R17" s="43"/>
      <c r="S17" s="43"/>
      <c r="T17" s="43"/>
      <c r="U17" s="43"/>
    </row>
    <row r="18" spans="1:21" s="11" customFormat="1" x14ac:dyDescent="0.25">
      <c r="A18" s="51" t="s">
        <v>693</v>
      </c>
      <c r="B18" s="52">
        <v>8</v>
      </c>
      <c r="C18" s="52">
        <v>3.03</v>
      </c>
      <c r="D18" s="52">
        <v>11.77</v>
      </c>
      <c r="E18" s="52">
        <v>4.18</v>
      </c>
      <c r="F18" s="52">
        <v>3.96</v>
      </c>
      <c r="G18" s="52">
        <v>21.53</v>
      </c>
      <c r="H18" s="52">
        <v>37.64</v>
      </c>
      <c r="I18" s="52">
        <v>2.23</v>
      </c>
      <c r="J18" s="52">
        <v>0.28000000000000003</v>
      </c>
      <c r="K18" s="52">
        <v>343.41</v>
      </c>
      <c r="L18" s="52">
        <v>29.17</v>
      </c>
      <c r="M18" s="52">
        <v>98.49</v>
      </c>
      <c r="N18" s="52">
        <v>401.6</v>
      </c>
      <c r="O18" s="52">
        <v>0</v>
      </c>
      <c r="P18" s="52">
        <v>0.34</v>
      </c>
      <c r="Q18" s="52">
        <v>9.5399999999999991</v>
      </c>
      <c r="R18" s="43"/>
      <c r="S18" s="43"/>
      <c r="T18" s="43"/>
      <c r="U18" s="43"/>
    </row>
    <row r="19" spans="1:21" s="11" customFormat="1" x14ac:dyDescent="0.25">
      <c r="A19" s="51" t="s">
        <v>694</v>
      </c>
      <c r="B19" s="52">
        <v>8</v>
      </c>
      <c r="C19" s="52">
        <v>2.98</v>
      </c>
      <c r="D19" s="52">
        <v>11.74</v>
      </c>
      <c r="E19" s="52">
        <v>4.0199999999999996</v>
      </c>
      <c r="F19" s="52">
        <v>4.24</v>
      </c>
      <c r="G19" s="52">
        <v>24.31</v>
      </c>
      <c r="H19" s="52">
        <v>37.64</v>
      </c>
      <c r="I19" s="52">
        <v>1.63</v>
      </c>
      <c r="J19" s="52">
        <v>0.28999999999999998</v>
      </c>
      <c r="K19" s="52">
        <v>335.7</v>
      </c>
      <c r="L19" s="52">
        <v>30.7</v>
      </c>
      <c r="M19" s="52">
        <v>87.75</v>
      </c>
      <c r="N19" s="52">
        <v>533.1</v>
      </c>
      <c r="O19" s="52">
        <v>0</v>
      </c>
      <c r="P19" s="52">
        <v>0.43</v>
      </c>
      <c r="Q19" s="52">
        <v>9.56</v>
      </c>
      <c r="R19" s="43"/>
      <c r="S19" s="43"/>
      <c r="T19" s="43"/>
      <c r="U19" s="43"/>
    </row>
    <row r="20" spans="1:21" s="11" customFormat="1" x14ac:dyDescent="0.25">
      <c r="A20" s="51" t="s">
        <v>695</v>
      </c>
      <c r="B20" s="52">
        <v>7.97</v>
      </c>
      <c r="C20" s="52">
        <v>2.96</v>
      </c>
      <c r="D20" s="52">
        <v>11.71</v>
      </c>
      <c r="E20" s="52">
        <v>4.66</v>
      </c>
      <c r="F20" s="52">
        <v>4.67</v>
      </c>
      <c r="G20" s="52">
        <v>30.42</v>
      </c>
      <c r="H20" s="52">
        <v>34.700000000000003</v>
      </c>
      <c r="I20" s="52">
        <v>2.11</v>
      </c>
      <c r="J20" s="52">
        <v>0.32</v>
      </c>
      <c r="K20" s="52">
        <v>351.85</v>
      </c>
      <c r="L20" s="52">
        <v>31.99</v>
      </c>
      <c r="M20" s="52">
        <v>85.69</v>
      </c>
      <c r="N20" s="52">
        <v>925.1</v>
      </c>
      <c r="O20" s="52">
        <v>0</v>
      </c>
      <c r="P20" s="52">
        <v>0.55000000000000004</v>
      </c>
      <c r="Q20" s="52">
        <v>9.6300000000000008</v>
      </c>
      <c r="R20" s="43"/>
      <c r="S20" s="43"/>
      <c r="T20" s="43"/>
      <c r="U20" s="43"/>
    </row>
    <row r="21" spans="1:21" s="11" customFormat="1" x14ac:dyDescent="0.25">
      <c r="A21" s="51" t="s">
        <v>696</v>
      </c>
      <c r="B21" s="52">
        <v>7.97</v>
      </c>
      <c r="C21" s="52">
        <v>3.04</v>
      </c>
      <c r="D21" s="52">
        <v>11.75</v>
      </c>
      <c r="E21" s="52">
        <v>4.78</v>
      </c>
      <c r="F21" s="52">
        <v>4.91</v>
      </c>
      <c r="G21" s="52">
        <v>32.06</v>
      </c>
      <c r="H21" s="52">
        <v>18.37</v>
      </c>
      <c r="I21" s="52">
        <v>2.72</v>
      </c>
      <c r="J21" s="52">
        <v>0.33</v>
      </c>
      <c r="K21" s="52">
        <v>342.63</v>
      </c>
      <c r="L21" s="52">
        <v>31.83</v>
      </c>
      <c r="M21" s="52">
        <v>76.73</v>
      </c>
      <c r="N21" s="52">
        <v>904</v>
      </c>
      <c r="O21" s="52">
        <v>0</v>
      </c>
      <c r="P21" s="52">
        <v>0.6</v>
      </c>
      <c r="Q21" s="52">
        <v>9.59</v>
      </c>
      <c r="R21" s="43"/>
      <c r="S21" s="43"/>
      <c r="T21" s="43"/>
      <c r="U21" s="43"/>
    </row>
    <row r="22" spans="1:21" s="11" customFormat="1" x14ac:dyDescent="0.25">
      <c r="A22" s="51" t="s">
        <v>697</v>
      </c>
      <c r="B22" s="52">
        <v>8.01</v>
      </c>
      <c r="C22" s="52">
        <v>3.1</v>
      </c>
      <c r="D22" s="52">
        <v>11.81</v>
      </c>
      <c r="E22" s="52">
        <v>5.69</v>
      </c>
      <c r="F22" s="52">
        <v>5.43</v>
      </c>
      <c r="G22" s="52">
        <v>33.04</v>
      </c>
      <c r="H22" s="52">
        <v>8.6</v>
      </c>
      <c r="I22" s="52">
        <v>2.8</v>
      </c>
      <c r="J22" s="52">
        <v>0.27</v>
      </c>
      <c r="K22" s="52">
        <v>349.69</v>
      </c>
      <c r="L22" s="52">
        <v>32.130000000000003</v>
      </c>
      <c r="M22" s="52">
        <v>74.66</v>
      </c>
      <c r="N22" s="52">
        <v>458.5</v>
      </c>
      <c r="O22" s="52">
        <v>0</v>
      </c>
      <c r="P22" s="52">
        <v>0.5</v>
      </c>
      <c r="Q22" s="52">
        <v>9.5500000000000007</v>
      </c>
      <c r="R22" s="43"/>
      <c r="S22" s="43"/>
      <c r="T22" s="43"/>
      <c r="U22" s="43"/>
    </row>
    <row r="23" spans="1:21" s="11" customFormat="1" x14ac:dyDescent="0.25">
      <c r="A23" s="51" t="s">
        <v>698</v>
      </c>
      <c r="B23" s="52">
        <v>8.01</v>
      </c>
      <c r="C23" s="52">
        <v>3.02</v>
      </c>
      <c r="D23" s="52">
        <v>11.77</v>
      </c>
      <c r="E23" s="52">
        <v>4.68</v>
      </c>
      <c r="F23" s="52">
        <v>5.48</v>
      </c>
      <c r="G23" s="52">
        <v>34.28</v>
      </c>
      <c r="H23" s="52">
        <v>3.96</v>
      </c>
      <c r="I23" s="52">
        <v>2.29</v>
      </c>
      <c r="J23" s="52">
        <v>0.26</v>
      </c>
      <c r="K23" s="52">
        <v>349.1</v>
      </c>
      <c r="L23" s="52">
        <v>31.64</v>
      </c>
      <c r="M23" s="52">
        <v>74.92</v>
      </c>
      <c r="N23" s="52">
        <v>162.19999999999999</v>
      </c>
      <c r="O23" s="52">
        <v>0</v>
      </c>
      <c r="P23" s="52">
        <v>0.44</v>
      </c>
      <c r="Q23" s="52">
        <v>9.52</v>
      </c>
      <c r="R23" s="43"/>
      <c r="S23" s="43"/>
      <c r="T23" s="43"/>
      <c r="U23" s="43"/>
    </row>
    <row r="24" spans="1:21" s="11" customFormat="1" x14ac:dyDescent="0.25">
      <c r="A24" s="51" t="s">
        <v>699</v>
      </c>
      <c r="B24" s="52">
        <v>7.97</v>
      </c>
      <c r="C24" s="52">
        <v>2.99</v>
      </c>
      <c r="D24" s="52">
        <v>11.73</v>
      </c>
      <c r="E24" s="52">
        <v>5.1100000000000003</v>
      </c>
      <c r="F24" s="52">
        <v>5.32</v>
      </c>
      <c r="G24" s="52">
        <v>34.33</v>
      </c>
      <c r="H24" s="52">
        <v>1.9</v>
      </c>
      <c r="I24" s="52">
        <v>1.87</v>
      </c>
      <c r="J24" s="52">
        <v>0.23</v>
      </c>
      <c r="K24" s="52">
        <v>338.04</v>
      </c>
      <c r="L24" s="52">
        <v>31.02</v>
      </c>
      <c r="M24" s="52">
        <v>74.849999999999994</v>
      </c>
      <c r="N24" s="52">
        <v>160.6</v>
      </c>
      <c r="O24" s="52">
        <v>0</v>
      </c>
      <c r="P24" s="52">
        <v>0.38</v>
      </c>
      <c r="Q24" s="52">
        <v>9.58</v>
      </c>
      <c r="R24" s="43"/>
      <c r="S24" s="43"/>
      <c r="T24" s="43"/>
      <c r="U24" s="43"/>
    </row>
    <row r="25" spans="1:21" s="11" customFormat="1" x14ac:dyDescent="0.25">
      <c r="A25" s="51" t="s">
        <v>700</v>
      </c>
      <c r="B25" s="52">
        <v>7.96</v>
      </c>
      <c r="C25" s="52">
        <v>2.98</v>
      </c>
      <c r="D25" s="52">
        <v>11.71</v>
      </c>
      <c r="E25" s="52">
        <v>3.98</v>
      </c>
      <c r="F25" s="52">
        <v>5.12</v>
      </c>
      <c r="G25" s="52">
        <v>34.08</v>
      </c>
      <c r="H25" s="52">
        <v>0.95</v>
      </c>
      <c r="I25" s="52">
        <v>1.56</v>
      </c>
      <c r="J25" s="52">
        <v>0.33</v>
      </c>
      <c r="K25" s="52">
        <v>347.02</v>
      </c>
      <c r="L25" s="52">
        <v>31.11</v>
      </c>
      <c r="M25" s="52">
        <v>72.930000000000007</v>
      </c>
      <c r="N25" s="52">
        <v>112.7</v>
      </c>
      <c r="O25" s="52">
        <v>0</v>
      </c>
      <c r="P25" s="52">
        <v>0.33</v>
      </c>
      <c r="Q25" s="52">
        <v>9.57</v>
      </c>
      <c r="R25" s="43"/>
      <c r="S25" s="43"/>
      <c r="T25" s="43"/>
      <c r="U25" s="43"/>
    </row>
    <row r="26" spans="1:21" s="11" customFormat="1" x14ac:dyDescent="0.25">
      <c r="A26" s="51" t="s">
        <v>701</v>
      </c>
      <c r="B26" s="52">
        <v>7.97</v>
      </c>
      <c r="C26" s="52">
        <v>3</v>
      </c>
      <c r="D26" s="52">
        <v>11.73</v>
      </c>
      <c r="E26" s="52">
        <v>4.07</v>
      </c>
      <c r="F26" s="52">
        <v>4.22</v>
      </c>
      <c r="G26" s="52">
        <v>32.85</v>
      </c>
      <c r="H26" s="52">
        <v>5.77</v>
      </c>
      <c r="I26" s="52">
        <v>1.4</v>
      </c>
      <c r="J26" s="52">
        <v>0.34</v>
      </c>
      <c r="K26" s="52">
        <v>357.53</v>
      </c>
      <c r="L26" s="52">
        <v>31.14</v>
      </c>
      <c r="M26" s="52">
        <v>75.03</v>
      </c>
      <c r="N26" s="52">
        <v>108.7</v>
      </c>
      <c r="O26" s="52">
        <v>0</v>
      </c>
      <c r="P26" s="52">
        <v>0.33</v>
      </c>
      <c r="Q26" s="52">
        <v>9.5299999999999994</v>
      </c>
      <c r="R26" s="43"/>
      <c r="S26" s="43"/>
      <c r="T26" s="43"/>
      <c r="U26" s="43"/>
    </row>
    <row r="27" spans="1:21" s="11" customFormat="1" x14ac:dyDescent="0.25">
      <c r="A27" s="51" t="s">
        <v>702</v>
      </c>
      <c r="B27" s="52">
        <v>8.01</v>
      </c>
      <c r="C27" s="52">
        <v>3.01</v>
      </c>
      <c r="D27" s="52">
        <v>11.76</v>
      </c>
      <c r="E27" s="52">
        <v>4.18</v>
      </c>
      <c r="F27" s="52">
        <v>3.78</v>
      </c>
      <c r="G27" s="52">
        <v>34.4</v>
      </c>
      <c r="H27" s="52">
        <v>5.77</v>
      </c>
      <c r="I27" s="52">
        <v>1.65</v>
      </c>
      <c r="J27" s="52">
        <v>0.18</v>
      </c>
      <c r="K27" s="52">
        <v>355.44</v>
      </c>
      <c r="L27" s="52">
        <v>30.11</v>
      </c>
      <c r="M27" s="52">
        <v>83.75</v>
      </c>
      <c r="N27" s="52">
        <v>42.5</v>
      </c>
      <c r="O27" s="52">
        <v>0</v>
      </c>
      <c r="P27" s="52">
        <v>0.36</v>
      </c>
      <c r="Q27" s="52">
        <v>9.58</v>
      </c>
      <c r="R27" s="43"/>
      <c r="S27" s="43"/>
      <c r="T27" s="43"/>
      <c r="U27" s="43"/>
    </row>
    <row r="28" spans="1:21" s="11" customFormat="1" x14ac:dyDescent="0.25">
      <c r="A28" s="51" t="s">
        <v>703</v>
      </c>
      <c r="B28" s="52">
        <v>8</v>
      </c>
      <c r="C28" s="52">
        <v>3.02</v>
      </c>
      <c r="D28" s="52">
        <v>11.76</v>
      </c>
      <c r="E28" s="52">
        <v>4.8499999999999996</v>
      </c>
      <c r="F28" s="52">
        <v>4.3499999999999996</v>
      </c>
      <c r="G28" s="52">
        <v>38.71</v>
      </c>
      <c r="H28" s="52">
        <v>4.25</v>
      </c>
      <c r="I28" s="52">
        <v>2.5099999999999998</v>
      </c>
      <c r="J28" s="52">
        <v>0.18</v>
      </c>
      <c r="K28" s="52">
        <v>356.99</v>
      </c>
      <c r="L28" s="52">
        <v>29.2</v>
      </c>
      <c r="M28" s="52">
        <v>88.63</v>
      </c>
      <c r="N28" s="52">
        <v>25.4</v>
      </c>
      <c r="O28" s="52">
        <v>0</v>
      </c>
      <c r="P28" s="52">
        <v>0.42</v>
      </c>
      <c r="Q28" s="52">
        <v>9.6300000000000008</v>
      </c>
      <c r="R28" s="43"/>
      <c r="S28" s="43"/>
      <c r="T28" s="43"/>
      <c r="U28" s="43"/>
    </row>
    <row r="29" spans="1:21" s="11" customFormat="1" x14ac:dyDescent="0.25">
      <c r="A29" s="51" t="s">
        <v>704</v>
      </c>
      <c r="B29" s="52">
        <v>7.97</v>
      </c>
      <c r="C29" s="52">
        <v>2.99</v>
      </c>
      <c r="D29" s="52">
        <v>11.73</v>
      </c>
      <c r="E29" s="52">
        <v>5.0999999999999996</v>
      </c>
      <c r="F29" s="52">
        <v>4.26</v>
      </c>
      <c r="G29" s="52">
        <v>40.270000000000003</v>
      </c>
      <c r="H29" s="52">
        <v>2.84</v>
      </c>
      <c r="I29" s="52">
        <v>2.9</v>
      </c>
      <c r="J29" s="52">
        <v>0.08</v>
      </c>
      <c r="K29" s="52">
        <v>305.67</v>
      </c>
      <c r="L29" s="52">
        <v>28.67</v>
      </c>
      <c r="M29" s="52">
        <v>93.61</v>
      </c>
      <c r="N29" s="52">
        <v>25.4</v>
      </c>
      <c r="O29" s="52">
        <v>0</v>
      </c>
      <c r="P29" s="52">
        <v>0.45</v>
      </c>
      <c r="Q29" s="52">
        <v>9.66</v>
      </c>
      <c r="R29" s="43"/>
      <c r="S29" s="43"/>
      <c r="T29" s="43"/>
      <c r="U29" s="43"/>
    </row>
    <row r="30" spans="1:21" s="11" customFormat="1" x14ac:dyDescent="0.25">
      <c r="A30" s="51" t="s">
        <v>705</v>
      </c>
      <c r="B30" s="52">
        <v>8.01</v>
      </c>
      <c r="C30" s="52">
        <v>3.03</v>
      </c>
      <c r="D30" s="52">
        <v>11.78</v>
      </c>
      <c r="E30" s="52">
        <v>5.45</v>
      </c>
      <c r="F30" s="52">
        <v>4.04</v>
      </c>
      <c r="G30" s="52">
        <v>41.42</v>
      </c>
      <c r="H30" s="52">
        <v>306.29000000000002</v>
      </c>
      <c r="I30" s="52">
        <v>3.41</v>
      </c>
      <c r="J30" s="52">
        <v>0.18</v>
      </c>
      <c r="K30" s="52">
        <v>239.5</v>
      </c>
      <c r="L30" s="52">
        <v>28.19</v>
      </c>
      <c r="M30" s="52">
        <v>101.97</v>
      </c>
      <c r="N30" s="52">
        <v>25.3</v>
      </c>
      <c r="O30" s="52">
        <v>0</v>
      </c>
      <c r="P30" s="52">
        <v>0.47</v>
      </c>
      <c r="Q30" s="52">
        <v>9.67</v>
      </c>
      <c r="R30" s="43"/>
      <c r="S30" s="43"/>
      <c r="T30" s="43"/>
      <c r="U30" s="43"/>
    </row>
    <row r="31" spans="1:21" s="11" customFormat="1" x14ac:dyDescent="0.25">
      <c r="A31" s="51" t="s">
        <v>706</v>
      </c>
      <c r="B31" s="52">
        <v>8.02</v>
      </c>
      <c r="C31" s="52">
        <v>3.01</v>
      </c>
      <c r="D31" s="52">
        <v>11.78</v>
      </c>
      <c r="E31" s="52">
        <v>5.51</v>
      </c>
      <c r="F31" s="52">
        <v>3.52</v>
      </c>
      <c r="G31" s="52">
        <v>42.89</v>
      </c>
      <c r="H31" s="52">
        <v>306.29000000000002</v>
      </c>
      <c r="I31" s="52">
        <v>4.0999999999999996</v>
      </c>
      <c r="J31" s="52">
        <v>0.19</v>
      </c>
      <c r="K31" s="52">
        <v>332.34</v>
      </c>
      <c r="L31" s="52">
        <v>27.97</v>
      </c>
      <c r="M31" s="52">
        <v>103.91</v>
      </c>
      <c r="N31" s="52">
        <v>25.5</v>
      </c>
      <c r="O31" s="52">
        <v>0</v>
      </c>
      <c r="P31" s="52">
        <v>0.45</v>
      </c>
      <c r="Q31" s="52">
        <v>9.7100000000000009</v>
      </c>
      <c r="R31" s="43"/>
      <c r="S31" s="43"/>
      <c r="T31" s="43"/>
      <c r="U31" s="43"/>
    </row>
    <row r="32" spans="1:21" s="11" customFormat="1" x14ac:dyDescent="0.25">
      <c r="A32" s="51" t="s">
        <v>707</v>
      </c>
      <c r="B32" s="52">
        <v>8.0299999999999994</v>
      </c>
      <c r="C32" s="52">
        <v>3.04</v>
      </c>
      <c r="D32" s="52">
        <v>11.8</v>
      </c>
      <c r="E32" s="52">
        <v>5.8</v>
      </c>
      <c r="F32" s="52">
        <v>4.13</v>
      </c>
      <c r="G32" s="52">
        <v>42.96</v>
      </c>
      <c r="H32" s="52">
        <v>46.89</v>
      </c>
      <c r="I32" s="52">
        <v>4.5</v>
      </c>
      <c r="J32" s="52">
        <v>0.2</v>
      </c>
      <c r="K32" s="52">
        <v>337.28</v>
      </c>
      <c r="L32" s="52">
        <v>27.71</v>
      </c>
      <c r="M32" s="52">
        <v>103.94</v>
      </c>
      <c r="N32" s="52">
        <v>25.4</v>
      </c>
      <c r="O32" s="52">
        <v>0</v>
      </c>
      <c r="P32" s="52">
        <v>0.43</v>
      </c>
      <c r="Q32" s="52">
        <v>9.7100000000000009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2.95</v>
      </c>
      <c r="D34" s="28">
        <f t="shared" si="0"/>
        <v>11.69</v>
      </c>
      <c r="E34" s="28">
        <f t="shared" si="0"/>
        <v>3.98</v>
      </c>
      <c r="F34" s="28">
        <f t="shared" si="0"/>
        <v>3.52</v>
      </c>
      <c r="G34" s="28">
        <f t="shared" si="0"/>
        <v>17.649999999999999</v>
      </c>
      <c r="H34" s="28">
        <f t="shared" si="0"/>
        <v>0.95</v>
      </c>
      <c r="I34" s="28">
        <f t="shared" si="0"/>
        <v>1.4</v>
      </c>
      <c r="J34" s="28">
        <f t="shared" si="0"/>
        <v>0.08</v>
      </c>
      <c r="K34" s="28">
        <f t="shared" si="0"/>
        <v>82.8</v>
      </c>
      <c r="L34" s="28">
        <f t="shared" si="0"/>
        <v>25.84</v>
      </c>
      <c r="M34" s="28">
        <f t="shared" si="0"/>
        <v>72.930000000000007</v>
      </c>
      <c r="N34" s="28">
        <f t="shared" si="0"/>
        <v>25.3</v>
      </c>
      <c r="O34" s="28">
        <f t="shared" si="0"/>
        <v>0</v>
      </c>
      <c r="P34" s="28">
        <f t="shared" si="0"/>
        <v>0.32</v>
      </c>
      <c r="Q34" s="28">
        <f t="shared" si="0"/>
        <v>9.52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8.0399999999999991</v>
      </c>
      <c r="C35" s="29">
        <f t="shared" si="1"/>
        <v>3.1</v>
      </c>
      <c r="D35" s="29">
        <f t="shared" si="1"/>
        <v>11.81</v>
      </c>
      <c r="E35" s="29">
        <f t="shared" si="1"/>
        <v>5.8</v>
      </c>
      <c r="F35" s="29">
        <f t="shared" si="1"/>
        <v>5.48</v>
      </c>
      <c r="G35" s="29">
        <f t="shared" si="1"/>
        <v>42.96</v>
      </c>
      <c r="H35" s="29">
        <f t="shared" si="1"/>
        <v>306.29000000000002</v>
      </c>
      <c r="I35" s="29">
        <f t="shared" si="1"/>
        <v>4.5</v>
      </c>
      <c r="J35" s="29">
        <f t="shared" si="1"/>
        <v>0.34</v>
      </c>
      <c r="K35" s="29">
        <f t="shared" si="1"/>
        <v>359.17</v>
      </c>
      <c r="L35" s="29">
        <f t="shared" si="1"/>
        <v>32.130000000000003</v>
      </c>
      <c r="M35" s="29">
        <f t="shared" si="1"/>
        <v>105.68</v>
      </c>
      <c r="N35" s="29">
        <f t="shared" si="1"/>
        <v>925.1</v>
      </c>
      <c r="O35" s="29">
        <f t="shared" si="1"/>
        <v>0</v>
      </c>
      <c r="P35" s="29">
        <f t="shared" si="1"/>
        <v>0.6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7.9908333333333337</v>
      </c>
      <c r="C36" s="28">
        <f t="shared" si="2"/>
        <v>3.0025000000000008</v>
      </c>
      <c r="D36" s="28">
        <f t="shared" si="2"/>
        <v>11.747083333333331</v>
      </c>
      <c r="E36" s="28">
        <f t="shared" si="2"/>
        <v>4.8295833333333329</v>
      </c>
      <c r="F36" s="28">
        <f t="shared" si="2"/>
        <v>4.3870833333333339</v>
      </c>
      <c r="G36" s="28">
        <f t="shared" si="2"/>
        <v>29.819166666666664</v>
      </c>
      <c r="H36" s="28">
        <f t="shared" si="2"/>
        <v>38.714166666666664</v>
      </c>
      <c r="I36" s="28">
        <f t="shared" si="2"/>
        <v>2.8979166666666658</v>
      </c>
      <c r="J36" s="28">
        <f t="shared" si="2"/>
        <v>0.20750000000000002</v>
      </c>
      <c r="K36" s="28">
        <f t="shared" si="2"/>
        <v>310.43458333333331</v>
      </c>
      <c r="L36" s="28">
        <f t="shared" si="2"/>
        <v>28.668750000000003</v>
      </c>
      <c r="M36" s="28">
        <f t="shared" si="2"/>
        <v>93.505416666666676</v>
      </c>
      <c r="N36" s="28">
        <f t="shared" si="2"/>
        <v>189.98749999999995</v>
      </c>
      <c r="O36" s="28">
        <f t="shared" si="2"/>
        <v>0</v>
      </c>
      <c r="P36" s="28">
        <f t="shared" si="2"/>
        <v>0.40208333333333335</v>
      </c>
      <c r="Q36" s="28">
        <f t="shared" si="2"/>
        <v>9.5975000000000019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2.6029526155580504E-2</v>
      </c>
      <c r="C37" s="28">
        <f t="shared" ref="C37:Q37" si="3">STDEV(C9:C32)</f>
        <v>3.3394870733457628E-2</v>
      </c>
      <c r="D37" s="28">
        <f t="shared" si="3"/>
        <v>3.3163516710079256E-2</v>
      </c>
      <c r="E37" s="28">
        <f t="shared" si="3"/>
        <v>0.55835534241717677</v>
      </c>
      <c r="F37" s="28">
        <f t="shared" si="3"/>
        <v>0.52643575244209362</v>
      </c>
      <c r="G37" s="28">
        <f t="shared" si="3"/>
        <v>8.2559432698730699</v>
      </c>
      <c r="H37" s="28">
        <f t="shared" si="3"/>
        <v>83.361641836699363</v>
      </c>
      <c r="I37" s="28">
        <f t="shared" si="3"/>
        <v>0.89500536392207208</v>
      </c>
      <c r="J37" s="28">
        <f t="shared" si="3"/>
        <v>8.2052475256095478E-2</v>
      </c>
      <c r="K37" s="28">
        <f t="shared" si="3"/>
        <v>72.989729055840215</v>
      </c>
      <c r="L37" s="28">
        <f t="shared" si="3"/>
        <v>2.3406916712800943</v>
      </c>
      <c r="M37" s="28">
        <f t="shared" si="3"/>
        <v>12.964640869006715</v>
      </c>
      <c r="N37" s="28">
        <f t="shared" si="3"/>
        <v>266.38409064732076</v>
      </c>
      <c r="O37" s="28">
        <f t="shared" si="3"/>
        <v>0</v>
      </c>
      <c r="P37" s="28">
        <f t="shared" si="3"/>
        <v>7.5813223962157478E-2</v>
      </c>
      <c r="Q37" s="28">
        <f t="shared" si="3"/>
        <v>5.2357466972974449E-2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708</v>
      </c>
      <c r="B9" s="52">
        <v>7.97</v>
      </c>
      <c r="C9" s="52">
        <v>2.96</v>
      </c>
      <c r="D9" s="52">
        <v>11.7</v>
      </c>
      <c r="E9" s="52">
        <v>3.88</v>
      </c>
      <c r="F9" s="52">
        <v>4.42</v>
      </c>
      <c r="G9" s="52">
        <v>37.479999999999997</v>
      </c>
      <c r="H9" s="52">
        <v>31.53</v>
      </c>
      <c r="I9" s="52">
        <v>4.37</v>
      </c>
      <c r="J9" s="52">
        <v>0.21</v>
      </c>
      <c r="K9" s="52">
        <v>354.76</v>
      </c>
      <c r="L9" s="52">
        <v>27.44</v>
      </c>
      <c r="M9" s="52">
        <v>103.94</v>
      </c>
      <c r="N9" s="52">
        <v>25.4</v>
      </c>
      <c r="O9" s="52">
        <v>0</v>
      </c>
      <c r="P9" s="52">
        <v>0.4</v>
      </c>
      <c r="Q9" s="52">
        <v>9.69</v>
      </c>
      <c r="R9" s="43"/>
      <c r="S9" s="43"/>
      <c r="T9" s="43"/>
      <c r="U9" s="43"/>
    </row>
    <row r="10" spans="1:21" s="11" customFormat="1" x14ac:dyDescent="0.25">
      <c r="A10" s="51" t="s">
        <v>709</v>
      </c>
      <c r="B10" s="52">
        <v>7.98</v>
      </c>
      <c r="C10" s="52">
        <v>2.99</v>
      </c>
      <c r="D10" s="52">
        <v>11.74</v>
      </c>
      <c r="E10" s="52">
        <v>3.87</v>
      </c>
      <c r="F10" s="52">
        <v>4.45</v>
      </c>
      <c r="G10" s="52">
        <v>32</v>
      </c>
      <c r="H10" s="52">
        <v>31.53</v>
      </c>
      <c r="I10" s="52">
        <v>3.95</v>
      </c>
      <c r="J10" s="52">
        <v>0.18</v>
      </c>
      <c r="K10" s="52">
        <v>355.56</v>
      </c>
      <c r="L10" s="52">
        <v>27.4</v>
      </c>
      <c r="M10" s="52">
        <v>102.77</v>
      </c>
      <c r="N10" s="52">
        <v>25.4</v>
      </c>
      <c r="O10" s="52">
        <v>0</v>
      </c>
      <c r="P10" s="52">
        <v>0.36</v>
      </c>
      <c r="Q10" s="52">
        <v>9.64</v>
      </c>
      <c r="R10" s="43"/>
      <c r="S10" s="43"/>
      <c r="T10" s="43"/>
      <c r="U10" s="43"/>
    </row>
    <row r="11" spans="1:21" s="11" customFormat="1" x14ac:dyDescent="0.25">
      <c r="A11" s="51" t="s">
        <v>710</v>
      </c>
      <c r="B11" s="52">
        <v>8</v>
      </c>
      <c r="C11" s="52">
        <v>3.03</v>
      </c>
      <c r="D11" s="52">
        <v>11.77</v>
      </c>
      <c r="E11" s="52">
        <v>3.75</v>
      </c>
      <c r="F11" s="52">
        <v>3.61</v>
      </c>
      <c r="G11" s="52">
        <v>25.69</v>
      </c>
      <c r="H11" s="52">
        <v>31.53</v>
      </c>
      <c r="I11" s="52">
        <v>3.38</v>
      </c>
      <c r="J11" s="52">
        <v>0.2</v>
      </c>
      <c r="K11" s="52">
        <v>342.79</v>
      </c>
      <c r="L11" s="52">
        <v>27.21</v>
      </c>
      <c r="M11" s="52">
        <v>102.31</v>
      </c>
      <c r="N11" s="52">
        <v>25.7</v>
      </c>
      <c r="O11" s="52">
        <v>0</v>
      </c>
      <c r="P11" s="52">
        <v>0.32</v>
      </c>
      <c r="Q11" s="52">
        <v>9.6300000000000008</v>
      </c>
      <c r="R11" s="43"/>
      <c r="S11" s="43"/>
      <c r="T11" s="43"/>
      <c r="U11" s="43"/>
    </row>
    <row r="12" spans="1:21" s="11" customFormat="1" x14ac:dyDescent="0.25">
      <c r="A12" s="51" t="s">
        <v>711</v>
      </c>
      <c r="B12" s="52">
        <v>7.98</v>
      </c>
      <c r="C12" s="52">
        <v>2.98</v>
      </c>
      <c r="D12" s="52">
        <v>11.73</v>
      </c>
      <c r="E12" s="52">
        <v>3.94</v>
      </c>
      <c r="F12" s="52">
        <v>3.91</v>
      </c>
      <c r="G12" s="52">
        <v>23.14</v>
      </c>
      <c r="H12" s="52">
        <v>20.89</v>
      </c>
      <c r="I12" s="52">
        <v>3.23</v>
      </c>
      <c r="J12" s="52">
        <v>0.16</v>
      </c>
      <c r="K12" s="52">
        <v>342.6</v>
      </c>
      <c r="L12" s="52">
        <v>26.9</v>
      </c>
      <c r="M12" s="52">
        <v>103.99</v>
      </c>
      <c r="N12" s="52">
        <v>25.8</v>
      </c>
      <c r="O12" s="52">
        <v>0</v>
      </c>
      <c r="P12" s="52">
        <v>0.3</v>
      </c>
      <c r="Q12" s="52">
        <v>9.61</v>
      </c>
      <c r="R12" s="43"/>
      <c r="S12" s="43"/>
      <c r="T12" s="43"/>
      <c r="U12" s="43"/>
    </row>
    <row r="13" spans="1:21" s="11" customFormat="1" x14ac:dyDescent="0.25">
      <c r="A13" s="51" t="s">
        <v>712</v>
      </c>
      <c r="B13" s="52">
        <v>7.97</v>
      </c>
      <c r="C13" s="52">
        <v>2.95</v>
      </c>
      <c r="D13" s="52">
        <v>11.7</v>
      </c>
      <c r="E13" s="52">
        <v>4.0599999999999996</v>
      </c>
      <c r="F13" s="52">
        <v>4.54</v>
      </c>
      <c r="G13" s="52">
        <v>21.13</v>
      </c>
      <c r="H13" s="52">
        <v>20.89</v>
      </c>
      <c r="I13" s="52">
        <v>3.02</v>
      </c>
      <c r="J13" s="52">
        <v>0.08</v>
      </c>
      <c r="K13" s="52">
        <v>197.98</v>
      </c>
      <c r="L13" s="52">
        <v>26.35</v>
      </c>
      <c r="M13" s="52">
        <v>104.04</v>
      </c>
      <c r="N13" s="52">
        <v>25.4</v>
      </c>
      <c r="O13" s="52">
        <v>0</v>
      </c>
      <c r="P13" s="52">
        <v>0.28000000000000003</v>
      </c>
      <c r="Q13" s="52">
        <v>9.58</v>
      </c>
      <c r="R13" s="43"/>
      <c r="S13" s="43"/>
      <c r="T13" s="43"/>
      <c r="U13" s="43"/>
    </row>
    <row r="14" spans="1:21" s="11" customFormat="1" x14ac:dyDescent="0.25">
      <c r="A14" s="51" t="s">
        <v>713</v>
      </c>
      <c r="B14" s="52">
        <v>7.93</v>
      </c>
      <c r="C14" s="52">
        <v>2.96</v>
      </c>
      <c r="D14" s="52">
        <v>11.68</v>
      </c>
      <c r="E14" s="52">
        <v>3.86</v>
      </c>
      <c r="F14" s="52">
        <v>3.74</v>
      </c>
      <c r="G14" s="52">
        <v>21.01</v>
      </c>
      <c r="H14" s="52">
        <v>12.36</v>
      </c>
      <c r="I14" s="52">
        <v>3.15</v>
      </c>
      <c r="J14" s="52">
        <v>0.31</v>
      </c>
      <c r="K14" s="52">
        <v>297.87</v>
      </c>
      <c r="L14" s="52">
        <v>25.8</v>
      </c>
      <c r="M14" s="52">
        <v>104.08</v>
      </c>
      <c r="N14" s="52">
        <v>30.3</v>
      </c>
      <c r="O14" s="52">
        <v>0</v>
      </c>
      <c r="P14" s="52">
        <v>0.27</v>
      </c>
      <c r="Q14" s="52">
        <v>9.59</v>
      </c>
      <c r="R14" s="43"/>
      <c r="S14" s="43"/>
      <c r="T14" s="43"/>
      <c r="U14" s="43"/>
    </row>
    <row r="15" spans="1:21" s="11" customFormat="1" x14ac:dyDescent="0.25">
      <c r="A15" s="51" t="s">
        <v>714</v>
      </c>
      <c r="B15" s="52">
        <v>8.01</v>
      </c>
      <c r="C15" s="52">
        <v>3.01</v>
      </c>
      <c r="D15" s="52">
        <v>11.76</v>
      </c>
      <c r="E15" s="52">
        <v>4.08</v>
      </c>
      <c r="F15" s="52">
        <v>3.52</v>
      </c>
      <c r="G15" s="52">
        <v>20.11</v>
      </c>
      <c r="H15" s="52">
        <v>14.44</v>
      </c>
      <c r="I15" s="52">
        <v>3.23</v>
      </c>
      <c r="J15" s="52">
        <v>0.59</v>
      </c>
      <c r="K15" s="52">
        <v>284.32</v>
      </c>
      <c r="L15" s="52">
        <v>26.81</v>
      </c>
      <c r="M15" s="52">
        <v>104.05</v>
      </c>
      <c r="N15" s="52">
        <v>111.3</v>
      </c>
      <c r="O15" s="52">
        <v>0</v>
      </c>
      <c r="P15" s="52">
        <v>0.26</v>
      </c>
      <c r="Q15" s="52">
        <v>9.65</v>
      </c>
      <c r="R15" s="43"/>
      <c r="S15" s="43"/>
      <c r="T15" s="43"/>
      <c r="U15" s="43"/>
    </row>
    <row r="16" spans="1:21" s="11" customFormat="1" x14ac:dyDescent="0.25">
      <c r="A16" s="51" t="s">
        <v>715</v>
      </c>
      <c r="B16" s="52">
        <v>8.01</v>
      </c>
      <c r="C16" s="52">
        <v>3.03</v>
      </c>
      <c r="D16" s="52">
        <v>11.77</v>
      </c>
      <c r="E16" s="52">
        <v>4.7699999999999996</v>
      </c>
      <c r="F16" s="52">
        <v>4.3499999999999996</v>
      </c>
      <c r="G16" s="52">
        <v>28.57</v>
      </c>
      <c r="H16" s="52">
        <v>14.44</v>
      </c>
      <c r="I16" s="52">
        <v>3.65</v>
      </c>
      <c r="J16" s="52">
        <v>0.19</v>
      </c>
      <c r="K16" s="52">
        <v>358.49</v>
      </c>
      <c r="L16" s="52">
        <v>30.57</v>
      </c>
      <c r="M16" s="52">
        <v>103.54</v>
      </c>
      <c r="N16" s="52">
        <v>271</v>
      </c>
      <c r="O16" s="52">
        <v>0</v>
      </c>
      <c r="P16" s="52">
        <v>0.36</v>
      </c>
      <c r="Q16" s="52">
        <v>9.68</v>
      </c>
      <c r="R16" s="43"/>
      <c r="S16" s="43"/>
      <c r="T16" s="43"/>
      <c r="U16" s="43"/>
    </row>
    <row r="17" spans="1:21" s="11" customFormat="1" x14ac:dyDescent="0.25">
      <c r="A17" s="51" t="s">
        <v>716</v>
      </c>
      <c r="B17" s="52">
        <v>8.02</v>
      </c>
      <c r="C17" s="52">
        <v>3.07</v>
      </c>
      <c r="D17" s="52">
        <v>11.81</v>
      </c>
      <c r="E17" s="52">
        <v>4.17</v>
      </c>
      <c r="F17" s="52">
        <v>4.68</v>
      </c>
      <c r="G17" s="52">
        <v>31.81</v>
      </c>
      <c r="H17" s="52">
        <v>22.78</v>
      </c>
      <c r="I17" s="52">
        <v>3.51</v>
      </c>
      <c r="J17" s="52">
        <v>0.26</v>
      </c>
      <c r="K17" s="52">
        <v>349.54</v>
      </c>
      <c r="L17" s="52">
        <v>30.94</v>
      </c>
      <c r="M17" s="52">
        <v>89.56</v>
      </c>
      <c r="N17" s="52">
        <v>362.7</v>
      </c>
      <c r="O17" s="52">
        <v>0</v>
      </c>
      <c r="P17" s="52">
        <v>0.42</v>
      </c>
      <c r="Q17" s="52">
        <v>9.69</v>
      </c>
      <c r="R17" s="43"/>
      <c r="S17" s="43"/>
      <c r="T17" s="43"/>
      <c r="U17" s="43"/>
    </row>
    <row r="18" spans="1:21" s="11" customFormat="1" x14ac:dyDescent="0.25">
      <c r="A18" s="51" t="s">
        <v>717</v>
      </c>
      <c r="B18" s="52">
        <v>7.99</v>
      </c>
      <c r="C18" s="52">
        <v>3.05</v>
      </c>
      <c r="D18" s="52">
        <v>11.77</v>
      </c>
      <c r="E18" s="52">
        <v>4.22</v>
      </c>
      <c r="F18" s="52">
        <v>3.91</v>
      </c>
      <c r="G18" s="52">
        <v>35.47</v>
      </c>
      <c r="H18" s="52">
        <v>25.06</v>
      </c>
      <c r="I18" s="52">
        <v>3.12</v>
      </c>
      <c r="J18" s="52">
        <v>0.41</v>
      </c>
      <c r="K18" s="52">
        <v>330.17</v>
      </c>
      <c r="L18" s="52">
        <v>33.96</v>
      </c>
      <c r="M18" s="52">
        <v>87.16</v>
      </c>
      <c r="N18" s="52">
        <v>527.9</v>
      </c>
      <c r="O18" s="52">
        <v>0</v>
      </c>
      <c r="P18" s="52">
        <v>0.49</v>
      </c>
      <c r="Q18" s="52">
        <v>9.66</v>
      </c>
      <c r="R18" s="43"/>
      <c r="S18" s="43"/>
      <c r="T18" s="43"/>
      <c r="U18" s="43"/>
    </row>
    <row r="19" spans="1:21" s="11" customFormat="1" x14ac:dyDescent="0.25">
      <c r="A19" s="51" t="s">
        <v>718</v>
      </c>
      <c r="B19" s="52">
        <v>8.01</v>
      </c>
      <c r="C19" s="52">
        <v>3.04</v>
      </c>
      <c r="D19" s="52">
        <v>11.78</v>
      </c>
      <c r="E19" s="52">
        <v>3.58</v>
      </c>
      <c r="F19" s="52">
        <v>3.55</v>
      </c>
      <c r="G19" s="52">
        <v>36.619999999999997</v>
      </c>
      <c r="H19" s="52">
        <v>25.06</v>
      </c>
      <c r="I19" s="52">
        <v>2.97</v>
      </c>
      <c r="J19" s="52">
        <v>0.75</v>
      </c>
      <c r="K19" s="52">
        <v>328.69</v>
      </c>
      <c r="L19" s="52">
        <v>35.26</v>
      </c>
      <c r="M19" s="52">
        <v>68.73</v>
      </c>
      <c r="N19" s="52">
        <v>523.1</v>
      </c>
      <c r="O19" s="52">
        <v>0</v>
      </c>
      <c r="P19" s="52">
        <v>0.52</v>
      </c>
      <c r="Q19" s="52">
        <v>9.67</v>
      </c>
      <c r="R19" s="43"/>
      <c r="S19" s="43"/>
      <c r="T19" s="43"/>
      <c r="U19" s="43"/>
    </row>
    <row r="20" spans="1:21" s="11" customFormat="1" x14ac:dyDescent="0.25">
      <c r="A20" s="51" t="s">
        <v>719</v>
      </c>
      <c r="B20" s="52">
        <v>8.01</v>
      </c>
      <c r="C20" s="52">
        <v>3.08</v>
      </c>
      <c r="D20" s="52">
        <v>11.8</v>
      </c>
      <c r="E20" s="52">
        <v>6.54</v>
      </c>
      <c r="F20" s="52">
        <v>4.99</v>
      </c>
      <c r="G20" s="52">
        <v>36.67</v>
      </c>
      <c r="H20" s="52">
        <v>33.85</v>
      </c>
      <c r="I20" s="52">
        <v>2.78</v>
      </c>
      <c r="J20" s="52">
        <v>0.3</v>
      </c>
      <c r="K20" s="52">
        <v>326.68</v>
      </c>
      <c r="L20" s="52">
        <v>33.11</v>
      </c>
      <c r="M20" s="52">
        <v>81.59</v>
      </c>
      <c r="N20" s="52">
        <v>586.20000000000005</v>
      </c>
      <c r="O20" s="52">
        <v>0</v>
      </c>
      <c r="P20" s="52">
        <v>0.54</v>
      </c>
      <c r="Q20" s="52">
        <v>9.67</v>
      </c>
      <c r="R20" s="43"/>
      <c r="S20" s="43"/>
      <c r="T20" s="43"/>
      <c r="U20" s="43"/>
    </row>
    <row r="21" spans="1:21" s="11" customFormat="1" x14ac:dyDescent="0.25">
      <c r="A21" s="51" t="s">
        <v>720</v>
      </c>
      <c r="B21" s="52">
        <v>7.96</v>
      </c>
      <c r="C21" s="52">
        <v>3.1</v>
      </c>
      <c r="D21" s="52">
        <v>11.77</v>
      </c>
      <c r="E21" s="52">
        <v>4.6100000000000003</v>
      </c>
      <c r="F21" s="52">
        <v>9.1</v>
      </c>
      <c r="G21" s="52">
        <v>33.159999999999997</v>
      </c>
      <c r="H21" s="52">
        <v>30.31</v>
      </c>
      <c r="I21" s="52">
        <v>2.4300000000000002</v>
      </c>
      <c r="J21" s="52">
        <v>0.21</v>
      </c>
      <c r="K21" s="52">
        <v>340.34</v>
      </c>
      <c r="L21" s="52">
        <v>32.869999999999997</v>
      </c>
      <c r="M21" s="52">
        <v>79.239999999999995</v>
      </c>
      <c r="N21" s="52">
        <v>716.2</v>
      </c>
      <c r="O21" s="52">
        <v>0</v>
      </c>
      <c r="P21" s="52">
        <v>0.56999999999999995</v>
      </c>
      <c r="Q21" s="52">
        <v>9.6</v>
      </c>
      <c r="R21" s="43"/>
      <c r="S21" s="43"/>
      <c r="T21" s="43"/>
      <c r="U21" s="43"/>
    </row>
    <row r="22" spans="1:21" s="11" customFormat="1" x14ac:dyDescent="0.25">
      <c r="A22" s="51" t="s">
        <v>721</v>
      </c>
      <c r="B22" s="52">
        <v>7.93</v>
      </c>
      <c r="C22" s="52">
        <v>3.04</v>
      </c>
      <c r="D22" s="52">
        <v>11.72</v>
      </c>
      <c r="E22" s="52">
        <v>5.84</v>
      </c>
      <c r="F22" s="52">
        <v>20.46</v>
      </c>
      <c r="G22" s="52">
        <v>34.83</v>
      </c>
      <c r="H22" s="52">
        <v>30.31</v>
      </c>
      <c r="I22" s="52">
        <v>2.6</v>
      </c>
      <c r="J22" s="52">
        <v>0.19</v>
      </c>
      <c r="K22" s="52">
        <v>334.45</v>
      </c>
      <c r="L22" s="52">
        <v>32.799999999999997</v>
      </c>
      <c r="M22" s="52">
        <v>70.75</v>
      </c>
      <c r="N22" s="52">
        <v>748.6</v>
      </c>
      <c r="O22" s="52">
        <v>0</v>
      </c>
      <c r="P22" s="52">
        <v>0.51</v>
      </c>
      <c r="Q22" s="52">
        <v>9.5299999999999994</v>
      </c>
      <c r="R22" s="43"/>
      <c r="S22" s="43"/>
      <c r="T22" s="43"/>
      <c r="U22" s="43"/>
    </row>
    <row r="23" spans="1:21" s="11" customFormat="1" x14ac:dyDescent="0.25">
      <c r="A23" s="51" t="s">
        <v>722</v>
      </c>
      <c r="B23" s="52">
        <v>7.97</v>
      </c>
      <c r="C23" s="52">
        <v>3.04</v>
      </c>
      <c r="D23" s="52">
        <v>11.75</v>
      </c>
      <c r="E23" s="52">
        <v>4.18</v>
      </c>
      <c r="F23" s="52">
        <v>7.95</v>
      </c>
      <c r="G23" s="52">
        <v>38.130000000000003</v>
      </c>
      <c r="H23" s="52">
        <v>12.88</v>
      </c>
      <c r="I23" s="52">
        <v>2.82</v>
      </c>
      <c r="J23" s="52">
        <v>0.2</v>
      </c>
      <c r="K23" s="52">
        <v>332.09</v>
      </c>
      <c r="L23" s="52">
        <v>32.76</v>
      </c>
      <c r="M23" s="52">
        <v>68.87</v>
      </c>
      <c r="N23" s="52">
        <v>212.4</v>
      </c>
      <c r="O23" s="52">
        <v>0</v>
      </c>
      <c r="P23" s="52">
        <v>0.46</v>
      </c>
      <c r="Q23" s="52">
        <v>9.51</v>
      </c>
      <c r="R23" s="43"/>
      <c r="S23" s="43"/>
      <c r="T23" s="43"/>
      <c r="U23" s="43"/>
    </row>
    <row r="24" spans="1:21" s="11" customFormat="1" x14ac:dyDescent="0.25">
      <c r="A24" s="51" t="s">
        <v>723</v>
      </c>
      <c r="B24" s="52">
        <v>7.96</v>
      </c>
      <c r="C24" s="52">
        <v>2.99</v>
      </c>
      <c r="D24" s="52">
        <v>11.72</v>
      </c>
      <c r="E24" s="52">
        <v>5.0999999999999996</v>
      </c>
      <c r="F24" s="52">
        <v>5.63</v>
      </c>
      <c r="G24" s="52">
        <v>38.28</v>
      </c>
      <c r="H24" s="52">
        <v>4.62</v>
      </c>
      <c r="I24" s="52">
        <v>2.46</v>
      </c>
      <c r="J24" s="52">
        <v>0.27</v>
      </c>
      <c r="K24" s="52">
        <v>339.41</v>
      </c>
      <c r="L24" s="52">
        <v>32.58</v>
      </c>
      <c r="M24" s="52">
        <v>67.150000000000006</v>
      </c>
      <c r="N24" s="52">
        <v>161</v>
      </c>
      <c r="O24" s="52">
        <v>0</v>
      </c>
      <c r="P24" s="52">
        <v>0.45</v>
      </c>
      <c r="Q24" s="52">
        <v>9.6300000000000008</v>
      </c>
      <c r="R24" s="43"/>
      <c r="S24" s="43"/>
      <c r="T24" s="43"/>
      <c r="U24" s="43"/>
    </row>
    <row r="25" spans="1:21" s="11" customFormat="1" x14ac:dyDescent="0.25">
      <c r="A25" s="51" t="s">
        <v>724</v>
      </c>
      <c r="B25" s="52">
        <v>7.97</v>
      </c>
      <c r="C25" s="52">
        <v>3.06</v>
      </c>
      <c r="D25" s="52">
        <v>11.76</v>
      </c>
      <c r="E25" s="52">
        <v>5.03</v>
      </c>
      <c r="F25" s="52">
        <v>5.42</v>
      </c>
      <c r="G25" s="52">
        <v>35.06</v>
      </c>
      <c r="H25" s="52">
        <v>1.57</v>
      </c>
      <c r="I25" s="52">
        <v>2.4900000000000002</v>
      </c>
      <c r="J25" s="52">
        <v>0.22</v>
      </c>
      <c r="K25" s="52">
        <v>347.83</v>
      </c>
      <c r="L25" s="52">
        <v>32.799999999999997</v>
      </c>
      <c r="M25" s="52">
        <v>69.62</v>
      </c>
      <c r="N25" s="52">
        <v>196</v>
      </c>
      <c r="O25" s="52">
        <v>0</v>
      </c>
      <c r="P25" s="52">
        <v>0.5</v>
      </c>
      <c r="Q25" s="52">
        <v>9.68</v>
      </c>
      <c r="R25" s="43"/>
      <c r="S25" s="43"/>
      <c r="T25" s="43"/>
      <c r="U25" s="43"/>
    </row>
    <row r="26" spans="1:21" s="11" customFormat="1" x14ac:dyDescent="0.25">
      <c r="A26" s="51" t="s">
        <v>725</v>
      </c>
      <c r="B26" s="52">
        <v>7.99</v>
      </c>
      <c r="C26" s="52">
        <v>3.07</v>
      </c>
      <c r="D26" s="52">
        <v>11.79</v>
      </c>
      <c r="E26" s="52">
        <v>4.8099999999999996</v>
      </c>
      <c r="F26" s="52">
        <v>4.46</v>
      </c>
      <c r="G26" s="52">
        <v>38.869999999999997</v>
      </c>
      <c r="H26" s="52">
        <v>1.57</v>
      </c>
      <c r="I26" s="52">
        <v>2.41</v>
      </c>
      <c r="J26" s="52">
        <v>0.2</v>
      </c>
      <c r="K26" s="52">
        <v>359.13</v>
      </c>
      <c r="L26" s="52">
        <v>31.68</v>
      </c>
      <c r="M26" s="52">
        <v>73.06</v>
      </c>
      <c r="N26" s="52">
        <v>107.2</v>
      </c>
      <c r="O26" s="52">
        <v>0</v>
      </c>
      <c r="P26" s="52">
        <v>0.47</v>
      </c>
      <c r="Q26" s="52">
        <v>9.7100000000000009</v>
      </c>
      <c r="R26" s="43"/>
      <c r="S26" s="43"/>
      <c r="T26" s="43"/>
      <c r="U26" s="43"/>
    </row>
    <row r="27" spans="1:21" s="11" customFormat="1" x14ac:dyDescent="0.25">
      <c r="A27" s="51" t="s">
        <v>726</v>
      </c>
      <c r="B27" s="52">
        <v>7.99</v>
      </c>
      <c r="C27" s="52">
        <v>3.02</v>
      </c>
      <c r="D27" s="52">
        <v>11.76</v>
      </c>
      <c r="E27" s="52">
        <v>5.07</v>
      </c>
      <c r="F27" s="52">
        <v>3.62</v>
      </c>
      <c r="G27" s="52">
        <v>44.47</v>
      </c>
      <c r="H27" s="52">
        <v>11.57</v>
      </c>
      <c r="I27" s="52">
        <v>2.31</v>
      </c>
      <c r="J27" s="52">
        <v>0.18</v>
      </c>
      <c r="K27" s="52">
        <v>350.63</v>
      </c>
      <c r="L27" s="52">
        <v>30.89</v>
      </c>
      <c r="M27" s="52">
        <v>81.08</v>
      </c>
      <c r="N27" s="52">
        <v>41.5</v>
      </c>
      <c r="O27" s="52">
        <v>0</v>
      </c>
      <c r="P27" s="52">
        <v>0.51</v>
      </c>
      <c r="Q27" s="52">
        <v>9.76</v>
      </c>
      <c r="R27" s="43"/>
      <c r="S27" s="43"/>
      <c r="T27" s="43"/>
      <c r="U27" s="43"/>
    </row>
    <row r="28" spans="1:21" s="11" customFormat="1" x14ac:dyDescent="0.25">
      <c r="A28" s="51" t="s">
        <v>727</v>
      </c>
      <c r="B28" s="52">
        <v>8.0299999999999994</v>
      </c>
      <c r="C28" s="52">
        <v>3.05</v>
      </c>
      <c r="D28" s="52">
        <v>11.81</v>
      </c>
      <c r="E28" s="52">
        <v>5.25</v>
      </c>
      <c r="F28" s="52">
        <v>3.74</v>
      </c>
      <c r="G28" s="52">
        <v>45.39</v>
      </c>
      <c r="H28" s="52">
        <v>44.85</v>
      </c>
      <c r="I28" s="52">
        <v>3.61</v>
      </c>
      <c r="J28" s="52">
        <v>0.14000000000000001</v>
      </c>
      <c r="K28" s="52">
        <v>350.16</v>
      </c>
      <c r="L28" s="52">
        <v>30</v>
      </c>
      <c r="M28" s="52">
        <v>85.22</v>
      </c>
      <c r="N28" s="52">
        <v>31.6</v>
      </c>
      <c r="O28" s="52">
        <v>0</v>
      </c>
      <c r="P28" s="52">
        <v>0.55000000000000004</v>
      </c>
      <c r="Q28" s="52">
        <v>9.86</v>
      </c>
      <c r="R28" s="43"/>
      <c r="S28" s="43"/>
      <c r="T28" s="43"/>
      <c r="U28" s="43"/>
    </row>
    <row r="29" spans="1:21" s="11" customFormat="1" x14ac:dyDescent="0.25">
      <c r="A29" s="51" t="s">
        <v>728</v>
      </c>
      <c r="B29" s="52">
        <v>8.0299999999999994</v>
      </c>
      <c r="C29" s="52">
        <v>3.13</v>
      </c>
      <c r="D29" s="52">
        <v>11.85</v>
      </c>
      <c r="E29" s="52">
        <v>6.09</v>
      </c>
      <c r="F29" s="52">
        <v>4.87</v>
      </c>
      <c r="G29" s="52">
        <v>48.04</v>
      </c>
      <c r="H29" s="52">
        <v>22.74</v>
      </c>
      <c r="I29" s="52">
        <v>4.21</v>
      </c>
      <c r="J29" s="52">
        <v>0.15</v>
      </c>
      <c r="K29" s="52">
        <v>354.22</v>
      </c>
      <c r="L29" s="52">
        <v>29.65</v>
      </c>
      <c r="M29" s="52">
        <v>86.83</v>
      </c>
      <c r="N29" s="52">
        <v>31.6</v>
      </c>
      <c r="O29" s="52">
        <v>0</v>
      </c>
      <c r="P29" s="52">
        <v>0.63</v>
      </c>
      <c r="Q29" s="52">
        <v>9.93</v>
      </c>
      <c r="R29" s="43"/>
      <c r="S29" s="43"/>
      <c r="T29" s="43"/>
      <c r="U29" s="43"/>
    </row>
    <row r="30" spans="1:21" s="11" customFormat="1" x14ac:dyDescent="0.25">
      <c r="A30" s="51" t="s">
        <v>729</v>
      </c>
      <c r="B30" s="52">
        <v>8.0299999999999994</v>
      </c>
      <c r="C30" s="52">
        <v>3.06</v>
      </c>
      <c r="D30" s="52">
        <v>11.81</v>
      </c>
      <c r="E30" s="52">
        <v>5.93</v>
      </c>
      <c r="F30" s="52">
        <v>3.71</v>
      </c>
      <c r="G30" s="52">
        <v>48.16</v>
      </c>
      <c r="H30" s="52">
        <v>22.74</v>
      </c>
      <c r="I30" s="52">
        <v>4.2</v>
      </c>
      <c r="J30" s="52">
        <v>0.12</v>
      </c>
      <c r="K30" s="52">
        <v>342.7</v>
      </c>
      <c r="L30" s="52">
        <v>29.39</v>
      </c>
      <c r="M30" s="52">
        <v>92.82</v>
      </c>
      <c r="N30" s="52">
        <v>31.7</v>
      </c>
      <c r="O30" s="52">
        <v>0</v>
      </c>
      <c r="P30" s="52">
        <v>0.7</v>
      </c>
      <c r="Q30" s="52">
        <v>9.9700000000000006</v>
      </c>
      <c r="R30" s="43"/>
      <c r="S30" s="43"/>
      <c r="T30" s="43"/>
      <c r="U30" s="43"/>
    </row>
    <row r="31" spans="1:21" s="11" customFormat="1" x14ac:dyDescent="0.25">
      <c r="A31" s="51" t="s">
        <v>730</v>
      </c>
      <c r="B31" s="52">
        <v>8.08</v>
      </c>
      <c r="C31" s="52">
        <v>3.12</v>
      </c>
      <c r="D31" s="52">
        <v>11.88</v>
      </c>
      <c r="E31" s="52">
        <v>6.1</v>
      </c>
      <c r="F31" s="52">
        <v>4.4400000000000004</v>
      </c>
      <c r="G31" s="52">
        <v>47.57</v>
      </c>
      <c r="H31" s="52">
        <v>22.74</v>
      </c>
      <c r="I31" s="52">
        <v>4.2300000000000004</v>
      </c>
      <c r="J31" s="52">
        <v>0.14000000000000001</v>
      </c>
      <c r="K31" s="52">
        <v>346.57</v>
      </c>
      <c r="L31" s="52">
        <v>28.98</v>
      </c>
      <c r="M31" s="52">
        <v>99.64</v>
      </c>
      <c r="N31" s="52">
        <v>31.8</v>
      </c>
      <c r="O31" s="52">
        <v>0</v>
      </c>
      <c r="P31" s="52">
        <v>0.71</v>
      </c>
      <c r="Q31" s="52">
        <v>10.050000000000001</v>
      </c>
      <c r="R31" s="43"/>
      <c r="S31" s="43"/>
      <c r="T31" s="43"/>
      <c r="U31" s="43"/>
    </row>
    <row r="32" spans="1:21" s="11" customFormat="1" x14ac:dyDescent="0.25">
      <c r="A32" s="51" t="s">
        <v>731</v>
      </c>
      <c r="B32" s="52">
        <v>8.07</v>
      </c>
      <c r="C32" s="52">
        <v>3.1</v>
      </c>
      <c r="D32" s="52">
        <v>11.87</v>
      </c>
      <c r="E32" s="52">
        <v>5.8</v>
      </c>
      <c r="F32" s="52">
        <v>3.68</v>
      </c>
      <c r="G32" s="52">
        <v>46.64</v>
      </c>
      <c r="H32" s="52">
        <v>39.799999999999997</v>
      </c>
      <c r="I32" s="52">
        <v>4.4800000000000004</v>
      </c>
      <c r="J32" s="52">
        <v>0.12</v>
      </c>
      <c r="K32" s="52">
        <v>341.44</v>
      </c>
      <c r="L32" s="52">
        <v>28.23</v>
      </c>
      <c r="M32" s="52">
        <v>100.85</v>
      </c>
      <c r="N32" s="52">
        <v>32</v>
      </c>
      <c r="O32" s="52">
        <v>0</v>
      </c>
      <c r="P32" s="52">
        <v>0.69</v>
      </c>
      <c r="Q32" s="52">
        <v>10.09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7.93</v>
      </c>
      <c r="C34" s="28">
        <f t="shared" si="0"/>
        <v>2.95</v>
      </c>
      <c r="D34" s="28">
        <f t="shared" si="0"/>
        <v>11.68</v>
      </c>
      <c r="E34" s="28">
        <f t="shared" si="0"/>
        <v>3.58</v>
      </c>
      <c r="F34" s="28">
        <f t="shared" si="0"/>
        <v>3.52</v>
      </c>
      <c r="G34" s="28">
        <f t="shared" si="0"/>
        <v>20.11</v>
      </c>
      <c r="H34" s="28">
        <f t="shared" si="0"/>
        <v>1.57</v>
      </c>
      <c r="I34" s="28">
        <f t="shared" si="0"/>
        <v>2.31</v>
      </c>
      <c r="J34" s="28">
        <f t="shared" si="0"/>
        <v>0.08</v>
      </c>
      <c r="K34" s="28">
        <f t="shared" si="0"/>
        <v>197.98</v>
      </c>
      <c r="L34" s="28">
        <f t="shared" si="0"/>
        <v>25.8</v>
      </c>
      <c r="M34" s="28">
        <f t="shared" si="0"/>
        <v>67.150000000000006</v>
      </c>
      <c r="N34" s="28">
        <f t="shared" si="0"/>
        <v>25.4</v>
      </c>
      <c r="O34" s="28">
        <f t="shared" si="0"/>
        <v>0</v>
      </c>
      <c r="P34" s="28">
        <f t="shared" si="0"/>
        <v>0.26</v>
      </c>
      <c r="Q34" s="28">
        <f t="shared" si="0"/>
        <v>9.51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8.08</v>
      </c>
      <c r="C35" s="29">
        <f t="shared" si="1"/>
        <v>3.13</v>
      </c>
      <c r="D35" s="29">
        <f t="shared" si="1"/>
        <v>11.88</v>
      </c>
      <c r="E35" s="29">
        <f t="shared" si="1"/>
        <v>6.54</v>
      </c>
      <c r="F35" s="29">
        <f t="shared" si="1"/>
        <v>20.46</v>
      </c>
      <c r="G35" s="29">
        <f t="shared" si="1"/>
        <v>48.16</v>
      </c>
      <c r="H35" s="29">
        <f t="shared" si="1"/>
        <v>44.85</v>
      </c>
      <c r="I35" s="29">
        <f t="shared" si="1"/>
        <v>4.4800000000000004</v>
      </c>
      <c r="J35" s="29">
        <f t="shared" si="1"/>
        <v>0.75</v>
      </c>
      <c r="K35" s="29">
        <f t="shared" si="1"/>
        <v>359.13</v>
      </c>
      <c r="L35" s="29">
        <f t="shared" si="1"/>
        <v>35.26</v>
      </c>
      <c r="M35" s="29">
        <f t="shared" si="1"/>
        <v>104.08</v>
      </c>
      <c r="N35" s="29">
        <f t="shared" si="1"/>
        <v>748.6</v>
      </c>
      <c r="O35" s="29">
        <f t="shared" si="1"/>
        <v>0</v>
      </c>
      <c r="P35" s="29">
        <f t="shared" si="1"/>
        <v>0.71</v>
      </c>
      <c r="Q35" s="29">
        <f t="shared" si="1"/>
        <v>10.09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7.9954166666666673</v>
      </c>
      <c r="C36" s="28">
        <f t="shared" si="2"/>
        <v>3.0387500000000003</v>
      </c>
      <c r="D36" s="28">
        <f t="shared" si="2"/>
        <v>11.77083333333333</v>
      </c>
      <c r="E36" s="28">
        <f t="shared" si="2"/>
        <v>4.7720833333333328</v>
      </c>
      <c r="F36" s="28">
        <f t="shared" si="2"/>
        <v>5.2812499999999991</v>
      </c>
      <c r="G36" s="28">
        <f t="shared" si="2"/>
        <v>35.345833333333339</v>
      </c>
      <c r="H36" s="28">
        <f t="shared" si="2"/>
        <v>22.085833333333337</v>
      </c>
      <c r="I36" s="28">
        <f t="shared" si="2"/>
        <v>3.2754166666666666</v>
      </c>
      <c r="J36" s="28">
        <f t="shared" si="2"/>
        <v>0.24083333333333332</v>
      </c>
      <c r="K36" s="28">
        <f t="shared" si="2"/>
        <v>333.68416666666661</v>
      </c>
      <c r="L36" s="28">
        <f t="shared" si="2"/>
        <v>30.182499999999994</v>
      </c>
      <c r="M36" s="28">
        <f t="shared" si="2"/>
        <v>88.787083333333328</v>
      </c>
      <c r="N36" s="28">
        <f t="shared" si="2"/>
        <v>203.40833333333333</v>
      </c>
      <c r="O36" s="28">
        <f t="shared" si="2"/>
        <v>0</v>
      </c>
      <c r="P36" s="28">
        <f t="shared" si="2"/>
        <v>0.46958333333333324</v>
      </c>
      <c r="Q36" s="28">
        <f t="shared" si="2"/>
        <v>9.711666666666666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3.7297763852619854E-2</v>
      </c>
      <c r="C37" s="28">
        <f t="shared" ref="C37:Q37" si="3">STDEV(C9:C32)</f>
        <v>4.9809419399041016E-2</v>
      </c>
      <c r="D37" s="28">
        <f t="shared" si="3"/>
        <v>5.1407719490251781E-2</v>
      </c>
      <c r="E37" s="28">
        <f t="shared" si="3"/>
        <v>0.89165200448463056</v>
      </c>
      <c r="F37" s="28">
        <f t="shared" si="3"/>
        <v>3.503314346878323</v>
      </c>
      <c r="G37" s="28">
        <f t="shared" si="3"/>
        <v>8.7969485404421963</v>
      </c>
      <c r="H37" s="28">
        <f t="shared" si="3"/>
        <v>11.3238032928205</v>
      </c>
      <c r="I37" s="28">
        <f t="shared" si="3"/>
        <v>0.68686419875855542</v>
      </c>
      <c r="J37" s="28">
        <f t="shared" si="3"/>
        <v>0.15171244730300373</v>
      </c>
      <c r="K37" s="28">
        <f t="shared" si="3"/>
        <v>33.872497233605017</v>
      </c>
      <c r="L37" s="28">
        <f t="shared" si="3"/>
        <v>2.732653193923603</v>
      </c>
      <c r="M37" s="28">
        <f t="shared" si="3"/>
        <v>13.933323670771912</v>
      </c>
      <c r="N37" s="28">
        <f t="shared" si="3"/>
        <v>240.06791053088847</v>
      </c>
      <c r="O37" s="28">
        <f t="shared" si="3"/>
        <v>0</v>
      </c>
      <c r="P37" s="28">
        <f t="shared" si="3"/>
        <v>0.13456788061329397</v>
      </c>
      <c r="Q37" s="28">
        <f t="shared" si="3"/>
        <v>0.15552622221703155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732</v>
      </c>
      <c r="B9" s="52">
        <v>8.07</v>
      </c>
      <c r="C9" s="52">
        <v>3.11</v>
      </c>
      <c r="D9" s="52">
        <v>11.87</v>
      </c>
      <c r="E9" s="52">
        <v>4.3099999999999996</v>
      </c>
      <c r="F9" s="52">
        <v>4.0599999999999996</v>
      </c>
      <c r="G9" s="52">
        <v>40.86</v>
      </c>
      <c r="H9" s="52">
        <v>30.6</v>
      </c>
      <c r="I9" s="52">
        <v>4.9000000000000004</v>
      </c>
      <c r="J9" s="52">
        <v>0.11</v>
      </c>
      <c r="K9" s="52">
        <v>356.42</v>
      </c>
      <c r="L9" s="52">
        <v>28.04</v>
      </c>
      <c r="M9" s="52">
        <v>97.85</v>
      </c>
      <c r="N9" s="52">
        <v>31.8</v>
      </c>
      <c r="O9" s="52">
        <v>0</v>
      </c>
      <c r="P9" s="52">
        <v>0.66</v>
      </c>
      <c r="Q9" s="52">
        <v>10.08</v>
      </c>
      <c r="R9" s="43"/>
      <c r="S9" s="43"/>
      <c r="T9" s="43"/>
      <c r="U9" s="43"/>
    </row>
    <row r="10" spans="1:21" s="11" customFormat="1" x14ac:dyDescent="0.25">
      <c r="A10" s="51" t="s">
        <v>733</v>
      </c>
      <c r="B10" s="52">
        <v>8.0399999999999991</v>
      </c>
      <c r="C10" s="52">
        <v>3.08</v>
      </c>
      <c r="D10" s="52">
        <v>11.83</v>
      </c>
      <c r="E10" s="52">
        <v>4.5199999999999996</v>
      </c>
      <c r="F10" s="52">
        <v>4.54</v>
      </c>
      <c r="G10" s="52">
        <v>43.64</v>
      </c>
      <c r="H10" s="52">
        <v>26.19</v>
      </c>
      <c r="I10" s="52">
        <v>4.87</v>
      </c>
      <c r="J10" s="52">
        <v>0.19</v>
      </c>
      <c r="K10" s="52">
        <v>343.28</v>
      </c>
      <c r="L10" s="52">
        <v>27.89</v>
      </c>
      <c r="M10" s="52">
        <v>100.08</v>
      </c>
      <c r="N10" s="52">
        <v>31.8</v>
      </c>
      <c r="O10" s="52">
        <v>0</v>
      </c>
      <c r="P10" s="52">
        <v>0.59</v>
      </c>
      <c r="Q10" s="52">
        <v>9.91</v>
      </c>
      <c r="R10" s="43"/>
      <c r="S10" s="43"/>
      <c r="T10" s="43"/>
      <c r="U10" s="43"/>
    </row>
    <row r="11" spans="1:21" s="11" customFormat="1" x14ac:dyDescent="0.25">
      <c r="A11" s="51" t="s">
        <v>734</v>
      </c>
      <c r="B11" s="52">
        <v>8.0399999999999991</v>
      </c>
      <c r="C11" s="52">
        <v>3.06</v>
      </c>
      <c r="D11" s="52">
        <v>11.82</v>
      </c>
      <c r="E11" s="52">
        <v>4.2</v>
      </c>
      <c r="F11" s="52">
        <v>3.14</v>
      </c>
      <c r="G11" s="52">
        <v>44.25</v>
      </c>
      <c r="H11" s="52">
        <v>35.07</v>
      </c>
      <c r="I11" s="52">
        <v>4.91</v>
      </c>
      <c r="J11" s="52">
        <v>0.09</v>
      </c>
      <c r="K11" s="52">
        <v>339.75</v>
      </c>
      <c r="L11" s="52">
        <v>27.7</v>
      </c>
      <c r="M11" s="52">
        <v>100.48</v>
      </c>
      <c r="N11" s="52">
        <v>32</v>
      </c>
      <c r="O11" s="52">
        <v>0</v>
      </c>
      <c r="P11" s="52">
        <v>0.55000000000000004</v>
      </c>
      <c r="Q11" s="52">
        <v>9.91</v>
      </c>
      <c r="R11" s="43"/>
      <c r="S11" s="43"/>
      <c r="T11" s="43"/>
      <c r="U11" s="43"/>
    </row>
    <row r="12" spans="1:21" s="11" customFormat="1" x14ac:dyDescent="0.25">
      <c r="A12" s="51" t="s">
        <v>735</v>
      </c>
      <c r="B12" s="52">
        <v>8.09</v>
      </c>
      <c r="C12" s="52">
        <v>3.15</v>
      </c>
      <c r="D12" s="52">
        <v>11.91</v>
      </c>
      <c r="E12" s="52">
        <v>4.24</v>
      </c>
      <c r="F12" s="52">
        <v>3.78</v>
      </c>
      <c r="G12" s="52">
        <v>44.27</v>
      </c>
      <c r="H12" s="52">
        <v>35.07</v>
      </c>
      <c r="I12" s="52">
        <v>5.35</v>
      </c>
      <c r="J12" s="52">
        <v>0.1</v>
      </c>
      <c r="K12" s="52">
        <v>319.89</v>
      </c>
      <c r="L12" s="52">
        <v>27.47</v>
      </c>
      <c r="M12" s="52">
        <v>102.7</v>
      </c>
      <c r="N12" s="52">
        <v>32</v>
      </c>
      <c r="O12" s="52">
        <v>0.2</v>
      </c>
      <c r="P12" s="52">
        <v>0.51</v>
      </c>
      <c r="Q12" s="52">
        <v>9.93</v>
      </c>
      <c r="R12" s="43"/>
      <c r="S12" s="43"/>
      <c r="T12" s="43"/>
      <c r="U12" s="43"/>
    </row>
    <row r="13" spans="1:21" s="11" customFormat="1" x14ac:dyDescent="0.25">
      <c r="A13" s="51" t="s">
        <v>736</v>
      </c>
      <c r="B13" s="52">
        <v>8.02</v>
      </c>
      <c r="C13" s="52">
        <v>3.03</v>
      </c>
      <c r="D13" s="52">
        <v>11.78</v>
      </c>
      <c r="E13" s="52">
        <v>5.15</v>
      </c>
      <c r="F13" s="52">
        <v>4.1500000000000004</v>
      </c>
      <c r="G13" s="52">
        <v>35.71</v>
      </c>
      <c r="H13" s="52">
        <v>32.85</v>
      </c>
      <c r="I13" s="52">
        <v>5.48</v>
      </c>
      <c r="J13" s="52">
        <v>0.13</v>
      </c>
      <c r="K13" s="52">
        <v>358.08</v>
      </c>
      <c r="L13" s="52">
        <v>26.64</v>
      </c>
      <c r="M13" s="52">
        <v>102.73</v>
      </c>
      <c r="N13" s="52">
        <v>32</v>
      </c>
      <c r="O13" s="52">
        <v>0.2</v>
      </c>
      <c r="P13" s="52">
        <v>0.47</v>
      </c>
      <c r="Q13" s="52">
        <v>9.91</v>
      </c>
      <c r="R13" s="43"/>
      <c r="S13" s="43"/>
      <c r="T13" s="43"/>
      <c r="U13" s="43"/>
    </row>
    <row r="14" spans="1:21" s="11" customFormat="1" x14ac:dyDescent="0.25">
      <c r="A14" s="51" t="s">
        <v>737</v>
      </c>
      <c r="B14" s="52">
        <v>8.01</v>
      </c>
      <c r="C14" s="52">
        <v>3.02</v>
      </c>
      <c r="D14" s="52">
        <v>11.78</v>
      </c>
      <c r="E14" s="52">
        <v>5.27</v>
      </c>
      <c r="F14" s="52">
        <v>4.6900000000000004</v>
      </c>
      <c r="G14" s="52">
        <v>31.55</v>
      </c>
      <c r="H14" s="52">
        <v>20.27</v>
      </c>
      <c r="I14" s="52">
        <v>5.36</v>
      </c>
      <c r="J14" s="52">
        <v>0.09</v>
      </c>
      <c r="K14" s="52">
        <v>347.71</v>
      </c>
      <c r="L14" s="52">
        <v>26.31</v>
      </c>
      <c r="M14" s="52">
        <v>102.74</v>
      </c>
      <c r="N14" s="52">
        <v>32</v>
      </c>
      <c r="O14" s="52">
        <v>0.2</v>
      </c>
      <c r="P14" s="52">
        <v>0.44</v>
      </c>
      <c r="Q14" s="52">
        <v>9.77</v>
      </c>
      <c r="R14" s="43"/>
      <c r="S14" s="43"/>
      <c r="T14" s="43"/>
      <c r="U14" s="43"/>
    </row>
    <row r="15" spans="1:21" s="11" customFormat="1" x14ac:dyDescent="0.25">
      <c r="A15" s="51" t="s">
        <v>738</v>
      </c>
      <c r="B15" s="52">
        <v>8</v>
      </c>
      <c r="C15" s="52">
        <v>3.02</v>
      </c>
      <c r="D15" s="52">
        <v>11.77</v>
      </c>
      <c r="E15" s="52">
        <v>4.8499999999999996</v>
      </c>
      <c r="F15" s="52">
        <v>4.08</v>
      </c>
      <c r="G15" s="52">
        <v>27.32</v>
      </c>
      <c r="H15" s="52">
        <v>15.06</v>
      </c>
      <c r="I15" s="52">
        <v>4.82</v>
      </c>
      <c r="J15" s="52">
        <v>0.1</v>
      </c>
      <c r="K15" s="52">
        <v>353.45</v>
      </c>
      <c r="L15" s="52">
        <v>26.55</v>
      </c>
      <c r="M15" s="52">
        <v>102.74</v>
      </c>
      <c r="N15" s="52">
        <v>51.3</v>
      </c>
      <c r="O15" s="52">
        <v>0.4</v>
      </c>
      <c r="P15" s="52">
        <v>0.42</v>
      </c>
      <c r="Q15" s="52">
        <v>9.8000000000000007</v>
      </c>
      <c r="R15" s="43"/>
      <c r="S15" s="43"/>
      <c r="T15" s="43"/>
      <c r="U15" s="43"/>
    </row>
    <row r="16" spans="1:21" s="11" customFormat="1" x14ac:dyDescent="0.25">
      <c r="A16" s="51" t="s">
        <v>739</v>
      </c>
      <c r="B16" s="52">
        <v>8.0500000000000007</v>
      </c>
      <c r="C16" s="52">
        <v>3.03</v>
      </c>
      <c r="D16" s="52">
        <v>11.81</v>
      </c>
      <c r="E16" s="52">
        <v>4.9800000000000004</v>
      </c>
      <c r="F16" s="52">
        <v>3.71</v>
      </c>
      <c r="G16" s="52">
        <v>27.43</v>
      </c>
      <c r="H16" s="52">
        <v>14.14</v>
      </c>
      <c r="I16" s="52">
        <v>4.91</v>
      </c>
      <c r="J16" s="52">
        <v>0.11</v>
      </c>
      <c r="K16" s="52">
        <v>320.82</v>
      </c>
      <c r="L16" s="52">
        <v>26.3</v>
      </c>
      <c r="M16" s="52">
        <v>102.78</v>
      </c>
      <c r="N16" s="52">
        <v>76</v>
      </c>
      <c r="O16" s="52">
        <v>0.4</v>
      </c>
      <c r="P16" s="52">
        <v>0.42</v>
      </c>
      <c r="Q16" s="52">
        <v>9.9600000000000009</v>
      </c>
      <c r="R16" s="43"/>
      <c r="S16" s="43"/>
      <c r="T16" s="43"/>
      <c r="U16" s="43"/>
    </row>
    <row r="17" spans="1:21" s="11" customFormat="1" x14ac:dyDescent="0.25">
      <c r="A17" s="51" t="s">
        <v>740</v>
      </c>
      <c r="B17" s="52">
        <v>8.14</v>
      </c>
      <c r="C17" s="52">
        <v>3.2</v>
      </c>
      <c r="D17" s="52">
        <v>11.97</v>
      </c>
      <c r="E17" s="52">
        <v>5.38</v>
      </c>
      <c r="F17" s="52">
        <v>4.6500000000000004</v>
      </c>
      <c r="G17" s="52">
        <v>24.87</v>
      </c>
      <c r="H17" s="52">
        <v>12.02</v>
      </c>
      <c r="I17" s="52">
        <v>5.2</v>
      </c>
      <c r="J17" s="52">
        <v>0.15</v>
      </c>
      <c r="K17" s="52">
        <v>318.33999999999997</v>
      </c>
      <c r="L17" s="52">
        <v>27.42</v>
      </c>
      <c r="M17" s="52">
        <v>102.78</v>
      </c>
      <c r="N17" s="52">
        <v>150.19999999999999</v>
      </c>
      <c r="O17" s="52">
        <v>0.2</v>
      </c>
      <c r="P17" s="52">
        <v>0.45</v>
      </c>
      <c r="Q17" s="52">
        <v>10</v>
      </c>
      <c r="R17" s="43"/>
      <c r="S17" s="43"/>
      <c r="T17" s="43"/>
      <c r="U17" s="43"/>
    </row>
    <row r="18" spans="1:21" s="11" customFormat="1" x14ac:dyDescent="0.25">
      <c r="A18" s="51" t="s">
        <v>741</v>
      </c>
      <c r="B18" s="52">
        <v>8.0399999999999991</v>
      </c>
      <c r="C18" s="52">
        <v>3.1</v>
      </c>
      <c r="D18" s="52">
        <v>11.84</v>
      </c>
      <c r="E18" s="52">
        <v>5.44</v>
      </c>
      <c r="F18" s="52">
        <v>4.0199999999999996</v>
      </c>
      <c r="G18" s="52">
        <v>22.1</v>
      </c>
      <c r="H18" s="52">
        <v>38.72</v>
      </c>
      <c r="I18" s="52">
        <v>5.13</v>
      </c>
      <c r="J18" s="52">
        <v>0.36</v>
      </c>
      <c r="K18" s="52">
        <v>325.41000000000003</v>
      </c>
      <c r="L18" s="52">
        <v>29.34</v>
      </c>
      <c r="M18" s="52">
        <v>102.79</v>
      </c>
      <c r="N18" s="52">
        <v>263.3</v>
      </c>
      <c r="O18" s="52">
        <v>0</v>
      </c>
      <c r="P18" s="52">
        <v>0.5</v>
      </c>
      <c r="Q18" s="52">
        <v>9.9600000000000009</v>
      </c>
      <c r="R18" s="43"/>
      <c r="S18" s="43"/>
      <c r="T18" s="43"/>
      <c r="U18" s="43"/>
    </row>
    <row r="19" spans="1:21" s="11" customFormat="1" x14ac:dyDescent="0.25">
      <c r="A19" s="51" t="s">
        <v>742</v>
      </c>
      <c r="B19" s="52">
        <v>8.0299999999999994</v>
      </c>
      <c r="C19" s="52">
        <v>3.13</v>
      </c>
      <c r="D19" s="52">
        <v>11.84</v>
      </c>
      <c r="E19" s="52">
        <v>5.17</v>
      </c>
      <c r="F19" s="52">
        <v>4.3099999999999996</v>
      </c>
      <c r="G19" s="52">
        <v>42.37</v>
      </c>
      <c r="H19" s="52">
        <v>38.72</v>
      </c>
      <c r="I19" s="52">
        <v>4.71</v>
      </c>
      <c r="J19" s="52">
        <v>0.44</v>
      </c>
      <c r="K19" s="52">
        <v>350.2</v>
      </c>
      <c r="L19" s="52">
        <v>29.78</v>
      </c>
      <c r="M19" s="52">
        <v>102.58</v>
      </c>
      <c r="N19" s="52">
        <v>171.9</v>
      </c>
      <c r="O19" s="52">
        <v>0</v>
      </c>
      <c r="P19" s="52">
        <v>0.59</v>
      </c>
      <c r="Q19" s="52">
        <v>10.029999999999999</v>
      </c>
      <c r="R19" s="43"/>
      <c r="S19" s="43"/>
      <c r="T19" s="43"/>
      <c r="U19" s="43"/>
    </row>
    <row r="20" spans="1:21" s="11" customFormat="1" x14ac:dyDescent="0.25">
      <c r="A20" s="51" t="s">
        <v>743</v>
      </c>
      <c r="B20" s="52">
        <v>8.1199999999999992</v>
      </c>
      <c r="C20" s="52">
        <v>3.38</v>
      </c>
      <c r="D20" s="52">
        <v>12.05</v>
      </c>
      <c r="E20" s="52">
        <v>5.22</v>
      </c>
      <c r="F20" s="52">
        <v>3.73</v>
      </c>
      <c r="G20" s="52">
        <v>56.66</v>
      </c>
      <c r="H20" s="52">
        <v>32.020000000000003</v>
      </c>
      <c r="I20" s="52">
        <v>4.53</v>
      </c>
      <c r="J20" s="52">
        <v>0.56999999999999995</v>
      </c>
      <c r="K20" s="52">
        <v>347.78</v>
      </c>
      <c r="L20" s="52">
        <v>28.87</v>
      </c>
      <c r="M20" s="52">
        <v>102.9</v>
      </c>
      <c r="N20" s="52">
        <v>129.30000000000001</v>
      </c>
      <c r="O20" s="52">
        <v>0</v>
      </c>
      <c r="P20" s="52">
        <v>0.95</v>
      </c>
      <c r="Q20" s="52">
        <v>10.199999999999999</v>
      </c>
      <c r="R20" s="43"/>
      <c r="S20" s="43"/>
      <c r="T20" s="43"/>
      <c r="U20" s="43"/>
    </row>
    <row r="21" spans="1:21" s="11" customFormat="1" x14ac:dyDescent="0.25">
      <c r="A21" s="51" t="s">
        <v>744</v>
      </c>
      <c r="B21" s="52">
        <v>8.0500000000000007</v>
      </c>
      <c r="C21" s="52">
        <v>3.15</v>
      </c>
      <c r="D21" s="52">
        <v>11.85</v>
      </c>
      <c r="E21" s="52">
        <v>4.6500000000000004</v>
      </c>
      <c r="F21" s="52">
        <v>4.49</v>
      </c>
      <c r="G21" s="52">
        <v>57.28</v>
      </c>
      <c r="H21" s="52">
        <v>27.55</v>
      </c>
      <c r="I21" s="52">
        <v>6.03</v>
      </c>
      <c r="J21" s="52">
        <v>1.42</v>
      </c>
      <c r="K21" s="52">
        <v>115.23</v>
      </c>
      <c r="L21" s="52">
        <v>27.52</v>
      </c>
      <c r="M21" s="52">
        <v>102.92</v>
      </c>
      <c r="N21" s="52">
        <v>132.4</v>
      </c>
      <c r="O21" s="52">
        <v>0.2</v>
      </c>
      <c r="P21" s="52">
        <v>0.85</v>
      </c>
      <c r="Q21" s="52">
        <v>10.25</v>
      </c>
      <c r="R21" s="43"/>
      <c r="S21" s="43"/>
      <c r="T21" s="43"/>
      <c r="U21" s="43"/>
    </row>
    <row r="22" spans="1:21" s="11" customFormat="1" x14ac:dyDescent="0.25">
      <c r="A22" s="51" t="s">
        <v>745</v>
      </c>
      <c r="B22" s="52">
        <v>7.99</v>
      </c>
      <c r="C22" s="52">
        <v>3.06</v>
      </c>
      <c r="D22" s="52">
        <v>11.78</v>
      </c>
      <c r="E22" s="52">
        <v>4.9000000000000004</v>
      </c>
      <c r="F22" s="52">
        <v>4.32</v>
      </c>
      <c r="G22" s="52">
        <v>46.64</v>
      </c>
      <c r="H22" s="52">
        <v>23.06</v>
      </c>
      <c r="I22" s="52">
        <v>6.51</v>
      </c>
      <c r="J22" s="52">
        <v>0.78</v>
      </c>
      <c r="K22" s="52">
        <v>110.11</v>
      </c>
      <c r="L22" s="52">
        <v>26.82</v>
      </c>
      <c r="M22" s="52">
        <v>102.88</v>
      </c>
      <c r="N22" s="52">
        <v>161</v>
      </c>
      <c r="O22" s="52">
        <v>0.2</v>
      </c>
      <c r="P22" s="52">
        <v>0.53</v>
      </c>
      <c r="Q22" s="52">
        <v>10.09</v>
      </c>
      <c r="R22" s="43"/>
      <c r="S22" s="43"/>
      <c r="T22" s="43"/>
      <c r="U22" s="43"/>
    </row>
    <row r="23" spans="1:21" s="11" customFormat="1" x14ac:dyDescent="0.25">
      <c r="A23" s="51" t="s">
        <v>746</v>
      </c>
      <c r="B23" s="52">
        <v>8</v>
      </c>
      <c r="C23" s="52">
        <v>3.01</v>
      </c>
      <c r="D23" s="52">
        <v>11.76</v>
      </c>
      <c r="E23" s="52">
        <v>4.59</v>
      </c>
      <c r="F23" s="52">
        <v>6.65</v>
      </c>
      <c r="G23" s="52">
        <v>29.85</v>
      </c>
      <c r="H23" s="52">
        <v>23.06</v>
      </c>
      <c r="I23" s="52">
        <v>5.3</v>
      </c>
      <c r="J23" s="52">
        <v>0.5</v>
      </c>
      <c r="K23" s="52">
        <v>164.52</v>
      </c>
      <c r="L23" s="52">
        <v>27.14</v>
      </c>
      <c r="M23" s="52">
        <v>102.83</v>
      </c>
      <c r="N23" s="52">
        <v>241.5</v>
      </c>
      <c r="O23" s="52">
        <v>0</v>
      </c>
      <c r="P23" s="52">
        <v>0.44</v>
      </c>
      <c r="Q23" s="52">
        <v>10.01</v>
      </c>
      <c r="R23" s="43"/>
      <c r="S23" s="43"/>
      <c r="T23" s="43"/>
      <c r="U23" s="43"/>
    </row>
    <row r="24" spans="1:21" s="11" customFormat="1" x14ac:dyDescent="0.25">
      <c r="A24" s="51" t="s">
        <v>747</v>
      </c>
      <c r="B24" s="52">
        <v>7.95</v>
      </c>
      <c r="C24" s="52">
        <v>3.02</v>
      </c>
      <c r="D24" s="52">
        <v>11.71</v>
      </c>
      <c r="E24" s="52">
        <v>5.26</v>
      </c>
      <c r="F24" s="52">
        <v>10.7</v>
      </c>
      <c r="G24" s="52">
        <v>31.81</v>
      </c>
      <c r="H24" s="61" t="s">
        <v>14</v>
      </c>
      <c r="I24" s="52">
        <v>4.34</v>
      </c>
      <c r="J24" s="52">
        <v>0.34</v>
      </c>
      <c r="K24" s="52">
        <v>130.27000000000001</v>
      </c>
      <c r="L24" s="52">
        <v>28.51</v>
      </c>
      <c r="M24" s="52">
        <v>102.14</v>
      </c>
      <c r="N24" s="52">
        <v>240.1</v>
      </c>
      <c r="O24" s="52">
        <v>0</v>
      </c>
      <c r="P24" s="52">
        <v>0.26</v>
      </c>
      <c r="Q24" s="52">
        <v>9.89</v>
      </c>
      <c r="R24" s="43"/>
      <c r="S24" s="43"/>
      <c r="T24" s="43"/>
      <c r="U24" s="43"/>
    </row>
    <row r="25" spans="1:21" s="11" customFormat="1" x14ac:dyDescent="0.25">
      <c r="A25" s="51" t="s">
        <v>748</v>
      </c>
      <c r="B25" s="52">
        <v>7.97</v>
      </c>
      <c r="C25" s="52">
        <v>3.1</v>
      </c>
      <c r="D25" s="52">
        <v>11.79</v>
      </c>
      <c r="E25" s="52">
        <v>3.22</v>
      </c>
      <c r="F25" s="52">
        <v>6.02</v>
      </c>
      <c r="G25" s="52">
        <v>53.56</v>
      </c>
      <c r="H25" s="61" t="s">
        <v>14</v>
      </c>
      <c r="I25" s="52">
        <v>2.48</v>
      </c>
      <c r="J25" s="52">
        <v>0.3</v>
      </c>
      <c r="K25" s="52">
        <v>336.55</v>
      </c>
      <c r="L25" s="52">
        <v>29.67</v>
      </c>
      <c r="M25" s="52">
        <v>88.46</v>
      </c>
      <c r="N25" s="52">
        <v>193.3</v>
      </c>
      <c r="O25" s="52">
        <v>0</v>
      </c>
      <c r="P25" s="52">
        <v>0.45</v>
      </c>
      <c r="Q25" s="52">
        <v>9.69</v>
      </c>
      <c r="R25" s="43"/>
      <c r="S25" s="43"/>
      <c r="T25" s="43"/>
      <c r="U25" s="43"/>
    </row>
    <row r="26" spans="1:21" s="11" customFormat="1" x14ac:dyDescent="0.25">
      <c r="A26" s="51" t="s">
        <v>749</v>
      </c>
      <c r="B26" s="52">
        <v>7.98</v>
      </c>
      <c r="C26" s="52">
        <v>3.1</v>
      </c>
      <c r="D26" s="52">
        <v>11.8</v>
      </c>
      <c r="E26" s="52">
        <v>3.62</v>
      </c>
      <c r="F26" s="52">
        <v>8.18</v>
      </c>
      <c r="G26" s="52">
        <v>54.54</v>
      </c>
      <c r="H26" s="61" t="s">
        <v>14</v>
      </c>
      <c r="I26" s="52">
        <v>3.13</v>
      </c>
      <c r="J26" s="52">
        <v>0.38</v>
      </c>
      <c r="K26" s="52">
        <v>298.3</v>
      </c>
      <c r="L26" s="52">
        <v>28.45</v>
      </c>
      <c r="M26" s="52">
        <v>100.46</v>
      </c>
      <c r="N26" s="52">
        <v>110.6</v>
      </c>
      <c r="O26" s="52">
        <v>0</v>
      </c>
      <c r="P26" s="52">
        <v>0.44</v>
      </c>
      <c r="Q26" s="52">
        <v>9.9</v>
      </c>
      <c r="R26" s="43"/>
      <c r="S26" s="43"/>
      <c r="T26" s="43"/>
      <c r="U26" s="43"/>
    </row>
    <row r="27" spans="1:21" s="11" customFormat="1" x14ac:dyDescent="0.25">
      <c r="A27" s="51" t="s">
        <v>750</v>
      </c>
      <c r="B27" s="52">
        <v>7.9</v>
      </c>
      <c r="C27" s="52">
        <v>3.03</v>
      </c>
      <c r="D27" s="52">
        <v>11.69</v>
      </c>
      <c r="E27" s="52">
        <v>3.5</v>
      </c>
      <c r="F27" s="52">
        <v>3.99</v>
      </c>
      <c r="G27" s="61" t="s">
        <v>14</v>
      </c>
      <c r="H27" s="61" t="s">
        <v>14</v>
      </c>
      <c r="I27" s="52">
        <v>2.73</v>
      </c>
      <c r="J27" s="52">
        <v>0.09</v>
      </c>
      <c r="K27" s="52">
        <v>243.38</v>
      </c>
      <c r="L27" s="52">
        <v>27.73</v>
      </c>
      <c r="M27" s="52">
        <v>101.84</v>
      </c>
      <c r="N27" s="52">
        <v>42.6</v>
      </c>
      <c r="O27" s="52">
        <v>0</v>
      </c>
      <c r="P27" s="52">
        <v>0.42</v>
      </c>
      <c r="Q27" s="52">
        <v>9.6999999999999993</v>
      </c>
      <c r="R27" s="43"/>
      <c r="S27" s="43"/>
      <c r="T27" s="43"/>
      <c r="U27" s="43"/>
    </row>
    <row r="28" spans="1:21" s="11" customFormat="1" x14ac:dyDescent="0.25">
      <c r="A28" s="51" t="s">
        <v>751</v>
      </c>
      <c r="B28" s="52">
        <v>8.01</v>
      </c>
      <c r="C28" s="52">
        <v>3.05</v>
      </c>
      <c r="D28" s="52">
        <v>11.79</v>
      </c>
      <c r="E28" s="52">
        <v>4.09</v>
      </c>
      <c r="F28" s="52">
        <v>3.6</v>
      </c>
      <c r="G28" s="61" t="s">
        <v>14</v>
      </c>
      <c r="H28" s="61" t="s">
        <v>14</v>
      </c>
      <c r="I28" s="52">
        <v>3.1</v>
      </c>
      <c r="J28" s="52">
        <v>0.12</v>
      </c>
      <c r="K28" s="52">
        <v>219.49</v>
      </c>
      <c r="L28" s="52">
        <v>27.23</v>
      </c>
      <c r="M28" s="52">
        <v>102.33</v>
      </c>
      <c r="N28" s="52">
        <v>33.200000000000003</v>
      </c>
      <c r="O28" s="52">
        <v>0</v>
      </c>
      <c r="P28" s="52">
        <v>0.46</v>
      </c>
      <c r="Q28" s="52">
        <v>9.73</v>
      </c>
      <c r="R28" s="43"/>
      <c r="S28" s="43"/>
      <c r="T28" s="43"/>
      <c r="U28" s="43"/>
    </row>
    <row r="29" spans="1:21" s="11" customFormat="1" x14ac:dyDescent="0.25">
      <c r="A29" s="51" t="s">
        <v>752</v>
      </c>
      <c r="B29" s="52">
        <v>8.01</v>
      </c>
      <c r="C29" s="52">
        <v>3.02</v>
      </c>
      <c r="D29" s="52">
        <v>11.77</v>
      </c>
      <c r="E29" s="52">
        <v>5.01</v>
      </c>
      <c r="F29" s="52">
        <v>4.18</v>
      </c>
      <c r="G29" s="61" t="s">
        <v>14</v>
      </c>
      <c r="H29" s="61" t="s">
        <v>14</v>
      </c>
      <c r="I29" s="52">
        <v>4.18</v>
      </c>
      <c r="J29" s="52">
        <v>0.24</v>
      </c>
      <c r="K29" s="52">
        <v>348.62</v>
      </c>
      <c r="L29" s="52">
        <v>27.02</v>
      </c>
      <c r="M29" s="52">
        <v>102.25</v>
      </c>
      <c r="N29" s="52">
        <v>33.299999999999997</v>
      </c>
      <c r="O29" s="52">
        <v>0</v>
      </c>
      <c r="P29" s="52">
        <v>0.51</v>
      </c>
      <c r="Q29" s="52">
        <v>9.84</v>
      </c>
      <c r="R29" s="43"/>
      <c r="S29" s="43"/>
      <c r="T29" s="43"/>
      <c r="U29" s="43"/>
    </row>
    <row r="30" spans="1:21" s="11" customFormat="1" x14ac:dyDescent="0.25">
      <c r="A30" s="51" t="s">
        <v>753</v>
      </c>
      <c r="B30" s="52">
        <v>8.01</v>
      </c>
      <c r="C30" s="52">
        <v>3.03</v>
      </c>
      <c r="D30" s="52">
        <v>11.78</v>
      </c>
      <c r="E30" s="52">
        <v>5.0999999999999996</v>
      </c>
      <c r="F30" s="52">
        <v>4.76</v>
      </c>
      <c r="G30" s="61" t="s">
        <v>14</v>
      </c>
      <c r="H30" s="61" t="s">
        <v>14</v>
      </c>
      <c r="I30" s="52">
        <v>4.7300000000000004</v>
      </c>
      <c r="J30" s="52">
        <v>0.81</v>
      </c>
      <c r="K30" s="52">
        <v>167.75</v>
      </c>
      <c r="L30" s="52">
        <v>26.55</v>
      </c>
      <c r="M30" s="52">
        <v>102.09</v>
      </c>
      <c r="N30" s="52">
        <v>33.200000000000003</v>
      </c>
      <c r="O30" s="52">
        <v>0</v>
      </c>
      <c r="P30" s="52">
        <v>0.52</v>
      </c>
      <c r="Q30" s="52">
        <v>9.86</v>
      </c>
      <c r="R30" s="43"/>
      <c r="S30" s="43"/>
      <c r="T30" s="43"/>
      <c r="U30" s="43"/>
    </row>
    <row r="31" spans="1:21" s="11" customFormat="1" x14ac:dyDescent="0.25">
      <c r="A31" s="51" t="s">
        <v>754</v>
      </c>
      <c r="B31" s="52">
        <v>7.95</v>
      </c>
      <c r="C31" s="52">
        <v>3.02</v>
      </c>
      <c r="D31" s="52">
        <v>11.73</v>
      </c>
      <c r="E31" s="52">
        <v>5.43</v>
      </c>
      <c r="F31" s="52">
        <v>4.57</v>
      </c>
      <c r="G31" s="61" t="s">
        <v>14</v>
      </c>
      <c r="H31" s="61" t="s">
        <v>14</v>
      </c>
      <c r="I31" s="52">
        <v>4.75</v>
      </c>
      <c r="J31" s="52">
        <v>0.66</v>
      </c>
      <c r="K31" s="52">
        <v>158.07</v>
      </c>
      <c r="L31" s="52">
        <v>26.17</v>
      </c>
      <c r="M31" s="52">
        <v>101.8</v>
      </c>
      <c r="N31" s="52">
        <v>33.4</v>
      </c>
      <c r="O31" s="52">
        <v>0</v>
      </c>
      <c r="P31" s="52">
        <v>0.5</v>
      </c>
      <c r="Q31" s="52">
        <v>9.85</v>
      </c>
      <c r="R31" s="43"/>
      <c r="S31" s="43"/>
      <c r="T31" s="43"/>
      <c r="U31" s="43"/>
    </row>
    <row r="32" spans="1:21" s="11" customFormat="1" x14ac:dyDescent="0.25">
      <c r="A32" s="51" t="s">
        <v>755</v>
      </c>
      <c r="B32" s="52">
        <v>8.02</v>
      </c>
      <c r="C32" s="52">
        <v>3.09</v>
      </c>
      <c r="D32" s="52">
        <v>11.82</v>
      </c>
      <c r="E32" s="52">
        <v>4.9800000000000004</v>
      </c>
      <c r="F32" s="52">
        <v>3.73</v>
      </c>
      <c r="G32" s="61" t="s">
        <v>14</v>
      </c>
      <c r="H32" s="61" t="s">
        <v>14</v>
      </c>
      <c r="I32" s="52">
        <v>4.63</v>
      </c>
      <c r="J32" s="52">
        <v>0.26</v>
      </c>
      <c r="K32" s="52">
        <v>170.39</v>
      </c>
      <c r="L32" s="52">
        <v>26</v>
      </c>
      <c r="M32" s="52">
        <v>101.89</v>
      </c>
      <c r="N32" s="52">
        <v>33.5</v>
      </c>
      <c r="O32" s="52">
        <v>0</v>
      </c>
      <c r="P32" s="52">
        <v>0.47</v>
      </c>
      <c r="Q32" s="52">
        <v>9.84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</v>
      </c>
      <c r="C34" s="28">
        <f t="shared" si="0"/>
        <v>3.01</v>
      </c>
      <c r="D34" s="28">
        <f t="shared" si="0"/>
        <v>11.69</v>
      </c>
      <c r="E34" s="28">
        <f t="shared" si="0"/>
        <v>3.22</v>
      </c>
      <c r="F34" s="28">
        <f t="shared" si="0"/>
        <v>3.14</v>
      </c>
      <c r="G34" s="28">
        <f t="shared" si="0"/>
        <v>22.1</v>
      </c>
      <c r="H34" s="28">
        <f t="shared" si="0"/>
        <v>12.02</v>
      </c>
      <c r="I34" s="28">
        <f t="shared" si="0"/>
        <v>2.48</v>
      </c>
      <c r="J34" s="28">
        <f t="shared" si="0"/>
        <v>0.09</v>
      </c>
      <c r="K34" s="28">
        <f t="shared" si="0"/>
        <v>110.11</v>
      </c>
      <c r="L34" s="28">
        <f t="shared" si="0"/>
        <v>26</v>
      </c>
      <c r="M34" s="28">
        <f t="shared" si="0"/>
        <v>88.46</v>
      </c>
      <c r="N34" s="28">
        <f t="shared" si="0"/>
        <v>31.8</v>
      </c>
      <c r="O34" s="28">
        <f t="shared" si="0"/>
        <v>0</v>
      </c>
      <c r="P34" s="28">
        <f t="shared" si="0"/>
        <v>0.26</v>
      </c>
      <c r="Q34" s="28">
        <f t="shared" si="0"/>
        <v>9.69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8.14</v>
      </c>
      <c r="C35" s="29">
        <f t="shared" si="1"/>
        <v>3.38</v>
      </c>
      <c r="D35" s="29">
        <f t="shared" si="1"/>
        <v>12.05</v>
      </c>
      <c r="E35" s="29">
        <f t="shared" si="1"/>
        <v>5.44</v>
      </c>
      <c r="F35" s="29">
        <f t="shared" si="1"/>
        <v>10.7</v>
      </c>
      <c r="G35" s="29">
        <f t="shared" si="1"/>
        <v>57.28</v>
      </c>
      <c r="H35" s="29">
        <f t="shared" si="1"/>
        <v>38.72</v>
      </c>
      <c r="I35" s="29">
        <f t="shared" si="1"/>
        <v>6.51</v>
      </c>
      <c r="J35" s="29">
        <f t="shared" si="1"/>
        <v>1.42</v>
      </c>
      <c r="K35" s="29">
        <f t="shared" si="1"/>
        <v>358.08</v>
      </c>
      <c r="L35" s="29">
        <f t="shared" si="1"/>
        <v>29.78</v>
      </c>
      <c r="M35" s="29">
        <f t="shared" si="1"/>
        <v>102.92</v>
      </c>
      <c r="N35" s="29">
        <f t="shared" si="1"/>
        <v>263.3</v>
      </c>
      <c r="O35" s="29">
        <f t="shared" si="1"/>
        <v>0.4</v>
      </c>
      <c r="P35" s="29">
        <f t="shared" si="1"/>
        <v>0.95</v>
      </c>
      <c r="Q35" s="29">
        <f t="shared" si="1"/>
        <v>10.25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8.0204166666666641</v>
      </c>
      <c r="C36" s="28">
        <f t="shared" si="2"/>
        <v>3.0829166666666672</v>
      </c>
      <c r="D36" s="28">
        <f t="shared" si="2"/>
        <v>11.814166666666667</v>
      </c>
      <c r="E36" s="28">
        <f t="shared" si="2"/>
        <v>4.7116666666666678</v>
      </c>
      <c r="F36" s="28">
        <f t="shared" si="2"/>
        <v>4.7520833333333332</v>
      </c>
      <c r="G36" s="28">
        <f t="shared" si="2"/>
        <v>39.706111111111113</v>
      </c>
      <c r="H36" s="28">
        <f t="shared" si="2"/>
        <v>26.96</v>
      </c>
      <c r="I36" s="28">
        <f t="shared" si="2"/>
        <v>4.67</v>
      </c>
      <c r="J36" s="28">
        <f t="shared" si="2"/>
        <v>0.34749999999999998</v>
      </c>
      <c r="K36" s="28">
        <f t="shared" si="2"/>
        <v>272.65875</v>
      </c>
      <c r="L36" s="28">
        <f t="shared" si="2"/>
        <v>27.546666666666663</v>
      </c>
      <c r="M36" s="28">
        <f t="shared" si="2"/>
        <v>101.46000000000002</v>
      </c>
      <c r="N36" s="28">
        <f t="shared" si="2"/>
        <v>96.737499999999997</v>
      </c>
      <c r="O36" s="28">
        <f t="shared" si="2"/>
        <v>8.3333333333333329E-2</v>
      </c>
      <c r="P36" s="28">
        <f t="shared" si="2"/>
        <v>0.51666666666666672</v>
      </c>
      <c r="Q36" s="28">
        <f t="shared" si="2"/>
        <v>9.9212499999999988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5.3281791217660003E-2</v>
      </c>
      <c r="C37" s="28">
        <f t="shared" ref="C37:Q37" si="3">STDEV(C9:C32)</f>
        <v>8.1639673149052086E-2</v>
      </c>
      <c r="D37" s="28">
        <f t="shared" si="3"/>
        <v>7.840345304433595E-2</v>
      </c>
      <c r="E37" s="28">
        <f t="shared" si="3"/>
        <v>0.63166217351465948</v>
      </c>
      <c r="F37" s="28">
        <f t="shared" si="3"/>
        <v>1.6637411461670575</v>
      </c>
      <c r="G37" s="28">
        <f t="shared" si="3"/>
        <v>11.370485601347802</v>
      </c>
      <c r="H37" s="28">
        <f t="shared" si="3"/>
        <v>8.811387923752827</v>
      </c>
      <c r="I37" s="28">
        <f t="shared" si="3"/>
        <v>0.97195007923336485</v>
      </c>
      <c r="J37" s="28">
        <f t="shared" si="3"/>
        <v>0.31964994440250061</v>
      </c>
      <c r="K37" s="28">
        <f t="shared" si="3"/>
        <v>90.649943346944866</v>
      </c>
      <c r="L37" s="28">
        <f t="shared" si="3"/>
        <v>1.1013693716249893</v>
      </c>
      <c r="M37" s="28">
        <f t="shared" si="3"/>
        <v>3.018897005602343</v>
      </c>
      <c r="N37" s="28">
        <f t="shared" si="3"/>
        <v>79.254668289332798</v>
      </c>
      <c r="O37" s="28">
        <f t="shared" si="3"/>
        <v>0.13077250963165893</v>
      </c>
      <c r="P37" s="28">
        <f t="shared" si="3"/>
        <v>0.14144185060104819</v>
      </c>
      <c r="Q37" s="28">
        <f t="shared" si="3"/>
        <v>0.14277719035951267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COUNT(G9:G32)+6</f>
        <v>24</v>
      </c>
      <c r="H38" s="32">
        <f>COUNT(H9:H32)+9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38" sqref="G38:H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756</v>
      </c>
      <c r="B9" s="52">
        <v>7.99</v>
      </c>
      <c r="C9" s="52">
        <v>3.04</v>
      </c>
      <c r="D9" s="52">
        <v>11.77</v>
      </c>
      <c r="E9" s="52">
        <v>3.3</v>
      </c>
      <c r="F9" s="52">
        <v>3.57</v>
      </c>
      <c r="G9" s="57" t="s">
        <v>8</v>
      </c>
      <c r="H9" s="57" t="s">
        <v>8</v>
      </c>
      <c r="I9" s="52">
        <v>4.68</v>
      </c>
      <c r="J9" s="52">
        <v>0.34</v>
      </c>
      <c r="K9" s="52">
        <v>211.1</v>
      </c>
      <c r="L9" s="52">
        <v>25.75</v>
      </c>
      <c r="M9" s="52">
        <v>101.99</v>
      </c>
      <c r="N9" s="52">
        <v>33.4</v>
      </c>
      <c r="O9" s="52">
        <v>0</v>
      </c>
      <c r="P9" s="52">
        <v>0.44</v>
      </c>
      <c r="Q9" s="52">
        <v>9.84</v>
      </c>
      <c r="R9" s="43"/>
      <c r="S9" s="43"/>
      <c r="T9" s="43"/>
      <c r="U9" s="43"/>
    </row>
    <row r="10" spans="1:21" s="11" customFormat="1" x14ac:dyDescent="0.25">
      <c r="A10" s="51" t="s">
        <v>757</v>
      </c>
      <c r="B10" s="52">
        <v>7.98</v>
      </c>
      <c r="C10" s="52">
        <v>2.98</v>
      </c>
      <c r="D10" s="52">
        <v>11.72</v>
      </c>
      <c r="E10" s="52">
        <v>3.5</v>
      </c>
      <c r="F10" s="52">
        <v>4.3</v>
      </c>
      <c r="G10" s="57" t="s">
        <v>8</v>
      </c>
      <c r="H10" s="57" t="s">
        <v>8</v>
      </c>
      <c r="I10" s="52">
        <v>5.15</v>
      </c>
      <c r="J10" s="52">
        <v>1.03</v>
      </c>
      <c r="K10" s="52">
        <v>337.91</v>
      </c>
      <c r="L10" s="52">
        <v>25.99</v>
      </c>
      <c r="M10" s="52">
        <v>102.02</v>
      </c>
      <c r="N10" s="52">
        <v>33.700000000000003</v>
      </c>
      <c r="O10" s="52">
        <v>0</v>
      </c>
      <c r="P10" s="52">
        <v>0.41</v>
      </c>
      <c r="Q10" s="52">
        <v>9.85</v>
      </c>
      <c r="R10" s="43"/>
      <c r="S10" s="43"/>
      <c r="T10" s="43"/>
      <c r="U10" s="43"/>
    </row>
    <row r="11" spans="1:21" s="11" customFormat="1" x14ac:dyDescent="0.25">
      <c r="A11" s="51" t="s">
        <v>758</v>
      </c>
      <c r="B11" s="52">
        <v>7.96</v>
      </c>
      <c r="C11" s="52">
        <v>3.03</v>
      </c>
      <c r="D11" s="52">
        <v>11.74</v>
      </c>
      <c r="E11" s="52">
        <v>3.56</v>
      </c>
      <c r="F11" s="52">
        <v>4.1500000000000004</v>
      </c>
      <c r="G11" s="57" t="s">
        <v>8</v>
      </c>
      <c r="H11" s="57" t="s">
        <v>8</v>
      </c>
      <c r="I11" s="52">
        <v>5.01</v>
      </c>
      <c r="J11" s="52">
        <v>0.78</v>
      </c>
      <c r="K11" s="52">
        <v>348.97</v>
      </c>
      <c r="L11" s="52">
        <v>25.41</v>
      </c>
      <c r="M11" s="52">
        <v>101.99</v>
      </c>
      <c r="N11" s="52">
        <v>34.200000000000003</v>
      </c>
      <c r="O11" s="52">
        <v>0</v>
      </c>
      <c r="P11" s="52">
        <v>0.39</v>
      </c>
      <c r="Q11" s="52">
        <v>9.75</v>
      </c>
      <c r="R11" s="43"/>
      <c r="S11" s="43"/>
      <c r="T11" s="43"/>
      <c r="U11" s="43"/>
    </row>
    <row r="12" spans="1:21" s="11" customFormat="1" x14ac:dyDescent="0.25">
      <c r="A12" s="51" t="s">
        <v>759</v>
      </c>
      <c r="B12" s="52">
        <v>7.95</v>
      </c>
      <c r="C12" s="52">
        <v>2.95</v>
      </c>
      <c r="D12" s="52">
        <v>11.69</v>
      </c>
      <c r="E12" s="52">
        <v>4.66</v>
      </c>
      <c r="F12" s="52">
        <v>3.6</v>
      </c>
      <c r="G12" s="57" t="s">
        <v>8</v>
      </c>
      <c r="H12" s="57" t="s">
        <v>8</v>
      </c>
      <c r="I12" s="52">
        <v>3.63</v>
      </c>
      <c r="J12" s="52">
        <v>0.89</v>
      </c>
      <c r="K12" s="52">
        <v>344.24</v>
      </c>
      <c r="L12" s="52">
        <v>25.01</v>
      </c>
      <c r="M12" s="52">
        <v>101.98</v>
      </c>
      <c r="N12" s="52">
        <v>33.6</v>
      </c>
      <c r="O12" s="52">
        <v>0</v>
      </c>
      <c r="P12" s="52">
        <v>0.33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760</v>
      </c>
      <c r="B13" s="52">
        <v>7.99</v>
      </c>
      <c r="C13" s="52">
        <v>3</v>
      </c>
      <c r="D13" s="52">
        <v>11.74</v>
      </c>
      <c r="E13" s="52">
        <v>4.47</v>
      </c>
      <c r="F13" s="52">
        <v>3.92</v>
      </c>
      <c r="G13" s="57" t="s">
        <v>8</v>
      </c>
      <c r="H13" s="57" t="s">
        <v>8</v>
      </c>
      <c r="I13" s="52">
        <v>3.13</v>
      </c>
      <c r="J13" s="52">
        <v>0.81</v>
      </c>
      <c r="K13" s="52">
        <v>338.31</v>
      </c>
      <c r="L13" s="52">
        <v>25.02</v>
      </c>
      <c r="M13" s="52">
        <v>101.98</v>
      </c>
      <c r="N13" s="52">
        <v>33.6</v>
      </c>
      <c r="O13" s="52">
        <v>0</v>
      </c>
      <c r="P13" s="52">
        <v>0.31</v>
      </c>
      <c r="Q13" s="52">
        <v>9.67</v>
      </c>
      <c r="R13" s="43"/>
      <c r="S13" s="43"/>
      <c r="T13" s="43"/>
      <c r="U13" s="43"/>
    </row>
    <row r="14" spans="1:21" s="11" customFormat="1" x14ac:dyDescent="0.25">
      <c r="A14" s="51" t="s">
        <v>761</v>
      </c>
      <c r="B14" s="52">
        <v>7.99</v>
      </c>
      <c r="C14" s="52">
        <v>3.01</v>
      </c>
      <c r="D14" s="52">
        <v>11.74</v>
      </c>
      <c r="E14" s="52">
        <v>4.6900000000000004</v>
      </c>
      <c r="F14" s="52">
        <v>3.63</v>
      </c>
      <c r="G14" s="57" t="s">
        <v>8</v>
      </c>
      <c r="H14" s="57" t="s">
        <v>8</v>
      </c>
      <c r="I14" s="52">
        <v>3.08</v>
      </c>
      <c r="J14" s="52">
        <v>0.49</v>
      </c>
      <c r="K14" s="52">
        <v>342.75</v>
      </c>
      <c r="L14" s="52">
        <v>24.88</v>
      </c>
      <c r="M14" s="52">
        <v>102</v>
      </c>
      <c r="N14" s="52">
        <v>42.1</v>
      </c>
      <c r="O14" s="52">
        <v>0</v>
      </c>
      <c r="P14" s="52">
        <v>0.36</v>
      </c>
      <c r="Q14" s="52">
        <v>9.76</v>
      </c>
      <c r="R14" s="43"/>
      <c r="S14" s="43"/>
      <c r="T14" s="43"/>
      <c r="U14" s="43"/>
    </row>
    <row r="15" spans="1:21" s="11" customFormat="1" x14ac:dyDescent="0.25">
      <c r="A15" s="51" t="s">
        <v>762</v>
      </c>
      <c r="B15" s="52">
        <v>7.96</v>
      </c>
      <c r="C15" s="52">
        <v>3.02</v>
      </c>
      <c r="D15" s="52">
        <v>11.71</v>
      </c>
      <c r="E15" s="52">
        <v>4.5599999999999996</v>
      </c>
      <c r="F15" s="52">
        <v>3.79</v>
      </c>
      <c r="G15" s="57" t="s">
        <v>8</v>
      </c>
      <c r="H15" s="57" t="s">
        <v>8</v>
      </c>
      <c r="I15" s="52">
        <v>3.55</v>
      </c>
      <c r="J15" s="52">
        <v>0.77</v>
      </c>
      <c r="K15" s="52">
        <v>337.75</v>
      </c>
      <c r="L15" s="52">
        <v>27.13</v>
      </c>
      <c r="M15" s="52">
        <v>101.99</v>
      </c>
      <c r="N15" s="52">
        <v>158.19999999999999</v>
      </c>
      <c r="O15" s="52">
        <v>0</v>
      </c>
      <c r="P15" s="52">
        <v>0.44</v>
      </c>
      <c r="Q15" s="52">
        <v>9.7899999999999991</v>
      </c>
      <c r="R15" s="43"/>
      <c r="S15" s="43"/>
      <c r="T15" s="43"/>
      <c r="U15" s="43"/>
    </row>
    <row r="16" spans="1:21" s="11" customFormat="1" x14ac:dyDescent="0.25">
      <c r="A16" s="51" t="s">
        <v>763</v>
      </c>
      <c r="B16" s="52">
        <v>7.97</v>
      </c>
      <c r="C16" s="52">
        <v>3.02</v>
      </c>
      <c r="D16" s="52">
        <v>11.75</v>
      </c>
      <c r="E16" s="52">
        <v>4.84</v>
      </c>
      <c r="F16" s="52">
        <v>3.71</v>
      </c>
      <c r="G16" s="57" t="s">
        <v>8</v>
      </c>
      <c r="H16" s="57" t="s">
        <v>8</v>
      </c>
      <c r="I16" s="52">
        <v>3.69</v>
      </c>
      <c r="J16" s="52">
        <v>0.94</v>
      </c>
      <c r="K16" s="52">
        <v>342.22</v>
      </c>
      <c r="L16" s="52">
        <v>27.9</v>
      </c>
      <c r="M16" s="52">
        <v>101.95</v>
      </c>
      <c r="N16" s="52">
        <v>204.7</v>
      </c>
      <c r="O16" s="52">
        <v>0</v>
      </c>
      <c r="P16" s="52">
        <v>0.53</v>
      </c>
      <c r="Q16" s="52">
        <v>9.9499999999999993</v>
      </c>
      <c r="R16" s="43"/>
      <c r="S16" s="43"/>
      <c r="T16" s="43"/>
      <c r="U16" s="43"/>
    </row>
    <row r="17" spans="1:21" s="11" customFormat="1" x14ac:dyDescent="0.25">
      <c r="A17" s="51" t="s">
        <v>764</v>
      </c>
      <c r="B17" s="52">
        <v>8.11</v>
      </c>
      <c r="C17" s="52">
        <v>3.21</v>
      </c>
      <c r="D17" s="52">
        <v>11.95</v>
      </c>
      <c r="E17" s="52">
        <v>4.46</v>
      </c>
      <c r="F17" s="52">
        <v>3.59</v>
      </c>
      <c r="G17" s="57" t="s">
        <v>8</v>
      </c>
      <c r="H17" s="57" t="s">
        <v>8</v>
      </c>
      <c r="I17" s="52">
        <v>4.72</v>
      </c>
      <c r="J17" s="52">
        <v>0.87</v>
      </c>
      <c r="K17" s="52">
        <v>343.43</v>
      </c>
      <c r="L17" s="52">
        <v>28.53</v>
      </c>
      <c r="M17" s="52">
        <v>101.27</v>
      </c>
      <c r="N17" s="52">
        <v>234</v>
      </c>
      <c r="O17" s="52">
        <v>0</v>
      </c>
      <c r="P17" s="52">
        <v>0.53</v>
      </c>
      <c r="Q17" s="52">
        <v>10.06</v>
      </c>
      <c r="R17" s="43"/>
      <c r="S17" s="43"/>
      <c r="T17" s="43"/>
      <c r="U17" s="43"/>
    </row>
    <row r="18" spans="1:21" s="11" customFormat="1" x14ac:dyDescent="0.25">
      <c r="A18" s="51" t="s">
        <v>765</v>
      </c>
      <c r="B18" s="52">
        <v>8.06</v>
      </c>
      <c r="C18" s="52">
        <v>3.13</v>
      </c>
      <c r="D18" s="52">
        <v>11.87</v>
      </c>
      <c r="E18" s="52">
        <v>4.7699999999999996</v>
      </c>
      <c r="F18" s="52">
        <v>3.47</v>
      </c>
      <c r="G18" s="57" t="s">
        <v>8</v>
      </c>
      <c r="H18" s="57" t="s">
        <v>8</v>
      </c>
      <c r="I18" s="52">
        <v>5.93</v>
      </c>
      <c r="J18" s="52">
        <v>0.92</v>
      </c>
      <c r="K18" s="52">
        <v>115.66</v>
      </c>
      <c r="L18" s="52">
        <v>29.22</v>
      </c>
      <c r="M18" s="52">
        <v>98.47</v>
      </c>
      <c r="N18" s="52">
        <v>453.4</v>
      </c>
      <c r="O18" s="52">
        <v>0</v>
      </c>
      <c r="P18" s="52">
        <v>0.53</v>
      </c>
      <c r="Q18" s="52">
        <v>10.11</v>
      </c>
      <c r="R18" s="43"/>
      <c r="S18" s="43"/>
      <c r="T18" s="43"/>
      <c r="U18" s="43"/>
    </row>
    <row r="19" spans="1:21" s="11" customFormat="1" x14ac:dyDescent="0.25">
      <c r="A19" s="51" t="s">
        <v>766</v>
      </c>
      <c r="B19" s="52">
        <v>7.98</v>
      </c>
      <c r="C19" s="52">
        <v>3.03</v>
      </c>
      <c r="D19" s="52">
        <v>11.75</v>
      </c>
      <c r="E19" s="52">
        <v>4.68</v>
      </c>
      <c r="F19" s="52">
        <v>4.2699999999999996</v>
      </c>
      <c r="G19" s="52">
        <v>68.319999999999993</v>
      </c>
      <c r="H19" s="52">
        <v>15.89</v>
      </c>
      <c r="I19" s="52">
        <v>6.67</v>
      </c>
      <c r="J19" s="52">
        <v>1.04</v>
      </c>
      <c r="K19" s="52">
        <v>128.94</v>
      </c>
      <c r="L19" s="52">
        <v>31.02</v>
      </c>
      <c r="M19" s="52">
        <v>90.75</v>
      </c>
      <c r="N19" s="52">
        <v>536.9</v>
      </c>
      <c r="O19" s="52">
        <v>0</v>
      </c>
      <c r="P19" s="52">
        <v>0.5</v>
      </c>
      <c r="Q19" s="52">
        <v>10.07</v>
      </c>
      <c r="R19" s="43"/>
      <c r="S19" s="43"/>
      <c r="T19" s="43"/>
      <c r="U19" s="43"/>
    </row>
    <row r="20" spans="1:21" s="11" customFormat="1" x14ac:dyDescent="0.25">
      <c r="A20" s="51" t="s">
        <v>767</v>
      </c>
      <c r="B20" s="52">
        <v>7.96</v>
      </c>
      <c r="C20" s="52">
        <v>3.08</v>
      </c>
      <c r="D20" s="52">
        <v>11.76</v>
      </c>
      <c r="E20" s="52">
        <v>4.72</v>
      </c>
      <c r="F20" s="52">
        <v>5.07</v>
      </c>
      <c r="G20" s="52">
        <v>47.93</v>
      </c>
      <c r="H20" s="52">
        <v>15.89</v>
      </c>
      <c r="I20" s="52">
        <v>6.59</v>
      </c>
      <c r="J20" s="52">
        <v>0.75</v>
      </c>
      <c r="K20" s="52">
        <v>145.37</v>
      </c>
      <c r="L20" s="52">
        <v>32.22</v>
      </c>
      <c r="M20" s="52">
        <v>81.66</v>
      </c>
      <c r="N20" s="52">
        <v>549.79999999999995</v>
      </c>
      <c r="O20" s="52">
        <v>0</v>
      </c>
      <c r="P20" s="52">
        <v>0.46</v>
      </c>
      <c r="Q20" s="52">
        <v>9.8800000000000008</v>
      </c>
      <c r="R20" s="43"/>
      <c r="S20" s="43"/>
      <c r="T20" s="43"/>
      <c r="U20" s="43"/>
    </row>
    <row r="21" spans="1:21" s="11" customFormat="1" x14ac:dyDescent="0.25">
      <c r="A21" s="51" t="s">
        <v>768</v>
      </c>
      <c r="B21" s="52">
        <v>7.95</v>
      </c>
      <c r="C21" s="52">
        <v>2.98</v>
      </c>
      <c r="D21" s="52">
        <v>11.7</v>
      </c>
      <c r="E21" s="52">
        <v>3.39</v>
      </c>
      <c r="F21" s="52">
        <v>7.11</v>
      </c>
      <c r="G21" s="52">
        <v>23.49</v>
      </c>
      <c r="H21" s="52">
        <v>0.95</v>
      </c>
      <c r="I21" s="52">
        <v>5.7</v>
      </c>
      <c r="J21" s="52">
        <v>0.95</v>
      </c>
      <c r="K21" s="52">
        <v>122.28</v>
      </c>
      <c r="L21" s="52">
        <v>32.24</v>
      </c>
      <c r="M21" s="52">
        <v>78.05</v>
      </c>
      <c r="N21" s="52">
        <v>798.3</v>
      </c>
      <c r="O21" s="52">
        <v>0</v>
      </c>
      <c r="P21" s="52">
        <v>0.39</v>
      </c>
      <c r="Q21" s="52">
        <v>9.61</v>
      </c>
      <c r="R21" s="43"/>
      <c r="S21" s="43"/>
      <c r="T21" s="43"/>
      <c r="U21" s="43"/>
    </row>
    <row r="22" spans="1:21" s="11" customFormat="1" x14ac:dyDescent="0.25">
      <c r="A22" s="51" t="s">
        <v>769</v>
      </c>
      <c r="B22" s="52">
        <v>7.96</v>
      </c>
      <c r="C22" s="52">
        <v>3</v>
      </c>
      <c r="D22" s="52">
        <v>11.72</v>
      </c>
      <c r="E22" s="52">
        <v>3.63</v>
      </c>
      <c r="F22" s="52">
        <v>9.44</v>
      </c>
      <c r="G22" s="52">
        <v>48.55</v>
      </c>
      <c r="H22" s="52">
        <v>0.08</v>
      </c>
      <c r="I22" s="52">
        <v>5.69</v>
      </c>
      <c r="J22" s="52">
        <v>0.63</v>
      </c>
      <c r="K22" s="52">
        <v>107.36</v>
      </c>
      <c r="L22" s="52">
        <v>33.25</v>
      </c>
      <c r="M22" s="52">
        <v>72.2</v>
      </c>
      <c r="N22" s="52">
        <v>792.4</v>
      </c>
      <c r="O22" s="52">
        <v>0</v>
      </c>
      <c r="P22" s="52">
        <v>0.32</v>
      </c>
      <c r="Q22" s="52">
        <v>9.6300000000000008</v>
      </c>
      <c r="R22" s="43"/>
      <c r="S22" s="43"/>
      <c r="T22" s="43"/>
      <c r="U22" s="43"/>
    </row>
    <row r="23" spans="1:21" s="11" customFormat="1" x14ac:dyDescent="0.25">
      <c r="A23" s="51" t="s">
        <v>770</v>
      </c>
      <c r="B23" s="52">
        <v>7.95</v>
      </c>
      <c r="C23" s="52">
        <v>3.03</v>
      </c>
      <c r="D23" s="52">
        <v>11.73</v>
      </c>
      <c r="E23" s="52">
        <v>3.68</v>
      </c>
      <c r="F23" s="52">
        <v>4.9000000000000004</v>
      </c>
      <c r="G23" s="52">
        <v>48.55</v>
      </c>
      <c r="H23" s="52">
        <v>379</v>
      </c>
      <c r="I23" s="52">
        <v>4.7699999999999996</v>
      </c>
      <c r="J23" s="52">
        <v>0.85</v>
      </c>
      <c r="K23" s="52">
        <v>121.43</v>
      </c>
      <c r="L23" s="52">
        <v>32.81</v>
      </c>
      <c r="M23" s="52">
        <v>71.099999999999994</v>
      </c>
      <c r="N23" s="52">
        <v>289.39999999999998</v>
      </c>
      <c r="O23" s="52">
        <v>0</v>
      </c>
      <c r="P23" s="52">
        <v>0.39</v>
      </c>
      <c r="Q23" s="52">
        <v>9.7200000000000006</v>
      </c>
      <c r="R23" s="43"/>
      <c r="S23" s="43"/>
      <c r="T23" s="43"/>
      <c r="U23" s="43"/>
    </row>
    <row r="24" spans="1:21" s="11" customFormat="1" x14ac:dyDescent="0.25">
      <c r="A24" s="51" t="s">
        <v>771</v>
      </c>
      <c r="B24" s="52">
        <v>7.99</v>
      </c>
      <c r="C24" s="52">
        <v>3.05</v>
      </c>
      <c r="D24" s="52">
        <v>11.75</v>
      </c>
      <c r="E24" s="52">
        <v>5.42</v>
      </c>
      <c r="F24" s="52">
        <v>4.84</v>
      </c>
      <c r="G24" s="52">
        <v>29.31</v>
      </c>
      <c r="H24" s="52">
        <v>379</v>
      </c>
      <c r="I24" s="52">
        <v>4.68</v>
      </c>
      <c r="J24" s="52">
        <v>1.43</v>
      </c>
      <c r="K24" s="52">
        <v>337.38</v>
      </c>
      <c r="L24" s="52">
        <v>32.25</v>
      </c>
      <c r="M24" s="52">
        <v>71.19</v>
      </c>
      <c r="N24" s="52">
        <v>239</v>
      </c>
      <c r="O24" s="52">
        <v>0</v>
      </c>
      <c r="P24" s="52">
        <v>0.37</v>
      </c>
      <c r="Q24" s="52">
        <v>9.68</v>
      </c>
      <c r="R24" s="43"/>
      <c r="S24" s="43"/>
      <c r="T24" s="43"/>
      <c r="U24" s="43"/>
    </row>
    <row r="25" spans="1:21" s="11" customFormat="1" x14ac:dyDescent="0.25">
      <c r="A25" s="51" t="s">
        <v>772</v>
      </c>
      <c r="B25" s="52">
        <v>7.97</v>
      </c>
      <c r="C25" s="52">
        <v>3.07</v>
      </c>
      <c r="D25" s="52">
        <v>11.77</v>
      </c>
      <c r="E25" s="52">
        <v>5.74</v>
      </c>
      <c r="F25" s="52">
        <v>6.63</v>
      </c>
      <c r="G25" s="52">
        <v>52.87</v>
      </c>
      <c r="H25" s="52">
        <v>51.62</v>
      </c>
      <c r="I25" s="52">
        <v>4.6500000000000004</v>
      </c>
      <c r="J25" s="52">
        <v>0.64</v>
      </c>
      <c r="K25" s="52">
        <v>110.98</v>
      </c>
      <c r="L25" s="52">
        <v>32.26</v>
      </c>
      <c r="M25" s="52">
        <v>77.34</v>
      </c>
      <c r="N25" s="52">
        <v>221.2</v>
      </c>
      <c r="O25" s="52">
        <v>0</v>
      </c>
      <c r="P25" s="52">
        <v>0.38</v>
      </c>
      <c r="Q25" s="52">
        <v>9.69</v>
      </c>
      <c r="R25" s="43"/>
      <c r="S25" s="43"/>
      <c r="T25" s="43"/>
      <c r="U25" s="43"/>
    </row>
    <row r="26" spans="1:21" s="11" customFormat="1" x14ac:dyDescent="0.25">
      <c r="A26" s="51" t="s">
        <v>773</v>
      </c>
      <c r="B26" s="52">
        <v>7.98</v>
      </c>
      <c r="C26" s="52">
        <v>3.1</v>
      </c>
      <c r="D26" s="52">
        <v>11.79</v>
      </c>
      <c r="E26" s="52">
        <v>5.71</v>
      </c>
      <c r="F26" s="52">
        <v>6.1</v>
      </c>
      <c r="G26" s="52">
        <v>52.87</v>
      </c>
      <c r="H26" s="52">
        <v>51.62</v>
      </c>
      <c r="I26" s="52">
        <v>4.8</v>
      </c>
      <c r="J26" s="52">
        <v>0.88</v>
      </c>
      <c r="K26" s="52">
        <v>116.15</v>
      </c>
      <c r="L26" s="52">
        <v>31.02</v>
      </c>
      <c r="M26" s="52">
        <v>85</v>
      </c>
      <c r="N26" s="52">
        <v>101</v>
      </c>
      <c r="O26" s="52">
        <v>0</v>
      </c>
      <c r="P26" s="52">
        <v>0.41</v>
      </c>
      <c r="Q26" s="52">
        <v>9.6199999999999992</v>
      </c>
      <c r="R26" s="43"/>
      <c r="S26" s="43"/>
      <c r="T26" s="43"/>
      <c r="U26" s="43"/>
    </row>
    <row r="27" spans="1:21" s="11" customFormat="1" x14ac:dyDescent="0.25">
      <c r="A27" s="51" t="s">
        <v>774</v>
      </c>
      <c r="B27" s="52">
        <v>7.96</v>
      </c>
      <c r="C27" s="52">
        <v>2.98</v>
      </c>
      <c r="D27" s="52">
        <v>11.7</v>
      </c>
      <c r="E27" s="52">
        <v>5.54</v>
      </c>
      <c r="F27" s="52">
        <v>4.1100000000000003</v>
      </c>
      <c r="G27" s="52">
        <v>64.52</v>
      </c>
      <c r="H27" s="52">
        <v>31.11</v>
      </c>
      <c r="I27" s="52">
        <v>4.1100000000000003</v>
      </c>
      <c r="J27" s="52">
        <v>0.54</v>
      </c>
      <c r="K27" s="52">
        <v>118.06</v>
      </c>
      <c r="L27" s="52">
        <v>29.94</v>
      </c>
      <c r="M27" s="52">
        <v>89.09</v>
      </c>
      <c r="N27" s="52">
        <v>54.4</v>
      </c>
      <c r="O27" s="52">
        <v>0</v>
      </c>
      <c r="P27" s="52">
        <v>0.47</v>
      </c>
      <c r="Q27" s="52">
        <v>9.7200000000000006</v>
      </c>
      <c r="R27" s="43"/>
      <c r="S27" s="43"/>
      <c r="T27" s="43"/>
      <c r="U27" s="43"/>
    </row>
    <row r="28" spans="1:21" s="11" customFormat="1" x14ac:dyDescent="0.25">
      <c r="A28" s="51" t="s">
        <v>775</v>
      </c>
      <c r="B28" s="52">
        <v>7.96</v>
      </c>
      <c r="C28" s="52">
        <v>3.04</v>
      </c>
      <c r="D28" s="52">
        <v>11.74</v>
      </c>
      <c r="E28" s="52">
        <v>5.51</v>
      </c>
      <c r="F28" s="52">
        <v>4.25</v>
      </c>
      <c r="G28" s="52">
        <v>66.42</v>
      </c>
      <c r="H28" s="52">
        <v>31.11</v>
      </c>
      <c r="I28" s="52">
        <v>4.41</v>
      </c>
      <c r="J28" s="52">
        <v>0.21</v>
      </c>
      <c r="K28" s="52">
        <v>331.52</v>
      </c>
      <c r="L28" s="52">
        <v>29.19</v>
      </c>
      <c r="M28" s="52">
        <v>91.89</v>
      </c>
      <c r="N28" s="52">
        <v>45.4</v>
      </c>
      <c r="O28" s="52">
        <v>0</v>
      </c>
      <c r="P28" s="52">
        <v>0.63</v>
      </c>
      <c r="Q28" s="52">
        <v>9.7899999999999991</v>
      </c>
      <c r="R28" s="43"/>
      <c r="S28" s="43"/>
      <c r="T28" s="43"/>
      <c r="U28" s="43"/>
    </row>
    <row r="29" spans="1:21" s="11" customFormat="1" x14ac:dyDescent="0.25">
      <c r="A29" s="51" t="s">
        <v>776</v>
      </c>
      <c r="B29" s="52">
        <v>8</v>
      </c>
      <c r="C29" s="52">
        <v>3.08</v>
      </c>
      <c r="D29" s="52">
        <v>11.77</v>
      </c>
      <c r="E29" s="52">
        <v>4.4400000000000004</v>
      </c>
      <c r="F29" s="52">
        <v>3.76</v>
      </c>
      <c r="G29" s="52">
        <v>69.67</v>
      </c>
      <c r="H29" s="52">
        <v>24.93</v>
      </c>
      <c r="I29" s="52">
        <v>4.71</v>
      </c>
      <c r="J29" s="52">
        <v>0.14000000000000001</v>
      </c>
      <c r="K29" s="52">
        <v>115.83</v>
      </c>
      <c r="L29" s="52">
        <v>28.86</v>
      </c>
      <c r="M29" s="52">
        <v>96.69</v>
      </c>
      <c r="N29" s="52">
        <v>45.6</v>
      </c>
      <c r="O29" s="52">
        <v>0</v>
      </c>
      <c r="P29" s="52">
        <v>0.75</v>
      </c>
      <c r="Q29" s="52">
        <v>9.81</v>
      </c>
      <c r="R29" s="43"/>
      <c r="S29" s="43"/>
      <c r="T29" s="43"/>
      <c r="U29" s="43"/>
    </row>
    <row r="30" spans="1:21" s="11" customFormat="1" x14ac:dyDescent="0.25">
      <c r="A30" s="51" t="s">
        <v>777</v>
      </c>
      <c r="B30" s="52">
        <v>8.06</v>
      </c>
      <c r="C30" s="52">
        <v>3.14</v>
      </c>
      <c r="D30" s="52">
        <v>11.88</v>
      </c>
      <c r="E30" s="52">
        <v>4.45</v>
      </c>
      <c r="F30" s="52">
        <v>3.52</v>
      </c>
      <c r="G30" s="52">
        <v>92.2</v>
      </c>
      <c r="H30" s="52">
        <v>43.32</v>
      </c>
      <c r="I30" s="52">
        <v>5.98</v>
      </c>
      <c r="J30" s="52">
        <v>0.64</v>
      </c>
      <c r="K30" s="52">
        <v>341.9</v>
      </c>
      <c r="L30" s="52">
        <v>28.93</v>
      </c>
      <c r="M30" s="52">
        <v>96.55</v>
      </c>
      <c r="N30" s="52">
        <v>45.5</v>
      </c>
      <c r="O30" s="52">
        <v>0</v>
      </c>
      <c r="P30" s="52">
        <v>0.97</v>
      </c>
      <c r="Q30" s="52">
        <v>9.9700000000000006</v>
      </c>
      <c r="R30" s="43"/>
      <c r="S30" s="43"/>
      <c r="T30" s="43"/>
      <c r="U30" s="43"/>
    </row>
    <row r="31" spans="1:21" s="11" customFormat="1" x14ac:dyDescent="0.25">
      <c r="A31" s="51" t="s">
        <v>778</v>
      </c>
      <c r="B31" s="52">
        <v>8.07</v>
      </c>
      <c r="C31" s="52">
        <v>3.18</v>
      </c>
      <c r="D31" s="52">
        <v>11.91</v>
      </c>
      <c r="E31" s="52">
        <v>4.62</v>
      </c>
      <c r="F31" s="52">
        <v>3.82</v>
      </c>
      <c r="G31" s="52">
        <v>121.09</v>
      </c>
      <c r="H31" s="52">
        <v>46.62</v>
      </c>
      <c r="I31" s="52">
        <v>6.49</v>
      </c>
      <c r="J31" s="52">
        <v>0.78</v>
      </c>
      <c r="K31" s="52">
        <v>342.93</v>
      </c>
      <c r="L31" s="52">
        <v>28.75</v>
      </c>
      <c r="M31" s="52">
        <v>101.37</v>
      </c>
      <c r="N31" s="52">
        <v>44.8</v>
      </c>
      <c r="O31" s="52">
        <v>0</v>
      </c>
      <c r="P31" s="52">
        <v>1.1200000000000001</v>
      </c>
      <c r="Q31" s="52">
        <v>10.17</v>
      </c>
      <c r="R31" s="43"/>
      <c r="S31" s="43"/>
      <c r="T31" s="43"/>
      <c r="U31" s="43"/>
    </row>
    <row r="32" spans="1:21" s="11" customFormat="1" x14ac:dyDescent="0.25">
      <c r="A32" s="51" t="s">
        <v>779</v>
      </c>
      <c r="B32" s="52">
        <v>8.1</v>
      </c>
      <c r="C32" s="52">
        <v>3.25</v>
      </c>
      <c r="D32" s="52">
        <v>11.97</v>
      </c>
      <c r="E32" s="52">
        <v>4.83</v>
      </c>
      <c r="F32" s="52">
        <v>4.5</v>
      </c>
      <c r="G32" s="52">
        <v>139.63</v>
      </c>
      <c r="H32" s="52">
        <v>64.66</v>
      </c>
      <c r="I32" s="52">
        <v>6.53</v>
      </c>
      <c r="J32" s="52">
        <v>0.75</v>
      </c>
      <c r="K32" s="52">
        <v>343.96</v>
      </c>
      <c r="L32" s="52">
        <v>28.27</v>
      </c>
      <c r="M32" s="52">
        <v>101.65</v>
      </c>
      <c r="N32" s="52">
        <v>44.6</v>
      </c>
      <c r="O32" s="52">
        <v>0</v>
      </c>
      <c r="P32" s="52">
        <v>1.17</v>
      </c>
      <c r="Q32" s="52">
        <v>10.210000000000001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7.95</v>
      </c>
      <c r="C34" s="28">
        <f t="shared" si="0"/>
        <v>2.95</v>
      </c>
      <c r="D34" s="28">
        <f t="shared" si="0"/>
        <v>11.69</v>
      </c>
      <c r="E34" s="28">
        <f t="shared" si="0"/>
        <v>3.3</v>
      </c>
      <c r="F34" s="28">
        <f t="shared" si="0"/>
        <v>3.47</v>
      </c>
      <c r="G34" s="28">
        <f t="shared" si="0"/>
        <v>23.49</v>
      </c>
      <c r="H34" s="28">
        <f t="shared" si="0"/>
        <v>0.08</v>
      </c>
      <c r="I34" s="28">
        <f t="shared" si="0"/>
        <v>3.08</v>
      </c>
      <c r="J34" s="28">
        <f t="shared" si="0"/>
        <v>0.14000000000000001</v>
      </c>
      <c r="K34" s="28">
        <f t="shared" si="0"/>
        <v>107.36</v>
      </c>
      <c r="L34" s="28">
        <f t="shared" si="0"/>
        <v>24.88</v>
      </c>
      <c r="M34" s="28">
        <f t="shared" si="0"/>
        <v>71.099999999999994</v>
      </c>
      <c r="N34" s="28">
        <f t="shared" si="0"/>
        <v>33.4</v>
      </c>
      <c r="O34" s="28">
        <f t="shared" si="0"/>
        <v>0</v>
      </c>
      <c r="P34" s="28">
        <f t="shared" si="0"/>
        <v>0.31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8.11</v>
      </c>
      <c r="C35" s="29">
        <f t="shared" si="1"/>
        <v>3.25</v>
      </c>
      <c r="D35" s="29">
        <f t="shared" si="1"/>
        <v>11.97</v>
      </c>
      <c r="E35" s="29">
        <f t="shared" si="1"/>
        <v>5.74</v>
      </c>
      <c r="F35" s="29">
        <f t="shared" si="1"/>
        <v>9.44</v>
      </c>
      <c r="G35" s="29">
        <f t="shared" si="1"/>
        <v>139.63</v>
      </c>
      <c r="H35" s="29">
        <f t="shared" si="1"/>
        <v>379</v>
      </c>
      <c r="I35" s="29">
        <f t="shared" si="1"/>
        <v>6.67</v>
      </c>
      <c r="J35" s="29">
        <f t="shared" si="1"/>
        <v>1.43</v>
      </c>
      <c r="K35" s="29">
        <f t="shared" si="1"/>
        <v>348.97</v>
      </c>
      <c r="L35" s="29">
        <f t="shared" si="1"/>
        <v>33.25</v>
      </c>
      <c r="M35" s="29">
        <f t="shared" si="1"/>
        <v>102.02</v>
      </c>
      <c r="N35" s="29">
        <f t="shared" si="1"/>
        <v>798.3</v>
      </c>
      <c r="O35" s="29">
        <f t="shared" si="1"/>
        <v>0</v>
      </c>
      <c r="P35" s="29">
        <f t="shared" si="1"/>
        <v>1.17</v>
      </c>
      <c r="Q35" s="29">
        <f t="shared" si="1"/>
        <v>10.210000000000001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7.9937499999999995</v>
      </c>
      <c r="C36" s="28">
        <f t="shared" si="2"/>
        <v>3.0583333333333331</v>
      </c>
      <c r="D36" s="28">
        <f t="shared" si="2"/>
        <v>11.775833333333336</v>
      </c>
      <c r="E36" s="28">
        <f t="shared" si="2"/>
        <v>4.5487500000000001</v>
      </c>
      <c r="F36" s="28">
        <f t="shared" si="2"/>
        <v>4.5854166666666663</v>
      </c>
      <c r="G36" s="28">
        <f t="shared" si="2"/>
        <v>66.101428571428571</v>
      </c>
      <c r="H36" s="28">
        <f t="shared" si="2"/>
        <v>81.128571428571419</v>
      </c>
      <c r="I36" s="28">
        <f t="shared" si="2"/>
        <v>4.9312499999999995</v>
      </c>
      <c r="J36" s="28">
        <f t="shared" si="2"/>
        <v>0.75291666666666679</v>
      </c>
      <c r="K36" s="28">
        <f t="shared" si="2"/>
        <v>243.60124999999996</v>
      </c>
      <c r="L36" s="28">
        <f t="shared" si="2"/>
        <v>28.993750000000006</v>
      </c>
      <c r="M36" s="28">
        <f t="shared" si="2"/>
        <v>92.507083333333341</v>
      </c>
      <c r="N36" s="28">
        <f t="shared" si="2"/>
        <v>211.2166666666667</v>
      </c>
      <c r="O36" s="28">
        <f t="shared" si="2"/>
        <v>0</v>
      </c>
      <c r="P36" s="28">
        <f t="shared" si="2"/>
        <v>0.52500000000000002</v>
      </c>
      <c r="Q36" s="28">
        <f t="shared" si="2"/>
        <v>9.8333333333333339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4.8347699014534257E-2</v>
      </c>
      <c r="C37" s="28">
        <f t="shared" ref="C37:Q37" si="3">STDEV(C9:C32)</f>
        <v>7.6480555452473301E-2</v>
      </c>
      <c r="D37" s="28">
        <f t="shared" si="3"/>
        <v>7.9395359992922743E-2</v>
      </c>
      <c r="E37" s="28">
        <f t="shared" si="3"/>
        <v>0.73260293830791412</v>
      </c>
      <c r="F37" s="28">
        <f t="shared" si="3"/>
        <v>1.4283434587772965</v>
      </c>
      <c r="G37" s="28">
        <f t="shared" si="3"/>
        <v>32.341184711933899</v>
      </c>
      <c r="H37" s="28">
        <f t="shared" si="3"/>
        <v>127.62910265278856</v>
      </c>
      <c r="I37" s="28">
        <f t="shared" si="3"/>
        <v>1.0870835034523667</v>
      </c>
      <c r="J37" s="28">
        <f t="shared" si="3"/>
        <v>0.27807535992442978</v>
      </c>
      <c r="K37" s="28">
        <f t="shared" si="3"/>
        <v>109.93119007153291</v>
      </c>
      <c r="L37" s="28">
        <f t="shared" si="3"/>
        <v>2.7231372771923898</v>
      </c>
      <c r="M37" s="28">
        <f t="shared" si="3"/>
        <v>11.383869396103309</v>
      </c>
      <c r="N37" s="28">
        <f t="shared" si="3"/>
        <v>240.7326690979321</v>
      </c>
      <c r="O37" s="28">
        <f t="shared" si="3"/>
        <v>0</v>
      </c>
      <c r="P37" s="28">
        <f t="shared" si="3"/>
        <v>0.24063322261501424</v>
      </c>
      <c r="Q37" s="28">
        <f t="shared" si="3"/>
        <v>0.18145946167638682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COUNT(G9:G32)+10</f>
        <v>24</v>
      </c>
      <c r="H38" s="32">
        <f>COUNT(H9:H32)+10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43" sqref="F4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780</v>
      </c>
      <c r="B9" s="52">
        <v>8.0500000000000007</v>
      </c>
      <c r="C9" s="52">
        <v>3.13</v>
      </c>
      <c r="D9" s="52">
        <v>11.87</v>
      </c>
      <c r="E9" s="52">
        <v>3.8</v>
      </c>
      <c r="F9" s="52">
        <v>4.4800000000000004</v>
      </c>
      <c r="G9" s="52">
        <v>139.63</v>
      </c>
      <c r="H9" s="52">
        <v>64.66</v>
      </c>
      <c r="I9" s="52">
        <v>6.39</v>
      </c>
      <c r="J9" s="52">
        <v>1.6</v>
      </c>
      <c r="K9" s="52">
        <v>338.36</v>
      </c>
      <c r="L9" s="52">
        <v>28.54</v>
      </c>
      <c r="M9" s="52">
        <v>100.88</v>
      </c>
      <c r="N9" s="52">
        <v>45</v>
      </c>
      <c r="O9" s="52">
        <v>0</v>
      </c>
      <c r="P9" s="52">
        <v>1.1399999999999999</v>
      </c>
      <c r="Q9" s="52">
        <v>10.18</v>
      </c>
      <c r="R9" s="43"/>
      <c r="S9" s="43"/>
      <c r="T9" s="43"/>
      <c r="U9" s="43"/>
    </row>
    <row r="10" spans="1:21" s="11" customFormat="1" x14ac:dyDescent="0.25">
      <c r="A10" s="51" t="s">
        <v>781</v>
      </c>
      <c r="B10" s="52">
        <v>8.0299999999999994</v>
      </c>
      <c r="C10" s="52">
        <v>3.06</v>
      </c>
      <c r="D10" s="52">
        <v>11.82</v>
      </c>
      <c r="E10" s="52">
        <v>3.63</v>
      </c>
      <c r="F10" s="52">
        <v>3.66</v>
      </c>
      <c r="G10" s="52">
        <v>130.38</v>
      </c>
      <c r="H10" s="52">
        <v>51.41</v>
      </c>
      <c r="I10" s="52">
        <v>5.6</v>
      </c>
      <c r="J10" s="52">
        <v>1.44</v>
      </c>
      <c r="K10" s="52">
        <v>335.7</v>
      </c>
      <c r="L10" s="52">
        <v>28.29</v>
      </c>
      <c r="M10" s="52">
        <v>99.21</v>
      </c>
      <c r="N10" s="52">
        <v>45.1</v>
      </c>
      <c r="O10" s="52">
        <v>0</v>
      </c>
      <c r="P10" s="52">
        <v>0.86</v>
      </c>
      <c r="Q10" s="52">
        <v>10.01</v>
      </c>
      <c r="R10" s="43"/>
      <c r="S10" s="43"/>
      <c r="T10" s="43"/>
      <c r="U10" s="43"/>
    </row>
    <row r="11" spans="1:21" s="11" customFormat="1" x14ac:dyDescent="0.25">
      <c r="A11" s="51" t="s">
        <v>782</v>
      </c>
      <c r="B11" s="52">
        <v>8.01</v>
      </c>
      <c r="C11" s="52">
        <v>3</v>
      </c>
      <c r="D11" s="52">
        <v>11.75</v>
      </c>
      <c r="E11" s="52">
        <v>3.5</v>
      </c>
      <c r="F11" s="52">
        <v>3.81</v>
      </c>
      <c r="G11" s="52">
        <v>113.86</v>
      </c>
      <c r="H11" s="52">
        <v>38.17</v>
      </c>
      <c r="I11" s="52">
        <v>5.25</v>
      </c>
      <c r="J11" s="52">
        <v>1.1599999999999999</v>
      </c>
      <c r="K11" s="52">
        <v>344.16</v>
      </c>
      <c r="L11" s="52">
        <v>27.97</v>
      </c>
      <c r="M11" s="52">
        <v>101.63</v>
      </c>
      <c r="N11" s="52">
        <v>45.6</v>
      </c>
      <c r="O11" s="52">
        <v>0</v>
      </c>
      <c r="P11" s="52">
        <v>0.8</v>
      </c>
      <c r="Q11" s="52">
        <v>9.93</v>
      </c>
      <c r="R11" s="43"/>
      <c r="S11" s="43"/>
      <c r="T11" s="43"/>
      <c r="U11" s="43"/>
    </row>
    <row r="12" spans="1:21" s="11" customFormat="1" x14ac:dyDescent="0.25">
      <c r="A12" s="51" t="s">
        <v>783</v>
      </c>
      <c r="B12" s="52">
        <v>7.96</v>
      </c>
      <c r="C12" s="52">
        <v>2.97</v>
      </c>
      <c r="D12" s="52">
        <v>11.71</v>
      </c>
      <c r="E12" s="52">
        <v>5.56</v>
      </c>
      <c r="F12" s="52">
        <v>4.46</v>
      </c>
      <c r="G12" s="52">
        <v>90.73</v>
      </c>
      <c r="H12" s="52">
        <v>22.2</v>
      </c>
      <c r="I12" s="52">
        <v>4.9400000000000004</v>
      </c>
      <c r="J12" s="52">
        <v>0.21</v>
      </c>
      <c r="K12" s="52">
        <v>341.51</v>
      </c>
      <c r="L12" s="52">
        <v>27.33</v>
      </c>
      <c r="M12" s="52">
        <v>101.65</v>
      </c>
      <c r="N12" s="52">
        <v>45.3</v>
      </c>
      <c r="O12" s="52">
        <v>0</v>
      </c>
      <c r="P12" s="52">
        <v>0.68</v>
      </c>
      <c r="Q12" s="52">
        <v>9.81</v>
      </c>
      <c r="R12" s="43"/>
      <c r="S12" s="43"/>
      <c r="T12" s="43"/>
      <c r="U12" s="43"/>
    </row>
    <row r="13" spans="1:21" s="11" customFormat="1" x14ac:dyDescent="0.25">
      <c r="A13" s="51" t="s">
        <v>784</v>
      </c>
      <c r="B13" s="52">
        <v>7.99</v>
      </c>
      <c r="C13" s="52">
        <v>3.05</v>
      </c>
      <c r="D13" s="52">
        <v>11.77</v>
      </c>
      <c r="E13" s="52">
        <v>5.45</v>
      </c>
      <c r="F13" s="52">
        <v>4.2699999999999996</v>
      </c>
      <c r="G13" s="52">
        <v>51.87</v>
      </c>
      <c r="H13" s="52">
        <v>16.78</v>
      </c>
      <c r="I13" s="52">
        <v>4.62</v>
      </c>
      <c r="J13" s="52">
        <v>0.69</v>
      </c>
      <c r="K13" s="52">
        <v>339.74</v>
      </c>
      <c r="L13" s="52">
        <v>27.2</v>
      </c>
      <c r="M13" s="52">
        <v>101.65</v>
      </c>
      <c r="N13" s="52">
        <v>45.1</v>
      </c>
      <c r="O13" s="52">
        <v>0</v>
      </c>
      <c r="P13" s="52">
        <v>0.56999999999999995</v>
      </c>
      <c r="Q13" s="52">
        <v>9.73</v>
      </c>
      <c r="R13" s="43"/>
      <c r="S13" s="43"/>
      <c r="T13" s="43"/>
      <c r="U13" s="43"/>
    </row>
    <row r="14" spans="1:21" s="11" customFormat="1" x14ac:dyDescent="0.25">
      <c r="A14" s="51" t="s">
        <v>785</v>
      </c>
      <c r="B14" s="52">
        <v>8.06</v>
      </c>
      <c r="C14" s="52">
        <v>3.09</v>
      </c>
      <c r="D14" s="52">
        <v>11.85</v>
      </c>
      <c r="E14" s="52">
        <v>5.21</v>
      </c>
      <c r="F14" s="52">
        <v>3.41</v>
      </c>
      <c r="G14" s="52">
        <v>34.130000000000003</v>
      </c>
      <c r="H14" s="52">
        <v>12.74</v>
      </c>
      <c r="I14" s="52">
        <v>4.51</v>
      </c>
      <c r="J14" s="52">
        <v>0.5</v>
      </c>
      <c r="K14" s="52">
        <v>334.92</v>
      </c>
      <c r="L14" s="52">
        <v>26.99</v>
      </c>
      <c r="M14" s="52">
        <v>101.64</v>
      </c>
      <c r="N14" s="52">
        <v>55.2</v>
      </c>
      <c r="O14" s="52">
        <v>0</v>
      </c>
      <c r="P14" s="52">
        <v>0.49</v>
      </c>
      <c r="Q14" s="52">
        <v>9.74</v>
      </c>
      <c r="R14" s="43"/>
      <c r="S14" s="43"/>
      <c r="T14" s="43"/>
      <c r="U14" s="43"/>
    </row>
    <row r="15" spans="1:21" s="11" customFormat="1" x14ac:dyDescent="0.25">
      <c r="A15" s="51" t="s">
        <v>786</v>
      </c>
      <c r="B15" s="52">
        <v>7.99</v>
      </c>
      <c r="C15" s="52">
        <v>2.98</v>
      </c>
      <c r="D15" s="52">
        <v>11.74</v>
      </c>
      <c r="E15" s="52">
        <v>5.62</v>
      </c>
      <c r="F15" s="52">
        <v>3.74</v>
      </c>
      <c r="G15" s="52">
        <v>32.340000000000003</v>
      </c>
      <c r="H15" s="52">
        <v>12.74</v>
      </c>
      <c r="I15" s="52">
        <v>5.0999999999999996</v>
      </c>
      <c r="J15" s="52">
        <v>0.28999999999999998</v>
      </c>
      <c r="K15" s="52">
        <v>336.11</v>
      </c>
      <c r="L15" s="52">
        <v>29.23</v>
      </c>
      <c r="M15" s="52">
        <v>101.63</v>
      </c>
      <c r="N15" s="52">
        <v>205.8</v>
      </c>
      <c r="O15" s="52">
        <v>0</v>
      </c>
      <c r="P15" s="52">
        <v>0.46</v>
      </c>
      <c r="Q15" s="52">
        <v>9.83</v>
      </c>
      <c r="R15" s="43"/>
      <c r="S15" s="43"/>
      <c r="T15" s="43"/>
      <c r="U15" s="43"/>
    </row>
    <row r="16" spans="1:21" s="11" customFormat="1" x14ac:dyDescent="0.25">
      <c r="A16" s="51" t="s">
        <v>787</v>
      </c>
      <c r="B16" s="52">
        <v>8</v>
      </c>
      <c r="C16" s="52">
        <v>3.05</v>
      </c>
      <c r="D16" s="52">
        <v>11.79</v>
      </c>
      <c r="E16" s="52">
        <v>5.35</v>
      </c>
      <c r="F16" s="52">
        <v>4.26</v>
      </c>
      <c r="G16" s="52">
        <v>41</v>
      </c>
      <c r="H16" s="52">
        <v>12.98</v>
      </c>
      <c r="I16" s="52">
        <v>5.19</v>
      </c>
      <c r="J16" s="52">
        <v>0.28000000000000003</v>
      </c>
      <c r="K16" s="52">
        <v>356</v>
      </c>
      <c r="L16" s="52">
        <v>30.7</v>
      </c>
      <c r="M16" s="52">
        <v>90.69</v>
      </c>
      <c r="N16" s="52">
        <v>363.2</v>
      </c>
      <c r="O16" s="52">
        <v>0</v>
      </c>
      <c r="P16" s="52">
        <v>0.53</v>
      </c>
      <c r="Q16" s="52">
        <v>9.99</v>
      </c>
      <c r="R16" s="43"/>
      <c r="S16" s="43"/>
      <c r="T16" s="43"/>
      <c r="U16" s="43"/>
    </row>
    <row r="17" spans="1:21" s="11" customFormat="1" x14ac:dyDescent="0.25">
      <c r="A17" s="51" t="s">
        <v>788</v>
      </c>
      <c r="B17" s="52">
        <v>8.01</v>
      </c>
      <c r="C17" s="52">
        <v>3.06</v>
      </c>
      <c r="D17" s="52">
        <v>11.8</v>
      </c>
      <c r="E17" s="52">
        <v>4.8600000000000003</v>
      </c>
      <c r="F17" s="52">
        <v>4.04</v>
      </c>
      <c r="G17" s="52">
        <v>44</v>
      </c>
      <c r="H17" s="52">
        <v>12.98</v>
      </c>
      <c r="I17" s="52">
        <v>5.43</v>
      </c>
      <c r="J17" s="52">
        <v>1.03</v>
      </c>
      <c r="K17" s="52">
        <v>115.99</v>
      </c>
      <c r="L17" s="52">
        <v>30.92</v>
      </c>
      <c r="M17" s="52">
        <v>88.12</v>
      </c>
      <c r="N17" s="52">
        <v>498</v>
      </c>
      <c r="O17" s="52">
        <v>0</v>
      </c>
      <c r="P17" s="52">
        <v>0.52</v>
      </c>
      <c r="Q17" s="52">
        <v>10.050000000000001</v>
      </c>
      <c r="R17" s="43"/>
      <c r="S17" s="43"/>
      <c r="T17" s="43"/>
      <c r="U17" s="43"/>
    </row>
    <row r="18" spans="1:21" s="11" customFormat="1" x14ac:dyDescent="0.25">
      <c r="A18" s="51" t="s">
        <v>789</v>
      </c>
      <c r="B18" s="52">
        <v>8.0500000000000007</v>
      </c>
      <c r="C18" s="52">
        <v>3.07</v>
      </c>
      <c r="D18" s="52">
        <v>11.83</v>
      </c>
      <c r="E18" s="52">
        <v>4.93</v>
      </c>
      <c r="F18" s="52">
        <v>3.59</v>
      </c>
      <c r="G18" s="52">
        <v>44</v>
      </c>
      <c r="H18" s="52">
        <v>9.85</v>
      </c>
      <c r="I18" s="52">
        <v>5.96</v>
      </c>
      <c r="J18" s="52">
        <v>1.0900000000000001</v>
      </c>
      <c r="K18" s="52">
        <v>343.29</v>
      </c>
      <c r="L18" s="52">
        <v>33.17</v>
      </c>
      <c r="M18" s="52">
        <v>80.81</v>
      </c>
      <c r="N18" s="52">
        <v>644.5</v>
      </c>
      <c r="O18" s="52">
        <v>0</v>
      </c>
      <c r="P18" s="52">
        <v>0.49</v>
      </c>
      <c r="Q18" s="52">
        <v>10.02</v>
      </c>
      <c r="R18" s="43"/>
      <c r="S18" s="43"/>
      <c r="T18" s="43"/>
      <c r="U18" s="43"/>
    </row>
    <row r="19" spans="1:21" s="11" customFormat="1" x14ac:dyDescent="0.25">
      <c r="A19" s="51" t="s">
        <v>790</v>
      </c>
      <c r="B19" s="52">
        <v>8.06</v>
      </c>
      <c r="C19" s="52">
        <v>3.12</v>
      </c>
      <c r="D19" s="52">
        <v>11.87</v>
      </c>
      <c r="E19" s="52">
        <v>4.76</v>
      </c>
      <c r="F19" s="52">
        <v>4.1500000000000004</v>
      </c>
      <c r="G19" s="52">
        <v>37.409999999999997</v>
      </c>
      <c r="H19" s="52">
        <v>12.43</v>
      </c>
      <c r="I19" s="52">
        <v>6.28</v>
      </c>
      <c r="J19" s="52">
        <v>1.06</v>
      </c>
      <c r="K19" s="52">
        <v>106.78</v>
      </c>
      <c r="L19" s="52">
        <v>33.369999999999997</v>
      </c>
      <c r="M19" s="52">
        <v>73.81</v>
      </c>
      <c r="N19" s="52">
        <v>642</v>
      </c>
      <c r="O19" s="52">
        <v>0</v>
      </c>
      <c r="P19" s="52">
        <v>0.48</v>
      </c>
      <c r="Q19" s="52">
        <v>9.9499999999999993</v>
      </c>
      <c r="R19" s="43"/>
      <c r="S19" s="43"/>
      <c r="T19" s="43"/>
      <c r="U19" s="43"/>
    </row>
    <row r="20" spans="1:21" s="11" customFormat="1" x14ac:dyDescent="0.25">
      <c r="A20" s="51" t="s">
        <v>791</v>
      </c>
      <c r="B20" s="52">
        <v>8</v>
      </c>
      <c r="C20" s="52">
        <v>3.1</v>
      </c>
      <c r="D20" s="52">
        <v>11.81</v>
      </c>
      <c r="E20" s="52">
        <v>5.01</v>
      </c>
      <c r="F20" s="52">
        <v>3.9</v>
      </c>
      <c r="G20" s="52">
        <v>37.409999999999997</v>
      </c>
      <c r="H20" s="52">
        <v>12.43</v>
      </c>
      <c r="I20" s="52">
        <v>6.46</v>
      </c>
      <c r="J20" s="52">
        <v>0.95</v>
      </c>
      <c r="K20" s="52">
        <v>340.15</v>
      </c>
      <c r="L20" s="52">
        <v>33.44</v>
      </c>
      <c r="M20" s="52">
        <v>71.41</v>
      </c>
      <c r="N20" s="52">
        <v>560.5</v>
      </c>
      <c r="O20" s="52">
        <v>0</v>
      </c>
      <c r="P20" s="52">
        <v>0.48</v>
      </c>
      <c r="Q20" s="52">
        <v>9.7899999999999991</v>
      </c>
      <c r="R20" s="43"/>
      <c r="S20" s="43"/>
      <c r="T20" s="43"/>
      <c r="U20" s="43"/>
    </row>
    <row r="21" spans="1:21" s="11" customFormat="1" x14ac:dyDescent="0.25">
      <c r="A21" s="51" t="s">
        <v>792</v>
      </c>
      <c r="B21" s="52">
        <v>7.97</v>
      </c>
      <c r="C21" s="52">
        <v>3.04</v>
      </c>
      <c r="D21" s="52">
        <v>11.75</v>
      </c>
      <c r="E21" s="52">
        <v>4.08</v>
      </c>
      <c r="F21" s="52">
        <v>4.34</v>
      </c>
      <c r="G21" s="52">
        <v>38.159999999999997</v>
      </c>
      <c r="H21" s="52">
        <v>17.54</v>
      </c>
      <c r="I21" s="52">
        <v>5.73</v>
      </c>
      <c r="J21" s="52">
        <v>0.81</v>
      </c>
      <c r="K21" s="52">
        <v>101.74</v>
      </c>
      <c r="L21" s="52">
        <v>33.94</v>
      </c>
      <c r="M21" s="52">
        <v>70.92</v>
      </c>
      <c r="N21" s="52">
        <v>632</v>
      </c>
      <c r="O21" s="52">
        <v>0</v>
      </c>
      <c r="P21" s="52">
        <v>0.5</v>
      </c>
      <c r="Q21" s="52">
        <v>9.74</v>
      </c>
      <c r="R21" s="43"/>
      <c r="S21" s="43"/>
      <c r="T21" s="43"/>
      <c r="U21" s="43"/>
    </row>
    <row r="22" spans="1:21" s="11" customFormat="1" x14ac:dyDescent="0.25">
      <c r="A22" s="51" t="s">
        <v>793</v>
      </c>
      <c r="B22" s="52">
        <v>7.99</v>
      </c>
      <c r="C22" s="52">
        <v>3.02</v>
      </c>
      <c r="D22" s="52">
        <v>11.76</v>
      </c>
      <c r="E22" s="52">
        <v>3.74</v>
      </c>
      <c r="F22" s="52">
        <v>4.17</v>
      </c>
      <c r="G22" s="52">
        <v>38.159999999999997</v>
      </c>
      <c r="H22" s="52">
        <v>17.54</v>
      </c>
      <c r="I22" s="52">
        <v>5.39</v>
      </c>
      <c r="J22" s="52">
        <v>0.93</v>
      </c>
      <c r="K22" s="52">
        <v>113.08</v>
      </c>
      <c r="L22" s="52">
        <v>33.369999999999997</v>
      </c>
      <c r="M22" s="52">
        <v>69.650000000000006</v>
      </c>
      <c r="N22" s="52">
        <v>714.9</v>
      </c>
      <c r="O22" s="52">
        <v>0</v>
      </c>
      <c r="P22" s="52">
        <v>0.46</v>
      </c>
      <c r="Q22" s="52">
        <v>9.6300000000000008</v>
      </c>
      <c r="R22" s="43"/>
      <c r="S22" s="43"/>
      <c r="T22" s="43"/>
      <c r="U22" s="43"/>
    </row>
    <row r="23" spans="1:21" s="11" customFormat="1" x14ac:dyDescent="0.25">
      <c r="A23" s="51" t="s">
        <v>794</v>
      </c>
      <c r="B23" s="52">
        <v>7.99</v>
      </c>
      <c r="C23" s="52">
        <v>3.06</v>
      </c>
      <c r="D23" s="52">
        <v>11.78</v>
      </c>
      <c r="E23" s="52">
        <v>3.77</v>
      </c>
      <c r="F23" s="52">
        <v>4.13</v>
      </c>
      <c r="G23" s="52">
        <v>36.67</v>
      </c>
      <c r="H23" s="52">
        <v>15.42</v>
      </c>
      <c r="I23" s="52">
        <v>6.08</v>
      </c>
      <c r="J23" s="52">
        <v>1.07</v>
      </c>
      <c r="K23" s="52">
        <v>331.54</v>
      </c>
      <c r="L23" s="52">
        <v>32.76</v>
      </c>
      <c r="M23" s="52">
        <v>71.19</v>
      </c>
      <c r="N23" s="52">
        <v>373.5</v>
      </c>
      <c r="O23" s="52">
        <v>0</v>
      </c>
      <c r="P23" s="52">
        <v>0.43</v>
      </c>
      <c r="Q23" s="52">
        <v>9.65</v>
      </c>
      <c r="R23" s="43"/>
      <c r="S23" s="43"/>
      <c r="T23" s="43"/>
      <c r="U23" s="43"/>
    </row>
    <row r="24" spans="1:21" s="11" customFormat="1" x14ac:dyDescent="0.25">
      <c r="A24" s="51" t="s">
        <v>795</v>
      </c>
      <c r="B24" s="52">
        <v>7.96</v>
      </c>
      <c r="C24" s="52">
        <v>2.99</v>
      </c>
      <c r="D24" s="52">
        <v>11.72</v>
      </c>
      <c r="E24" s="52">
        <v>3.94</v>
      </c>
      <c r="F24" s="52">
        <v>4.47</v>
      </c>
      <c r="G24" s="52">
        <v>36.67</v>
      </c>
      <c r="H24" s="52">
        <v>15.42</v>
      </c>
      <c r="I24" s="52">
        <v>6.01</v>
      </c>
      <c r="J24" s="52">
        <v>1.18</v>
      </c>
      <c r="K24" s="52">
        <v>114.28</v>
      </c>
      <c r="L24" s="52">
        <v>31.77</v>
      </c>
      <c r="M24" s="52">
        <v>74.05</v>
      </c>
      <c r="N24" s="52">
        <v>199.4</v>
      </c>
      <c r="O24" s="52">
        <v>0</v>
      </c>
      <c r="P24" s="52">
        <v>0.43</v>
      </c>
      <c r="Q24" s="52">
        <v>9.68</v>
      </c>
      <c r="R24" s="43"/>
      <c r="S24" s="43"/>
      <c r="T24" s="43"/>
      <c r="U24" s="43"/>
    </row>
    <row r="25" spans="1:21" s="11" customFormat="1" x14ac:dyDescent="0.25">
      <c r="A25" s="51" t="s">
        <v>796</v>
      </c>
      <c r="B25" s="52">
        <v>7.96</v>
      </c>
      <c r="C25" s="52">
        <v>3.01</v>
      </c>
      <c r="D25" s="52">
        <v>11.73</v>
      </c>
      <c r="E25" s="52">
        <v>4.26</v>
      </c>
      <c r="F25" s="52">
        <v>5.0599999999999996</v>
      </c>
      <c r="G25" s="52">
        <v>35.18</v>
      </c>
      <c r="H25" s="52">
        <v>10.220000000000001</v>
      </c>
      <c r="I25" s="52">
        <v>5.82</v>
      </c>
      <c r="J25" s="52">
        <v>1.1000000000000001</v>
      </c>
      <c r="K25" s="52">
        <v>115.78</v>
      </c>
      <c r="L25" s="52">
        <v>31.86</v>
      </c>
      <c r="M25" s="52">
        <v>71.510000000000005</v>
      </c>
      <c r="N25" s="52">
        <v>135.80000000000001</v>
      </c>
      <c r="O25" s="52">
        <v>0</v>
      </c>
      <c r="P25" s="52">
        <v>0.42</v>
      </c>
      <c r="Q25" s="52">
        <v>9.6300000000000008</v>
      </c>
      <c r="R25" s="43"/>
      <c r="S25" s="43"/>
      <c r="T25" s="43"/>
      <c r="U25" s="43"/>
    </row>
    <row r="26" spans="1:21" s="11" customFormat="1" x14ac:dyDescent="0.25">
      <c r="A26" s="51" t="s">
        <v>797</v>
      </c>
      <c r="B26" s="52">
        <v>7.98</v>
      </c>
      <c r="C26" s="52">
        <v>2.97</v>
      </c>
      <c r="D26" s="52">
        <v>11.72</v>
      </c>
      <c r="E26" s="52">
        <v>4.08</v>
      </c>
      <c r="F26" s="52">
        <v>3.92</v>
      </c>
      <c r="G26" s="52">
        <v>35.18</v>
      </c>
      <c r="H26" s="52">
        <v>10.84</v>
      </c>
      <c r="I26" s="52">
        <v>5.66</v>
      </c>
      <c r="J26" s="52">
        <v>0.89</v>
      </c>
      <c r="K26" s="52">
        <v>117.9</v>
      </c>
      <c r="L26" s="52">
        <v>31.45</v>
      </c>
      <c r="M26" s="52">
        <v>78.13</v>
      </c>
      <c r="N26" s="52">
        <v>105.1</v>
      </c>
      <c r="O26" s="52">
        <v>0</v>
      </c>
      <c r="P26" s="52">
        <v>0.42</v>
      </c>
      <c r="Q26" s="52">
        <v>9.61</v>
      </c>
      <c r="R26" s="43"/>
      <c r="S26" s="43"/>
      <c r="T26" s="43"/>
      <c r="U26" s="43"/>
    </row>
    <row r="27" spans="1:21" s="11" customFormat="1" x14ac:dyDescent="0.25">
      <c r="A27" s="51" t="s">
        <v>798</v>
      </c>
      <c r="B27" s="52">
        <v>7.99</v>
      </c>
      <c r="C27" s="52">
        <v>3.01</v>
      </c>
      <c r="D27" s="52">
        <v>11.75</v>
      </c>
      <c r="E27" s="52">
        <v>4.0999999999999996</v>
      </c>
      <c r="F27" s="52">
        <v>3.92</v>
      </c>
      <c r="G27" s="52">
        <v>33.75</v>
      </c>
      <c r="H27" s="52">
        <v>10.84</v>
      </c>
      <c r="I27" s="52">
        <v>5.7</v>
      </c>
      <c r="J27" s="52">
        <v>1.29</v>
      </c>
      <c r="K27" s="52">
        <v>122.37</v>
      </c>
      <c r="L27" s="52">
        <v>30.86</v>
      </c>
      <c r="M27" s="52">
        <v>81.42</v>
      </c>
      <c r="N27" s="52">
        <v>49.7</v>
      </c>
      <c r="O27" s="52">
        <v>0</v>
      </c>
      <c r="P27" s="52">
        <v>0.42</v>
      </c>
      <c r="Q27" s="52">
        <v>9.64</v>
      </c>
      <c r="R27" s="43"/>
      <c r="S27" s="43"/>
      <c r="T27" s="43"/>
      <c r="U27" s="43"/>
    </row>
    <row r="28" spans="1:21" s="11" customFormat="1" x14ac:dyDescent="0.25">
      <c r="A28" s="51" t="s">
        <v>799</v>
      </c>
      <c r="B28" s="52">
        <v>7.97</v>
      </c>
      <c r="C28" s="52">
        <v>3.04</v>
      </c>
      <c r="D28" s="52">
        <v>11.75</v>
      </c>
      <c r="E28" s="52">
        <v>4.46</v>
      </c>
      <c r="F28" s="52">
        <v>4.6100000000000003</v>
      </c>
      <c r="G28" s="52">
        <v>36.08</v>
      </c>
      <c r="H28" s="52">
        <v>12.56</v>
      </c>
      <c r="I28" s="52">
        <v>5.94</v>
      </c>
      <c r="J28" s="52">
        <v>0.72</v>
      </c>
      <c r="K28" s="52">
        <v>116.19</v>
      </c>
      <c r="L28" s="52">
        <v>30.11</v>
      </c>
      <c r="M28" s="52">
        <v>85.1</v>
      </c>
      <c r="N28" s="52">
        <v>42</v>
      </c>
      <c r="O28" s="52">
        <v>0</v>
      </c>
      <c r="P28" s="52">
        <v>0.44</v>
      </c>
      <c r="Q28" s="52">
        <v>9.64</v>
      </c>
      <c r="R28" s="43"/>
      <c r="S28" s="43"/>
      <c r="T28" s="43"/>
      <c r="U28" s="43"/>
    </row>
    <row r="29" spans="1:21" s="11" customFormat="1" x14ac:dyDescent="0.25">
      <c r="A29" s="51" t="s">
        <v>800</v>
      </c>
      <c r="B29" s="52">
        <v>7.96</v>
      </c>
      <c r="C29" s="52">
        <v>3.02</v>
      </c>
      <c r="D29" s="52">
        <v>11.74</v>
      </c>
      <c r="E29" s="52">
        <v>3.43</v>
      </c>
      <c r="F29" s="52">
        <v>4.4800000000000004</v>
      </c>
      <c r="G29" s="52">
        <v>41.57</v>
      </c>
      <c r="H29" s="52">
        <v>17.46</v>
      </c>
      <c r="I29" s="52">
        <v>5.62</v>
      </c>
      <c r="J29" s="52">
        <v>0.24</v>
      </c>
      <c r="K29" s="52">
        <v>327.19</v>
      </c>
      <c r="L29" s="52">
        <v>30.03</v>
      </c>
      <c r="M29" s="52">
        <v>85.24</v>
      </c>
      <c r="N29" s="52">
        <v>42.2</v>
      </c>
      <c r="O29" s="52">
        <v>0</v>
      </c>
      <c r="P29" s="52">
        <v>0.6</v>
      </c>
      <c r="Q29" s="52">
        <v>9.65</v>
      </c>
      <c r="R29" s="43"/>
      <c r="S29" s="43"/>
      <c r="T29" s="43"/>
      <c r="U29" s="43"/>
    </row>
    <row r="30" spans="1:21" s="11" customFormat="1" x14ac:dyDescent="0.25">
      <c r="A30" s="51" t="s">
        <v>801</v>
      </c>
      <c r="B30" s="52">
        <v>8</v>
      </c>
      <c r="C30" s="52">
        <v>3.06</v>
      </c>
      <c r="D30" s="52">
        <v>11.79</v>
      </c>
      <c r="E30" s="52">
        <v>3.78</v>
      </c>
      <c r="F30" s="52">
        <v>3.7</v>
      </c>
      <c r="G30" s="52">
        <v>48.24</v>
      </c>
      <c r="H30" s="52">
        <v>18.3</v>
      </c>
      <c r="I30" s="52">
        <v>5.55</v>
      </c>
      <c r="J30" s="52">
        <v>0.93</v>
      </c>
      <c r="K30" s="52">
        <v>334.49</v>
      </c>
      <c r="L30" s="52">
        <v>29.75</v>
      </c>
      <c r="M30" s="52">
        <v>88.07</v>
      </c>
      <c r="N30" s="52">
        <v>42.1</v>
      </c>
      <c r="O30" s="52">
        <v>0</v>
      </c>
      <c r="P30" s="52">
        <v>0.73</v>
      </c>
      <c r="Q30" s="52">
        <v>9.77</v>
      </c>
      <c r="R30" s="43"/>
      <c r="S30" s="43"/>
      <c r="T30" s="43"/>
      <c r="U30" s="43"/>
    </row>
    <row r="31" spans="1:21" s="11" customFormat="1" x14ac:dyDescent="0.25">
      <c r="A31" s="51" t="s">
        <v>802</v>
      </c>
      <c r="B31" s="52">
        <v>8.0399999999999991</v>
      </c>
      <c r="C31" s="52">
        <v>3.13</v>
      </c>
      <c r="D31" s="52">
        <v>11.85</v>
      </c>
      <c r="E31" s="52">
        <v>3.5</v>
      </c>
      <c r="F31" s="52">
        <v>3.87</v>
      </c>
      <c r="G31" s="52">
        <v>57.36</v>
      </c>
      <c r="H31" s="52">
        <v>18.3</v>
      </c>
      <c r="I31" s="52">
        <v>5.69</v>
      </c>
      <c r="J31" s="52">
        <v>1.56</v>
      </c>
      <c r="K31" s="52">
        <v>340.06</v>
      </c>
      <c r="L31" s="52">
        <v>29.74</v>
      </c>
      <c r="M31" s="52">
        <v>97.46</v>
      </c>
      <c r="N31" s="52">
        <v>42.8</v>
      </c>
      <c r="O31" s="52">
        <v>0</v>
      </c>
      <c r="P31" s="52">
        <v>0.76</v>
      </c>
      <c r="Q31" s="52">
        <v>9.8699999999999992</v>
      </c>
      <c r="R31" s="43"/>
      <c r="S31" s="43"/>
      <c r="T31" s="43"/>
      <c r="U31" s="43"/>
    </row>
    <row r="32" spans="1:21" s="11" customFormat="1" x14ac:dyDescent="0.25">
      <c r="A32" s="51" t="s">
        <v>803</v>
      </c>
      <c r="B32" s="52">
        <v>8.02</v>
      </c>
      <c r="C32" s="52">
        <v>3.07</v>
      </c>
      <c r="D32" s="52">
        <v>11.8</v>
      </c>
      <c r="E32" s="52">
        <v>4.55</v>
      </c>
      <c r="F32" s="52">
        <v>4.51</v>
      </c>
      <c r="G32" s="52">
        <v>75.69</v>
      </c>
      <c r="H32" s="52">
        <v>23.92</v>
      </c>
      <c r="I32" s="52">
        <v>5.48</v>
      </c>
      <c r="J32" s="52">
        <v>1.83</v>
      </c>
      <c r="K32" s="52">
        <v>336.63</v>
      </c>
      <c r="L32" s="52">
        <v>28.49</v>
      </c>
      <c r="M32" s="52">
        <v>101.53</v>
      </c>
      <c r="N32" s="52">
        <v>42.2</v>
      </c>
      <c r="O32" s="52">
        <v>0</v>
      </c>
      <c r="P32" s="52">
        <v>0.79</v>
      </c>
      <c r="Q32" s="52">
        <v>9.9499999999999993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7.96</v>
      </c>
      <c r="C34" s="28">
        <f t="shared" si="0"/>
        <v>2.97</v>
      </c>
      <c r="D34" s="28">
        <f t="shared" si="0"/>
        <v>11.71</v>
      </c>
      <c r="E34" s="28">
        <f t="shared" si="0"/>
        <v>3.43</v>
      </c>
      <c r="F34" s="28">
        <f t="shared" si="0"/>
        <v>3.41</v>
      </c>
      <c r="G34" s="28">
        <f t="shared" si="0"/>
        <v>32.340000000000003</v>
      </c>
      <c r="H34" s="28">
        <f t="shared" si="0"/>
        <v>9.85</v>
      </c>
      <c r="I34" s="28">
        <f t="shared" si="0"/>
        <v>4.51</v>
      </c>
      <c r="J34" s="28">
        <f t="shared" si="0"/>
        <v>0.21</v>
      </c>
      <c r="K34" s="28">
        <f t="shared" si="0"/>
        <v>101.74</v>
      </c>
      <c r="L34" s="28">
        <f t="shared" si="0"/>
        <v>26.99</v>
      </c>
      <c r="M34" s="28">
        <f t="shared" si="0"/>
        <v>69.650000000000006</v>
      </c>
      <c r="N34" s="28">
        <f t="shared" si="0"/>
        <v>42</v>
      </c>
      <c r="O34" s="28">
        <f t="shared" si="0"/>
        <v>0</v>
      </c>
      <c r="P34" s="28">
        <f t="shared" si="0"/>
        <v>0.42</v>
      </c>
      <c r="Q34" s="28">
        <f t="shared" si="0"/>
        <v>9.61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8.06</v>
      </c>
      <c r="C35" s="29">
        <f t="shared" si="1"/>
        <v>3.13</v>
      </c>
      <c r="D35" s="29">
        <f t="shared" si="1"/>
        <v>11.87</v>
      </c>
      <c r="E35" s="29">
        <f t="shared" si="1"/>
        <v>5.62</v>
      </c>
      <c r="F35" s="29">
        <f t="shared" si="1"/>
        <v>5.0599999999999996</v>
      </c>
      <c r="G35" s="29">
        <f t="shared" si="1"/>
        <v>139.63</v>
      </c>
      <c r="H35" s="29">
        <f t="shared" si="1"/>
        <v>64.66</v>
      </c>
      <c r="I35" s="29">
        <f t="shared" si="1"/>
        <v>6.46</v>
      </c>
      <c r="J35" s="29">
        <f t="shared" si="1"/>
        <v>1.83</v>
      </c>
      <c r="K35" s="29">
        <f t="shared" si="1"/>
        <v>356</v>
      </c>
      <c r="L35" s="29">
        <f t="shared" si="1"/>
        <v>33.94</v>
      </c>
      <c r="M35" s="29">
        <f t="shared" si="1"/>
        <v>101.65</v>
      </c>
      <c r="N35" s="29">
        <f t="shared" si="1"/>
        <v>714.9</v>
      </c>
      <c r="O35" s="29">
        <f t="shared" si="1"/>
        <v>0</v>
      </c>
      <c r="P35" s="29">
        <f t="shared" si="1"/>
        <v>1.1399999999999999</v>
      </c>
      <c r="Q35" s="29">
        <f t="shared" si="1"/>
        <v>10.18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8.0016666666666669</v>
      </c>
      <c r="C36" s="28">
        <f t="shared" si="2"/>
        <v>3.0458333333333329</v>
      </c>
      <c r="D36" s="28">
        <f t="shared" si="2"/>
        <v>11.78125</v>
      </c>
      <c r="E36" s="28">
        <f t="shared" si="2"/>
        <v>4.390416666666666</v>
      </c>
      <c r="F36" s="28">
        <f t="shared" si="2"/>
        <v>4.1229166666666677</v>
      </c>
      <c r="G36" s="28">
        <f t="shared" si="2"/>
        <v>54.56124999999998</v>
      </c>
      <c r="H36" s="28">
        <f t="shared" si="2"/>
        <v>19.488750000000003</v>
      </c>
      <c r="I36" s="28">
        <f t="shared" si="2"/>
        <v>5.6000000000000005</v>
      </c>
      <c r="J36" s="28">
        <f t="shared" si="2"/>
        <v>0.95208333333333306</v>
      </c>
      <c r="K36" s="28">
        <f t="shared" si="2"/>
        <v>254.33166666666659</v>
      </c>
      <c r="L36" s="28">
        <f t="shared" si="2"/>
        <v>30.47</v>
      </c>
      <c r="M36" s="28">
        <f t="shared" si="2"/>
        <v>86.975000000000023</v>
      </c>
      <c r="N36" s="28">
        <f t="shared" si="2"/>
        <v>234.04166666666666</v>
      </c>
      <c r="O36" s="28">
        <f t="shared" si="2"/>
        <v>0</v>
      </c>
      <c r="P36" s="28">
        <f t="shared" si="2"/>
        <v>0.57916666666666672</v>
      </c>
      <c r="Q36" s="28">
        <f t="shared" si="2"/>
        <v>9.8120833333333337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3.2526466369600604E-2</v>
      </c>
      <c r="C37" s="28">
        <f t="shared" ref="C37:Q37" si="3">STDEV(C9:C32)</f>
        <v>4.7357719784512441E-2</v>
      </c>
      <c r="D37" s="28">
        <f t="shared" si="3"/>
        <v>4.8392642272218712E-2</v>
      </c>
      <c r="E37" s="28">
        <f t="shared" si="3"/>
        <v>0.71535627588585948</v>
      </c>
      <c r="F37" s="28">
        <f t="shared" si="3"/>
        <v>0.38884979962276772</v>
      </c>
      <c r="G37" s="28">
        <f t="shared" si="3"/>
        <v>31.684991826813182</v>
      </c>
      <c r="H37" s="28">
        <f t="shared" si="3"/>
        <v>13.420074940664202</v>
      </c>
      <c r="I37" s="28">
        <f t="shared" si="3"/>
        <v>0.50094692941164587</v>
      </c>
      <c r="J37" s="28">
        <f t="shared" si="3"/>
        <v>0.43637816833235599</v>
      </c>
      <c r="K37" s="28">
        <f t="shared" si="3"/>
        <v>111.38014000891643</v>
      </c>
      <c r="L37" s="28">
        <f t="shared" si="3"/>
        <v>2.1812302073351413</v>
      </c>
      <c r="M37" s="28">
        <f t="shared" si="3"/>
        <v>12.404362135958246</v>
      </c>
      <c r="N37" s="28">
        <f t="shared" si="3"/>
        <v>246.12581956790103</v>
      </c>
      <c r="O37" s="28">
        <f t="shared" si="3"/>
        <v>0</v>
      </c>
      <c r="P37" s="28">
        <f t="shared" si="3"/>
        <v>0.18282604387460913</v>
      </c>
      <c r="Q37" s="28">
        <f t="shared" si="3"/>
        <v>0.16383924164085115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workbookViewId="0">
      <pane xSplit="1" ySplit="8" topLeftCell="C9" activePane="bottomRight" state="frozen"/>
      <selection activeCell="B2" sqref="B2"/>
      <selection pane="topRight" activeCell="B2" sqref="B2"/>
      <selection pane="bottomLeft" activeCell="B2" sqref="B2"/>
      <selection pane="bottomRight" activeCell="G54" sqref="G54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01/08/2024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01/08/2024 01:00</v>
      </c>
      <c r="B9" s="24" t="e">
        <f>'01'!B36</f>
        <v>#DIV/0!</v>
      </c>
      <c r="C9" s="53" t="s">
        <v>4</v>
      </c>
      <c r="D9" s="53" t="s">
        <v>4</v>
      </c>
      <c r="E9" s="53" t="s">
        <v>4</v>
      </c>
      <c r="F9" s="53" t="s">
        <v>4</v>
      </c>
      <c r="G9" s="53" t="s">
        <v>4</v>
      </c>
      <c r="H9" s="53" t="s">
        <v>4</v>
      </c>
      <c r="I9" s="53" t="s">
        <v>4</v>
      </c>
      <c r="J9" s="53" t="s">
        <v>4</v>
      </c>
      <c r="K9" s="53" t="s">
        <v>4</v>
      </c>
      <c r="L9" s="53" t="s">
        <v>4</v>
      </c>
      <c r="M9" s="53" t="s">
        <v>4</v>
      </c>
      <c r="N9" s="53" t="s">
        <v>4</v>
      </c>
      <c r="O9" s="53" t="s">
        <v>4</v>
      </c>
      <c r="P9" s="53" t="s">
        <v>4</v>
      </c>
      <c r="Q9" s="53" t="s">
        <v>4</v>
      </c>
      <c r="R9" s="44"/>
      <c r="S9" s="44"/>
      <c r="T9" s="44"/>
      <c r="U9" s="45"/>
    </row>
    <row r="10" spans="1:21" s="34" customFormat="1" x14ac:dyDescent="0.25">
      <c r="A10" s="36" t="str">
        <f>'02'!$B$2</f>
        <v>02/08/2024 01:00</v>
      </c>
      <c r="B10" s="33">
        <f>'02'!B36</f>
        <v>8.1361538461538458</v>
      </c>
      <c r="C10" s="33">
        <f>'02'!C36</f>
        <v>3.4407692307692312</v>
      </c>
      <c r="D10" s="33">
        <f>'02'!D36</f>
        <v>12.095384615384615</v>
      </c>
      <c r="E10" s="33">
        <f>'02'!E36</f>
        <v>4.0330769230769228</v>
      </c>
      <c r="F10" s="33">
        <f>'02'!F36</f>
        <v>5.2084615384615383</v>
      </c>
      <c r="G10" s="33">
        <f>'02'!G36</f>
        <v>16.537692307692307</v>
      </c>
      <c r="H10" s="33">
        <f>'02'!H36</f>
        <v>8.5230769230769212</v>
      </c>
      <c r="I10" s="33">
        <f>'02'!I36</f>
        <v>1.0069230769230768</v>
      </c>
      <c r="J10" s="33">
        <f>'02'!J36</f>
        <v>0.38769230769230778</v>
      </c>
      <c r="K10" s="33">
        <f>'02'!K36</f>
        <v>278.18461538461548</v>
      </c>
      <c r="L10" s="33">
        <f>'02'!L36</f>
        <v>25.75692307692308</v>
      </c>
      <c r="M10" s="33">
        <f>'02'!M36</f>
        <v>100.43538461538461</v>
      </c>
      <c r="N10" s="33">
        <f>'02'!N36</f>
        <v>91.723076923076931</v>
      </c>
      <c r="O10" s="33">
        <f>'02'!O36</f>
        <v>4.6153846153846163E-2</v>
      </c>
      <c r="P10" s="30">
        <f>'02'!$P$36</f>
        <v>0.3692307692307692</v>
      </c>
      <c r="Q10" s="33">
        <f>'02'!Q36</f>
        <v>9.2207692307692302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03/08/2024 01:00</v>
      </c>
      <c r="B11" s="33">
        <f>'03'!B36</f>
        <v>8.1187500000000004</v>
      </c>
      <c r="C11" s="33">
        <f>'03'!C36</f>
        <v>3.3316666666666666</v>
      </c>
      <c r="D11" s="33">
        <f>'03'!D36</f>
        <v>12.022916666666665</v>
      </c>
      <c r="E11" s="33">
        <f>'03'!E36</f>
        <v>4.1845833333333333</v>
      </c>
      <c r="F11" s="33">
        <f>'03'!F36</f>
        <v>6.7312500000000002</v>
      </c>
      <c r="G11" s="33">
        <f>'03'!G36</f>
        <v>18.813000000000002</v>
      </c>
      <c r="H11" s="33">
        <f>'03'!H36</f>
        <v>8.0754999999999981</v>
      </c>
      <c r="I11" s="33">
        <f>'03'!I36</f>
        <v>0.94958333333333311</v>
      </c>
      <c r="J11" s="33">
        <f>'03'!J36</f>
        <v>0.33458333333333329</v>
      </c>
      <c r="K11" s="33">
        <f>'03'!K36</f>
        <v>220.14583333333334</v>
      </c>
      <c r="L11" s="33">
        <f>'03'!L36</f>
        <v>24.703749999999996</v>
      </c>
      <c r="M11" s="33">
        <f>'03'!M36</f>
        <v>100.97041666666667</v>
      </c>
      <c r="N11" s="33">
        <f>'03'!N36</f>
        <v>88.658333333333346</v>
      </c>
      <c r="O11" s="33">
        <f>'03'!O36</f>
        <v>1.0333333333333334</v>
      </c>
      <c r="P11" s="30">
        <f>'03'!$P$36</f>
        <v>0.27625</v>
      </c>
      <c r="Q11" s="33">
        <f>'03'!Q36</f>
        <v>9.2012499999999982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04/08/2024 01:00</v>
      </c>
      <c r="B12" s="33">
        <f>'04'!B36</f>
        <v>8.3633333333333333</v>
      </c>
      <c r="C12" s="33">
        <f>'04'!C36</f>
        <v>3.745416666666666</v>
      </c>
      <c r="D12" s="33">
        <f>'04'!D36</f>
        <v>12.436666666666669</v>
      </c>
      <c r="E12" s="33">
        <f>'04'!E36</f>
        <v>4.3029166666666674</v>
      </c>
      <c r="F12" s="33">
        <f>'04'!F36</f>
        <v>4.4366666666666674</v>
      </c>
      <c r="G12" s="33">
        <f>'04'!G36</f>
        <v>23.552083333333332</v>
      </c>
      <c r="H12" s="33">
        <f>'04'!H36</f>
        <v>8.4004166666666666</v>
      </c>
      <c r="I12" s="33">
        <f>'04'!I36</f>
        <v>2.0004166666666667</v>
      </c>
      <c r="J12" s="33">
        <f>'04'!J36</f>
        <v>0.26708333333333328</v>
      </c>
      <c r="K12" s="33">
        <f>'04'!K36</f>
        <v>288.66708333333332</v>
      </c>
      <c r="L12" s="33">
        <f>'04'!L36</f>
        <v>26.537083333333339</v>
      </c>
      <c r="M12" s="33">
        <f>'04'!M36</f>
        <v>99.915416666666658</v>
      </c>
      <c r="N12" s="33">
        <f>'04'!N36</f>
        <v>157.97916666666666</v>
      </c>
      <c r="O12" s="33">
        <f>'04'!O36</f>
        <v>0.16666666666666666</v>
      </c>
      <c r="P12" s="30">
        <f>'04'!$P$36</f>
        <v>0.33333333333333331</v>
      </c>
      <c r="Q12" s="33">
        <f>'04'!Q36</f>
        <v>9.2295833333333341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05/08/2024 01:00</v>
      </c>
      <c r="B13" s="33">
        <f>'05'!B36</f>
        <v>8.3062500000000004</v>
      </c>
      <c r="C13" s="33">
        <f>'05'!C36</f>
        <v>3.757916666666667</v>
      </c>
      <c r="D13" s="33">
        <f>'05'!D36</f>
        <v>12.395833333333336</v>
      </c>
      <c r="E13" s="33">
        <f>'05'!E36</f>
        <v>4.61625</v>
      </c>
      <c r="F13" s="33">
        <f>'05'!F36</f>
        <v>4.5720833333333344</v>
      </c>
      <c r="G13" s="33">
        <f>'05'!G36</f>
        <v>45.514583333333327</v>
      </c>
      <c r="H13" s="33">
        <f>'05'!H36</f>
        <v>15.71875</v>
      </c>
      <c r="I13" s="33">
        <f>'05'!I36</f>
        <v>2.409583333333333</v>
      </c>
      <c r="J13" s="33">
        <f>'05'!J36</f>
        <v>0.27458333333333335</v>
      </c>
      <c r="K13" s="33">
        <f>'05'!K36</f>
        <v>312.87874999999997</v>
      </c>
      <c r="L13" s="33">
        <f>'05'!L36</f>
        <v>28.225416666666664</v>
      </c>
      <c r="M13" s="33">
        <f>'05'!M36</f>
        <v>94.88124999999998</v>
      </c>
      <c r="N13" s="33">
        <f>'05'!N36</f>
        <v>268.91666666666669</v>
      </c>
      <c r="O13" s="33">
        <f>'05'!O36</f>
        <v>4.9999999999999996E-2</v>
      </c>
      <c r="P13" s="30">
        <f>'05'!$P$36</f>
        <v>0.3995833333333334</v>
      </c>
      <c r="Q13" s="33">
        <f>'05'!Q36</f>
        <v>9.2970833333333349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06/08/2024 01:00</v>
      </c>
      <c r="B14" s="33">
        <f>'06'!B36</f>
        <v>8.2120833333333323</v>
      </c>
      <c r="C14" s="33">
        <f>'06'!C36</f>
        <v>3.5041666666666669</v>
      </c>
      <c r="D14" s="33">
        <f>'06'!D36</f>
        <v>12.189166666666665</v>
      </c>
      <c r="E14" s="33">
        <f>'06'!E36</f>
        <v>4.3966666666666674</v>
      </c>
      <c r="F14" s="33">
        <f>'06'!F36</f>
        <v>7.4783333333333317</v>
      </c>
      <c r="G14" s="33">
        <f>'06'!G36</f>
        <v>44.850416666666668</v>
      </c>
      <c r="H14" s="33">
        <f>'06'!H36</f>
        <v>25.19541666666667</v>
      </c>
      <c r="I14" s="33">
        <f>'06'!I36</f>
        <v>2.5766666666666671</v>
      </c>
      <c r="J14" s="33">
        <f>'06'!J36</f>
        <v>0.35249999999999998</v>
      </c>
      <c r="K14" s="33">
        <f>'06'!K36</f>
        <v>337.94083333333339</v>
      </c>
      <c r="L14" s="33">
        <f>'06'!L36</f>
        <v>27.32041666666667</v>
      </c>
      <c r="M14" s="33">
        <f>'06'!M36</f>
        <v>98.367500000000007</v>
      </c>
      <c r="N14" s="33">
        <f>'06'!N36</f>
        <v>205.03333333333339</v>
      </c>
      <c r="O14" s="33">
        <f>'06'!O36</f>
        <v>1.1666666666666665</v>
      </c>
      <c r="P14" s="30">
        <f>'06'!$P$36</f>
        <v>0.47833333333333344</v>
      </c>
      <c r="Q14" s="33">
        <f>'06'!Q36</f>
        <v>9.3962500000000002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07/08/2024 01:00</v>
      </c>
      <c r="B15" s="33">
        <f>'07'!B36</f>
        <v>8.5058333333333351</v>
      </c>
      <c r="C15" s="33">
        <f>'07'!C36</f>
        <v>3.9208333333333329</v>
      </c>
      <c r="D15" s="33">
        <f>'07'!D36</f>
        <v>12.6425</v>
      </c>
      <c r="E15" s="33">
        <f>'07'!E36</f>
        <v>4.7312500000000002</v>
      </c>
      <c r="F15" s="33">
        <f>'07'!F36</f>
        <v>4.3124999999999991</v>
      </c>
      <c r="G15" s="33">
        <f>'07'!G36</f>
        <v>39.494583333333324</v>
      </c>
      <c r="H15" s="33">
        <f>'07'!H36</f>
        <v>26.601249999999997</v>
      </c>
      <c r="I15" s="33">
        <f>'07'!I36</f>
        <v>3.2983333333333333</v>
      </c>
      <c r="J15" s="33">
        <f>'07'!J36</f>
        <v>0.22791666666666668</v>
      </c>
      <c r="K15" s="33">
        <f>'07'!K36</f>
        <v>313.77250000000004</v>
      </c>
      <c r="L15" s="33">
        <f>'07'!L36</f>
        <v>25.627499999999998</v>
      </c>
      <c r="M15" s="33">
        <f>'07'!M36</f>
        <v>101.76291666666667</v>
      </c>
      <c r="N15" s="33">
        <f>'07'!N36</f>
        <v>122.83333333333333</v>
      </c>
      <c r="O15" s="33">
        <f>'07'!O36</f>
        <v>0.63333333333333341</v>
      </c>
      <c r="P15" s="33">
        <f>'07'!P36</f>
        <v>0.57041666666666668</v>
      </c>
      <c r="Q15" s="33">
        <f>'07'!Q36</f>
        <v>9.4816666666666656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08/08/2024 01:00</v>
      </c>
      <c r="B16" s="33">
        <f>'08'!B36</f>
        <v>8.1800000000000015</v>
      </c>
      <c r="C16" s="33">
        <f>'08'!C36</f>
        <v>3.3691666666666671</v>
      </c>
      <c r="D16" s="33">
        <f>'08'!D36</f>
        <v>12.094166666666666</v>
      </c>
      <c r="E16" s="33">
        <f>'08'!E36</f>
        <v>4.3866666666666676</v>
      </c>
      <c r="F16" s="33">
        <f>'08'!F36</f>
        <v>4.034583333333333</v>
      </c>
      <c r="G16" s="33">
        <f>'08'!G36</f>
        <v>40.083333333333343</v>
      </c>
      <c r="H16" s="33">
        <f>'08'!H36</f>
        <v>25.990416666666651</v>
      </c>
      <c r="I16" s="33">
        <f>'08'!I36</f>
        <v>3.307916666666666</v>
      </c>
      <c r="J16" s="33">
        <f>'08'!J36</f>
        <v>0.34125000000000005</v>
      </c>
      <c r="K16" s="33">
        <f>'08'!K36</f>
        <v>314.09875000000005</v>
      </c>
      <c r="L16" s="33">
        <f>'08'!L36</f>
        <v>26.660833333333326</v>
      </c>
      <c r="M16" s="33">
        <f>'08'!M36</f>
        <v>101.73291666666665</v>
      </c>
      <c r="N16" s="33">
        <f>'08'!N36</f>
        <v>183.0625</v>
      </c>
      <c r="O16" s="33">
        <f>'08'!O36</f>
        <v>6.6666666666666666E-2</v>
      </c>
      <c r="P16" s="30">
        <f>'08'!$P$36</f>
        <v>0.53125000000000011</v>
      </c>
      <c r="Q16" s="33">
        <f>'08'!Q36</f>
        <v>9.3858333333333341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09/08/2024 01:00</v>
      </c>
      <c r="B17" s="33">
        <f>'09'!B36</f>
        <v>8.1041666666666679</v>
      </c>
      <c r="C17" s="33">
        <f>'09'!C36</f>
        <v>3.2120833333333327</v>
      </c>
      <c r="D17" s="33">
        <f>'09'!D36</f>
        <v>11.949166666666668</v>
      </c>
      <c r="E17" s="33">
        <f>'09'!E36</f>
        <v>4.2762500000000001</v>
      </c>
      <c r="F17" s="33">
        <f>'09'!F36</f>
        <v>4.4358333333333331</v>
      </c>
      <c r="G17" s="33">
        <f>'09'!G36</f>
        <v>61.061249999999994</v>
      </c>
      <c r="H17" s="33">
        <f>'09'!H36</f>
        <v>33.89041666666666</v>
      </c>
      <c r="I17" s="33">
        <f>'09'!I36</f>
        <v>2.8008333333333337</v>
      </c>
      <c r="J17" s="33">
        <f>'09'!J36</f>
        <v>0.3008333333333334</v>
      </c>
      <c r="K17" s="33">
        <f>'09'!K36</f>
        <v>331.38749999999999</v>
      </c>
      <c r="L17" s="33">
        <f>'09'!L36</f>
        <v>26.562916666666666</v>
      </c>
      <c r="M17" s="33">
        <f>'09'!M36</f>
        <v>101</v>
      </c>
      <c r="N17" s="33">
        <f>'09'!N36</f>
        <v>175.23333333333332</v>
      </c>
      <c r="O17" s="33">
        <f>'09'!O36</f>
        <v>0.17500000000000002</v>
      </c>
      <c r="P17" s="33">
        <f>'09'!P36</f>
        <v>0.55458333333333332</v>
      </c>
      <c r="Q17" s="33">
        <f>'09'!Q36</f>
        <v>9.454583333333332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10/08/2024 01:00</v>
      </c>
      <c r="B18" s="33">
        <f>'10'!B36</f>
        <v>8.0654166666666658</v>
      </c>
      <c r="C18" s="33">
        <f>'10'!C36</f>
        <v>3.1545833333333331</v>
      </c>
      <c r="D18" s="33">
        <f>'10'!D36</f>
        <v>11.88875</v>
      </c>
      <c r="E18" s="33">
        <f>'10'!E36</f>
        <v>4.065833333333333</v>
      </c>
      <c r="F18" s="33">
        <f>'10'!F36</f>
        <v>4.6029166666666672</v>
      </c>
      <c r="G18" s="33">
        <f>'10'!G36</f>
        <v>78.943333333333342</v>
      </c>
      <c r="H18" s="33">
        <f>'10'!H36</f>
        <v>40.578749999999992</v>
      </c>
      <c r="I18" s="33">
        <f>'10'!I36</f>
        <v>3.1162500000000009</v>
      </c>
      <c r="J18" s="33">
        <f>'10'!J36</f>
        <v>0.27916666666666673</v>
      </c>
      <c r="K18" s="33">
        <f>'10'!K36</f>
        <v>316.94250000000005</v>
      </c>
      <c r="L18" s="33">
        <f>'10'!L36</f>
        <v>28.71583333333334</v>
      </c>
      <c r="M18" s="33">
        <f>'10'!M36</f>
        <v>92.533333333333317</v>
      </c>
      <c r="N18" s="33">
        <f>'10'!N36</f>
        <v>311.78750000000008</v>
      </c>
      <c r="O18" s="33">
        <f>'10'!O36</f>
        <v>0</v>
      </c>
      <c r="P18" s="30">
        <f>'10'!$P$36</f>
        <v>0.51125000000000009</v>
      </c>
      <c r="Q18" s="33">
        <f>'10'!Q36</f>
        <v>9.3783333333333321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11/08/2024 01:00</v>
      </c>
      <c r="B19" s="33">
        <f>'11'!B36</f>
        <v>8.0195833333333351</v>
      </c>
      <c r="C19" s="33">
        <f>'11'!C36</f>
        <v>3.0775000000000001</v>
      </c>
      <c r="D19" s="33">
        <f>'11'!D36</f>
        <v>11.810416666666667</v>
      </c>
      <c r="E19" s="33">
        <f>'11'!E36</f>
        <v>4.3579166666666671</v>
      </c>
      <c r="F19" s="33">
        <f>'11'!F36</f>
        <v>4.5137499999999999</v>
      </c>
      <c r="G19" s="33">
        <f>'11'!G36</f>
        <v>55.358750000000008</v>
      </c>
      <c r="H19" s="33">
        <f>'11'!H36</f>
        <v>29.85541666666667</v>
      </c>
      <c r="I19" s="33">
        <f>'11'!I36</f>
        <v>2.1395833333333329</v>
      </c>
      <c r="J19" s="33">
        <f>'11'!J36</f>
        <v>0.27625</v>
      </c>
      <c r="K19" s="33">
        <f>'11'!K36</f>
        <v>339.86791666666664</v>
      </c>
      <c r="L19" s="33">
        <f>'11'!L36</f>
        <v>27.314166666666676</v>
      </c>
      <c r="M19" s="33">
        <f>'11'!M36</f>
        <v>99.016666666666652</v>
      </c>
      <c r="N19" s="33">
        <f>'11'!N36</f>
        <v>153.91666666666666</v>
      </c>
      <c r="O19" s="33">
        <f>'11'!O36</f>
        <v>0.18333333333333335</v>
      </c>
      <c r="P19" s="33">
        <f>'11'!P36</f>
        <v>0.45999999999999996</v>
      </c>
      <c r="Q19" s="33">
        <f>'11'!Q36</f>
        <v>9.2920833333333324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12/08/2024 01:00</v>
      </c>
      <c r="B20" s="33">
        <f>'12'!B36</f>
        <v>8.0291666666666668</v>
      </c>
      <c r="C20" s="33">
        <f>'12'!C36</f>
        <v>3.1383333333333332</v>
      </c>
      <c r="D20" s="33">
        <f>'12'!D36</f>
        <v>11.849583333333328</v>
      </c>
      <c r="E20" s="33">
        <f>'12'!E36</f>
        <v>4.5908333333333333</v>
      </c>
      <c r="F20" s="33">
        <f>'12'!F36</f>
        <v>5.0758333333333328</v>
      </c>
      <c r="G20" s="33">
        <f>'12'!G36</f>
        <v>67.389999999999986</v>
      </c>
      <c r="H20" s="33">
        <f>'12'!H36</f>
        <v>38.45315789473684</v>
      </c>
      <c r="I20" s="33">
        <f>'12'!I36</f>
        <v>3.9362499999999994</v>
      </c>
      <c r="J20" s="33">
        <f>'12'!J36</f>
        <v>0.25916666666666677</v>
      </c>
      <c r="K20" s="33">
        <f>'12'!K36</f>
        <v>323.57874999999996</v>
      </c>
      <c r="L20" s="33">
        <f>'12'!L36</f>
        <v>28.786666666666662</v>
      </c>
      <c r="M20" s="33">
        <f>'12'!M36</f>
        <v>95.06750000000001</v>
      </c>
      <c r="N20" s="33">
        <f>'12'!N36</f>
        <v>244.70000000000005</v>
      </c>
      <c r="O20" s="33">
        <f>'12'!O36</f>
        <v>0</v>
      </c>
      <c r="P20" s="33">
        <f>'12'!P36</f>
        <v>0.5212500000000001</v>
      </c>
      <c r="Q20" s="33">
        <f>'12'!Q36</f>
        <v>9.3545833333333324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13/08/2024 01:00</v>
      </c>
      <c r="B21" s="33">
        <f>'13'!B36</f>
        <v>8.6062500000000011</v>
      </c>
      <c r="C21" s="33">
        <f>'13'!C36</f>
        <v>3.9745833333333338</v>
      </c>
      <c r="D21" s="33">
        <f>'13'!D36</f>
        <v>12.735833333333332</v>
      </c>
      <c r="E21" s="33">
        <f>'13'!E36</f>
        <v>4.7949999999999999</v>
      </c>
      <c r="F21" s="33">
        <f>'13'!F36</f>
        <v>4.7474999999999996</v>
      </c>
      <c r="G21" s="33">
        <f>'13'!G36</f>
        <v>82.632499999999979</v>
      </c>
      <c r="H21" s="33">
        <f>'13'!H36</f>
        <v>38.555</v>
      </c>
      <c r="I21" s="33">
        <f>'13'!I36</f>
        <v>3.8883333333333323</v>
      </c>
      <c r="J21" s="33">
        <f>'13'!J36</f>
        <v>0.29375000000000001</v>
      </c>
      <c r="K21" s="33">
        <f>'13'!K36</f>
        <v>332.79041666666666</v>
      </c>
      <c r="L21" s="33">
        <f>'13'!L36</f>
        <v>30.72708333333334</v>
      </c>
      <c r="M21" s="33">
        <f>'13'!M36</f>
        <v>89.28958333333334</v>
      </c>
      <c r="N21" s="33">
        <f>'13'!N36</f>
        <v>280.45416666666671</v>
      </c>
      <c r="O21" s="33">
        <f>'13'!O36</f>
        <v>0</v>
      </c>
      <c r="P21" s="33">
        <f>'13'!P36</f>
        <v>0.56124999999999992</v>
      </c>
      <c r="Q21" s="33">
        <f>'13'!Q36</f>
        <v>9.4404166666666658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14/08/2024 01:00</v>
      </c>
      <c r="B22" s="30">
        <f>'14'!B36</f>
        <v>8.1008333333333322</v>
      </c>
      <c r="C22" s="30">
        <f>'14'!C36</f>
        <v>3.1991666666666667</v>
      </c>
      <c r="D22" s="30">
        <f>'14'!D36</f>
        <v>11.94</v>
      </c>
      <c r="E22" s="30">
        <f>'14'!E36</f>
        <v>4.7350000000000003</v>
      </c>
      <c r="F22" s="30">
        <f>'14'!F36</f>
        <v>4.0116666666666667</v>
      </c>
      <c r="G22" s="30">
        <f>'14'!G36</f>
        <v>75.807083333333324</v>
      </c>
      <c r="H22" s="30">
        <f>'14'!H36</f>
        <v>32.732916666666661</v>
      </c>
      <c r="I22" s="30">
        <f>'14'!I36</f>
        <v>4.9962499999999999</v>
      </c>
      <c r="J22" s="30">
        <f>'14'!J36</f>
        <v>0.33833333333333332</v>
      </c>
      <c r="K22" s="30">
        <f>'14'!K36</f>
        <v>331.5358333333333</v>
      </c>
      <c r="L22" s="30">
        <f>'14'!L36</f>
        <v>28.74208333333333</v>
      </c>
      <c r="M22" s="30">
        <f>'14'!M36</f>
        <v>101.17333333333333</v>
      </c>
      <c r="N22" s="30">
        <f>'14'!N36</f>
        <v>108.43750000000001</v>
      </c>
      <c r="O22" s="30">
        <f>'14'!O36</f>
        <v>8.3333333333333332E-3</v>
      </c>
      <c r="P22" s="30">
        <f>'14'!P36</f>
        <v>0.57458333333333322</v>
      </c>
      <c r="Q22" s="30">
        <f>'14'!Q36</f>
        <v>9.5425000000000004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15/08/2024 01:00</v>
      </c>
      <c r="B23" s="33">
        <f>'15'!B36</f>
        <v>8.0733333333333324</v>
      </c>
      <c r="C23" s="33">
        <f>'15'!C36</f>
        <v>3.1537500000000009</v>
      </c>
      <c r="D23" s="33">
        <f>'15'!D36</f>
        <v>11.895416666666668</v>
      </c>
      <c r="E23" s="33">
        <f>'15'!E36</f>
        <v>4.6358333333333333</v>
      </c>
      <c r="F23" s="33">
        <f>'15'!F36</f>
        <v>4.0220833333333337</v>
      </c>
      <c r="G23" s="33">
        <f>'15'!G36</f>
        <v>46.861249999999991</v>
      </c>
      <c r="H23" s="33">
        <f>'15'!H36</f>
        <v>23.339583333333337</v>
      </c>
      <c r="I23" s="33">
        <f>'15'!I36</f>
        <v>5.1908333333333339</v>
      </c>
      <c r="J23" s="33">
        <f>'15'!J36</f>
        <v>0.52625</v>
      </c>
      <c r="K23" s="33">
        <f>'15'!K36</f>
        <v>334.43708333333331</v>
      </c>
      <c r="L23" s="33">
        <f>'15'!L36</f>
        <v>27.942083333333333</v>
      </c>
      <c r="M23" s="33">
        <f>'15'!M36</f>
        <v>101.04791666666667</v>
      </c>
      <c r="N23" s="33">
        <f>'15'!N36</f>
        <v>156.19166666666666</v>
      </c>
      <c r="O23" s="33">
        <f>'15'!O36</f>
        <v>9.1666666666666674E-2</v>
      </c>
      <c r="P23" s="30">
        <f>'15'!P36</f>
        <v>0.54666666666666663</v>
      </c>
      <c r="Q23" s="30">
        <f>'15'!Q36</f>
        <v>9.5495833333333326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16/08/2024 01:00</v>
      </c>
      <c r="B24" s="33">
        <f>'16'!B36</f>
        <v>8.0787500000000012</v>
      </c>
      <c r="C24" s="33">
        <f>'16'!C36</f>
        <v>3.1595833333333339</v>
      </c>
      <c r="D24" s="33">
        <f>'16'!D36</f>
        <v>11.904166666666669</v>
      </c>
      <c r="E24" s="33">
        <f>'16'!E36</f>
        <v>4.309166666666667</v>
      </c>
      <c r="F24" s="33">
        <f>'16'!F36</f>
        <v>4.0045833333333336</v>
      </c>
      <c r="G24" s="33">
        <f>'16'!G36</f>
        <v>55.608333333333327</v>
      </c>
      <c r="H24" s="33">
        <f>'16'!H36</f>
        <v>18.815416666666668</v>
      </c>
      <c r="I24" s="33">
        <f>'16'!I36</f>
        <v>3.4537499999999999</v>
      </c>
      <c r="J24" s="33">
        <f>'16'!J36</f>
        <v>0.49125000000000002</v>
      </c>
      <c r="K24" s="33">
        <f>'16'!K36</f>
        <v>327.32291666666674</v>
      </c>
      <c r="L24" s="33">
        <f>'16'!L36</f>
        <v>26.481249999999999</v>
      </c>
      <c r="M24" s="33">
        <f>'16'!M36</f>
        <v>102.22666666666665</v>
      </c>
      <c r="N24" s="33">
        <f>'16'!N36</f>
        <v>132.85</v>
      </c>
      <c r="O24" s="33">
        <f>'16'!O36</f>
        <v>0.10833333333333334</v>
      </c>
      <c r="P24" s="30">
        <f>'16'!P36</f>
        <v>0.5854166666666667</v>
      </c>
      <c r="Q24" s="30">
        <f>'16'!Q36</f>
        <v>9.5891666666666655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17/08/2024 01:00</v>
      </c>
      <c r="B25" s="33">
        <f>'17'!B36</f>
        <v>8.0116666666666649</v>
      </c>
      <c r="C25" s="33">
        <f>'17'!C36</f>
        <v>3.1316666666666664</v>
      </c>
      <c r="D25" s="33">
        <f>'17'!D36</f>
        <v>11.833750000000002</v>
      </c>
      <c r="E25" s="33">
        <f>'17'!E36</f>
        <v>4.6574999999999998</v>
      </c>
      <c r="F25" s="33">
        <f>'17'!F36</f>
        <v>5.7045833333333329</v>
      </c>
      <c r="G25" s="33">
        <f>'17'!G36</f>
        <v>83.427916666666661</v>
      </c>
      <c r="H25" s="33">
        <f>'17'!H36</f>
        <v>32.830416666666672</v>
      </c>
      <c r="I25" s="33">
        <f>'17'!I36</f>
        <v>3.9324999999999992</v>
      </c>
      <c r="J25" s="33">
        <f>'17'!J36</f>
        <v>0.25458333333333333</v>
      </c>
      <c r="K25" s="33">
        <f>'17'!K36</f>
        <v>347.15916666666664</v>
      </c>
      <c r="L25" s="33">
        <f>'17'!L36</f>
        <v>31.70708333333334</v>
      </c>
      <c r="M25" s="33">
        <f>'17'!M36</f>
        <v>96.385833333333338</v>
      </c>
      <c r="N25" s="33">
        <f>'17'!N36</f>
        <v>264.50833333333327</v>
      </c>
      <c r="O25" s="33">
        <f>'17'!O36</f>
        <v>0</v>
      </c>
      <c r="P25" s="30">
        <f>'17'!P36</f>
        <v>0.60791666666666666</v>
      </c>
      <c r="Q25" s="30">
        <f>'17'!Q36</f>
        <v>9.49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18/08/2024 01:00</v>
      </c>
      <c r="B26" s="33">
        <f>'18'!B36</f>
        <v>8.0175000000000001</v>
      </c>
      <c r="C26" s="33">
        <f>'18'!C36</f>
        <v>3.0866666666666664</v>
      </c>
      <c r="D26" s="33">
        <f>'18'!D36</f>
        <v>11.814583333333333</v>
      </c>
      <c r="E26" s="33">
        <f>'18'!E36</f>
        <v>4.683749999999999</v>
      </c>
      <c r="F26" s="33">
        <f>'18'!F36</f>
        <v>4.2025000000000006</v>
      </c>
      <c r="G26" s="33">
        <f>'18'!G36</f>
        <v>92.05416666666666</v>
      </c>
      <c r="H26" s="33">
        <f>'18'!H36</f>
        <v>25.0425</v>
      </c>
      <c r="I26" s="33">
        <f>'18'!I36</f>
        <v>3.4462500000000005</v>
      </c>
      <c r="J26" s="33">
        <f>'18'!J36</f>
        <v>0.68291666666666673</v>
      </c>
      <c r="K26" s="33">
        <f>'18'!K36</f>
        <v>334.14333333333326</v>
      </c>
      <c r="L26" s="33">
        <f>'18'!L36</f>
        <v>27.979583333333327</v>
      </c>
      <c r="M26" s="33">
        <f>'18'!M36</f>
        <v>99.492083333333355</v>
      </c>
      <c r="N26" s="33">
        <f>'18'!N36</f>
        <v>173.3125</v>
      </c>
      <c r="O26" s="33">
        <f>'18'!O36</f>
        <v>0.15000000000000002</v>
      </c>
      <c r="P26" s="30">
        <f>'18'!P36</f>
        <v>0.60041666666666671</v>
      </c>
      <c r="Q26" s="30">
        <f>'18'!Q36</f>
        <v>9.5058333333333334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19/08/2024 01:00</v>
      </c>
      <c r="B27" s="33">
        <f>'19'!B36</f>
        <v>8.0491666666666681</v>
      </c>
      <c r="C27" s="33">
        <f>'19'!C36</f>
        <v>3.151666666666666</v>
      </c>
      <c r="D27" s="33">
        <f>'19'!D36</f>
        <v>11.872500000000004</v>
      </c>
      <c r="E27" s="33">
        <f>'19'!E36</f>
        <v>5.2300000000000013</v>
      </c>
      <c r="F27" s="33">
        <f>'19'!F36</f>
        <v>6.3341666666666674</v>
      </c>
      <c r="G27" s="33">
        <f>'19'!G36</f>
        <v>118.40238095238097</v>
      </c>
      <c r="H27" s="57" t="s">
        <v>8</v>
      </c>
      <c r="I27" s="33">
        <f>'19'!I36</f>
        <v>5.6137499999999996</v>
      </c>
      <c r="J27" s="33">
        <f>'19'!J36</f>
        <v>0.67874999999999996</v>
      </c>
      <c r="K27" s="33">
        <f>'19'!K36</f>
        <v>309.54874999999998</v>
      </c>
      <c r="L27" s="33">
        <f>'19'!L36</f>
        <v>30.717083333333331</v>
      </c>
      <c r="M27" s="33">
        <f>'19'!M36</f>
        <v>86.113749999999996</v>
      </c>
      <c r="N27" s="33">
        <f>'19'!N36</f>
        <v>288.56249999999994</v>
      </c>
      <c r="O27" s="33">
        <f>'19'!O36</f>
        <v>0</v>
      </c>
      <c r="P27" s="30">
        <f>'19'!P36</f>
        <v>0.76750000000000007</v>
      </c>
      <c r="Q27" s="30">
        <f>'19'!Q36</f>
        <v>9.572499999999998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20/08/2024 01:00</v>
      </c>
      <c r="B28" s="33">
        <f>'20'!B36</f>
        <v>8.0274999999999981</v>
      </c>
      <c r="C28" s="33">
        <f>'20'!C36</f>
        <v>3.1458333333333339</v>
      </c>
      <c r="D28" s="33">
        <f>'20'!D36</f>
        <v>11.847916666666668</v>
      </c>
      <c r="E28" s="33">
        <f>'20'!E36</f>
        <v>4.6012499999999994</v>
      </c>
      <c r="F28" s="33">
        <f>'20'!F36</f>
        <v>7.7887499999999994</v>
      </c>
      <c r="G28" s="33">
        <f>'20'!G36</f>
        <v>45.973333333333322</v>
      </c>
      <c r="H28" s="57" t="s">
        <v>8</v>
      </c>
      <c r="I28" s="33">
        <f>'20'!I36</f>
        <v>2.7879166666666664</v>
      </c>
      <c r="J28" s="33">
        <f>'20'!J36</f>
        <v>0.36083333333333334</v>
      </c>
      <c r="K28" s="33">
        <f>'20'!K36</f>
        <v>282.65375</v>
      </c>
      <c r="L28" s="33">
        <f>'20'!L36</f>
        <v>28.792916666666667</v>
      </c>
      <c r="M28" s="33">
        <f>'20'!M36</f>
        <v>97.873750000000015</v>
      </c>
      <c r="N28" s="33">
        <f>'20'!N36</f>
        <v>113.5625</v>
      </c>
      <c r="O28" s="33">
        <f>'20'!O36</f>
        <v>0</v>
      </c>
      <c r="P28" s="30">
        <f>'20'!P36</f>
        <v>0.44124999999999998</v>
      </c>
      <c r="Q28" s="30">
        <f>'20'!Q36</f>
        <v>9.4150000000000009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21/08/2024 01:00</v>
      </c>
      <c r="B29" s="33">
        <f>'21'!B36</f>
        <v>8.02</v>
      </c>
      <c r="C29" s="33">
        <f>'21'!C36</f>
        <v>3.0562499999999999</v>
      </c>
      <c r="D29" s="33">
        <f>'21'!D36</f>
        <v>11.799583333333333</v>
      </c>
      <c r="E29" s="33">
        <f>'21'!E36</f>
        <v>4.7625000000000002</v>
      </c>
      <c r="F29" s="33">
        <f>'21'!F36</f>
        <v>5.0670833333333336</v>
      </c>
      <c r="G29" s="33">
        <f>'21'!G36</f>
        <v>44.217083333333335</v>
      </c>
      <c r="H29" s="57" t="s">
        <v>8</v>
      </c>
      <c r="I29" s="33">
        <f>'21'!I36</f>
        <v>4.2670833333333329</v>
      </c>
      <c r="J29" s="33">
        <f>'21'!J36</f>
        <v>0.54333333333333333</v>
      </c>
      <c r="K29" s="33">
        <f>'21'!K36</f>
        <v>272.10499999999996</v>
      </c>
      <c r="L29" s="33">
        <f>'21'!L36</f>
        <v>29.44</v>
      </c>
      <c r="M29" s="33">
        <f>'21'!M36</f>
        <v>93.18708333333332</v>
      </c>
      <c r="N29" s="33">
        <f>'21'!N36</f>
        <v>111.26666666666669</v>
      </c>
      <c r="O29" s="57" t="s">
        <v>8</v>
      </c>
      <c r="P29" s="30">
        <f>'21'!P36</f>
        <v>0.50791666666666668</v>
      </c>
      <c r="Q29" s="30">
        <f>'21'!Q36</f>
        <v>9.6195833333333312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22/08/2024 01:00</v>
      </c>
      <c r="B30" s="33">
        <f>'22'!B36</f>
        <v>8.0229166666666671</v>
      </c>
      <c r="C30" s="33">
        <f>'22'!C36</f>
        <v>3.0625</v>
      </c>
      <c r="D30" s="33">
        <f>'22'!D36</f>
        <v>11.80625</v>
      </c>
      <c r="E30" s="33">
        <f>'22'!E36</f>
        <v>4.5029166666666667</v>
      </c>
      <c r="F30" s="33">
        <f>'22'!F36</f>
        <v>4.1062500000000002</v>
      </c>
      <c r="G30" s="33">
        <f>'22'!G36</f>
        <v>17.397083333333335</v>
      </c>
      <c r="H30" s="58" t="s">
        <v>15</v>
      </c>
      <c r="I30" s="33">
        <f>'22'!I36</f>
        <v>4.697916666666667</v>
      </c>
      <c r="J30" s="33">
        <f>'22'!J36</f>
        <v>0.31000000000000005</v>
      </c>
      <c r="K30" s="33">
        <f>'22'!K36</f>
        <v>284.18666666666678</v>
      </c>
      <c r="L30" s="33">
        <f>'22'!L36</f>
        <v>26.041250000000005</v>
      </c>
      <c r="M30" s="33">
        <f>'22'!M36</f>
        <v>105.28874999999999</v>
      </c>
      <c r="N30" s="33">
        <f>'22'!N36</f>
        <v>54.67499999999999</v>
      </c>
      <c r="O30" s="57" t="s">
        <v>8</v>
      </c>
      <c r="P30" s="30">
        <f>'22'!P36</f>
        <v>0.43541666666666662</v>
      </c>
      <c r="Q30" s="30">
        <f>'22'!Q36</f>
        <v>9.6508333333333329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23/08/2024 01:00</v>
      </c>
      <c r="B31" s="33">
        <f>'23'!B36</f>
        <v>7.9833333333333316</v>
      </c>
      <c r="C31" s="33">
        <f>'23'!C36</f>
        <v>3.0283333333333338</v>
      </c>
      <c r="D31" s="33">
        <f>'23'!D36</f>
        <v>11.753333333333332</v>
      </c>
      <c r="E31" s="33">
        <f>'23'!E36</f>
        <v>4.2908333333333344</v>
      </c>
      <c r="F31" s="33">
        <f>'23'!F36</f>
        <v>4.8045833333333334</v>
      </c>
      <c r="G31" s="33">
        <f>'23'!G36</f>
        <v>22.401250000000001</v>
      </c>
      <c r="H31" s="58" t="s">
        <v>15</v>
      </c>
      <c r="I31" s="33">
        <f>'23'!I36</f>
        <v>2.9745833333333329</v>
      </c>
      <c r="J31" s="33">
        <f>'23'!J36</f>
        <v>0.31791666666666668</v>
      </c>
      <c r="K31" s="33">
        <f>'23'!K36</f>
        <v>312.57499999999999</v>
      </c>
      <c r="L31" s="33">
        <f>'23'!L36</f>
        <v>27.345000000000002</v>
      </c>
      <c r="M31" s="33">
        <f>'23'!M36</f>
        <v>101.1425</v>
      </c>
      <c r="N31" s="33">
        <f>'23'!N36</f>
        <v>147.81250000000003</v>
      </c>
      <c r="O31" s="33">
        <f>'23'!O36</f>
        <v>0</v>
      </c>
      <c r="P31" s="33">
        <f>'23'!P36</f>
        <v>0.40916666666666668</v>
      </c>
      <c r="Q31" s="33">
        <f>'23'!Q36</f>
        <v>9.5408333333333335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24/08/2024 01:00</v>
      </c>
      <c r="B32" s="33">
        <f>'24'!B36</f>
        <v>7.9708333333333314</v>
      </c>
      <c r="C32" s="33">
        <f>'24'!C36</f>
        <v>2.9962499999999999</v>
      </c>
      <c r="D32" s="33">
        <f>'24'!D36</f>
        <v>11.727916666666665</v>
      </c>
      <c r="E32" s="33">
        <f>'24'!E36</f>
        <v>5.080000000000001</v>
      </c>
      <c r="F32" s="33">
        <f>'24'!F36</f>
        <v>7.4812499999999993</v>
      </c>
      <c r="G32" s="33">
        <f>'24'!G36</f>
        <v>11.735555555555555</v>
      </c>
      <c r="H32" s="33">
        <f>'24'!H36</f>
        <v>14.047999999999998</v>
      </c>
      <c r="I32" s="33">
        <f>'24'!I36</f>
        <v>2.2312499999999997</v>
      </c>
      <c r="J32" s="33">
        <f>'24'!J36</f>
        <v>0.23041666666666669</v>
      </c>
      <c r="K32" s="33">
        <f>'24'!K36</f>
        <v>287.31291666666669</v>
      </c>
      <c r="L32" s="33">
        <f>'24'!L36</f>
        <v>27.089583333333334</v>
      </c>
      <c r="M32" s="33">
        <f>'24'!M36</f>
        <v>100.86833333333334</v>
      </c>
      <c r="N32" s="33">
        <f>'24'!N36</f>
        <v>158.90416666666667</v>
      </c>
      <c r="O32" s="33">
        <f>'24'!O36</f>
        <v>0</v>
      </c>
      <c r="P32" s="33">
        <f>'24'!P36</f>
        <v>0.30208333333333331</v>
      </c>
      <c r="Q32" s="33">
        <f>'24'!Q36</f>
        <v>9.4887500000000014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25/08/2024 01:00</v>
      </c>
      <c r="B33" s="33">
        <f>'25'!B36</f>
        <v>7.9824999999999982</v>
      </c>
      <c r="C33" s="33">
        <f>'25'!C36</f>
        <v>2.9883333333333337</v>
      </c>
      <c r="D33" s="33">
        <f>'25'!D36</f>
        <v>11.732500000000002</v>
      </c>
      <c r="E33" s="33">
        <f>'25'!E36</f>
        <v>4.3466666666666667</v>
      </c>
      <c r="F33" s="33">
        <f>'25'!F36</f>
        <v>4.3383333333333338</v>
      </c>
      <c r="G33" s="33">
        <f>'25'!G36</f>
        <v>14.283750000000003</v>
      </c>
      <c r="H33" s="33">
        <f>'25'!H36</f>
        <v>3.3970833333333332</v>
      </c>
      <c r="I33" s="33">
        <f>'25'!I36</f>
        <v>1.65625</v>
      </c>
      <c r="J33" s="33">
        <f>'25'!J36</f>
        <v>0.24</v>
      </c>
      <c r="K33" s="33">
        <f>'25'!K36</f>
        <v>303.54916666666668</v>
      </c>
      <c r="L33" s="33">
        <f>'25'!L36</f>
        <v>25.659583333333334</v>
      </c>
      <c r="M33" s="33">
        <f>'25'!M36</f>
        <v>103.62583333333333</v>
      </c>
      <c r="N33" s="33">
        <f>'25'!N36</f>
        <v>90.920833333333348</v>
      </c>
      <c r="O33" s="33">
        <f>'25'!O36</f>
        <v>0</v>
      </c>
      <c r="P33" s="33">
        <f>'25'!P36</f>
        <v>0.33124999999999999</v>
      </c>
      <c r="Q33" s="33">
        <f>'25'!Q36</f>
        <v>9.5429166666666685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26/08/2024 01:00</v>
      </c>
      <c r="B34" s="33">
        <f>'26'!B36</f>
        <v>8.0470833333333331</v>
      </c>
      <c r="C34" s="33">
        <f>'26'!C36</f>
        <v>3.032083333333333</v>
      </c>
      <c r="D34" s="33">
        <f>'26'!D36</f>
        <v>11.807499999999999</v>
      </c>
      <c r="E34" s="33">
        <f>'26'!E36</f>
        <v>5.100416666666665</v>
      </c>
      <c r="F34" s="33">
        <f>'26'!F36</f>
        <v>4.444583333333334</v>
      </c>
      <c r="G34" s="33">
        <f>'26'!G36</f>
        <v>23.738421052631576</v>
      </c>
      <c r="H34" s="33">
        <f>'26'!H36</f>
        <v>15.381052631578948</v>
      </c>
      <c r="I34" s="33">
        <f>'26'!I36</f>
        <v>2.9016666666666668</v>
      </c>
      <c r="J34" s="33">
        <f>'26'!J36</f>
        <v>0.27625</v>
      </c>
      <c r="K34" s="33">
        <f>'26'!K36</f>
        <v>304.59958333333333</v>
      </c>
      <c r="L34" s="33">
        <f>'26'!L36</f>
        <v>27.537083333333332</v>
      </c>
      <c r="M34" s="33">
        <f>'26'!M36</f>
        <v>97.307500000000019</v>
      </c>
      <c r="N34" s="33">
        <f>'26'!N36</f>
        <v>141.84166666666667</v>
      </c>
      <c r="O34" s="33">
        <f>'26'!O36</f>
        <v>0</v>
      </c>
      <c r="P34" s="33">
        <f>'26'!P36</f>
        <v>0.36291666666666672</v>
      </c>
      <c r="Q34" s="33">
        <f>'26'!Q36</f>
        <v>9.5866666666666678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27/08/2024 01:00</v>
      </c>
      <c r="B35" s="33">
        <f>'27'!B36</f>
        <v>7.9908333333333337</v>
      </c>
      <c r="C35" s="33">
        <f>'27'!C36</f>
        <v>3.0025000000000008</v>
      </c>
      <c r="D35" s="33">
        <f>'27'!D36</f>
        <v>11.747083333333331</v>
      </c>
      <c r="E35" s="33">
        <f>'27'!E36</f>
        <v>4.8295833333333329</v>
      </c>
      <c r="F35" s="33">
        <f>'27'!F36</f>
        <v>4.3870833333333339</v>
      </c>
      <c r="G35" s="33">
        <f>'27'!G36</f>
        <v>29.819166666666664</v>
      </c>
      <c r="H35" s="33">
        <f>'27'!H36</f>
        <v>38.714166666666664</v>
      </c>
      <c r="I35" s="33">
        <f>'27'!I36</f>
        <v>2.8979166666666658</v>
      </c>
      <c r="J35" s="33">
        <f>'27'!J36</f>
        <v>0.20750000000000002</v>
      </c>
      <c r="K35" s="33">
        <f>'27'!K36</f>
        <v>310.43458333333331</v>
      </c>
      <c r="L35" s="33">
        <f>'27'!L36</f>
        <v>28.668750000000003</v>
      </c>
      <c r="M35" s="33">
        <f>'27'!M36</f>
        <v>93.505416666666676</v>
      </c>
      <c r="N35" s="33">
        <f>'27'!N36</f>
        <v>189.98749999999995</v>
      </c>
      <c r="O35" s="33">
        <f>'27'!O36</f>
        <v>0</v>
      </c>
      <c r="P35" s="30">
        <f>'27'!P36</f>
        <v>0.40208333333333335</v>
      </c>
      <c r="Q35" s="33">
        <f>'27'!Q36</f>
        <v>9.5975000000000019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28/08/2024 01:00</v>
      </c>
      <c r="B36" s="33">
        <f>'28'!B36</f>
        <v>7.9954166666666673</v>
      </c>
      <c r="C36" s="33">
        <f>'28'!C36</f>
        <v>3.0387500000000003</v>
      </c>
      <c r="D36" s="33">
        <f>'28'!D36</f>
        <v>11.77083333333333</v>
      </c>
      <c r="E36" s="33">
        <f>'28'!E36</f>
        <v>4.7720833333333328</v>
      </c>
      <c r="F36" s="33">
        <f>'28'!F36</f>
        <v>5.2812499999999991</v>
      </c>
      <c r="G36" s="33">
        <f>'28'!G36</f>
        <v>35.345833333333339</v>
      </c>
      <c r="H36" s="33">
        <f>'28'!H36</f>
        <v>22.085833333333337</v>
      </c>
      <c r="I36" s="33">
        <f>'28'!I36</f>
        <v>3.2754166666666666</v>
      </c>
      <c r="J36" s="33">
        <f>'28'!J36</f>
        <v>0.24083333333333332</v>
      </c>
      <c r="K36" s="33">
        <f>'28'!K36</f>
        <v>333.68416666666661</v>
      </c>
      <c r="L36" s="33">
        <f>'28'!L36</f>
        <v>30.182499999999994</v>
      </c>
      <c r="M36" s="33">
        <f>'28'!M36</f>
        <v>88.787083333333328</v>
      </c>
      <c r="N36" s="33">
        <f>'28'!N36</f>
        <v>203.40833333333333</v>
      </c>
      <c r="O36" s="33">
        <f>'28'!O36</f>
        <v>0</v>
      </c>
      <c r="P36" s="30">
        <f>'28'!P36</f>
        <v>0.46958333333333324</v>
      </c>
      <c r="Q36" s="33">
        <f>'28'!Q36</f>
        <v>9.711666666666666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29/08/2024 01:00</v>
      </c>
      <c r="B37" s="33">
        <f>'29'!B36</f>
        <v>8.0204166666666641</v>
      </c>
      <c r="C37" s="33">
        <f>'29'!C36</f>
        <v>3.0829166666666672</v>
      </c>
      <c r="D37" s="33">
        <f>'29'!D36</f>
        <v>11.814166666666667</v>
      </c>
      <c r="E37" s="33">
        <f>'29'!E36</f>
        <v>4.7116666666666678</v>
      </c>
      <c r="F37" s="33">
        <f>'29'!F36</f>
        <v>4.7520833333333332</v>
      </c>
      <c r="G37" s="33">
        <f>'29'!G36</f>
        <v>39.706111111111113</v>
      </c>
      <c r="H37" s="33">
        <f>'29'!H36</f>
        <v>26.96</v>
      </c>
      <c r="I37" s="33">
        <f>'29'!I36</f>
        <v>4.67</v>
      </c>
      <c r="J37" s="33">
        <f>'29'!J36</f>
        <v>0.34749999999999998</v>
      </c>
      <c r="K37" s="33">
        <f>'29'!K36</f>
        <v>272.65875</v>
      </c>
      <c r="L37" s="33">
        <f>'29'!L36</f>
        <v>27.546666666666663</v>
      </c>
      <c r="M37" s="33">
        <f>'29'!M36</f>
        <v>101.46000000000002</v>
      </c>
      <c r="N37" s="33">
        <f>'29'!N36</f>
        <v>96.737499999999997</v>
      </c>
      <c r="O37" s="33">
        <f>'29'!O36</f>
        <v>8.3333333333333329E-2</v>
      </c>
      <c r="P37" s="33">
        <f>'29'!P36</f>
        <v>0.51666666666666672</v>
      </c>
      <c r="Q37" s="33">
        <f>'29'!Q36</f>
        <v>9.9212499999999988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30/08/2024 01:00</v>
      </c>
      <c r="B38" s="33">
        <f>'30'!B36</f>
        <v>7.9937499999999995</v>
      </c>
      <c r="C38" s="33">
        <f>'30'!C36</f>
        <v>3.0583333333333331</v>
      </c>
      <c r="D38" s="33">
        <f>'30'!D36</f>
        <v>11.775833333333336</v>
      </c>
      <c r="E38" s="33">
        <f>'30'!E36</f>
        <v>4.5487500000000001</v>
      </c>
      <c r="F38" s="33">
        <f>'30'!F36</f>
        <v>4.5854166666666663</v>
      </c>
      <c r="G38" s="33">
        <f>'30'!G36</f>
        <v>66.101428571428571</v>
      </c>
      <c r="H38" s="33">
        <f>'30'!H36</f>
        <v>81.128571428571419</v>
      </c>
      <c r="I38" s="33">
        <f>'30'!I36</f>
        <v>4.9312499999999995</v>
      </c>
      <c r="J38" s="33">
        <f>'30'!J36</f>
        <v>0.75291666666666679</v>
      </c>
      <c r="K38" s="33">
        <f>'30'!K36</f>
        <v>243.60124999999996</v>
      </c>
      <c r="L38" s="33">
        <f>'30'!L36</f>
        <v>28.993750000000006</v>
      </c>
      <c r="M38" s="33">
        <f>'30'!M36</f>
        <v>92.507083333333341</v>
      </c>
      <c r="N38" s="33">
        <f>'30'!N36</f>
        <v>211.2166666666667</v>
      </c>
      <c r="O38" s="33">
        <f>'30'!O36</f>
        <v>0</v>
      </c>
      <c r="P38" s="33">
        <f>'30'!P36</f>
        <v>0.52500000000000002</v>
      </c>
      <c r="Q38" s="33">
        <f>'30'!Q36</f>
        <v>9.8333333333333339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31/08/2024 01:00</v>
      </c>
      <c r="B39" s="33">
        <f>'30'!B37</f>
        <v>4.8347699014534257E-2</v>
      </c>
      <c r="C39" s="33">
        <f>'31'!C36</f>
        <v>3.0458333333333329</v>
      </c>
      <c r="D39" s="33">
        <f>'31'!D37</f>
        <v>4.8392642272218712E-2</v>
      </c>
      <c r="E39" s="33">
        <f>'31'!E37</f>
        <v>0.71535627588585948</v>
      </c>
      <c r="F39" s="33">
        <f>'31'!F37</f>
        <v>0.38884979962276772</v>
      </c>
      <c r="G39" s="33">
        <f>'31'!G37</f>
        <v>31.684991826813182</v>
      </c>
      <c r="H39" s="33">
        <f>'31'!H37</f>
        <v>13.420074940664202</v>
      </c>
      <c r="I39" s="33">
        <f>'31'!I37</f>
        <v>0.50094692941164587</v>
      </c>
      <c r="J39" s="33">
        <f>'31'!J37</f>
        <v>0.43637816833235599</v>
      </c>
      <c r="K39" s="33">
        <f>'31'!K37</f>
        <v>111.38014000891643</v>
      </c>
      <c r="L39" s="33">
        <f>'31'!L37</f>
        <v>2.1812302073351413</v>
      </c>
      <c r="M39" s="33">
        <f>'31'!M37</f>
        <v>12.404362135958246</v>
      </c>
      <c r="N39" s="33">
        <f>'31'!N37</f>
        <v>246.12581956790103</v>
      </c>
      <c r="O39" s="33">
        <f>'31'!O37</f>
        <v>0</v>
      </c>
      <c r="P39" s="33">
        <f>'31'!P37</f>
        <v>0.18282604387460913</v>
      </c>
      <c r="Q39" s="33">
        <f>'31'!Q37</f>
        <v>0.16383924164085115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 t="e">
        <f t="shared" ref="B41:Q41" si="0">MIN(B9:B38)</f>
        <v>#DIV/0!</v>
      </c>
      <c r="C41" s="15">
        <f t="shared" si="0"/>
        <v>2.9883333333333337</v>
      </c>
      <c r="D41" s="15">
        <f t="shared" si="0"/>
        <v>11.727916666666665</v>
      </c>
      <c r="E41" s="15">
        <f t="shared" si="0"/>
        <v>4.0330769230769228</v>
      </c>
      <c r="F41" s="15">
        <f t="shared" si="0"/>
        <v>4.0045833333333336</v>
      </c>
      <c r="G41" s="15">
        <f t="shared" si="0"/>
        <v>11.735555555555555</v>
      </c>
      <c r="H41" s="15">
        <f t="shared" si="0"/>
        <v>3.3970833333333332</v>
      </c>
      <c r="I41" s="15">
        <f t="shared" si="0"/>
        <v>0.94958333333333311</v>
      </c>
      <c r="J41" s="15">
        <f t="shared" si="0"/>
        <v>0.20750000000000002</v>
      </c>
      <c r="K41" s="15">
        <f t="shared" si="0"/>
        <v>220.14583333333334</v>
      </c>
      <c r="L41" s="15">
        <f t="shared" si="0"/>
        <v>24.703749999999996</v>
      </c>
      <c r="M41" s="15">
        <f t="shared" si="0"/>
        <v>86.113749999999996</v>
      </c>
      <c r="N41" s="15">
        <f t="shared" si="0"/>
        <v>54.67499999999999</v>
      </c>
      <c r="O41" s="15">
        <f t="shared" si="0"/>
        <v>0</v>
      </c>
      <c r="P41" s="15">
        <f t="shared" si="0"/>
        <v>0.27625</v>
      </c>
      <c r="Q41" s="15">
        <f t="shared" si="0"/>
        <v>9.2012499999999982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 t="e">
        <f t="shared" ref="B42:Q42" si="1">MAX(B9:B38)</f>
        <v>#DIV/0!</v>
      </c>
      <c r="C42" s="15">
        <f t="shared" si="1"/>
        <v>3.9745833333333338</v>
      </c>
      <c r="D42" s="15">
        <f t="shared" si="1"/>
        <v>12.735833333333332</v>
      </c>
      <c r="E42" s="15">
        <f t="shared" si="1"/>
        <v>5.2300000000000013</v>
      </c>
      <c r="F42" s="15">
        <f t="shared" si="1"/>
        <v>7.7887499999999994</v>
      </c>
      <c r="G42" s="15">
        <f t="shared" si="1"/>
        <v>118.40238095238097</v>
      </c>
      <c r="H42" s="15">
        <f t="shared" si="1"/>
        <v>81.128571428571419</v>
      </c>
      <c r="I42" s="15">
        <f t="shared" si="1"/>
        <v>5.6137499999999996</v>
      </c>
      <c r="J42" s="15">
        <f t="shared" si="1"/>
        <v>0.75291666666666679</v>
      </c>
      <c r="K42" s="15">
        <f t="shared" si="1"/>
        <v>347.15916666666664</v>
      </c>
      <c r="L42" s="15">
        <f t="shared" si="1"/>
        <v>31.70708333333334</v>
      </c>
      <c r="M42" s="15">
        <f t="shared" si="1"/>
        <v>105.28874999999999</v>
      </c>
      <c r="N42" s="15">
        <f t="shared" si="1"/>
        <v>311.78750000000008</v>
      </c>
      <c r="O42" s="15">
        <f t="shared" si="1"/>
        <v>1.1666666666666665</v>
      </c>
      <c r="P42" s="15">
        <f t="shared" si="1"/>
        <v>0.76750000000000007</v>
      </c>
      <c r="Q42" s="15">
        <f t="shared" si="1"/>
        <v>9.9212499999999988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 t="e">
        <f t="shared" ref="B43:Q43" si="2">AVERAGE(B9:B38)</f>
        <v>#DIV/0!</v>
      </c>
      <c r="C43" s="15">
        <f t="shared" si="2"/>
        <v>3.2414345711759514</v>
      </c>
      <c r="D43" s="15">
        <f t="shared" si="2"/>
        <v>11.963921308576481</v>
      </c>
      <c r="E43" s="15">
        <f t="shared" si="2"/>
        <v>4.5701779398762152</v>
      </c>
      <c r="F43" s="15">
        <f t="shared" si="2"/>
        <v>5.0160676392572938</v>
      </c>
      <c r="G43" s="15">
        <f t="shared" si="2"/>
        <v>48.176264582211495</v>
      </c>
      <c r="H43" s="15">
        <f t="shared" si="2"/>
        <v>26.429712869915168</v>
      </c>
      <c r="I43" s="15">
        <f t="shared" si="2"/>
        <v>3.2881122900088418</v>
      </c>
      <c r="J43" s="15">
        <f t="shared" si="2"/>
        <v>0.35842617152961981</v>
      </c>
      <c r="K43" s="15">
        <f t="shared" si="2"/>
        <v>306.95735742705568</v>
      </c>
      <c r="L43" s="15">
        <f t="shared" si="2"/>
        <v>27.855339301503097</v>
      </c>
      <c r="M43" s="15">
        <f t="shared" si="2"/>
        <v>97.826406940760393</v>
      </c>
      <c r="N43" s="15">
        <f t="shared" si="2"/>
        <v>169.94806587091074</v>
      </c>
      <c r="O43" s="15">
        <f t="shared" si="2"/>
        <v>0.14677113010446347</v>
      </c>
      <c r="P43" s="15">
        <f t="shared" si="2"/>
        <v>0.4811229000884174</v>
      </c>
      <c r="Q43" s="15">
        <f t="shared" si="2"/>
        <v>9.4927707780725026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 t="e">
        <f t="shared" ref="B44:Q44" si="3">STDEV(B9:B38)</f>
        <v>#DIV/0!</v>
      </c>
      <c r="C44" s="15">
        <f t="shared" si="3"/>
        <v>0.28061771904974131</v>
      </c>
      <c r="D44" s="15">
        <f t="shared" si="3"/>
        <v>0.26987162687656596</v>
      </c>
      <c r="E44" s="15">
        <f t="shared" si="3"/>
        <v>0.29476321081474716</v>
      </c>
      <c r="F44" s="15">
        <f t="shared" si="3"/>
        <v>1.1004610810801934</v>
      </c>
      <c r="G44" s="15">
        <f t="shared" si="3"/>
        <v>26.639124169247314</v>
      </c>
      <c r="H44" s="15">
        <f t="shared" si="3"/>
        <v>15.847486166886013</v>
      </c>
      <c r="I44" s="15">
        <f t="shared" si="3"/>
        <v>1.200826983675068</v>
      </c>
      <c r="J44" s="15">
        <f t="shared" si="3"/>
        <v>0.14603564599148372</v>
      </c>
      <c r="K44" s="15">
        <f t="shared" si="3"/>
        <v>30.074702118551727</v>
      </c>
      <c r="L44" s="15">
        <f t="shared" si="3"/>
        <v>1.6939692977180558</v>
      </c>
      <c r="M44" s="15">
        <f t="shared" si="3"/>
        <v>4.7696757703001875</v>
      </c>
      <c r="N44" s="15">
        <f t="shared" si="3"/>
        <v>67.877037686143552</v>
      </c>
      <c r="O44" s="15">
        <f t="shared" si="3"/>
        <v>0.30376570194034586</v>
      </c>
      <c r="P44" s="15">
        <f t="shared" si="3"/>
        <v>0.1089099682106775</v>
      </c>
      <c r="Q44" s="15">
        <f t="shared" si="3"/>
        <v>0.1695405020709356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2">
        <f t="shared" ref="B45:Q45" si="4">COUNT(B9:B38)</f>
        <v>29</v>
      </c>
      <c r="C45" s="12">
        <f>COUNT(C9:C39)+1</f>
        <v>31</v>
      </c>
      <c r="D45" s="12">
        <f t="shared" ref="D45:Q45" si="5">COUNT(D9:D39)+1</f>
        <v>31</v>
      </c>
      <c r="E45" s="12">
        <f t="shared" si="5"/>
        <v>31</v>
      </c>
      <c r="F45" s="12">
        <f t="shared" si="5"/>
        <v>31</v>
      </c>
      <c r="G45" s="12">
        <f t="shared" si="5"/>
        <v>31</v>
      </c>
      <c r="H45" s="12">
        <f t="shared" si="5"/>
        <v>26</v>
      </c>
      <c r="I45" s="12">
        <f t="shared" si="5"/>
        <v>31</v>
      </c>
      <c r="J45" s="12">
        <f t="shared" si="5"/>
        <v>31</v>
      </c>
      <c r="K45" s="12">
        <f t="shared" si="5"/>
        <v>31</v>
      </c>
      <c r="L45" s="12">
        <f t="shared" si="5"/>
        <v>31</v>
      </c>
      <c r="M45" s="12">
        <f t="shared" si="5"/>
        <v>31</v>
      </c>
      <c r="N45" s="12">
        <f t="shared" si="5"/>
        <v>31</v>
      </c>
      <c r="O45" s="12">
        <f t="shared" si="5"/>
        <v>29</v>
      </c>
      <c r="P45" s="12">
        <f t="shared" si="5"/>
        <v>31</v>
      </c>
      <c r="Q45" s="12">
        <f t="shared" si="5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6">IF(C45&gt;=28,"&gt;90%",IF(C45&lt;=28,"&lt;90%"))</f>
        <v>&gt;90%</v>
      </c>
      <c r="D46" s="12" t="str">
        <f t="shared" si="6"/>
        <v>&gt;90%</v>
      </c>
      <c r="E46" s="12" t="str">
        <f t="shared" si="6"/>
        <v>&gt;90%</v>
      </c>
      <c r="F46" s="12" t="str">
        <f t="shared" si="6"/>
        <v>&gt;90%</v>
      </c>
      <c r="G46" s="12" t="str">
        <f t="shared" si="6"/>
        <v>&gt;90%</v>
      </c>
      <c r="H46" s="12" t="str">
        <f t="shared" si="6"/>
        <v>&lt;90%</v>
      </c>
      <c r="I46" s="12" t="str">
        <f t="shared" si="6"/>
        <v>&gt;90%</v>
      </c>
      <c r="J46" s="12" t="str">
        <f t="shared" si="6"/>
        <v>&gt;90%</v>
      </c>
      <c r="K46" s="12" t="str">
        <f t="shared" si="6"/>
        <v>&gt;90%</v>
      </c>
      <c r="L46" s="12" t="str">
        <f t="shared" si="6"/>
        <v>&gt;90%</v>
      </c>
      <c r="M46" s="12" t="str">
        <f t="shared" si="6"/>
        <v>&gt;90%</v>
      </c>
      <c r="N46" s="12" t="str">
        <f t="shared" si="6"/>
        <v>&gt;90%</v>
      </c>
      <c r="O46" s="12" t="str">
        <f t="shared" si="6"/>
        <v>&gt;90%</v>
      </c>
      <c r="P46" s="12" t="str">
        <f t="shared" si="6"/>
        <v>&gt;90%</v>
      </c>
      <c r="Q46" s="12" t="str">
        <f t="shared" si="6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7">IF(C45&gt;=28,"OK",IF(C45&lt;=28,"LESS"))</f>
        <v>OK</v>
      </c>
      <c r="D47" s="12" t="str">
        <f t="shared" si="7"/>
        <v>OK</v>
      </c>
      <c r="E47" s="12" t="str">
        <f t="shared" si="7"/>
        <v>OK</v>
      </c>
      <c r="F47" s="12" t="str">
        <f t="shared" si="7"/>
        <v>OK</v>
      </c>
      <c r="G47" s="12" t="str">
        <f t="shared" si="7"/>
        <v>OK</v>
      </c>
      <c r="H47" s="12" t="str">
        <f t="shared" si="7"/>
        <v>LESS</v>
      </c>
      <c r="I47" s="12" t="str">
        <f t="shared" si="7"/>
        <v>OK</v>
      </c>
      <c r="J47" s="12" t="str">
        <f t="shared" si="7"/>
        <v>OK</v>
      </c>
      <c r="K47" s="12" t="str">
        <f t="shared" si="7"/>
        <v>OK</v>
      </c>
      <c r="L47" s="12" t="str">
        <f t="shared" si="7"/>
        <v>OK</v>
      </c>
      <c r="M47" s="12" t="str">
        <f t="shared" si="7"/>
        <v>OK</v>
      </c>
      <c r="N47" s="12" t="str">
        <f t="shared" si="7"/>
        <v>OK</v>
      </c>
      <c r="O47" s="12" t="str">
        <f t="shared" si="7"/>
        <v>OK</v>
      </c>
      <c r="P47" s="12" t="str">
        <f t="shared" si="7"/>
        <v>OK</v>
      </c>
      <c r="Q47" s="12" t="str">
        <f t="shared" si="7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2024-09-09T14:13:35Z</dcterms:modified>
  <cp:category/>
</cp:coreProperties>
</file>