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0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H45" i="39" l="1"/>
  <c r="C45" i="39"/>
  <c r="D45" i="39"/>
  <c r="E45" i="39"/>
  <c r="F45" i="39"/>
  <c r="G45" i="39"/>
  <c r="I45" i="39"/>
  <c r="J45" i="39"/>
  <c r="K45" i="39"/>
  <c r="L45" i="39"/>
  <c r="M45" i="39"/>
  <c r="N45" i="39"/>
  <c r="O45" i="39"/>
  <c r="P45" i="39"/>
  <c r="Q45" i="39"/>
  <c r="B45" i="39"/>
  <c r="I110" i="44"/>
  <c r="I112" i="44" s="1"/>
  <c r="I110" i="41"/>
  <c r="H110" i="41"/>
  <c r="G110" i="41"/>
  <c r="G39" i="39"/>
  <c r="I39" i="39"/>
  <c r="J39" i="39"/>
  <c r="O39" i="39"/>
  <c r="Q110" i="44"/>
  <c r="Q112" i="44" s="1"/>
  <c r="P110" i="44"/>
  <c r="P111" i="44" s="1"/>
  <c r="O110" i="44"/>
  <c r="O111" i="44" s="1"/>
  <c r="N110" i="44"/>
  <c r="N112" i="44" s="1"/>
  <c r="M110" i="44"/>
  <c r="M112" i="44" s="1"/>
  <c r="L110" i="44"/>
  <c r="L111" i="44" s="1"/>
  <c r="K110" i="44"/>
  <c r="K111" i="44" s="1"/>
  <c r="J110" i="44"/>
  <c r="J112" i="44" s="1"/>
  <c r="H110" i="44"/>
  <c r="H112" i="44" s="1"/>
  <c r="G110" i="44"/>
  <c r="G111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9" i="39" s="1"/>
  <c r="P108" i="44"/>
  <c r="P39" i="39" s="1"/>
  <c r="O108" i="44"/>
  <c r="N108" i="44"/>
  <c r="N39" i="39" s="1"/>
  <c r="M108" i="44"/>
  <c r="M39" i="39" s="1"/>
  <c r="L108" i="44"/>
  <c r="L39" i="39" s="1"/>
  <c r="K108" i="44"/>
  <c r="K39" i="39" s="1"/>
  <c r="J108" i="44"/>
  <c r="I108" i="44"/>
  <c r="H108" i="44"/>
  <c r="H39" i="39" s="1"/>
  <c r="G108" i="44"/>
  <c r="F108" i="44"/>
  <c r="F39" i="39" s="1"/>
  <c r="E108" i="44"/>
  <c r="E39" i="39" s="1"/>
  <c r="D108" i="44"/>
  <c r="D39" i="39" s="1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0" i="40"/>
  <c r="H110" i="40"/>
  <c r="G110" i="40"/>
  <c r="J110" i="33"/>
  <c r="G110" i="33"/>
  <c r="H110" i="33"/>
  <c r="I110" i="32"/>
  <c r="Q110" i="31"/>
  <c r="I110" i="31"/>
  <c r="H110" i="31"/>
  <c r="G110" i="31"/>
  <c r="I110" i="30"/>
  <c r="J110" i="29"/>
  <c r="H110" i="29"/>
  <c r="G110" i="29"/>
  <c r="J110" i="28"/>
  <c r="I110" i="27"/>
  <c r="H110" i="27"/>
  <c r="H110" i="26"/>
  <c r="G110" i="26"/>
  <c r="H110" i="25"/>
  <c r="H110" i="24"/>
  <c r="G110" i="24"/>
  <c r="H110" i="23"/>
  <c r="G110" i="22"/>
  <c r="H110" i="22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B110" i="21"/>
  <c r="B111" i="21" s="1"/>
  <c r="C110" i="21"/>
  <c r="C111" i="21" s="1"/>
  <c r="D110" i="21"/>
  <c r="E110" i="21"/>
  <c r="E111" i="21" s="1"/>
  <c r="F110" i="21"/>
  <c r="G110" i="21"/>
  <c r="G111" i="21" s="1"/>
  <c r="H110" i="21"/>
  <c r="H111" i="21" s="1"/>
  <c r="I110" i="21"/>
  <c r="I111" i="21" s="1"/>
  <c r="J110" i="21"/>
  <c r="K110" i="21"/>
  <c r="L110" i="21"/>
  <c r="L111" i="21" s="1"/>
  <c r="M110" i="21"/>
  <c r="M111" i="21" s="1"/>
  <c r="N110" i="21"/>
  <c r="N111" i="21" s="1"/>
  <c r="O110" i="21"/>
  <c r="O111" i="21" s="1"/>
  <c r="P110" i="21"/>
  <c r="P111" i="21" s="1"/>
  <c r="Q110" i="21"/>
  <c r="D111" i="21"/>
  <c r="F111" i="21"/>
  <c r="J111" i="21"/>
  <c r="K111" i="21"/>
  <c r="Q111" i="21"/>
  <c r="H110" i="20"/>
  <c r="Q110" i="19"/>
  <c r="H110" i="19"/>
  <c r="H110" i="18"/>
  <c r="I110" i="18"/>
  <c r="J110" i="18"/>
  <c r="H110" i="17"/>
  <c r="G110" i="17"/>
  <c r="Q110" i="16"/>
  <c r="Q110" i="15"/>
  <c r="H110" i="15"/>
  <c r="H110" i="14"/>
  <c r="H110" i="13"/>
  <c r="H110" i="12"/>
  <c r="C110" i="12"/>
  <c r="D110" i="12"/>
  <c r="E110" i="12"/>
  <c r="F110" i="12"/>
  <c r="G110" i="12"/>
  <c r="I110" i="12"/>
  <c r="J110" i="12"/>
  <c r="K110" i="12"/>
  <c r="L110" i="12"/>
  <c r="M110" i="12"/>
  <c r="N110" i="12"/>
  <c r="O110" i="12"/>
  <c r="P110" i="12"/>
  <c r="Q110" i="12"/>
  <c r="B110" i="12"/>
  <c r="C110" i="11"/>
  <c r="D110" i="11"/>
  <c r="B110" i="11"/>
  <c r="H110" i="11"/>
  <c r="I110" i="11"/>
  <c r="H110" i="8"/>
  <c r="G110" i="8"/>
  <c r="C110" i="8"/>
  <c r="D110" i="8"/>
  <c r="E110" i="8"/>
  <c r="F110" i="8"/>
  <c r="I110" i="8"/>
  <c r="J110" i="8"/>
  <c r="K110" i="8"/>
  <c r="L110" i="8"/>
  <c r="M110" i="8"/>
  <c r="N110" i="8"/>
  <c r="O110" i="8"/>
  <c r="P110" i="8"/>
  <c r="Q110" i="8"/>
  <c r="B110" i="8"/>
  <c r="Q110" i="3"/>
  <c r="P110" i="3"/>
  <c r="O110" i="3"/>
  <c r="K110" i="3"/>
  <c r="L110" i="3"/>
  <c r="M110" i="3"/>
  <c r="N110" i="3"/>
  <c r="J110" i="3"/>
  <c r="I110" i="3"/>
  <c r="C110" i="3"/>
  <c r="D110" i="3"/>
  <c r="E110" i="3"/>
  <c r="F110" i="3"/>
  <c r="G110" i="3"/>
  <c r="H110" i="3"/>
  <c r="B110" i="3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B110" i="2"/>
  <c r="P112" i="44" l="1"/>
  <c r="Q111" i="44"/>
  <c r="B111" i="44"/>
  <c r="O112" i="44"/>
  <c r="C111" i="44"/>
  <c r="D111" i="44"/>
  <c r="E111" i="44"/>
  <c r="F111" i="44"/>
  <c r="H111" i="44"/>
  <c r="I111" i="44"/>
  <c r="J111" i="44"/>
  <c r="G112" i="44"/>
  <c r="K112" i="44"/>
  <c r="L112" i="44"/>
  <c r="M111" i="44"/>
  <c r="N111" i="44"/>
  <c r="C110" i="26"/>
  <c r="C112" i="26" s="1"/>
  <c r="D110" i="26"/>
  <c r="D112" i="26" s="1"/>
  <c r="B110" i="26"/>
  <c r="B112" i="26" s="1"/>
  <c r="E110" i="26"/>
  <c r="E112" i="26" s="1"/>
  <c r="F110" i="26"/>
  <c r="F111" i="26" s="1"/>
  <c r="G112" i="26"/>
  <c r="H112" i="26"/>
  <c r="I110" i="26"/>
  <c r="I112" i="26" s="1"/>
  <c r="J110" i="26"/>
  <c r="J111" i="26" s="1"/>
  <c r="K110" i="26"/>
  <c r="L110" i="26"/>
  <c r="M110" i="26"/>
  <c r="N110" i="26"/>
  <c r="O110" i="26"/>
  <c r="O111" i="26" s="1"/>
  <c r="P110" i="26"/>
  <c r="P112" i="26" s="1"/>
  <c r="Q110" i="26"/>
  <c r="C110" i="25"/>
  <c r="C111" i="25" s="1"/>
  <c r="D110" i="25"/>
  <c r="D112" i="25"/>
  <c r="E110" i="25"/>
  <c r="E112" i="25" s="1"/>
  <c r="F110" i="25"/>
  <c r="G110" i="25"/>
  <c r="G112" i="25" s="1"/>
  <c r="H111" i="25"/>
  <c r="I110" i="25"/>
  <c r="J110" i="25"/>
  <c r="K110" i="25"/>
  <c r="K111" i="25" s="1"/>
  <c r="L110" i="25"/>
  <c r="L112" i="25" s="1"/>
  <c r="M110" i="25"/>
  <c r="M111" i="25"/>
  <c r="N110" i="25"/>
  <c r="N111" i="25" s="1"/>
  <c r="O110" i="25"/>
  <c r="O112" i="25" s="1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2" i="41"/>
  <c r="J110" i="40"/>
  <c r="J111" i="40" s="1"/>
  <c r="H111" i="40"/>
  <c r="I111" i="40"/>
  <c r="G112" i="33"/>
  <c r="H111" i="33"/>
  <c r="I110" i="33"/>
  <c r="I111" i="33" s="1"/>
  <c r="J112" i="33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/>
  <c r="I112" i="30"/>
  <c r="H110" i="30"/>
  <c r="H112" i="30" s="1"/>
  <c r="J112" i="29"/>
  <c r="I110" i="29"/>
  <c r="I112" i="29" s="1"/>
  <c r="H112" i="29"/>
  <c r="J111" i="28"/>
  <c r="I110" i="28"/>
  <c r="I112" i="28"/>
  <c r="H110" i="28"/>
  <c r="H111" i="28" s="1"/>
  <c r="I112" i="27"/>
  <c r="C110" i="27"/>
  <c r="C111" i="27" s="1"/>
  <c r="D110" i="27"/>
  <c r="D111" i="27" s="1"/>
  <c r="E110" i="27"/>
  <c r="F110" i="27"/>
  <c r="F112" i="27" s="1"/>
  <c r="G110" i="27"/>
  <c r="G112" i="27" s="1"/>
  <c r="H111" i="27"/>
  <c r="J110" i="27"/>
  <c r="K110" i="27"/>
  <c r="L110" i="27"/>
  <c r="L112" i="27" s="1"/>
  <c r="M110" i="27"/>
  <c r="N110" i="27"/>
  <c r="O110" i="27"/>
  <c r="P110" i="27"/>
  <c r="P112" i="27" s="1"/>
  <c r="Q110" i="27"/>
  <c r="Q112" i="27" s="1"/>
  <c r="Q111" i="26"/>
  <c r="Q111" i="25"/>
  <c r="J112" i="25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H112" i="23"/>
  <c r="J110" i="22"/>
  <c r="J112" i="22" s="1"/>
  <c r="I110" i="22"/>
  <c r="I112" i="22" s="1"/>
  <c r="H112" i="22"/>
  <c r="G111" i="22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0" i="17"/>
  <c r="Q112" i="17" s="1"/>
  <c r="J110" i="17"/>
  <c r="J112" i="17" s="1"/>
  <c r="I110" i="17"/>
  <c r="I111" i="17" s="1"/>
  <c r="H112" i="17"/>
  <c r="H110" i="16"/>
  <c r="H111" i="16" s="1"/>
  <c r="I110" i="16"/>
  <c r="I111" i="16" s="1"/>
  <c r="J110" i="16"/>
  <c r="J111" i="16" s="1"/>
  <c r="H111" i="15"/>
  <c r="I110" i="15"/>
  <c r="I111" i="15" s="1"/>
  <c r="J110" i="15"/>
  <c r="J112" i="15" s="1"/>
  <c r="Q111" i="15"/>
  <c r="J110" i="14"/>
  <c r="J111" i="14" s="1"/>
  <c r="H112" i="14"/>
  <c r="D112" i="11"/>
  <c r="C112" i="11"/>
  <c r="B111" i="11"/>
  <c r="J110" i="13"/>
  <c r="J112" i="13" s="1"/>
  <c r="H112" i="13"/>
  <c r="F111" i="12"/>
  <c r="J112" i="12"/>
  <c r="H111" i="12"/>
  <c r="I112" i="12"/>
  <c r="J110" i="11"/>
  <c r="J111" i="11"/>
  <c r="I111" i="11"/>
  <c r="H111" i="11"/>
  <c r="G110" i="11"/>
  <c r="G112" i="11"/>
  <c r="J110" i="10"/>
  <c r="J112" i="10" s="1"/>
  <c r="I110" i="10"/>
  <c r="I111" i="10" s="1"/>
  <c r="H110" i="10"/>
  <c r="H112" i="10" s="1"/>
  <c r="J110" i="9"/>
  <c r="J111" i="9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1" i="2"/>
  <c r="E111" i="2"/>
  <c r="F111" i="2"/>
  <c r="G112" i="2"/>
  <c r="J111" i="2"/>
  <c r="K111" i="2"/>
  <c r="L112" i="2"/>
  <c r="M112" i="2"/>
  <c r="N112" i="2"/>
  <c r="O111" i="2"/>
  <c r="P112" i="2"/>
  <c r="Q111" i="2"/>
  <c r="C111" i="3"/>
  <c r="D111" i="3"/>
  <c r="E111" i="3"/>
  <c r="F111" i="3"/>
  <c r="G112" i="3"/>
  <c r="H112" i="3"/>
  <c r="J111" i="3"/>
  <c r="K112" i="3"/>
  <c r="L111" i="3"/>
  <c r="M112" i="3"/>
  <c r="N111" i="3"/>
  <c r="Q112" i="3"/>
  <c r="Q110" i="41"/>
  <c r="Q111" i="41" s="1"/>
  <c r="P110" i="41"/>
  <c r="P112" i="41" s="1"/>
  <c r="O110" i="41"/>
  <c r="O112" i="41" s="1"/>
  <c r="N110" i="41"/>
  <c r="N111" i="41"/>
  <c r="M110" i="41"/>
  <c r="M112" i="41" s="1"/>
  <c r="L110" i="41"/>
  <c r="L111" i="41" s="1"/>
  <c r="K110" i="41"/>
  <c r="K112" i="41" s="1"/>
  <c r="G112" i="41"/>
  <c r="F110" i="41"/>
  <c r="F112" i="41" s="1"/>
  <c r="E110" i="41"/>
  <c r="E111" i="41" s="1"/>
  <c r="D110" i="41"/>
  <c r="D112" i="41" s="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P38" i="39" s="1"/>
  <c r="O108" i="41"/>
  <c r="O38" i="39" s="1"/>
  <c r="N108" i="41"/>
  <c r="N38" i="39" s="1"/>
  <c r="M108" i="41"/>
  <c r="M38" i="39" s="1"/>
  <c r="L108" i="41"/>
  <c r="L38" i="39" s="1"/>
  <c r="K108" i="41"/>
  <c r="K38" i="39" s="1"/>
  <c r="J108" i="41"/>
  <c r="J38" i="39" s="1"/>
  <c r="I108" i="41"/>
  <c r="I38" i="39" s="1"/>
  <c r="H108" i="41"/>
  <c r="H38" i="39" s="1"/>
  <c r="G108" i="41"/>
  <c r="G38" i="39" s="1"/>
  <c r="F108" i="41"/>
  <c r="F38" i="39" s="1"/>
  <c r="E108" i="41"/>
  <c r="E38" i="39" s="1"/>
  <c r="D108" i="41"/>
  <c r="D38" i="39" s="1"/>
  <c r="C108" i="41"/>
  <c r="C38" i="39" s="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2" i="40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/>
  <c r="E108" i="40"/>
  <c r="E37" i="39" s="1"/>
  <c r="D108" i="40"/>
  <c r="D37" i="39" s="1"/>
  <c r="C108" i="40"/>
  <c r="C37" i="39" s="1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M108" i="33"/>
  <c r="M36" i="39" s="1"/>
  <c r="L108" i="33"/>
  <c r="L36" i="39" s="1"/>
  <c r="K108" i="33"/>
  <c r="K36" i="39" s="1"/>
  <c r="J108" i="33"/>
  <c r="I108" i="33"/>
  <c r="I36" i="39" s="1"/>
  <c r="H108" i="33"/>
  <c r="H36" i="39" s="1"/>
  <c r="G108" i="33"/>
  <c r="G36" i="39" s="1"/>
  <c r="F108" i="33"/>
  <c r="F36" i="39" s="1"/>
  <c r="E108" i="33"/>
  <c r="D108" i="33"/>
  <c r="D36" i="39" s="1"/>
  <c r="C108" i="33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 s="1"/>
  <c r="M110" i="32"/>
  <c r="M112" i="32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H35" i="39" s="1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H34" i="39" s="1"/>
  <c r="G108" i="31"/>
  <c r="G34" i="39" s="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1" i="30" s="1"/>
  <c r="P110" i="30"/>
  <c r="P111" i="30" s="1"/>
  <c r="O110" i="30"/>
  <c r="O112" i="30"/>
  <c r="N110" i="30"/>
  <c r="N112" i="30" s="1"/>
  <c r="M110" i="30"/>
  <c r="M112" i="30"/>
  <c r="L110" i="30"/>
  <c r="L112" i="30"/>
  <c r="K110" i="30"/>
  <c r="K112" i="30" s="1"/>
  <c r="G110" i="30"/>
  <c r="G112" i="30"/>
  <c r="F110" i="30"/>
  <c r="F112" i="30" s="1"/>
  <c r="E110" i="30"/>
  <c r="E111" i="30"/>
  <c r="D110" i="30"/>
  <c r="D112" i="30" s="1"/>
  <c r="C110" i="30"/>
  <c r="C111" i="30" s="1"/>
  <c r="B110" i="30"/>
  <c r="B111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 s="1"/>
  <c r="N108" i="30"/>
  <c r="N33" i="39" s="1"/>
  <c r="M108" i="30"/>
  <c r="M33" i="39" s="1"/>
  <c r="L108" i="30"/>
  <c r="K108" i="30"/>
  <c r="K33" i="39" s="1"/>
  <c r="J108" i="30"/>
  <c r="I108" i="30"/>
  <c r="H108" i="30"/>
  <c r="G108" i="30"/>
  <c r="G33" i="39" s="1"/>
  <c r="F108" i="30"/>
  <c r="E108" i="30"/>
  <c r="E33" i="39"/>
  <c r="D108" i="30"/>
  <c r="D33" i="39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 s="1"/>
  <c r="O110" i="29"/>
  <c r="O112" i="29" s="1"/>
  <c r="N110" i="29"/>
  <c r="N112" i="29" s="1"/>
  <c r="M110" i="29"/>
  <c r="M112" i="29"/>
  <c r="L110" i="29"/>
  <c r="L111" i="29" s="1"/>
  <c r="K110" i="29"/>
  <c r="K112" i="29" s="1"/>
  <c r="G111" i="29"/>
  <c r="F110" i="29"/>
  <c r="F111" i="29" s="1"/>
  <c r="E110" i="29"/>
  <c r="E112" i="29" s="1"/>
  <c r="D110" i="29"/>
  <c r="D112" i="29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L108" i="28"/>
  <c r="L31" i="39" s="1"/>
  <c r="K108" i="28"/>
  <c r="K31" i="39" s="1"/>
  <c r="J108" i="28"/>
  <c r="I108" i="28"/>
  <c r="H108" i="28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O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/>
  <c r="J108" i="27"/>
  <c r="J30" i="39" s="1"/>
  <c r="I108" i="27"/>
  <c r="H108" i="27"/>
  <c r="G108" i="27"/>
  <c r="G30" i="39" s="1"/>
  <c r="F108" i="27"/>
  <c r="E108" i="27"/>
  <c r="E30" i="39" s="1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2" i="24"/>
  <c r="F110" i="24"/>
  <c r="F112" i="24"/>
  <c r="E110" i="24"/>
  <c r="E112" i="24" s="1"/>
  <c r="D110" i="24"/>
  <c r="D112" i="24"/>
  <c r="C110" i="24"/>
  <c r="C111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L108" i="24"/>
  <c r="K108" i="24"/>
  <c r="K27" i="39" s="1"/>
  <c r="J108" i="24"/>
  <c r="I108" i="24"/>
  <c r="H108" i="24"/>
  <c r="G108" i="24"/>
  <c r="F108" i="24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/>
  <c r="P110" i="23"/>
  <c r="P112" i="23" s="1"/>
  <c r="O110" i="23"/>
  <c r="O112" i="23" s="1"/>
  <c r="N110" i="23"/>
  <c r="N111" i="23" s="1"/>
  <c r="M110" i="23"/>
  <c r="M112" i="23" s="1"/>
  <c r="L110" i="23"/>
  <c r="L112" i="23" s="1"/>
  <c r="K110" i="23"/>
  <c r="K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2" i="21"/>
  <c r="O112" i="21"/>
  <c r="N112" i="21"/>
  <c r="L112" i="21"/>
  <c r="G112" i="21"/>
  <c r="F112" i="21"/>
  <c r="E112" i="21"/>
  <c r="C112" i="21"/>
  <c r="O24" i="39"/>
  <c r="N24" i="39"/>
  <c r="M24" i="39"/>
  <c r="L24" i="39"/>
  <c r="K24" i="39"/>
  <c r="J24" i="39"/>
  <c r="I24" i="39"/>
  <c r="F24" i="39"/>
  <c r="D24" i="39"/>
  <c r="C24" i="39"/>
  <c r="B24" i="39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 s="1"/>
  <c r="K110" i="20"/>
  <c r="K112" i="20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I23" i="39" s="1"/>
  <c r="H108" i="20"/>
  <c r="H23" i="39" s="1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O108" i="18"/>
  <c r="O21" i="39" s="1"/>
  <c r="N108" i="18"/>
  <c r="M108" i="18"/>
  <c r="M21" i="39"/>
  <c r="L108" i="18"/>
  <c r="L21" i="39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/>
  <c r="L110" i="17"/>
  <c r="L111" i="17" s="1"/>
  <c r="K110" i="17"/>
  <c r="K111" i="17" s="1"/>
  <c r="G112" i="17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L20" i="39" s="1"/>
  <c r="K108" i="17"/>
  <c r="K20" i="39" s="1"/>
  <c r="J108" i="17"/>
  <c r="J20" i="39"/>
  <c r="I108" i="17"/>
  <c r="I20" i="39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1" i="16" s="1"/>
  <c r="L112" i="16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H108" i="15"/>
  <c r="H18" i="39" s="1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H17" i="39" s="1"/>
  <c r="G108" i="14"/>
  <c r="G17" i="39"/>
  <c r="F108" i="14"/>
  <c r="F17" i="39"/>
  <c r="E108" i="14"/>
  <c r="E17" i="39" s="1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K16" i="39" s="1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2" i="12"/>
  <c r="P112" i="12"/>
  <c r="O111" i="12"/>
  <c r="N112" i="12"/>
  <c r="M111" i="12"/>
  <c r="L112" i="12"/>
  <c r="K111" i="12"/>
  <c r="G111" i="12"/>
  <c r="E112" i="12"/>
  <c r="D112" i="12"/>
  <c r="C112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/>
  <c r="L108" i="12"/>
  <c r="L15" i="39" s="1"/>
  <c r="K108" i="12"/>
  <c r="K15" i="39" s="1"/>
  <c r="J108" i="12"/>
  <c r="I108" i="12"/>
  <c r="I15" i="39" s="1"/>
  <c r="H108" i="12"/>
  <c r="H15" i="39" s="1"/>
  <c r="G108" i="12"/>
  <c r="G15" i="39" s="1"/>
  <c r="F108" i="12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O12" i="39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P112" i="3"/>
  <c r="O112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J27" i="39"/>
  <c r="I27" i="39"/>
  <c r="F27" i="39"/>
  <c r="N109" i="2"/>
  <c r="O109" i="2"/>
  <c r="P109" i="2"/>
  <c r="N108" i="2"/>
  <c r="O108" i="2"/>
  <c r="P108" i="2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2" i="2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O37" i="39"/>
  <c r="N37" i="39"/>
  <c r="M37" i="39"/>
  <c r="L37" i="39"/>
  <c r="J37" i="39"/>
  <c r="I37" i="39"/>
  <c r="B37" i="39"/>
  <c r="A37" i="39"/>
  <c r="A26" i="39"/>
  <c r="C26" i="39"/>
  <c r="D26" i="39"/>
  <c r="I26" i="39"/>
  <c r="L26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E23" i="39"/>
  <c r="B23" i="39"/>
  <c r="Q22" i="39"/>
  <c r="N22" i="39"/>
  <c r="M22" i="39"/>
  <c r="L22" i="39"/>
  <c r="G22" i="39"/>
  <c r="C22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I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F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C108" i="2"/>
  <c r="D108" i="2"/>
  <c r="E108" i="2"/>
  <c r="F108" i="2"/>
  <c r="G108" i="2"/>
  <c r="H108" i="2"/>
  <c r="I108" i="2"/>
  <c r="J108" i="2"/>
  <c r="J42" i="39"/>
  <c r="K108" i="2"/>
  <c r="L108" i="2"/>
  <c r="M108" i="2"/>
  <c r="Q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E36" i="39"/>
  <c r="C36" i="39"/>
  <c r="A36" i="39"/>
  <c r="P35" i="39"/>
  <c r="G35" i="39"/>
  <c r="C35" i="39"/>
  <c r="M34" i="39"/>
  <c r="K34" i="39"/>
  <c r="J34" i="39"/>
  <c r="I34" i="39"/>
  <c r="F34" i="39"/>
  <c r="L33" i="39"/>
  <c r="J33" i="39"/>
  <c r="I33" i="39"/>
  <c r="H33" i="39"/>
  <c r="F33" i="39"/>
  <c r="B33" i="39"/>
  <c r="Q32" i="39"/>
  <c r="O32" i="39"/>
  <c r="N32" i="39"/>
  <c r="K32" i="39"/>
  <c r="I32" i="39"/>
  <c r="G32" i="39"/>
  <c r="F32" i="39"/>
  <c r="E32" i="39"/>
  <c r="B32" i="39"/>
  <c r="Q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G29" i="39"/>
  <c r="F29" i="39"/>
  <c r="E29" i="39"/>
  <c r="D29" i="39"/>
  <c r="N28" i="39"/>
  <c r="M28" i="39"/>
  <c r="L28" i="39"/>
  <c r="K28" i="39"/>
  <c r="I28" i="39"/>
  <c r="G28" i="39"/>
  <c r="M27" i="39"/>
  <c r="L27" i="39"/>
  <c r="G27" i="39"/>
  <c r="O26" i="39"/>
  <c r="G26" i="39"/>
  <c r="I25" i="39"/>
  <c r="P24" i="39"/>
  <c r="H24" i="39"/>
  <c r="N23" i="39"/>
  <c r="C23" i="39"/>
  <c r="O22" i="39"/>
  <c r="D22" i="39"/>
  <c r="P20" i="39"/>
  <c r="D20" i="39"/>
  <c r="F18" i="39"/>
  <c r="M16" i="39"/>
  <c r="J15" i="39"/>
  <c r="Q12" i="39"/>
  <c r="B12" i="39"/>
  <c r="N11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N31" i="39"/>
  <c r="G31" i="39"/>
  <c r="J22" i="39"/>
  <c r="F19" i="39"/>
  <c r="O18" i="39"/>
  <c r="J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P111" i="29"/>
  <c r="N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P111" i="27"/>
  <c r="N111" i="27"/>
  <c r="M111" i="27"/>
  <c r="E111" i="27"/>
  <c r="B111" i="27"/>
  <c r="N111" i="26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E111" i="23"/>
  <c r="D111" i="23"/>
  <c r="C111" i="23"/>
  <c r="B111" i="23"/>
  <c r="P111" i="22"/>
  <c r="M111" i="22"/>
  <c r="K111" i="22"/>
  <c r="E111" i="22"/>
  <c r="D111" i="22"/>
  <c r="C111" i="22"/>
  <c r="O111" i="20"/>
  <c r="Q112" i="20"/>
  <c r="M111" i="20"/>
  <c r="L111" i="20"/>
  <c r="K111" i="20"/>
  <c r="G111" i="20"/>
  <c r="F111" i="20"/>
  <c r="D111" i="20"/>
  <c r="B111" i="20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O111" i="17"/>
  <c r="B111" i="17"/>
  <c r="O111" i="16"/>
  <c r="N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F111" i="13"/>
  <c r="C111" i="13"/>
  <c r="Q111" i="12"/>
  <c r="N111" i="12"/>
  <c r="L111" i="12"/>
  <c r="E111" i="12"/>
  <c r="C111" i="12"/>
  <c r="B111" i="12"/>
  <c r="O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P111" i="3"/>
  <c r="O111" i="3"/>
  <c r="H111" i="3"/>
  <c r="G111" i="3"/>
  <c r="C112" i="30"/>
  <c r="C112" i="17"/>
  <c r="D112" i="3"/>
  <c r="M111" i="2"/>
  <c r="K112" i="2"/>
  <c r="G111" i="2"/>
  <c r="D111" i="2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G111" i="11"/>
  <c r="I112" i="11"/>
  <c r="D111" i="11"/>
  <c r="C111" i="11"/>
  <c r="C111" i="16"/>
  <c r="I112" i="16"/>
  <c r="P111" i="16"/>
  <c r="Q112" i="16"/>
  <c r="Q112" i="15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E112" i="19"/>
  <c r="M112" i="19"/>
  <c r="P112" i="25"/>
  <c r="N112" i="25"/>
  <c r="J111" i="25"/>
  <c r="H112" i="25"/>
  <c r="F111" i="25"/>
  <c r="B111" i="25"/>
  <c r="Q112" i="25"/>
  <c r="D111" i="25"/>
  <c r="I112" i="25"/>
  <c r="I111" i="24"/>
  <c r="J111" i="23"/>
  <c r="Q111" i="23"/>
  <c r="O111" i="23"/>
  <c r="G112" i="23"/>
  <c r="J111" i="22"/>
  <c r="H111" i="22"/>
  <c r="Q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B112" i="11"/>
  <c r="M112" i="12"/>
  <c r="K112" i="12"/>
  <c r="D112" i="13"/>
  <c r="O112" i="13"/>
  <c r="B112" i="13"/>
  <c r="M112" i="13"/>
  <c r="F112" i="14"/>
  <c r="D111" i="14"/>
  <c r="O112" i="14"/>
  <c r="L112" i="15"/>
  <c r="G112" i="15"/>
  <c r="H112" i="16"/>
  <c r="B111" i="16"/>
  <c r="M111" i="16"/>
  <c r="K111" i="16"/>
  <c r="C112" i="18"/>
  <c r="K111" i="18"/>
  <c r="K112" i="19"/>
  <c r="C111" i="20"/>
  <c r="H111" i="20"/>
  <c r="N112" i="20"/>
  <c r="D112" i="21"/>
  <c r="I112" i="21"/>
  <c r="L112" i="22"/>
  <c r="F112" i="22"/>
  <c r="G112" i="22"/>
  <c r="F112" i="23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J43" i="39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D44" i="5" l="1"/>
  <c r="H111" i="41"/>
  <c r="N112" i="40"/>
  <c r="H112" i="33"/>
  <c r="P111" i="33"/>
  <c r="B112" i="30"/>
  <c r="K112" i="25"/>
  <c r="G111" i="24"/>
  <c r="J112" i="24"/>
  <c r="H111" i="23"/>
  <c r="O112" i="22"/>
  <c r="C112" i="19"/>
  <c r="P111" i="19"/>
  <c r="D111" i="18"/>
  <c r="M112" i="18"/>
  <c r="H112" i="15"/>
  <c r="I112" i="15"/>
  <c r="B112" i="14"/>
  <c r="H111" i="13"/>
  <c r="K111" i="13"/>
  <c r="H112" i="11"/>
  <c r="P111" i="11"/>
  <c r="M111" i="11"/>
  <c r="N111" i="11"/>
  <c r="L112" i="10"/>
  <c r="Q111" i="3"/>
  <c r="M111" i="3"/>
  <c r="K44" i="39"/>
  <c r="K43" i="39"/>
  <c r="K42" i="39"/>
  <c r="K47" i="39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<sst xmlns="http://schemas.openxmlformats.org/spreadsheetml/2006/main" count="8917" uniqueCount="3224">
  <si>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</si>
  <si>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</si>
  <si>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</si>
  <si>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</si>
  <si>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</si>
  <si>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</si>
  <si>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</si>
  <si>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</si>
  <si>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</si>
  <si>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</si>
  <si>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</si>
  <si>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</si>
  <si>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</si>
  <si>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</si>
  <si>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</si>
  <si>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</si>
  <si>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</si>
  <si>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</si>
  <si>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</si>
  <si>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</si>
  <si>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</si>
  <si>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</si>
  <si>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</si>
  <si>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</si>
  <si>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</si>
  <si>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</si>
  <si>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</si>
  <si>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</si>
  <si>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</si>
  <si>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</si>
  <si>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</si>
  <si>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</si>
  <si>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</si>
  <si>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</si>
  <si>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</si>
  <si>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</si>
  <si>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</si>
  <si>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</si>
  <si>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</si>
  <si>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</si>
  <si>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</si>
  <si>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</si>
  <si>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</si>
  <si>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</si>
  <si>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</si>
  <si>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</si>
  <si>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</si>
  <si>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</si>
  <si>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</si>
  <si>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</si>
  <si>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</si>
  <si>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</si>
  <si>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</si>
  <si>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</si>
  <si>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</si>
  <si>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</si>
  <si>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</si>
  <si>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</si>
  <si>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</si>
  <si>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</si>
  <si>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</si>
  <si>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</si>
  <si>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</si>
  <si>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</si>
  <si>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</si>
  <si>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</si>
  <si>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</si>
  <si>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</si>
  <si>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</si>
  <si>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</si>
  <si>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</si>
  <si>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</si>
  <si>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</si>
  <si>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</si>
  <si>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</si>
  <si>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</si>
  <si>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</si>
  <si>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</si>
  <si>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</si>
  <si>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</si>
  <si>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</si>
  <si>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</si>
  <si>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</si>
  <si>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</si>
  <si>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</si>
  <si>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</si>
  <si>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</si>
  <si>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</si>
  <si>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</si>
  <si>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</si>
  <si>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</si>
  <si>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</si>
  <si>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</si>
  <si>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</si>
  <si>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</si>
  <si>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</si>
  <si>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</si>
  <si>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</si>
  <si>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</si>
  <si>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</si>
  <si>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</si>
  <si>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</si>
  <si>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</si>
  <si>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</si>
  <si>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</si>
  <si>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</si>
  <si>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</si>
  <si>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</si>
  <si>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</si>
  <si>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</si>
  <si>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</si>
  <si>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</si>
  <si>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</si>
  <si>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</si>
  <si>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</si>
  <si>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</si>
  <si>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</si>
  <si>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</si>
  <si>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</si>
  <si>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</si>
  <si>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</si>
  <si>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</si>
  <si>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</si>
  <si>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</si>
  <si>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</si>
  <si>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</si>
  <si>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</si>
  <si>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</si>
  <si>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</si>
  <si>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</si>
  <si>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</si>
  <si>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</si>
  <si>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</si>
  <si>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</si>
  <si>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</si>
  <si>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</si>
  <si>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</si>
  <si>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</si>
  <si>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</si>
  <si>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</si>
  <si>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</si>
  <si>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</si>
  <si>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</si>
  <si>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</si>
  <si>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</si>
  <si>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</si>
  <si>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</si>
  <si>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</si>
  <si>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</si>
  <si>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</si>
  <si>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</si>
  <si>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</si>
  <si>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</si>
  <si>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</si>
  <si>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</si>
  <si>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</si>
  <si>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</si>
  <si>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</si>
  <si>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</si>
  <si>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</si>
  <si>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</si>
  <si>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</si>
  <si>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</si>
  <si>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</si>
  <si>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</si>
  <si>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</si>
  <si>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</si>
  <si>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</si>
  <si>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</si>
  <si>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</si>
  <si>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</si>
  <si>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</si>
  <si>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</si>
  <si>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</si>
  <si>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</si>
  <si>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</si>
  <si>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</si>
  <si>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</si>
  <si>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</si>
  <si>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</si>
  <si>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</si>
  <si>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</si>
  <si>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</si>
  <si>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</si>
  <si>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</si>
  <si>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</si>
  <si>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</si>
  <si>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</si>
  <si>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</si>
  <si>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</si>
  <si>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</si>
  <si>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</si>
  <si>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</si>
  <si>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</si>
  <si>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</si>
  <si>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</si>
  <si>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</si>
  <si>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</si>
  <si>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</si>
  <si>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</si>
  <si>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</si>
  <si>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</si>
  <si>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</si>
  <si>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</si>
  <si>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</si>
  <si>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</si>
  <si>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</si>
  <si>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</si>
  <si>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</si>
  <si>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</si>
  <si>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</si>
  <si>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</si>
  <si>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</si>
  <si>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</si>
  <si>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</si>
  <si>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</si>
  <si>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</si>
  <si>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</si>
  <si>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</si>
  <si>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</si>
  <si>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</si>
  <si>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</si>
  <si>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</si>
  <si>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</si>
  <si>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</si>
  <si>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</si>
  <si>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Calibration report Of SILTARA, RAIPUR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</si>
  <si>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</si>
  <si>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</si>
  <si>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</si>
  <si>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</si>
  <si>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</si>
  <si>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</si>
  <si>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</si>
  <si>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</si>
  <si>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</si>
  <si>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</si>
  <si>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</si>
  <si>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</si>
  <si>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</si>
  <si>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</si>
  <si>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</si>
  <si>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</si>
  <si>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</si>
  <si>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</si>
  <si>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01/08/2024 00:15</t>
  </si>
  <si>
    <t>01/08/2024 00:30</t>
  </si>
  <si>
    <t>01/08/2024 00:45</t>
  </si>
  <si>
    <t>01/08/2024 01:00</t>
  </si>
  <si>
    <t>01/08/2024 01:15</t>
  </si>
  <si>
    <t>01/08/2024 01:30</t>
  </si>
  <si>
    <t>01/08/2024 01:45</t>
  </si>
  <si>
    <t>01/08/2024 02:00</t>
  </si>
  <si>
    <t>01/08/2024 02:15</t>
  </si>
  <si>
    <t>01/08/2024 02:30</t>
  </si>
  <si>
    <t>01/08/2024 02:45</t>
  </si>
  <si>
    <t>01/08/2024 03:00</t>
  </si>
  <si>
    <t>01/08/2024 03:15</t>
  </si>
  <si>
    <t>01/08/2024 03:30</t>
  </si>
  <si>
    <t>01/08/2024 03:45</t>
  </si>
  <si>
    <t>01/08/2024 04:00</t>
  </si>
  <si>
    <t>01/08/2024 04:15</t>
  </si>
  <si>
    <t>01/08/2024 04:30</t>
  </si>
  <si>
    <t>01/08/2024 04:45</t>
  </si>
  <si>
    <t>01/08/2024 05:00</t>
  </si>
  <si>
    <t>01/08/2024 05:15</t>
  </si>
  <si>
    <t>01/08/2024 05:30</t>
  </si>
  <si>
    <t>01/08/2024 05:45</t>
  </si>
  <si>
    <t>01/08/2024 06:00</t>
  </si>
  <si>
    <t>01/08/2024 06:15</t>
  </si>
  <si>
    <t>01/08/2024 06:30</t>
  </si>
  <si>
    <t>01/08/2024 06:45</t>
  </si>
  <si>
    <t>01/08/2024 07:00</t>
  </si>
  <si>
    <t>01/08/2024 07:15</t>
  </si>
  <si>
    <t>01/08/2024 07:30</t>
  </si>
  <si>
    <t>01/08/2024 07:45</t>
  </si>
  <si>
    <t>01/08/2024 08:00</t>
  </si>
  <si>
    <t>01/08/2024 08:15</t>
  </si>
  <si>
    <t>01/08/2024 08:30</t>
  </si>
  <si>
    <t>01/08/2024 08:45</t>
  </si>
  <si>
    <t>01/08/2024 09:00</t>
  </si>
  <si>
    <t>01/08/2024 09:15</t>
  </si>
  <si>
    <t>01/08/2024 09:30</t>
  </si>
  <si>
    <t>01/08/2024 09:45</t>
  </si>
  <si>
    <t>01/08/2024 10:00</t>
  </si>
  <si>
    <t>01/08/2024 10:15</t>
  </si>
  <si>
    <t>01/08/2024 10:30</t>
  </si>
  <si>
    <t>01/08/2024 10:45</t>
  </si>
  <si>
    <t>01/08/2024 11:00</t>
  </si>
  <si>
    <t>01/08/2024 11:15</t>
  </si>
  <si>
    <t>01/08/2024 11:30</t>
  </si>
  <si>
    <t>01/08/2024 11:45</t>
  </si>
  <si>
    <t>01/08/2024 12:00</t>
  </si>
  <si>
    <t>01/08/2024 12:15</t>
  </si>
  <si>
    <t>01/08/2024 12:30</t>
  </si>
  <si>
    <t>01/08/2024 12:45</t>
  </si>
  <si>
    <t>01/08/2024 13:00</t>
  </si>
  <si>
    <t>01/08/2024 13:15</t>
  </si>
  <si>
    <t>01/08/2024 13:30</t>
  </si>
  <si>
    <t>01/08/2024 13:45</t>
  </si>
  <si>
    <t>01/08/2024 14:00</t>
  </si>
  <si>
    <t>01/08/2024 14:15</t>
  </si>
  <si>
    <t>01/08/2024 14:30</t>
  </si>
  <si>
    <t>01/08/2024 14:45</t>
  </si>
  <si>
    <t>01/08/2024 15:00</t>
  </si>
  <si>
    <t>01/08/2024 15:15</t>
  </si>
  <si>
    <t>01/08/2024 15:30</t>
  </si>
  <si>
    <t>01/08/2024 15:45</t>
  </si>
  <si>
    <t>01/08/2024 16:00</t>
  </si>
  <si>
    <t>01/08/2024 16:15</t>
  </si>
  <si>
    <t>01/08/2024 16:30</t>
  </si>
  <si>
    <t>01/08/2024 16:45</t>
  </si>
  <si>
    <t>01/08/2024 17:00</t>
  </si>
  <si>
    <t>01/08/2024 17:15</t>
  </si>
  <si>
    <t>01/08/2024 17:30</t>
  </si>
  <si>
    <t>01/08/2024 17:45</t>
  </si>
  <si>
    <t>01/08/2024 18:00</t>
  </si>
  <si>
    <t>01/08/2024 18:15</t>
  </si>
  <si>
    <t>01/08/2024 18:30</t>
  </si>
  <si>
    <t>01/08/2024 18:45</t>
  </si>
  <si>
    <t>01/08/2024 19:00</t>
  </si>
  <si>
    <t>01/08/2024 19:15</t>
  </si>
  <si>
    <t>01/08/2024 19:30</t>
  </si>
  <si>
    <t>01/08/2024 19:45</t>
  </si>
  <si>
    <t>01/08/2024 20:00</t>
  </si>
  <si>
    <t>01/08/2024 20:15</t>
  </si>
  <si>
    <t>01/08/2024 20:30</t>
  </si>
  <si>
    <t>01/08/2024 20:45</t>
  </si>
  <si>
    <t>01/08/2024 21:00</t>
  </si>
  <si>
    <t>01/08/2024 21:15</t>
  </si>
  <si>
    <t>01/08/2024 21:30</t>
  </si>
  <si>
    <t>01/08/2024 21:45</t>
  </si>
  <si>
    <t>01/08/2024 22:00</t>
  </si>
  <si>
    <t>01/08/2024 22:15</t>
  </si>
  <si>
    <t>01/08/2024 22:30</t>
  </si>
  <si>
    <t>01/08/2024 22:45</t>
  </si>
  <si>
    <t>01/08/2024 23:00</t>
  </si>
  <si>
    <t>01/08/2024 23:15</t>
  </si>
  <si>
    <t>01/08/2024 23:30</t>
  </si>
  <si>
    <t>01/08/2024 23:45</t>
  </si>
  <si>
    <t>01/08/2024 24:00</t>
  </si>
  <si>
    <t>02/08/2024 00:15</t>
  </si>
  <si>
    <t>02/08/2024 00:30</t>
  </si>
  <si>
    <t>02/08/2024 00:45</t>
  </si>
  <si>
    <t>02/08/2024 01:00</t>
  </si>
  <si>
    <t>02/08/2024 01:15</t>
  </si>
  <si>
    <t>02/08/2024 01:30</t>
  </si>
  <si>
    <t>02/08/2024 01:45</t>
  </si>
  <si>
    <t>02/08/2024 02:00</t>
  </si>
  <si>
    <t>02/08/2024 02:15</t>
  </si>
  <si>
    <t>02/08/2024 02:30</t>
  </si>
  <si>
    <t>02/08/2024 02:45</t>
  </si>
  <si>
    <t>02/08/2024 03:00</t>
  </si>
  <si>
    <t>02/08/2024 03:15</t>
  </si>
  <si>
    <t>02/08/2024 03:30</t>
  </si>
  <si>
    <t>02/08/2024 03:45</t>
  </si>
  <si>
    <t>02/08/2024 04:00</t>
  </si>
  <si>
    <t>02/08/2024 04:15</t>
  </si>
  <si>
    <t>02/08/2024 04:30</t>
  </si>
  <si>
    <t>02/08/2024 04:45</t>
  </si>
  <si>
    <t>02/08/2024 05:00</t>
  </si>
  <si>
    <t>02/08/2024 05:15</t>
  </si>
  <si>
    <t>02/08/2024 05:30</t>
  </si>
  <si>
    <t>02/08/2024 05:45</t>
  </si>
  <si>
    <t>02/08/2024 06:00</t>
  </si>
  <si>
    <t>02/08/2024 06:15</t>
  </si>
  <si>
    <t>02/08/2024 06:30</t>
  </si>
  <si>
    <t>02/08/2024 06:45</t>
  </si>
  <si>
    <t>02/08/2024 07:00</t>
  </si>
  <si>
    <t>02/08/2024 07:15</t>
  </si>
  <si>
    <t>02/08/2024 07:30</t>
  </si>
  <si>
    <t>02/08/2024 07:45</t>
  </si>
  <si>
    <t>02/08/2024 08:00</t>
  </si>
  <si>
    <t>02/08/2024 08:15</t>
  </si>
  <si>
    <t>02/08/2024 08:30</t>
  </si>
  <si>
    <t>02/08/2024 08:45</t>
  </si>
  <si>
    <t>02/08/2024 09:00</t>
  </si>
  <si>
    <t>02/08/2024 09:15</t>
  </si>
  <si>
    <t>02/08/2024 09:30</t>
  </si>
  <si>
    <t>02/08/2024 09:45</t>
  </si>
  <si>
    <t>02/08/2024 10:00</t>
  </si>
  <si>
    <t>02/08/2024 10:15</t>
  </si>
  <si>
    <t>02/08/2024 10:30</t>
  </si>
  <si>
    <t>02/08/2024 10:45</t>
  </si>
  <si>
    <t>02/08/2024 11:00</t>
  </si>
  <si>
    <t>02/08/2024 11:15</t>
  </si>
  <si>
    <t>02/08/2024 11:30</t>
  </si>
  <si>
    <t>02/08/2024 11:45</t>
  </si>
  <si>
    <t>02/08/2024 12:00</t>
  </si>
  <si>
    <t>02/08/2024 12:15</t>
  </si>
  <si>
    <t>02/08/2024 12:30</t>
  </si>
  <si>
    <t>02/08/2024 12:45</t>
  </si>
  <si>
    <t>02/08/2024 13:00</t>
  </si>
  <si>
    <t>02/08/2024 13:15</t>
  </si>
  <si>
    <t>02/08/2024 13:30</t>
  </si>
  <si>
    <t>02/08/2024 13:45</t>
  </si>
  <si>
    <t>02/08/2024 14:00</t>
  </si>
  <si>
    <t>02/08/2024 14:15</t>
  </si>
  <si>
    <t>02/08/2024 14:30</t>
  </si>
  <si>
    <t>02/08/2024 14:45</t>
  </si>
  <si>
    <t>02/08/2024 15:00</t>
  </si>
  <si>
    <t>02/08/2024 15:15</t>
  </si>
  <si>
    <t>02/08/2024 15:30</t>
  </si>
  <si>
    <t>02/08/2024 15:45</t>
  </si>
  <si>
    <t>02/08/2024 16:00</t>
  </si>
  <si>
    <t>02/08/2024 16:15</t>
  </si>
  <si>
    <t>02/08/2024 16:30</t>
  </si>
  <si>
    <t>02/08/2024 16:45</t>
  </si>
  <si>
    <t>02/08/2024 17:00</t>
  </si>
  <si>
    <t>02/08/2024 17:15</t>
  </si>
  <si>
    <t>02/08/2024 17:30</t>
  </si>
  <si>
    <t>02/08/2024 17:45</t>
  </si>
  <si>
    <t>02/08/2024 18:00</t>
  </si>
  <si>
    <t>02/08/2024 18:15</t>
  </si>
  <si>
    <t>02/08/2024 18:30</t>
  </si>
  <si>
    <t>02/08/2024 18:45</t>
  </si>
  <si>
    <t>02/08/2024 19:00</t>
  </si>
  <si>
    <t>02/08/2024 19:15</t>
  </si>
  <si>
    <t>02/08/2024 19:30</t>
  </si>
  <si>
    <t>02/08/2024 19:45</t>
  </si>
  <si>
    <t>02/08/2024 20:00</t>
  </si>
  <si>
    <t>02/08/2024 20:15</t>
  </si>
  <si>
    <t>02/08/2024 20:30</t>
  </si>
  <si>
    <t>02/08/2024 20:45</t>
  </si>
  <si>
    <t>02/08/2024 21:00</t>
  </si>
  <si>
    <t>02/08/2024 21:15</t>
  </si>
  <si>
    <t>02/08/2024 21:30</t>
  </si>
  <si>
    <t>02/08/2024 21:45</t>
  </si>
  <si>
    <t>02/08/2024 22:00</t>
  </si>
  <si>
    <t>02/08/2024 22:15</t>
  </si>
  <si>
    <t>02/08/2024 22:30</t>
  </si>
  <si>
    <t>02/08/2024 22:45</t>
  </si>
  <si>
    <t>02/08/2024 23:00</t>
  </si>
  <si>
    <t>02/08/2024 23:15</t>
  </si>
  <si>
    <t>02/08/2024 23:30</t>
  </si>
  <si>
    <t>02/08/2024 23:45</t>
  </si>
  <si>
    <t>02/08/2024 24:00</t>
  </si>
  <si>
    <t>03/08/2024 00:15</t>
  </si>
  <si>
    <t>03/08/2024 00:30</t>
  </si>
  <si>
    <t>03/08/2024 00:45</t>
  </si>
  <si>
    <t>03/08/2024 01:00</t>
  </si>
  <si>
    <t>03/08/2024 01:15</t>
  </si>
  <si>
    <t>03/08/2024 01:30</t>
  </si>
  <si>
    <t>03/08/2024 01:45</t>
  </si>
  <si>
    <t>03/08/2024 02:00</t>
  </si>
  <si>
    <t>03/08/2024 02:15</t>
  </si>
  <si>
    <t>03/08/2024 02:30</t>
  </si>
  <si>
    <t>03/08/2024 02:45</t>
  </si>
  <si>
    <t>03/08/2024 03:00</t>
  </si>
  <si>
    <t>03/08/2024 03:15</t>
  </si>
  <si>
    <t>03/08/2024 03:30</t>
  </si>
  <si>
    <t>03/08/2024 03:45</t>
  </si>
  <si>
    <t>03/08/2024 04:00</t>
  </si>
  <si>
    <t>03/08/2024 04:15</t>
  </si>
  <si>
    <t>03/08/2024 04:30</t>
  </si>
  <si>
    <t>03/08/2024 04:45</t>
  </si>
  <si>
    <t>03/08/2024 05:00</t>
  </si>
  <si>
    <t>03/08/2024 05:15</t>
  </si>
  <si>
    <t>03/08/2024 05:30</t>
  </si>
  <si>
    <t>03/08/2024 05:45</t>
  </si>
  <si>
    <t>03/08/2024 06:00</t>
  </si>
  <si>
    <t>03/08/2024 06:15</t>
  </si>
  <si>
    <t>03/08/2024 06:30</t>
  </si>
  <si>
    <t>03/08/2024 06:45</t>
  </si>
  <si>
    <t>03/08/2024 07:00</t>
  </si>
  <si>
    <t>03/08/2024 07:15</t>
  </si>
  <si>
    <t>03/08/2024 07:30</t>
  </si>
  <si>
    <t>03/08/2024 07:45</t>
  </si>
  <si>
    <t>03/08/2024 08:00</t>
  </si>
  <si>
    <t>03/08/2024 08:15</t>
  </si>
  <si>
    <t>03/08/2024 08:30</t>
  </si>
  <si>
    <t>03/08/2024 08:45</t>
  </si>
  <si>
    <t>03/08/2024 09:00</t>
  </si>
  <si>
    <t>03/08/2024 09:15</t>
  </si>
  <si>
    <t>03/08/2024 09:30</t>
  </si>
  <si>
    <t>03/08/2024 09:45</t>
  </si>
  <si>
    <t>03/08/2024 10:00</t>
  </si>
  <si>
    <t>03/08/2024 10:15</t>
  </si>
  <si>
    <t>03/08/2024 10:30</t>
  </si>
  <si>
    <t>03/08/2024 10:45</t>
  </si>
  <si>
    <t>03/08/2024 11:00</t>
  </si>
  <si>
    <t>03/08/2024 11:15</t>
  </si>
  <si>
    <t>03/08/2024 11:30</t>
  </si>
  <si>
    <t>03/08/2024 11:45</t>
  </si>
  <si>
    <t>03/08/2024 12:00</t>
  </si>
  <si>
    <t>03/08/2024 12:15</t>
  </si>
  <si>
    <t>03/08/2024 12:30</t>
  </si>
  <si>
    <t>03/08/2024 12:45</t>
  </si>
  <si>
    <t>03/08/2024 13:00</t>
  </si>
  <si>
    <t>03/08/2024 13:15</t>
  </si>
  <si>
    <t>03/08/2024 13:30</t>
  </si>
  <si>
    <t>03/08/2024 13:45</t>
  </si>
  <si>
    <t>03/08/2024 14:00</t>
  </si>
  <si>
    <t>03/08/2024 14:15</t>
  </si>
  <si>
    <t>03/08/2024 14:30</t>
  </si>
  <si>
    <t>03/08/2024 14:45</t>
  </si>
  <si>
    <t>03/08/2024 15:00</t>
  </si>
  <si>
    <t>03/08/2024 15:15</t>
  </si>
  <si>
    <t>03/08/2024 15:30</t>
  </si>
  <si>
    <t>03/08/2024 15:45</t>
  </si>
  <si>
    <t>03/08/2024 16:00</t>
  </si>
  <si>
    <t>03/08/2024 16:15</t>
  </si>
  <si>
    <t>03/08/2024 16:30</t>
  </si>
  <si>
    <t>03/08/2024 16:45</t>
  </si>
  <si>
    <t>03/08/2024 17:00</t>
  </si>
  <si>
    <t>03/08/2024 17:15</t>
  </si>
  <si>
    <t>03/08/2024 17:30</t>
  </si>
  <si>
    <t>03/08/2024 17:45</t>
  </si>
  <si>
    <t>03/08/2024 18:00</t>
  </si>
  <si>
    <t>03/08/2024 18:15</t>
  </si>
  <si>
    <t>03/08/2024 18:30</t>
  </si>
  <si>
    <t>03/08/2024 18:45</t>
  </si>
  <si>
    <t>03/08/2024 19:00</t>
  </si>
  <si>
    <t>03/08/2024 19:15</t>
  </si>
  <si>
    <t>03/08/2024 19:30</t>
  </si>
  <si>
    <t>03/08/2024 19:45</t>
  </si>
  <si>
    <t>03/08/2024 20:00</t>
  </si>
  <si>
    <t>03/08/2024 20:15</t>
  </si>
  <si>
    <t>03/08/2024 20:30</t>
  </si>
  <si>
    <t>03/08/2024 20:45</t>
  </si>
  <si>
    <t>03/08/2024 21:00</t>
  </si>
  <si>
    <t>03/08/2024 21:15</t>
  </si>
  <si>
    <t>03/08/2024 21:30</t>
  </si>
  <si>
    <t>03/08/2024 21:45</t>
  </si>
  <si>
    <t>03/08/2024 22:00</t>
  </si>
  <si>
    <t>03/08/2024 22:15</t>
  </si>
  <si>
    <t>03/08/2024 22:30</t>
  </si>
  <si>
    <t>03/08/2024 22:45</t>
  </si>
  <si>
    <t>03/08/2024 23:00</t>
  </si>
  <si>
    <t>03/08/2024 23:15</t>
  </si>
  <si>
    <t>03/08/2024 23:30</t>
  </si>
  <si>
    <t>03/08/2024 23:45</t>
  </si>
  <si>
    <t>03/08/2024 24:00</t>
  </si>
  <si>
    <t>04/08/2024 00:15</t>
  </si>
  <si>
    <t>04/08/2024 00:30</t>
  </si>
  <si>
    <t>04/08/2024 00:45</t>
  </si>
  <si>
    <t>04/08/2024 01:00</t>
  </si>
  <si>
    <t>04/08/2024 01:15</t>
  </si>
  <si>
    <t>04/08/2024 01:30</t>
  </si>
  <si>
    <t>04/08/2024 01:45</t>
  </si>
  <si>
    <t>04/08/2024 02:00</t>
  </si>
  <si>
    <t>04/08/2024 02:15</t>
  </si>
  <si>
    <t>04/08/2024 02:30</t>
  </si>
  <si>
    <t>04/08/2024 02:45</t>
  </si>
  <si>
    <t>04/08/2024 03:00</t>
  </si>
  <si>
    <t>04/08/2024 03:15</t>
  </si>
  <si>
    <t>04/08/2024 03:30</t>
  </si>
  <si>
    <t>04/08/2024 03:45</t>
  </si>
  <si>
    <t>04/08/2024 04:00</t>
  </si>
  <si>
    <t>04/08/2024 04:15</t>
  </si>
  <si>
    <t>04/08/2024 04:30</t>
  </si>
  <si>
    <t>04/08/2024 04:45</t>
  </si>
  <si>
    <t>04/08/2024 05:00</t>
  </si>
  <si>
    <t>04/08/2024 05:15</t>
  </si>
  <si>
    <t>04/08/2024 05:30</t>
  </si>
  <si>
    <t>04/08/2024 05:45</t>
  </si>
  <si>
    <t>04/08/2024 06:00</t>
  </si>
  <si>
    <t>04/08/2024 06:15</t>
  </si>
  <si>
    <t>04/08/2024 06:30</t>
  </si>
  <si>
    <t>04/08/2024 06:45</t>
  </si>
  <si>
    <t>04/08/2024 07:00</t>
  </si>
  <si>
    <t>04/08/2024 07:15</t>
  </si>
  <si>
    <t>04/08/2024 07:30</t>
  </si>
  <si>
    <t>04/08/2024 07:45</t>
  </si>
  <si>
    <t>04/08/2024 08:00</t>
  </si>
  <si>
    <t>04/08/2024 08:15</t>
  </si>
  <si>
    <t>04/08/2024 08:30</t>
  </si>
  <si>
    <t>04/08/2024 08:45</t>
  </si>
  <si>
    <t>04/08/2024 09:00</t>
  </si>
  <si>
    <t>04/08/2024 09:15</t>
  </si>
  <si>
    <t>04/08/2024 09:30</t>
  </si>
  <si>
    <t>04/08/2024 09:45</t>
  </si>
  <si>
    <t>04/08/2024 10:00</t>
  </si>
  <si>
    <t>04/08/2024 10:15</t>
  </si>
  <si>
    <t>04/08/2024 10:30</t>
  </si>
  <si>
    <t>04/08/2024 10:45</t>
  </si>
  <si>
    <t>04/08/2024 11:00</t>
  </si>
  <si>
    <t>04/08/2024 11:15</t>
  </si>
  <si>
    <t>04/08/2024 11:30</t>
  </si>
  <si>
    <t>04/08/2024 11:45</t>
  </si>
  <si>
    <t>04/08/2024 12:00</t>
  </si>
  <si>
    <t>04/08/2024 12:15</t>
  </si>
  <si>
    <t>04/08/2024 12:30</t>
  </si>
  <si>
    <t>04/08/2024 12:45</t>
  </si>
  <si>
    <t>04/08/2024 13:00</t>
  </si>
  <si>
    <t>04/08/2024 13:15</t>
  </si>
  <si>
    <t>04/08/2024 13:30</t>
  </si>
  <si>
    <t>04/08/2024 13:45</t>
  </si>
  <si>
    <t>04/08/2024 14:00</t>
  </si>
  <si>
    <t>04/08/2024 14:15</t>
  </si>
  <si>
    <t>04/08/2024 14:30</t>
  </si>
  <si>
    <t>04/08/2024 14:45</t>
  </si>
  <si>
    <t>04/08/2024 15:00</t>
  </si>
  <si>
    <t>04/08/2024 15:15</t>
  </si>
  <si>
    <t>04/08/2024 15:30</t>
  </si>
  <si>
    <t>04/08/2024 15:45</t>
  </si>
  <si>
    <t>04/08/2024 16:00</t>
  </si>
  <si>
    <t>04/08/2024 16:15</t>
  </si>
  <si>
    <t>04/08/2024 16:30</t>
  </si>
  <si>
    <t>04/08/2024 16:45</t>
  </si>
  <si>
    <t>04/08/2024 17:00</t>
  </si>
  <si>
    <t>04/08/2024 17:15</t>
  </si>
  <si>
    <t>04/08/2024 17:30</t>
  </si>
  <si>
    <t>04/08/2024 17:45</t>
  </si>
  <si>
    <t>04/08/2024 18:00</t>
  </si>
  <si>
    <t>04/08/2024 18:15</t>
  </si>
  <si>
    <t>04/08/2024 18:30</t>
  </si>
  <si>
    <t>04/08/2024 18:45</t>
  </si>
  <si>
    <t>04/08/2024 19:00</t>
  </si>
  <si>
    <t>04/08/2024 19:15</t>
  </si>
  <si>
    <t>04/08/2024 19:30</t>
  </si>
  <si>
    <t>04/08/2024 19:45</t>
  </si>
  <si>
    <t>04/08/2024 20:00</t>
  </si>
  <si>
    <t>04/08/2024 20:15</t>
  </si>
  <si>
    <t>04/08/2024 20:30</t>
  </si>
  <si>
    <t>04/08/2024 20:45</t>
  </si>
  <si>
    <t>04/08/2024 21:00</t>
  </si>
  <si>
    <t>04/08/2024 21:15</t>
  </si>
  <si>
    <t>04/08/2024 21:30</t>
  </si>
  <si>
    <t>04/08/2024 21:45</t>
  </si>
  <si>
    <t>04/08/2024 22:00</t>
  </si>
  <si>
    <t>04/08/2024 22:15</t>
  </si>
  <si>
    <t>04/08/2024 22:30</t>
  </si>
  <si>
    <t>04/08/2024 22:45</t>
  </si>
  <si>
    <t>04/08/2024 23:00</t>
  </si>
  <si>
    <t>04/08/2024 23:15</t>
  </si>
  <si>
    <t>04/08/2024 23:30</t>
  </si>
  <si>
    <t>04/08/2024 23:45</t>
  </si>
  <si>
    <t>04/08/2024 24:00</t>
  </si>
  <si>
    <t>05/08/2024 00:15</t>
  </si>
  <si>
    <t>05/08/2024 00:30</t>
  </si>
  <si>
    <t>05/08/2024 00:45</t>
  </si>
  <si>
    <t>05/08/2024 01:00</t>
  </si>
  <si>
    <t>05/08/2024 01:15</t>
  </si>
  <si>
    <t>05/08/2024 01:30</t>
  </si>
  <si>
    <t>05/08/2024 01:45</t>
  </si>
  <si>
    <t>05/08/2024 02:00</t>
  </si>
  <si>
    <t>05/08/2024 02:15</t>
  </si>
  <si>
    <t>05/08/2024 02:30</t>
  </si>
  <si>
    <t>05/08/2024 02:45</t>
  </si>
  <si>
    <t>05/08/2024 03:00</t>
  </si>
  <si>
    <t>05/08/2024 03:15</t>
  </si>
  <si>
    <t>05/08/2024 03:30</t>
  </si>
  <si>
    <t>05/08/2024 03:45</t>
  </si>
  <si>
    <t>05/08/2024 04:00</t>
  </si>
  <si>
    <t>05/08/2024 04:15</t>
  </si>
  <si>
    <t>05/08/2024 04:30</t>
  </si>
  <si>
    <t>05/08/2024 04:45</t>
  </si>
  <si>
    <t>05/08/2024 05:00</t>
  </si>
  <si>
    <t>05/08/2024 05:15</t>
  </si>
  <si>
    <t>05/08/2024 05:30</t>
  </si>
  <si>
    <t>05/08/2024 05:45</t>
  </si>
  <si>
    <t>05/08/2024 06:00</t>
  </si>
  <si>
    <t>05/08/2024 06:15</t>
  </si>
  <si>
    <t>05/08/2024 06:30</t>
  </si>
  <si>
    <t>05/08/2024 06:45</t>
  </si>
  <si>
    <t>05/08/2024 07:00</t>
  </si>
  <si>
    <t>05/08/2024 07:15</t>
  </si>
  <si>
    <t>05/08/2024 07:30</t>
  </si>
  <si>
    <t>05/08/2024 07:45</t>
  </si>
  <si>
    <t>05/08/2024 08:00</t>
  </si>
  <si>
    <t>05/08/2024 08:15</t>
  </si>
  <si>
    <t>05/08/2024 08:30</t>
  </si>
  <si>
    <t>05/08/2024 08:45</t>
  </si>
  <si>
    <t>05/08/2024 09:00</t>
  </si>
  <si>
    <t>05/08/2024 09:15</t>
  </si>
  <si>
    <t>05/08/2024 09:30</t>
  </si>
  <si>
    <t>05/08/2024 09:45</t>
  </si>
  <si>
    <t>05/08/2024 10:00</t>
  </si>
  <si>
    <t>05/08/2024 10:15</t>
  </si>
  <si>
    <t>05/08/2024 10:30</t>
  </si>
  <si>
    <t>05/08/2024 10:45</t>
  </si>
  <si>
    <t>05/08/2024 11:00</t>
  </si>
  <si>
    <t>05/08/2024 11:15</t>
  </si>
  <si>
    <t>05/08/2024 11:30</t>
  </si>
  <si>
    <t>05/08/2024 11:45</t>
  </si>
  <si>
    <t>05/08/2024 12:00</t>
  </si>
  <si>
    <t>05/08/2024 12:15</t>
  </si>
  <si>
    <t>05/08/2024 12:30</t>
  </si>
  <si>
    <t>05/08/2024 12:45</t>
  </si>
  <si>
    <t>05/08/2024 13:00</t>
  </si>
  <si>
    <t>05/08/2024 13:15</t>
  </si>
  <si>
    <t>05/08/2024 13:30</t>
  </si>
  <si>
    <t>05/08/2024 13:45</t>
  </si>
  <si>
    <t>05/08/2024 14:00</t>
  </si>
  <si>
    <t>05/08/2024 14:15</t>
  </si>
  <si>
    <t>05/08/2024 14:30</t>
  </si>
  <si>
    <t>05/08/2024 14:45</t>
  </si>
  <si>
    <t>05/08/2024 15:00</t>
  </si>
  <si>
    <t>05/08/2024 15:15</t>
  </si>
  <si>
    <t>05/08/2024 15:30</t>
  </si>
  <si>
    <t>05/08/2024 15:45</t>
  </si>
  <si>
    <t>05/08/2024 16:00</t>
  </si>
  <si>
    <t>05/08/2024 16:15</t>
  </si>
  <si>
    <t>05/08/2024 16:30</t>
  </si>
  <si>
    <t>05/08/2024 16:45</t>
  </si>
  <si>
    <t>05/08/2024 17:00</t>
  </si>
  <si>
    <t>05/08/2024 17:15</t>
  </si>
  <si>
    <t>05/08/2024 17:30</t>
  </si>
  <si>
    <t>05/08/2024 17:45</t>
  </si>
  <si>
    <t>05/08/2024 18:00</t>
  </si>
  <si>
    <t>05/08/2024 18:15</t>
  </si>
  <si>
    <t>05/08/2024 18:30</t>
  </si>
  <si>
    <t>05/08/2024 18:45</t>
  </si>
  <si>
    <t>05/08/2024 19:00</t>
  </si>
  <si>
    <t>05/08/2024 19:15</t>
  </si>
  <si>
    <t>05/08/2024 19:30</t>
  </si>
  <si>
    <t>05/08/2024 19:45</t>
  </si>
  <si>
    <t>05/08/2024 20:00</t>
  </si>
  <si>
    <t>05/08/2024 20:15</t>
  </si>
  <si>
    <t>05/08/2024 20:30</t>
  </si>
  <si>
    <t>05/08/2024 20:45</t>
  </si>
  <si>
    <t>05/08/2024 21:00</t>
  </si>
  <si>
    <t>05/08/2024 21:15</t>
  </si>
  <si>
    <t>05/08/2024 21:30</t>
  </si>
  <si>
    <t>05/08/2024 21:45</t>
  </si>
  <si>
    <t>05/08/2024 22:00</t>
  </si>
  <si>
    <t>05/08/2024 22:15</t>
  </si>
  <si>
    <t>05/08/2024 22:30</t>
  </si>
  <si>
    <t>05/08/2024 22:45</t>
  </si>
  <si>
    <t>05/08/2024 23:00</t>
  </si>
  <si>
    <t>05/08/2024 23:15</t>
  </si>
  <si>
    <t>05/08/2024 23:30</t>
  </si>
  <si>
    <t>05/08/2024 23:45</t>
  </si>
  <si>
    <t>05/08/2024 24:00</t>
  </si>
  <si>
    <t>06/08/2024 00:15</t>
  </si>
  <si>
    <t>06/08/2024 00:30</t>
  </si>
  <si>
    <t>06/08/2024 00:45</t>
  </si>
  <si>
    <t>06/08/2024 01:00</t>
  </si>
  <si>
    <t>06/08/2024 01:15</t>
  </si>
  <si>
    <t>06/08/2024 01:30</t>
  </si>
  <si>
    <t>06/08/2024 01:45</t>
  </si>
  <si>
    <t>06/08/2024 02:00</t>
  </si>
  <si>
    <t>06/08/2024 02:15</t>
  </si>
  <si>
    <t>06/08/2024 02:30</t>
  </si>
  <si>
    <t>06/08/2024 02:45</t>
  </si>
  <si>
    <t>06/08/2024 03:00</t>
  </si>
  <si>
    <t>06/08/2024 03:15</t>
  </si>
  <si>
    <t>06/08/2024 03:30</t>
  </si>
  <si>
    <t>06/08/2024 03:45</t>
  </si>
  <si>
    <t>06/08/2024 04:00</t>
  </si>
  <si>
    <t>06/08/2024 04:15</t>
  </si>
  <si>
    <t>06/08/2024 04:30</t>
  </si>
  <si>
    <t>06/08/2024 04:45</t>
  </si>
  <si>
    <t>06/08/2024 05:00</t>
  </si>
  <si>
    <t>06/08/2024 05:15</t>
  </si>
  <si>
    <t>06/08/2024 05:30</t>
  </si>
  <si>
    <t>06/08/2024 05:45</t>
  </si>
  <si>
    <t>06/08/2024 06:00</t>
  </si>
  <si>
    <t>06/08/2024 06:15</t>
  </si>
  <si>
    <t>06/08/2024 06:30</t>
  </si>
  <si>
    <t>06/08/2024 06:45</t>
  </si>
  <si>
    <t>06/08/2024 07:00</t>
  </si>
  <si>
    <t>06/08/2024 07:15</t>
  </si>
  <si>
    <t>06/08/2024 07:30</t>
  </si>
  <si>
    <t>06/08/2024 07:45</t>
  </si>
  <si>
    <t>06/08/2024 08:00</t>
  </si>
  <si>
    <t>06/08/2024 08:15</t>
  </si>
  <si>
    <t>06/08/2024 08:30</t>
  </si>
  <si>
    <t>06/08/2024 08:45</t>
  </si>
  <si>
    <t>06/08/2024 09:00</t>
  </si>
  <si>
    <t>06/08/2024 09:15</t>
  </si>
  <si>
    <t>06/08/2024 09:30</t>
  </si>
  <si>
    <t>06/08/2024 09:45</t>
  </si>
  <si>
    <t>06/08/2024 10:00</t>
  </si>
  <si>
    <t>06/08/2024 10:15</t>
  </si>
  <si>
    <t>06/08/2024 10:30</t>
  </si>
  <si>
    <t>06/08/2024 10:45</t>
  </si>
  <si>
    <t>06/08/2024 11:00</t>
  </si>
  <si>
    <t>06/08/2024 11:15</t>
  </si>
  <si>
    <t>06/08/2024 11:30</t>
  </si>
  <si>
    <t>06/08/2024 11:45</t>
  </si>
  <si>
    <t>06/08/2024 12:00</t>
  </si>
  <si>
    <t>06/08/2024 12:15</t>
  </si>
  <si>
    <t>06/08/2024 12:30</t>
  </si>
  <si>
    <t>06/08/2024 12:45</t>
  </si>
  <si>
    <t>06/08/2024 13:00</t>
  </si>
  <si>
    <t>06/08/2024 13:15</t>
  </si>
  <si>
    <t>06/08/2024 13:30</t>
  </si>
  <si>
    <t>06/08/2024 13:45</t>
  </si>
  <si>
    <t>06/08/2024 14:00</t>
  </si>
  <si>
    <t>06/08/2024 14:15</t>
  </si>
  <si>
    <t>06/08/2024 14:30</t>
  </si>
  <si>
    <t>06/08/2024 14:45</t>
  </si>
  <si>
    <t>06/08/2024 15:00</t>
  </si>
  <si>
    <t>06/08/2024 15:15</t>
  </si>
  <si>
    <t>06/08/2024 15:30</t>
  </si>
  <si>
    <t>06/08/2024 15:45</t>
  </si>
  <si>
    <t>06/08/2024 16:00</t>
  </si>
  <si>
    <t>06/08/2024 16:15</t>
  </si>
  <si>
    <t>06/08/2024 16:30</t>
  </si>
  <si>
    <t>06/08/2024 16:45</t>
  </si>
  <si>
    <t>06/08/2024 17:00</t>
  </si>
  <si>
    <t>06/08/2024 17:15</t>
  </si>
  <si>
    <t>06/08/2024 17:30</t>
  </si>
  <si>
    <t>06/08/2024 17:45</t>
  </si>
  <si>
    <t>06/08/2024 18:00</t>
  </si>
  <si>
    <t>06/08/2024 18:15</t>
  </si>
  <si>
    <t>06/08/2024 18:30</t>
  </si>
  <si>
    <t>06/08/2024 18:45</t>
  </si>
  <si>
    <t>06/08/2024 19:00</t>
  </si>
  <si>
    <t>06/08/2024 19:15</t>
  </si>
  <si>
    <t>06/08/2024 19:30</t>
  </si>
  <si>
    <t>06/08/2024 19:45</t>
  </si>
  <si>
    <t>06/08/2024 20:00</t>
  </si>
  <si>
    <t>06/08/2024 20:15</t>
  </si>
  <si>
    <t>06/08/2024 20:30</t>
  </si>
  <si>
    <t>06/08/2024 20:45</t>
  </si>
  <si>
    <t>06/08/2024 21:00</t>
  </si>
  <si>
    <t>06/08/2024 21:15</t>
  </si>
  <si>
    <t>06/08/2024 21:30</t>
  </si>
  <si>
    <t>06/08/2024 21:45</t>
  </si>
  <si>
    <t>06/08/2024 22:00</t>
  </si>
  <si>
    <t>06/08/2024 22:15</t>
  </si>
  <si>
    <t>06/08/2024 22:30</t>
  </si>
  <si>
    <t>06/08/2024 22:45</t>
  </si>
  <si>
    <t>06/08/2024 23:00</t>
  </si>
  <si>
    <t>06/08/2024 23:15</t>
  </si>
  <si>
    <t>06/08/2024 23:30</t>
  </si>
  <si>
    <t>06/08/2024 23:45</t>
  </si>
  <si>
    <t>06/08/2024 24:00</t>
  </si>
  <si>
    <t>07/08/2024 00:15</t>
  </si>
  <si>
    <t>07/08/2024 00:30</t>
  </si>
  <si>
    <t>07/08/2024 00:45</t>
  </si>
  <si>
    <t>07/08/2024 01:00</t>
  </si>
  <si>
    <t>07/08/2024 01:15</t>
  </si>
  <si>
    <t>07/08/2024 01:30</t>
  </si>
  <si>
    <t>07/08/2024 01:45</t>
  </si>
  <si>
    <t>07/08/2024 02:00</t>
  </si>
  <si>
    <t>07/08/2024 02:15</t>
  </si>
  <si>
    <t>07/08/2024 02:30</t>
  </si>
  <si>
    <t>07/08/2024 02:45</t>
  </si>
  <si>
    <t>07/08/2024 03:00</t>
  </si>
  <si>
    <t>07/08/2024 03:15</t>
  </si>
  <si>
    <t>07/08/2024 03:30</t>
  </si>
  <si>
    <t>07/08/2024 03:45</t>
  </si>
  <si>
    <t>07/08/2024 04:00</t>
  </si>
  <si>
    <t>07/08/2024 04:15</t>
  </si>
  <si>
    <t>07/08/2024 04:30</t>
  </si>
  <si>
    <t>07/08/2024 04:45</t>
  </si>
  <si>
    <t>07/08/2024 05:00</t>
  </si>
  <si>
    <t>07/08/2024 05:15</t>
  </si>
  <si>
    <t>07/08/2024 05:30</t>
  </si>
  <si>
    <t>07/08/2024 05:45</t>
  </si>
  <si>
    <t>07/08/2024 06:00</t>
  </si>
  <si>
    <t>07/08/2024 06:15</t>
  </si>
  <si>
    <t>07/08/2024 06:30</t>
  </si>
  <si>
    <t>07/08/2024 06:45</t>
  </si>
  <si>
    <t>07/08/2024 07:00</t>
  </si>
  <si>
    <t>07/08/2024 07:15</t>
  </si>
  <si>
    <t>07/08/2024 07:30</t>
  </si>
  <si>
    <t>07/08/2024 07:45</t>
  </si>
  <si>
    <t>07/08/2024 08:00</t>
  </si>
  <si>
    <t>07/08/2024 08:15</t>
  </si>
  <si>
    <t>07/08/2024 08:30</t>
  </si>
  <si>
    <t>07/08/2024 08:45</t>
  </si>
  <si>
    <t>07/08/2024 09:00</t>
  </si>
  <si>
    <t>07/08/2024 09:15</t>
  </si>
  <si>
    <t>07/08/2024 09:30</t>
  </si>
  <si>
    <t>07/08/2024 09:45</t>
  </si>
  <si>
    <t>07/08/2024 10:00</t>
  </si>
  <si>
    <t>07/08/2024 10:15</t>
  </si>
  <si>
    <t>07/08/2024 10:30</t>
  </si>
  <si>
    <t>07/08/2024 10:45</t>
  </si>
  <si>
    <t>07/08/2024 11:00</t>
  </si>
  <si>
    <t>07/08/2024 11:15</t>
  </si>
  <si>
    <t>07/08/2024 11:30</t>
  </si>
  <si>
    <t>07/08/2024 11:45</t>
  </si>
  <si>
    <t>07/08/2024 12:00</t>
  </si>
  <si>
    <t>07/08/2024 12:15</t>
  </si>
  <si>
    <t>07/08/2024 12:30</t>
  </si>
  <si>
    <t>07/08/2024 12:45</t>
  </si>
  <si>
    <t>07/08/2024 13:00</t>
  </si>
  <si>
    <t>07/08/2024 13:15</t>
  </si>
  <si>
    <t>07/08/2024 13:30</t>
  </si>
  <si>
    <t>07/08/2024 13:45</t>
  </si>
  <si>
    <t>07/08/2024 14:00</t>
  </si>
  <si>
    <t>07/08/2024 14:15</t>
  </si>
  <si>
    <t>07/08/2024 14:30</t>
  </si>
  <si>
    <t>07/08/2024 14:45</t>
  </si>
  <si>
    <t>07/08/2024 15:00</t>
  </si>
  <si>
    <t>07/08/2024 15:15</t>
  </si>
  <si>
    <t>07/08/2024 15:30</t>
  </si>
  <si>
    <t>07/08/2024 15:45</t>
  </si>
  <si>
    <t>07/08/2024 16:00</t>
  </si>
  <si>
    <t>07/08/2024 16:15</t>
  </si>
  <si>
    <t>07/08/2024 16:30</t>
  </si>
  <si>
    <t>07/08/2024 16:45</t>
  </si>
  <si>
    <t>07/08/2024 17:00</t>
  </si>
  <si>
    <t>07/08/2024 17:15</t>
  </si>
  <si>
    <t>07/08/2024 17:30</t>
  </si>
  <si>
    <t>07/08/2024 17:45</t>
  </si>
  <si>
    <t>07/08/2024 18:00</t>
  </si>
  <si>
    <t>07/08/2024 18:15</t>
  </si>
  <si>
    <t>07/08/2024 18:30</t>
  </si>
  <si>
    <t>07/08/2024 18:45</t>
  </si>
  <si>
    <t>07/08/2024 19:00</t>
  </si>
  <si>
    <t>07/08/2024 19:15</t>
  </si>
  <si>
    <t>07/08/2024 19:30</t>
  </si>
  <si>
    <t>07/08/2024 19:45</t>
  </si>
  <si>
    <t>07/08/2024 20:00</t>
  </si>
  <si>
    <t>07/08/2024 20:15</t>
  </si>
  <si>
    <t>07/08/2024 20:30</t>
  </si>
  <si>
    <t>07/08/2024 20:45</t>
  </si>
  <si>
    <t>07/08/2024 21:00</t>
  </si>
  <si>
    <t>07/08/2024 21:15</t>
  </si>
  <si>
    <t>07/08/2024 21:30</t>
  </si>
  <si>
    <t>07/08/2024 21:45</t>
  </si>
  <si>
    <t>07/08/2024 22:00</t>
  </si>
  <si>
    <t>07/08/2024 22:15</t>
  </si>
  <si>
    <t>07/08/2024 22:30</t>
  </si>
  <si>
    <t>07/08/2024 22:45</t>
  </si>
  <si>
    <t>07/08/2024 23:00</t>
  </si>
  <si>
    <t>07/08/2024 23:15</t>
  </si>
  <si>
    <t>07/08/2024 23:30</t>
  </si>
  <si>
    <t>07/08/2024 23:45</t>
  </si>
  <si>
    <t>07/08/2024 24:00</t>
  </si>
  <si>
    <t>08/08/2024 00:15</t>
  </si>
  <si>
    <t>08/08/2024 00:30</t>
  </si>
  <si>
    <t>08/08/2024 00:45</t>
  </si>
  <si>
    <t>08/08/2024 01:00</t>
  </si>
  <si>
    <t>08/08/2024 01:15</t>
  </si>
  <si>
    <t>08/08/2024 01:30</t>
  </si>
  <si>
    <t>08/08/2024 01:45</t>
  </si>
  <si>
    <t>08/08/2024 02:00</t>
  </si>
  <si>
    <t>08/08/2024 02:15</t>
  </si>
  <si>
    <t>08/08/2024 02:30</t>
  </si>
  <si>
    <t>08/08/2024 02:45</t>
  </si>
  <si>
    <t>08/08/2024 03:00</t>
  </si>
  <si>
    <t>08/08/2024 03:15</t>
  </si>
  <si>
    <t>08/08/2024 03:30</t>
  </si>
  <si>
    <t>08/08/2024 03:45</t>
  </si>
  <si>
    <t>08/08/2024 04:00</t>
  </si>
  <si>
    <t>08/08/2024 04:15</t>
  </si>
  <si>
    <t>08/08/2024 04:30</t>
  </si>
  <si>
    <t>08/08/2024 04:45</t>
  </si>
  <si>
    <t>08/08/2024 05:00</t>
  </si>
  <si>
    <t>08/08/2024 05:15</t>
  </si>
  <si>
    <t>08/08/2024 05:30</t>
  </si>
  <si>
    <t>08/08/2024 05:45</t>
  </si>
  <si>
    <t>08/08/2024 06:00</t>
  </si>
  <si>
    <t>08/08/2024 06:15</t>
  </si>
  <si>
    <t>08/08/2024 06:30</t>
  </si>
  <si>
    <t>08/08/2024 06:45</t>
  </si>
  <si>
    <t>08/08/2024 07:00</t>
  </si>
  <si>
    <t>08/08/2024 07:15</t>
  </si>
  <si>
    <t>08/08/2024 07:30</t>
  </si>
  <si>
    <t>08/08/2024 07:45</t>
  </si>
  <si>
    <t>08/08/2024 08:00</t>
  </si>
  <si>
    <t>08/08/2024 08:15</t>
  </si>
  <si>
    <t>08/08/2024 08:30</t>
  </si>
  <si>
    <t>08/08/2024 08:45</t>
  </si>
  <si>
    <t>08/08/2024 09:00</t>
  </si>
  <si>
    <t>08/08/2024 09:15</t>
  </si>
  <si>
    <t>08/08/2024 09:30</t>
  </si>
  <si>
    <t>08/08/2024 09:45</t>
  </si>
  <si>
    <t>08/08/2024 10:00</t>
  </si>
  <si>
    <t>08/08/2024 10:15</t>
  </si>
  <si>
    <t>08/08/2024 10:30</t>
  </si>
  <si>
    <t>08/08/2024 10:45</t>
  </si>
  <si>
    <t>08/08/2024 11:00</t>
  </si>
  <si>
    <t>08/08/2024 11:15</t>
  </si>
  <si>
    <t>08/08/2024 11:30</t>
  </si>
  <si>
    <t>08/08/2024 11:45</t>
  </si>
  <si>
    <t>08/08/2024 12:00</t>
  </si>
  <si>
    <t>08/08/2024 12:15</t>
  </si>
  <si>
    <t>08/08/2024 12:30</t>
  </si>
  <si>
    <t>08/08/2024 12:45</t>
  </si>
  <si>
    <t>08/08/2024 13:00</t>
  </si>
  <si>
    <t>08/08/2024 13:15</t>
  </si>
  <si>
    <t>08/08/2024 13:30</t>
  </si>
  <si>
    <t>08/08/2024 13:45</t>
  </si>
  <si>
    <t>08/08/2024 14:00</t>
  </si>
  <si>
    <t>08/08/2024 14:15</t>
  </si>
  <si>
    <t>08/08/2024 14:30</t>
  </si>
  <si>
    <t>08/08/2024 14:45</t>
  </si>
  <si>
    <t>08/08/2024 15:00</t>
  </si>
  <si>
    <t>08/08/2024 15:15</t>
  </si>
  <si>
    <t>08/08/2024 15:30</t>
  </si>
  <si>
    <t>08/08/2024 15:45</t>
  </si>
  <si>
    <t>08/08/2024 16:00</t>
  </si>
  <si>
    <t>08/08/2024 16:15</t>
  </si>
  <si>
    <t>08/08/2024 16:30</t>
  </si>
  <si>
    <t>08/08/2024 16:45</t>
  </si>
  <si>
    <t>08/08/2024 17:00</t>
  </si>
  <si>
    <t>08/08/2024 17:15</t>
  </si>
  <si>
    <t>08/08/2024 17:30</t>
  </si>
  <si>
    <t>08/08/2024 17:45</t>
  </si>
  <si>
    <t>08/08/2024 18:00</t>
  </si>
  <si>
    <t>08/08/2024 18:15</t>
  </si>
  <si>
    <t>08/08/2024 18:30</t>
  </si>
  <si>
    <t>08/08/2024 18:45</t>
  </si>
  <si>
    <t>08/08/2024 19:00</t>
  </si>
  <si>
    <t>08/08/2024 19:15</t>
  </si>
  <si>
    <t>08/08/2024 19:30</t>
  </si>
  <si>
    <t>08/08/2024 19:45</t>
  </si>
  <si>
    <t>08/08/2024 20:00</t>
  </si>
  <si>
    <t>08/08/2024 20:15</t>
  </si>
  <si>
    <t>08/08/2024 20:30</t>
  </si>
  <si>
    <t>08/08/2024 20:45</t>
  </si>
  <si>
    <t>08/08/2024 21:00</t>
  </si>
  <si>
    <t>08/08/2024 21:15</t>
  </si>
  <si>
    <t>08/08/2024 21:30</t>
  </si>
  <si>
    <t>08/08/2024 21:45</t>
  </si>
  <si>
    <t>08/08/2024 22:00</t>
  </si>
  <si>
    <t>08/08/2024 22:15</t>
  </si>
  <si>
    <t>08/08/2024 22:30</t>
  </si>
  <si>
    <t>08/08/2024 22:45</t>
  </si>
  <si>
    <t>08/08/2024 23:00</t>
  </si>
  <si>
    <t>08/08/2024 23:15</t>
  </si>
  <si>
    <t>08/08/2024 23:30</t>
  </si>
  <si>
    <t>08/08/2024 23:45</t>
  </si>
  <si>
    <t>08/08/2024 24:00</t>
  </si>
  <si>
    <t>09/08/2024 00:15</t>
  </si>
  <si>
    <t>09/08/2024 00:30</t>
  </si>
  <si>
    <t>09/08/2024 00:45</t>
  </si>
  <si>
    <t>09/08/2024 01:00</t>
  </si>
  <si>
    <t>09/08/2024 01:15</t>
  </si>
  <si>
    <t>09/08/2024 01:30</t>
  </si>
  <si>
    <t>09/08/2024 01:45</t>
  </si>
  <si>
    <t>09/08/2024 02:00</t>
  </si>
  <si>
    <t>09/08/2024 02:15</t>
  </si>
  <si>
    <t>09/08/2024 02:30</t>
  </si>
  <si>
    <t>09/08/2024 02:45</t>
  </si>
  <si>
    <t>09/08/2024 03:00</t>
  </si>
  <si>
    <t>09/08/2024 03:15</t>
  </si>
  <si>
    <t>09/08/2024 03:30</t>
  </si>
  <si>
    <t>09/08/2024 03:45</t>
  </si>
  <si>
    <t>09/08/2024 04:00</t>
  </si>
  <si>
    <t>09/08/2024 04:15</t>
  </si>
  <si>
    <t>09/08/2024 04:30</t>
  </si>
  <si>
    <t>09/08/2024 04:45</t>
  </si>
  <si>
    <t>09/08/2024 05:00</t>
  </si>
  <si>
    <t>09/08/2024 05:15</t>
  </si>
  <si>
    <t>09/08/2024 05:30</t>
  </si>
  <si>
    <t>09/08/2024 05:45</t>
  </si>
  <si>
    <t>09/08/2024 06:00</t>
  </si>
  <si>
    <t>09/08/2024 06:15</t>
  </si>
  <si>
    <t>09/08/2024 06:30</t>
  </si>
  <si>
    <t>09/08/2024 06:45</t>
  </si>
  <si>
    <t>09/08/2024 07:00</t>
  </si>
  <si>
    <t>09/08/2024 07:15</t>
  </si>
  <si>
    <t>09/08/2024 07:30</t>
  </si>
  <si>
    <t>09/08/2024 07:45</t>
  </si>
  <si>
    <t>09/08/2024 08:00</t>
  </si>
  <si>
    <t>09/08/2024 08:15</t>
  </si>
  <si>
    <t>09/08/2024 08:30</t>
  </si>
  <si>
    <t>09/08/2024 08:45</t>
  </si>
  <si>
    <t>09/08/2024 09:00</t>
  </si>
  <si>
    <t>09/08/2024 09:15</t>
  </si>
  <si>
    <t>09/08/2024 09:30</t>
  </si>
  <si>
    <t>09/08/2024 09:45</t>
  </si>
  <si>
    <t>09/08/2024 10:00</t>
  </si>
  <si>
    <t>09/08/2024 10:15</t>
  </si>
  <si>
    <t>09/08/2024 10:30</t>
  </si>
  <si>
    <t>09/08/2024 10:45</t>
  </si>
  <si>
    <t>09/08/2024 11:00</t>
  </si>
  <si>
    <t>09/08/2024 11:15</t>
  </si>
  <si>
    <t>09/08/2024 11:30</t>
  </si>
  <si>
    <t>09/08/2024 11:45</t>
  </si>
  <si>
    <t>09/08/2024 12:00</t>
  </si>
  <si>
    <t>09/08/2024 12:15</t>
  </si>
  <si>
    <t>09/08/2024 12:30</t>
  </si>
  <si>
    <t>09/08/2024 12:45</t>
  </si>
  <si>
    <t>09/08/2024 13:00</t>
  </si>
  <si>
    <t>09/08/2024 13:15</t>
  </si>
  <si>
    <t>09/08/2024 13:30</t>
  </si>
  <si>
    <t>09/08/2024 13:45</t>
  </si>
  <si>
    <t>09/08/2024 14:00</t>
  </si>
  <si>
    <t>09/08/2024 14:15</t>
  </si>
  <si>
    <t>09/08/2024 14:30</t>
  </si>
  <si>
    <t>09/08/2024 14:45</t>
  </si>
  <si>
    <t>09/08/2024 15:00</t>
  </si>
  <si>
    <t>09/08/2024 15:15</t>
  </si>
  <si>
    <t>09/08/2024 15:30</t>
  </si>
  <si>
    <t>09/08/2024 15:45</t>
  </si>
  <si>
    <t>09/08/2024 16:00</t>
  </si>
  <si>
    <t>09/08/2024 16:15</t>
  </si>
  <si>
    <t>09/08/2024 16:30</t>
  </si>
  <si>
    <t>09/08/2024 16:45</t>
  </si>
  <si>
    <t>09/08/2024 17:00</t>
  </si>
  <si>
    <t>09/08/2024 17:15</t>
  </si>
  <si>
    <t>09/08/2024 17:30</t>
  </si>
  <si>
    <t>09/08/2024 17:45</t>
  </si>
  <si>
    <t>09/08/2024 18:00</t>
  </si>
  <si>
    <t>09/08/2024 18:15</t>
  </si>
  <si>
    <t>09/08/2024 18:30</t>
  </si>
  <si>
    <t>09/08/2024 18:45</t>
  </si>
  <si>
    <t>09/08/2024 19:00</t>
  </si>
  <si>
    <t>09/08/2024 19:15</t>
  </si>
  <si>
    <t>09/08/2024 19:30</t>
  </si>
  <si>
    <t>09/08/2024 19:45</t>
  </si>
  <si>
    <t>09/08/2024 20:00</t>
  </si>
  <si>
    <t>09/08/2024 20:15</t>
  </si>
  <si>
    <t>09/08/2024 20:30</t>
  </si>
  <si>
    <t>09/08/2024 20:45</t>
  </si>
  <si>
    <t>09/08/2024 21:00</t>
  </si>
  <si>
    <t>09/08/2024 21:15</t>
  </si>
  <si>
    <t>09/08/2024 21:30</t>
  </si>
  <si>
    <t>09/08/2024 21:45</t>
  </si>
  <si>
    <t>09/08/2024 22:00</t>
  </si>
  <si>
    <t>09/08/2024 22:15</t>
  </si>
  <si>
    <t>09/08/2024 22:30</t>
  </si>
  <si>
    <t>09/08/2024 22:45</t>
  </si>
  <si>
    <t>09/08/2024 23:00</t>
  </si>
  <si>
    <t>09/08/2024 23:15</t>
  </si>
  <si>
    <t>09/08/2024 23:30</t>
  </si>
  <si>
    <t>09/08/2024 23:45</t>
  </si>
  <si>
    <t>09/08/2024 24:00</t>
  </si>
  <si>
    <t>10/08/2024 00:15</t>
  </si>
  <si>
    <t>10/08/2024 00:30</t>
  </si>
  <si>
    <t>10/08/2024 00:45</t>
  </si>
  <si>
    <t>10/08/2024 01:00</t>
  </si>
  <si>
    <t>10/08/2024 01:15</t>
  </si>
  <si>
    <t>10/08/2024 01:30</t>
  </si>
  <si>
    <t>10/08/2024 01:45</t>
  </si>
  <si>
    <t>10/08/2024 02:00</t>
  </si>
  <si>
    <t>10/08/2024 02:15</t>
  </si>
  <si>
    <t>10/08/2024 02:30</t>
  </si>
  <si>
    <t>10/08/2024 02:45</t>
  </si>
  <si>
    <t>10/08/2024 03:00</t>
  </si>
  <si>
    <t>10/08/2024 03:15</t>
  </si>
  <si>
    <t>10/08/2024 03:30</t>
  </si>
  <si>
    <t>10/08/2024 03:45</t>
  </si>
  <si>
    <t>10/08/2024 04:00</t>
  </si>
  <si>
    <t>10/08/2024 04:15</t>
  </si>
  <si>
    <t>10/08/2024 04:30</t>
  </si>
  <si>
    <t>10/08/2024 04:45</t>
  </si>
  <si>
    <t>10/08/2024 05:00</t>
  </si>
  <si>
    <t>10/08/2024 05:15</t>
  </si>
  <si>
    <t>10/08/2024 05:30</t>
  </si>
  <si>
    <t>10/08/2024 05:45</t>
  </si>
  <si>
    <t>10/08/2024 06:00</t>
  </si>
  <si>
    <t>10/08/2024 06:15</t>
  </si>
  <si>
    <t>10/08/2024 06:30</t>
  </si>
  <si>
    <t>10/08/2024 06:45</t>
  </si>
  <si>
    <t>10/08/2024 07:00</t>
  </si>
  <si>
    <t>10/08/2024 07:15</t>
  </si>
  <si>
    <t>10/08/2024 07:30</t>
  </si>
  <si>
    <t>10/08/2024 07:45</t>
  </si>
  <si>
    <t>10/08/2024 08:00</t>
  </si>
  <si>
    <t>10/08/2024 08:15</t>
  </si>
  <si>
    <t>10/08/2024 08:30</t>
  </si>
  <si>
    <t>10/08/2024 08:45</t>
  </si>
  <si>
    <t>10/08/2024 09:00</t>
  </si>
  <si>
    <t>10/08/2024 09:15</t>
  </si>
  <si>
    <t>10/08/2024 09:30</t>
  </si>
  <si>
    <t>10/08/2024 09:45</t>
  </si>
  <si>
    <t>10/08/2024 10:00</t>
  </si>
  <si>
    <t>10/08/2024 10:15</t>
  </si>
  <si>
    <t>10/08/2024 10:30</t>
  </si>
  <si>
    <t>10/08/2024 10:45</t>
  </si>
  <si>
    <t>10/08/2024 11:00</t>
  </si>
  <si>
    <t>10/08/2024 11:15</t>
  </si>
  <si>
    <t>10/08/2024 11:30</t>
  </si>
  <si>
    <t>10/08/2024 11:45</t>
  </si>
  <si>
    <t>10/08/2024 12:00</t>
  </si>
  <si>
    <t>10/08/2024 12:15</t>
  </si>
  <si>
    <t>10/08/2024 12:30</t>
  </si>
  <si>
    <t>10/08/2024 12:45</t>
  </si>
  <si>
    <t>10/08/2024 13:00</t>
  </si>
  <si>
    <t>10/08/2024 13:15</t>
  </si>
  <si>
    <t>10/08/2024 13:30</t>
  </si>
  <si>
    <t>10/08/2024 13:45</t>
  </si>
  <si>
    <t>10/08/2024 14:00</t>
  </si>
  <si>
    <t>10/08/2024 14:15</t>
  </si>
  <si>
    <t>10/08/2024 14:30</t>
  </si>
  <si>
    <t>10/08/2024 14:45</t>
  </si>
  <si>
    <t>10/08/2024 15:00</t>
  </si>
  <si>
    <t>10/08/2024 15:15</t>
  </si>
  <si>
    <t>10/08/2024 15:30</t>
  </si>
  <si>
    <t>10/08/2024 15:45</t>
  </si>
  <si>
    <t>10/08/2024 16:00</t>
  </si>
  <si>
    <t>10/08/2024 16:15</t>
  </si>
  <si>
    <t>10/08/2024 16:30</t>
  </si>
  <si>
    <t>10/08/2024 16:45</t>
  </si>
  <si>
    <t>10/08/2024 17:00</t>
  </si>
  <si>
    <t>10/08/2024 17:15</t>
  </si>
  <si>
    <t>10/08/2024 17:30</t>
  </si>
  <si>
    <t>10/08/2024 17:45</t>
  </si>
  <si>
    <t>10/08/2024 18:00</t>
  </si>
  <si>
    <t>10/08/2024 18:15</t>
  </si>
  <si>
    <t>10/08/2024 18:30</t>
  </si>
  <si>
    <t>10/08/2024 18:45</t>
  </si>
  <si>
    <t>10/08/2024 19:00</t>
  </si>
  <si>
    <t>10/08/2024 19:15</t>
  </si>
  <si>
    <t>10/08/2024 19:30</t>
  </si>
  <si>
    <t>10/08/2024 19:45</t>
  </si>
  <si>
    <t>10/08/2024 20:00</t>
  </si>
  <si>
    <t>10/08/2024 20:15</t>
  </si>
  <si>
    <t>10/08/2024 20:30</t>
  </si>
  <si>
    <t>10/08/2024 20:45</t>
  </si>
  <si>
    <t>10/08/2024 21:00</t>
  </si>
  <si>
    <t>10/08/2024 21:15</t>
  </si>
  <si>
    <t>10/08/2024 21:30</t>
  </si>
  <si>
    <t>10/08/2024 21:45</t>
  </si>
  <si>
    <t>10/08/2024 22:00</t>
  </si>
  <si>
    <t>10/08/2024 22:15</t>
  </si>
  <si>
    <t>10/08/2024 22:30</t>
  </si>
  <si>
    <t>10/08/2024 22:45</t>
  </si>
  <si>
    <t>10/08/2024 23:00</t>
  </si>
  <si>
    <t>10/08/2024 23:15</t>
  </si>
  <si>
    <t>10/08/2024 23:30</t>
  </si>
  <si>
    <t>10/08/2024 23:45</t>
  </si>
  <si>
    <t>10/08/2024 24:00</t>
  </si>
  <si>
    <t>11/08/2024 00:15</t>
  </si>
  <si>
    <t>11/08/2024 00:30</t>
  </si>
  <si>
    <t>11/08/2024 00:45</t>
  </si>
  <si>
    <t>11/08/2024 01:00</t>
  </si>
  <si>
    <t>11/08/2024 01:15</t>
  </si>
  <si>
    <t>11/08/2024 01:30</t>
  </si>
  <si>
    <t>11/08/2024 01:45</t>
  </si>
  <si>
    <t>11/08/2024 02:00</t>
  </si>
  <si>
    <t>11/08/2024 02:15</t>
  </si>
  <si>
    <t>11/08/2024 02:30</t>
  </si>
  <si>
    <t>11/08/2024 02:45</t>
  </si>
  <si>
    <t>11/08/2024 03:00</t>
  </si>
  <si>
    <t>11/08/2024 03:15</t>
  </si>
  <si>
    <t>11/08/2024 03:30</t>
  </si>
  <si>
    <t>11/08/2024 03:45</t>
  </si>
  <si>
    <t>11/08/2024 04:00</t>
  </si>
  <si>
    <t>11/08/2024 04:15</t>
  </si>
  <si>
    <t>11/08/2024 04:30</t>
  </si>
  <si>
    <t>11/08/2024 04:45</t>
  </si>
  <si>
    <t>11/08/2024 05:00</t>
  </si>
  <si>
    <t>11/08/2024 05:15</t>
  </si>
  <si>
    <t>11/08/2024 05:30</t>
  </si>
  <si>
    <t>11/08/2024 05:45</t>
  </si>
  <si>
    <t>11/08/2024 06:00</t>
  </si>
  <si>
    <t>11/08/2024 06:15</t>
  </si>
  <si>
    <t>11/08/2024 06:30</t>
  </si>
  <si>
    <t>11/08/2024 06:45</t>
  </si>
  <si>
    <t>11/08/2024 07:00</t>
  </si>
  <si>
    <t>11/08/2024 07:15</t>
  </si>
  <si>
    <t>11/08/2024 07:30</t>
  </si>
  <si>
    <t>11/08/2024 07:45</t>
  </si>
  <si>
    <t>11/08/2024 08:00</t>
  </si>
  <si>
    <t>11/08/2024 08:15</t>
  </si>
  <si>
    <t>11/08/2024 08:30</t>
  </si>
  <si>
    <t>11/08/2024 08:45</t>
  </si>
  <si>
    <t>11/08/2024 09:00</t>
  </si>
  <si>
    <t>11/08/2024 09:15</t>
  </si>
  <si>
    <t>11/08/2024 09:30</t>
  </si>
  <si>
    <t>11/08/2024 09:45</t>
  </si>
  <si>
    <t>11/08/2024 10:00</t>
  </si>
  <si>
    <t>11/08/2024 10:15</t>
  </si>
  <si>
    <t>11/08/2024 10:30</t>
  </si>
  <si>
    <t>11/08/2024 10:45</t>
  </si>
  <si>
    <t>11/08/2024 11:00</t>
  </si>
  <si>
    <t>11/08/2024 11:15</t>
  </si>
  <si>
    <t>11/08/2024 11:30</t>
  </si>
  <si>
    <t>11/08/2024 11:45</t>
  </si>
  <si>
    <t>11/08/2024 12:00</t>
  </si>
  <si>
    <t>11/08/2024 12:15</t>
  </si>
  <si>
    <t>11/08/2024 12:30</t>
  </si>
  <si>
    <t>11/08/2024 12:45</t>
  </si>
  <si>
    <t>11/08/2024 13:00</t>
  </si>
  <si>
    <t>11/08/2024 13:15</t>
  </si>
  <si>
    <t>11/08/2024 13:30</t>
  </si>
  <si>
    <t>11/08/2024 13:45</t>
  </si>
  <si>
    <t>11/08/2024 14:00</t>
  </si>
  <si>
    <t>11/08/2024 14:15</t>
  </si>
  <si>
    <t>11/08/2024 14:30</t>
  </si>
  <si>
    <t>11/08/2024 14:45</t>
  </si>
  <si>
    <t>11/08/2024 15:00</t>
  </si>
  <si>
    <t>11/08/2024 15:15</t>
  </si>
  <si>
    <t>11/08/2024 15:30</t>
  </si>
  <si>
    <t>11/08/2024 15:45</t>
  </si>
  <si>
    <t>11/08/2024 16:00</t>
  </si>
  <si>
    <t>11/08/2024 16:15</t>
  </si>
  <si>
    <t>11/08/2024 16:30</t>
  </si>
  <si>
    <t>11/08/2024 16:45</t>
  </si>
  <si>
    <t>11/08/2024 17:00</t>
  </si>
  <si>
    <t>11/08/2024 17:15</t>
  </si>
  <si>
    <t>11/08/2024 17:30</t>
  </si>
  <si>
    <t>11/08/2024 17:45</t>
  </si>
  <si>
    <t>11/08/2024 18:00</t>
  </si>
  <si>
    <t>11/08/2024 18:15</t>
  </si>
  <si>
    <t>11/08/2024 18:30</t>
  </si>
  <si>
    <t>11/08/2024 18:45</t>
  </si>
  <si>
    <t>11/08/2024 19:00</t>
  </si>
  <si>
    <t>11/08/2024 19:15</t>
  </si>
  <si>
    <t>11/08/2024 19:30</t>
  </si>
  <si>
    <t>11/08/2024 19:45</t>
  </si>
  <si>
    <t>11/08/2024 20:00</t>
  </si>
  <si>
    <t>11/08/2024 20:15</t>
  </si>
  <si>
    <t>11/08/2024 20:30</t>
  </si>
  <si>
    <t>11/08/2024 20:45</t>
  </si>
  <si>
    <t>11/08/2024 21:00</t>
  </si>
  <si>
    <t>11/08/2024 21:15</t>
  </si>
  <si>
    <t>11/08/2024 21:30</t>
  </si>
  <si>
    <t>11/08/2024 21:45</t>
  </si>
  <si>
    <t>11/08/2024 22:00</t>
  </si>
  <si>
    <t>11/08/2024 22:15</t>
  </si>
  <si>
    <t>11/08/2024 22:30</t>
  </si>
  <si>
    <t>11/08/2024 22:45</t>
  </si>
  <si>
    <t>11/08/2024 23:00</t>
  </si>
  <si>
    <t>11/08/2024 23:15</t>
  </si>
  <si>
    <t>11/08/2024 23:30</t>
  </si>
  <si>
    <t>11/08/2024 23:45</t>
  </si>
  <si>
    <t>11/08/2024 24:00</t>
  </si>
  <si>
    <t>12/08/2024 00:15</t>
  </si>
  <si>
    <t>12/08/2024 00:30</t>
  </si>
  <si>
    <t>12/08/2024 00:45</t>
  </si>
  <si>
    <t>12/08/2024 01:00</t>
  </si>
  <si>
    <t>12/08/2024 01:15</t>
  </si>
  <si>
    <t>12/08/2024 01:30</t>
  </si>
  <si>
    <t>12/08/2024 01:45</t>
  </si>
  <si>
    <t>12/08/2024 02:00</t>
  </si>
  <si>
    <t>12/08/2024 02:15</t>
  </si>
  <si>
    <t>12/08/2024 02:30</t>
  </si>
  <si>
    <t>12/08/2024 02:45</t>
  </si>
  <si>
    <t>12/08/2024 03:00</t>
  </si>
  <si>
    <t>12/08/2024 03:15</t>
  </si>
  <si>
    <t>12/08/2024 03:30</t>
  </si>
  <si>
    <t>12/08/2024 03:45</t>
  </si>
  <si>
    <t>12/08/2024 04:00</t>
  </si>
  <si>
    <t>12/08/2024 04:15</t>
  </si>
  <si>
    <t>12/08/2024 04:30</t>
  </si>
  <si>
    <t>12/08/2024 04:45</t>
  </si>
  <si>
    <t>12/08/2024 05:00</t>
  </si>
  <si>
    <t>12/08/2024 05:15</t>
  </si>
  <si>
    <t>12/08/2024 05:30</t>
  </si>
  <si>
    <t>12/08/2024 05:45</t>
  </si>
  <si>
    <t>12/08/2024 06:00</t>
  </si>
  <si>
    <t>12/08/2024 06:15</t>
  </si>
  <si>
    <t>12/08/2024 06:30</t>
  </si>
  <si>
    <t>12/08/2024 06:45</t>
  </si>
  <si>
    <t>12/08/2024 07:00</t>
  </si>
  <si>
    <t>12/08/2024 07:15</t>
  </si>
  <si>
    <t>12/08/2024 07:30</t>
  </si>
  <si>
    <t>12/08/2024 07:45</t>
  </si>
  <si>
    <t>12/08/2024 08:00</t>
  </si>
  <si>
    <t>12/08/2024 08:15</t>
  </si>
  <si>
    <t>12/08/2024 08:30</t>
  </si>
  <si>
    <t>12/08/2024 08:45</t>
  </si>
  <si>
    <t>12/08/2024 09:00</t>
  </si>
  <si>
    <t>12/08/2024 09:15</t>
  </si>
  <si>
    <t>12/08/2024 09:30</t>
  </si>
  <si>
    <t>12/08/2024 09:45</t>
  </si>
  <si>
    <t>12/08/2024 10:00</t>
  </si>
  <si>
    <t>12/08/2024 10:15</t>
  </si>
  <si>
    <t>12/08/2024 10:30</t>
  </si>
  <si>
    <t>12/08/2024 10:45</t>
  </si>
  <si>
    <t>12/08/2024 11:00</t>
  </si>
  <si>
    <t>12/08/2024 11:15</t>
  </si>
  <si>
    <t>12/08/2024 11:30</t>
  </si>
  <si>
    <t>12/08/2024 11:45</t>
  </si>
  <si>
    <t>12/08/2024 12:00</t>
  </si>
  <si>
    <t>12/08/2024 12:15</t>
  </si>
  <si>
    <t>12/08/2024 12:30</t>
  </si>
  <si>
    <t>12/08/2024 12:45</t>
  </si>
  <si>
    <t>12/08/2024 13:00</t>
  </si>
  <si>
    <t>12/08/2024 13:15</t>
  </si>
  <si>
    <t>12/08/2024 13:30</t>
  </si>
  <si>
    <t>12/08/2024 13:45</t>
  </si>
  <si>
    <t>12/08/2024 14:00</t>
  </si>
  <si>
    <t>12/08/2024 14:15</t>
  </si>
  <si>
    <t>12/08/2024 14:30</t>
  </si>
  <si>
    <t>12/08/2024 14:45</t>
  </si>
  <si>
    <t>12/08/2024 15:00</t>
  </si>
  <si>
    <t>12/08/2024 15:15</t>
  </si>
  <si>
    <t>12/08/2024 15:30</t>
  </si>
  <si>
    <t>12/08/2024 15:45</t>
  </si>
  <si>
    <t>12/08/2024 16:00</t>
  </si>
  <si>
    <t>12/08/2024 16:15</t>
  </si>
  <si>
    <t>12/08/2024 16:30</t>
  </si>
  <si>
    <t>12/08/2024 16:45</t>
  </si>
  <si>
    <t>12/08/2024 17:00</t>
  </si>
  <si>
    <t>12/08/2024 17:15</t>
  </si>
  <si>
    <t>12/08/2024 17:30</t>
  </si>
  <si>
    <t>12/08/2024 17:45</t>
  </si>
  <si>
    <t>12/08/2024 18:00</t>
  </si>
  <si>
    <t>12/08/2024 18:15</t>
  </si>
  <si>
    <t>12/08/2024 18:30</t>
  </si>
  <si>
    <t>12/08/2024 18:45</t>
  </si>
  <si>
    <t>12/08/2024 19:00</t>
  </si>
  <si>
    <t>12/08/2024 19:15</t>
  </si>
  <si>
    <t>12/08/2024 19:30</t>
  </si>
  <si>
    <t>12/08/2024 19:45</t>
  </si>
  <si>
    <t>12/08/2024 20:00</t>
  </si>
  <si>
    <t>12/08/2024 20:15</t>
  </si>
  <si>
    <t>12/08/2024 20:30</t>
  </si>
  <si>
    <t>12/08/2024 20:45</t>
  </si>
  <si>
    <t>12/08/2024 21:00</t>
  </si>
  <si>
    <t>12/08/2024 21:15</t>
  </si>
  <si>
    <t>12/08/2024 21:30</t>
  </si>
  <si>
    <t>12/08/2024 21:45</t>
  </si>
  <si>
    <t>12/08/2024 22:00</t>
  </si>
  <si>
    <t>12/08/2024 22:15</t>
  </si>
  <si>
    <t>12/08/2024 22:30</t>
  </si>
  <si>
    <t>12/08/2024 22:45</t>
  </si>
  <si>
    <t>12/08/2024 23:00</t>
  </si>
  <si>
    <t>12/08/2024 23:15</t>
  </si>
  <si>
    <t>12/08/2024 23:30</t>
  </si>
  <si>
    <t>12/08/2024 23:45</t>
  </si>
  <si>
    <t>12/08/2024 24:00</t>
  </si>
  <si>
    <t>13/08/2024 00:15</t>
  </si>
  <si>
    <t>13/08/2024 00:30</t>
  </si>
  <si>
    <t>13/08/2024 00:45</t>
  </si>
  <si>
    <t>13/08/2024 01:00</t>
  </si>
  <si>
    <t>13/08/2024 01:15</t>
  </si>
  <si>
    <t>13/08/2024 01:30</t>
  </si>
  <si>
    <t>13/08/2024 01:45</t>
  </si>
  <si>
    <t>13/08/2024 02:00</t>
  </si>
  <si>
    <t>13/08/2024 02:15</t>
  </si>
  <si>
    <t>13/08/2024 02:30</t>
  </si>
  <si>
    <t>13/08/2024 02:45</t>
  </si>
  <si>
    <t>13/08/2024 03:00</t>
  </si>
  <si>
    <t>13/08/2024 03:15</t>
  </si>
  <si>
    <t>13/08/2024 03:30</t>
  </si>
  <si>
    <t>13/08/2024 03:45</t>
  </si>
  <si>
    <t>13/08/2024 04:00</t>
  </si>
  <si>
    <t>13/08/2024 04:15</t>
  </si>
  <si>
    <t>13/08/2024 04:30</t>
  </si>
  <si>
    <t>13/08/2024 04:45</t>
  </si>
  <si>
    <t>13/08/2024 05:00</t>
  </si>
  <si>
    <t>13/08/2024 05:15</t>
  </si>
  <si>
    <t>13/08/2024 05:30</t>
  </si>
  <si>
    <t>13/08/2024 05:45</t>
  </si>
  <si>
    <t>13/08/2024 06:00</t>
  </si>
  <si>
    <t>13/08/2024 06:15</t>
  </si>
  <si>
    <t>13/08/2024 06:30</t>
  </si>
  <si>
    <t>13/08/2024 06:45</t>
  </si>
  <si>
    <t>13/08/2024 07:00</t>
  </si>
  <si>
    <t>13/08/2024 07:15</t>
  </si>
  <si>
    <t>13/08/2024 07:30</t>
  </si>
  <si>
    <t>13/08/2024 07:45</t>
  </si>
  <si>
    <t>13/08/2024 08:00</t>
  </si>
  <si>
    <t>13/08/2024 08:15</t>
  </si>
  <si>
    <t>13/08/2024 08:30</t>
  </si>
  <si>
    <t>13/08/2024 08:45</t>
  </si>
  <si>
    <t>13/08/2024 09:00</t>
  </si>
  <si>
    <t>13/08/2024 09:15</t>
  </si>
  <si>
    <t>13/08/2024 09:30</t>
  </si>
  <si>
    <t>13/08/2024 09:45</t>
  </si>
  <si>
    <t>13/08/2024 10:00</t>
  </si>
  <si>
    <t>13/08/2024 10:15</t>
  </si>
  <si>
    <t>13/08/2024 10:30</t>
  </si>
  <si>
    <t>13/08/2024 10:45</t>
  </si>
  <si>
    <t>13/08/2024 11:00</t>
  </si>
  <si>
    <t>13/08/2024 11:15</t>
  </si>
  <si>
    <t>13/08/2024 11:30</t>
  </si>
  <si>
    <t>13/08/2024 11:45</t>
  </si>
  <si>
    <t>13/08/2024 12:00</t>
  </si>
  <si>
    <t>13/08/2024 12:15</t>
  </si>
  <si>
    <t>13/08/2024 12:30</t>
  </si>
  <si>
    <t>13/08/2024 12:45</t>
  </si>
  <si>
    <t>13/08/2024 13:00</t>
  </si>
  <si>
    <t>13/08/2024 13:15</t>
  </si>
  <si>
    <t>13/08/2024 13:30</t>
  </si>
  <si>
    <t>13/08/2024 13:45</t>
  </si>
  <si>
    <t>13/08/2024 14:00</t>
  </si>
  <si>
    <t>13/08/2024 14:15</t>
  </si>
  <si>
    <t>13/08/2024 14:30</t>
  </si>
  <si>
    <t>13/08/2024 14:45</t>
  </si>
  <si>
    <t>13/08/2024 15:00</t>
  </si>
  <si>
    <t>13/08/2024 15:15</t>
  </si>
  <si>
    <t>13/08/2024 15:30</t>
  </si>
  <si>
    <t>13/08/2024 15:45</t>
  </si>
  <si>
    <t>13/08/2024 16:00</t>
  </si>
  <si>
    <t>13/08/2024 16:15</t>
  </si>
  <si>
    <t>13/08/2024 16:30</t>
  </si>
  <si>
    <t>13/08/2024 16:45</t>
  </si>
  <si>
    <t>13/08/2024 17:00</t>
  </si>
  <si>
    <t>13/08/2024 17:15</t>
  </si>
  <si>
    <t>13/08/2024 17:30</t>
  </si>
  <si>
    <t>13/08/2024 17:45</t>
  </si>
  <si>
    <t>13/08/2024 18:00</t>
  </si>
  <si>
    <t>13/08/2024 18:15</t>
  </si>
  <si>
    <t>13/08/2024 18:30</t>
  </si>
  <si>
    <t>13/08/2024 18:45</t>
  </si>
  <si>
    <t>13/08/2024 19:00</t>
  </si>
  <si>
    <t>13/08/2024 19:15</t>
  </si>
  <si>
    <t>13/08/2024 19:30</t>
  </si>
  <si>
    <t>13/08/2024 19:45</t>
  </si>
  <si>
    <t>13/08/2024 20:00</t>
  </si>
  <si>
    <t>13/08/2024 20:15</t>
  </si>
  <si>
    <t>13/08/2024 20:30</t>
  </si>
  <si>
    <t>13/08/2024 20:45</t>
  </si>
  <si>
    <t>13/08/2024 21:00</t>
  </si>
  <si>
    <t>13/08/2024 21:15</t>
  </si>
  <si>
    <t>13/08/2024 21:30</t>
  </si>
  <si>
    <t>13/08/2024 21:45</t>
  </si>
  <si>
    <t>13/08/2024 22:00</t>
  </si>
  <si>
    <t>13/08/2024 22:15</t>
  </si>
  <si>
    <t>13/08/2024 22:30</t>
  </si>
  <si>
    <t>13/08/2024 22:45</t>
  </si>
  <si>
    <t>13/08/2024 23:00</t>
  </si>
  <si>
    <t>13/08/2024 23:15</t>
  </si>
  <si>
    <t>13/08/2024 23:30</t>
  </si>
  <si>
    <t>13/08/2024 23:45</t>
  </si>
  <si>
    <t>13/08/2024 24:00</t>
  </si>
  <si>
    <t>14/08/2024 00:15</t>
  </si>
  <si>
    <t>14/08/2024 00:30</t>
  </si>
  <si>
    <t>14/08/2024 00:45</t>
  </si>
  <si>
    <t>14/08/2024 01:00</t>
  </si>
  <si>
    <t>14/08/2024 01:15</t>
  </si>
  <si>
    <t>14/08/2024 01:30</t>
  </si>
  <si>
    <t>14/08/2024 01:45</t>
  </si>
  <si>
    <t>14/08/2024 02:00</t>
  </si>
  <si>
    <t>14/08/2024 02:15</t>
  </si>
  <si>
    <t>14/08/2024 02:30</t>
  </si>
  <si>
    <t>14/08/2024 02:45</t>
  </si>
  <si>
    <t>14/08/2024 03:00</t>
  </si>
  <si>
    <t>14/08/2024 03:15</t>
  </si>
  <si>
    <t>14/08/2024 03:30</t>
  </si>
  <si>
    <t>14/08/2024 03:45</t>
  </si>
  <si>
    <t>14/08/2024 04:00</t>
  </si>
  <si>
    <t>14/08/2024 04:15</t>
  </si>
  <si>
    <t>14/08/2024 04:30</t>
  </si>
  <si>
    <t>14/08/2024 04:45</t>
  </si>
  <si>
    <t>14/08/2024 05:00</t>
  </si>
  <si>
    <t>14/08/2024 05:15</t>
  </si>
  <si>
    <t>14/08/2024 05:30</t>
  </si>
  <si>
    <t>14/08/2024 05:45</t>
  </si>
  <si>
    <t>14/08/2024 06:00</t>
  </si>
  <si>
    <t>14/08/2024 06:15</t>
  </si>
  <si>
    <t>14/08/2024 06:30</t>
  </si>
  <si>
    <t>14/08/2024 06:45</t>
  </si>
  <si>
    <t>14/08/2024 07:00</t>
  </si>
  <si>
    <t>14/08/2024 07:15</t>
  </si>
  <si>
    <t>14/08/2024 07:30</t>
  </si>
  <si>
    <t>14/08/2024 07:45</t>
  </si>
  <si>
    <t>14/08/2024 08:00</t>
  </si>
  <si>
    <t>14/08/2024 08:15</t>
  </si>
  <si>
    <t>14/08/2024 08:30</t>
  </si>
  <si>
    <t>14/08/2024 08:45</t>
  </si>
  <si>
    <t>14/08/2024 09:00</t>
  </si>
  <si>
    <t>14/08/2024 09:15</t>
  </si>
  <si>
    <t>14/08/2024 09:30</t>
  </si>
  <si>
    <t>14/08/2024 09:45</t>
  </si>
  <si>
    <t>14/08/2024 10:00</t>
  </si>
  <si>
    <t>14/08/2024 10:15</t>
  </si>
  <si>
    <t>14/08/2024 10:30</t>
  </si>
  <si>
    <t>14/08/2024 10:45</t>
  </si>
  <si>
    <t>14/08/2024 11:00</t>
  </si>
  <si>
    <t>14/08/2024 11:15</t>
  </si>
  <si>
    <t>14/08/2024 11:30</t>
  </si>
  <si>
    <t>14/08/2024 11:45</t>
  </si>
  <si>
    <t>14/08/2024 12:00</t>
  </si>
  <si>
    <t>14/08/2024 12:15</t>
  </si>
  <si>
    <t>14/08/2024 12:30</t>
  </si>
  <si>
    <t>14/08/2024 12:45</t>
  </si>
  <si>
    <t>14/08/2024 13:00</t>
  </si>
  <si>
    <t>14/08/2024 13:15</t>
  </si>
  <si>
    <t>14/08/2024 13:30</t>
  </si>
  <si>
    <t>14/08/2024 13:45</t>
  </si>
  <si>
    <t>14/08/2024 14:00</t>
  </si>
  <si>
    <t>14/08/2024 14:15</t>
  </si>
  <si>
    <t>14/08/2024 14:30</t>
  </si>
  <si>
    <t>14/08/2024 14:45</t>
  </si>
  <si>
    <t>14/08/2024 15:00</t>
  </si>
  <si>
    <t>14/08/2024 15:15</t>
  </si>
  <si>
    <t>14/08/2024 15:30</t>
  </si>
  <si>
    <t>14/08/2024 15:45</t>
  </si>
  <si>
    <t>14/08/2024 16:00</t>
  </si>
  <si>
    <t>14/08/2024 16:15</t>
  </si>
  <si>
    <t>14/08/2024 16:30</t>
  </si>
  <si>
    <t>14/08/2024 16:45</t>
  </si>
  <si>
    <t>14/08/2024 17:00</t>
  </si>
  <si>
    <t>14/08/2024 17:15</t>
  </si>
  <si>
    <t>14/08/2024 17:30</t>
  </si>
  <si>
    <t>14/08/2024 17:45</t>
  </si>
  <si>
    <t>14/08/2024 18:00</t>
  </si>
  <si>
    <t>14/08/2024 18:15</t>
  </si>
  <si>
    <t>14/08/2024 18:30</t>
  </si>
  <si>
    <t>14/08/2024 18:45</t>
  </si>
  <si>
    <t>14/08/2024 19:00</t>
  </si>
  <si>
    <t>14/08/2024 19:15</t>
  </si>
  <si>
    <t>14/08/2024 19:30</t>
  </si>
  <si>
    <t>14/08/2024 19:45</t>
  </si>
  <si>
    <t>14/08/2024 20:00</t>
  </si>
  <si>
    <t>14/08/2024 20:15</t>
  </si>
  <si>
    <t>14/08/2024 20:30</t>
  </si>
  <si>
    <t>14/08/2024 20:45</t>
  </si>
  <si>
    <t>14/08/2024 21:00</t>
  </si>
  <si>
    <t>14/08/2024 21:15</t>
  </si>
  <si>
    <t>14/08/2024 21:30</t>
  </si>
  <si>
    <t>14/08/2024 21:45</t>
  </si>
  <si>
    <t>14/08/2024 22:00</t>
  </si>
  <si>
    <t>14/08/2024 22:15</t>
  </si>
  <si>
    <t>14/08/2024 22:30</t>
  </si>
  <si>
    <t>14/08/2024 22:45</t>
  </si>
  <si>
    <t>14/08/2024 23:00</t>
  </si>
  <si>
    <t>14/08/2024 23:15</t>
  </si>
  <si>
    <t>14/08/2024 23:30</t>
  </si>
  <si>
    <t>14/08/2024 23:45</t>
  </si>
  <si>
    <t>14/08/2024 24:00</t>
  </si>
  <si>
    <t>15/08/2024 00:15</t>
  </si>
  <si>
    <t>15/08/2024 00:30</t>
  </si>
  <si>
    <t>15/08/2024 00:45</t>
  </si>
  <si>
    <t>15/08/2024 01:00</t>
  </si>
  <si>
    <t>15/08/2024 01:15</t>
  </si>
  <si>
    <t>15/08/2024 01:30</t>
  </si>
  <si>
    <t>15/08/2024 01:45</t>
  </si>
  <si>
    <t>15/08/2024 02:00</t>
  </si>
  <si>
    <t>15/08/2024 02:15</t>
  </si>
  <si>
    <t>15/08/2024 02:30</t>
  </si>
  <si>
    <t>15/08/2024 02:45</t>
  </si>
  <si>
    <t>15/08/2024 03:00</t>
  </si>
  <si>
    <t>15/08/2024 03:15</t>
  </si>
  <si>
    <t>15/08/2024 03:30</t>
  </si>
  <si>
    <t>15/08/2024 03:45</t>
  </si>
  <si>
    <t>15/08/2024 04:00</t>
  </si>
  <si>
    <t>15/08/2024 04:15</t>
  </si>
  <si>
    <t>15/08/2024 04:30</t>
  </si>
  <si>
    <t>15/08/2024 04:45</t>
  </si>
  <si>
    <t>15/08/2024 05:00</t>
  </si>
  <si>
    <t>15/08/2024 05:15</t>
  </si>
  <si>
    <t>15/08/2024 05:30</t>
  </si>
  <si>
    <t>15/08/2024 05:45</t>
  </si>
  <si>
    <t>15/08/2024 06:00</t>
  </si>
  <si>
    <t>15/08/2024 06:15</t>
  </si>
  <si>
    <t>15/08/2024 06:30</t>
  </si>
  <si>
    <t>15/08/2024 06:45</t>
  </si>
  <si>
    <t>15/08/2024 07:00</t>
  </si>
  <si>
    <t>15/08/2024 07:15</t>
  </si>
  <si>
    <t>15/08/2024 07:30</t>
  </si>
  <si>
    <t>15/08/2024 07:45</t>
  </si>
  <si>
    <t>15/08/2024 08:00</t>
  </si>
  <si>
    <t>15/08/2024 08:15</t>
  </si>
  <si>
    <t>15/08/2024 08:30</t>
  </si>
  <si>
    <t>15/08/2024 08:45</t>
  </si>
  <si>
    <t>15/08/2024 09:00</t>
  </si>
  <si>
    <t>15/08/2024 09:15</t>
  </si>
  <si>
    <t>15/08/2024 09:30</t>
  </si>
  <si>
    <t>15/08/2024 09:45</t>
  </si>
  <si>
    <t>15/08/2024 10:00</t>
  </si>
  <si>
    <t>15/08/2024 10:15</t>
  </si>
  <si>
    <t>15/08/2024 10:30</t>
  </si>
  <si>
    <t>15/08/2024 10:45</t>
  </si>
  <si>
    <t>15/08/2024 11:00</t>
  </si>
  <si>
    <t>15/08/2024 11:15</t>
  </si>
  <si>
    <t>15/08/2024 11:30</t>
  </si>
  <si>
    <t>15/08/2024 11:45</t>
  </si>
  <si>
    <t>15/08/2024 12:00</t>
  </si>
  <si>
    <t>15/08/2024 12:15</t>
  </si>
  <si>
    <t>15/08/2024 12:30</t>
  </si>
  <si>
    <t>15/08/2024 12:45</t>
  </si>
  <si>
    <t>15/08/2024 13:00</t>
  </si>
  <si>
    <t>15/08/2024 13:15</t>
  </si>
  <si>
    <t>15/08/2024 13:30</t>
  </si>
  <si>
    <t>15/08/2024 13:45</t>
  </si>
  <si>
    <t>15/08/2024 14:00</t>
  </si>
  <si>
    <t>15/08/2024 14:15</t>
  </si>
  <si>
    <t>15/08/2024 14:30</t>
  </si>
  <si>
    <t>15/08/2024 14:45</t>
  </si>
  <si>
    <t>15/08/2024 15:00</t>
  </si>
  <si>
    <t>15/08/2024 15:15</t>
  </si>
  <si>
    <t>15/08/2024 15:30</t>
  </si>
  <si>
    <t>15/08/2024 15:45</t>
  </si>
  <si>
    <t>15/08/2024 16:00</t>
  </si>
  <si>
    <t>15/08/2024 16:15</t>
  </si>
  <si>
    <t>15/08/2024 16:30</t>
  </si>
  <si>
    <t>15/08/2024 16:45</t>
  </si>
  <si>
    <t>15/08/2024 17:00</t>
  </si>
  <si>
    <t>15/08/2024 17:15</t>
  </si>
  <si>
    <t>15/08/2024 17:30</t>
  </si>
  <si>
    <t>15/08/2024 17:45</t>
  </si>
  <si>
    <t>15/08/2024 18:00</t>
  </si>
  <si>
    <t>15/08/2024 18:15</t>
  </si>
  <si>
    <t>15/08/2024 18:30</t>
  </si>
  <si>
    <t>15/08/2024 18:45</t>
  </si>
  <si>
    <t>15/08/2024 19:00</t>
  </si>
  <si>
    <t>15/08/2024 19:15</t>
  </si>
  <si>
    <t>15/08/2024 19:30</t>
  </si>
  <si>
    <t>15/08/2024 19:45</t>
  </si>
  <si>
    <t>15/08/2024 20:00</t>
  </si>
  <si>
    <t>15/08/2024 20:15</t>
  </si>
  <si>
    <t>15/08/2024 20:30</t>
  </si>
  <si>
    <t>15/08/2024 20:45</t>
  </si>
  <si>
    <t>15/08/2024 21:00</t>
  </si>
  <si>
    <t>15/08/2024 21:15</t>
  </si>
  <si>
    <t>15/08/2024 21:30</t>
  </si>
  <si>
    <t>15/08/2024 21:45</t>
  </si>
  <si>
    <t>15/08/2024 22:00</t>
  </si>
  <si>
    <t>15/08/2024 22:15</t>
  </si>
  <si>
    <t>15/08/2024 22:30</t>
  </si>
  <si>
    <t>15/08/2024 22:45</t>
  </si>
  <si>
    <t>15/08/2024 23:00</t>
  </si>
  <si>
    <t>15/08/2024 23:15</t>
  </si>
  <si>
    <t>15/08/2024 23:30</t>
  </si>
  <si>
    <t>15/08/2024 23:45</t>
  </si>
  <si>
    <t>15/08/2024 24:00</t>
  </si>
  <si>
    <t>16/08/2024 00:15</t>
  </si>
  <si>
    <t>16/08/2024 00:30</t>
  </si>
  <si>
    <t>16/08/2024 00:45</t>
  </si>
  <si>
    <t>16/08/2024 01:00</t>
  </si>
  <si>
    <t>16/08/2024 01:15</t>
  </si>
  <si>
    <t>16/08/2024 01:30</t>
  </si>
  <si>
    <t>16/08/2024 01:45</t>
  </si>
  <si>
    <t>16/08/2024 02:00</t>
  </si>
  <si>
    <t>16/08/2024 02:15</t>
  </si>
  <si>
    <t>16/08/2024 02:30</t>
  </si>
  <si>
    <t>16/08/2024 02:45</t>
  </si>
  <si>
    <t>16/08/2024 03:00</t>
  </si>
  <si>
    <t>16/08/2024 03:15</t>
  </si>
  <si>
    <t>16/08/2024 03:30</t>
  </si>
  <si>
    <t>16/08/2024 03:45</t>
  </si>
  <si>
    <t>16/08/2024 04:00</t>
  </si>
  <si>
    <t>16/08/2024 04:15</t>
  </si>
  <si>
    <t>16/08/2024 04:30</t>
  </si>
  <si>
    <t>16/08/2024 04:45</t>
  </si>
  <si>
    <t>16/08/2024 05:00</t>
  </si>
  <si>
    <t>16/08/2024 05:15</t>
  </si>
  <si>
    <t>16/08/2024 05:30</t>
  </si>
  <si>
    <t>16/08/2024 05:45</t>
  </si>
  <si>
    <t>16/08/2024 06:00</t>
  </si>
  <si>
    <t>16/08/2024 06:15</t>
  </si>
  <si>
    <t>16/08/2024 06:30</t>
  </si>
  <si>
    <t>16/08/2024 06:45</t>
  </si>
  <si>
    <t>16/08/2024 07:00</t>
  </si>
  <si>
    <t>16/08/2024 07:15</t>
  </si>
  <si>
    <t>16/08/2024 07:30</t>
  </si>
  <si>
    <t>16/08/2024 07:45</t>
  </si>
  <si>
    <t>16/08/2024 08:00</t>
  </si>
  <si>
    <t>16/08/2024 08:15</t>
  </si>
  <si>
    <t>16/08/2024 08:30</t>
  </si>
  <si>
    <t>16/08/2024 08:45</t>
  </si>
  <si>
    <t>16/08/2024 09:00</t>
  </si>
  <si>
    <t>16/08/2024 09:15</t>
  </si>
  <si>
    <t>16/08/2024 09:30</t>
  </si>
  <si>
    <t>16/08/2024 09:45</t>
  </si>
  <si>
    <t>16/08/2024 10:00</t>
  </si>
  <si>
    <t>16/08/2024 10:15</t>
  </si>
  <si>
    <t>16/08/2024 10:30</t>
  </si>
  <si>
    <t>16/08/2024 10:45</t>
  </si>
  <si>
    <t>16/08/2024 11:00</t>
  </si>
  <si>
    <t>16/08/2024 11:15</t>
  </si>
  <si>
    <t>16/08/2024 11:30</t>
  </si>
  <si>
    <t>16/08/2024 11:45</t>
  </si>
  <si>
    <t>16/08/2024 12:00</t>
  </si>
  <si>
    <t>16/08/2024 12:15</t>
  </si>
  <si>
    <t>16/08/2024 12:30</t>
  </si>
  <si>
    <t>16/08/2024 12:45</t>
  </si>
  <si>
    <t>16/08/2024 13:00</t>
  </si>
  <si>
    <t>16/08/2024 13:15</t>
  </si>
  <si>
    <t>16/08/2024 13:30</t>
  </si>
  <si>
    <t>16/08/2024 13:45</t>
  </si>
  <si>
    <t>16/08/2024 14:00</t>
  </si>
  <si>
    <t>16/08/2024 14:15</t>
  </si>
  <si>
    <t>16/08/2024 14:30</t>
  </si>
  <si>
    <t>16/08/2024 14:45</t>
  </si>
  <si>
    <t>16/08/2024 15:00</t>
  </si>
  <si>
    <t>16/08/2024 15:15</t>
  </si>
  <si>
    <t>16/08/2024 15:30</t>
  </si>
  <si>
    <t>16/08/2024 15:45</t>
  </si>
  <si>
    <t>16/08/2024 16:00</t>
  </si>
  <si>
    <t>16/08/2024 16:15</t>
  </si>
  <si>
    <t>16/08/2024 16:30</t>
  </si>
  <si>
    <t>16/08/2024 16:45</t>
  </si>
  <si>
    <t>16/08/2024 17:00</t>
  </si>
  <si>
    <t>16/08/2024 17:15</t>
  </si>
  <si>
    <t>16/08/2024 17:30</t>
  </si>
  <si>
    <t>16/08/2024 17:45</t>
  </si>
  <si>
    <t>16/08/2024 18:00</t>
  </si>
  <si>
    <t>16/08/2024 18:15</t>
  </si>
  <si>
    <t>16/08/2024 18:30</t>
  </si>
  <si>
    <t>16/08/2024 18:45</t>
  </si>
  <si>
    <t>16/08/2024 19:00</t>
  </si>
  <si>
    <t>16/08/2024 19:15</t>
  </si>
  <si>
    <t>16/08/2024 19:30</t>
  </si>
  <si>
    <t>16/08/2024 19:45</t>
  </si>
  <si>
    <t>16/08/2024 20:00</t>
  </si>
  <si>
    <t>16/08/2024 20:15</t>
  </si>
  <si>
    <t>16/08/2024 20:30</t>
  </si>
  <si>
    <t>16/08/2024 20:45</t>
  </si>
  <si>
    <t>16/08/2024 21:00</t>
  </si>
  <si>
    <t>16/08/2024 21:15</t>
  </si>
  <si>
    <t>16/08/2024 21:30</t>
  </si>
  <si>
    <t>16/08/2024 21:45</t>
  </si>
  <si>
    <t>16/08/2024 22:00</t>
  </si>
  <si>
    <t>16/08/2024 22:15</t>
  </si>
  <si>
    <t>16/08/2024 22:30</t>
  </si>
  <si>
    <t>16/08/2024 22:45</t>
  </si>
  <si>
    <t>16/08/2024 23:00</t>
  </si>
  <si>
    <t>16/08/2024 23:15</t>
  </si>
  <si>
    <t>16/08/2024 23:30</t>
  </si>
  <si>
    <t>16/08/2024 23:45</t>
  </si>
  <si>
    <t>16/08/2024 24:00</t>
  </si>
  <si>
    <t>17/08/2024 00:15</t>
  </si>
  <si>
    <t>17/08/2024 00:30</t>
  </si>
  <si>
    <t>17/08/2024 00:45</t>
  </si>
  <si>
    <t>17/08/2024 01:00</t>
  </si>
  <si>
    <t>17/08/2024 01:15</t>
  </si>
  <si>
    <t>17/08/2024 01:30</t>
  </si>
  <si>
    <t>17/08/2024 01:45</t>
  </si>
  <si>
    <t>17/08/2024 02:00</t>
  </si>
  <si>
    <t>17/08/2024 02:15</t>
  </si>
  <si>
    <t>17/08/2024 02:30</t>
  </si>
  <si>
    <t>17/08/2024 02:45</t>
  </si>
  <si>
    <t>17/08/2024 03:00</t>
  </si>
  <si>
    <t>17/08/2024 03:15</t>
  </si>
  <si>
    <t>17/08/2024 03:30</t>
  </si>
  <si>
    <t>17/08/2024 03:45</t>
  </si>
  <si>
    <t>17/08/2024 04:00</t>
  </si>
  <si>
    <t>17/08/2024 04:15</t>
  </si>
  <si>
    <t>17/08/2024 04:30</t>
  </si>
  <si>
    <t>17/08/2024 04:45</t>
  </si>
  <si>
    <t>17/08/2024 05:00</t>
  </si>
  <si>
    <t>17/08/2024 05:15</t>
  </si>
  <si>
    <t>17/08/2024 05:30</t>
  </si>
  <si>
    <t>17/08/2024 05:45</t>
  </si>
  <si>
    <t>17/08/2024 06:00</t>
  </si>
  <si>
    <t>17/08/2024 06:15</t>
  </si>
  <si>
    <t>17/08/2024 06:30</t>
  </si>
  <si>
    <t>17/08/2024 06:45</t>
  </si>
  <si>
    <t>17/08/2024 07:00</t>
  </si>
  <si>
    <t>17/08/2024 07:15</t>
  </si>
  <si>
    <t>17/08/2024 07:30</t>
  </si>
  <si>
    <t>17/08/2024 07:45</t>
  </si>
  <si>
    <t>17/08/2024 08:00</t>
  </si>
  <si>
    <t>17/08/2024 08:15</t>
  </si>
  <si>
    <t>17/08/2024 08:30</t>
  </si>
  <si>
    <t>17/08/2024 08:45</t>
  </si>
  <si>
    <t>17/08/2024 09:00</t>
  </si>
  <si>
    <t>17/08/2024 09:15</t>
  </si>
  <si>
    <t>17/08/2024 09:30</t>
  </si>
  <si>
    <t>17/08/2024 09:45</t>
  </si>
  <si>
    <t>17/08/2024 10:00</t>
  </si>
  <si>
    <t>17/08/2024 10:15</t>
  </si>
  <si>
    <t>17/08/2024 10:30</t>
  </si>
  <si>
    <t>17/08/2024 10:45</t>
  </si>
  <si>
    <t>17/08/2024 11:00</t>
  </si>
  <si>
    <t>17/08/2024 11:15</t>
  </si>
  <si>
    <t>17/08/2024 11:30</t>
  </si>
  <si>
    <t>17/08/2024 11:45</t>
  </si>
  <si>
    <t>17/08/2024 12:00</t>
  </si>
  <si>
    <t>17/08/2024 12:15</t>
  </si>
  <si>
    <t>17/08/2024 12:30</t>
  </si>
  <si>
    <t>17/08/2024 12:45</t>
  </si>
  <si>
    <t>17/08/2024 13:00</t>
  </si>
  <si>
    <t>17/08/2024 13:15</t>
  </si>
  <si>
    <t>17/08/2024 13:30</t>
  </si>
  <si>
    <t>17/08/2024 13:45</t>
  </si>
  <si>
    <t>17/08/2024 14:00</t>
  </si>
  <si>
    <t>17/08/2024 14:15</t>
  </si>
  <si>
    <t>17/08/2024 14:30</t>
  </si>
  <si>
    <t>17/08/2024 14:45</t>
  </si>
  <si>
    <t>17/08/2024 15:00</t>
  </si>
  <si>
    <t>17/08/2024 15:15</t>
  </si>
  <si>
    <t>17/08/2024 15:30</t>
  </si>
  <si>
    <t>17/08/2024 15:45</t>
  </si>
  <si>
    <t>17/08/2024 16:00</t>
  </si>
  <si>
    <t>17/08/2024 16:15</t>
  </si>
  <si>
    <t>17/08/2024 16:30</t>
  </si>
  <si>
    <t>17/08/2024 16:45</t>
  </si>
  <si>
    <t>17/08/2024 17:00</t>
  </si>
  <si>
    <t>17/08/2024 17:15</t>
  </si>
  <si>
    <t>17/08/2024 17:30</t>
  </si>
  <si>
    <t>17/08/2024 17:45</t>
  </si>
  <si>
    <t>17/08/2024 18:00</t>
  </si>
  <si>
    <t>17/08/2024 18:15</t>
  </si>
  <si>
    <t>17/08/2024 18:30</t>
  </si>
  <si>
    <t>17/08/2024 18:45</t>
  </si>
  <si>
    <t>17/08/2024 19:00</t>
  </si>
  <si>
    <t>17/08/2024 19:15</t>
  </si>
  <si>
    <t>17/08/2024 19:30</t>
  </si>
  <si>
    <t>17/08/2024 19:45</t>
  </si>
  <si>
    <t>17/08/2024 20:00</t>
  </si>
  <si>
    <t>17/08/2024 20:15</t>
  </si>
  <si>
    <t>17/08/2024 20:30</t>
  </si>
  <si>
    <t>17/08/2024 20:45</t>
  </si>
  <si>
    <t>17/08/2024 21:00</t>
  </si>
  <si>
    <t>17/08/2024 21:15</t>
  </si>
  <si>
    <t>17/08/2024 21:30</t>
  </si>
  <si>
    <t>17/08/2024 21:45</t>
  </si>
  <si>
    <t>17/08/2024 22:00</t>
  </si>
  <si>
    <t>17/08/2024 22:15</t>
  </si>
  <si>
    <t>17/08/2024 22:30</t>
  </si>
  <si>
    <t>17/08/2024 22:45</t>
  </si>
  <si>
    <t>17/08/2024 23:00</t>
  </si>
  <si>
    <t>17/08/2024 23:15</t>
  </si>
  <si>
    <t>17/08/2024 23:30</t>
  </si>
  <si>
    <t>17/08/2024 23:45</t>
  </si>
  <si>
    <t>17/08/2024 24:00</t>
  </si>
  <si>
    <t>18/08/2024 00:15</t>
  </si>
  <si>
    <t>18/08/2024 00:30</t>
  </si>
  <si>
    <t>18/08/2024 00:45</t>
  </si>
  <si>
    <t>18/08/2024 01:00</t>
  </si>
  <si>
    <t>18/08/2024 01:15</t>
  </si>
  <si>
    <t>18/08/2024 01:30</t>
  </si>
  <si>
    <t>18/08/2024 01:45</t>
  </si>
  <si>
    <t>18/08/2024 02:00</t>
  </si>
  <si>
    <t>18/08/2024 02:15</t>
  </si>
  <si>
    <t>18/08/2024 02:30</t>
  </si>
  <si>
    <t>18/08/2024 02:45</t>
  </si>
  <si>
    <t>18/08/2024 03:00</t>
  </si>
  <si>
    <t>18/08/2024 03:15</t>
  </si>
  <si>
    <t>18/08/2024 03:30</t>
  </si>
  <si>
    <t>18/08/2024 03:45</t>
  </si>
  <si>
    <t>18/08/2024 04:00</t>
  </si>
  <si>
    <t>18/08/2024 04:15</t>
  </si>
  <si>
    <t>18/08/2024 04:30</t>
  </si>
  <si>
    <t>18/08/2024 04:45</t>
  </si>
  <si>
    <t>18/08/2024 05:00</t>
  </si>
  <si>
    <t>18/08/2024 05:15</t>
  </si>
  <si>
    <t>18/08/2024 05:30</t>
  </si>
  <si>
    <t>18/08/2024 05:45</t>
  </si>
  <si>
    <t>18/08/2024 06:00</t>
  </si>
  <si>
    <t>18/08/2024 06:15</t>
  </si>
  <si>
    <t>18/08/2024 06:30</t>
  </si>
  <si>
    <t>18/08/2024 06:45</t>
  </si>
  <si>
    <t>18/08/2024 07:00</t>
  </si>
  <si>
    <t>18/08/2024 07:15</t>
  </si>
  <si>
    <t>18/08/2024 07:30</t>
  </si>
  <si>
    <t>18/08/2024 07:45</t>
  </si>
  <si>
    <t>18/08/2024 08:00</t>
  </si>
  <si>
    <t>18/08/2024 08:15</t>
  </si>
  <si>
    <t>18/08/2024 08:30</t>
  </si>
  <si>
    <t>18/08/2024 08:45</t>
  </si>
  <si>
    <t>18/08/2024 09:00</t>
  </si>
  <si>
    <t>18/08/2024 09:15</t>
  </si>
  <si>
    <t>18/08/2024 09:30</t>
  </si>
  <si>
    <t>18/08/2024 09:45</t>
  </si>
  <si>
    <t>18/08/2024 10:00</t>
  </si>
  <si>
    <t>18/08/2024 10:15</t>
  </si>
  <si>
    <t>18/08/2024 10:30</t>
  </si>
  <si>
    <t>18/08/2024 10:45</t>
  </si>
  <si>
    <t>18/08/2024 11:00</t>
  </si>
  <si>
    <t>18/08/2024 11:15</t>
  </si>
  <si>
    <t>18/08/2024 11:30</t>
  </si>
  <si>
    <t>18/08/2024 11:45</t>
  </si>
  <si>
    <t>18/08/2024 12:00</t>
  </si>
  <si>
    <t>18/08/2024 12:15</t>
  </si>
  <si>
    <t>18/08/2024 12:30</t>
  </si>
  <si>
    <t>18/08/2024 12:45</t>
  </si>
  <si>
    <t>18/08/2024 13:00</t>
  </si>
  <si>
    <t>18/08/2024 13:15</t>
  </si>
  <si>
    <t>18/08/2024 13:30</t>
  </si>
  <si>
    <t>18/08/2024 13:45</t>
  </si>
  <si>
    <t>18/08/2024 14:00</t>
  </si>
  <si>
    <t>18/08/2024 14:15</t>
  </si>
  <si>
    <t>18/08/2024 14:30</t>
  </si>
  <si>
    <t>18/08/2024 14:45</t>
  </si>
  <si>
    <t>18/08/2024 15:00</t>
  </si>
  <si>
    <t>18/08/2024 15:15</t>
  </si>
  <si>
    <t>18/08/2024 15:30</t>
  </si>
  <si>
    <t>18/08/2024 15:45</t>
  </si>
  <si>
    <t>18/08/2024 16:00</t>
  </si>
  <si>
    <t>18/08/2024 16:15</t>
  </si>
  <si>
    <t>18/08/2024 16:30</t>
  </si>
  <si>
    <t>18/08/2024 16:45</t>
  </si>
  <si>
    <t>18/08/2024 17:00</t>
  </si>
  <si>
    <t>18/08/2024 17:15</t>
  </si>
  <si>
    <t>18/08/2024 17:30</t>
  </si>
  <si>
    <t>18/08/2024 17:45</t>
  </si>
  <si>
    <t>18/08/2024 18:00</t>
  </si>
  <si>
    <t>18/08/2024 18:15</t>
  </si>
  <si>
    <t>18/08/2024 18:30</t>
  </si>
  <si>
    <t>18/08/2024 18:45</t>
  </si>
  <si>
    <t>18/08/2024 19:00</t>
  </si>
  <si>
    <t>18/08/2024 19:15</t>
  </si>
  <si>
    <t>18/08/2024 19:30</t>
  </si>
  <si>
    <t>18/08/2024 19:45</t>
  </si>
  <si>
    <t>18/08/2024 20:00</t>
  </si>
  <si>
    <t>18/08/2024 20:15</t>
  </si>
  <si>
    <t>18/08/2024 20:30</t>
  </si>
  <si>
    <t>18/08/2024 20:45</t>
  </si>
  <si>
    <t>18/08/2024 21:00</t>
  </si>
  <si>
    <t>18/08/2024 21:15</t>
  </si>
  <si>
    <t>18/08/2024 21:30</t>
  </si>
  <si>
    <t>18/08/2024 21:45</t>
  </si>
  <si>
    <t>18/08/2024 22:00</t>
  </si>
  <si>
    <t>18/08/2024 22:15</t>
  </si>
  <si>
    <t>18/08/2024 22:30</t>
  </si>
  <si>
    <t>18/08/2024 22:45</t>
  </si>
  <si>
    <t>18/08/2024 23:00</t>
  </si>
  <si>
    <t>18/08/2024 23:15</t>
  </si>
  <si>
    <t>18/08/2024 23:30</t>
  </si>
  <si>
    <t>18/08/2024 23:45</t>
  </si>
  <si>
    <t>18/08/2024 24:00</t>
  </si>
  <si>
    <t>19/08/2024 00:15</t>
  </si>
  <si>
    <t>19/08/2024 00:30</t>
  </si>
  <si>
    <t>19/08/2024 00:45</t>
  </si>
  <si>
    <t>19/08/2024 01:00</t>
  </si>
  <si>
    <t>19/08/2024 01:15</t>
  </si>
  <si>
    <t>19/08/2024 01:30</t>
  </si>
  <si>
    <t>19/08/2024 01:45</t>
  </si>
  <si>
    <t>19/08/2024 02:00</t>
  </si>
  <si>
    <t>19/08/2024 02:15</t>
  </si>
  <si>
    <t>19/08/2024 02:30</t>
  </si>
  <si>
    <t>19/08/2024 02:45</t>
  </si>
  <si>
    <t>19/08/2024 03:00</t>
  </si>
  <si>
    <t>19/08/2024 03:15</t>
  </si>
  <si>
    <t>19/08/2024 03:30</t>
  </si>
  <si>
    <t>19/08/2024 03:45</t>
  </si>
  <si>
    <t>19/08/2024 04:00</t>
  </si>
  <si>
    <t>19/08/2024 04:15</t>
  </si>
  <si>
    <t>19/08/2024 04:30</t>
  </si>
  <si>
    <t>19/08/2024 04:45</t>
  </si>
  <si>
    <t>19/08/2024 05:00</t>
  </si>
  <si>
    <t>19/08/2024 05:15</t>
  </si>
  <si>
    <t>19/08/2024 05:30</t>
  </si>
  <si>
    <t>19/08/2024 05:45</t>
  </si>
  <si>
    <t>19/08/2024 06:00</t>
  </si>
  <si>
    <t>19/08/2024 06:15</t>
  </si>
  <si>
    <t>19/08/2024 06:30</t>
  </si>
  <si>
    <t>19/08/2024 06:45</t>
  </si>
  <si>
    <t>19/08/2024 07:00</t>
  </si>
  <si>
    <t>19/08/2024 07:15</t>
  </si>
  <si>
    <t>19/08/2024 07:30</t>
  </si>
  <si>
    <t>19/08/2024 07:45</t>
  </si>
  <si>
    <t>19/08/2024 08:00</t>
  </si>
  <si>
    <t>19/08/2024 08:15</t>
  </si>
  <si>
    <t>19/08/2024 08:30</t>
  </si>
  <si>
    <t>19/08/2024 08:45</t>
  </si>
  <si>
    <t>19/08/2024 09:00</t>
  </si>
  <si>
    <t>19/08/2024 09:15</t>
  </si>
  <si>
    <t>19/08/2024 09:30</t>
  </si>
  <si>
    <t>19/08/2024 09:45</t>
  </si>
  <si>
    <t>19/08/2024 10:00</t>
  </si>
  <si>
    <t>19/08/2024 10:15</t>
  </si>
  <si>
    <t>19/08/2024 10:30</t>
  </si>
  <si>
    <t>19/08/2024 10:45</t>
  </si>
  <si>
    <t>19/08/2024 11:00</t>
  </si>
  <si>
    <t>19/08/2024 11:15</t>
  </si>
  <si>
    <t>19/08/2024 11:30</t>
  </si>
  <si>
    <t>19/08/2024 11:45</t>
  </si>
  <si>
    <t>19/08/2024 12:00</t>
  </si>
  <si>
    <t>19/08/2024 12:15</t>
  </si>
  <si>
    <t>19/08/2024 12:30</t>
  </si>
  <si>
    <t>19/08/2024 12:45</t>
  </si>
  <si>
    <t>19/08/2024 13:00</t>
  </si>
  <si>
    <t>19/08/2024 13:15</t>
  </si>
  <si>
    <t>19/08/2024 13:30</t>
  </si>
  <si>
    <t>19/08/2024 13:45</t>
  </si>
  <si>
    <t>19/08/2024 14:00</t>
  </si>
  <si>
    <t>19/08/2024 14:15</t>
  </si>
  <si>
    <t>19/08/2024 14:30</t>
  </si>
  <si>
    <t>19/08/2024 14:45</t>
  </si>
  <si>
    <t>19/08/2024 15:00</t>
  </si>
  <si>
    <t>19/08/2024 15:15</t>
  </si>
  <si>
    <t>19/08/2024 15:30</t>
  </si>
  <si>
    <t>19/08/2024 15:45</t>
  </si>
  <si>
    <t>19/08/2024 16:00</t>
  </si>
  <si>
    <t>19/08/2024 16:15</t>
  </si>
  <si>
    <t>19/08/2024 16:30</t>
  </si>
  <si>
    <t>19/08/2024 16:45</t>
  </si>
  <si>
    <t>19/08/2024 17:00</t>
  </si>
  <si>
    <t>19/08/2024 17:15</t>
  </si>
  <si>
    <t>19/08/2024 17:30</t>
  </si>
  <si>
    <t>19/08/2024 17:45</t>
  </si>
  <si>
    <t>19/08/2024 18:00</t>
  </si>
  <si>
    <t>19/08/2024 18:15</t>
  </si>
  <si>
    <t>19/08/2024 18:30</t>
  </si>
  <si>
    <t>19/08/2024 18:45</t>
  </si>
  <si>
    <t>19/08/2024 19:00</t>
  </si>
  <si>
    <t>19/08/2024 19:15</t>
  </si>
  <si>
    <t>19/08/2024 19:30</t>
  </si>
  <si>
    <t>19/08/2024 19:45</t>
  </si>
  <si>
    <t>19/08/2024 20:00</t>
  </si>
  <si>
    <t>19/08/2024 20:15</t>
  </si>
  <si>
    <t>19/08/2024 20:30</t>
  </si>
  <si>
    <t>19/08/2024 20:45</t>
  </si>
  <si>
    <t>19/08/2024 21:00</t>
  </si>
  <si>
    <t>19/08/2024 21:15</t>
  </si>
  <si>
    <t>19/08/2024 21:30</t>
  </si>
  <si>
    <t>19/08/2024 21:45</t>
  </si>
  <si>
    <t>19/08/2024 22:00</t>
  </si>
  <si>
    <t>19/08/2024 22:15</t>
  </si>
  <si>
    <t>19/08/2024 22:30</t>
  </si>
  <si>
    <t>19/08/2024 22:45</t>
  </si>
  <si>
    <t>19/08/2024 23:00</t>
  </si>
  <si>
    <t>19/08/2024 23:15</t>
  </si>
  <si>
    <t>19/08/2024 23:30</t>
  </si>
  <si>
    <t>19/08/2024 23:45</t>
  </si>
  <si>
    <t>19/08/2024 24:00</t>
  </si>
  <si>
    <t>20/08/2024 00:15</t>
  </si>
  <si>
    <t>20/08/2024 00:30</t>
  </si>
  <si>
    <t>20/08/2024 00:45</t>
  </si>
  <si>
    <t>20/08/2024 01:00</t>
  </si>
  <si>
    <t>20/08/2024 01:15</t>
  </si>
  <si>
    <t>20/08/2024 01:30</t>
  </si>
  <si>
    <t>20/08/2024 01:45</t>
  </si>
  <si>
    <t>20/08/2024 02:00</t>
  </si>
  <si>
    <t>20/08/2024 02:15</t>
  </si>
  <si>
    <t>20/08/2024 02:30</t>
  </si>
  <si>
    <t>20/08/2024 02:45</t>
  </si>
  <si>
    <t>20/08/2024 03:00</t>
  </si>
  <si>
    <t>20/08/2024 03:15</t>
  </si>
  <si>
    <t>20/08/2024 03:30</t>
  </si>
  <si>
    <t>20/08/2024 03:45</t>
  </si>
  <si>
    <t>20/08/2024 04:00</t>
  </si>
  <si>
    <t>20/08/2024 04:15</t>
  </si>
  <si>
    <t>20/08/2024 04:30</t>
  </si>
  <si>
    <t>20/08/2024 04:45</t>
  </si>
  <si>
    <t>20/08/2024 05:00</t>
  </si>
  <si>
    <t>20/08/2024 05:15</t>
  </si>
  <si>
    <t>20/08/2024 05:30</t>
  </si>
  <si>
    <t>20/08/2024 05:45</t>
  </si>
  <si>
    <t>20/08/2024 06:00</t>
  </si>
  <si>
    <t>20/08/2024 06:15</t>
  </si>
  <si>
    <t>20/08/2024 06:30</t>
  </si>
  <si>
    <t>20/08/2024 06:45</t>
  </si>
  <si>
    <t>20/08/2024 07:00</t>
  </si>
  <si>
    <t>20/08/2024 07:15</t>
  </si>
  <si>
    <t>20/08/2024 07:30</t>
  </si>
  <si>
    <t>20/08/2024 07:45</t>
  </si>
  <si>
    <t>20/08/2024 08:00</t>
  </si>
  <si>
    <t>20/08/2024 08:15</t>
  </si>
  <si>
    <t>20/08/2024 08:30</t>
  </si>
  <si>
    <t>20/08/2024 08:45</t>
  </si>
  <si>
    <t>20/08/2024 09:00</t>
  </si>
  <si>
    <t>20/08/2024 09:15</t>
  </si>
  <si>
    <t>20/08/2024 09:30</t>
  </si>
  <si>
    <t>20/08/2024 09:45</t>
  </si>
  <si>
    <t>20/08/2024 10:00</t>
  </si>
  <si>
    <t>20/08/2024 10:15</t>
  </si>
  <si>
    <t>20/08/2024 10:30</t>
  </si>
  <si>
    <t>20/08/2024 10:45</t>
  </si>
  <si>
    <t>20/08/2024 11:00</t>
  </si>
  <si>
    <t>20/08/2024 11:15</t>
  </si>
  <si>
    <t>20/08/2024 11:30</t>
  </si>
  <si>
    <t>20/08/2024 11:45</t>
  </si>
  <si>
    <t>20/08/2024 12:00</t>
  </si>
  <si>
    <t>20/08/2024 12:15</t>
  </si>
  <si>
    <t>20/08/2024 12:30</t>
  </si>
  <si>
    <t>20/08/2024 12:45</t>
  </si>
  <si>
    <t>20/08/2024 13:00</t>
  </si>
  <si>
    <t>20/08/2024 13:15</t>
  </si>
  <si>
    <t>20/08/2024 13:30</t>
  </si>
  <si>
    <t>20/08/2024 13:45</t>
  </si>
  <si>
    <t>20/08/2024 14:00</t>
  </si>
  <si>
    <t>20/08/2024 14:15</t>
  </si>
  <si>
    <t>20/08/2024 14:30</t>
  </si>
  <si>
    <t>20/08/2024 14:45</t>
  </si>
  <si>
    <t>20/08/2024 15:00</t>
  </si>
  <si>
    <t>20/08/2024 15:15</t>
  </si>
  <si>
    <t>20/08/2024 15:30</t>
  </si>
  <si>
    <t>20/08/2024 15:45</t>
  </si>
  <si>
    <t>20/08/2024 16:00</t>
  </si>
  <si>
    <t>20/08/2024 16:15</t>
  </si>
  <si>
    <t>20/08/2024 16:30</t>
  </si>
  <si>
    <t>20/08/2024 16:45</t>
  </si>
  <si>
    <t>20/08/2024 17:00</t>
  </si>
  <si>
    <t>20/08/2024 17:15</t>
  </si>
  <si>
    <t>20/08/2024 17:30</t>
  </si>
  <si>
    <t>20/08/2024 17:45</t>
  </si>
  <si>
    <t>20/08/2024 18:00</t>
  </si>
  <si>
    <t>20/08/2024 18:15</t>
  </si>
  <si>
    <t>20/08/2024 18:30</t>
  </si>
  <si>
    <t>20/08/2024 18:45</t>
  </si>
  <si>
    <t>20/08/2024 19:00</t>
  </si>
  <si>
    <t>20/08/2024 19:15</t>
  </si>
  <si>
    <t>20/08/2024 19:30</t>
  </si>
  <si>
    <t>20/08/2024 19:45</t>
  </si>
  <si>
    <t>20/08/2024 20:00</t>
  </si>
  <si>
    <t>20/08/2024 20:15</t>
  </si>
  <si>
    <t>20/08/2024 20:30</t>
  </si>
  <si>
    <t>20/08/2024 20:45</t>
  </si>
  <si>
    <t>20/08/2024 21:00</t>
  </si>
  <si>
    <t>20/08/2024 21:15</t>
  </si>
  <si>
    <t>20/08/2024 21:30</t>
  </si>
  <si>
    <t>20/08/2024 21:45</t>
  </si>
  <si>
    <t>20/08/2024 22:00</t>
  </si>
  <si>
    <t>20/08/2024 22:15</t>
  </si>
  <si>
    <t>20/08/2024 22:30</t>
  </si>
  <si>
    <t>20/08/2024 22:45</t>
  </si>
  <si>
    <t>20/08/2024 23:00</t>
  </si>
  <si>
    <t>20/08/2024 23:15</t>
  </si>
  <si>
    <t>20/08/2024 23:30</t>
  </si>
  <si>
    <t>20/08/2024 23:45</t>
  </si>
  <si>
    <t>20/08/2024 24:00</t>
  </si>
  <si>
    <t>21/08/2024 00:15</t>
  </si>
  <si>
    <t>21/08/2024 00:30</t>
  </si>
  <si>
    <t>21/08/2024 00:45</t>
  </si>
  <si>
    <t>21/08/2024 01:00</t>
  </si>
  <si>
    <t>21/08/2024 01:15</t>
  </si>
  <si>
    <t>21/08/2024 01:30</t>
  </si>
  <si>
    <t>21/08/2024 01:45</t>
  </si>
  <si>
    <t>21/08/2024 02:00</t>
  </si>
  <si>
    <t>21/08/2024 02:15</t>
  </si>
  <si>
    <t>21/08/2024 02:30</t>
  </si>
  <si>
    <t>21/08/2024 02:45</t>
  </si>
  <si>
    <t>21/08/2024 03:00</t>
  </si>
  <si>
    <t>21/08/2024 03:15</t>
  </si>
  <si>
    <t>21/08/2024 03:30</t>
  </si>
  <si>
    <t>21/08/2024 03:45</t>
  </si>
  <si>
    <t>21/08/2024 04:00</t>
  </si>
  <si>
    <t>21/08/2024 04:15</t>
  </si>
  <si>
    <t>21/08/2024 04:30</t>
  </si>
  <si>
    <t>21/08/2024 04:45</t>
  </si>
  <si>
    <t>21/08/2024 05:00</t>
  </si>
  <si>
    <t>21/08/2024 05:15</t>
  </si>
  <si>
    <t>21/08/2024 05:30</t>
  </si>
  <si>
    <t>21/08/2024 05:45</t>
  </si>
  <si>
    <t>21/08/2024 06:00</t>
  </si>
  <si>
    <t>21/08/2024 06:15</t>
  </si>
  <si>
    <t>21/08/2024 06:30</t>
  </si>
  <si>
    <t>21/08/2024 06:45</t>
  </si>
  <si>
    <t>21/08/2024 07:00</t>
  </si>
  <si>
    <t>21/08/2024 07:15</t>
  </si>
  <si>
    <t>21/08/2024 07:30</t>
  </si>
  <si>
    <t>21/08/2024 07:45</t>
  </si>
  <si>
    <t>21/08/2024 08:00</t>
  </si>
  <si>
    <t>21/08/2024 08:15</t>
  </si>
  <si>
    <t>21/08/2024 08:30</t>
  </si>
  <si>
    <t>21/08/2024 08:45</t>
  </si>
  <si>
    <t>21/08/2024 09:00</t>
  </si>
  <si>
    <t>21/08/2024 09:15</t>
  </si>
  <si>
    <t>21/08/2024 09:30</t>
  </si>
  <si>
    <t>21/08/2024 09:45</t>
  </si>
  <si>
    <t>21/08/2024 10:00</t>
  </si>
  <si>
    <t>21/08/2024 10:15</t>
  </si>
  <si>
    <t>21/08/2024 10:30</t>
  </si>
  <si>
    <t>21/08/2024 10:45</t>
  </si>
  <si>
    <t>21/08/2024 11:00</t>
  </si>
  <si>
    <t>21/08/2024 11:15</t>
  </si>
  <si>
    <t>21/08/2024 11:30</t>
  </si>
  <si>
    <t>21/08/2024 11:45</t>
  </si>
  <si>
    <t>21/08/2024 12:00</t>
  </si>
  <si>
    <t>21/08/2024 12:15</t>
  </si>
  <si>
    <t>21/08/2024 12:30</t>
  </si>
  <si>
    <t>21/08/2024 12:45</t>
  </si>
  <si>
    <t>21/08/2024 13:00</t>
  </si>
  <si>
    <t>21/08/2024 13:15</t>
  </si>
  <si>
    <t>21/08/2024 13:30</t>
  </si>
  <si>
    <t>21/08/2024 13:45</t>
  </si>
  <si>
    <t>21/08/2024 14:00</t>
  </si>
  <si>
    <t>21/08/2024 14:15</t>
  </si>
  <si>
    <t>21/08/2024 14:30</t>
  </si>
  <si>
    <t>21/08/2024 14:45</t>
  </si>
  <si>
    <t>21/08/2024 15:00</t>
  </si>
  <si>
    <t>21/08/2024 15:15</t>
  </si>
  <si>
    <t>21/08/2024 15:30</t>
  </si>
  <si>
    <t>21/08/2024 15:45</t>
  </si>
  <si>
    <t>21/08/2024 16:00</t>
  </si>
  <si>
    <t>21/08/2024 16:15</t>
  </si>
  <si>
    <t>21/08/2024 16:30</t>
  </si>
  <si>
    <t>21/08/2024 16:45</t>
  </si>
  <si>
    <t>21/08/2024 17:00</t>
  </si>
  <si>
    <t>21/08/2024 17:15</t>
  </si>
  <si>
    <t>21/08/2024 17:30</t>
  </si>
  <si>
    <t>21/08/2024 17:45</t>
  </si>
  <si>
    <t>21/08/2024 18:00</t>
  </si>
  <si>
    <t>21/08/2024 18:15</t>
  </si>
  <si>
    <t>21/08/2024 18:30</t>
  </si>
  <si>
    <t>21/08/2024 18:45</t>
  </si>
  <si>
    <t>21/08/2024 19:00</t>
  </si>
  <si>
    <t>21/08/2024 19:15</t>
  </si>
  <si>
    <t>21/08/2024 19:30</t>
  </si>
  <si>
    <t>21/08/2024 19:45</t>
  </si>
  <si>
    <t>21/08/2024 20:00</t>
  </si>
  <si>
    <t>21/08/2024 20:15</t>
  </si>
  <si>
    <t>21/08/2024 20:30</t>
  </si>
  <si>
    <t>21/08/2024 20:45</t>
  </si>
  <si>
    <t>21/08/2024 21:00</t>
  </si>
  <si>
    <t>21/08/2024 21:15</t>
  </si>
  <si>
    <t>21/08/2024 21:30</t>
  </si>
  <si>
    <t>21/08/2024 21:45</t>
  </si>
  <si>
    <t>21/08/2024 22:00</t>
  </si>
  <si>
    <t>21/08/2024 22:15</t>
  </si>
  <si>
    <t>21/08/2024 22:30</t>
  </si>
  <si>
    <t>21/08/2024 22:45</t>
  </si>
  <si>
    <t>21/08/2024 23:00</t>
  </si>
  <si>
    <t>21/08/2024 23:15</t>
  </si>
  <si>
    <t>21/08/2024 23:30</t>
  </si>
  <si>
    <t>21/08/2024 23:45</t>
  </si>
  <si>
    <t>21/08/2024 24:00</t>
  </si>
  <si>
    <t>22/08/2024 00:15</t>
  </si>
  <si>
    <t>22/08/2024 00:30</t>
  </si>
  <si>
    <t>22/08/2024 00:45</t>
  </si>
  <si>
    <t>22/08/2024 01:00</t>
  </si>
  <si>
    <t>22/08/2024 01:15</t>
  </si>
  <si>
    <t>22/08/2024 01:30</t>
  </si>
  <si>
    <t>22/08/2024 01:45</t>
  </si>
  <si>
    <t>22/08/2024 02:00</t>
  </si>
  <si>
    <t>22/08/2024 02:15</t>
  </si>
  <si>
    <t>22/08/2024 02:30</t>
  </si>
  <si>
    <t>22/08/2024 02:45</t>
  </si>
  <si>
    <t>22/08/2024 03:00</t>
  </si>
  <si>
    <t>22/08/2024 03:15</t>
  </si>
  <si>
    <t>22/08/2024 03:30</t>
  </si>
  <si>
    <t>22/08/2024 03:45</t>
  </si>
  <si>
    <t>22/08/2024 04:00</t>
  </si>
  <si>
    <t>22/08/2024 04:15</t>
  </si>
  <si>
    <t>22/08/2024 04:30</t>
  </si>
  <si>
    <t>22/08/2024 04:45</t>
  </si>
  <si>
    <t>22/08/2024 05:00</t>
  </si>
  <si>
    <t>22/08/2024 05:15</t>
  </si>
  <si>
    <t>22/08/2024 05:30</t>
  </si>
  <si>
    <t>22/08/2024 05:45</t>
  </si>
  <si>
    <t>22/08/2024 06:00</t>
  </si>
  <si>
    <t>22/08/2024 06:15</t>
  </si>
  <si>
    <t>22/08/2024 06:30</t>
  </si>
  <si>
    <t>22/08/2024 06:45</t>
  </si>
  <si>
    <t>22/08/2024 07:00</t>
  </si>
  <si>
    <t>22/08/2024 07:15</t>
  </si>
  <si>
    <t>22/08/2024 07:30</t>
  </si>
  <si>
    <t>22/08/2024 07:45</t>
  </si>
  <si>
    <t>22/08/2024 08:00</t>
  </si>
  <si>
    <t>22/08/2024 08:15</t>
  </si>
  <si>
    <t>22/08/2024 08:30</t>
  </si>
  <si>
    <t>22/08/2024 08:45</t>
  </si>
  <si>
    <t>22/08/2024 09:00</t>
  </si>
  <si>
    <t>22/08/2024 09:15</t>
  </si>
  <si>
    <t>22/08/2024 09:30</t>
  </si>
  <si>
    <t>22/08/2024 09:45</t>
  </si>
  <si>
    <t>22/08/2024 10:00</t>
  </si>
  <si>
    <t>22/08/2024 10:15</t>
  </si>
  <si>
    <t>22/08/2024 10:30</t>
  </si>
  <si>
    <t>22/08/2024 10:45</t>
  </si>
  <si>
    <t>22/08/2024 11:00</t>
  </si>
  <si>
    <t>22/08/2024 11:15</t>
  </si>
  <si>
    <t>22/08/2024 11:30</t>
  </si>
  <si>
    <t>22/08/2024 11:45</t>
  </si>
  <si>
    <t>22/08/2024 12:00</t>
  </si>
  <si>
    <t>22/08/2024 12:15</t>
  </si>
  <si>
    <t>22/08/2024 12:30</t>
  </si>
  <si>
    <t>22/08/2024 12:45</t>
  </si>
  <si>
    <t>22/08/2024 13:00</t>
  </si>
  <si>
    <t>22/08/2024 13:15</t>
  </si>
  <si>
    <t>22/08/2024 13:30</t>
  </si>
  <si>
    <t>22/08/2024 13:45</t>
  </si>
  <si>
    <t>22/08/2024 14:00</t>
  </si>
  <si>
    <t>22/08/2024 14:15</t>
  </si>
  <si>
    <t>22/08/2024 14:30</t>
  </si>
  <si>
    <t>22/08/2024 14:45</t>
  </si>
  <si>
    <t>22/08/2024 15:00</t>
  </si>
  <si>
    <t>22/08/2024 15:15</t>
  </si>
  <si>
    <t>22/08/2024 15:30</t>
  </si>
  <si>
    <t>22/08/2024 15:45</t>
  </si>
  <si>
    <t>22/08/2024 16:00</t>
  </si>
  <si>
    <t>22/08/2024 16:15</t>
  </si>
  <si>
    <t>22/08/2024 16:30</t>
  </si>
  <si>
    <t>22/08/2024 16:45</t>
  </si>
  <si>
    <t>22/08/2024 17:00</t>
  </si>
  <si>
    <t>22/08/2024 17:15</t>
  </si>
  <si>
    <t>22/08/2024 17:30</t>
  </si>
  <si>
    <t>22/08/2024 17:45</t>
  </si>
  <si>
    <t>22/08/2024 18:00</t>
  </si>
  <si>
    <t>22/08/2024 18:15</t>
  </si>
  <si>
    <t>22/08/2024 18:30</t>
  </si>
  <si>
    <t>22/08/2024 18:45</t>
  </si>
  <si>
    <t>22/08/2024 19:00</t>
  </si>
  <si>
    <t>22/08/2024 19:15</t>
  </si>
  <si>
    <t>22/08/2024 19:30</t>
  </si>
  <si>
    <t>22/08/2024 19:45</t>
  </si>
  <si>
    <t>22/08/2024 20:00</t>
  </si>
  <si>
    <t>22/08/2024 20:15</t>
  </si>
  <si>
    <t>22/08/2024 20:30</t>
  </si>
  <si>
    <t>22/08/2024 20:45</t>
  </si>
  <si>
    <t>22/08/2024 21:00</t>
  </si>
  <si>
    <t>22/08/2024 21:15</t>
  </si>
  <si>
    <t>22/08/2024 21:30</t>
  </si>
  <si>
    <t>22/08/2024 21:45</t>
  </si>
  <si>
    <t>22/08/2024 22:00</t>
  </si>
  <si>
    <t>22/08/2024 22:15</t>
  </si>
  <si>
    <t>22/08/2024 22:30</t>
  </si>
  <si>
    <t>22/08/2024 22:45</t>
  </si>
  <si>
    <t>22/08/2024 23:00</t>
  </si>
  <si>
    <t>22/08/2024 23:15</t>
  </si>
  <si>
    <t>22/08/2024 23:30</t>
  </si>
  <si>
    <t>22/08/2024 23:45</t>
  </si>
  <si>
    <t>22/08/2024 24:00</t>
  </si>
  <si>
    <t>23/08/2024 00:15</t>
  </si>
  <si>
    <t>23/08/2024 00:30</t>
  </si>
  <si>
    <t>23/08/2024 00:45</t>
  </si>
  <si>
    <t>23/08/2024 01:00</t>
  </si>
  <si>
    <t>23/08/2024 01:15</t>
  </si>
  <si>
    <t>23/08/2024 01:30</t>
  </si>
  <si>
    <t>23/08/2024 01:45</t>
  </si>
  <si>
    <t>23/08/2024 02:00</t>
  </si>
  <si>
    <t>23/08/2024 02:15</t>
  </si>
  <si>
    <t>23/08/2024 02:30</t>
  </si>
  <si>
    <t>23/08/2024 02:45</t>
  </si>
  <si>
    <t>23/08/2024 03:00</t>
  </si>
  <si>
    <t>23/08/2024 03:15</t>
  </si>
  <si>
    <t>23/08/2024 03:30</t>
  </si>
  <si>
    <t>23/08/2024 03:45</t>
  </si>
  <si>
    <t>23/08/2024 04:00</t>
  </si>
  <si>
    <t>23/08/2024 04:15</t>
  </si>
  <si>
    <t>23/08/2024 04:30</t>
  </si>
  <si>
    <t>23/08/2024 04:45</t>
  </si>
  <si>
    <t>23/08/2024 05:00</t>
  </si>
  <si>
    <t>23/08/2024 05:15</t>
  </si>
  <si>
    <t>23/08/2024 05:30</t>
  </si>
  <si>
    <t>23/08/2024 05:45</t>
  </si>
  <si>
    <t>23/08/2024 06:00</t>
  </si>
  <si>
    <t>23/08/2024 06:15</t>
  </si>
  <si>
    <t>23/08/2024 06:30</t>
  </si>
  <si>
    <t>23/08/2024 06:45</t>
  </si>
  <si>
    <t>23/08/2024 07:00</t>
  </si>
  <si>
    <t>23/08/2024 07:15</t>
  </si>
  <si>
    <t>23/08/2024 07:30</t>
  </si>
  <si>
    <t>23/08/2024 07:45</t>
  </si>
  <si>
    <t>23/08/2024 08:00</t>
  </si>
  <si>
    <t>23/08/2024 08:15</t>
  </si>
  <si>
    <t>23/08/2024 08:30</t>
  </si>
  <si>
    <t>23/08/2024 08:45</t>
  </si>
  <si>
    <t>23/08/2024 09:00</t>
  </si>
  <si>
    <t>23/08/2024 09:15</t>
  </si>
  <si>
    <t>23/08/2024 09:30</t>
  </si>
  <si>
    <t>23/08/2024 09:45</t>
  </si>
  <si>
    <t>23/08/2024 10:00</t>
  </si>
  <si>
    <t>23/08/2024 10:15</t>
  </si>
  <si>
    <t>23/08/2024 10:30</t>
  </si>
  <si>
    <t>23/08/2024 10:45</t>
  </si>
  <si>
    <t>23/08/2024 11:00</t>
  </si>
  <si>
    <t>23/08/2024 11:15</t>
  </si>
  <si>
    <t>23/08/2024 11:30</t>
  </si>
  <si>
    <t>23/08/2024 11:45</t>
  </si>
  <si>
    <t>23/08/2024 12:00</t>
  </si>
  <si>
    <t>23/08/2024 12:15</t>
  </si>
  <si>
    <t>23/08/2024 12:30</t>
  </si>
  <si>
    <t>23/08/2024 12:45</t>
  </si>
  <si>
    <t>23/08/2024 13:00</t>
  </si>
  <si>
    <t>23/08/2024 13:15</t>
  </si>
  <si>
    <t>23/08/2024 13:30</t>
  </si>
  <si>
    <t>23/08/2024 13:45</t>
  </si>
  <si>
    <t>23/08/2024 14:00</t>
  </si>
  <si>
    <t>23/08/2024 14:15</t>
  </si>
  <si>
    <t>23/08/2024 14:30</t>
  </si>
  <si>
    <t>23/08/2024 14:45</t>
  </si>
  <si>
    <t>23/08/2024 15:00</t>
  </si>
  <si>
    <t>23/08/2024 15:15</t>
  </si>
  <si>
    <t>23/08/2024 15:30</t>
  </si>
  <si>
    <t>23/08/2024 15:45</t>
  </si>
  <si>
    <t>23/08/2024 16:00</t>
  </si>
  <si>
    <t>23/08/2024 16:15</t>
  </si>
  <si>
    <t>23/08/2024 16:30</t>
  </si>
  <si>
    <t>23/08/2024 16:45</t>
  </si>
  <si>
    <t>23/08/2024 17:00</t>
  </si>
  <si>
    <t>23/08/2024 17:15</t>
  </si>
  <si>
    <t>23/08/2024 17:30</t>
  </si>
  <si>
    <t>23/08/2024 17:45</t>
  </si>
  <si>
    <t>23/08/2024 18:00</t>
  </si>
  <si>
    <t>23/08/2024 18:15</t>
  </si>
  <si>
    <t>23/08/2024 18:30</t>
  </si>
  <si>
    <t>23/08/2024 18:45</t>
  </si>
  <si>
    <t>23/08/2024 19:00</t>
  </si>
  <si>
    <t>23/08/2024 19:15</t>
  </si>
  <si>
    <t>23/08/2024 19:30</t>
  </si>
  <si>
    <t>23/08/2024 19:45</t>
  </si>
  <si>
    <t>23/08/2024 20:00</t>
  </si>
  <si>
    <t>23/08/2024 20:15</t>
  </si>
  <si>
    <t>23/08/2024 20:30</t>
  </si>
  <si>
    <t>23/08/2024 20:45</t>
  </si>
  <si>
    <t>23/08/2024 21:00</t>
  </si>
  <si>
    <t>23/08/2024 21:15</t>
  </si>
  <si>
    <t>23/08/2024 21:30</t>
  </si>
  <si>
    <t>23/08/2024 21:45</t>
  </si>
  <si>
    <t>23/08/2024 22:00</t>
  </si>
  <si>
    <t>23/08/2024 22:15</t>
  </si>
  <si>
    <t>23/08/2024 22:30</t>
  </si>
  <si>
    <t>23/08/2024 22:45</t>
  </si>
  <si>
    <t>23/08/2024 23:00</t>
  </si>
  <si>
    <t>23/08/2024 23:15</t>
  </si>
  <si>
    <t>23/08/2024 23:30</t>
  </si>
  <si>
    <t>23/08/2024 23:45</t>
  </si>
  <si>
    <t>23/08/2024 24:00</t>
  </si>
  <si>
    <t>24/08/2024 00:15</t>
  </si>
  <si>
    <t>24/08/2024 00:30</t>
  </si>
  <si>
    <t>24/08/2024 00:45</t>
  </si>
  <si>
    <t>24/08/2024 01:00</t>
  </si>
  <si>
    <t>24/08/2024 01:15</t>
  </si>
  <si>
    <t>24/08/2024 01:30</t>
  </si>
  <si>
    <t>24/08/2024 01:45</t>
  </si>
  <si>
    <t>24/08/2024 02:00</t>
  </si>
  <si>
    <t>24/08/2024 02:15</t>
  </si>
  <si>
    <t>24/08/2024 02:30</t>
  </si>
  <si>
    <t>24/08/2024 02:45</t>
  </si>
  <si>
    <t>24/08/2024 03:00</t>
  </si>
  <si>
    <t>24/08/2024 03:15</t>
  </si>
  <si>
    <t>24/08/2024 03:30</t>
  </si>
  <si>
    <t>24/08/2024 03:45</t>
  </si>
  <si>
    <t>24/08/2024 04:00</t>
  </si>
  <si>
    <t>24/08/2024 04:15</t>
  </si>
  <si>
    <t>24/08/2024 04:30</t>
  </si>
  <si>
    <t>24/08/2024 04:45</t>
  </si>
  <si>
    <t>24/08/2024 05:00</t>
  </si>
  <si>
    <t>24/08/2024 05:15</t>
  </si>
  <si>
    <t>24/08/2024 05:30</t>
  </si>
  <si>
    <t>24/08/2024 05:45</t>
  </si>
  <si>
    <t>24/08/2024 06:00</t>
  </si>
  <si>
    <t>24/08/2024 06:15</t>
  </si>
  <si>
    <t>24/08/2024 06:30</t>
  </si>
  <si>
    <t>24/08/2024 06:45</t>
  </si>
  <si>
    <t>24/08/2024 07:00</t>
  </si>
  <si>
    <t>24/08/2024 07:15</t>
  </si>
  <si>
    <t>24/08/2024 07:30</t>
  </si>
  <si>
    <t>24/08/2024 07:45</t>
  </si>
  <si>
    <t>24/08/2024 08:00</t>
  </si>
  <si>
    <t>24/08/2024 08:15</t>
  </si>
  <si>
    <t>24/08/2024 08:30</t>
  </si>
  <si>
    <t>24/08/2024 08:45</t>
  </si>
  <si>
    <t>24/08/2024 09:00</t>
  </si>
  <si>
    <t>24/08/2024 09:15</t>
  </si>
  <si>
    <t>24/08/2024 09:30</t>
  </si>
  <si>
    <t>24/08/2024 09:45</t>
  </si>
  <si>
    <t>24/08/2024 10:00</t>
  </si>
  <si>
    <t>24/08/2024 10:15</t>
  </si>
  <si>
    <t>24/08/2024 10:30</t>
  </si>
  <si>
    <t>24/08/2024 10:45</t>
  </si>
  <si>
    <t>24/08/2024 11:00</t>
  </si>
  <si>
    <t>24/08/2024 11:15</t>
  </si>
  <si>
    <t>24/08/2024 11:30</t>
  </si>
  <si>
    <t>24/08/2024 11:45</t>
  </si>
  <si>
    <t>24/08/2024 12:00</t>
  </si>
  <si>
    <t>24/08/2024 12:15</t>
  </si>
  <si>
    <t>24/08/2024 12:30</t>
  </si>
  <si>
    <t>24/08/2024 12:45</t>
  </si>
  <si>
    <t>24/08/2024 13:00</t>
  </si>
  <si>
    <t>24/08/2024 13:15</t>
  </si>
  <si>
    <t>24/08/2024 13:30</t>
  </si>
  <si>
    <t>24/08/2024 13:45</t>
  </si>
  <si>
    <t>24/08/2024 14:00</t>
  </si>
  <si>
    <t>24/08/2024 14:15</t>
  </si>
  <si>
    <t>24/08/2024 14:30</t>
  </si>
  <si>
    <t>24/08/2024 14:45</t>
  </si>
  <si>
    <t>24/08/2024 15:00</t>
  </si>
  <si>
    <t>24/08/2024 15:15</t>
  </si>
  <si>
    <t>24/08/2024 15:30</t>
  </si>
  <si>
    <t>24/08/2024 15:45</t>
  </si>
  <si>
    <t>24/08/2024 16:00</t>
  </si>
  <si>
    <t>24/08/2024 16:15</t>
  </si>
  <si>
    <t>24/08/2024 16:30</t>
  </si>
  <si>
    <t>24/08/2024 16:45</t>
  </si>
  <si>
    <t>24/08/2024 17:00</t>
  </si>
  <si>
    <t>24/08/2024 17:15</t>
  </si>
  <si>
    <t>24/08/2024 17:30</t>
  </si>
  <si>
    <t>24/08/2024 17:45</t>
  </si>
  <si>
    <t>24/08/2024 18:00</t>
  </si>
  <si>
    <t>24/08/2024 18:15</t>
  </si>
  <si>
    <t>24/08/2024 18:30</t>
  </si>
  <si>
    <t>24/08/2024 18:45</t>
  </si>
  <si>
    <t>24/08/2024 19:00</t>
  </si>
  <si>
    <t>24/08/2024 19:15</t>
  </si>
  <si>
    <t>24/08/2024 19:30</t>
  </si>
  <si>
    <t>24/08/2024 19:45</t>
  </si>
  <si>
    <t>24/08/2024 20:00</t>
  </si>
  <si>
    <t>24/08/2024 20:15</t>
  </si>
  <si>
    <t>24/08/2024 20:30</t>
  </si>
  <si>
    <t>24/08/2024 20:45</t>
  </si>
  <si>
    <t>24/08/2024 21:00</t>
  </si>
  <si>
    <t>24/08/2024 21:15</t>
  </si>
  <si>
    <t>24/08/2024 21:30</t>
  </si>
  <si>
    <t>24/08/2024 21:45</t>
  </si>
  <si>
    <t>24/08/2024 22:00</t>
  </si>
  <si>
    <t>24/08/2024 22:15</t>
  </si>
  <si>
    <t>24/08/2024 22:30</t>
  </si>
  <si>
    <t>24/08/2024 22:45</t>
  </si>
  <si>
    <t>24/08/2024 23:00</t>
  </si>
  <si>
    <t>24/08/2024 23:15</t>
  </si>
  <si>
    <t>24/08/2024 23:30</t>
  </si>
  <si>
    <t>24/08/2024 23:45</t>
  </si>
  <si>
    <t>24/08/2024 24:00</t>
  </si>
  <si>
    <t>25/08/2024 00:15</t>
  </si>
  <si>
    <t>25/08/2024 00:30</t>
  </si>
  <si>
    <t>25/08/2024 00:45</t>
  </si>
  <si>
    <t>25/08/2024 01:00</t>
  </si>
  <si>
    <t>25/08/2024 01:15</t>
  </si>
  <si>
    <t>25/08/2024 01:30</t>
  </si>
  <si>
    <t>25/08/2024 01:45</t>
  </si>
  <si>
    <t>25/08/2024 02:00</t>
  </si>
  <si>
    <t>25/08/2024 02:15</t>
  </si>
  <si>
    <t>25/08/2024 02:30</t>
  </si>
  <si>
    <t>25/08/2024 02:45</t>
  </si>
  <si>
    <t>25/08/2024 03:00</t>
  </si>
  <si>
    <t>25/08/2024 03:15</t>
  </si>
  <si>
    <t>25/08/2024 03:30</t>
  </si>
  <si>
    <t>25/08/2024 03:45</t>
  </si>
  <si>
    <t>25/08/2024 04:00</t>
  </si>
  <si>
    <t>25/08/2024 04:15</t>
  </si>
  <si>
    <t>25/08/2024 04:30</t>
  </si>
  <si>
    <t>25/08/2024 04:45</t>
  </si>
  <si>
    <t>25/08/2024 05:00</t>
  </si>
  <si>
    <t>25/08/2024 05:15</t>
  </si>
  <si>
    <t>25/08/2024 05:30</t>
  </si>
  <si>
    <t>25/08/2024 05:45</t>
  </si>
  <si>
    <t>25/08/2024 06:00</t>
  </si>
  <si>
    <t>25/08/2024 06:15</t>
  </si>
  <si>
    <t>25/08/2024 06:30</t>
  </si>
  <si>
    <t>25/08/2024 06:45</t>
  </si>
  <si>
    <t>25/08/2024 07:00</t>
  </si>
  <si>
    <t>25/08/2024 07:15</t>
  </si>
  <si>
    <t>25/08/2024 07:30</t>
  </si>
  <si>
    <t>25/08/2024 07:45</t>
  </si>
  <si>
    <t>25/08/2024 08:00</t>
  </si>
  <si>
    <t>25/08/2024 08:15</t>
  </si>
  <si>
    <t>25/08/2024 08:30</t>
  </si>
  <si>
    <t>25/08/2024 08:45</t>
  </si>
  <si>
    <t>25/08/2024 09:00</t>
  </si>
  <si>
    <t>25/08/2024 09:15</t>
  </si>
  <si>
    <t>25/08/2024 09:30</t>
  </si>
  <si>
    <t>25/08/2024 09:45</t>
  </si>
  <si>
    <t>25/08/2024 10:00</t>
  </si>
  <si>
    <t>25/08/2024 10:15</t>
  </si>
  <si>
    <t>25/08/2024 10:30</t>
  </si>
  <si>
    <t>25/08/2024 10:45</t>
  </si>
  <si>
    <t>25/08/2024 11:00</t>
  </si>
  <si>
    <t>25/08/2024 11:15</t>
  </si>
  <si>
    <t>25/08/2024 11:30</t>
  </si>
  <si>
    <t>25/08/2024 11:45</t>
  </si>
  <si>
    <t>25/08/2024 12:00</t>
  </si>
  <si>
    <t>25/08/2024 12:15</t>
  </si>
  <si>
    <t>25/08/2024 12:30</t>
  </si>
  <si>
    <t>25/08/2024 12:45</t>
  </si>
  <si>
    <t>25/08/2024 13:00</t>
  </si>
  <si>
    <t>25/08/2024 13:15</t>
  </si>
  <si>
    <t>25/08/2024 13:30</t>
  </si>
  <si>
    <t>25/08/2024 13:45</t>
  </si>
  <si>
    <t>25/08/2024 14:00</t>
  </si>
  <si>
    <t>25/08/2024 14:15</t>
  </si>
  <si>
    <t>25/08/2024 14:30</t>
  </si>
  <si>
    <t>25/08/2024 14:45</t>
  </si>
  <si>
    <t>25/08/2024 15:00</t>
  </si>
  <si>
    <t>25/08/2024 15:15</t>
  </si>
  <si>
    <t>25/08/2024 15:30</t>
  </si>
  <si>
    <t>25/08/2024 15:45</t>
  </si>
  <si>
    <t>25/08/2024 16:00</t>
  </si>
  <si>
    <t>25/08/2024 16:15</t>
  </si>
  <si>
    <t>25/08/2024 16:30</t>
  </si>
  <si>
    <t>25/08/2024 16:45</t>
  </si>
  <si>
    <t>25/08/2024 17:00</t>
  </si>
  <si>
    <t>25/08/2024 17:15</t>
  </si>
  <si>
    <t>25/08/2024 17:30</t>
  </si>
  <si>
    <t>25/08/2024 17:45</t>
  </si>
  <si>
    <t>25/08/2024 18:00</t>
  </si>
  <si>
    <t>25/08/2024 18:15</t>
  </si>
  <si>
    <t>25/08/2024 18:30</t>
  </si>
  <si>
    <t>25/08/2024 18:45</t>
  </si>
  <si>
    <t>25/08/2024 19:00</t>
  </si>
  <si>
    <t>25/08/2024 19:15</t>
  </si>
  <si>
    <t>25/08/2024 19:30</t>
  </si>
  <si>
    <t>25/08/2024 19:45</t>
  </si>
  <si>
    <t>25/08/2024 20:00</t>
  </si>
  <si>
    <t>25/08/2024 20:15</t>
  </si>
  <si>
    <t>25/08/2024 20:30</t>
  </si>
  <si>
    <t>25/08/2024 20:45</t>
  </si>
  <si>
    <t>25/08/2024 21:00</t>
  </si>
  <si>
    <t>25/08/2024 21:15</t>
  </si>
  <si>
    <t>25/08/2024 21:30</t>
  </si>
  <si>
    <t>25/08/2024 21:45</t>
  </si>
  <si>
    <t>25/08/2024 22:00</t>
  </si>
  <si>
    <t>25/08/2024 22:15</t>
  </si>
  <si>
    <t>25/08/2024 22:30</t>
  </si>
  <si>
    <t>25/08/2024 22:45</t>
  </si>
  <si>
    <t>25/08/2024 23:00</t>
  </si>
  <si>
    <t>25/08/2024 23:15</t>
  </si>
  <si>
    <t>25/08/2024 23:30</t>
  </si>
  <si>
    <t>25/08/2024 23:45</t>
  </si>
  <si>
    <t>25/08/2024 24:00</t>
  </si>
  <si>
    <t>26/08/2024 00:15</t>
  </si>
  <si>
    <t>26/08/2024 00:30</t>
  </si>
  <si>
    <t>26/08/2024 00:45</t>
  </si>
  <si>
    <t>26/08/2024 01:00</t>
  </si>
  <si>
    <t>26/08/2024 01:15</t>
  </si>
  <si>
    <t>26/08/2024 01:30</t>
  </si>
  <si>
    <t>26/08/2024 01:45</t>
  </si>
  <si>
    <t>26/08/2024 02:00</t>
  </si>
  <si>
    <t>26/08/2024 02:15</t>
  </si>
  <si>
    <t>26/08/2024 02:30</t>
  </si>
  <si>
    <t>26/08/2024 02:45</t>
  </si>
  <si>
    <t>26/08/2024 03:00</t>
  </si>
  <si>
    <t>26/08/2024 03:15</t>
  </si>
  <si>
    <t>26/08/2024 03:30</t>
  </si>
  <si>
    <t>26/08/2024 03:45</t>
  </si>
  <si>
    <t>26/08/2024 04:00</t>
  </si>
  <si>
    <t>26/08/2024 04:15</t>
  </si>
  <si>
    <t>26/08/2024 04:30</t>
  </si>
  <si>
    <t>26/08/2024 04:45</t>
  </si>
  <si>
    <t>26/08/2024 05:00</t>
  </si>
  <si>
    <t>26/08/2024 05:15</t>
  </si>
  <si>
    <t>26/08/2024 05:30</t>
  </si>
  <si>
    <t>26/08/2024 05:45</t>
  </si>
  <si>
    <t>26/08/2024 06:00</t>
  </si>
  <si>
    <t>26/08/2024 06:15</t>
  </si>
  <si>
    <t>26/08/2024 06:30</t>
  </si>
  <si>
    <t>26/08/2024 06:45</t>
  </si>
  <si>
    <t>26/08/2024 07:00</t>
  </si>
  <si>
    <t>26/08/2024 07:15</t>
  </si>
  <si>
    <t>26/08/2024 07:30</t>
  </si>
  <si>
    <t>26/08/2024 07:45</t>
  </si>
  <si>
    <t>26/08/2024 08:00</t>
  </si>
  <si>
    <t>26/08/2024 08:15</t>
  </si>
  <si>
    <t>26/08/2024 08:30</t>
  </si>
  <si>
    <t>26/08/2024 08:45</t>
  </si>
  <si>
    <t>26/08/2024 09:00</t>
  </si>
  <si>
    <t>26/08/2024 09:15</t>
  </si>
  <si>
    <t>26/08/2024 09:30</t>
  </si>
  <si>
    <t>26/08/2024 09:45</t>
  </si>
  <si>
    <t>26/08/2024 10:00</t>
  </si>
  <si>
    <t>26/08/2024 10:15</t>
  </si>
  <si>
    <t>26/08/2024 10:30</t>
  </si>
  <si>
    <t>26/08/2024 10:45</t>
  </si>
  <si>
    <t>26/08/2024 11:00</t>
  </si>
  <si>
    <t>26/08/2024 11:15</t>
  </si>
  <si>
    <t>26/08/2024 11:30</t>
  </si>
  <si>
    <t>26/08/2024 11:45</t>
  </si>
  <si>
    <t>26/08/2024 12:00</t>
  </si>
  <si>
    <t>26/08/2024 12:15</t>
  </si>
  <si>
    <t>26/08/2024 12:30</t>
  </si>
  <si>
    <t>26/08/2024 12:45</t>
  </si>
  <si>
    <t>26/08/2024 13:00</t>
  </si>
  <si>
    <t>26/08/2024 13:15</t>
  </si>
  <si>
    <t>26/08/2024 13:30</t>
  </si>
  <si>
    <t>26/08/2024 13:45</t>
  </si>
  <si>
    <t>26/08/2024 14:00</t>
  </si>
  <si>
    <t>26/08/2024 14:15</t>
  </si>
  <si>
    <t>26/08/2024 14:30</t>
  </si>
  <si>
    <t>26/08/2024 14:45</t>
  </si>
  <si>
    <t>26/08/2024 15:00</t>
  </si>
  <si>
    <t>26/08/2024 15:15</t>
  </si>
  <si>
    <t>26/08/2024 15:30</t>
  </si>
  <si>
    <t>26/08/2024 15:45</t>
  </si>
  <si>
    <t>26/08/2024 16:00</t>
  </si>
  <si>
    <t>26/08/2024 16:15</t>
  </si>
  <si>
    <t>26/08/2024 16:30</t>
  </si>
  <si>
    <t>26/08/2024 16:45</t>
  </si>
  <si>
    <t>26/08/2024 17:00</t>
  </si>
  <si>
    <t>26/08/2024 17:15</t>
  </si>
  <si>
    <t>26/08/2024 17:30</t>
  </si>
  <si>
    <t>26/08/2024 17:45</t>
  </si>
  <si>
    <t>26/08/2024 18:00</t>
  </si>
  <si>
    <t>26/08/2024 18:15</t>
  </si>
  <si>
    <t>26/08/2024 18:30</t>
  </si>
  <si>
    <t>26/08/2024 18:45</t>
  </si>
  <si>
    <t>26/08/2024 19:00</t>
  </si>
  <si>
    <t>26/08/2024 19:15</t>
  </si>
  <si>
    <t>26/08/2024 19:30</t>
  </si>
  <si>
    <t>26/08/2024 19:45</t>
  </si>
  <si>
    <t>26/08/2024 20:00</t>
  </si>
  <si>
    <t>26/08/2024 20:15</t>
  </si>
  <si>
    <t>26/08/2024 20:30</t>
  </si>
  <si>
    <t>26/08/2024 20:45</t>
  </si>
  <si>
    <t>26/08/2024 21:00</t>
  </si>
  <si>
    <t>26/08/2024 21:15</t>
  </si>
  <si>
    <t>26/08/2024 21:30</t>
  </si>
  <si>
    <t>26/08/2024 21:45</t>
  </si>
  <si>
    <t>26/08/2024 22:00</t>
  </si>
  <si>
    <t>26/08/2024 22:15</t>
  </si>
  <si>
    <t>26/08/2024 22:30</t>
  </si>
  <si>
    <t>26/08/2024 22:45</t>
  </si>
  <si>
    <t>26/08/2024 23:00</t>
  </si>
  <si>
    <t>26/08/2024 23:15</t>
  </si>
  <si>
    <t>26/08/2024 23:30</t>
  </si>
  <si>
    <t>26/08/2024 23:45</t>
  </si>
  <si>
    <t>26/08/2024 24:00</t>
  </si>
  <si>
    <t>27/08/2024 00:15</t>
  </si>
  <si>
    <t>27/08/2024 00:30</t>
  </si>
  <si>
    <t>27/08/2024 00:45</t>
  </si>
  <si>
    <t>27/08/2024 01:00</t>
  </si>
  <si>
    <t>27/08/2024 01:15</t>
  </si>
  <si>
    <t>27/08/2024 01:30</t>
  </si>
  <si>
    <t>27/08/2024 01:45</t>
  </si>
  <si>
    <t>27/08/2024 02:00</t>
  </si>
  <si>
    <t>27/08/2024 02:15</t>
  </si>
  <si>
    <t>27/08/2024 02:30</t>
  </si>
  <si>
    <t>27/08/2024 02:45</t>
  </si>
  <si>
    <t>27/08/2024 03:00</t>
  </si>
  <si>
    <t>27/08/2024 03:15</t>
  </si>
  <si>
    <t>27/08/2024 03:30</t>
  </si>
  <si>
    <t>27/08/2024 03:45</t>
  </si>
  <si>
    <t>27/08/2024 04:00</t>
  </si>
  <si>
    <t>27/08/2024 04:15</t>
  </si>
  <si>
    <t>27/08/2024 04:30</t>
  </si>
  <si>
    <t>27/08/2024 04:45</t>
  </si>
  <si>
    <t>27/08/2024 05:00</t>
  </si>
  <si>
    <t>27/08/2024 05:15</t>
  </si>
  <si>
    <t>27/08/2024 05:30</t>
  </si>
  <si>
    <t>27/08/2024 05:45</t>
  </si>
  <si>
    <t>27/08/2024 06:00</t>
  </si>
  <si>
    <t>27/08/2024 06:15</t>
  </si>
  <si>
    <t>27/08/2024 06:30</t>
  </si>
  <si>
    <t>27/08/2024 06:45</t>
  </si>
  <si>
    <t>27/08/2024 07:00</t>
  </si>
  <si>
    <t>27/08/2024 07:15</t>
  </si>
  <si>
    <t>27/08/2024 07:30</t>
  </si>
  <si>
    <t>27/08/2024 07:45</t>
  </si>
  <si>
    <t>27/08/2024 08:00</t>
  </si>
  <si>
    <t>27/08/2024 08:15</t>
  </si>
  <si>
    <t>27/08/2024 08:30</t>
  </si>
  <si>
    <t>27/08/2024 08:45</t>
  </si>
  <si>
    <t>27/08/2024 09:00</t>
  </si>
  <si>
    <t>27/08/2024 09:15</t>
  </si>
  <si>
    <t>27/08/2024 09:30</t>
  </si>
  <si>
    <t>27/08/2024 09:45</t>
  </si>
  <si>
    <t>27/08/2024 10:00</t>
  </si>
  <si>
    <t>27/08/2024 10:15</t>
  </si>
  <si>
    <t>27/08/2024 10:30</t>
  </si>
  <si>
    <t>27/08/2024 10:45</t>
  </si>
  <si>
    <t>27/08/2024 11:00</t>
  </si>
  <si>
    <t>27/08/2024 11:15</t>
  </si>
  <si>
    <t>27/08/2024 11:30</t>
  </si>
  <si>
    <t>27/08/2024 11:45</t>
  </si>
  <si>
    <t>27/08/2024 12:00</t>
  </si>
  <si>
    <t>27/08/2024 12:15</t>
  </si>
  <si>
    <t>27/08/2024 12:30</t>
  </si>
  <si>
    <t>27/08/2024 12:45</t>
  </si>
  <si>
    <t>27/08/2024 13:00</t>
  </si>
  <si>
    <t>27/08/2024 13:15</t>
  </si>
  <si>
    <t>27/08/2024 13:30</t>
  </si>
  <si>
    <t>27/08/2024 13:45</t>
  </si>
  <si>
    <t>27/08/2024 14:00</t>
  </si>
  <si>
    <t>27/08/2024 14:15</t>
  </si>
  <si>
    <t>27/08/2024 14:30</t>
  </si>
  <si>
    <t>27/08/2024 14:45</t>
  </si>
  <si>
    <t>27/08/2024 15:00</t>
  </si>
  <si>
    <t>27/08/2024 15:15</t>
  </si>
  <si>
    <t>27/08/2024 15:30</t>
  </si>
  <si>
    <t>27/08/2024 15:45</t>
  </si>
  <si>
    <t>27/08/2024 16:00</t>
  </si>
  <si>
    <t>27/08/2024 16:15</t>
  </si>
  <si>
    <t>27/08/2024 16:30</t>
  </si>
  <si>
    <t>27/08/2024 16:45</t>
  </si>
  <si>
    <t>27/08/2024 17:00</t>
  </si>
  <si>
    <t>27/08/2024 17:15</t>
  </si>
  <si>
    <t>27/08/2024 17:30</t>
  </si>
  <si>
    <t>27/08/2024 17:45</t>
  </si>
  <si>
    <t>27/08/2024 18:00</t>
  </si>
  <si>
    <t>27/08/2024 18:15</t>
  </si>
  <si>
    <t>27/08/2024 18:30</t>
  </si>
  <si>
    <t>27/08/2024 18:45</t>
  </si>
  <si>
    <t>27/08/2024 19:00</t>
  </si>
  <si>
    <t>27/08/2024 19:15</t>
  </si>
  <si>
    <t>27/08/2024 19:30</t>
  </si>
  <si>
    <t>27/08/2024 19:45</t>
  </si>
  <si>
    <t>27/08/2024 20:00</t>
  </si>
  <si>
    <t>27/08/2024 20:15</t>
  </si>
  <si>
    <t>27/08/2024 20:30</t>
  </si>
  <si>
    <t>27/08/2024 20:45</t>
  </si>
  <si>
    <t>27/08/2024 21:00</t>
  </si>
  <si>
    <t>27/08/2024 21:15</t>
  </si>
  <si>
    <t>27/08/2024 21:30</t>
  </si>
  <si>
    <t>27/08/2024 21:45</t>
  </si>
  <si>
    <t>27/08/2024 22:00</t>
  </si>
  <si>
    <t>27/08/2024 22:15</t>
  </si>
  <si>
    <t>27/08/2024 22:30</t>
  </si>
  <si>
    <t>27/08/2024 22:45</t>
  </si>
  <si>
    <t>27/08/2024 23:00</t>
  </si>
  <si>
    <t>27/08/2024 23:15</t>
  </si>
  <si>
    <t>27/08/2024 23:30</t>
  </si>
  <si>
    <t>27/08/2024 23:45</t>
  </si>
  <si>
    <t>27/08/2024 24:00</t>
  </si>
  <si>
    <t>28/08/2024 00:15</t>
  </si>
  <si>
    <t>28/08/2024 00:30</t>
  </si>
  <si>
    <t>28/08/2024 00:45</t>
  </si>
  <si>
    <t>28/08/2024 01:00</t>
  </si>
  <si>
    <t>28/08/2024 01:15</t>
  </si>
  <si>
    <t>28/08/2024 01:30</t>
  </si>
  <si>
    <t>28/08/2024 01:45</t>
  </si>
  <si>
    <t>28/08/2024 02:00</t>
  </si>
  <si>
    <t>28/08/2024 02:15</t>
  </si>
  <si>
    <t>28/08/2024 02:30</t>
  </si>
  <si>
    <t>28/08/2024 02:45</t>
  </si>
  <si>
    <t>28/08/2024 03:00</t>
  </si>
  <si>
    <t>28/08/2024 03:15</t>
  </si>
  <si>
    <t>28/08/2024 03:30</t>
  </si>
  <si>
    <t>28/08/2024 03:45</t>
  </si>
  <si>
    <t>28/08/2024 04:00</t>
  </si>
  <si>
    <t>28/08/2024 04:15</t>
  </si>
  <si>
    <t>28/08/2024 04:30</t>
  </si>
  <si>
    <t>28/08/2024 04:45</t>
  </si>
  <si>
    <t>28/08/2024 05:00</t>
  </si>
  <si>
    <t>28/08/2024 05:15</t>
  </si>
  <si>
    <t>28/08/2024 05:30</t>
  </si>
  <si>
    <t>28/08/2024 05:45</t>
  </si>
  <si>
    <t>28/08/2024 06:00</t>
  </si>
  <si>
    <t>28/08/2024 06:15</t>
  </si>
  <si>
    <t>28/08/2024 06:30</t>
  </si>
  <si>
    <t>28/08/2024 06:45</t>
  </si>
  <si>
    <t>28/08/2024 07:00</t>
  </si>
  <si>
    <t>28/08/2024 07:15</t>
  </si>
  <si>
    <t>28/08/2024 07:30</t>
  </si>
  <si>
    <t>28/08/2024 07:45</t>
  </si>
  <si>
    <t>28/08/2024 08:00</t>
  </si>
  <si>
    <t>28/08/2024 08:15</t>
  </si>
  <si>
    <t>28/08/2024 08:30</t>
  </si>
  <si>
    <t>28/08/2024 08:45</t>
  </si>
  <si>
    <t>28/08/2024 09:00</t>
  </si>
  <si>
    <t>28/08/2024 09:15</t>
  </si>
  <si>
    <t>28/08/2024 09:30</t>
  </si>
  <si>
    <t>28/08/2024 09:45</t>
  </si>
  <si>
    <t>28/08/2024 10:00</t>
  </si>
  <si>
    <t>28/08/2024 10:15</t>
  </si>
  <si>
    <t>28/08/2024 10:30</t>
  </si>
  <si>
    <t>28/08/2024 10:45</t>
  </si>
  <si>
    <t>28/08/2024 11:00</t>
  </si>
  <si>
    <t>28/08/2024 11:15</t>
  </si>
  <si>
    <t>28/08/2024 11:30</t>
  </si>
  <si>
    <t>28/08/2024 11:45</t>
  </si>
  <si>
    <t>28/08/2024 12:00</t>
  </si>
  <si>
    <t>28/08/2024 12:15</t>
  </si>
  <si>
    <t>28/08/2024 12:30</t>
  </si>
  <si>
    <t>28/08/2024 12:45</t>
  </si>
  <si>
    <t>28/08/2024 13:00</t>
  </si>
  <si>
    <t>28/08/2024 13:15</t>
  </si>
  <si>
    <t>28/08/2024 13:30</t>
  </si>
  <si>
    <t>28/08/2024 13:45</t>
  </si>
  <si>
    <t>28/08/2024 14:00</t>
  </si>
  <si>
    <t>28/08/2024 14:15</t>
  </si>
  <si>
    <t>28/08/2024 14:30</t>
  </si>
  <si>
    <t>28/08/2024 14:45</t>
  </si>
  <si>
    <t>28/08/2024 15:00</t>
  </si>
  <si>
    <t>28/08/2024 15:15</t>
  </si>
  <si>
    <t>28/08/2024 15:30</t>
  </si>
  <si>
    <t>28/08/2024 15:45</t>
  </si>
  <si>
    <t>28/08/2024 16:00</t>
  </si>
  <si>
    <t>28/08/2024 16:15</t>
  </si>
  <si>
    <t>28/08/2024 16:30</t>
  </si>
  <si>
    <t>28/08/2024 16:45</t>
  </si>
  <si>
    <t>28/08/2024 17:00</t>
  </si>
  <si>
    <t>28/08/2024 17:15</t>
  </si>
  <si>
    <t>28/08/2024 17:30</t>
  </si>
  <si>
    <t>28/08/2024 17:45</t>
  </si>
  <si>
    <t>28/08/2024 18:00</t>
  </si>
  <si>
    <t>28/08/2024 18:15</t>
  </si>
  <si>
    <t>28/08/2024 18:30</t>
  </si>
  <si>
    <t>28/08/2024 18:45</t>
  </si>
  <si>
    <t>28/08/2024 19:00</t>
  </si>
  <si>
    <t>28/08/2024 19:15</t>
  </si>
  <si>
    <t>28/08/2024 19:30</t>
  </si>
  <si>
    <t>28/08/2024 19:45</t>
  </si>
  <si>
    <t>28/08/2024 20:00</t>
  </si>
  <si>
    <t>28/08/2024 20:15</t>
  </si>
  <si>
    <t>28/08/2024 20:30</t>
  </si>
  <si>
    <t>28/08/2024 20:45</t>
  </si>
  <si>
    <t>28/08/2024 21:00</t>
  </si>
  <si>
    <t>28/08/2024 21:15</t>
  </si>
  <si>
    <t>28/08/2024 21:30</t>
  </si>
  <si>
    <t>28/08/2024 21:45</t>
  </si>
  <si>
    <t>28/08/2024 22:00</t>
  </si>
  <si>
    <t>28/08/2024 22:15</t>
  </si>
  <si>
    <t>28/08/2024 22:30</t>
  </si>
  <si>
    <t>28/08/2024 22:45</t>
  </si>
  <si>
    <t>28/08/2024 23:00</t>
  </si>
  <si>
    <t>28/08/2024 23:15</t>
  </si>
  <si>
    <t>28/08/2024 23:30</t>
  </si>
  <si>
    <t>28/08/2024 23:45</t>
  </si>
  <si>
    <t>28/08/2024 24:00</t>
  </si>
  <si>
    <t>29/08/2024 00:15</t>
  </si>
  <si>
    <t>29/08/2024 00:30</t>
  </si>
  <si>
    <t>29/08/2024 00:45</t>
  </si>
  <si>
    <t>29/08/2024 01:00</t>
  </si>
  <si>
    <t>29/08/2024 01:15</t>
  </si>
  <si>
    <t>29/08/2024 01:30</t>
  </si>
  <si>
    <t>29/08/2024 01:45</t>
  </si>
  <si>
    <t>29/08/2024 02:00</t>
  </si>
  <si>
    <t>29/08/2024 02:15</t>
  </si>
  <si>
    <t>29/08/2024 02:30</t>
  </si>
  <si>
    <t>29/08/2024 02:45</t>
  </si>
  <si>
    <t>29/08/2024 03:00</t>
  </si>
  <si>
    <t>29/08/2024 03:15</t>
  </si>
  <si>
    <t>29/08/2024 03:30</t>
  </si>
  <si>
    <t>29/08/2024 03:45</t>
  </si>
  <si>
    <t>29/08/2024 04:00</t>
  </si>
  <si>
    <t>29/08/2024 04:15</t>
  </si>
  <si>
    <t>29/08/2024 04:30</t>
  </si>
  <si>
    <t>29/08/2024 04:45</t>
  </si>
  <si>
    <t>29/08/2024 05:00</t>
  </si>
  <si>
    <t>29/08/2024 05:15</t>
  </si>
  <si>
    <t>29/08/2024 05:30</t>
  </si>
  <si>
    <t>29/08/2024 05:45</t>
  </si>
  <si>
    <t>29/08/2024 06:00</t>
  </si>
  <si>
    <t>29/08/2024 06:15</t>
  </si>
  <si>
    <t>29/08/2024 06:30</t>
  </si>
  <si>
    <t>29/08/2024 06:45</t>
  </si>
  <si>
    <t>29/08/2024 07:00</t>
  </si>
  <si>
    <t>29/08/2024 07:15</t>
  </si>
  <si>
    <t>29/08/2024 07:30</t>
  </si>
  <si>
    <t>29/08/2024 07:45</t>
  </si>
  <si>
    <t>29/08/2024 08:00</t>
  </si>
  <si>
    <t>29/08/2024 08:15</t>
  </si>
  <si>
    <t>29/08/2024 08:30</t>
  </si>
  <si>
    <t>29/08/2024 08:45</t>
  </si>
  <si>
    <t>29/08/2024 09:00</t>
  </si>
  <si>
    <t>29/08/2024 09:15</t>
  </si>
  <si>
    <t>29/08/2024 09:30</t>
  </si>
  <si>
    <t>29/08/2024 09:45</t>
  </si>
  <si>
    <t>29/08/2024 10:00</t>
  </si>
  <si>
    <t>29/08/2024 10:15</t>
  </si>
  <si>
    <t>29/08/2024 10:30</t>
  </si>
  <si>
    <t>29/08/2024 10:45</t>
  </si>
  <si>
    <t>29/08/2024 11:00</t>
  </si>
  <si>
    <t>29/08/2024 11:15</t>
  </si>
  <si>
    <t>29/08/2024 11:30</t>
  </si>
  <si>
    <t>29/08/2024 11:45</t>
  </si>
  <si>
    <t>29/08/2024 12:00</t>
  </si>
  <si>
    <t>29/08/2024 12:15</t>
  </si>
  <si>
    <t>29/08/2024 12:30</t>
  </si>
  <si>
    <t>29/08/2024 12:45</t>
  </si>
  <si>
    <t>29/08/2024 13:00</t>
  </si>
  <si>
    <t>29/08/2024 13:15</t>
  </si>
  <si>
    <t>29/08/2024 13:30</t>
  </si>
  <si>
    <t>29/08/2024 13:45</t>
  </si>
  <si>
    <t>29/08/2024 14:00</t>
  </si>
  <si>
    <t>29/08/2024 14:15</t>
  </si>
  <si>
    <t>29/08/2024 14:30</t>
  </si>
  <si>
    <t>29/08/2024 14:45</t>
  </si>
  <si>
    <t>29/08/2024 15:00</t>
  </si>
  <si>
    <t>29/08/2024 15:15</t>
  </si>
  <si>
    <t>29/08/2024 15:30</t>
  </si>
  <si>
    <t>29/08/2024 15:45</t>
  </si>
  <si>
    <t>29/08/2024 16:00</t>
  </si>
  <si>
    <t>29/08/2024 16:15</t>
  </si>
  <si>
    <t>29/08/2024 16:30</t>
  </si>
  <si>
    <t>29/08/2024 16:45</t>
  </si>
  <si>
    <t>29/08/2024 17:00</t>
  </si>
  <si>
    <t>29/08/2024 17:15</t>
  </si>
  <si>
    <t>29/08/2024 17:30</t>
  </si>
  <si>
    <t>29/08/2024 17:45</t>
  </si>
  <si>
    <t>29/08/2024 18:00</t>
  </si>
  <si>
    <t>29/08/2024 18:15</t>
  </si>
  <si>
    <t>29/08/2024 18:30</t>
  </si>
  <si>
    <t>29/08/2024 18:45</t>
  </si>
  <si>
    <t>29/08/2024 19:00</t>
  </si>
  <si>
    <t>29/08/2024 19:15</t>
  </si>
  <si>
    <t>29/08/2024 19:30</t>
  </si>
  <si>
    <t>29/08/2024 19:45</t>
  </si>
  <si>
    <t>29/08/2024 20:00</t>
  </si>
  <si>
    <t>29/08/2024 20:15</t>
  </si>
  <si>
    <t>29/08/2024 20:30</t>
  </si>
  <si>
    <t>29/08/2024 20:45</t>
  </si>
  <si>
    <t>29/08/2024 21:00</t>
  </si>
  <si>
    <t>29/08/2024 21:15</t>
  </si>
  <si>
    <t>29/08/2024 21:30</t>
  </si>
  <si>
    <t>29/08/2024 21:45</t>
  </si>
  <si>
    <t>29/08/2024 22:00</t>
  </si>
  <si>
    <t>29/08/2024 22:15</t>
  </si>
  <si>
    <t>29/08/2024 22:30</t>
  </si>
  <si>
    <t>29/08/2024 22:45</t>
  </si>
  <si>
    <t>29/08/2024 23:00</t>
  </si>
  <si>
    <t>29/08/2024 23:15</t>
  </si>
  <si>
    <t>29/08/2024 23:30</t>
  </si>
  <si>
    <t>29/08/2024 23:45</t>
  </si>
  <si>
    <t>29/08/2024 24:00</t>
  </si>
  <si>
    <t>30/08/2024 00:15</t>
  </si>
  <si>
    <t>30/08/2024 00:30</t>
  </si>
  <si>
    <t>30/08/2024 00:45</t>
  </si>
  <si>
    <t>30/08/2024 01:00</t>
  </si>
  <si>
    <t>30/08/2024 01:15</t>
  </si>
  <si>
    <t>30/08/2024 01:30</t>
  </si>
  <si>
    <t>30/08/2024 01:45</t>
  </si>
  <si>
    <t>30/08/2024 02:00</t>
  </si>
  <si>
    <t>30/08/2024 02:15</t>
  </si>
  <si>
    <t>30/08/2024 02:30</t>
  </si>
  <si>
    <t>30/08/2024 02:45</t>
  </si>
  <si>
    <t>30/08/2024 03:00</t>
  </si>
  <si>
    <t>30/08/2024 03:15</t>
  </si>
  <si>
    <t>30/08/2024 03:30</t>
  </si>
  <si>
    <t>30/08/2024 03:45</t>
  </si>
  <si>
    <t>30/08/2024 04:00</t>
  </si>
  <si>
    <t>30/08/2024 04:15</t>
  </si>
  <si>
    <t>30/08/2024 04:30</t>
  </si>
  <si>
    <t>30/08/2024 04:45</t>
  </si>
  <si>
    <t>30/08/2024 05:00</t>
  </si>
  <si>
    <t>30/08/2024 05:15</t>
  </si>
  <si>
    <t>30/08/2024 05:30</t>
  </si>
  <si>
    <t>30/08/2024 05:45</t>
  </si>
  <si>
    <t>30/08/2024 06:00</t>
  </si>
  <si>
    <t>30/08/2024 06:15</t>
  </si>
  <si>
    <t>30/08/2024 06:30</t>
  </si>
  <si>
    <t>30/08/2024 06:45</t>
  </si>
  <si>
    <t>30/08/2024 07:00</t>
  </si>
  <si>
    <t>30/08/2024 07:15</t>
  </si>
  <si>
    <t>30/08/2024 07:30</t>
  </si>
  <si>
    <t>30/08/2024 07:45</t>
  </si>
  <si>
    <t>30/08/2024 08:00</t>
  </si>
  <si>
    <t>30/08/2024 08:15</t>
  </si>
  <si>
    <t>30/08/2024 08:30</t>
  </si>
  <si>
    <t>30/08/2024 08:45</t>
  </si>
  <si>
    <t>30/08/2024 09:00</t>
  </si>
  <si>
    <t>30/08/2024 09:15</t>
  </si>
  <si>
    <t>30/08/2024 09:30</t>
  </si>
  <si>
    <t>30/08/2024 09:45</t>
  </si>
  <si>
    <t>30/08/2024 10:00</t>
  </si>
  <si>
    <t>30/08/2024 10:15</t>
  </si>
  <si>
    <t>30/08/2024 10:30</t>
  </si>
  <si>
    <t>30/08/2024 10:45</t>
  </si>
  <si>
    <t>30/08/2024 11:00</t>
  </si>
  <si>
    <t>30/08/2024 11:15</t>
  </si>
  <si>
    <t>30/08/2024 11:30</t>
  </si>
  <si>
    <t>30/08/2024 11:45</t>
  </si>
  <si>
    <t>30/08/2024 12:00</t>
  </si>
  <si>
    <t>30/08/2024 12:15</t>
  </si>
  <si>
    <t>30/08/2024 12:30</t>
  </si>
  <si>
    <t>30/08/2024 12:45</t>
  </si>
  <si>
    <t>30/08/2024 13:00</t>
  </si>
  <si>
    <t>30/08/2024 13:15</t>
  </si>
  <si>
    <t>30/08/2024 13:30</t>
  </si>
  <si>
    <t>30/08/2024 13:45</t>
  </si>
  <si>
    <t>30/08/2024 14:00</t>
  </si>
  <si>
    <t>30/08/2024 14:15</t>
  </si>
  <si>
    <t>30/08/2024 14:30</t>
  </si>
  <si>
    <t>30/08/2024 14:45</t>
  </si>
  <si>
    <t>30/08/2024 15:00</t>
  </si>
  <si>
    <t>30/08/2024 15:15</t>
  </si>
  <si>
    <t>30/08/2024 15:30</t>
  </si>
  <si>
    <t>30/08/2024 15:45</t>
  </si>
  <si>
    <t>30/08/2024 16:00</t>
  </si>
  <si>
    <t>30/08/2024 16:15</t>
  </si>
  <si>
    <t>30/08/2024 16:30</t>
  </si>
  <si>
    <t>30/08/2024 16:45</t>
  </si>
  <si>
    <t>30/08/2024 17:00</t>
  </si>
  <si>
    <t>30/08/2024 17:15</t>
  </si>
  <si>
    <t>30/08/2024 17:30</t>
  </si>
  <si>
    <t>30/08/2024 17:45</t>
  </si>
  <si>
    <t>30/08/2024 18:00</t>
  </si>
  <si>
    <t>30/08/2024 18:15</t>
  </si>
  <si>
    <t>30/08/2024 18:30</t>
  </si>
  <si>
    <t>30/08/2024 18:45</t>
  </si>
  <si>
    <t>30/08/2024 19:00</t>
  </si>
  <si>
    <t>30/08/2024 19:15</t>
  </si>
  <si>
    <t>30/08/2024 19:30</t>
  </si>
  <si>
    <t>30/08/2024 19:45</t>
  </si>
  <si>
    <t>30/08/2024 20:00</t>
  </si>
  <si>
    <t>30/08/2024 20:15</t>
  </si>
  <si>
    <t>30/08/2024 20:30</t>
  </si>
  <si>
    <t>30/08/2024 20:45</t>
  </si>
  <si>
    <t>30/08/2024 21:00</t>
  </si>
  <si>
    <t>30/08/2024 21:15</t>
  </si>
  <si>
    <t>30/08/2024 21:30</t>
  </si>
  <si>
    <t>30/08/2024 21:45</t>
  </si>
  <si>
    <t>30/08/2024 22:00</t>
  </si>
  <si>
    <t>30/08/2024 22:15</t>
  </si>
  <si>
    <t>30/08/2024 22:30</t>
  </si>
  <si>
    <t>30/08/2024 22:45</t>
  </si>
  <si>
    <t>30/08/2024 23:00</t>
  </si>
  <si>
    <t>30/08/2024 23:15</t>
  </si>
  <si>
    <t>30/08/2024 23:30</t>
  </si>
  <si>
    <t>30/08/2024 23:45</t>
  </si>
  <si>
    <t>30/08/2024 24:00</t>
  </si>
  <si>
    <t>31/08/2024 00:15</t>
  </si>
  <si>
    <t>31/08/2024 00:30</t>
  </si>
  <si>
    <t>31/08/2024 00:45</t>
  </si>
  <si>
    <t>31/08/2024 01:00</t>
  </si>
  <si>
    <t>31/08/2024 01:15</t>
  </si>
  <si>
    <t>31/08/2024 01:30</t>
  </si>
  <si>
    <t>31/08/2024 01:45</t>
  </si>
  <si>
    <t>31/08/2024 02:00</t>
  </si>
  <si>
    <t>31/08/2024 02:15</t>
  </si>
  <si>
    <t>31/08/2024 02:30</t>
  </si>
  <si>
    <t>31/08/2024 02:45</t>
  </si>
  <si>
    <t>31/08/2024 03:00</t>
  </si>
  <si>
    <t>31/08/2024 03:15</t>
  </si>
  <si>
    <t>31/08/2024 03:30</t>
  </si>
  <si>
    <t>31/08/2024 03:45</t>
  </si>
  <si>
    <t>31/08/2024 04:00</t>
  </si>
  <si>
    <t>31/08/2024 04:15</t>
  </si>
  <si>
    <t>31/08/2024 04:30</t>
  </si>
  <si>
    <t>31/08/2024 04:45</t>
  </si>
  <si>
    <t>31/08/2024 05:00</t>
  </si>
  <si>
    <t>31/08/2024 05:15</t>
  </si>
  <si>
    <t>31/08/2024 05:30</t>
  </si>
  <si>
    <t>31/08/2024 05:45</t>
  </si>
  <si>
    <t>31/08/2024 06:00</t>
  </si>
  <si>
    <t>31/08/2024 06:15</t>
  </si>
  <si>
    <t>31/08/2024 06:30</t>
  </si>
  <si>
    <t>31/08/2024 06:45</t>
  </si>
  <si>
    <t>31/08/2024 07:00</t>
  </si>
  <si>
    <t>31/08/2024 07:15</t>
  </si>
  <si>
    <t>31/08/2024 07:30</t>
  </si>
  <si>
    <t>31/08/2024 07:45</t>
  </si>
  <si>
    <t>31/08/2024 08:00</t>
  </si>
  <si>
    <t>31/08/2024 08:15</t>
  </si>
  <si>
    <t>31/08/2024 08:30</t>
  </si>
  <si>
    <t>31/08/2024 08:45</t>
  </si>
  <si>
    <t>31/08/2024 09:00</t>
  </si>
  <si>
    <t>31/08/2024 09:15</t>
  </si>
  <si>
    <t>31/08/2024 09:30</t>
  </si>
  <si>
    <t>31/08/2024 09:45</t>
  </si>
  <si>
    <t>31/08/2024 10:00</t>
  </si>
  <si>
    <t>31/08/2024 10:15</t>
  </si>
  <si>
    <t>31/08/2024 10:30</t>
  </si>
  <si>
    <t>31/08/2024 10:45</t>
  </si>
  <si>
    <t>31/08/2024 11:00</t>
  </si>
  <si>
    <t>31/08/2024 11:15</t>
  </si>
  <si>
    <t>31/08/2024 11:30</t>
  </si>
  <si>
    <t>31/08/2024 11:45</t>
  </si>
  <si>
    <t>31/08/2024 12:00</t>
  </si>
  <si>
    <t>31/08/2024 12:15</t>
  </si>
  <si>
    <t>31/08/2024 12:30</t>
  </si>
  <si>
    <t>31/08/2024 12:45</t>
  </si>
  <si>
    <t>31/08/2024 13:00</t>
  </si>
  <si>
    <t>31/08/2024 13:15</t>
  </si>
  <si>
    <t>31/08/2024 13:30</t>
  </si>
  <si>
    <t>31/08/2024 13:45</t>
  </si>
  <si>
    <t>31/08/2024 14:00</t>
  </si>
  <si>
    <t>31/08/2024 14:15</t>
  </si>
  <si>
    <t>31/08/2024 14:30</t>
  </si>
  <si>
    <t>31/08/2024 14:45</t>
  </si>
  <si>
    <t>31/08/2024 15:00</t>
  </si>
  <si>
    <t>31/08/2024 15:15</t>
  </si>
  <si>
    <t>31/08/2024 15:30</t>
  </si>
  <si>
    <t>31/08/2024 15:45</t>
  </si>
  <si>
    <t>31/08/2024 16:00</t>
  </si>
  <si>
    <t>31/08/2024 16:15</t>
  </si>
  <si>
    <t>31/08/2024 16:30</t>
  </si>
  <si>
    <t>31/08/2024 16:45</t>
  </si>
  <si>
    <t>31/08/2024 17:00</t>
  </si>
  <si>
    <t>31/08/2024 17:15</t>
  </si>
  <si>
    <t>31/08/2024 17:30</t>
  </si>
  <si>
    <t>31/08/2024 17:45</t>
  </si>
  <si>
    <t>31/08/2024 18:00</t>
  </si>
  <si>
    <t>31/08/2024 18:15</t>
  </si>
  <si>
    <t>31/08/2024 18:30</t>
  </si>
  <si>
    <t>31/08/2024 18:45</t>
  </si>
  <si>
    <t>31/08/2024 19:00</t>
  </si>
  <si>
    <t>31/08/2024 19:15</t>
  </si>
  <si>
    <t>31/08/2024 19:30</t>
  </si>
  <si>
    <t>31/08/2024 19:45</t>
  </si>
  <si>
    <t>31/08/2024 20:00</t>
  </si>
  <si>
    <t>31/08/2024 20:15</t>
  </si>
  <si>
    <t>31/08/2024 20:30</t>
  </si>
  <si>
    <t>31/08/2024 20:45</t>
  </si>
  <si>
    <t>31/08/2024 21:00</t>
  </si>
  <si>
    <t>31/08/2024 21:15</t>
  </si>
  <si>
    <t>31/08/2024 21:30</t>
  </si>
  <si>
    <t>31/08/2024 21:45</t>
  </si>
  <si>
    <t>31/08/2024 22:00</t>
  </si>
  <si>
    <t>31/08/2024 22:15</t>
  </si>
  <si>
    <t>31/08/2024 22:30</t>
  </si>
  <si>
    <t>31/08/2024 22:45</t>
  </si>
  <si>
    <t>31/08/2024 23:00</t>
  </si>
  <si>
    <t>31/08/2024 23:15</t>
  </si>
  <si>
    <t>31/08/2024 23:30</t>
  </si>
  <si>
    <t>31/08/2024 23:45</t>
  </si>
  <si>
    <t>31/08/2024 24:00</t>
  </si>
  <si>
    <t>835 ug/cm2</t>
  </si>
  <si>
    <t>847 ug/cm2</t>
  </si>
  <si>
    <t>03/08/202411:35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</si>
</sst>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A9" sqref="A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245</v>
      </c>
      <c r="B9" s="249" t="s">
        <v>32</v>
      </c>
      <c r="C9" s="249" t="s">
        <v>32</v>
      </c>
      <c r="D9" s="249" t="s">
        <v>32</v>
      </c>
      <c r="E9" s="249" t="s">
        <v>32</v>
      </c>
      <c r="F9" s="249" t="s">
        <v>32</v>
      </c>
      <c r="G9" s="249" t="s">
        <v>32</v>
      </c>
      <c r="H9" s="249" t="s">
        <v>32</v>
      </c>
      <c r="I9" s="249" t="s">
        <v>32</v>
      </c>
      <c r="J9" s="249" t="s">
        <v>32</v>
      </c>
      <c r="K9" s="249" t="s">
        <v>32</v>
      </c>
      <c r="L9" s="249" t="s">
        <v>32</v>
      </c>
      <c r="M9" s="249" t="s">
        <v>32</v>
      </c>
      <c r="N9" s="249" t="s">
        <v>32</v>
      </c>
      <c r="O9" s="249" t="s">
        <v>32</v>
      </c>
      <c r="P9" s="249" t="s">
        <v>32</v>
      </c>
      <c r="Q9" s="249" t="s">
        <v>32</v>
      </c>
      <c r="R9" s="198"/>
      <c r="S9" s="198"/>
      <c r="T9" s="198"/>
      <c r="U9" s="198"/>
    </row>
    <row r="10" spans="1:21" s="12" customFormat="1" x14ac:dyDescent="0.25">
      <c r="A10" s="248" t="s">
        <v>246</v>
      </c>
      <c r="B10" s="249" t="s">
        <v>32</v>
      </c>
      <c r="C10" s="249" t="s">
        <v>32</v>
      </c>
      <c r="D10" s="249" t="s">
        <v>32</v>
      </c>
      <c r="E10" s="249" t="s">
        <v>32</v>
      </c>
      <c r="F10" s="249" t="s">
        <v>32</v>
      </c>
      <c r="G10" s="249" t="s">
        <v>32</v>
      </c>
      <c r="H10" s="249" t="s">
        <v>32</v>
      </c>
      <c r="I10" s="249" t="s">
        <v>32</v>
      </c>
      <c r="J10" s="249" t="s">
        <v>32</v>
      </c>
      <c r="K10" s="249" t="s">
        <v>32</v>
      </c>
      <c r="L10" s="249" t="s">
        <v>32</v>
      </c>
      <c r="M10" s="249" t="s">
        <v>32</v>
      </c>
      <c r="N10" s="249" t="s">
        <v>32</v>
      </c>
      <c r="O10" s="249" t="s">
        <v>32</v>
      </c>
      <c r="P10" s="249" t="s">
        <v>32</v>
      </c>
      <c r="Q10" s="249" t="s">
        <v>32</v>
      </c>
      <c r="R10" s="198"/>
      <c r="S10" s="198"/>
      <c r="T10" s="198"/>
      <c r="U10" s="198"/>
    </row>
    <row r="11" spans="1:21" s="12" customFormat="1" x14ac:dyDescent="0.25">
      <c r="A11" s="248" t="s">
        <v>247</v>
      </c>
      <c r="B11" s="249" t="s">
        <v>32</v>
      </c>
      <c r="C11" s="249" t="s">
        <v>32</v>
      </c>
      <c r="D11" s="249" t="s">
        <v>32</v>
      </c>
      <c r="E11" s="249" t="s">
        <v>32</v>
      </c>
      <c r="F11" s="249" t="s">
        <v>32</v>
      </c>
      <c r="G11" s="249" t="s">
        <v>32</v>
      </c>
      <c r="H11" s="249" t="s">
        <v>32</v>
      </c>
      <c r="I11" s="249" t="s">
        <v>32</v>
      </c>
      <c r="J11" s="249" t="s">
        <v>32</v>
      </c>
      <c r="K11" s="249" t="s">
        <v>32</v>
      </c>
      <c r="L11" s="249" t="s">
        <v>32</v>
      </c>
      <c r="M11" s="249" t="s">
        <v>32</v>
      </c>
      <c r="N11" s="249" t="s">
        <v>32</v>
      </c>
      <c r="O11" s="249" t="s">
        <v>32</v>
      </c>
      <c r="P11" s="249" t="s">
        <v>32</v>
      </c>
      <c r="Q11" s="249" t="s">
        <v>32</v>
      </c>
      <c r="R11" s="198"/>
      <c r="S11" s="198"/>
      <c r="T11" s="198"/>
      <c r="U11" s="198"/>
    </row>
    <row r="12" spans="1:21" s="12" customFormat="1" x14ac:dyDescent="0.25">
      <c r="A12" s="248" t="s">
        <v>248</v>
      </c>
      <c r="B12" s="249" t="s">
        <v>32</v>
      </c>
      <c r="C12" s="249" t="s">
        <v>32</v>
      </c>
      <c r="D12" s="249" t="s">
        <v>32</v>
      </c>
      <c r="E12" s="249" t="s">
        <v>32</v>
      </c>
      <c r="F12" s="249" t="s">
        <v>32</v>
      </c>
      <c r="G12" s="249" t="s">
        <v>32</v>
      </c>
      <c r="H12" s="249" t="s">
        <v>32</v>
      </c>
      <c r="I12" s="249" t="s">
        <v>32</v>
      </c>
      <c r="J12" s="249" t="s">
        <v>32</v>
      </c>
      <c r="K12" s="249" t="s">
        <v>32</v>
      </c>
      <c r="L12" s="249" t="s">
        <v>32</v>
      </c>
      <c r="M12" s="249" t="s">
        <v>32</v>
      </c>
      <c r="N12" s="249" t="s">
        <v>32</v>
      </c>
      <c r="O12" s="249" t="s">
        <v>32</v>
      </c>
      <c r="P12" s="249" t="s">
        <v>32</v>
      </c>
      <c r="Q12" s="249" t="s">
        <v>32</v>
      </c>
      <c r="R12" s="198"/>
      <c r="S12" s="198"/>
      <c r="T12" s="198"/>
      <c r="U12" s="198"/>
    </row>
    <row r="13" spans="1:21" s="12" customFormat="1" x14ac:dyDescent="0.25">
      <c r="A13" s="248" t="s">
        <v>249</v>
      </c>
      <c r="B13" s="249" t="s">
        <v>32</v>
      </c>
      <c r="C13" s="249" t="s">
        <v>32</v>
      </c>
      <c r="D13" s="249" t="s">
        <v>32</v>
      </c>
      <c r="E13" s="249" t="s">
        <v>32</v>
      </c>
      <c r="F13" s="249" t="s">
        <v>32</v>
      </c>
      <c r="G13" s="249" t="s">
        <v>32</v>
      </c>
      <c r="H13" s="249" t="s">
        <v>32</v>
      </c>
      <c r="I13" s="249" t="s">
        <v>32</v>
      </c>
      <c r="J13" s="249" t="s">
        <v>32</v>
      </c>
      <c r="K13" s="249" t="s">
        <v>32</v>
      </c>
      <c r="L13" s="249" t="s">
        <v>32</v>
      </c>
      <c r="M13" s="249" t="s">
        <v>32</v>
      </c>
      <c r="N13" s="249" t="s">
        <v>32</v>
      </c>
      <c r="O13" s="249" t="s">
        <v>32</v>
      </c>
      <c r="P13" s="249" t="s">
        <v>32</v>
      </c>
      <c r="Q13" s="249" t="s">
        <v>32</v>
      </c>
      <c r="R13" s="198"/>
      <c r="S13" s="198"/>
      <c r="T13" s="198"/>
      <c r="U13" s="198"/>
    </row>
    <row r="14" spans="1:21" s="12" customFormat="1" x14ac:dyDescent="0.25">
      <c r="A14" s="248" t="s">
        <v>250</v>
      </c>
      <c r="B14" s="249" t="s">
        <v>32</v>
      </c>
      <c r="C14" s="249" t="s">
        <v>32</v>
      </c>
      <c r="D14" s="249" t="s">
        <v>32</v>
      </c>
      <c r="E14" s="249" t="s">
        <v>32</v>
      </c>
      <c r="F14" s="249" t="s">
        <v>32</v>
      </c>
      <c r="G14" s="249" t="s">
        <v>32</v>
      </c>
      <c r="H14" s="249" t="s">
        <v>32</v>
      </c>
      <c r="I14" s="249" t="s">
        <v>32</v>
      </c>
      <c r="J14" s="249" t="s">
        <v>32</v>
      </c>
      <c r="K14" s="249" t="s">
        <v>32</v>
      </c>
      <c r="L14" s="249" t="s">
        <v>32</v>
      </c>
      <c r="M14" s="249" t="s">
        <v>32</v>
      </c>
      <c r="N14" s="249" t="s">
        <v>32</v>
      </c>
      <c r="O14" s="249" t="s">
        <v>32</v>
      </c>
      <c r="P14" s="249" t="s">
        <v>32</v>
      </c>
      <c r="Q14" s="249" t="s">
        <v>32</v>
      </c>
      <c r="R14" s="198"/>
      <c r="S14" s="198"/>
      <c r="T14" s="198"/>
      <c r="U14" s="198"/>
    </row>
    <row r="15" spans="1:21" s="12" customFormat="1" x14ac:dyDescent="0.25">
      <c r="A15" s="248" t="s">
        <v>251</v>
      </c>
      <c r="B15" s="249" t="s">
        <v>32</v>
      </c>
      <c r="C15" s="249" t="s">
        <v>32</v>
      </c>
      <c r="D15" s="249" t="s">
        <v>32</v>
      </c>
      <c r="E15" s="249" t="s">
        <v>32</v>
      </c>
      <c r="F15" s="249" t="s">
        <v>32</v>
      </c>
      <c r="G15" s="249" t="s">
        <v>32</v>
      </c>
      <c r="H15" s="249" t="s">
        <v>32</v>
      </c>
      <c r="I15" s="249" t="s">
        <v>32</v>
      </c>
      <c r="J15" s="249" t="s">
        <v>32</v>
      </c>
      <c r="K15" s="249" t="s">
        <v>32</v>
      </c>
      <c r="L15" s="249" t="s">
        <v>32</v>
      </c>
      <c r="M15" s="249" t="s">
        <v>32</v>
      </c>
      <c r="N15" s="249" t="s">
        <v>32</v>
      </c>
      <c r="O15" s="249" t="s">
        <v>32</v>
      </c>
      <c r="P15" s="249" t="s">
        <v>32</v>
      </c>
      <c r="Q15" s="249" t="s">
        <v>32</v>
      </c>
      <c r="R15" s="198"/>
      <c r="S15" s="198"/>
      <c r="T15" s="198"/>
      <c r="U15" s="198"/>
    </row>
    <row r="16" spans="1:21" s="12" customFormat="1" x14ac:dyDescent="0.25">
      <c r="A16" s="248" t="s">
        <v>252</v>
      </c>
      <c r="B16" s="249" t="s">
        <v>32</v>
      </c>
      <c r="C16" s="249" t="s">
        <v>32</v>
      </c>
      <c r="D16" s="249" t="s">
        <v>32</v>
      </c>
      <c r="E16" s="249" t="s">
        <v>32</v>
      </c>
      <c r="F16" s="249" t="s">
        <v>32</v>
      </c>
      <c r="G16" s="249" t="s">
        <v>32</v>
      </c>
      <c r="H16" s="249" t="s">
        <v>32</v>
      </c>
      <c r="I16" s="249" t="s">
        <v>32</v>
      </c>
      <c r="J16" s="249" t="s">
        <v>32</v>
      </c>
      <c r="K16" s="249" t="s">
        <v>32</v>
      </c>
      <c r="L16" s="249" t="s">
        <v>32</v>
      </c>
      <c r="M16" s="249" t="s">
        <v>32</v>
      </c>
      <c r="N16" s="249" t="s">
        <v>32</v>
      </c>
      <c r="O16" s="249" t="s">
        <v>32</v>
      </c>
      <c r="P16" s="249" t="s">
        <v>32</v>
      </c>
      <c r="Q16" s="249" t="s">
        <v>32</v>
      </c>
      <c r="R16" s="198"/>
      <c r="S16" s="198"/>
      <c r="T16" s="198"/>
      <c r="U16" s="198"/>
    </row>
    <row r="17" spans="1:21" s="12" customFormat="1" x14ac:dyDescent="0.25">
      <c r="A17" s="248" t="s">
        <v>253</v>
      </c>
      <c r="B17" s="249" t="s">
        <v>32</v>
      </c>
      <c r="C17" s="249" t="s">
        <v>32</v>
      </c>
      <c r="D17" s="249" t="s">
        <v>32</v>
      </c>
      <c r="E17" s="249" t="s">
        <v>32</v>
      </c>
      <c r="F17" s="249" t="s">
        <v>32</v>
      </c>
      <c r="G17" s="249" t="s">
        <v>32</v>
      </c>
      <c r="H17" s="249" t="s">
        <v>32</v>
      </c>
      <c r="I17" s="249" t="s">
        <v>32</v>
      </c>
      <c r="J17" s="249" t="s">
        <v>32</v>
      </c>
      <c r="K17" s="249" t="s">
        <v>32</v>
      </c>
      <c r="L17" s="249" t="s">
        <v>32</v>
      </c>
      <c r="M17" s="249" t="s">
        <v>32</v>
      </c>
      <c r="N17" s="249" t="s">
        <v>32</v>
      </c>
      <c r="O17" s="249" t="s">
        <v>32</v>
      </c>
      <c r="P17" s="249" t="s">
        <v>32</v>
      </c>
      <c r="Q17" s="249" t="s">
        <v>32</v>
      </c>
      <c r="R17" s="198"/>
      <c r="S17" s="198"/>
      <c r="T17" s="198"/>
      <c r="U17" s="198"/>
    </row>
    <row r="18" spans="1:21" s="12" customFormat="1" x14ac:dyDescent="0.25">
      <c r="A18" s="248" t="s">
        <v>254</v>
      </c>
      <c r="B18" s="249" t="s">
        <v>32</v>
      </c>
      <c r="C18" s="249" t="s">
        <v>32</v>
      </c>
      <c r="D18" s="249" t="s">
        <v>32</v>
      </c>
      <c r="E18" s="249" t="s">
        <v>32</v>
      </c>
      <c r="F18" s="249" t="s">
        <v>32</v>
      </c>
      <c r="G18" s="249" t="s">
        <v>32</v>
      </c>
      <c r="H18" s="249" t="s">
        <v>32</v>
      </c>
      <c r="I18" s="249" t="s">
        <v>32</v>
      </c>
      <c r="J18" s="249" t="s">
        <v>32</v>
      </c>
      <c r="K18" s="249" t="s">
        <v>32</v>
      </c>
      <c r="L18" s="249" t="s">
        <v>32</v>
      </c>
      <c r="M18" s="249" t="s">
        <v>32</v>
      </c>
      <c r="N18" s="249" t="s">
        <v>32</v>
      </c>
      <c r="O18" s="249" t="s">
        <v>32</v>
      </c>
      <c r="P18" s="249" t="s">
        <v>32</v>
      </c>
      <c r="Q18" s="249" t="s">
        <v>32</v>
      </c>
      <c r="R18" s="198"/>
      <c r="S18" s="198"/>
      <c r="T18" s="198"/>
      <c r="U18" s="198"/>
    </row>
    <row r="19" spans="1:21" s="12" customFormat="1" x14ac:dyDescent="0.25">
      <c r="A19" s="248" t="s">
        <v>255</v>
      </c>
      <c r="B19" s="249" t="s">
        <v>32</v>
      </c>
      <c r="C19" s="249" t="s">
        <v>32</v>
      </c>
      <c r="D19" s="249" t="s">
        <v>32</v>
      </c>
      <c r="E19" s="249" t="s">
        <v>32</v>
      </c>
      <c r="F19" s="249" t="s">
        <v>32</v>
      </c>
      <c r="G19" s="249" t="s">
        <v>32</v>
      </c>
      <c r="H19" s="249" t="s">
        <v>32</v>
      </c>
      <c r="I19" s="249" t="s">
        <v>32</v>
      </c>
      <c r="J19" s="249" t="s">
        <v>32</v>
      </c>
      <c r="K19" s="249" t="s">
        <v>32</v>
      </c>
      <c r="L19" s="249" t="s">
        <v>32</v>
      </c>
      <c r="M19" s="249" t="s">
        <v>32</v>
      </c>
      <c r="N19" s="249" t="s">
        <v>32</v>
      </c>
      <c r="O19" s="249" t="s">
        <v>32</v>
      </c>
      <c r="P19" s="249" t="s">
        <v>32</v>
      </c>
      <c r="Q19" s="249" t="s">
        <v>32</v>
      </c>
      <c r="R19" s="198"/>
      <c r="S19" s="198"/>
      <c r="T19" s="198"/>
      <c r="U19" s="198"/>
    </row>
    <row r="20" spans="1:21" s="12" customFormat="1" x14ac:dyDescent="0.25">
      <c r="A20" s="248" t="s">
        <v>256</v>
      </c>
      <c r="B20" s="249" t="s">
        <v>32</v>
      </c>
      <c r="C20" s="249" t="s">
        <v>32</v>
      </c>
      <c r="D20" s="249" t="s">
        <v>32</v>
      </c>
      <c r="E20" s="249" t="s">
        <v>32</v>
      </c>
      <c r="F20" s="249" t="s">
        <v>32</v>
      </c>
      <c r="G20" s="249" t="s">
        <v>32</v>
      </c>
      <c r="H20" s="249" t="s">
        <v>32</v>
      </c>
      <c r="I20" s="249" t="s">
        <v>32</v>
      </c>
      <c r="J20" s="249" t="s">
        <v>32</v>
      </c>
      <c r="K20" s="249" t="s">
        <v>32</v>
      </c>
      <c r="L20" s="249" t="s">
        <v>32</v>
      </c>
      <c r="M20" s="249" t="s">
        <v>32</v>
      </c>
      <c r="N20" s="249" t="s">
        <v>32</v>
      </c>
      <c r="O20" s="249" t="s">
        <v>32</v>
      </c>
      <c r="P20" s="249" t="s">
        <v>32</v>
      </c>
      <c r="Q20" s="249" t="s">
        <v>32</v>
      </c>
      <c r="R20" s="198"/>
      <c r="S20" s="198"/>
      <c r="T20" s="198"/>
      <c r="U20" s="198"/>
    </row>
    <row r="21" spans="1:21" s="12" customFormat="1" x14ac:dyDescent="0.25">
      <c r="A21" s="248" t="s">
        <v>257</v>
      </c>
      <c r="B21" s="249" t="s">
        <v>32</v>
      </c>
      <c r="C21" s="249" t="s">
        <v>32</v>
      </c>
      <c r="D21" s="249" t="s">
        <v>32</v>
      </c>
      <c r="E21" s="249" t="s">
        <v>32</v>
      </c>
      <c r="F21" s="249" t="s">
        <v>32</v>
      </c>
      <c r="G21" s="249" t="s">
        <v>32</v>
      </c>
      <c r="H21" s="249" t="s">
        <v>32</v>
      </c>
      <c r="I21" s="249" t="s">
        <v>32</v>
      </c>
      <c r="J21" s="249" t="s">
        <v>32</v>
      </c>
      <c r="K21" s="249" t="s">
        <v>32</v>
      </c>
      <c r="L21" s="249" t="s">
        <v>32</v>
      </c>
      <c r="M21" s="249" t="s">
        <v>32</v>
      </c>
      <c r="N21" s="249" t="s">
        <v>32</v>
      </c>
      <c r="O21" s="249" t="s">
        <v>32</v>
      </c>
      <c r="P21" s="249" t="s">
        <v>32</v>
      </c>
      <c r="Q21" s="249" t="s">
        <v>32</v>
      </c>
      <c r="R21" s="198"/>
      <c r="S21" s="198"/>
      <c r="T21" s="198"/>
      <c r="U21" s="198"/>
    </row>
    <row r="22" spans="1:21" s="12" customFormat="1" x14ac:dyDescent="0.25">
      <c r="A22" s="248" t="s">
        <v>258</v>
      </c>
      <c r="B22" s="249" t="s">
        <v>32</v>
      </c>
      <c r="C22" s="249" t="s">
        <v>32</v>
      </c>
      <c r="D22" s="249" t="s">
        <v>32</v>
      </c>
      <c r="E22" s="249" t="s">
        <v>32</v>
      </c>
      <c r="F22" s="249" t="s">
        <v>32</v>
      </c>
      <c r="G22" s="249" t="s">
        <v>32</v>
      </c>
      <c r="H22" s="249" t="s">
        <v>32</v>
      </c>
      <c r="I22" s="249" t="s">
        <v>32</v>
      </c>
      <c r="J22" s="249" t="s">
        <v>32</v>
      </c>
      <c r="K22" s="249" t="s">
        <v>32</v>
      </c>
      <c r="L22" s="249" t="s">
        <v>32</v>
      </c>
      <c r="M22" s="249" t="s">
        <v>32</v>
      </c>
      <c r="N22" s="249" t="s">
        <v>32</v>
      </c>
      <c r="O22" s="249" t="s">
        <v>32</v>
      </c>
      <c r="P22" s="249" t="s">
        <v>32</v>
      </c>
      <c r="Q22" s="249" t="s">
        <v>32</v>
      </c>
      <c r="R22" s="198"/>
      <c r="S22" s="198"/>
      <c r="T22" s="198"/>
      <c r="U22" s="198"/>
    </row>
    <row r="23" spans="1:21" s="12" customFormat="1" x14ac:dyDescent="0.25">
      <c r="A23" s="248" t="s">
        <v>259</v>
      </c>
      <c r="B23" s="249" t="s">
        <v>32</v>
      </c>
      <c r="C23" s="249" t="s">
        <v>32</v>
      </c>
      <c r="D23" s="249" t="s">
        <v>32</v>
      </c>
      <c r="E23" s="249" t="s">
        <v>32</v>
      </c>
      <c r="F23" s="249" t="s">
        <v>32</v>
      </c>
      <c r="G23" s="249" t="s">
        <v>32</v>
      </c>
      <c r="H23" s="249" t="s">
        <v>32</v>
      </c>
      <c r="I23" s="249" t="s">
        <v>32</v>
      </c>
      <c r="J23" s="249" t="s">
        <v>32</v>
      </c>
      <c r="K23" s="249" t="s">
        <v>32</v>
      </c>
      <c r="L23" s="249" t="s">
        <v>32</v>
      </c>
      <c r="M23" s="249" t="s">
        <v>32</v>
      </c>
      <c r="N23" s="249" t="s">
        <v>32</v>
      </c>
      <c r="O23" s="249" t="s">
        <v>32</v>
      </c>
      <c r="P23" s="249" t="s">
        <v>32</v>
      </c>
      <c r="Q23" s="249" t="s">
        <v>32</v>
      </c>
      <c r="R23" s="198"/>
      <c r="S23" s="198"/>
      <c r="T23" s="198"/>
      <c r="U23" s="198"/>
    </row>
    <row r="24" spans="1:21" s="12" customFormat="1" x14ac:dyDescent="0.25">
      <c r="A24" s="248" t="s">
        <v>260</v>
      </c>
      <c r="B24" s="249" t="s">
        <v>32</v>
      </c>
      <c r="C24" s="249" t="s">
        <v>32</v>
      </c>
      <c r="D24" s="249" t="s">
        <v>32</v>
      </c>
      <c r="E24" s="249" t="s">
        <v>32</v>
      </c>
      <c r="F24" s="249" t="s">
        <v>32</v>
      </c>
      <c r="G24" s="249" t="s">
        <v>32</v>
      </c>
      <c r="H24" s="249" t="s">
        <v>32</v>
      </c>
      <c r="I24" s="249" t="s">
        <v>32</v>
      </c>
      <c r="J24" s="249" t="s">
        <v>32</v>
      </c>
      <c r="K24" s="249" t="s">
        <v>32</v>
      </c>
      <c r="L24" s="249" t="s">
        <v>32</v>
      </c>
      <c r="M24" s="249" t="s">
        <v>32</v>
      </c>
      <c r="N24" s="249" t="s">
        <v>32</v>
      </c>
      <c r="O24" s="249" t="s">
        <v>32</v>
      </c>
      <c r="P24" s="249" t="s">
        <v>32</v>
      </c>
      <c r="Q24" s="249" t="s">
        <v>32</v>
      </c>
      <c r="R24" s="198"/>
      <c r="S24" s="198"/>
      <c r="T24" s="198"/>
      <c r="U24" s="198"/>
    </row>
    <row r="25" spans="1:21" s="12" customFormat="1" x14ac:dyDescent="0.25">
      <c r="A25" s="248" t="s">
        <v>261</v>
      </c>
      <c r="B25" s="249" t="s">
        <v>32</v>
      </c>
      <c r="C25" s="249" t="s">
        <v>32</v>
      </c>
      <c r="D25" s="249" t="s">
        <v>32</v>
      </c>
      <c r="E25" s="249" t="s">
        <v>32</v>
      </c>
      <c r="F25" s="249" t="s">
        <v>32</v>
      </c>
      <c r="G25" s="249" t="s">
        <v>32</v>
      </c>
      <c r="H25" s="249" t="s">
        <v>32</v>
      </c>
      <c r="I25" s="249" t="s">
        <v>32</v>
      </c>
      <c r="J25" s="249" t="s">
        <v>32</v>
      </c>
      <c r="K25" s="249" t="s">
        <v>32</v>
      </c>
      <c r="L25" s="249" t="s">
        <v>32</v>
      </c>
      <c r="M25" s="249" t="s">
        <v>32</v>
      </c>
      <c r="N25" s="249" t="s">
        <v>32</v>
      </c>
      <c r="O25" s="249" t="s">
        <v>32</v>
      </c>
      <c r="P25" s="249" t="s">
        <v>32</v>
      </c>
      <c r="Q25" s="249" t="s">
        <v>32</v>
      </c>
      <c r="R25" s="198"/>
      <c r="S25" s="198"/>
      <c r="T25" s="198"/>
      <c r="U25" s="198"/>
    </row>
    <row r="26" spans="1:21" s="12" customFormat="1" x14ac:dyDescent="0.25">
      <c r="A26" s="248" t="s">
        <v>262</v>
      </c>
      <c r="B26" s="249" t="s">
        <v>32</v>
      </c>
      <c r="C26" s="249" t="s">
        <v>32</v>
      </c>
      <c r="D26" s="249" t="s">
        <v>32</v>
      </c>
      <c r="E26" s="249" t="s">
        <v>32</v>
      </c>
      <c r="F26" s="249" t="s">
        <v>32</v>
      </c>
      <c r="G26" s="249" t="s">
        <v>32</v>
      </c>
      <c r="H26" s="249" t="s">
        <v>32</v>
      </c>
      <c r="I26" s="249" t="s">
        <v>32</v>
      </c>
      <c r="J26" s="249" t="s">
        <v>32</v>
      </c>
      <c r="K26" s="249" t="s">
        <v>32</v>
      </c>
      <c r="L26" s="249" t="s">
        <v>32</v>
      </c>
      <c r="M26" s="249" t="s">
        <v>32</v>
      </c>
      <c r="N26" s="249" t="s">
        <v>32</v>
      </c>
      <c r="O26" s="249" t="s">
        <v>32</v>
      </c>
      <c r="P26" s="249" t="s">
        <v>32</v>
      </c>
      <c r="Q26" s="249" t="s">
        <v>32</v>
      </c>
      <c r="R26" s="198"/>
      <c r="S26" s="198"/>
      <c r="T26" s="198"/>
      <c r="U26" s="198"/>
    </row>
    <row r="27" spans="1:21" s="12" customFormat="1" x14ac:dyDescent="0.25">
      <c r="A27" s="248" t="s">
        <v>263</v>
      </c>
      <c r="B27" s="249" t="s">
        <v>32</v>
      </c>
      <c r="C27" s="249" t="s">
        <v>32</v>
      </c>
      <c r="D27" s="249" t="s">
        <v>32</v>
      </c>
      <c r="E27" s="249" t="s">
        <v>32</v>
      </c>
      <c r="F27" s="249" t="s">
        <v>32</v>
      </c>
      <c r="G27" s="249" t="s">
        <v>32</v>
      </c>
      <c r="H27" s="249" t="s">
        <v>32</v>
      </c>
      <c r="I27" s="249" t="s">
        <v>32</v>
      </c>
      <c r="J27" s="249" t="s">
        <v>32</v>
      </c>
      <c r="K27" s="249" t="s">
        <v>32</v>
      </c>
      <c r="L27" s="249" t="s">
        <v>32</v>
      </c>
      <c r="M27" s="249" t="s">
        <v>32</v>
      </c>
      <c r="N27" s="249" t="s">
        <v>32</v>
      </c>
      <c r="O27" s="249" t="s">
        <v>32</v>
      </c>
      <c r="P27" s="249" t="s">
        <v>32</v>
      </c>
      <c r="Q27" s="249" t="s">
        <v>32</v>
      </c>
      <c r="R27" s="198"/>
      <c r="S27" s="198"/>
      <c r="T27" s="198"/>
      <c r="U27" s="198"/>
    </row>
    <row r="28" spans="1:21" s="12" customFormat="1" x14ac:dyDescent="0.25">
      <c r="A28" s="248" t="s">
        <v>264</v>
      </c>
      <c r="B28" s="249" t="s">
        <v>32</v>
      </c>
      <c r="C28" s="249" t="s">
        <v>32</v>
      </c>
      <c r="D28" s="249" t="s">
        <v>32</v>
      </c>
      <c r="E28" s="249" t="s">
        <v>32</v>
      </c>
      <c r="F28" s="249" t="s">
        <v>32</v>
      </c>
      <c r="G28" s="249" t="s">
        <v>32</v>
      </c>
      <c r="H28" s="249" t="s">
        <v>32</v>
      </c>
      <c r="I28" s="249" t="s">
        <v>32</v>
      </c>
      <c r="J28" s="249" t="s">
        <v>32</v>
      </c>
      <c r="K28" s="249" t="s">
        <v>32</v>
      </c>
      <c r="L28" s="249" t="s">
        <v>32</v>
      </c>
      <c r="M28" s="249" t="s">
        <v>32</v>
      </c>
      <c r="N28" s="249" t="s">
        <v>32</v>
      </c>
      <c r="O28" s="249" t="s">
        <v>32</v>
      </c>
      <c r="P28" s="249" t="s">
        <v>32</v>
      </c>
      <c r="Q28" s="249" t="s">
        <v>32</v>
      </c>
      <c r="R28" s="198"/>
      <c r="S28" s="198"/>
      <c r="T28" s="198"/>
      <c r="U28" s="198"/>
    </row>
    <row r="29" spans="1:21" s="12" customFormat="1" x14ac:dyDescent="0.25">
      <c r="A29" s="248" t="s">
        <v>265</v>
      </c>
      <c r="B29" s="249" t="s">
        <v>32</v>
      </c>
      <c r="C29" s="249" t="s">
        <v>32</v>
      </c>
      <c r="D29" s="249" t="s">
        <v>32</v>
      </c>
      <c r="E29" s="249" t="s">
        <v>32</v>
      </c>
      <c r="F29" s="249" t="s">
        <v>32</v>
      </c>
      <c r="G29" s="249" t="s">
        <v>32</v>
      </c>
      <c r="H29" s="249" t="s">
        <v>32</v>
      </c>
      <c r="I29" s="249" t="s">
        <v>32</v>
      </c>
      <c r="J29" s="249" t="s">
        <v>32</v>
      </c>
      <c r="K29" s="249" t="s">
        <v>32</v>
      </c>
      <c r="L29" s="249" t="s">
        <v>32</v>
      </c>
      <c r="M29" s="249" t="s">
        <v>32</v>
      </c>
      <c r="N29" s="249" t="s">
        <v>32</v>
      </c>
      <c r="O29" s="249" t="s">
        <v>32</v>
      </c>
      <c r="P29" s="249" t="s">
        <v>32</v>
      </c>
      <c r="Q29" s="249" t="s">
        <v>32</v>
      </c>
      <c r="R29" s="198"/>
      <c r="S29" s="198"/>
      <c r="T29" s="198"/>
      <c r="U29" s="198"/>
    </row>
    <row r="30" spans="1:21" s="12" customFormat="1" x14ac:dyDescent="0.25">
      <c r="A30" s="248" t="s">
        <v>266</v>
      </c>
      <c r="B30" s="249" t="s">
        <v>32</v>
      </c>
      <c r="C30" s="249" t="s">
        <v>32</v>
      </c>
      <c r="D30" s="249" t="s">
        <v>32</v>
      </c>
      <c r="E30" s="249" t="s">
        <v>32</v>
      </c>
      <c r="F30" s="249" t="s">
        <v>32</v>
      </c>
      <c r="G30" s="249" t="s">
        <v>32</v>
      </c>
      <c r="H30" s="249" t="s">
        <v>32</v>
      </c>
      <c r="I30" s="249" t="s">
        <v>32</v>
      </c>
      <c r="J30" s="249" t="s">
        <v>32</v>
      </c>
      <c r="K30" s="249" t="s">
        <v>32</v>
      </c>
      <c r="L30" s="249" t="s">
        <v>32</v>
      </c>
      <c r="M30" s="249" t="s">
        <v>32</v>
      </c>
      <c r="N30" s="249" t="s">
        <v>32</v>
      </c>
      <c r="O30" s="249" t="s">
        <v>32</v>
      </c>
      <c r="P30" s="249" t="s">
        <v>32</v>
      </c>
      <c r="Q30" s="249" t="s">
        <v>32</v>
      </c>
      <c r="R30" s="198"/>
      <c r="S30" s="198"/>
      <c r="T30" s="198"/>
      <c r="U30" s="198"/>
    </row>
    <row r="31" spans="1:21" s="12" customFormat="1" x14ac:dyDescent="0.25">
      <c r="A31" s="248" t="s">
        <v>267</v>
      </c>
      <c r="B31" s="249" t="s">
        <v>32</v>
      </c>
      <c r="C31" s="249" t="s">
        <v>32</v>
      </c>
      <c r="D31" s="249" t="s">
        <v>32</v>
      </c>
      <c r="E31" s="249" t="s">
        <v>32</v>
      </c>
      <c r="F31" s="249" t="s">
        <v>32</v>
      </c>
      <c r="G31" s="249" t="s">
        <v>32</v>
      </c>
      <c r="H31" s="249" t="s">
        <v>32</v>
      </c>
      <c r="I31" s="249" t="s">
        <v>32</v>
      </c>
      <c r="J31" s="249" t="s">
        <v>32</v>
      </c>
      <c r="K31" s="249" t="s">
        <v>32</v>
      </c>
      <c r="L31" s="249" t="s">
        <v>32</v>
      </c>
      <c r="M31" s="249" t="s">
        <v>32</v>
      </c>
      <c r="N31" s="249" t="s">
        <v>32</v>
      </c>
      <c r="O31" s="249" t="s">
        <v>32</v>
      </c>
      <c r="P31" s="249" t="s">
        <v>32</v>
      </c>
      <c r="Q31" s="249" t="s">
        <v>32</v>
      </c>
      <c r="R31" s="198"/>
      <c r="S31" s="198"/>
      <c r="T31" s="198"/>
      <c r="U31" s="198"/>
    </row>
    <row r="32" spans="1:21" s="12" customFormat="1" x14ac:dyDescent="0.25">
      <c r="A32" s="248" t="s">
        <v>268</v>
      </c>
      <c r="B32" s="249" t="s">
        <v>32</v>
      </c>
      <c r="C32" s="249" t="s">
        <v>32</v>
      </c>
      <c r="D32" s="249" t="s">
        <v>32</v>
      </c>
      <c r="E32" s="249" t="s">
        <v>32</v>
      </c>
      <c r="F32" s="249" t="s">
        <v>32</v>
      </c>
      <c r="G32" s="249" t="s">
        <v>32</v>
      </c>
      <c r="H32" s="249" t="s">
        <v>32</v>
      </c>
      <c r="I32" s="249" t="s">
        <v>32</v>
      </c>
      <c r="J32" s="249" t="s">
        <v>32</v>
      </c>
      <c r="K32" s="249" t="s">
        <v>32</v>
      </c>
      <c r="L32" s="249" t="s">
        <v>32</v>
      </c>
      <c r="M32" s="249" t="s">
        <v>32</v>
      </c>
      <c r="N32" s="249" t="s">
        <v>32</v>
      </c>
      <c r="O32" s="249" t="s">
        <v>32</v>
      </c>
      <c r="P32" s="249" t="s">
        <v>32</v>
      </c>
      <c r="Q32" s="249" t="s">
        <v>32</v>
      </c>
      <c r="R32" s="198"/>
      <c r="S32" s="198"/>
      <c r="T32" s="198"/>
      <c r="U32" s="198"/>
    </row>
    <row r="33" spans="1:21" s="12" customFormat="1" x14ac:dyDescent="0.25">
      <c r="A33" s="248" t="s">
        <v>269</v>
      </c>
      <c r="B33" s="249" t="s">
        <v>32</v>
      </c>
      <c r="C33" s="249" t="s">
        <v>32</v>
      </c>
      <c r="D33" s="249" t="s">
        <v>32</v>
      </c>
      <c r="E33" s="249" t="s">
        <v>32</v>
      </c>
      <c r="F33" s="249" t="s">
        <v>32</v>
      </c>
      <c r="G33" s="249" t="s">
        <v>32</v>
      </c>
      <c r="H33" s="249" t="s">
        <v>32</v>
      </c>
      <c r="I33" s="249" t="s">
        <v>32</v>
      </c>
      <c r="J33" s="249" t="s">
        <v>32</v>
      </c>
      <c r="K33" s="249" t="s">
        <v>32</v>
      </c>
      <c r="L33" s="249" t="s">
        <v>32</v>
      </c>
      <c r="M33" s="249" t="s">
        <v>32</v>
      </c>
      <c r="N33" s="249" t="s">
        <v>32</v>
      </c>
      <c r="O33" s="249" t="s">
        <v>32</v>
      </c>
      <c r="P33" s="249" t="s">
        <v>32</v>
      </c>
      <c r="Q33" s="249" t="s">
        <v>32</v>
      </c>
      <c r="R33" s="198"/>
      <c r="S33" s="198"/>
      <c r="T33" s="198"/>
      <c r="U33" s="198"/>
    </row>
    <row r="34" spans="1:21" s="12" customFormat="1" x14ac:dyDescent="0.25">
      <c r="A34" s="248" t="s">
        <v>270</v>
      </c>
      <c r="B34" s="249" t="s">
        <v>32</v>
      </c>
      <c r="C34" s="249" t="s">
        <v>32</v>
      </c>
      <c r="D34" s="249" t="s">
        <v>32</v>
      </c>
      <c r="E34" s="249" t="s">
        <v>32</v>
      </c>
      <c r="F34" s="249" t="s">
        <v>32</v>
      </c>
      <c r="G34" s="249" t="s">
        <v>32</v>
      </c>
      <c r="H34" s="249" t="s">
        <v>32</v>
      </c>
      <c r="I34" s="249" t="s">
        <v>32</v>
      </c>
      <c r="J34" s="249" t="s">
        <v>32</v>
      </c>
      <c r="K34" s="249" t="s">
        <v>32</v>
      </c>
      <c r="L34" s="249" t="s">
        <v>32</v>
      </c>
      <c r="M34" s="249" t="s">
        <v>32</v>
      </c>
      <c r="N34" s="249" t="s">
        <v>32</v>
      </c>
      <c r="O34" s="249" t="s">
        <v>32</v>
      </c>
      <c r="P34" s="249" t="s">
        <v>32</v>
      </c>
      <c r="Q34" s="249" t="s">
        <v>32</v>
      </c>
      <c r="R34" s="198"/>
      <c r="S34" s="198"/>
      <c r="T34" s="198"/>
      <c r="U34" s="198"/>
    </row>
    <row r="35" spans="1:21" s="12" customFormat="1" x14ac:dyDescent="0.25">
      <c r="A35" s="248" t="s">
        <v>271</v>
      </c>
      <c r="B35" s="249" t="s">
        <v>32</v>
      </c>
      <c r="C35" s="249" t="s">
        <v>32</v>
      </c>
      <c r="D35" s="249" t="s">
        <v>32</v>
      </c>
      <c r="E35" s="249" t="s">
        <v>32</v>
      </c>
      <c r="F35" s="249" t="s">
        <v>32</v>
      </c>
      <c r="G35" s="249" t="s">
        <v>32</v>
      </c>
      <c r="H35" s="249" t="s">
        <v>32</v>
      </c>
      <c r="I35" s="249" t="s">
        <v>32</v>
      </c>
      <c r="J35" s="249" t="s">
        <v>32</v>
      </c>
      <c r="K35" s="249" t="s">
        <v>32</v>
      </c>
      <c r="L35" s="249" t="s">
        <v>32</v>
      </c>
      <c r="M35" s="249" t="s">
        <v>32</v>
      </c>
      <c r="N35" s="249" t="s">
        <v>32</v>
      </c>
      <c r="O35" s="249" t="s">
        <v>32</v>
      </c>
      <c r="P35" s="249" t="s">
        <v>32</v>
      </c>
      <c r="Q35" s="249" t="s">
        <v>32</v>
      </c>
      <c r="R35" s="198"/>
      <c r="S35" s="198"/>
      <c r="T35" s="198"/>
      <c r="U35" s="198"/>
    </row>
    <row r="36" spans="1:21" s="12" customFormat="1" x14ac:dyDescent="0.25">
      <c r="A36" s="248" t="s">
        <v>272</v>
      </c>
      <c r="B36" s="249" t="s">
        <v>32</v>
      </c>
      <c r="C36" s="249" t="s">
        <v>32</v>
      </c>
      <c r="D36" s="249" t="s">
        <v>32</v>
      </c>
      <c r="E36" s="249" t="s">
        <v>32</v>
      </c>
      <c r="F36" s="249" t="s">
        <v>32</v>
      </c>
      <c r="G36" s="249" t="s">
        <v>32</v>
      </c>
      <c r="H36" s="249" t="s">
        <v>32</v>
      </c>
      <c r="I36" s="249" t="s">
        <v>32</v>
      </c>
      <c r="J36" s="249" t="s">
        <v>32</v>
      </c>
      <c r="K36" s="249" t="s">
        <v>32</v>
      </c>
      <c r="L36" s="249" t="s">
        <v>32</v>
      </c>
      <c r="M36" s="249" t="s">
        <v>32</v>
      </c>
      <c r="N36" s="249" t="s">
        <v>32</v>
      </c>
      <c r="O36" s="249" t="s">
        <v>32</v>
      </c>
      <c r="P36" s="249" t="s">
        <v>32</v>
      </c>
      <c r="Q36" s="249" t="s">
        <v>32</v>
      </c>
      <c r="R36" s="198"/>
      <c r="S36" s="198"/>
      <c r="T36" s="198"/>
      <c r="U36" s="198"/>
    </row>
    <row r="37" spans="1:21" s="12" customFormat="1" x14ac:dyDescent="0.25">
      <c r="A37" s="248" t="s">
        <v>273</v>
      </c>
      <c r="B37" s="249" t="s">
        <v>32</v>
      </c>
      <c r="C37" s="249" t="s">
        <v>32</v>
      </c>
      <c r="D37" s="249" t="s">
        <v>32</v>
      </c>
      <c r="E37" s="249" t="s">
        <v>32</v>
      </c>
      <c r="F37" s="249" t="s">
        <v>32</v>
      </c>
      <c r="G37" s="249" t="s">
        <v>32</v>
      </c>
      <c r="H37" s="249" t="s">
        <v>32</v>
      </c>
      <c r="I37" s="249" t="s">
        <v>32</v>
      </c>
      <c r="J37" s="249" t="s">
        <v>32</v>
      </c>
      <c r="K37" s="249" t="s">
        <v>32</v>
      </c>
      <c r="L37" s="249" t="s">
        <v>32</v>
      </c>
      <c r="M37" s="249" t="s">
        <v>32</v>
      </c>
      <c r="N37" s="249" t="s">
        <v>32</v>
      </c>
      <c r="O37" s="249" t="s">
        <v>32</v>
      </c>
      <c r="P37" s="249" t="s">
        <v>32</v>
      </c>
      <c r="Q37" s="249" t="s">
        <v>32</v>
      </c>
      <c r="R37" s="198"/>
      <c r="S37" s="198"/>
      <c r="T37" s="198"/>
      <c r="U37" s="198"/>
    </row>
    <row r="38" spans="1:21" s="12" customFormat="1" x14ac:dyDescent="0.25">
      <c r="A38" s="248" t="s">
        <v>274</v>
      </c>
      <c r="B38" s="249" t="s">
        <v>32</v>
      </c>
      <c r="C38" s="249" t="s">
        <v>32</v>
      </c>
      <c r="D38" s="249" t="s">
        <v>32</v>
      </c>
      <c r="E38" s="249" t="s">
        <v>32</v>
      </c>
      <c r="F38" s="249" t="s">
        <v>32</v>
      </c>
      <c r="G38" s="249" t="s">
        <v>32</v>
      </c>
      <c r="H38" s="249" t="s">
        <v>32</v>
      </c>
      <c r="I38" s="249" t="s">
        <v>32</v>
      </c>
      <c r="J38" s="249" t="s">
        <v>32</v>
      </c>
      <c r="K38" s="249" t="s">
        <v>32</v>
      </c>
      <c r="L38" s="249" t="s">
        <v>32</v>
      </c>
      <c r="M38" s="249" t="s">
        <v>32</v>
      </c>
      <c r="N38" s="249" t="s">
        <v>32</v>
      </c>
      <c r="O38" s="249" t="s">
        <v>32</v>
      </c>
      <c r="P38" s="249" t="s">
        <v>32</v>
      </c>
      <c r="Q38" s="249" t="s">
        <v>32</v>
      </c>
      <c r="R38" s="198"/>
      <c r="S38" s="198"/>
      <c r="T38" s="198"/>
      <c r="U38" s="198"/>
    </row>
    <row r="39" spans="1:21" s="12" customFormat="1" x14ac:dyDescent="0.25">
      <c r="A39" s="248" t="s">
        <v>275</v>
      </c>
      <c r="B39" s="249" t="s">
        <v>32</v>
      </c>
      <c r="C39" s="249" t="s">
        <v>32</v>
      </c>
      <c r="D39" s="249" t="s">
        <v>32</v>
      </c>
      <c r="E39" s="249" t="s">
        <v>32</v>
      </c>
      <c r="F39" s="249" t="s">
        <v>32</v>
      </c>
      <c r="G39" s="249" t="s">
        <v>32</v>
      </c>
      <c r="H39" s="249" t="s">
        <v>32</v>
      </c>
      <c r="I39" s="249" t="s">
        <v>32</v>
      </c>
      <c r="J39" s="249" t="s">
        <v>32</v>
      </c>
      <c r="K39" s="249" t="s">
        <v>32</v>
      </c>
      <c r="L39" s="249" t="s">
        <v>32</v>
      </c>
      <c r="M39" s="249" t="s">
        <v>32</v>
      </c>
      <c r="N39" s="249" t="s">
        <v>32</v>
      </c>
      <c r="O39" s="249" t="s">
        <v>32</v>
      </c>
      <c r="P39" s="249" t="s">
        <v>32</v>
      </c>
      <c r="Q39" s="249" t="s">
        <v>32</v>
      </c>
      <c r="R39" s="198"/>
      <c r="S39" s="198"/>
      <c r="T39" s="198"/>
      <c r="U39" s="198"/>
    </row>
    <row r="40" spans="1:21" s="12" customFormat="1" x14ac:dyDescent="0.25">
      <c r="A40" s="248" t="s">
        <v>276</v>
      </c>
      <c r="B40" s="249" t="s">
        <v>32</v>
      </c>
      <c r="C40" s="249" t="s">
        <v>32</v>
      </c>
      <c r="D40" s="249" t="s">
        <v>32</v>
      </c>
      <c r="E40" s="249" t="s">
        <v>32</v>
      </c>
      <c r="F40" s="249" t="s">
        <v>32</v>
      </c>
      <c r="G40" s="249" t="s">
        <v>32</v>
      </c>
      <c r="H40" s="249" t="s">
        <v>32</v>
      </c>
      <c r="I40" s="249" t="s">
        <v>32</v>
      </c>
      <c r="J40" s="249" t="s">
        <v>32</v>
      </c>
      <c r="K40" s="249" t="s">
        <v>32</v>
      </c>
      <c r="L40" s="249" t="s">
        <v>32</v>
      </c>
      <c r="M40" s="249" t="s">
        <v>32</v>
      </c>
      <c r="N40" s="249" t="s">
        <v>32</v>
      </c>
      <c r="O40" s="249" t="s">
        <v>32</v>
      </c>
      <c r="P40" s="249" t="s">
        <v>32</v>
      </c>
      <c r="Q40" s="249" t="s">
        <v>32</v>
      </c>
      <c r="R40" s="198"/>
      <c r="S40" s="198"/>
      <c r="T40" s="198"/>
      <c r="U40" s="198"/>
    </row>
    <row r="41" spans="1:21" s="12" customFormat="1" x14ac:dyDescent="0.25">
      <c r="A41" s="248" t="s">
        <v>277</v>
      </c>
      <c r="B41" s="249" t="s">
        <v>32</v>
      </c>
      <c r="C41" s="249" t="s">
        <v>32</v>
      </c>
      <c r="D41" s="249" t="s">
        <v>32</v>
      </c>
      <c r="E41" s="249" t="s">
        <v>32</v>
      </c>
      <c r="F41" s="249" t="s">
        <v>32</v>
      </c>
      <c r="G41" s="249" t="s">
        <v>32</v>
      </c>
      <c r="H41" s="249" t="s">
        <v>32</v>
      </c>
      <c r="I41" s="249" t="s">
        <v>32</v>
      </c>
      <c r="J41" s="249" t="s">
        <v>32</v>
      </c>
      <c r="K41" s="249" t="s">
        <v>32</v>
      </c>
      <c r="L41" s="249" t="s">
        <v>32</v>
      </c>
      <c r="M41" s="249" t="s">
        <v>32</v>
      </c>
      <c r="N41" s="249" t="s">
        <v>32</v>
      </c>
      <c r="O41" s="249" t="s">
        <v>32</v>
      </c>
      <c r="P41" s="249" t="s">
        <v>32</v>
      </c>
      <c r="Q41" s="249" t="s">
        <v>32</v>
      </c>
      <c r="R41" s="198"/>
      <c r="S41" s="198"/>
      <c r="T41" s="198"/>
      <c r="U41" s="198"/>
    </row>
    <row r="42" spans="1:21" s="12" customFormat="1" x14ac:dyDescent="0.25">
      <c r="A42" s="248" t="s">
        <v>278</v>
      </c>
      <c r="B42" s="249" t="s">
        <v>32</v>
      </c>
      <c r="C42" s="249" t="s">
        <v>32</v>
      </c>
      <c r="D42" s="249" t="s">
        <v>32</v>
      </c>
      <c r="E42" s="249" t="s">
        <v>32</v>
      </c>
      <c r="F42" s="249" t="s">
        <v>32</v>
      </c>
      <c r="G42" s="249" t="s">
        <v>32</v>
      </c>
      <c r="H42" s="249" t="s">
        <v>32</v>
      </c>
      <c r="I42" s="249" t="s">
        <v>32</v>
      </c>
      <c r="J42" s="249" t="s">
        <v>32</v>
      </c>
      <c r="K42" s="249" t="s">
        <v>32</v>
      </c>
      <c r="L42" s="249" t="s">
        <v>32</v>
      </c>
      <c r="M42" s="249" t="s">
        <v>32</v>
      </c>
      <c r="N42" s="249" t="s">
        <v>32</v>
      </c>
      <c r="O42" s="249" t="s">
        <v>32</v>
      </c>
      <c r="P42" s="249" t="s">
        <v>32</v>
      </c>
      <c r="Q42" s="249" t="s">
        <v>32</v>
      </c>
      <c r="R42" s="198"/>
      <c r="S42" s="198"/>
      <c r="T42" s="198"/>
      <c r="U42" s="198"/>
    </row>
    <row r="43" spans="1:21" s="12" customFormat="1" x14ac:dyDescent="0.25">
      <c r="A43" s="248" t="s">
        <v>279</v>
      </c>
      <c r="B43" s="249" t="s">
        <v>32</v>
      </c>
      <c r="C43" s="249" t="s">
        <v>32</v>
      </c>
      <c r="D43" s="249" t="s">
        <v>32</v>
      </c>
      <c r="E43" s="249" t="s">
        <v>32</v>
      </c>
      <c r="F43" s="249" t="s">
        <v>32</v>
      </c>
      <c r="G43" s="249" t="s">
        <v>32</v>
      </c>
      <c r="H43" s="249" t="s">
        <v>32</v>
      </c>
      <c r="I43" s="249" t="s">
        <v>32</v>
      </c>
      <c r="J43" s="249" t="s">
        <v>32</v>
      </c>
      <c r="K43" s="249" t="s">
        <v>32</v>
      </c>
      <c r="L43" s="249" t="s">
        <v>32</v>
      </c>
      <c r="M43" s="249" t="s">
        <v>32</v>
      </c>
      <c r="N43" s="249" t="s">
        <v>32</v>
      </c>
      <c r="O43" s="249" t="s">
        <v>32</v>
      </c>
      <c r="P43" s="249" t="s">
        <v>32</v>
      </c>
      <c r="Q43" s="249" t="s">
        <v>32</v>
      </c>
      <c r="R43" s="198"/>
      <c r="S43" s="198"/>
      <c r="T43" s="198"/>
      <c r="U43" s="198"/>
    </row>
    <row r="44" spans="1:21" s="12" customFormat="1" x14ac:dyDescent="0.25">
      <c r="A44" s="248" t="s">
        <v>280</v>
      </c>
      <c r="B44" s="249" t="s">
        <v>32</v>
      </c>
      <c r="C44" s="249" t="s">
        <v>32</v>
      </c>
      <c r="D44" s="249" t="s">
        <v>32</v>
      </c>
      <c r="E44" s="249" t="s">
        <v>32</v>
      </c>
      <c r="F44" s="249" t="s">
        <v>32</v>
      </c>
      <c r="G44" s="249" t="s">
        <v>32</v>
      </c>
      <c r="H44" s="249" t="s">
        <v>32</v>
      </c>
      <c r="I44" s="249" t="s">
        <v>32</v>
      </c>
      <c r="J44" s="249" t="s">
        <v>32</v>
      </c>
      <c r="K44" s="249" t="s">
        <v>32</v>
      </c>
      <c r="L44" s="249" t="s">
        <v>32</v>
      </c>
      <c r="M44" s="249" t="s">
        <v>32</v>
      </c>
      <c r="N44" s="249" t="s">
        <v>32</v>
      </c>
      <c r="O44" s="249" t="s">
        <v>32</v>
      </c>
      <c r="P44" s="249" t="s">
        <v>32</v>
      </c>
      <c r="Q44" s="249" t="s">
        <v>32</v>
      </c>
      <c r="R44" s="198"/>
      <c r="S44" s="198"/>
      <c r="T44" s="198"/>
      <c r="U44" s="198"/>
    </row>
    <row r="45" spans="1:21" s="12" customFormat="1" x14ac:dyDescent="0.25">
      <c r="A45" s="248" t="s">
        <v>281</v>
      </c>
      <c r="B45" s="249" t="s">
        <v>32</v>
      </c>
      <c r="C45" s="249" t="s">
        <v>32</v>
      </c>
      <c r="D45" s="249" t="s">
        <v>32</v>
      </c>
      <c r="E45" s="249" t="s">
        <v>32</v>
      </c>
      <c r="F45" s="249" t="s">
        <v>32</v>
      </c>
      <c r="G45" s="249" t="s">
        <v>32</v>
      </c>
      <c r="H45" s="249" t="s">
        <v>32</v>
      </c>
      <c r="I45" s="249" t="s">
        <v>32</v>
      </c>
      <c r="J45" s="249" t="s">
        <v>32</v>
      </c>
      <c r="K45" s="249" t="s">
        <v>32</v>
      </c>
      <c r="L45" s="249" t="s">
        <v>32</v>
      </c>
      <c r="M45" s="249" t="s">
        <v>32</v>
      </c>
      <c r="N45" s="249" t="s">
        <v>32</v>
      </c>
      <c r="O45" s="249" t="s">
        <v>32</v>
      </c>
      <c r="P45" s="249" t="s">
        <v>32</v>
      </c>
      <c r="Q45" s="249" t="s">
        <v>32</v>
      </c>
      <c r="R45" s="198"/>
      <c r="S45" s="198"/>
      <c r="T45" s="198"/>
      <c r="U45" s="198"/>
    </row>
    <row r="46" spans="1:21" s="12" customFormat="1" x14ac:dyDescent="0.25">
      <c r="A46" s="248" t="s">
        <v>282</v>
      </c>
      <c r="B46" s="249" t="s">
        <v>32</v>
      </c>
      <c r="C46" s="249" t="s">
        <v>32</v>
      </c>
      <c r="D46" s="249" t="s">
        <v>32</v>
      </c>
      <c r="E46" s="249" t="s">
        <v>32</v>
      </c>
      <c r="F46" s="249" t="s">
        <v>32</v>
      </c>
      <c r="G46" s="249" t="s">
        <v>32</v>
      </c>
      <c r="H46" s="249" t="s">
        <v>32</v>
      </c>
      <c r="I46" s="249" t="s">
        <v>32</v>
      </c>
      <c r="J46" s="249" t="s">
        <v>32</v>
      </c>
      <c r="K46" s="249" t="s">
        <v>32</v>
      </c>
      <c r="L46" s="249" t="s">
        <v>32</v>
      </c>
      <c r="M46" s="249" t="s">
        <v>32</v>
      </c>
      <c r="N46" s="249" t="s">
        <v>32</v>
      </c>
      <c r="O46" s="249" t="s">
        <v>32</v>
      </c>
      <c r="P46" s="249" t="s">
        <v>32</v>
      </c>
      <c r="Q46" s="249" t="s">
        <v>32</v>
      </c>
      <c r="R46" s="198"/>
      <c r="S46" s="198"/>
      <c r="T46" s="198"/>
      <c r="U46" s="198"/>
    </row>
    <row r="47" spans="1:21" s="12" customFormat="1" x14ac:dyDescent="0.25">
      <c r="A47" s="248" t="s">
        <v>283</v>
      </c>
      <c r="B47" s="249" t="s">
        <v>32</v>
      </c>
      <c r="C47" s="249" t="s">
        <v>32</v>
      </c>
      <c r="D47" s="249" t="s">
        <v>32</v>
      </c>
      <c r="E47" s="249" t="s">
        <v>32</v>
      </c>
      <c r="F47" s="249" t="s">
        <v>32</v>
      </c>
      <c r="G47" s="249" t="s">
        <v>32</v>
      </c>
      <c r="H47" s="249" t="s">
        <v>32</v>
      </c>
      <c r="I47" s="249" t="s">
        <v>32</v>
      </c>
      <c r="J47" s="249" t="s">
        <v>32</v>
      </c>
      <c r="K47" s="249" t="s">
        <v>32</v>
      </c>
      <c r="L47" s="249" t="s">
        <v>32</v>
      </c>
      <c r="M47" s="249" t="s">
        <v>32</v>
      </c>
      <c r="N47" s="249" t="s">
        <v>32</v>
      </c>
      <c r="O47" s="249" t="s">
        <v>32</v>
      </c>
      <c r="P47" s="249" t="s">
        <v>32</v>
      </c>
      <c r="Q47" s="249" t="s">
        <v>32</v>
      </c>
      <c r="R47" s="198"/>
      <c r="S47" s="198"/>
      <c r="T47" s="198"/>
      <c r="U47" s="198"/>
    </row>
    <row r="48" spans="1:21" s="12" customFormat="1" x14ac:dyDescent="0.25">
      <c r="A48" s="248" t="s">
        <v>284</v>
      </c>
      <c r="B48" s="249" t="s">
        <v>32</v>
      </c>
      <c r="C48" s="249" t="s">
        <v>32</v>
      </c>
      <c r="D48" s="249" t="s">
        <v>32</v>
      </c>
      <c r="E48" s="249" t="s">
        <v>32</v>
      </c>
      <c r="F48" s="249" t="s">
        <v>32</v>
      </c>
      <c r="G48" s="249" t="s">
        <v>32</v>
      </c>
      <c r="H48" s="249" t="s">
        <v>32</v>
      </c>
      <c r="I48" s="249" t="s">
        <v>32</v>
      </c>
      <c r="J48" s="249" t="s">
        <v>32</v>
      </c>
      <c r="K48" s="249" t="s">
        <v>32</v>
      </c>
      <c r="L48" s="249" t="s">
        <v>32</v>
      </c>
      <c r="M48" s="249" t="s">
        <v>32</v>
      </c>
      <c r="N48" s="249" t="s">
        <v>32</v>
      </c>
      <c r="O48" s="249" t="s">
        <v>32</v>
      </c>
      <c r="P48" s="249" t="s">
        <v>32</v>
      </c>
      <c r="Q48" s="249" t="s">
        <v>32</v>
      </c>
      <c r="R48" s="198"/>
      <c r="S48" s="198"/>
      <c r="T48" s="198"/>
      <c r="U48" s="198"/>
    </row>
    <row r="49" spans="1:21" s="12" customFormat="1" x14ac:dyDescent="0.25">
      <c r="A49" s="248" t="s">
        <v>285</v>
      </c>
      <c r="B49" s="249" t="s">
        <v>32</v>
      </c>
      <c r="C49" s="249" t="s">
        <v>32</v>
      </c>
      <c r="D49" s="249" t="s">
        <v>32</v>
      </c>
      <c r="E49" s="249" t="s">
        <v>32</v>
      </c>
      <c r="F49" s="249" t="s">
        <v>32</v>
      </c>
      <c r="G49" s="249" t="s">
        <v>32</v>
      </c>
      <c r="H49" s="249" t="s">
        <v>32</v>
      </c>
      <c r="I49" s="249" t="s">
        <v>32</v>
      </c>
      <c r="J49" s="249" t="s">
        <v>32</v>
      </c>
      <c r="K49" s="249" t="s">
        <v>32</v>
      </c>
      <c r="L49" s="249" t="s">
        <v>32</v>
      </c>
      <c r="M49" s="249" t="s">
        <v>32</v>
      </c>
      <c r="N49" s="249" t="s">
        <v>32</v>
      </c>
      <c r="O49" s="249" t="s">
        <v>32</v>
      </c>
      <c r="P49" s="249" t="s">
        <v>32</v>
      </c>
      <c r="Q49" s="249" t="s">
        <v>32</v>
      </c>
      <c r="R49" s="198"/>
      <c r="S49" s="198"/>
      <c r="T49" s="198"/>
      <c r="U49" s="198"/>
    </row>
    <row r="50" spans="1:21" s="12" customFormat="1" x14ac:dyDescent="0.25">
      <c r="A50" s="248" t="s">
        <v>286</v>
      </c>
      <c r="B50" s="249" t="s">
        <v>32</v>
      </c>
      <c r="C50" s="249" t="s">
        <v>32</v>
      </c>
      <c r="D50" s="249" t="s">
        <v>32</v>
      </c>
      <c r="E50" s="249" t="s">
        <v>32</v>
      </c>
      <c r="F50" s="249" t="s">
        <v>32</v>
      </c>
      <c r="G50" s="249" t="s">
        <v>32</v>
      </c>
      <c r="H50" s="249" t="s">
        <v>32</v>
      </c>
      <c r="I50" s="249" t="s">
        <v>32</v>
      </c>
      <c r="J50" s="249" t="s">
        <v>32</v>
      </c>
      <c r="K50" s="249" t="s">
        <v>32</v>
      </c>
      <c r="L50" s="249" t="s">
        <v>32</v>
      </c>
      <c r="M50" s="249" t="s">
        <v>32</v>
      </c>
      <c r="N50" s="249" t="s">
        <v>32</v>
      </c>
      <c r="O50" s="249" t="s">
        <v>32</v>
      </c>
      <c r="P50" s="249" t="s">
        <v>32</v>
      </c>
      <c r="Q50" s="249" t="s">
        <v>32</v>
      </c>
      <c r="R50" s="198"/>
      <c r="S50" s="198"/>
      <c r="T50" s="198"/>
      <c r="U50" s="198"/>
    </row>
    <row r="51" spans="1:21" s="12" customFormat="1" x14ac:dyDescent="0.25">
      <c r="A51" s="248" t="s">
        <v>287</v>
      </c>
      <c r="B51" s="249" t="s">
        <v>32</v>
      </c>
      <c r="C51" s="249" t="s">
        <v>32</v>
      </c>
      <c r="D51" s="249" t="s">
        <v>32</v>
      </c>
      <c r="E51" s="249" t="s">
        <v>32</v>
      </c>
      <c r="F51" s="249" t="s">
        <v>32</v>
      </c>
      <c r="G51" s="249" t="s">
        <v>32</v>
      </c>
      <c r="H51" s="249" t="s">
        <v>32</v>
      </c>
      <c r="I51" s="249" t="s">
        <v>32</v>
      </c>
      <c r="J51" s="249" t="s">
        <v>32</v>
      </c>
      <c r="K51" s="249" t="s">
        <v>32</v>
      </c>
      <c r="L51" s="249" t="s">
        <v>32</v>
      </c>
      <c r="M51" s="249" t="s">
        <v>32</v>
      </c>
      <c r="N51" s="249" t="s">
        <v>32</v>
      </c>
      <c r="O51" s="249" t="s">
        <v>32</v>
      </c>
      <c r="P51" s="249" t="s">
        <v>32</v>
      </c>
      <c r="Q51" s="249" t="s">
        <v>32</v>
      </c>
      <c r="R51" s="198"/>
      <c r="S51" s="198"/>
      <c r="T51" s="198"/>
      <c r="U51" s="198"/>
    </row>
    <row r="52" spans="1:21" s="12" customFormat="1" x14ac:dyDescent="0.25">
      <c r="A52" s="248" t="s">
        <v>288</v>
      </c>
      <c r="B52" s="249" t="s">
        <v>32</v>
      </c>
      <c r="C52" s="249" t="s">
        <v>32</v>
      </c>
      <c r="D52" s="249" t="s">
        <v>32</v>
      </c>
      <c r="E52" s="249" t="s">
        <v>32</v>
      </c>
      <c r="F52" s="249" t="s">
        <v>32</v>
      </c>
      <c r="G52" s="249" t="s">
        <v>32</v>
      </c>
      <c r="H52" s="249" t="s">
        <v>32</v>
      </c>
      <c r="I52" s="249" t="s">
        <v>32</v>
      </c>
      <c r="J52" s="249" t="s">
        <v>32</v>
      </c>
      <c r="K52" s="249" t="s">
        <v>32</v>
      </c>
      <c r="L52" s="249" t="s">
        <v>32</v>
      </c>
      <c r="M52" s="249" t="s">
        <v>32</v>
      </c>
      <c r="N52" s="249" t="s">
        <v>32</v>
      </c>
      <c r="O52" s="249" t="s">
        <v>32</v>
      </c>
      <c r="P52" s="249" t="s">
        <v>32</v>
      </c>
      <c r="Q52" s="249" t="s">
        <v>32</v>
      </c>
      <c r="R52" s="198"/>
      <c r="S52" s="198"/>
      <c r="T52" s="198"/>
      <c r="U52" s="198"/>
    </row>
    <row r="53" spans="1:21" s="12" customFormat="1" x14ac:dyDescent="0.25">
      <c r="A53" s="248" t="s">
        <v>289</v>
      </c>
      <c r="B53" s="249" t="s">
        <v>32</v>
      </c>
      <c r="C53" s="249" t="s">
        <v>32</v>
      </c>
      <c r="D53" s="249" t="s">
        <v>32</v>
      </c>
      <c r="E53" s="249" t="s">
        <v>32</v>
      </c>
      <c r="F53" s="249" t="s">
        <v>32</v>
      </c>
      <c r="G53" s="249" t="s">
        <v>32</v>
      </c>
      <c r="H53" s="249" t="s">
        <v>32</v>
      </c>
      <c r="I53" s="249" t="s">
        <v>32</v>
      </c>
      <c r="J53" s="249" t="s">
        <v>32</v>
      </c>
      <c r="K53" s="249" t="s">
        <v>32</v>
      </c>
      <c r="L53" s="249" t="s">
        <v>32</v>
      </c>
      <c r="M53" s="249" t="s">
        <v>32</v>
      </c>
      <c r="N53" s="249" t="s">
        <v>32</v>
      </c>
      <c r="O53" s="249" t="s">
        <v>32</v>
      </c>
      <c r="P53" s="249" t="s">
        <v>32</v>
      </c>
      <c r="Q53" s="249" t="s">
        <v>32</v>
      </c>
      <c r="R53" s="198"/>
      <c r="S53" s="198"/>
      <c r="T53" s="198"/>
      <c r="U53" s="198"/>
    </row>
    <row r="54" spans="1:21" s="12" customFormat="1" x14ac:dyDescent="0.25">
      <c r="A54" s="248" t="s">
        <v>290</v>
      </c>
      <c r="B54" s="249" t="s">
        <v>32</v>
      </c>
      <c r="C54" s="249" t="s">
        <v>32</v>
      </c>
      <c r="D54" s="249" t="s">
        <v>32</v>
      </c>
      <c r="E54" s="249" t="s">
        <v>32</v>
      </c>
      <c r="F54" s="249" t="s">
        <v>32</v>
      </c>
      <c r="G54" s="249" t="s">
        <v>32</v>
      </c>
      <c r="H54" s="249" t="s">
        <v>32</v>
      </c>
      <c r="I54" s="249" t="s">
        <v>32</v>
      </c>
      <c r="J54" s="249" t="s">
        <v>32</v>
      </c>
      <c r="K54" s="249" t="s">
        <v>32</v>
      </c>
      <c r="L54" s="249" t="s">
        <v>32</v>
      </c>
      <c r="M54" s="249" t="s">
        <v>32</v>
      </c>
      <c r="N54" s="249" t="s">
        <v>32</v>
      </c>
      <c r="O54" s="249" t="s">
        <v>32</v>
      </c>
      <c r="P54" s="249" t="s">
        <v>32</v>
      </c>
      <c r="Q54" s="249" t="s">
        <v>32</v>
      </c>
      <c r="R54" s="198"/>
      <c r="S54" s="198"/>
      <c r="T54" s="198"/>
      <c r="U54" s="198"/>
    </row>
    <row r="55" spans="1:21" s="12" customFormat="1" x14ac:dyDescent="0.25">
      <c r="A55" s="248" t="s">
        <v>291</v>
      </c>
      <c r="B55" s="249" t="s">
        <v>32</v>
      </c>
      <c r="C55" s="249" t="s">
        <v>32</v>
      </c>
      <c r="D55" s="249" t="s">
        <v>32</v>
      </c>
      <c r="E55" s="249" t="s">
        <v>32</v>
      </c>
      <c r="F55" s="249" t="s">
        <v>32</v>
      </c>
      <c r="G55" s="249" t="s">
        <v>32</v>
      </c>
      <c r="H55" s="249" t="s">
        <v>32</v>
      </c>
      <c r="I55" s="249" t="s">
        <v>32</v>
      </c>
      <c r="J55" s="249" t="s">
        <v>32</v>
      </c>
      <c r="K55" s="249" t="s">
        <v>32</v>
      </c>
      <c r="L55" s="249" t="s">
        <v>32</v>
      </c>
      <c r="M55" s="249" t="s">
        <v>32</v>
      </c>
      <c r="N55" s="249" t="s">
        <v>32</v>
      </c>
      <c r="O55" s="249" t="s">
        <v>32</v>
      </c>
      <c r="P55" s="249" t="s">
        <v>32</v>
      </c>
      <c r="Q55" s="249" t="s">
        <v>32</v>
      </c>
      <c r="R55" s="198"/>
      <c r="S55" s="198"/>
      <c r="T55" s="198"/>
      <c r="U55" s="198"/>
    </row>
    <row r="56" spans="1:21" s="12" customFormat="1" x14ac:dyDescent="0.25">
      <c r="A56" s="248" t="s">
        <v>292</v>
      </c>
      <c r="B56" s="249" t="s">
        <v>32</v>
      </c>
      <c r="C56" s="249" t="s">
        <v>32</v>
      </c>
      <c r="D56" s="249" t="s">
        <v>32</v>
      </c>
      <c r="E56" s="249" t="s">
        <v>32</v>
      </c>
      <c r="F56" s="249" t="s">
        <v>32</v>
      </c>
      <c r="G56" s="249" t="s">
        <v>32</v>
      </c>
      <c r="H56" s="249" t="s">
        <v>32</v>
      </c>
      <c r="I56" s="249" t="s">
        <v>32</v>
      </c>
      <c r="J56" s="249" t="s">
        <v>32</v>
      </c>
      <c r="K56" s="249" t="s">
        <v>32</v>
      </c>
      <c r="L56" s="249" t="s">
        <v>32</v>
      </c>
      <c r="M56" s="249" t="s">
        <v>32</v>
      </c>
      <c r="N56" s="249" t="s">
        <v>32</v>
      </c>
      <c r="O56" s="249" t="s">
        <v>32</v>
      </c>
      <c r="P56" s="249" t="s">
        <v>32</v>
      </c>
      <c r="Q56" s="249" t="s">
        <v>32</v>
      </c>
      <c r="R56" s="198"/>
      <c r="S56" s="198"/>
      <c r="T56" s="198"/>
      <c r="U56" s="198"/>
    </row>
    <row r="57" spans="1:21" s="12" customFormat="1" x14ac:dyDescent="0.25">
      <c r="A57" s="248" t="s">
        <v>293</v>
      </c>
      <c r="B57" s="249" t="s">
        <v>32</v>
      </c>
      <c r="C57" s="249" t="s">
        <v>32</v>
      </c>
      <c r="D57" s="249" t="s">
        <v>32</v>
      </c>
      <c r="E57" s="249" t="s">
        <v>32</v>
      </c>
      <c r="F57" s="249" t="s">
        <v>32</v>
      </c>
      <c r="G57" s="249" t="s">
        <v>32</v>
      </c>
      <c r="H57" s="249" t="s">
        <v>32</v>
      </c>
      <c r="I57" s="249" t="s">
        <v>32</v>
      </c>
      <c r="J57" s="249" t="s">
        <v>32</v>
      </c>
      <c r="K57" s="249" t="s">
        <v>32</v>
      </c>
      <c r="L57" s="249" t="s">
        <v>32</v>
      </c>
      <c r="M57" s="249" t="s">
        <v>32</v>
      </c>
      <c r="N57" s="249" t="s">
        <v>32</v>
      </c>
      <c r="O57" s="249" t="s">
        <v>32</v>
      </c>
      <c r="P57" s="249" t="s">
        <v>32</v>
      </c>
      <c r="Q57" s="249" t="s">
        <v>32</v>
      </c>
      <c r="R57" s="198"/>
      <c r="S57" s="198"/>
      <c r="T57" s="198"/>
      <c r="U57" s="198"/>
    </row>
    <row r="58" spans="1:21" s="12" customFormat="1" x14ac:dyDescent="0.25">
      <c r="A58" s="248" t="s">
        <v>294</v>
      </c>
      <c r="B58" s="249" t="s">
        <v>32</v>
      </c>
      <c r="C58" s="249" t="s">
        <v>32</v>
      </c>
      <c r="D58" s="249" t="s">
        <v>32</v>
      </c>
      <c r="E58" s="249" t="s">
        <v>32</v>
      </c>
      <c r="F58" s="249" t="s">
        <v>32</v>
      </c>
      <c r="G58" s="249" t="s">
        <v>32</v>
      </c>
      <c r="H58" s="249" t="s">
        <v>32</v>
      </c>
      <c r="I58" s="249" t="s">
        <v>32</v>
      </c>
      <c r="J58" s="249" t="s">
        <v>32</v>
      </c>
      <c r="K58" s="249" t="s">
        <v>32</v>
      </c>
      <c r="L58" s="249" t="s">
        <v>32</v>
      </c>
      <c r="M58" s="249" t="s">
        <v>32</v>
      </c>
      <c r="N58" s="249" t="s">
        <v>32</v>
      </c>
      <c r="O58" s="249" t="s">
        <v>32</v>
      </c>
      <c r="P58" s="249" t="s">
        <v>32</v>
      </c>
      <c r="Q58" s="249" t="s">
        <v>32</v>
      </c>
      <c r="R58" s="198"/>
      <c r="S58" s="198"/>
      <c r="T58" s="198"/>
      <c r="U58" s="198"/>
    </row>
    <row r="59" spans="1:21" s="12" customFormat="1" x14ac:dyDescent="0.25">
      <c r="A59" s="248" t="s">
        <v>295</v>
      </c>
      <c r="B59" s="249" t="s">
        <v>32</v>
      </c>
      <c r="C59" s="249" t="s">
        <v>32</v>
      </c>
      <c r="D59" s="249" t="s">
        <v>32</v>
      </c>
      <c r="E59" s="249" t="s">
        <v>32</v>
      </c>
      <c r="F59" s="249" t="s">
        <v>32</v>
      </c>
      <c r="G59" s="249" t="s">
        <v>32</v>
      </c>
      <c r="H59" s="249" t="s">
        <v>32</v>
      </c>
      <c r="I59" s="249" t="s">
        <v>32</v>
      </c>
      <c r="J59" s="249" t="s">
        <v>32</v>
      </c>
      <c r="K59" s="249" t="s">
        <v>32</v>
      </c>
      <c r="L59" s="249" t="s">
        <v>32</v>
      </c>
      <c r="M59" s="249" t="s">
        <v>32</v>
      </c>
      <c r="N59" s="249" t="s">
        <v>32</v>
      </c>
      <c r="O59" s="249" t="s">
        <v>32</v>
      </c>
      <c r="P59" s="249" t="s">
        <v>32</v>
      </c>
      <c r="Q59" s="249" t="s">
        <v>32</v>
      </c>
      <c r="R59" s="198"/>
      <c r="S59" s="198"/>
      <c r="T59" s="198"/>
      <c r="U59" s="198"/>
    </row>
    <row r="60" spans="1:21" s="12" customFormat="1" x14ac:dyDescent="0.25">
      <c r="A60" s="248" t="s">
        <v>296</v>
      </c>
      <c r="B60" s="249" t="s">
        <v>32</v>
      </c>
      <c r="C60" s="249" t="s">
        <v>32</v>
      </c>
      <c r="D60" s="249" t="s">
        <v>32</v>
      </c>
      <c r="E60" s="249" t="s">
        <v>32</v>
      </c>
      <c r="F60" s="249" t="s">
        <v>32</v>
      </c>
      <c r="G60" s="249" t="s">
        <v>32</v>
      </c>
      <c r="H60" s="249" t="s">
        <v>32</v>
      </c>
      <c r="I60" s="249" t="s">
        <v>32</v>
      </c>
      <c r="J60" s="249" t="s">
        <v>32</v>
      </c>
      <c r="K60" s="249" t="s">
        <v>32</v>
      </c>
      <c r="L60" s="249" t="s">
        <v>32</v>
      </c>
      <c r="M60" s="249" t="s">
        <v>32</v>
      </c>
      <c r="N60" s="249" t="s">
        <v>32</v>
      </c>
      <c r="O60" s="249" t="s">
        <v>32</v>
      </c>
      <c r="P60" s="249" t="s">
        <v>32</v>
      </c>
      <c r="Q60" s="249" t="s">
        <v>32</v>
      </c>
      <c r="R60" s="198"/>
      <c r="S60" s="198"/>
      <c r="T60" s="198"/>
      <c r="U60" s="198"/>
    </row>
    <row r="61" spans="1:21" s="12" customFormat="1" x14ac:dyDescent="0.25">
      <c r="A61" s="248" t="s">
        <v>297</v>
      </c>
      <c r="B61" s="249" t="s">
        <v>32</v>
      </c>
      <c r="C61" s="249" t="s">
        <v>32</v>
      </c>
      <c r="D61" s="249" t="s">
        <v>32</v>
      </c>
      <c r="E61" s="249" t="s">
        <v>32</v>
      </c>
      <c r="F61" s="249" t="s">
        <v>32</v>
      </c>
      <c r="G61" s="249" t="s">
        <v>32</v>
      </c>
      <c r="H61" s="249" t="s">
        <v>32</v>
      </c>
      <c r="I61" s="249" t="s">
        <v>32</v>
      </c>
      <c r="J61" s="249" t="s">
        <v>32</v>
      </c>
      <c r="K61" s="249" t="s">
        <v>32</v>
      </c>
      <c r="L61" s="249" t="s">
        <v>32</v>
      </c>
      <c r="M61" s="249" t="s">
        <v>32</v>
      </c>
      <c r="N61" s="249" t="s">
        <v>32</v>
      </c>
      <c r="O61" s="249" t="s">
        <v>32</v>
      </c>
      <c r="P61" s="249" t="s">
        <v>32</v>
      </c>
      <c r="Q61" s="249" t="s">
        <v>32</v>
      </c>
      <c r="R61" s="198"/>
      <c r="S61" s="198"/>
      <c r="T61" s="198"/>
      <c r="U61" s="198"/>
    </row>
    <row r="62" spans="1:21" s="12" customFormat="1" x14ac:dyDescent="0.25">
      <c r="A62" s="248" t="s">
        <v>298</v>
      </c>
      <c r="B62" s="249" t="s">
        <v>32</v>
      </c>
      <c r="C62" s="249" t="s">
        <v>32</v>
      </c>
      <c r="D62" s="249" t="s">
        <v>32</v>
      </c>
      <c r="E62" s="249" t="s">
        <v>32</v>
      </c>
      <c r="F62" s="249" t="s">
        <v>32</v>
      </c>
      <c r="G62" s="249" t="s">
        <v>32</v>
      </c>
      <c r="H62" s="249" t="s">
        <v>32</v>
      </c>
      <c r="I62" s="249" t="s">
        <v>32</v>
      </c>
      <c r="J62" s="249" t="s">
        <v>32</v>
      </c>
      <c r="K62" s="249" t="s">
        <v>32</v>
      </c>
      <c r="L62" s="249" t="s">
        <v>32</v>
      </c>
      <c r="M62" s="249" t="s">
        <v>32</v>
      </c>
      <c r="N62" s="249" t="s">
        <v>32</v>
      </c>
      <c r="O62" s="249" t="s">
        <v>32</v>
      </c>
      <c r="P62" s="249" t="s">
        <v>32</v>
      </c>
      <c r="Q62" s="249" t="s">
        <v>32</v>
      </c>
      <c r="R62" s="198"/>
      <c r="S62" s="198"/>
      <c r="T62" s="198"/>
      <c r="U62" s="198"/>
    </row>
    <row r="63" spans="1:21" s="12" customFormat="1" x14ac:dyDescent="0.25">
      <c r="A63" s="248" t="s">
        <v>299</v>
      </c>
      <c r="B63" s="249" t="s">
        <v>32</v>
      </c>
      <c r="C63" s="249" t="s">
        <v>32</v>
      </c>
      <c r="D63" s="249" t="s">
        <v>32</v>
      </c>
      <c r="E63" s="249" t="s">
        <v>32</v>
      </c>
      <c r="F63" s="249" t="s">
        <v>32</v>
      </c>
      <c r="G63" s="249" t="s">
        <v>32</v>
      </c>
      <c r="H63" s="249" t="s">
        <v>32</v>
      </c>
      <c r="I63" s="249" t="s">
        <v>32</v>
      </c>
      <c r="J63" s="249" t="s">
        <v>32</v>
      </c>
      <c r="K63" s="249" t="s">
        <v>32</v>
      </c>
      <c r="L63" s="249" t="s">
        <v>32</v>
      </c>
      <c r="M63" s="249" t="s">
        <v>32</v>
      </c>
      <c r="N63" s="249" t="s">
        <v>32</v>
      </c>
      <c r="O63" s="249" t="s">
        <v>32</v>
      </c>
      <c r="P63" s="249" t="s">
        <v>32</v>
      </c>
      <c r="Q63" s="249" t="s">
        <v>32</v>
      </c>
      <c r="R63" s="198"/>
      <c r="S63" s="198"/>
      <c r="T63" s="198"/>
      <c r="U63" s="198"/>
    </row>
    <row r="64" spans="1:21" s="12" customFormat="1" x14ac:dyDescent="0.25">
      <c r="A64" s="248" t="s">
        <v>300</v>
      </c>
      <c r="B64" s="249" t="s">
        <v>32</v>
      </c>
      <c r="C64" s="249" t="s">
        <v>32</v>
      </c>
      <c r="D64" s="249" t="s">
        <v>32</v>
      </c>
      <c r="E64" s="249" t="s">
        <v>32</v>
      </c>
      <c r="F64" s="249" t="s">
        <v>32</v>
      </c>
      <c r="G64" s="249" t="s">
        <v>32</v>
      </c>
      <c r="H64" s="249" t="s">
        <v>32</v>
      </c>
      <c r="I64" s="249" t="s">
        <v>32</v>
      </c>
      <c r="J64" s="249" t="s">
        <v>32</v>
      </c>
      <c r="K64" s="249" t="s">
        <v>32</v>
      </c>
      <c r="L64" s="249" t="s">
        <v>32</v>
      </c>
      <c r="M64" s="249" t="s">
        <v>32</v>
      </c>
      <c r="N64" s="249" t="s">
        <v>32</v>
      </c>
      <c r="O64" s="249" t="s">
        <v>32</v>
      </c>
      <c r="P64" s="249" t="s">
        <v>32</v>
      </c>
      <c r="Q64" s="249" t="s">
        <v>32</v>
      </c>
      <c r="R64" s="198"/>
      <c r="S64" s="198"/>
      <c r="T64" s="198"/>
      <c r="U64" s="198"/>
    </row>
    <row r="65" spans="1:21" s="12" customFormat="1" x14ac:dyDescent="0.25">
      <c r="A65" s="248" t="s">
        <v>301</v>
      </c>
      <c r="B65" s="249" t="s">
        <v>32</v>
      </c>
      <c r="C65" s="249" t="s">
        <v>32</v>
      </c>
      <c r="D65" s="249" t="s">
        <v>32</v>
      </c>
      <c r="E65" s="249" t="s">
        <v>32</v>
      </c>
      <c r="F65" s="249" t="s">
        <v>32</v>
      </c>
      <c r="G65" s="249" t="s">
        <v>32</v>
      </c>
      <c r="H65" s="249" t="s">
        <v>32</v>
      </c>
      <c r="I65" s="249" t="s">
        <v>32</v>
      </c>
      <c r="J65" s="249" t="s">
        <v>32</v>
      </c>
      <c r="K65" s="249" t="s">
        <v>32</v>
      </c>
      <c r="L65" s="249" t="s">
        <v>32</v>
      </c>
      <c r="M65" s="249" t="s">
        <v>32</v>
      </c>
      <c r="N65" s="249" t="s">
        <v>32</v>
      </c>
      <c r="O65" s="249" t="s">
        <v>32</v>
      </c>
      <c r="P65" s="249" t="s">
        <v>32</v>
      </c>
      <c r="Q65" s="249" t="s">
        <v>32</v>
      </c>
      <c r="R65" s="198"/>
      <c r="S65" s="198"/>
      <c r="T65" s="198"/>
      <c r="U65" s="198"/>
    </row>
    <row r="66" spans="1:21" s="12" customFormat="1" x14ac:dyDescent="0.25">
      <c r="A66" s="248" t="s">
        <v>302</v>
      </c>
      <c r="B66" s="249" t="s">
        <v>32</v>
      </c>
      <c r="C66" s="249" t="s">
        <v>32</v>
      </c>
      <c r="D66" s="249" t="s">
        <v>32</v>
      </c>
      <c r="E66" s="249" t="s">
        <v>32</v>
      </c>
      <c r="F66" s="249" t="s">
        <v>32</v>
      </c>
      <c r="G66" s="249" t="s">
        <v>32</v>
      </c>
      <c r="H66" s="249" t="s">
        <v>32</v>
      </c>
      <c r="I66" s="249" t="s">
        <v>32</v>
      </c>
      <c r="J66" s="249" t="s">
        <v>32</v>
      </c>
      <c r="K66" s="249" t="s">
        <v>32</v>
      </c>
      <c r="L66" s="249" t="s">
        <v>32</v>
      </c>
      <c r="M66" s="249" t="s">
        <v>32</v>
      </c>
      <c r="N66" s="249" t="s">
        <v>32</v>
      </c>
      <c r="O66" s="249" t="s">
        <v>32</v>
      </c>
      <c r="P66" s="249" t="s">
        <v>32</v>
      </c>
      <c r="Q66" s="249" t="s">
        <v>32</v>
      </c>
      <c r="R66" s="198"/>
      <c r="S66" s="198"/>
      <c r="T66" s="198"/>
      <c r="U66" s="198"/>
    </row>
    <row r="67" spans="1:21" s="12" customFormat="1" x14ac:dyDescent="0.25">
      <c r="A67" s="248" t="s">
        <v>303</v>
      </c>
      <c r="B67" s="249" t="s">
        <v>32</v>
      </c>
      <c r="C67" s="249" t="s">
        <v>32</v>
      </c>
      <c r="D67" s="249" t="s">
        <v>32</v>
      </c>
      <c r="E67" s="249" t="s">
        <v>32</v>
      </c>
      <c r="F67" s="249" t="s">
        <v>32</v>
      </c>
      <c r="G67" s="249" t="s">
        <v>32</v>
      </c>
      <c r="H67" s="249" t="s">
        <v>32</v>
      </c>
      <c r="I67" s="249" t="s">
        <v>32</v>
      </c>
      <c r="J67" s="249" t="s">
        <v>32</v>
      </c>
      <c r="K67" s="249" t="s">
        <v>32</v>
      </c>
      <c r="L67" s="249" t="s">
        <v>32</v>
      </c>
      <c r="M67" s="249" t="s">
        <v>32</v>
      </c>
      <c r="N67" s="249" t="s">
        <v>32</v>
      </c>
      <c r="O67" s="249" t="s">
        <v>32</v>
      </c>
      <c r="P67" s="249" t="s">
        <v>32</v>
      </c>
      <c r="Q67" s="249" t="s">
        <v>32</v>
      </c>
      <c r="R67" s="198"/>
      <c r="S67" s="198"/>
      <c r="T67" s="198"/>
      <c r="U67" s="198"/>
    </row>
    <row r="68" spans="1:21" s="12" customFormat="1" x14ac:dyDescent="0.25">
      <c r="A68" s="248" t="s">
        <v>304</v>
      </c>
      <c r="B68" s="249" t="s">
        <v>32</v>
      </c>
      <c r="C68" s="249" t="s">
        <v>32</v>
      </c>
      <c r="D68" s="249" t="s">
        <v>32</v>
      </c>
      <c r="E68" s="249" t="s">
        <v>32</v>
      </c>
      <c r="F68" s="249" t="s">
        <v>32</v>
      </c>
      <c r="G68" s="249" t="s">
        <v>32</v>
      </c>
      <c r="H68" s="249" t="s">
        <v>32</v>
      </c>
      <c r="I68" s="249" t="s">
        <v>32</v>
      </c>
      <c r="J68" s="249" t="s">
        <v>32</v>
      </c>
      <c r="K68" s="249" t="s">
        <v>32</v>
      </c>
      <c r="L68" s="249" t="s">
        <v>32</v>
      </c>
      <c r="M68" s="249" t="s">
        <v>32</v>
      </c>
      <c r="N68" s="249" t="s">
        <v>32</v>
      </c>
      <c r="O68" s="249" t="s">
        <v>32</v>
      </c>
      <c r="P68" s="249" t="s">
        <v>32</v>
      </c>
      <c r="Q68" s="249" t="s">
        <v>32</v>
      </c>
      <c r="R68" s="198"/>
      <c r="S68" s="198"/>
      <c r="T68" s="198"/>
      <c r="U68" s="198"/>
    </row>
    <row r="69" spans="1:21" s="12" customFormat="1" x14ac:dyDescent="0.25">
      <c r="A69" s="248" t="s">
        <v>305</v>
      </c>
      <c r="B69" s="249" t="s">
        <v>32</v>
      </c>
      <c r="C69" s="249" t="s">
        <v>32</v>
      </c>
      <c r="D69" s="249" t="s">
        <v>32</v>
      </c>
      <c r="E69" s="249" t="s">
        <v>32</v>
      </c>
      <c r="F69" s="249" t="s">
        <v>32</v>
      </c>
      <c r="G69" s="249" t="s">
        <v>32</v>
      </c>
      <c r="H69" s="249" t="s">
        <v>32</v>
      </c>
      <c r="I69" s="249" t="s">
        <v>32</v>
      </c>
      <c r="J69" s="249" t="s">
        <v>32</v>
      </c>
      <c r="K69" s="249" t="s">
        <v>32</v>
      </c>
      <c r="L69" s="249" t="s">
        <v>32</v>
      </c>
      <c r="M69" s="249" t="s">
        <v>32</v>
      </c>
      <c r="N69" s="249" t="s">
        <v>32</v>
      </c>
      <c r="O69" s="249" t="s">
        <v>32</v>
      </c>
      <c r="P69" s="249" t="s">
        <v>32</v>
      </c>
      <c r="Q69" s="249" t="s">
        <v>32</v>
      </c>
      <c r="R69" s="198"/>
      <c r="S69" s="198"/>
      <c r="T69" s="198"/>
      <c r="U69" s="198"/>
    </row>
    <row r="70" spans="1:21" s="12" customFormat="1" x14ac:dyDescent="0.25">
      <c r="A70" s="248" t="s">
        <v>306</v>
      </c>
      <c r="B70" s="249" t="s">
        <v>32</v>
      </c>
      <c r="C70" s="249" t="s">
        <v>32</v>
      </c>
      <c r="D70" s="249" t="s">
        <v>32</v>
      </c>
      <c r="E70" s="249" t="s">
        <v>32</v>
      </c>
      <c r="F70" s="249" t="s">
        <v>32</v>
      </c>
      <c r="G70" s="249" t="s">
        <v>32</v>
      </c>
      <c r="H70" s="249" t="s">
        <v>32</v>
      </c>
      <c r="I70" s="249" t="s">
        <v>32</v>
      </c>
      <c r="J70" s="249" t="s">
        <v>32</v>
      </c>
      <c r="K70" s="249" t="s">
        <v>32</v>
      </c>
      <c r="L70" s="249" t="s">
        <v>32</v>
      </c>
      <c r="M70" s="249" t="s">
        <v>32</v>
      </c>
      <c r="N70" s="249" t="s">
        <v>32</v>
      </c>
      <c r="O70" s="249" t="s">
        <v>32</v>
      </c>
      <c r="P70" s="249" t="s">
        <v>32</v>
      </c>
      <c r="Q70" s="249" t="s">
        <v>32</v>
      </c>
      <c r="R70" s="198"/>
      <c r="S70" s="198"/>
      <c r="T70" s="198"/>
      <c r="U70" s="198"/>
    </row>
    <row r="71" spans="1:21" s="12" customFormat="1" x14ac:dyDescent="0.25">
      <c r="A71" s="248" t="s">
        <v>307</v>
      </c>
      <c r="B71" s="249" t="s">
        <v>32</v>
      </c>
      <c r="C71" s="249" t="s">
        <v>32</v>
      </c>
      <c r="D71" s="249" t="s">
        <v>32</v>
      </c>
      <c r="E71" s="249" t="s">
        <v>32</v>
      </c>
      <c r="F71" s="249" t="s">
        <v>32</v>
      </c>
      <c r="G71" s="249" t="s">
        <v>32</v>
      </c>
      <c r="H71" s="249" t="s">
        <v>32</v>
      </c>
      <c r="I71" s="249" t="s">
        <v>32</v>
      </c>
      <c r="J71" s="249" t="s">
        <v>32</v>
      </c>
      <c r="K71" s="249" t="s">
        <v>32</v>
      </c>
      <c r="L71" s="249" t="s">
        <v>32</v>
      </c>
      <c r="M71" s="249" t="s">
        <v>32</v>
      </c>
      <c r="N71" s="249" t="s">
        <v>32</v>
      </c>
      <c r="O71" s="249" t="s">
        <v>32</v>
      </c>
      <c r="P71" s="249" t="s">
        <v>32</v>
      </c>
      <c r="Q71" s="249" t="s">
        <v>32</v>
      </c>
      <c r="R71" s="198"/>
      <c r="S71" s="198"/>
      <c r="T71" s="198"/>
      <c r="U71" s="198"/>
    </row>
    <row r="72" spans="1:21" s="12" customFormat="1" x14ac:dyDescent="0.25">
      <c r="A72" s="248" t="s">
        <v>308</v>
      </c>
      <c r="B72" s="249" t="s">
        <v>32</v>
      </c>
      <c r="C72" s="249" t="s">
        <v>32</v>
      </c>
      <c r="D72" s="249" t="s">
        <v>32</v>
      </c>
      <c r="E72" s="249" t="s">
        <v>32</v>
      </c>
      <c r="F72" s="249" t="s">
        <v>32</v>
      </c>
      <c r="G72" s="249" t="s">
        <v>32</v>
      </c>
      <c r="H72" s="249" t="s">
        <v>32</v>
      </c>
      <c r="I72" s="249" t="s">
        <v>32</v>
      </c>
      <c r="J72" s="249" t="s">
        <v>32</v>
      </c>
      <c r="K72" s="249" t="s">
        <v>32</v>
      </c>
      <c r="L72" s="249" t="s">
        <v>32</v>
      </c>
      <c r="M72" s="249" t="s">
        <v>32</v>
      </c>
      <c r="N72" s="249" t="s">
        <v>32</v>
      </c>
      <c r="O72" s="249" t="s">
        <v>32</v>
      </c>
      <c r="P72" s="249" t="s">
        <v>32</v>
      </c>
      <c r="Q72" s="249" t="s">
        <v>32</v>
      </c>
      <c r="R72" s="198"/>
      <c r="S72" s="198"/>
      <c r="T72" s="198"/>
      <c r="U72" s="198"/>
    </row>
    <row r="73" spans="1:21" s="12" customFormat="1" x14ac:dyDescent="0.25">
      <c r="A73" s="248" t="s">
        <v>309</v>
      </c>
      <c r="B73" s="249" t="s">
        <v>32</v>
      </c>
      <c r="C73" s="249" t="s">
        <v>32</v>
      </c>
      <c r="D73" s="249" t="s">
        <v>32</v>
      </c>
      <c r="E73" s="249" t="s">
        <v>32</v>
      </c>
      <c r="F73" s="249" t="s">
        <v>32</v>
      </c>
      <c r="G73" s="249" t="s">
        <v>32</v>
      </c>
      <c r="H73" s="249" t="s">
        <v>32</v>
      </c>
      <c r="I73" s="249" t="s">
        <v>32</v>
      </c>
      <c r="J73" s="249" t="s">
        <v>32</v>
      </c>
      <c r="K73" s="249" t="s">
        <v>32</v>
      </c>
      <c r="L73" s="249" t="s">
        <v>32</v>
      </c>
      <c r="M73" s="249" t="s">
        <v>32</v>
      </c>
      <c r="N73" s="249" t="s">
        <v>32</v>
      </c>
      <c r="O73" s="249" t="s">
        <v>32</v>
      </c>
      <c r="P73" s="249" t="s">
        <v>32</v>
      </c>
      <c r="Q73" s="249" t="s">
        <v>32</v>
      </c>
      <c r="R73" s="198"/>
      <c r="S73" s="198"/>
      <c r="T73" s="198"/>
      <c r="U73" s="198"/>
    </row>
    <row r="74" spans="1:21" s="12" customFormat="1" x14ac:dyDescent="0.25">
      <c r="A74" s="248" t="s">
        <v>310</v>
      </c>
      <c r="B74" s="249" t="s">
        <v>32</v>
      </c>
      <c r="C74" s="249" t="s">
        <v>32</v>
      </c>
      <c r="D74" s="249" t="s">
        <v>32</v>
      </c>
      <c r="E74" s="249" t="s">
        <v>32</v>
      </c>
      <c r="F74" s="249" t="s">
        <v>32</v>
      </c>
      <c r="G74" s="249" t="s">
        <v>32</v>
      </c>
      <c r="H74" s="249" t="s">
        <v>32</v>
      </c>
      <c r="I74" s="249" t="s">
        <v>32</v>
      </c>
      <c r="J74" s="249" t="s">
        <v>32</v>
      </c>
      <c r="K74" s="249" t="s">
        <v>32</v>
      </c>
      <c r="L74" s="249" t="s">
        <v>32</v>
      </c>
      <c r="M74" s="249" t="s">
        <v>32</v>
      </c>
      <c r="N74" s="249" t="s">
        <v>32</v>
      </c>
      <c r="O74" s="249" t="s">
        <v>32</v>
      </c>
      <c r="P74" s="249" t="s">
        <v>32</v>
      </c>
      <c r="Q74" s="249" t="s">
        <v>32</v>
      </c>
      <c r="R74" s="198"/>
      <c r="S74" s="198"/>
      <c r="T74" s="198"/>
      <c r="U74" s="198"/>
    </row>
    <row r="75" spans="1:21" s="12" customFormat="1" x14ac:dyDescent="0.25">
      <c r="A75" s="248" t="s">
        <v>311</v>
      </c>
      <c r="B75" s="249" t="s">
        <v>32</v>
      </c>
      <c r="C75" s="249" t="s">
        <v>32</v>
      </c>
      <c r="D75" s="249" t="s">
        <v>32</v>
      </c>
      <c r="E75" s="249" t="s">
        <v>32</v>
      </c>
      <c r="F75" s="249" t="s">
        <v>32</v>
      </c>
      <c r="G75" s="249" t="s">
        <v>32</v>
      </c>
      <c r="H75" s="249" t="s">
        <v>32</v>
      </c>
      <c r="I75" s="249" t="s">
        <v>32</v>
      </c>
      <c r="J75" s="249" t="s">
        <v>32</v>
      </c>
      <c r="K75" s="249" t="s">
        <v>32</v>
      </c>
      <c r="L75" s="249" t="s">
        <v>32</v>
      </c>
      <c r="M75" s="249" t="s">
        <v>32</v>
      </c>
      <c r="N75" s="249" t="s">
        <v>32</v>
      </c>
      <c r="O75" s="249" t="s">
        <v>32</v>
      </c>
      <c r="P75" s="249" t="s">
        <v>32</v>
      </c>
      <c r="Q75" s="249" t="s">
        <v>32</v>
      </c>
      <c r="R75" s="198"/>
      <c r="S75" s="198"/>
      <c r="T75" s="198"/>
      <c r="U75" s="198"/>
    </row>
    <row r="76" spans="1:21" s="12" customFormat="1" x14ac:dyDescent="0.25">
      <c r="A76" s="248" t="s">
        <v>312</v>
      </c>
      <c r="B76" s="249" t="s">
        <v>32</v>
      </c>
      <c r="C76" s="249" t="s">
        <v>32</v>
      </c>
      <c r="D76" s="249" t="s">
        <v>32</v>
      </c>
      <c r="E76" s="249" t="s">
        <v>32</v>
      </c>
      <c r="F76" s="249" t="s">
        <v>32</v>
      </c>
      <c r="G76" s="249" t="s">
        <v>32</v>
      </c>
      <c r="H76" s="249" t="s">
        <v>32</v>
      </c>
      <c r="I76" s="249" t="s">
        <v>32</v>
      </c>
      <c r="J76" s="249" t="s">
        <v>32</v>
      </c>
      <c r="K76" s="249" t="s">
        <v>32</v>
      </c>
      <c r="L76" s="249" t="s">
        <v>32</v>
      </c>
      <c r="M76" s="249" t="s">
        <v>32</v>
      </c>
      <c r="N76" s="249" t="s">
        <v>32</v>
      </c>
      <c r="O76" s="249" t="s">
        <v>32</v>
      </c>
      <c r="P76" s="249" t="s">
        <v>32</v>
      </c>
      <c r="Q76" s="249" t="s">
        <v>32</v>
      </c>
      <c r="R76" s="198"/>
      <c r="S76" s="198"/>
      <c r="T76" s="198"/>
      <c r="U76" s="198"/>
    </row>
    <row r="77" spans="1:21" s="12" customFormat="1" x14ac:dyDescent="0.25">
      <c r="A77" s="248" t="s">
        <v>313</v>
      </c>
      <c r="B77" s="249" t="s">
        <v>32</v>
      </c>
      <c r="C77" s="249" t="s">
        <v>32</v>
      </c>
      <c r="D77" s="249" t="s">
        <v>32</v>
      </c>
      <c r="E77" s="249" t="s">
        <v>32</v>
      </c>
      <c r="F77" s="249" t="s">
        <v>32</v>
      </c>
      <c r="G77" s="249" t="s">
        <v>32</v>
      </c>
      <c r="H77" s="249" t="s">
        <v>32</v>
      </c>
      <c r="I77" s="249" t="s">
        <v>32</v>
      </c>
      <c r="J77" s="249" t="s">
        <v>32</v>
      </c>
      <c r="K77" s="249" t="s">
        <v>32</v>
      </c>
      <c r="L77" s="249" t="s">
        <v>32</v>
      </c>
      <c r="M77" s="249" t="s">
        <v>32</v>
      </c>
      <c r="N77" s="249" t="s">
        <v>32</v>
      </c>
      <c r="O77" s="249" t="s">
        <v>32</v>
      </c>
      <c r="P77" s="249" t="s">
        <v>32</v>
      </c>
      <c r="Q77" s="249" t="s">
        <v>32</v>
      </c>
      <c r="R77" s="198"/>
      <c r="S77" s="198"/>
      <c r="T77" s="198"/>
      <c r="U77" s="198"/>
    </row>
    <row r="78" spans="1:21" s="12" customFormat="1" x14ac:dyDescent="0.25">
      <c r="A78" s="248" t="s">
        <v>314</v>
      </c>
      <c r="B78" s="249" t="s">
        <v>32</v>
      </c>
      <c r="C78" s="249" t="s">
        <v>32</v>
      </c>
      <c r="D78" s="249" t="s">
        <v>32</v>
      </c>
      <c r="E78" s="249" t="s">
        <v>32</v>
      </c>
      <c r="F78" s="249" t="s">
        <v>32</v>
      </c>
      <c r="G78" s="249" t="s">
        <v>32</v>
      </c>
      <c r="H78" s="249" t="s">
        <v>32</v>
      </c>
      <c r="I78" s="249" t="s">
        <v>32</v>
      </c>
      <c r="J78" s="249" t="s">
        <v>32</v>
      </c>
      <c r="K78" s="249" t="s">
        <v>32</v>
      </c>
      <c r="L78" s="249" t="s">
        <v>32</v>
      </c>
      <c r="M78" s="249" t="s">
        <v>32</v>
      </c>
      <c r="N78" s="249" t="s">
        <v>32</v>
      </c>
      <c r="O78" s="249" t="s">
        <v>32</v>
      </c>
      <c r="P78" s="249" t="s">
        <v>32</v>
      </c>
      <c r="Q78" s="249" t="s">
        <v>32</v>
      </c>
      <c r="R78" s="198"/>
      <c r="S78" s="198"/>
      <c r="T78" s="198"/>
      <c r="U78" s="198"/>
    </row>
    <row r="79" spans="1:21" s="12" customFormat="1" x14ac:dyDescent="0.25">
      <c r="A79" s="248" t="s">
        <v>315</v>
      </c>
      <c r="B79" s="249" t="s">
        <v>32</v>
      </c>
      <c r="C79" s="249" t="s">
        <v>32</v>
      </c>
      <c r="D79" s="249" t="s">
        <v>32</v>
      </c>
      <c r="E79" s="249" t="s">
        <v>32</v>
      </c>
      <c r="F79" s="249" t="s">
        <v>32</v>
      </c>
      <c r="G79" s="249" t="s">
        <v>32</v>
      </c>
      <c r="H79" s="249" t="s">
        <v>32</v>
      </c>
      <c r="I79" s="249" t="s">
        <v>32</v>
      </c>
      <c r="J79" s="249" t="s">
        <v>32</v>
      </c>
      <c r="K79" s="249" t="s">
        <v>32</v>
      </c>
      <c r="L79" s="249" t="s">
        <v>32</v>
      </c>
      <c r="M79" s="249" t="s">
        <v>32</v>
      </c>
      <c r="N79" s="249" t="s">
        <v>32</v>
      </c>
      <c r="O79" s="249" t="s">
        <v>32</v>
      </c>
      <c r="P79" s="249" t="s">
        <v>32</v>
      </c>
      <c r="Q79" s="249" t="s">
        <v>32</v>
      </c>
      <c r="R79" s="198"/>
      <c r="S79" s="198"/>
      <c r="T79" s="198"/>
      <c r="U79" s="198"/>
    </row>
    <row r="80" spans="1:21" s="12" customFormat="1" x14ac:dyDescent="0.25">
      <c r="A80" s="248" t="s">
        <v>316</v>
      </c>
      <c r="B80" s="249" t="s">
        <v>32</v>
      </c>
      <c r="C80" s="249" t="s">
        <v>32</v>
      </c>
      <c r="D80" s="249" t="s">
        <v>32</v>
      </c>
      <c r="E80" s="249" t="s">
        <v>32</v>
      </c>
      <c r="F80" s="249" t="s">
        <v>32</v>
      </c>
      <c r="G80" s="249" t="s">
        <v>32</v>
      </c>
      <c r="H80" s="249" t="s">
        <v>32</v>
      </c>
      <c r="I80" s="249" t="s">
        <v>32</v>
      </c>
      <c r="J80" s="249" t="s">
        <v>32</v>
      </c>
      <c r="K80" s="249" t="s">
        <v>32</v>
      </c>
      <c r="L80" s="249" t="s">
        <v>32</v>
      </c>
      <c r="M80" s="249" t="s">
        <v>32</v>
      </c>
      <c r="N80" s="249" t="s">
        <v>32</v>
      </c>
      <c r="O80" s="249" t="s">
        <v>32</v>
      </c>
      <c r="P80" s="249" t="s">
        <v>32</v>
      </c>
      <c r="Q80" s="249" t="s">
        <v>32</v>
      </c>
      <c r="R80" s="198"/>
      <c r="S80" s="198"/>
      <c r="T80" s="198"/>
      <c r="U80" s="198"/>
    </row>
    <row r="81" spans="1:26" s="12" customFormat="1" x14ac:dyDescent="0.25">
      <c r="A81" s="248" t="s">
        <v>317</v>
      </c>
      <c r="B81" s="249" t="s">
        <v>32</v>
      </c>
      <c r="C81" s="249" t="s">
        <v>32</v>
      </c>
      <c r="D81" s="249" t="s">
        <v>32</v>
      </c>
      <c r="E81" s="249" t="s">
        <v>32</v>
      </c>
      <c r="F81" s="249" t="s">
        <v>32</v>
      </c>
      <c r="G81" s="249" t="s">
        <v>32</v>
      </c>
      <c r="H81" s="249" t="s">
        <v>32</v>
      </c>
      <c r="I81" s="249" t="s">
        <v>32</v>
      </c>
      <c r="J81" s="249" t="s">
        <v>32</v>
      </c>
      <c r="K81" s="249" t="s">
        <v>32</v>
      </c>
      <c r="L81" s="249" t="s">
        <v>32</v>
      </c>
      <c r="M81" s="249" t="s">
        <v>32</v>
      </c>
      <c r="N81" s="249" t="s">
        <v>32</v>
      </c>
      <c r="O81" s="249" t="s">
        <v>32</v>
      </c>
      <c r="P81" s="249" t="s">
        <v>32</v>
      </c>
      <c r="Q81" s="249" t="s">
        <v>32</v>
      </c>
      <c r="R81" s="198"/>
      <c r="S81" s="198"/>
      <c r="T81" s="198"/>
      <c r="U81" s="198"/>
    </row>
    <row r="82" spans="1:26" s="12" customFormat="1" x14ac:dyDescent="0.25">
      <c r="A82" s="248" t="s">
        <v>318</v>
      </c>
      <c r="B82" s="249" t="s">
        <v>32</v>
      </c>
      <c r="C82" s="249" t="s">
        <v>32</v>
      </c>
      <c r="D82" s="249" t="s">
        <v>32</v>
      </c>
      <c r="E82" s="249" t="s">
        <v>32</v>
      </c>
      <c r="F82" s="249" t="s">
        <v>32</v>
      </c>
      <c r="G82" s="249" t="s">
        <v>32</v>
      </c>
      <c r="H82" s="249" t="s">
        <v>32</v>
      </c>
      <c r="I82" s="249" t="s">
        <v>32</v>
      </c>
      <c r="J82" s="249" t="s">
        <v>32</v>
      </c>
      <c r="K82" s="249" t="s">
        <v>32</v>
      </c>
      <c r="L82" s="249" t="s">
        <v>32</v>
      </c>
      <c r="M82" s="249" t="s">
        <v>32</v>
      </c>
      <c r="N82" s="249" t="s">
        <v>32</v>
      </c>
      <c r="O82" s="249" t="s">
        <v>32</v>
      </c>
      <c r="P82" s="249" t="s">
        <v>32</v>
      </c>
      <c r="Q82" s="249" t="s">
        <v>32</v>
      </c>
      <c r="R82" s="198"/>
      <c r="S82" s="198"/>
      <c r="T82" s="198"/>
      <c r="U82" s="198"/>
    </row>
    <row r="83" spans="1:26" s="12" customFormat="1" x14ac:dyDescent="0.25">
      <c r="A83" s="248" t="s">
        <v>319</v>
      </c>
      <c r="B83" s="249" t="s">
        <v>32</v>
      </c>
      <c r="C83" s="249" t="s">
        <v>32</v>
      </c>
      <c r="D83" s="249" t="s">
        <v>32</v>
      </c>
      <c r="E83" s="249" t="s">
        <v>32</v>
      </c>
      <c r="F83" s="249" t="s">
        <v>32</v>
      </c>
      <c r="G83" s="249" t="s">
        <v>32</v>
      </c>
      <c r="H83" s="249" t="s">
        <v>32</v>
      </c>
      <c r="I83" s="249" t="s">
        <v>32</v>
      </c>
      <c r="J83" s="249" t="s">
        <v>32</v>
      </c>
      <c r="K83" s="249" t="s">
        <v>32</v>
      </c>
      <c r="L83" s="249" t="s">
        <v>32</v>
      </c>
      <c r="M83" s="249" t="s">
        <v>32</v>
      </c>
      <c r="N83" s="249" t="s">
        <v>32</v>
      </c>
      <c r="O83" s="249" t="s">
        <v>32</v>
      </c>
      <c r="P83" s="249" t="s">
        <v>32</v>
      </c>
      <c r="Q83" s="249" t="s">
        <v>32</v>
      </c>
      <c r="R83" s="198"/>
      <c r="S83" s="198"/>
      <c r="T83" s="198"/>
      <c r="U83" s="198"/>
    </row>
    <row r="84" spans="1:26" s="12" customFormat="1" x14ac:dyDescent="0.25">
      <c r="A84" s="248" t="s">
        <v>320</v>
      </c>
      <c r="B84" s="249" t="s">
        <v>32</v>
      </c>
      <c r="C84" s="249" t="s">
        <v>32</v>
      </c>
      <c r="D84" s="249" t="s">
        <v>32</v>
      </c>
      <c r="E84" s="249" t="s">
        <v>32</v>
      </c>
      <c r="F84" s="249" t="s">
        <v>32</v>
      </c>
      <c r="G84" s="249" t="s">
        <v>32</v>
      </c>
      <c r="H84" s="249" t="s">
        <v>32</v>
      </c>
      <c r="I84" s="249" t="s">
        <v>32</v>
      </c>
      <c r="J84" s="249" t="s">
        <v>32</v>
      </c>
      <c r="K84" s="249" t="s">
        <v>32</v>
      </c>
      <c r="L84" s="249" t="s">
        <v>32</v>
      </c>
      <c r="M84" s="249" t="s">
        <v>32</v>
      </c>
      <c r="N84" s="249" t="s">
        <v>32</v>
      </c>
      <c r="O84" s="249" t="s">
        <v>32</v>
      </c>
      <c r="P84" s="249" t="s">
        <v>32</v>
      </c>
      <c r="Q84" s="249" t="s">
        <v>32</v>
      </c>
      <c r="R84" s="198"/>
      <c r="S84" s="198"/>
      <c r="T84" s="198"/>
      <c r="U84" s="198"/>
    </row>
    <row r="85" spans="1:26" s="12" customFormat="1" x14ac:dyDescent="0.25">
      <c r="A85" s="248" t="s">
        <v>321</v>
      </c>
      <c r="B85" s="249" t="s">
        <v>32</v>
      </c>
      <c r="C85" s="249" t="s">
        <v>32</v>
      </c>
      <c r="D85" s="249" t="s">
        <v>32</v>
      </c>
      <c r="E85" s="249" t="s">
        <v>32</v>
      </c>
      <c r="F85" s="249" t="s">
        <v>32</v>
      </c>
      <c r="G85" s="249" t="s">
        <v>32</v>
      </c>
      <c r="H85" s="249" t="s">
        <v>32</v>
      </c>
      <c r="I85" s="249" t="s">
        <v>32</v>
      </c>
      <c r="J85" s="249" t="s">
        <v>32</v>
      </c>
      <c r="K85" s="249" t="s">
        <v>32</v>
      </c>
      <c r="L85" s="249" t="s">
        <v>32</v>
      </c>
      <c r="M85" s="249" t="s">
        <v>32</v>
      </c>
      <c r="N85" s="249" t="s">
        <v>32</v>
      </c>
      <c r="O85" s="249" t="s">
        <v>32</v>
      </c>
      <c r="P85" s="249" t="s">
        <v>32</v>
      </c>
      <c r="Q85" s="249" t="s">
        <v>32</v>
      </c>
      <c r="R85" s="198"/>
      <c r="S85" s="198"/>
      <c r="T85" s="198"/>
      <c r="U85" s="198"/>
    </row>
    <row r="86" spans="1:26" s="12" customFormat="1" x14ac:dyDescent="0.25">
      <c r="A86" s="248" t="s">
        <v>322</v>
      </c>
      <c r="B86" s="249" t="s">
        <v>32</v>
      </c>
      <c r="C86" s="249" t="s">
        <v>32</v>
      </c>
      <c r="D86" s="249" t="s">
        <v>32</v>
      </c>
      <c r="E86" s="249" t="s">
        <v>32</v>
      </c>
      <c r="F86" s="249" t="s">
        <v>32</v>
      </c>
      <c r="G86" s="249" t="s">
        <v>32</v>
      </c>
      <c r="H86" s="249" t="s">
        <v>32</v>
      </c>
      <c r="I86" s="249" t="s">
        <v>32</v>
      </c>
      <c r="J86" s="249" t="s">
        <v>32</v>
      </c>
      <c r="K86" s="249" t="s">
        <v>32</v>
      </c>
      <c r="L86" s="249" t="s">
        <v>32</v>
      </c>
      <c r="M86" s="249" t="s">
        <v>32</v>
      </c>
      <c r="N86" s="249" t="s">
        <v>32</v>
      </c>
      <c r="O86" s="249" t="s">
        <v>32</v>
      </c>
      <c r="P86" s="249" t="s">
        <v>32</v>
      </c>
      <c r="Q86" s="249" t="s">
        <v>32</v>
      </c>
      <c r="R86" s="198"/>
      <c r="S86" s="198"/>
      <c r="T86" s="198"/>
      <c r="U86" s="198"/>
    </row>
    <row r="87" spans="1:26" s="12" customFormat="1" x14ac:dyDescent="0.25">
      <c r="A87" s="248" t="s">
        <v>323</v>
      </c>
      <c r="B87" s="249" t="s">
        <v>32</v>
      </c>
      <c r="C87" s="249" t="s">
        <v>32</v>
      </c>
      <c r="D87" s="249" t="s">
        <v>32</v>
      </c>
      <c r="E87" s="249" t="s">
        <v>32</v>
      </c>
      <c r="F87" s="249" t="s">
        <v>32</v>
      </c>
      <c r="G87" s="249" t="s">
        <v>32</v>
      </c>
      <c r="H87" s="249" t="s">
        <v>32</v>
      </c>
      <c r="I87" s="249" t="s">
        <v>32</v>
      </c>
      <c r="J87" s="249" t="s">
        <v>32</v>
      </c>
      <c r="K87" s="249" t="s">
        <v>32</v>
      </c>
      <c r="L87" s="249" t="s">
        <v>32</v>
      </c>
      <c r="M87" s="249" t="s">
        <v>32</v>
      </c>
      <c r="N87" s="249" t="s">
        <v>32</v>
      </c>
      <c r="O87" s="249" t="s">
        <v>32</v>
      </c>
      <c r="P87" s="249" t="s">
        <v>32</v>
      </c>
      <c r="Q87" s="249" t="s">
        <v>32</v>
      </c>
      <c r="R87" s="198"/>
      <c r="S87" s="198"/>
      <c r="T87" s="198"/>
      <c r="U87" s="198"/>
    </row>
    <row r="88" spans="1:26" s="12" customFormat="1" x14ac:dyDescent="0.25">
      <c r="A88" s="248" t="s">
        <v>324</v>
      </c>
      <c r="B88" s="249" t="s">
        <v>32</v>
      </c>
      <c r="C88" s="249" t="s">
        <v>32</v>
      </c>
      <c r="D88" s="249" t="s">
        <v>32</v>
      </c>
      <c r="E88" s="249" t="s">
        <v>32</v>
      </c>
      <c r="F88" s="249" t="s">
        <v>32</v>
      </c>
      <c r="G88" s="249" t="s">
        <v>32</v>
      </c>
      <c r="H88" s="249" t="s">
        <v>32</v>
      </c>
      <c r="I88" s="249" t="s">
        <v>32</v>
      </c>
      <c r="J88" s="249" t="s">
        <v>32</v>
      </c>
      <c r="K88" s="249" t="s">
        <v>32</v>
      </c>
      <c r="L88" s="249" t="s">
        <v>32</v>
      </c>
      <c r="M88" s="249" t="s">
        <v>32</v>
      </c>
      <c r="N88" s="249" t="s">
        <v>32</v>
      </c>
      <c r="O88" s="249" t="s">
        <v>32</v>
      </c>
      <c r="P88" s="249" t="s">
        <v>32</v>
      </c>
      <c r="Q88" s="249" t="s">
        <v>32</v>
      </c>
      <c r="R88" s="198"/>
      <c r="S88" s="198"/>
      <c r="T88" s="198"/>
      <c r="U88" s="198"/>
    </row>
    <row r="89" spans="1:26" s="12" customFormat="1" x14ac:dyDescent="0.25">
      <c r="A89" s="248" t="s">
        <v>325</v>
      </c>
      <c r="B89" s="249" t="s">
        <v>32</v>
      </c>
      <c r="C89" s="249" t="s">
        <v>32</v>
      </c>
      <c r="D89" s="249" t="s">
        <v>32</v>
      </c>
      <c r="E89" s="249" t="s">
        <v>32</v>
      </c>
      <c r="F89" s="249" t="s">
        <v>32</v>
      </c>
      <c r="G89" s="249" t="s">
        <v>32</v>
      </c>
      <c r="H89" s="249" t="s">
        <v>32</v>
      </c>
      <c r="I89" s="249" t="s">
        <v>32</v>
      </c>
      <c r="J89" s="249" t="s">
        <v>32</v>
      </c>
      <c r="K89" s="249" t="s">
        <v>32</v>
      </c>
      <c r="L89" s="249" t="s">
        <v>32</v>
      </c>
      <c r="M89" s="249" t="s">
        <v>32</v>
      </c>
      <c r="N89" s="249" t="s">
        <v>32</v>
      </c>
      <c r="O89" s="249" t="s">
        <v>32</v>
      </c>
      <c r="P89" s="249" t="s">
        <v>32</v>
      </c>
      <c r="Q89" s="249" t="s">
        <v>32</v>
      </c>
      <c r="R89" s="198"/>
      <c r="S89" s="198"/>
      <c r="T89" s="198"/>
      <c r="U89" s="198"/>
    </row>
    <row r="90" spans="1:26" s="12" customFormat="1" x14ac:dyDescent="0.25">
      <c r="A90" s="248" t="s">
        <v>326</v>
      </c>
      <c r="B90" s="249" t="s">
        <v>32</v>
      </c>
      <c r="C90" s="249" t="s">
        <v>32</v>
      </c>
      <c r="D90" s="249" t="s">
        <v>32</v>
      </c>
      <c r="E90" s="249" t="s">
        <v>32</v>
      </c>
      <c r="F90" s="249" t="s">
        <v>32</v>
      </c>
      <c r="G90" s="249" t="s">
        <v>32</v>
      </c>
      <c r="H90" s="249" t="s">
        <v>32</v>
      </c>
      <c r="I90" s="249" t="s">
        <v>32</v>
      </c>
      <c r="J90" s="249" t="s">
        <v>32</v>
      </c>
      <c r="K90" s="249" t="s">
        <v>32</v>
      </c>
      <c r="L90" s="249" t="s">
        <v>32</v>
      </c>
      <c r="M90" s="249" t="s">
        <v>32</v>
      </c>
      <c r="N90" s="249" t="s">
        <v>32</v>
      </c>
      <c r="O90" s="249" t="s">
        <v>32</v>
      </c>
      <c r="P90" s="249" t="s">
        <v>32</v>
      </c>
      <c r="Q90" s="249" t="s">
        <v>32</v>
      </c>
      <c r="R90" s="198"/>
      <c r="S90" s="198"/>
      <c r="T90" s="198"/>
      <c r="U90" s="198"/>
    </row>
    <row r="91" spans="1:26" s="12" customFormat="1" x14ac:dyDescent="0.25">
      <c r="A91" s="248" t="s">
        <v>327</v>
      </c>
      <c r="B91" s="249" t="s">
        <v>32</v>
      </c>
      <c r="C91" s="249" t="s">
        <v>32</v>
      </c>
      <c r="D91" s="249" t="s">
        <v>32</v>
      </c>
      <c r="E91" s="249" t="s">
        <v>32</v>
      </c>
      <c r="F91" s="249" t="s">
        <v>32</v>
      </c>
      <c r="G91" s="249" t="s">
        <v>32</v>
      </c>
      <c r="H91" s="249" t="s">
        <v>32</v>
      </c>
      <c r="I91" s="249" t="s">
        <v>32</v>
      </c>
      <c r="J91" s="249" t="s">
        <v>32</v>
      </c>
      <c r="K91" s="249" t="s">
        <v>32</v>
      </c>
      <c r="L91" s="249" t="s">
        <v>32</v>
      </c>
      <c r="M91" s="249" t="s">
        <v>32</v>
      </c>
      <c r="N91" s="249" t="s">
        <v>32</v>
      </c>
      <c r="O91" s="249" t="s">
        <v>32</v>
      </c>
      <c r="P91" s="249" t="s">
        <v>32</v>
      </c>
      <c r="Q91" s="249" t="s">
        <v>32</v>
      </c>
      <c r="R91" s="198"/>
      <c r="S91" s="198"/>
      <c r="T91" s="198"/>
      <c r="U91" s="198"/>
    </row>
    <row r="92" spans="1:26" s="12" customFormat="1" x14ac:dyDescent="0.25">
      <c r="A92" s="248" t="s">
        <v>328</v>
      </c>
      <c r="B92" s="249" t="s">
        <v>32</v>
      </c>
      <c r="C92" s="249" t="s">
        <v>32</v>
      </c>
      <c r="D92" s="249" t="s">
        <v>32</v>
      </c>
      <c r="E92" s="249" t="s">
        <v>32</v>
      </c>
      <c r="F92" s="249" t="s">
        <v>32</v>
      </c>
      <c r="G92" s="249" t="s">
        <v>32</v>
      </c>
      <c r="H92" s="249" t="s">
        <v>32</v>
      </c>
      <c r="I92" s="249" t="s">
        <v>32</v>
      </c>
      <c r="J92" s="249" t="s">
        <v>32</v>
      </c>
      <c r="K92" s="249" t="s">
        <v>32</v>
      </c>
      <c r="L92" s="249" t="s">
        <v>32</v>
      </c>
      <c r="M92" s="249" t="s">
        <v>32</v>
      </c>
      <c r="N92" s="249" t="s">
        <v>32</v>
      </c>
      <c r="O92" s="249" t="s">
        <v>32</v>
      </c>
      <c r="P92" s="249" t="s">
        <v>32</v>
      </c>
      <c r="Q92" s="249" t="s">
        <v>32</v>
      </c>
      <c r="R92" s="198"/>
      <c r="S92" s="198"/>
      <c r="T92" s="198"/>
      <c r="U92" s="198"/>
    </row>
    <row r="93" spans="1:26" s="12" customFormat="1" x14ac:dyDescent="0.25">
      <c r="A93" s="248" t="s">
        <v>329</v>
      </c>
      <c r="B93" s="249" t="s">
        <v>32</v>
      </c>
      <c r="C93" s="249" t="s">
        <v>32</v>
      </c>
      <c r="D93" s="249" t="s">
        <v>32</v>
      </c>
      <c r="E93" s="249" t="s">
        <v>32</v>
      </c>
      <c r="F93" s="249" t="s">
        <v>32</v>
      </c>
      <c r="G93" s="249" t="s">
        <v>32</v>
      </c>
      <c r="H93" s="249" t="s">
        <v>32</v>
      </c>
      <c r="I93" s="249" t="s">
        <v>32</v>
      </c>
      <c r="J93" s="249" t="s">
        <v>32</v>
      </c>
      <c r="K93" s="249" t="s">
        <v>32</v>
      </c>
      <c r="L93" s="249" t="s">
        <v>32</v>
      </c>
      <c r="M93" s="249" t="s">
        <v>32</v>
      </c>
      <c r="N93" s="249" t="s">
        <v>32</v>
      </c>
      <c r="O93" s="249" t="s">
        <v>32</v>
      </c>
      <c r="P93" s="249" t="s">
        <v>32</v>
      </c>
      <c r="Q93" s="249" t="s">
        <v>32</v>
      </c>
      <c r="R93" s="198"/>
      <c r="S93" s="198"/>
      <c r="T93" s="198"/>
      <c r="U93" s="198"/>
    </row>
    <row r="94" spans="1:26" s="12" customFormat="1" x14ac:dyDescent="0.25">
      <c r="A94" s="248" t="s">
        <v>330</v>
      </c>
      <c r="B94" s="249" t="s">
        <v>32</v>
      </c>
      <c r="C94" s="249" t="s">
        <v>32</v>
      </c>
      <c r="D94" s="249" t="s">
        <v>32</v>
      </c>
      <c r="E94" s="249" t="s">
        <v>32</v>
      </c>
      <c r="F94" s="249" t="s">
        <v>32</v>
      </c>
      <c r="G94" s="249" t="s">
        <v>32</v>
      </c>
      <c r="H94" s="249" t="s">
        <v>32</v>
      </c>
      <c r="I94" s="249" t="s">
        <v>32</v>
      </c>
      <c r="J94" s="249" t="s">
        <v>32</v>
      </c>
      <c r="K94" s="249" t="s">
        <v>32</v>
      </c>
      <c r="L94" s="249" t="s">
        <v>32</v>
      </c>
      <c r="M94" s="249" t="s">
        <v>32</v>
      </c>
      <c r="N94" s="249" t="s">
        <v>32</v>
      </c>
      <c r="O94" s="249" t="s">
        <v>32</v>
      </c>
      <c r="P94" s="249" t="s">
        <v>32</v>
      </c>
      <c r="Q94" s="249" t="s">
        <v>32</v>
      </c>
      <c r="R94" s="198"/>
      <c r="S94" s="198"/>
      <c r="T94" s="198"/>
      <c r="U94" s="198"/>
    </row>
    <row r="95" spans="1:26" s="12" customFormat="1" x14ac:dyDescent="0.25">
      <c r="A95" s="248" t="s">
        <v>331</v>
      </c>
      <c r="B95" s="249" t="s">
        <v>32</v>
      </c>
      <c r="C95" s="249" t="s">
        <v>32</v>
      </c>
      <c r="D95" s="249" t="s">
        <v>32</v>
      </c>
      <c r="E95" s="249" t="s">
        <v>32</v>
      </c>
      <c r="F95" s="249" t="s">
        <v>32</v>
      </c>
      <c r="G95" s="249" t="s">
        <v>32</v>
      </c>
      <c r="H95" s="249" t="s">
        <v>32</v>
      </c>
      <c r="I95" s="249" t="s">
        <v>32</v>
      </c>
      <c r="J95" s="249" t="s">
        <v>32</v>
      </c>
      <c r="K95" s="249" t="s">
        <v>32</v>
      </c>
      <c r="L95" s="249" t="s">
        <v>32</v>
      </c>
      <c r="M95" s="249" t="s">
        <v>32</v>
      </c>
      <c r="N95" s="249" t="s">
        <v>32</v>
      </c>
      <c r="O95" s="249" t="s">
        <v>32</v>
      </c>
      <c r="P95" s="249" t="s">
        <v>32</v>
      </c>
      <c r="Q95" s="249" t="s">
        <v>32</v>
      </c>
      <c r="R95" s="198"/>
      <c r="S95" s="198"/>
      <c r="T95" s="198"/>
      <c r="U95" s="198"/>
    </row>
    <row r="96" spans="1:26" s="12" customFormat="1" x14ac:dyDescent="0.25">
      <c r="A96" s="248" t="s">
        <v>332</v>
      </c>
      <c r="B96" s="249" t="s">
        <v>32</v>
      </c>
      <c r="C96" s="249" t="s">
        <v>32</v>
      </c>
      <c r="D96" s="249" t="s">
        <v>32</v>
      </c>
      <c r="E96" s="249" t="s">
        <v>32</v>
      </c>
      <c r="F96" s="249" t="s">
        <v>32</v>
      </c>
      <c r="G96" s="249" t="s">
        <v>32</v>
      </c>
      <c r="H96" s="249" t="s">
        <v>32</v>
      </c>
      <c r="I96" s="249" t="s">
        <v>32</v>
      </c>
      <c r="J96" s="249" t="s">
        <v>32</v>
      </c>
      <c r="K96" s="249" t="s">
        <v>32</v>
      </c>
      <c r="L96" s="249" t="s">
        <v>32</v>
      </c>
      <c r="M96" s="249" t="s">
        <v>32</v>
      </c>
      <c r="N96" s="249" t="s">
        <v>32</v>
      </c>
      <c r="O96" s="249" t="s">
        <v>32</v>
      </c>
      <c r="P96" s="249" t="s">
        <v>32</v>
      </c>
      <c r="Q96" s="249" t="s">
        <v>32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333</v>
      </c>
      <c r="B97" s="249" t="s">
        <v>32</v>
      </c>
      <c r="C97" s="249" t="s">
        <v>32</v>
      </c>
      <c r="D97" s="249" t="s">
        <v>32</v>
      </c>
      <c r="E97" s="249" t="s">
        <v>32</v>
      </c>
      <c r="F97" s="249" t="s">
        <v>32</v>
      </c>
      <c r="G97" s="249" t="s">
        <v>32</v>
      </c>
      <c r="H97" s="249" t="s">
        <v>32</v>
      </c>
      <c r="I97" s="249" t="s">
        <v>32</v>
      </c>
      <c r="J97" s="249" t="s">
        <v>32</v>
      </c>
      <c r="K97" s="249" t="s">
        <v>32</v>
      </c>
      <c r="L97" s="249" t="s">
        <v>32</v>
      </c>
      <c r="M97" s="249" t="s">
        <v>32</v>
      </c>
      <c r="N97" s="249" t="s">
        <v>32</v>
      </c>
      <c r="O97" s="249" t="s">
        <v>32</v>
      </c>
      <c r="P97" s="249" t="s">
        <v>32</v>
      </c>
      <c r="Q97" s="249" t="s">
        <v>32</v>
      </c>
      <c r="R97" s="198"/>
      <c r="S97" s="198"/>
      <c r="T97" s="198"/>
      <c r="U97" s="198"/>
    </row>
    <row r="98" spans="1:33" s="12" customFormat="1" x14ac:dyDescent="0.25">
      <c r="A98" s="248" t="s">
        <v>334</v>
      </c>
      <c r="B98" s="249" t="s">
        <v>32</v>
      </c>
      <c r="C98" s="249" t="s">
        <v>32</v>
      </c>
      <c r="D98" s="249" t="s">
        <v>32</v>
      </c>
      <c r="E98" s="249" t="s">
        <v>32</v>
      </c>
      <c r="F98" s="249" t="s">
        <v>32</v>
      </c>
      <c r="G98" s="249" t="s">
        <v>32</v>
      </c>
      <c r="H98" s="249" t="s">
        <v>32</v>
      </c>
      <c r="I98" s="249" t="s">
        <v>32</v>
      </c>
      <c r="J98" s="249" t="s">
        <v>32</v>
      </c>
      <c r="K98" s="249" t="s">
        <v>32</v>
      </c>
      <c r="L98" s="249" t="s">
        <v>32</v>
      </c>
      <c r="M98" s="249" t="s">
        <v>32</v>
      </c>
      <c r="N98" s="249" t="s">
        <v>32</v>
      </c>
      <c r="O98" s="249" t="s">
        <v>32</v>
      </c>
      <c r="P98" s="249" t="s">
        <v>32</v>
      </c>
      <c r="Q98" s="249" t="s">
        <v>32</v>
      </c>
      <c r="R98" s="198"/>
      <c r="S98" s="198"/>
      <c r="T98" s="198"/>
      <c r="U98" s="198"/>
    </row>
    <row r="99" spans="1:33" s="12" customFormat="1" x14ac:dyDescent="0.25">
      <c r="A99" s="248" t="s">
        <v>335</v>
      </c>
      <c r="B99" s="249" t="s">
        <v>32</v>
      </c>
      <c r="C99" s="249" t="s">
        <v>32</v>
      </c>
      <c r="D99" s="249" t="s">
        <v>32</v>
      </c>
      <c r="E99" s="249" t="s">
        <v>32</v>
      </c>
      <c r="F99" s="249" t="s">
        <v>32</v>
      </c>
      <c r="G99" s="249" t="s">
        <v>32</v>
      </c>
      <c r="H99" s="249" t="s">
        <v>32</v>
      </c>
      <c r="I99" s="249" t="s">
        <v>32</v>
      </c>
      <c r="J99" s="249" t="s">
        <v>32</v>
      </c>
      <c r="K99" s="249" t="s">
        <v>32</v>
      </c>
      <c r="L99" s="249" t="s">
        <v>32</v>
      </c>
      <c r="M99" s="249" t="s">
        <v>32</v>
      </c>
      <c r="N99" s="249" t="s">
        <v>32</v>
      </c>
      <c r="O99" s="249" t="s">
        <v>32</v>
      </c>
      <c r="P99" s="249" t="s">
        <v>32</v>
      </c>
      <c r="Q99" s="249" t="s">
        <v>32</v>
      </c>
      <c r="R99" s="198"/>
      <c r="S99" s="198"/>
      <c r="T99" s="198"/>
      <c r="U99" s="198"/>
    </row>
    <row r="100" spans="1:33" s="12" customFormat="1" x14ac:dyDescent="0.25">
      <c r="A100" s="248" t="s">
        <v>336</v>
      </c>
      <c r="B100" s="249" t="s">
        <v>32</v>
      </c>
      <c r="C100" s="249" t="s">
        <v>32</v>
      </c>
      <c r="D100" s="249" t="s">
        <v>32</v>
      </c>
      <c r="E100" s="249" t="s">
        <v>32</v>
      </c>
      <c r="F100" s="249" t="s">
        <v>32</v>
      </c>
      <c r="G100" s="249" t="s">
        <v>32</v>
      </c>
      <c r="H100" s="249" t="s">
        <v>32</v>
      </c>
      <c r="I100" s="249" t="s">
        <v>32</v>
      </c>
      <c r="J100" s="249" t="s">
        <v>32</v>
      </c>
      <c r="K100" s="249" t="s">
        <v>32</v>
      </c>
      <c r="L100" s="249" t="s">
        <v>32</v>
      </c>
      <c r="M100" s="249" t="s">
        <v>32</v>
      </c>
      <c r="N100" s="249" t="s">
        <v>32</v>
      </c>
      <c r="O100" s="249" t="s">
        <v>32</v>
      </c>
      <c r="P100" s="249" t="s">
        <v>32</v>
      </c>
      <c r="Q100" s="249" t="s">
        <v>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337</v>
      </c>
      <c r="B101" s="249" t="s">
        <v>32</v>
      </c>
      <c r="C101" s="249" t="s">
        <v>32</v>
      </c>
      <c r="D101" s="249" t="s">
        <v>32</v>
      </c>
      <c r="E101" s="249" t="s">
        <v>32</v>
      </c>
      <c r="F101" s="249" t="s">
        <v>32</v>
      </c>
      <c r="G101" s="249" t="s">
        <v>32</v>
      </c>
      <c r="H101" s="249" t="s">
        <v>32</v>
      </c>
      <c r="I101" s="249" t="s">
        <v>32</v>
      </c>
      <c r="J101" s="249" t="s">
        <v>32</v>
      </c>
      <c r="K101" s="249" t="s">
        <v>32</v>
      </c>
      <c r="L101" s="249" t="s">
        <v>32</v>
      </c>
      <c r="M101" s="249" t="s">
        <v>32</v>
      </c>
      <c r="N101" s="249" t="s">
        <v>32</v>
      </c>
      <c r="O101" s="249" t="s">
        <v>32</v>
      </c>
      <c r="P101" s="249" t="s">
        <v>32</v>
      </c>
      <c r="Q101" s="249" t="s">
        <v>32</v>
      </c>
      <c r="R101" s="198"/>
      <c r="S101" s="198"/>
      <c r="T101" s="198"/>
      <c r="U101" s="198"/>
    </row>
    <row r="102" spans="1:33" s="12" customFormat="1" x14ac:dyDescent="0.25">
      <c r="A102" s="248" t="s">
        <v>338</v>
      </c>
      <c r="B102" s="249" t="s">
        <v>32</v>
      </c>
      <c r="C102" s="249" t="s">
        <v>32</v>
      </c>
      <c r="D102" s="249" t="s">
        <v>32</v>
      </c>
      <c r="E102" s="249" t="s">
        <v>32</v>
      </c>
      <c r="F102" s="249" t="s">
        <v>32</v>
      </c>
      <c r="G102" s="249" t="s">
        <v>32</v>
      </c>
      <c r="H102" s="249" t="s">
        <v>32</v>
      </c>
      <c r="I102" s="249" t="s">
        <v>32</v>
      </c>
      <c r="J102" s="249" t="s">
        <v>32</v>
      </c>
      <c r="K102" s="249" t="s">
        <v>32</v>
      </c>
      <c r="L102" s="249" t="s">
        <v>32</v>
      </c>
      <c r="M102" s="249" t="s">
        <v>32</v>
      </c>
      <c r="N102" s="249" t="s">
        <v>32</v>
      </c>
      <c r="O102" s="249" t="s">
        <v>32</v>
      </c>
      <c r="P102" s="249" t="s">
        <v>32</v>
      </c>
      <c r="Q102" s="249" t="s">
        <v>32</v>
      </c>
      <c r="R102" s="198"/>
      <c r="S102" s="198"/>
      <c r="T102" s="198"/>
      <c r="U102" s="198"/>
    </row>
    <row r="103" spans="1:33" s="12" customFormat="1" x14ac:dyDescent="0.25">
      <c r="A103" s="248" t="s">
        <v>339</v>
      </c>
      <c r="B103" s="249" t="s">
        <v>32</v>
      </c>
      <c r="C103" s="249" t="s">
        <v>32</v>
      </c>
      <c r="D103" s="249" t="s">
        <v>32</v>
      </c>
      <c r="E103" s="249" t="s">
        <v>32</v>
      </c>
      <c r="F103" s="249" t="s">
        <v>32</v>
      </c>
      <c r="G103" s="249" t="s">
        <v>32</v>
      </c>
      <c r="H103" s="249" t="s">
        <v>32</v>
      </c>
      <c r="I103" s="249" t="s">
        <v>32</v>
      </c>
      <c r="J103" s="249" t="s">
        <v>32</v>
      </c>
      <c r="K103" s="249" t="s">
        <v>32</v>
      </c>
      <c r="L103" s="249" t="s">
        <v>32</v>
      </c>
      <c r="M103" s="249" t="s">
        <v>32</v>
      </c>
      <c r="N103" s="249" t="s">
        <v>32</v>
      </c>
      <c r="O103" s="249" t="s">
        <v>32</v>
      </c>
      <c r="P103" s="249" t="s">
        <v>32</v>
      </c>
      <c r="Q103" s="249" t="s">
        <v>32</v>
      </c>
      <c r="R103" s="198"/>
      <c r="S103" s="198"/>
      <c r="T103" s="198"/>
      <c r="U103" s="198"/>
    </row>
    <row r="104" spans="1:33" s="12" customFormat="1" x14ac:dyDescent="0.25">
      <c r="A104" s="248" t="s">
        <v>340</v>
      </c>
      <c r="B104" s="249" t="s">
        <v>32</v>
      </c>
      <c r="C104" s="249" t="s">
        <v>32</v>
      </c>
      <c r="D104" s="249" t="s">
        <v>32</v>
      </c>
      <c r="E104" s="249" t="s">
        <v>32</v>
      </c>
      <c r="F104" s="249" t="s">
        <v>32</v>
      </c>
      <c r="G104" s="249" t="s">
        <v>32</v>
      </c>
      <c r="H104" s="249" t="s">
        <v>32</v>
      </c>
      <c r="I104" s="249" t="s">
        <v>32</v>
      </c>
      <c r="J104" s="249" t="s">
        <v>32</v>
      </c>
      <c r="K104" s="249" t="s">
        <v>32</v>
      </c>
      <c r="L104" s="249" t="s">
        <v>32</v>
      </c>
      <c r="M104" s="249" t="s">
        <v>32</v>
      </c>
      <c r="N104" s="249" t="s">
        <v>32</v>
      </c>
      <c r="O104" s="249" t="s">
        <v>32</v>
      </c>
      <c r="P104" s="249" t="s">
        <v>32</v>
      </c>
      <c r="Q104" s="249" t="s">
        <v>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2" activePane="bottomRight" state="frozen"/>
      <selection activeCell="A9" sqref="A9:U104"/>
      <selection pane="topRight" activeCell="A9" sqref="A9:U104"/>
      <selection pane="bottomLeft" activeCell="A9" sqref="A9:U104"/>
      <selection pane="bottomRight" activeCell="A53" sqref="A5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341</v>
      </c>
      <c r="B9" s="249" t="s">
        <v>32</v>
      </c>
      <c r="C9" s="249" t="s">
        <v>32</v>
      </c>
      <c r="D9" s="249" t="s">
        <v>32</v>
      </c>
      <c r="E9" s="249" t="s">
        <v>32</v>
      </c>
      <c r="F9" s="249" t="s">
        <v>32</v>
      </c>
      <c r="G9" s="249" t="s">
        <v>32</v>
      </c>
      <c r="H9" s="249" t="s">
        <v>32</v>
      </c>
      <c r="I9" s="249" t="s">
        <v>32</v>
      </c>
      <c r="J9" s="249" t="s">
        <v>32</v>
      </c>
      <c r="K9" s="249" t="s">
        <v>32</v>
      </c>
      <c r="L9" s="249" t="s">
        <v>32</v>
      </c>
      <c r="M9" s="249" t="s">
        <v>32</v>
      </c>
      <c r="N9" s="249" t="s">
        <v>32</v>
      </c>
      <c r="O9" s="249" t="s">
        <v>32</v>
      </c>
      <c r="P9" s="249" t="s">
        <v>32</v>
      </c>
      <c r="Q9" s="249" t="s">
        <v>32</v>
      </c>
      <c r="R9" s="198"/>
      <c r="S9" s="198"/>
      <c r="T9" s="198"/>
      <c r="U9" s="198"/>
    </row>
    <row r="10" spans="1:21" s="12" customFormat="1" x14ac:dyDescent="0.25">
      <c r="A10" s="248" t="s">
        <v>342</v>
      </c>
      <c r="B10" s="249" t="s">
        <v>32</v>
      </c>
      <c r="C10" s="249" t="s">
        <v>32</v>
      </c>
      <c r="D10" s="249" t="s">
        <v>32</v>
      </c>
      <c r="E10" s="249" t="s">
        <v>32</v>
      </c>
      <c r="F10" s="249" t="s">
        <v>32</v>
      </c>
      <c r="G10" s="249" t="s">
        <v>32</v>
      </c>
      <c r="H10" s="249" t="s">
        <v>32</v>
      </c>
      <c r="I10" s="249" t="s">
        <v>32</v>
      </c>
      <c r="J10" s="249" t="s">
        <v>32</v>
      </c>
      <c r="K10" s="249" t="s">
        <v>32</v>
      </c>
      <c r="L10" s="249" t="s">
        <v>32</v>
      </c>
      <c r="M10" s="249" t="s">
        <v>32</v>
      </c>
      <c r="N10" s="249" t="s">
        <v>32</v>
      </c>
      <c r="O10" s="249" t="s">
        <v>32</v>
      </c>
      <c r="P10" s="249" t="s">
        <v>32</v>
      </c>
      <c r="Q10" s="249" t="s">
        <v>32</v>
      </c>
      <c r="R10" s="198"/>
      <c r="S10" s="198"/>
      <c r="T10" s="198"/>
      <c r="U10" s="198"/>
    </row>
    <row r="11" spans="1:21" s="12" customFormat="1" x14ac:dyDescent="0.25">
      <c r="A11" s="248" t="s">
        <v>343</v>
      </c>
      <c r="B11" s="249" t="s">
        <v>32</v>
      </c>
      <c r="C11" s="249" t="s">
        <v>32</v>
      </c>
      <c r="D11" s="249" t="s">
        <v>32</v>
      </c>
      <c r="E11" s="249" t="s">
        <v>32</v>
      </c>
      <c r="F11" s="249" t="s">
        <v>32</v>
      </c>
      <c r="G11" s="249" t="s">
        <v>32</v>
      </c>
      <c r="H11" s="249" t="s">
        <v>32</v>
      </c>
      <c r="I11" s="249" t="s">
        <v>32</v>
      </c>
      <c r="J11" s="249" t="s">
        <v>32</v>
      </c>
      <c r="K11" s="249" t="s">
        <v>32</v>
      </c>
      <c r="L11" s="249" t="s">
        <v>32</v>
      </c>
      <c r="M11" s="249" t="s">
        <v>32</v>
      </c>
      <c r="N11" s="249" t="s">
        <v>32</v>
      </c>
      <c r="O11" s="249" t="s">
        <v>32</v>
      </c>
      <c r="P11" s="249" t="s">
        <v>32</v>
      </c>
      <c r="Q11" s="249" t="s">
        <v>32</v>
      </c>
      <c r="R11" s="198"/>
      <c r="S11" s="198"/>
      <c r="T11" s="198"/>
      <c r="U11" s="198"/>
    </row>
    <row r="12" spans="1:21" s="12" customFormat="1" x14ac:dyDescent="0.25">
      <c r="A12" s="248" t="s">
        <v>344</v>
      </c>
      <c r="B12" s="249" t="s">
        <v>32</v>
      </c>
      <c r="C12" s="249" t="s">
        <v>32</v>
      </c>
      <c r="D12" s="249" t="s">
        <v>32</v>
      </c>
      <c r="E12" s="249" t="s">
        <v>32</v>
      </c>
      <c r="F12" s="249" t="s">
        <v>32</v>
      </c>
      <c r="G12" s="249" t="s">
        <v>32</v>
      </c>
      <c r="H12" s="249" t="s">
        <v>32</v>
      </c>
      <c r="I12" s="249" t="s">
        <v>32</v>
      </c>
      <c r="J12" s="249" t="s">
        <v>32</v>
      </c>
      <c r="K12" s="249" t="s">
        <v>32</v>
      </c>
      <c r="L12" s="249" t="s">
        <v>32</v>
      </c>
      <c r="M12" s="249" t="s">
        <v>32</v>
      </c>
      <c r="N12" s="249" t="s">
        <v>32</v>
      </c>
      <c r="O12" s="249" t="s">
        <v>32</v>
      </c>
      <c r="P12" s="249" t="s">
        <v>32</v>
      </c>
      <c r="Q12" s="249" t="s">
        <v>32</v>
      </c>
      <c r="R12" s="198"/>
      <c r="S12" s="198"/>
      <c r="T12" s="198"/>
      <c r="U12" s="198"/>
    </row>
    <row r="13" spans="1:21" s="12" customFormat="1" x14ac:dyDescent="0.25">
      <c r="A13" s="248" t="s">
        <v>345</v>
      </c>
      <c r="B13" s="249" t="s">
        <v>32</v>
      </c>
      <c r="C13" s="249" t="s">
        <v>32</v>
      </c>
      <c r="D13" s="249" t="s">
        <v>32</v>
      </c>
      <c r="E13" s="249" t="s">
        <v>32</v>
      </c>
      <c r="F13" s="249" t="s">
        <v>32</v>
      </c>
      <c r="G13" s="249" t="s">
        <v>32</v>
      </c>
      <c r="H13" s="249" t="s">
        <v>32</v>
      </c>
      <c r="I13" s="249" t="s">
        <v>32</v>
      </c>
      <c r="J13" s="249" t="s">
        <v>32</v>
      </c>
      <c r="K13" s="249" t="s">
        <v>32</v>
      </c>
      <c r="L13" s="249" t="s">
        <v>32</v>
      </c>
      <c r="M13" s="249" t="s">
        <v>32</v>
      </c>
      <c r="N13" s="249" t="s">
        <v>32</v>
      </c>
      <c r="O13" s="249" t="s">
        <v>32</v>
      </c>
      <c r="P13" s="249" t="s">
        <v>32</v>
      </c>
      <c r="Q13" s="249" t="s">
        <v>32</v>
      </c>
      <c r="R13" s="198"/>
      <c r="S13" s="198"/>
      <c r="T13" s="198"/>
      <c r="U13" s="198"/>
    </row>
    <row r="14" spans="1:21" s="12" customFormat="1" x14ac:dyDescent="0.25">
      <c r="A14" s="248" t="s">
        <v>346</v>
      </c>
      <c r="B14" s="249" t="s">
        <v>32</v>
      </c>
      <c r="C14" s="249" t="s">
        <v>32</v>
      </c>
      <c r="D14" s="249" t="s">
        <v>32</v>
      </c>
      <c r="E14" s="249" t="s">
        <v>32</v>
      </c>
      <c r="F14" s="249" t="s">
        <v>32</v>
      </c>
      <c r="G14" s="249" t="s">
        <v>32</v>
      </c>
      <c r="H14" s="249" t="s">
        <v>32</v>
      </c>
      <c r="I14" s="249" t="s">
        <v>32</v>
      </c>
      <c r="J14" s="249" t="s">
        <v>32</v>
      </c>
      <c r="K14" s="249" t="s">
        <v>32</v>
      </c>
      <c r="L14" s="249" t="s">
        <v>32</v>
      </c>
      <c r="M14" s="249" t="s">
        <v>32</v>
      </c>
      <c r="N14" s="249" t="s">
        <v>32</v>
      </c>
      <c r="O14" s="249" t="s">
        <v>32</v>
      </c>
      <c r="P14" s="249" t="s">
        <v>32</v>
      </c>
      <c r="Q14" s="249" t="s">
        <v>32</v>
      </c>
      <c r="R14" s="198"/>
      <c r="S14" s="198"/>
      <c r="T14" s="198"/>
      <c r="U14" s="198"/>
    </row>
    <row r="15" spans="1:21" s="12" customFormat="1" x14ac:dyDescent="0.25">
      <c r="A15" s="248" t="s">
        <v>347</v>
      </c>
      <c r="B15" s="249" t="s">
        <v>32</v>
      </c>
      <c r="C15" s="249" t="s">
        <v>32</v>
      </c>
      <c r="D15" s="249" t="s">
        <v>32</v>
      </c>
      <c r="E15" s="249" t="s">
        <v>32</v>
      </c>
      <c r="F15" s="249" t="s">
        <v>32</v>
      </c>
      <c r="G15" s="249" t="s">
        <v>32</v>
      </c>
      <c r="H15" s="249" t="s">
        <v>32</v>
      </c>
      <c r="I15" s="249" t="s">
        <v>32</v>
      </c>
      <c r="J15" s="249" t="s">
        <v>32</v>
      </c>
      <c r="K15" s="249" t="s">
        <v>32</v>
      </c>
      <c r="L15" s="249" t="s">
        <v>32</v>
      </c>
      <c r="M15" s="249" t="s">
        <v>32</v>
      </c>
      <c r="N15" s="249" t="s">
        <v>32</v>
      </c>
      <c r="O15" s="249" t="s">
        <v>32</v>
      </c>
      <c r="P15" s="249" t="s">
        <v>32</v>
      </c>
      <c r="Q15" s="249" t="s">
        <v>32</v>
      </c>
      <c r="R15" s="198"/>
      <c r="S15" s="198"/>
      <c r="T15" s="198"/>
      <c r="U15" s="198"/>
    </row>
    <row r="16" spans="1:21" s="12" customFormat="1" x14ac:dyDescent="0.25">
      <c r="A16" s="248" t="s">
        <v>348</v>
      </c>
      <c r="B16" s="249" t="s">
        <v>32</v>
      </c>
      <c r="C16" s="249" t="s">
        <v>32</v>
      </c>
      <c r="D16" s="249" t="s">
        <v>32</v>
      </c>
      <c r="E16" s="249" t="s">
        <v>32</v>
      </c>
      <c r="F16" s="249" t="s">
        <v>32</v>
      </c>
      <c r="G16" s="249" t="s">
        <v>32</v>
      </c>
      <c r="H16" s="249" t="s">
        <v>32</v>
      </c>
      <c r="I16" s="249" t="s">
        <v>32</v>
      </c>
      <c r="J16" s="249" t="s">
        <v>32</v>
      </c>
      <c r="K16" s="249" t="s">
        <v>32</v>
      </c>
      <c r="L16" s="249" t="s">
        <v>32</v>
      </c>
      <c r="M16" s="249" t="s">
        <v>32</v>
      </c>
      <c r="N16" s="249" t="s">
        <v>32</v>
      </c>
      <c r="O16" s="249" t="s">
        <v>32</v>
      </c>
      <c r="P16" s="249" t="s">
        <v>32</v>
      </c>
      <c r="Q16" s="249" t="s">
        <v>32</v>
      </c>
      <c r="R16" s="198"/>
      <c r="S16" s="198"/>
      <c r="T16" s="198"/>
      <c r="U16" s="198"/>
    </row>
    <row r="17" spans="1:21" s="12" customFormat="1" x14ac:dyDescent="0.25">
      <c r="A17" s="248" t="s">
        <v>349</v>
      </c>
      <c r="B17" s="249" t="s">
        <v>32</v>
      </c>
      <c r="C17" s="249" t="s">
        <v>32</v>
      </c>
      <c r="D17" s="249" t="s">
        <v>32</v>
      </c>
      <c r="E17" s="249" t="s">
        <v>32</v>
      </c>
      <c r="F17" s="249" t="s">
        <v>32</v>
      </c>
      <c r="G17" s="249" t="s">
        <v>32</v>
      </c>
      <c r="H17" s="249" t="s">
        <v>32</v>
      </c>
      <c r="I17" s="249" t="s">
        <v>32</v>
      </c>
      <c r="J17" s="249" t="s">
        <v>32</v>
      </c>
      <c r="K17" s="249" t="s">
        <v>32</v>
      </c>
      <c r="L17" s="249" t="s">
        <v>32</v>
      </c>
      <c r="M17" s="249" t="s">
        <v>32</v>
      </c>
      <c r="N17" s="249" t="s">
        <v>32</v>
      </c>
      <c r="O17" s="249" t="s">
        <v>32</v>
      </c>
      <c r="P17" s="249" t="s">
        <v>32</v>
      </c>
      <c r="Q17" s="249" t="s">
        <v>32</v>
      </c>
      <c r="R17" s="198"/>
      <c r="S17" s="198"/>
      <c r="T17" s="198"/>
      <c r="U17" s="198"/>
    </row>
    <row r="18" spans="1:21" s="12" customFormat="1" x14ac:dyDescent="0.25">
      <c r="A18" s="248" t="s">
        <v>350</v>
      </c>
      <c r="B18" s="249" t="s">
        <v>32</v>
      </c>
      <c r="C18" s="249" t="s">
        <v>32</v>
      </c>
      <c r="D18" s="249" t="s">
        <v>32</v>
      </c>
      <c r="E18" s="249" t="s">
        <v>32</v>
      </c>
      <c r="F18" s="249" t="s">
        <v>32</v>
      </c>
      <c r="G18" s="249" t="s">
        <v>32</v>
      </c>
      <c r="H18" s="249" t="s">
        <v>32</v>
      </c>
      <c r="I18" s="249" t="s">
        <v>32</v>
      </c>
      <c r="J18" s="249" t="s">
        <v>32</v>
      </c>
      <c r="K18" s="249" t="s">
        <v>32</v>
      </c>
      <c r="L18" s="249" t="s">
        <v>32</v>
      </c>
      <c r="M18" s="249" t="s">
        <v>32</v>
      </c>
      <c r="N18" s="249" t="s">
        <v>32</v>
      </c>
      <c r="O18" s="249" t="s">
        <v>32</v>
      </c>
      <c r="P18" s="249" t="s">
        <v>32</v>
      </c>
      <c r="Q18" s="249" t="s">
        <v>32</v>
      </c>
      <c r="R18" s="198"/>
      <c r="S18" s="198"/>
      <c r="T18" s="198"/>
      <c r="U18" s="198"/>
    </row>
    <row r="19" spans="1:21" s="12" customFormat="1" x14ac:dyDescent="0.25">
      <c r="A19" s="248" t="s">
        <v>351</v>
      </c>
      <c r="B19" s="249" t="s">
        <v>32</v>
      </c>
      <c r="C19" s="249" t="s">
        <v>32</v>
      </c>
      <c r="D19" s="249" t="s">
        <v>32</v>
      </c>
      <c r="E19" s="249" t="s">
        <v>32</v>
      </c>
      <c r="F19" s="249" t="s">
        <v>32</v>
      </c>
      <c r="G19" s="249" t="s">
        <v>32</v>
      </c>
      <c r="H19" s="249" t="s">
        <v>32</v>
      </c>
      <c r="I19" s="249" t="s">
        <v>32</v>
      </c>
      <c r="J19" s="249" t="s">
        <v>32</v>
      </c>
      <c r="K19" s="249" t="s">
        <v>32</v>
      </c>
      <c r="L19" s="249" t="s">
        <v>32</v>
      </c>
      <c r="M19" s="249" t="s">
        <v>32</v>
      </c>
      <c r="N19" s="249" t="s">
        <v>32</v>
      </c>
      <c r="O19" s="249" t="s">
        <v>32</v>
      </c>
      <c r="P19" s="249" t="s">
        <v>32</v>
      </c>
      <c r="Q19" s="249" t="s">
        <v>32</v>
      </c>
      <c r="R19" s="198"/>
      <c r="S19" s="198"/>
      <c r="T19" s="198"/>
      <c r="U19" s="198"/>
    </row>
    <row r="20" spans="1:21" s="12" customFormat="1" x14ac:dyDescent="0.25">
      <c r="A20" s="248" t="s">
        <v>352</v>
      </c>
      <c r="B20" s="249" t="s">
        <v>32</v>
      </c>
      <c r="C20" s="249" t="s">
        <v>32</v>
      </c>
      <c r="D20" s="249" t="s">
        <v>32</v>
      </c>
      <c r="E20" s="249" t="s">
        <v>32</v>
      </c>
      <c r="F20" s="249" t="s">
        <v>32</v>
      </c>
      <c r="G20" s="249" t="s">
        <v>32</v>
      </c>
      <c r="H20" s="249" t="s">
        <v>32</v>
      </c>
      <c r="I20" s="249" t="s">
        <v>32</v>
      </c>
      <c r="J20" s="249" t="s">
        <v>32</v>
      </c>
      <c r="K20" s="249" t="s">
        <v>32</v>
      </c>
      <c r="L20" s="249" t="s">
        <v>32</v>
      </c>
      <c r="M20" s="249" t="s">
        <v>32</v>
      </c>
      <c r="N20" s="249" t="s">
        <v>32</v>
      </c>
      <c r="O20" s="249" t="s">
        <v>32</v>
      </c>
      <c r="P20" s="249" t="s">
        <v>32</v>
      </c>
      <c r="Q20" s="249" t="s">
        <v>32</v>
      </c>
      <c r="R20" s="198"/>
      <c r="S20" s="198"/>
      <c r="T20" s="198"/>
      <c r="U20" s="198"/>
    </row>
    <row r="21" spans="1:21" s="12" customFormat="1" x14ac:dyDescent="0.25">
      <c r="A21" s="248" t="s">
        <v>353</v>
      </c>
      <c r="B21" s="249" t="s">
        <v>32</v>
      </c>
      <c r="C21" s="249" t="s">
        <v>32</v>
      </c>
      <c r="D21" s="249" t="s">
        <v>32</v>
      </c>
      <c r="E21" s="249" t="s">
        <v>32</v>
      </c>
      <c r="F21" s="249" t="s">
        <v>32</v>
      </c>
      <c r="G21" s="249" t="s">
        <v>32</v>
      </c>
      <c r="H21" s="249" t="s">
        <v>32</v>
      </c>
      <c r="I21" s="249" t="s">
        <v>32</v>
      </c>
      <c r="J21" s="249" t="s">
        <v>32</v>
      </c>
      <c r="K21" s="249" t="s">
        <v>32</v>
      </c>
      <c r="L21" s="249" t="s">
        <v>32</v>
      </c>
      <c r="M21" s="249" t="s">
        <v>32</v>
      </c>
      <c r="N21" s="249" t="s">
        <v>32</v>
      </c>
      <c r="O21" s="249" t="s">
        <v>32</v>
      </c>
      <c r="P21" s="249" t="s">
        <v>32</v>
      </c>
      <c r="Q21" s="249" t="s">
        <v>32</v>
      </c>
      <c r="R21" s="198"/>
      <c r="S21" s="198"/>
      <c r="T21" s="198"/>
      <c r="U21" s="198"/>
    </row>
    <row r="22" spans="1:21" s="12" customFormat="1" x14ac:dyDescent="0.25">
      <c r="A22" s="248" t="s">
        <v>354</v>
      </c>
      <c r="B22" s="249" t="s">
        <v>32</v>
      </c>
      <c r="C22" s="249" t="s">
        <v>32</v>
      </c>
      <c r="D22" s="249" t="s">
        <v>32</v>
      </c>
      <c r="E22" s="249" t="s">
        <v>32</v>
      </c>
      <c r="F22" s="249" t="s">
        <v>32</v>
      </c>
      <c r="G22" s="249" t="s">
        <v>32</v>
      </c>
      <c r="H22" s="249" t="s">
        <v>32</v>
      </c>
      <c r="I22" s="249" t="s">
        <v>32</v>
      </c>
      <c r="J22" s="249" t="s">
        <v>32</v>
      </c>
      <c r="K22" s="249" t="s">
        <v>32</v>
      </c>
      <c r="L22" s="249" t="s">
        <v>32</v>
      </c>
      <c r="M22" s="249" t="s">
        <v>32</v>
      </c>
      <c r="N22" s="249" t="s">
        <v>32</v>
      </c>
      <c r="O22" s="249" t="s">
        <v>32</v>
      </c>
      <c r="P22" s="249" t="s">
        <v>32</v>
      </c>
      <c r="Q22" s="249" t="s">
        <v>32</v>
      </c>
      <c r="R22" s="198"/>
      <c r="S22" s="198"/>
      <c r="T22" s="198"/>
      <c r="U22" s="198"/>
    </row>
    <row r="23" spans="1:21" s="12" customFormat="1" x14ac:dyDescent="0.25">
      <c r="A23" s="248" t="s">
        <v>355</v>
      </c>
      <c r="B23" s="249" t="s">
        <v>32</v>
      </c>
      <c r="C23" s="249" t="s">
        <v>32</v>
      </c>
      <c r="D23" s="249" t="s">
        <v>32</v>
      </c>
      <c r="E23" s="249" t="s">
        <v>32</v>
      </c>
      <c r="F23" s="249" t="s">
        <v>32</v>
      </c>
      <c r="G23" s="249" t="s">
        <v>32</v>
      </c>
      <c r="H23" s="249" t="s">
        <v>32</v>
      </c>
      <c r="I23" s="249" t="s">
        <v>32</v>
      </c>
      <c r="J23" s="249" t="s">
        <v>32</v>
      </c>
      <c r="K23" s="249" t="s">
        <v>32</v>
      </c>
      <c r="L23" s="249" t="s">
        <v>32</v>
      </c>
      <c r="M23" s="249" t="s">
        <v>32</v>
      </c>
      <c r="N23" s="249" t="s">
        <v>32</v>
      </c>
      <c r="O23" s="249" t="s">
        <v>32</v>
      </c>
      <c r="P23" s="249" t="s">
        <v>32</v>
      </c>
      <c r="Q23" s="249" t="s">
        <v>32</v>
      </c>
      <c r="R23" s="198"/>
      <c r="S23" s="198"/>
      <c r="T23" s="198"/>
      <c r="U23" s="198"/>
    </row>
    <row r="24" spans="1:21" s="12" customFormat="1" x14ac:dyDescent="0.25">
      <c r="A24" s="248" t="s">
        <v>356</v>
      </c>
      <c r="B24" s="249" t="s">
        <v>32</v>
      </c>
      <c r="C24" s="249" t="s">
        <v>32</v>
      </c>
      <c r="D24" s="249" t="s">
        <v>32</v>
      </c>
      <c r="E24" s="249" t="s">
        <v>32</v>
      </c>
      <c r="F24" s="249" t="s">
        <v>32</v>
      </c>
      <c r="G24" s="249" t="s">
        <v>32</v>
      </c>
      <c r="H24" s="249" t="s">
        <v>32</v>
      </c>
      <c r="I24" s="249" t="s">
        <v>32</v>
      </c>
      <c r="J24" s="249" t="s">
        <v>32</v>
      </c>
      <c r="K24" s="249" t="s">
        <v>32</v>
      </c>
      <c r="L24" s="249" t="s">
        <v>32</v>
      </c>
      <c r="M24" s="249" t="s">
        <v>32</v>
      </c>
      <c r="N24" s="249" t="s">
        <v>32</v>
      </c>
      <c r="O24" s="249" t="s">
        <v>32</v>
      </c>
      <c r="P24" s="249" t="s">
        <v>32</v>
      </c>
      <c r="Q24" s="249" t="s">
        <v>32</v>
      </c>
      <c r="R24" s="198"/>
      <c r="S24" s="198"/>
      <c r="T24" s="198"/>
      <c r="U24" s="198"/>
    </row>
    <row r="25" spans="1:21" s="12" customFormat="1" x14ac:dyDescent="0.25">
      <c r="A25" s="248" t="s">
        <v>357</v>
      </c>
      <c r="B25" s="249" t="s">
        <v>32</v>
      </c>
      <c r="C25" s="249" t="s">
        <v>32</v>
      </c>
      <c r="D25" s="249" t="s">
        <v>32</v>
      </c>
      <c r="E25" s="249" t="s">
        <v>32</v>
      </c>
      <c r="F25" s="249" t="s">
        <v>32</v>
      </c>
      <c r="G25" s="249" t="s">
        <v>32</v>
      </c>
      <c r="H25" s="249" t="s">
        <v>32</v>
      </c>
      <c r="I25" s="249" t="s">
        <v>32</v>
      </c>
      <c r="J25" s="249" t="s">
        <v>32</v>
      </c>
      <c r="K25" s="249" t="s">
        <v>32</v>
      </c>
      <c r="L25" s="249" t="s">
        <v>32</v>
      </c>
      <c r="M25" s="249" t="s">
        <v>32</v>
      </c>
      <c r="N25" s="249" t="s">
        <v>32</v>
      </c>
      <c r="O25" s="249" t="s">
        <v>32</v>
      </c>
      <c r="P25" s="249" t="s">
        <v>32</v>
      </c>
      <c r="Q25" s="249" t="s">
        <v>32</v>
      </c>
      <c r="R25" s="198"/>
      <c r="S25" s="198"/>
      <c r="T25" s="198"/>
      <c r="U25" s="198"/>
    </row>
    <row r="26" spans="1:21" s="12" customFormat="1" x14ac:dyDescent="0.25">
      <c r="A26" s="248" t="s">
        <v>358</v>
      </c>
      <c r="B26" s="249" t="s">
        <v>32</v>
      </c>
      <c r="C26" s="249" t="s">
        <v>32</v>
      </c>
      <c r="D26" s="249" t="s">
        <v>32</v>
      </c>
      <c r="E26" s="249" t="s">
        <v>32</v>
      </c>
      <c r="F26" s="249" t="s">
        <v>32</v>
      </c>
      <c r="G26" s="249" t="s">
        <v>32</v>
      </c>
      <c r="H26" s="249" t="s">
        <v>32</v>
      </c>
      <c r="I26" s="249" t="s">
        <v>32</v>
      </c>
      <c r="J26" s="249" t="s">
        <v>32</v>
      </c>
      <c r="K26" s="249" t="s">
        <v>32</v>
      </c>
      <c r="L26" s="249" t="s">
        <v>32</v>
      </c>
      <c r="M26" s="249" t="s">
        <v>32</v>
      </c>
      <c r="N26" s="249" t="s">
        <v>32</v>
      </c>
      <c r="O26" s="249" t="s">
        <v>32</v>
      </c>
      <c r="P26" s="249" t="s">
        <v>32</v>
      </c>
      <c r="Q26" s="249" t="s">
        <v>32</v>
      </c>
      <c r="R26" s="198"/>
      <c r="S26" s="198"/>
      <c r="T26" s="198"/>
      <c r="U26" s="198"/>
    </row>
    <row r="27" spans="1:21" s="12" customFormat="1" x14ac:dyDescent="0.25">
      <c r="A27" s="248" t="s">
        <v>359</v>
      </c>
      <c r="B27" s="249" t="s">
        <v>32</v>
      </c>
      <c r="C27" s="249" t="s">
        <v>32</v>
      </c>
      <c r="D27" s="249" t="s">
        <v>32</v>
      </c>
      <c r="E27" s="249" t="s">
        <v>32</v>
      </c>
      <c r="F27" s="249" t="s">
        <v>32</v>
      </c>
      <c r="G27" s="249" t="s">
        <v>32</v>
      </c>
      <c r="H27" s="249" t="s">
        <v>32</v>
      </c>
      <c r="I27" s="249" t="s">
        <v>32</v>
      </c>
      <c r="J27" s="249" t="s">
        <v>32</v>
      </c>
      <c r="K27" s="249" t="s">
        <v>32</v>
      </c>
      <c r="L27" s="249" t="s">
        <v>32</v>
      </c>
      <c r="M27" s="249" t="s">
        <v>32</v>
      </c>
      <c r="N27" s="249" t="s">
        <v>32</v>
      </c>
      <c r="O27" s="249" t="s">
        <v>32</v>
      </c>
      <c r="P27" s="249" t="s">
        <v>32</v>
      </c>
      <c r="Q27" s="249" t="s">
        <v>32</v>
      </c>
      <c r="R27" s="198"/>
      <c r="S27" s="198"/>
      <c r="T27" s="198"/>
      <c r="U27" s="198"/>
    </row>
    <row r="28" spans="1:21" s="12" customFormat="1" x14ac:dyDescent="0.25">
      <c r="A28" s="248" t="s">
        <v>360</v>
      </c>
      <c r="B28" s="249" t="s">
        <v>32</v>
      </c>
      <c r="C28" s="249" t="s">
        <v>32</v>
      </c>
      <c r="D28" s="249" t="s">
        <v>32</v>
      </c>
      <c r="E28" s="249" t="s">
        <v>32</v>
      </c>
      <c r="F28" s="249" t="s">
        <v>32</v>
      </c>
      <c r="G28" s="249" t="s">
        <v>32</v>
      </c>
      <c r="H28" s="249" t="s">
        <v>32</v>
      </c>
      <c r="I28" s="249" t="s">
        <v>32</v>
      </c>
      <c r="J28" s="249" t="s">
        <v>32</v>
      </c>
      <c r="K28" s="249" t="s">
        <v>32</v>
      </c>
      <c r="L28" s="249" t="s">
        <v>32</v>
      </c>
      <c r="M28" s="249" t="s">
        <v>32</v>
      </c>
      <c r="N28" s="249" t="s">
        <v>32</v>
      </c>
      <c r="O28" s="249" t="s">
        <v>32</v>
      </c>
      <c r="P28" s="249" t="s">
        <v>32</v>
      </c>
      <c r="Q28" s="249" t="s">
        <v>32</v>
      </c>
      <c r="R28" s="198"/>
      <c r="S28" s="198"/>
      <c r="T28" s="198"/>
      <c r="U28" s="198"/>
    </row>
    <row r="29" spans="1:21" s="12" customFormat="1" x14ac:dyDescent="0.25">
      <c r="A29" s="248" t="s">
        <v>361</v>
      </c>
      <c r="B29" s="249" t="s">
        <v>32</v>
      </c>
      <c r="C29" s="249" t="s">
        <v>32</v>
      </c>
      <c r="D29" s="249" t="s">
        <v>32</v>
      </c>
      <c r="E29" s="249" t="s">
        <v>32</v>
      </c>
      <c r="F29" s="249" t="s">
        <v>32</v>
      </c>
      <c r="G29" s="249" t="s">
        <v>32</v>
      </c>
      <c r="H29" s="249" t="s">
        <v>32</v>
      </c>
      <c r="I29" s="249" t="s">
        <v>32</v>
      </c>
      <c r="J29" s="249" t="s">
        <v>32</v>
      </c>
      <c r="K29" s="249" t="s">
        <v>32</v>
      </c>
      <c r="L29" s="249" t="s">
        <v>32</v>
      </c>
      <c r="M29" s="249" t="s">
        <v>32</v>
      </c>
      <c r="N29" s="249" t="s">
        <v>32</v>
      </c>
      <c r="O29" s="249" t="s">
        <v>32</v>
      </c>
      <c r="P29" s="249" t="s">
        <v>32</v>
      </c>
      <c r="Q29" s="249" t="s">
        <v>32</v>
      </c>
      <c r="R29" s="198"/>
      <c r="S29" s="198"/>
      <c r="T29" s="198"/>
      <c r="U29" s="198"/>
    </row>
    <row r="30" spans="1:21" s="12" customFormat="1" x14ac:dyDescent="0.25">
      <c r="A30" s="248" t="s">
        <v>362</v>
      </c>
      <c r="B30" s="249" t="s">
        <v>32</v>
      </c>
      <c r="C30" s="249" t="s">
        <v>32</v>
      </c>
      <c r="D30" s="249" t="s">
        <v>32</v>
      </c>
      <c r="E30" s="249" t="s">
        <v>32</v>
      </c>
      <c r="F30" s="249" t="s">
        <v>32</v>
      </c>
      <c r="G30" s="249" t="s">
        <v>32</v>
      </c>
      <c r="H30" s="249" t="s">
        <v>32</v>
      </c>
      <c r="I30" s="249" t="s">
        <v>32</v>
      </c>
      <c r="J30" s="249" t="s">
        <v>32</v>
      </c>
      <c r="K30" s="249" t="s">
        <v>32</v>
      </c>
      <c r="L30" s="249" t="s">
        <v>32</v>
      </c>
      <c r="M30" s="249" t="s">
        <v>32</v>
      </c>
      <c r="N30" s="249" t="s">
        <v>32</v>
      </c>
      <c r="O30" s="249" t="s">
        <v>32</v>
      </c>
      <c r="P30" s="249" t="s">
        <v>32</v>
      </c>
      <c r="Q30" s="249" t="s">
        <v>32</v>
      </c>
      <c r="R30" s="198"/>
      <c r="S30" s="198"/>
      <c r="T30" s="198"/>
      <c r="U30" s="198"/>
    </row>
    <row r="31" spans="1:21" s="12" customFormat="1" x14ac:dyDescent="0.25">
      <c r="A31" s="248" t="s">
        <v>363</v>
      </c>
      <c r="B31" s="249" t="s">
        <v>32</v>
      </c>
      <c r="C31" s="249" t="s">
        <v>32</v>
      </c>
      <c r="D31" s="249" t="s">
        <v>32</v>
      </c>
      <c r="E31" s="249" t="s">
        <v>32</v>
      </c>
      <c r="F31" s="249" t="s">
        <v>32</v>
      </c>
      <c r="G31" s="249" t="s">
        <v>32</v>
      </c>
      <c r="H31" s="249" t="s">
        <v>32</v>
      </c>
      <c r="I31" s="249" t="s">
        <v>32</v>
      </c>
      <c r="J31" s="249" t="s">
        <v>32</v>
      </c>
      <c r="K31" s="249" t="s">
        <v>32</v>
      </c>
      <c r="L31" s="249" t="s">
        <v>32</v>
      </c>
      <c r="M31" s="249" t="s">
        <v>32</v>
      </c>
      <c r="N31" s="249" t="s">
        <v>32</v>
      </c>
      <c r="O31" s="249" t="s">
        <v>32</v>
      </c>
      <c r="P31" s="249" t="s">
        <v>32</v>
      </c>
      <c r="Q31" s="249" t="s">
        <v>32</v>
      </c>
      <c r="R31" s="198"/>
      <c r="S31" s="198"/>
      <c r="T31" s="198"/>
      <c r="U31" s="198"/>
    </row>
    <row r="32" spans="1:21" s="12" customFormat="1" x14ac:dyDescent="0.25">
      <c r="A32" s="248" t="s">
        <v>364</v>
      </c>
      <c r="B32" s="249" t="s">
        <v>32</v>
      </c>
      <c r="C32" s="249" t="s">
        <v>32</v>
      </c>
      <c r="D32" s="249" t="s">
        <v>32</v>
      </c>
      <c r="E32" s="249" t="s">
        <v>32</v>
      </c>
      <c r="F32" s="249" t="s">
        <v>32</v>
      </c>
      <c r="G32" s="249" t="s">
        <v>32</v>
      </c>
      <c r="H32" s="249" t="s">
        <v>32</v>
      </c>
      <c r="I32" s="249" t="s">
        <v>32</v>
      </c>
      <c r="J32" s="249" t="s">
        <v>32</v>
      </c>
      <c r="K32" s="249" t="s">
        <v>32</v>
      </c>
      <c r="L32" s="249" t="s">
        <v>32</v>
      </c>
      <c r="M32" s="249" t="s">
        <v>32</v>
      </c>
      <c r="N32" s="249" t="s">
        <v>32</v>
      </c>
      <c r="O32" s="249" t="s">
        <v>32</v>
      </c>
      <c r="P32" s="249" t="s">
        <v>32</v>
      </c>
      <c r="Q32" s="249" t="s">
        <v>32</v>
      </c>
      <c r="R32" s="198"/>
      <c r="S32" s="198"/>
      <c r="T32" s="198"/>
      <c r="U32" s="198"/>
    </row>
    <row r="33" spans="1:21" s="12" customFormat="1" x14ac:dyDescent="0.25">
      <c r="A33" s="248" t="s">
        <v>365</v>
      </c>
      <c r="B33" s="249" t="s">
        <v>32</v>
      </c>
      <c r="C33" s="249" t="s">
        <v>32</v>
      </c>
      <c r="D33" s="249" t="s">
        <v>32</v>
      </c>
      <c r="E33" s="249" t="s">
        <v>32</v>
      </c>
      <c r="F33" s="249" t="s">
        <v>32</v>
      </c>
      <c r="G33" s="249" t="s">
        <v>32</v>
      </c>
      <c r="H33" s="249" t="s">
        <v>32</v>
      </c>
      <c r="I33" s="249" t="s">
        <v>32</v>
      </c>
      <c r="J33" s="249" t="s">
        <v>32</v>
      </c>
      <c r="K33" s="249" t="s">
        <v>32</v>
      </c>
      <c r="L33" s="249" t="s">
        <v>32</v>
      </c>
      <c r="M33" s="249" t="s">
        <v>32</v>
      </c>
      <c r="N33" s="249" t="s">
        <v>32</v>
      </c>
      <c r="O33" s="249" t="s">
        <v>32</v>
      </c>
      <c r="P33" s="249" t="s">
        <v>32</v>
      </c>
      <c r="Q33" s="249" t="s">
        <v>32</v>
      </c>
      <c r="R33" s="198"/>
      <c r="S33" s="198"/>
      <c r="T33" s="198"/>
      <c r="U33" s="198"/>
    </row>
    <row r="34" spans="1:21" s="12" customFormat="1" x14ac:dyDescent="0.25">
      <c r="A34" s="248" t="s">
        <v>366</v>
      </c>
      <c r="B34" s="249" t="s">
        <v>32</v>
      </c>
      <c r="C34" s="249" t="s">
        <v>32</v>
      </c>
      <c r="D34" s="249" t="s">
        <v>32</v>
      </c>
      <c r="E34" s="249" t="s">
        <v>32</v>
      </c>
      <c r="F34" s="249" t="s">
        <v>32</v>
      </c>
      <c r="G34" s="249" t="s">
        <v>32</v>
      </c>
      <c r="H34" s="249" t="s">
        <v>32</v>
      </c>
      <c r="I34" s="249" t="s">
        <v>32</v>
      </c>
      <c r="J34" s="249" t="s">
        <v>32</v>
      </c>
      <c r="K34" s="249" t="s">
        <v>32</v>
      </c>
      <c r="L34" s="249" t="s">
        <v>32</v>
      </c>
      <c r="M34" s="249" t="s">
        <v>32</v>
      </c>
      <c r="N34" s="249" t="s">
        <v>32</v>
      </c>
      <c r="O34" s="249" t="s">
        <v>32</v>
      </c>
      <c r="P34" s="249" t="s">
        <v>32</v>
      </c>
      <c r="Q34" s="249" t="s">
        <v>32</v>
      </c>
      <c r="R34" s="198"/>
      <c r="S34" s="198"/>
      <c r="T34" s="198"/>
      <c r="U34" s="198"/>
    </row>
    <row r="35" spans="1:21" s="12" customFormat="1" x14ac:dyDescent="0.25">
      <c r="A35" s="248" t="s">
        <v>367</v>
      </c>
      <c r="B35" s="249" t="s">
        <v>32</v>
      </c>
      <c r="C35" s="249" t="s">
        <v>32</v>
      </c>
      <c r="D35" s="249" t="s">
        <v>32</v>
      </c>
      <c r="E35" s="249" t="s">
        <v>32</v>
      </c>
      <c r="F35" s="249" t="s">
        <v>32</v>
      </c>
      <c r="G35" s="249" t="s">
        <v>32</v>
      </c>
      <c r="H35" s="249" t="s">
        <v>32</v>
      </c>
      <c r="I35" s="249" t="s">
        <v>32</v>
      </c>
      <c r="J35" s="249" t="s">
        <v>32</v>
      </c>
      <c r="K35" s="249" t="s">
        <v>32</v>
      </c>
      <c r="L35" s="249" t="s">
        <v>32</v>
      </c>
      <c r="M35" s="249" t="s">
        <v>32</v>
      </c>
      <c r="N35" s="249" t="s">
        <v>32</v>
      </c>
      <c r="O35" s="249" t="s">
        <v>32</v>
      </c>
      <c r="P35" s="249" t="s">
        <v>32</v>
      </c>
      <c r="Q35" s="249" t="s">
        <v>32</v>
      </c>
      <c r="R35" s="198"/>
      <c r="S35" s="198"/>
      <c r="T35" s="198"/>
      <c r="U35" s="198"/>
    </row>
    <row r="36" spans="1:21" s="12" customFormat="1" x14ac:dyDescent="0.25">
      <c r="A36" s="248" t="s">
        <v>368</v>
      </c>
      <c r="B36" s="249" t="s">
        <v>32</v>
      </c>
      <c r="C36" s="249" t="s">
        <v>32</v>
      </c>
      <c r="D36" s="249" t="s">
        <v>32</v>
      </c>
      <c r="E36" s="249" t="s">
        <v>32</v>
      </c>
      <c r="F36" s="249" t="s">
        <v>32</v>
      </c>
      <c r="G36" s="249" t="s">
        <v>32</v>
      </c>
      <c r="H36" s="249" t="s">
        <v>32</v>
      </c>
      <c r="I36" s="249" t="s">
        <v>32</v>
      </c>
      <c r="J36" s="249" t="s">
        <v>32</v>
      </c>
      <c r="K36" s="249" t="s">
        <v>32</v>
      </c>
      <c r="L36" s="249" t="s">
        <v>32</v>
      </c>
      <c r="M36" s="249" t="s">
        <v>32</v>
      </c>
      <c r="N36" s="249" t="s">
        <v>32</v>
      </c>
      <c r="O36" s="249" t="s">
        <v>32</v>
      </c>
      <c r="P36" s="249" t="s">
        <v>32</v>
      </c>
      <c r="Q36" s="249" t="s">
        <v>32</v>
      </c>
      <c r="R36" s="198"/>
      <c r="S36" s="198"/>
      <c r="T36" s="198"/>
      <c r="U36" s="198"/>
    </row>
    <row r="37" spans="1:21" s="12" customFormat="1" x14ac:dyDescent="0.25">
      <c r="A37" s="248" t="s">
        <v>369</v>
      </c>
      <c r="B37" s="249" t="s">
        <v>32</v>
      </c>
      <c r="C37" s="249" t="s">
        <v>32</v>
      </c>
      <c r="D37" s="249" t="s">
        <v>32</v>
      </c>
      <c r="E37" s="249" t="s">
        <v>32</v>
      </c>
      <c r="F37" s="249" t="s">
        <v>32</v>
      </c>
      <c r="G37" s="249" t="s">
        <v>32</v>
      </c>
      <c r="H37" s="249" t="s">
        <v>32</v>
      </c>
      <c r="I37" s="249" t="s">
        <v>32</v>
      </c>
      <c r="J37" s="249" t="s">
        <v>32</v>
      </c>
      <c r="K37" s="249" t="s">
        <v>32</v>
      </c>
      <c r="L37" s="249" t="s">
        <v>32</v>
      </c>
      <c r="M37" s="249" t="s">
        <v>32</v>
      </c>
      <c r="N37" s="249" t="s">
        <v>32</v>
      </c>
      <c r="O37" s="249" t="s">
        <v>32</v>
      </c>
      <c r="P37" s="249" t="s">
        <v>32</v>
      </c>
      <c r="Q37" s="249" t="s">
        <v>32</v>
      </c>
      <c r="R37" s="198"/>
      <c r="S37" s="198"/>
      <c r="T37" s="198"/>
      <c r="U37" s="198"/>
    </row>
    <row r="38" spans="1:21" s="12" customFormat="1" x14ac:dyDescent="0.25">
      <c r="A38" s="248" t="s">
        <v>370</v>
      </c>
      <c r="B38" s="249" t="s">
        <v>32</v>
      </c>
      <c r="C38" s="249" t="s">
        <v>32</v>
      </c>
      <c r="D38" s="249" t="s">
        <v>32</v>
      </c>
      <c r="E38" s="249" t="s">
        <v>32</v>
      </c>
      <c r="F38" s="249" t="s">
        <v>32</v>
      </c>
      <c r="G38" s="249" t="s">
        <v>32</v>
      </c>
      <c r="H38" s="249" t="s">
        <v>32</v>
      </c>
      <c r="I38" s="249" t="s">
        <v>32</v>
      </c>
      <c r="J38" s="249" t="s">
        <v>32</v>
      </c>
      <c r="K38" s="249" t="s">
        <v>32</v>
      </c>
      <c r="L38" s="249" t="s">
        <v>32</v>
      </c>
      <c r="M38" s="249" t="s">
        <v>32</v>
      </c>
      <c r="N38" s="249" t="s">
        <v>32</v>
      </c>
      <c r="O38" s="249" t="s">
        <v>32</v>
      </c>
      <c r="P38" s="249" t="s">
        <v>32</v>
      </c>
      <c r="Q38" s="249" t="s">
        <v>32</v>
      </c>
      <c r="R38" s="198"/>
      <c r="S38" s="198"/>
      <c r="T38" s="198"/>
      <c r="U38" s="198"/>
    </row>
    <row r="39" spans="1:21" s="12" customFormat="1" x14ac:dyDescent="0.25">
      <c r="A39" s="248" t="s">
        <v>371</v>
      </c>
      <c r="B39" s="249" t="s">
        <v>32</v>
      </c>
      <c r="C39" s="249" t="s">
        <v>32</v>
      </c>
      <c r="D39" s="249" t="s">
        <v>32</v>
      </c>
      <c r="E39" s="249" t="s">
        <v>32</v>
      </c>
      <c r="F39" s="249" t="s">
        <v>32</v>
      </c>
      <c r="G39" s="249" t="s">
        <v>32</v>
      </c>
      <c r="H39" s="249" t="s">
        <v>32</v>
      </c>
      <c r="I39" s="249" t="s">
        <v>32</v>
      </c>
      <c r="J39" s="249" t="s">
        <v>32</v>
      </c>
      <c r="K39" s="249" t="s">
        <v>32</v>
      </c>
      <c r="L39" s="249" t="s">
        <v>32</v>
      </c>
      <c r="M39" s="249" t="s">
        <v>32</v>
      </c>
      <c r="N39" s="249" t="s">
        <v>32</v>
      </c>
      <c r="O39" s="249" t="s">
        <v>32</v>
      </c>
      <c r="P39" s="249" t="s">
        <v>32</v>
      </c>
      <c r="Q39" s="249" t="s">
        <v>32</v>
      </c>
      <c r="R39" s="198"/>
      <c r="S39" s="198"/>
      <c r="T39" s="198"/>
      <c r="U39" s="198"/>
    </row>
    <row r="40" spans="1:21" s="12" customFormat="1" x14ac:dyDescent="0.25">
      <c r="A40" s="248" t="s">
        <v>372</v>
      </c>
      <c r="B40" s="249" t="s">
        <v>32</v>
      </c>
      <c r="C40" s="249" t="s">
        <v>32</v>
      </c>
      <c r="D40" s="249" t="s">
        <v>32</v>
      </c>
      <c r="E40" s="249" t="s">
        <v>32</v>
      </c>
      <c r="F40" s="249" t="s">
        <v>32</v>
      </c>
      <c r="G40" s="249" t="s">
        <v>32</v>
      </c>
      <c r="H40" s="249" t="s">
        <v>32</v>
      </c>
      <c r="I40" s="249" t="s">
        <v>32</v>
      </c>
      <c r="J40" s="249" t="s">
        <v>32</v>
      </c>
      <c r="K40" s="249" t="s">
        <v>32</v>
      </c>
      <c r="L40" s="249" t="s">
        <v>32</v>
      </c>
      <c r="M40" s="249" t="s">
        <v>32</v>
      </c>
      <c r="N40" s="249" t="s">
        <v>32</v>
      </c>
      <c r="O40" s="249" t="s">
        <v>32</v>
      </c>
      <c r="P40" s="249" t="s">
        <v>32</v>
      </c>
      <c r="Q40" s="249" t="s">
        <v>32</v>
      </c>
      <c r="R40" s="198"/>
      <c r="S40" s="198"/>
      <c r="T40" s="198"/>
      <c r="U40" s="198"/>
    </row>
    <row r="41" spans="1:21" s="12" customFormat="1" x14ac:dyDescent="0.25">
      <c r="A41" s="248" t="s">
        <v>373</v>
      </c>
      <c r="B41" s="249" t="s">
        <v>32</v>
      </c>
      <c r="C41" s="249" t="s">
        <v>32</v>
      </c>
      <c r="D41" s="249" t="s">
        <v>32</v>
      </c>
      <c r="E41" s="249" t="s">
        <v>32</v>
      </c>
      <c r="F41" s="249" t="s">
        <v>32</v>
      </c>
      <c r="G41" s="249" t="s">
        <v>32</v>
      </c>
      <c r="H41" s="249" t="s">
        <v>32</v>
      </c>
      <c r="I41" s="249" t="s">
        <v>32</v>
      </c>
      <c r="J41" s="249" t="s">
        <v>32</v>
      </c>
      <c r="K41" s="249" t="s">
        <v>32</v>
      </c>
      <c r="L41" s="249" t="s">
        <v>32</v>
      </c>
      <c r="M41" s="249" t="s">
        <v>32</v>
      </c>
      <c r="N41" s="249" t="s">
        <v>32</v>
      </c>
      <c r="O41" s="249" t="s">
        <v>32</v>
      </c>
      <c r="P41" s="249" t="s">
        <v>32</v>
      </c>
      <c r="Q41" s="249" t="s">
        <v>32</v>
      </c>
      <c r="R41" s="198"/>
      <c r="S41" s="198"/>
      <c r="T41" s="198"/>
      <c r="U41" s="198"/>
    </row>
    <row r="42" spans="1:21" s="12" customFormat="1" x14ac:dyDescent="0.25">
      <c r="A42" s="248" t="s">
        <v>374</v>
      </c>
      <c r="B42" s="249" t="s">
        <v>32</v>
      </c>
      <c r="C42" s="249" t="s">
        <v>32</v>
      </c>
      <c r="D42" s="249" t="s">
        <v>32</v>
      </c>
      <c r="E42" s="249" t="s">
        <v>32</v>
      </c>
      <c r="F42" s="249" t="s">
        <v>32</v>
      </c>
      <c r="G42" s="249" t="s">
        <v>32</v>
      </c>
      <c r="H42" s="249" t="s">
        <v>32</v>
      </c>
      <c r="I42" s="249" t="s">
        <v>32</v>
      </c>
      <c r="J42" s="249" t="s">
        <v>32</v>
      </c>
      <c r="K42" s="249" t="s">
        <v>32</v>
      </c>
      <c r="L42" s="249" t="s">
        <v>32</v>
      </c>
      <c r="M42" s="249" t="s">
        <v>32</v>
      </c>
      <c r="N42" s="249" t="s">
        <v>32</v>
      </c>
      <c r="O42" s="249" t="s">
        <v>32</v>
      </c>
      <c r="P42" s="249" t="s">
        <v>32</v>
      </c>
      <c r="Q42" s="249" t="s">
        <v>32</v>
      </c>
      <c r="R42" s="198"/>
      <c r="S42" s="198"/>
      <c r="T42" s="198"/>
      <c r="U42" s="198"/>
    </row>
    <row r="43" spans="1:21" s="12" customFormat="1" x14ac:dyDescent="0.25">
      <c r="A43" s="248" t="s">
        <v>375</v>
      </c>
      <c r="B43" s="249" t="s">
        <v>32</v>
      </c>
      <c r="C43" s="249" t="s">
        <v>32</v>
      </c>
      <c r="D43" s="249" t="s">
        <v>32</v>
      </c>
      <c r="E43" s="249" t="s">
        <v>32</v>
      </c>
      <c r="F43" s="249" t="s">
        <v>32</v>
      </c>
      <c r="G43" s="249" t="s">
        <v>32</v>
      </c>
      <c r="H43" s="249" t="s">
        <v>32</v>
      </c>
      <c r="I43" s="249" t="s">
        <v>32</v>
      </c>
      <c r="J43" s="249" t="s">
        <v>32</v>
      </c>
      <c r="K43" s="249" t="s">
        <v>32</v>
      </c>
      <c r="L43" s="249" t="s">
        <v>32</v>
      </c>
      <c r="M43" s="249" t="s">
        <v>32</v>
      </c>
      <c r="N43" s="249" t="s">
        <v>32</v>
      </c>
      <c r="O43" s="249" t="s">
        <v>32</v>
      </c>
      <c r="P43" s="249" t="s">
        <v>32</v>
      </c>
      <c r="Q43" s="249" t="s">
        <v>32</v>
      </c>
      <c r="R43" s="198"/>
      <c r="S43" s="198"/>
      <c r="T43" s="198"/>
      <c r="U43" s="198"/>
    </row>
    <row r="44" spans="1:21" s="12" customFormat="1" x14ac:dyDescent="0.25">
      <c r="A44" s="248" t="s">
        <v>376</v>
      </c>
      <c r="B44" s="249" t="s">
        <v>32</v>
      </c>
      <c r="C44" s="249" t="s">
        <v>32</v>
      </c>
      <c r="D44" s="249" t="s">
        <v>32</v>
      </c>
      <c r="E44" s="249" t="s">
        <v>32</v>
      </c>
      <c r="F44" s="249" t="s">
        <v>32</v>
      </c>
      <c r="G44" s="249" t="s">
        <v>32</v>
      </c>
      <c r="H44" s="249" t="s">
        <v>32</v>
      </c>
      <c r="I44" s="249" t="s">
        <v>32</v>
      </c>
      <c r="J44" s="249" t="s">
        <v>32</v>
      </c>
      <c r="K44" s="249" t="s">
        <v>32</v>
      </c>
      <c r="L44" s="249" t="s">
        <v>32</v>
      </c>
      <c r="M44" s="249" t="s">
        <v>32</v>
      </c>
      <c r="N44" s="249" t="s">
        <v>32</v>
      </c>
      <c r="O44" s="249" t="s">
        <v>32</v>
      </c>
      <c r="P44" s="249" t="s">
        <v>32</v>
      </c>
      <c r="Q44" s="249" t="s">
        <v>32</v>
      </c>
      <c r="R44" s="198"/>
      <c r="S44" s="198"/>
      <c r="T44" s="198"/>
      <c r="U44" s="198"/>
    </row>
    <row r="45" spans="1:21" s="12" customFormat="1" x14ac:dyDescent="0.25">
      <c r="A45" s="248" t="s">
        <v>377</v>
      </c>
      <c r="B45" s="249" t="s">
        <v>32</v>
      </c>
      <c r="C45" s="249" t="s">
        <v>32</v>
      </c>
      <c r="D45" s="249" t="s">
        <v>32</v>
      </c>
      <c r="E45" s="249" t="s">
        <v>32</v>
      </c>
      <c r="F45" s="249" t="s">
        <v>32</v>
      </c>
      <c r="G45" s="249" t="s">
        <v>32</v>
      </c>
      <c r="H45" s="249" t="s">
        <v>32</v>
      </c>
      <c r="I45" s="249" t="s">
        <v>32</v>
      </c>
      <c r="J45" s="249" t="s">
        <v>32</v>
      </c>
      <c r="K45" s="249" t="s">
        <v>32</v>
      </c>
      <c r="L45" s="249" t="s">
        <v>32</v>
      </c>
      <c r="M45" s="249" t="s">
        <v>32</v>
      </c>
      <c r="N45" s="249" t="s">
        <v>32</v>
      </c>
      <c r="O45" s="249" t="s">
        <v>32</v>
      </c>
      <c r="P45" s="249" t="s">
        <v>32</v>
      </c>
      <c r="Q45" s="249" t="s">
        <v>32</v>
      </c>
      <c r="R45" s="198"/>
      <c r="S45" s="198"/>
      <c r="T45" s="198"/>
      <c r="U45" s="198"/>
    </row>
    <row r="46" spans="1:21" s="12" customFormat="1" x14ac:dyDescent="0.25">
      <c r="A46" s="248" t="s">
        <v>378</v>
      </c>
      <c r="B46" s="249" t="s">
        <v>32</v>
      </c>
      <c r="C46" s="249" t="s">
        <v>32</v>
      </c>
      <c r="D46" s="249" t="s">
        <v>32</v>
      </c>
      <c r="E46" s="249" t="s">
        <v>32</v>
      </c>
      <c r="F46" s="249" t="s">
        <v>32</v>
      </c>
      <c r="G46" s="249" t="s">
        <v>32</v>
      </c>
      <c r="H46" s="249" t="s">
        <v>32</v>
      </c>
      <c r="I46" s="249" t="s">
        <v>32</v>
      </c>
      <c r="J46" s="249" t="s">
        <v>32</v>
      </c>
      <c r="K46" s="249" t="s">
        <v>32</v>
      </c>
      <c r="L46" s="249" t="s">
        <v>32</v>
      </c>
      <c r="M46" s="249" t="s">
        <v>32</v>
      </c>
      <c r="N46" s="249" t="s">
        <v>32</v>
      </c>
      <c r="O46" s="249" t="s">
        <v>32</v>
      </c>
      <c r="P46" s="249" t="s">
        <v>32</v>
      </c>
      <c r="Q46" s="249" t="s">
        <v>32</v>
      </c>
      <c r="R46" s="198"/>
      <c r="S46" s="198"/>
      <c r="T46" s="198"/>
      <c r="U46" s="198"/>
    </row>
    <row r="47" spans="1:21" s="12" customFormat="1" x14ac:dyDescent="0.25">
      <c r="A47" s="248" t="s">
        <v>379</v>
      </c>
      <c r="B47" s="249" t="s">
        <v>32</v>
      </c>
      <c r="C47" s="249" t="s">
        <v>32</v>
      </c>
      <c r="D47" s="249" t="s">
        <v>32</v>
      </c>
      <c r="E47" s="249" t="s">
        <v>32</v>
      </c>
      <c r="F47" s="249" t="s">
        <v>32</v>
      </c>
      <c r="G47" s="249" t="s">
        <v>32</v>
      </c>
      <c r="H47" s="249" t="s">
        <v>32</v>
      </c>
      <c r="I47" s="249" t="s">
        <v>32</v>
      </c>
      <c r="J47" s="249" t="s">
        <v>32</v>
      </c>
      <c r="K47" s="249" t="s">
        <v>32</v>
      </c>
      <c r="L47" s="249" t="s">
        <v>32</v>
      </c>
      <c r="M47" s="249" t="s">
        <v>32</v>
      </c>
      <c r="N47" s="249" t="s">
        <v>32</v>
      </c>
      <c r="O47" s="249" t="s">
        <v>32</v>
      </c>
      <c r="P47" s="249" t="s">
        <v>32</v>
      </c>
      <c r="Q47" s="249" t="s">
        <v>32</v>
      </c>
      <c r="R47" s="198"/>
      <c r="S47" s="198"/>
      <c r="T47" s="198"/>
      <c r="U47" s="198"/>
    </row>
    <row r="48" spans="1:21" s="12" customFormat="1" x14ac:dyDescent="0.25">
      <c r="A48" s="248" t="s">
        <v>380</v>
      </c>
      <c r="B48" s="249" t="s">
        <v>32</v>
      </c>
      <c r="C48" s="249" t="s">
        <v>32</v>
      </c>
      <c r="D48" s="249" t="s">
        <v>32</v>
      </c>
      <c r="E48" s="249" t="s">
        <v>32</v>
      </c>
      <c r="F48" s="249" t="s">
        <v>32</v>
      </c>
      <c r="G48" s="249" t="s">
        <v>32</v>
      </c>
      <c r="H48" s="249" t="s">
        <v>32</v>
      </c>
      <c r="I48" s="249" t="s">
        <v>32</v>
      </c>
      <c r="J48" s="249" t="s">
        <v>32</v>
      </c>
      <c r="K48" s="249" t="s">
        <v>32</v>
      </c>
      <c r="L48" s="249" t="s">
        <v>32</v>
      </c>
      <c r="M48" s="249" t="s">
        <v>32</v>
      </c>
      <c r="N48" s="249" t="s">
        <v>32</v>
      </c>
      <c r="O48" s="249" t="s">
        <v>32</v>
      </c>
      <c r="P48" s="249" t="s">
        <v>32</v>
      </c>
      <c r="Q48" s="249" t="s">
        <v>32</v>
      </c>
      <c r="R48" s="198"/>
      <c r="S48" s="198"/>
      <c r="T48" s="198"/>
      <c r="U48" s="198"/>
    </row>
    <row r="49" spans="1:21" s="12" customFormat="1" x14ac:dyDescent="0.25">
      <c r="A49" s="248" t="s">
        <v>381</v>
      </c>
      <c r="B49" s="249" t="s">
        <v>32</v>
      </c>
      <c r="C49" s="249" t="s">
        <v>32</v>
      </c>
      <c r="D49" s="249" t="s">
        <v>32</v>
      </c>
      <c r="E49" s="249" t="s">
        <v>32</v>
      </c>
      <c r="F49" s="249" t="s">
        <v>32</v>
      </c>
      <c r="G49" s="249" t="s">
        <v>32</v>
      </c>
      <c r="H49" s="249" t="s">
        <v>32</v>
      </c>
      <c r="I49" s="249" t="s">
        <v>32</v>
      </c>
      <c r="J49" s="249" t="s">
        <v>32</v>
      </c>
      <c r="K49" s="249" t="s">
        <v>32</v>
      </c>
      <c r="L49" s="249" t="s">
        <v>32</v>
      </c>
      <c r="M49" s="249" t="s">
        <v>32</v>
      </c>
      <c r="N49" s="249" t="s">
        <v>32</v>
      </c>
      <c r="O49" s="249" t="s">
        <v>32</v>
      </c>
      <c r="P49" s="249" t="s">
        <v>32</v>
      </c>
      <c r="Q49" s="249" t="s">
        <v>32</v>
      </c>
      <c r="R49" s="198"/>
      <c r="S49" s="198"/>
      <c r="T49" s="198"/>
      <c r="U49" s="198"/>
    </row>
    <row r="50" spans="1:21" s="12" customFormat="1" x14ac:dyDescent="0.25">
      <c r="A50" s="248" t="s">
        <v>382</v>
      </c>
      <c r="B50" s="249" t="s">
        <v>32</v>
      </c>
      <c r="C50" s="249" t="s">
        <v>32</v>
      </c>
      <c r="D50" s="249" t="s">
        <v>32</v>
      </c>
      <c r="E50" s="249" t="s">
        <v>32</v>
      </c>
      <c r="F50" s="249" t="s">
        <v>32</v>
      </c>
      <c r="G50" s="249" t="s">
        <v>32</v>
      </c>
      <c r="H50" s="249" t="s">
        <v>32</v>
      </c>
      <c r="I50" s="249" t="s">
        <v>32</v>
      </c>
      <c r="J50" s="249" t="s">
        <v>32</v>
      </c>
      <c r="K50" s="249" t="s">
        <v>32</v>
      </c>
      <c r="L50" s="249" t="s">
        <v>32</v>
      </c>
      <c r="M50" s="249" t="s">
        <v>32</v>
      </c>
      <c r="N50" s="249" t="s">
        <v>32</v>
      </c>
      <c r="O50" s="249" t="s">
        <v>32</v>
      </c>
      <c r="P50" s="249" t="s">
        <v>32</v>
      </c>
      <c r="Q50" s="249" t="s">
        <v>32</v>
      </c>
      <c r="R50" s="198"/>
      <c r="S50" s="198"/>
      <c r="T50" s="198"/>
      <c r="U50" s="198"/>
    </row>
    <row r="51" spans="1:21" s="12" customFormat="1" x14ac:dyDescent="0.25">
      <c r="A51" s="248" t="s">
        <v>383</v>
      </c>
      <c r="B51" s="249" t="s">
        <v>32</v>
      </c>
      <c r="C51" s="249" t="s">
        <v>32</v>
      </c>
      <c r="D51" s="249" t="s">
        <v>32</v>
      </c>
      <c r="E51" s="249" t="s">
        <v>32</v>
      </c>
      <c r="F51" s="249" t="s">
        <v>32</v>
      </c>
      <c r="G51" s="249" t="s">
        <v>32</v>
      </c>
      <c r="H51" s="249" t="s">
        <v>32</v>
      </c>
      <c r="I51" s="249" t="s">
        <v>32</v>
      </c>
      <c r="J51" s="249" t="s">
        <v>32</v>
      </c>
      <c r="K51" s="249" t="s">
        <v>32</v>
      </c>
      <c r="L51" s="249" t="s">
        <v>32</v>
      </c>
      <c r="M51" s="249" t="s">
        <v>32</v>
      </c>
      <c r="N51" s="249" t="s">
        <v>32</v>
      </c>
      <c r="O51" s="249" t="s">
        <v>32</v>
      </c>
      <c r="P51" s="249" t="s">
        <v>32</v>
      </c>
      <c r="Q51" s="249" t="s">
        <v>32</v>
      </c>
      <c r="R51" s="198"/>
      <c r="S51" s="198"/>
      <c r="T51" s="198"/>
      <c r="U51" s="198"/>
    </row>
    <row r="52" spans="1:21" s="12" customFormat="1" x14ac:dyDescent="0.25">
      <c r="A52" s="248" t="s">
        <v>384</v>
      </c>
      <c r="B52" s="249" t="s">
        <v>32</v>
      </c>
      <c r="C52" s="249" t="s">
        <v>32</v>
      </c>
      <c r="D52" s="249" t="s">
        <v>32</v>
      </c>
      <c r="E52" s="249" t="s">
        <v>32</v>
      </c>
      <c r="F52" s="249" t="s">
        <v>32</v>
      </c>
      <c r="G52" s="249" t="s">
        <v>32</v>
      </c>
      <c r="H52" s="249" t="s">
        <v>32</v>
      </c>
      <c r="I52" s="249" t="s">
        <v>32</v>
      </c>
      <c r="J52" s="249" t="s">
        <v>32</v>
      </c>
      <c r="K52" s="249" t="s">
        <v>32</v>
      </c>
      <c r="L52" s="249" t="s">
        <v>32</v>
      </c>
      <c r="M52" s="249" t="s">
        <v>32</v>
      </c>
      <c r="N52" s="249" t="s">
        <v>32</v>
      </c>
      <c r="O52" s="249" t="s">
        <v>32</v>
      </c>
      <c r="P52" s="249" t="s">
        <v>32</v>
      </c>
      <c r="Q52" s="249" t="s">
        <v>32</v>
      </c>
      <c r="R52" s="198"/>
      <c r="S52" s="198"/>
      <c r="T52" s="198"/>
      <c r="U52" s="198"/>
    </row>
    <row r="53" spans="1:21" s="12" customFormat="1" x14ac:dyDescent="0.25">
      <c r="A53" s="248" t="s">
        <v>385</v>
      </c>
      <c r="B53" s="249" t="s">
        <v>32</v>
      </c>
      <c r="C53" s="249" t="s">
        <v>32</v>
      </c>
      <c r="D53" s="249" t="s">
        <v>32</v>
      </c>
      <c r="E53" s="249" t="s">
        <v>32</v>
      </c>
      <c r="F53" s="249" t="s">
        <v>32</v>
      </c>
      <c r="G53" s="249" t="s">
        <v>32</v>
      </c>
      <c r="H53" s="249" t="s">
        <v>32</v>
      </c>
      <c r="I53" s="249" t="s">
        <v>32</v>
      </c>
      <c r="J53" s="249" t="s">
        <v>32</v>
      </c>
      <c r="K53" s="249" t="s">
        <v>32</v>
      </c>
      <c r="L53" s="249" t="s">
        <v>32</v>
      </c>
      <c r="M53" s="249" t="s">
        <v>32</v>
      </c>
      <c r="N53" s="249" t="s">
        <v>32</v>
      </c>
      <c r="O53" s="249" t="s">
        <v>32</v>
      </c>
      <c r="P53" s="249" t="s">
        <v>32</v>
      </c>
      <c r="Q53" s="249" t="s">
        <v>32</v>
      </c>
      <c r="R53" s="198"/>
      <c r="S53" s="198"/>
      <c r="T53" s="198"/>
      <c r="U53" s="198"/>
    </row>
    <row r="54" spans="1:21" s="12" customFormat="1" x14ac:dyDescent="0.25">
      <c r="A54" s="248" t="s">
        <v>386</v>
      </c>
      <c r="B54" s="64">
        <v>8.35</v>
      </c>
      <c r="C54" s="64">
        <v>4.4000000000000004</v>
      </c>
      <c r="D54" s="64">
        <v>12.77</v>
      </c>
      <c r="E54" s="64">
        <v>3.3</v>
      </c>
      <c r="F54" s="64">
        <v>5.05</v>
      </c>
      <c r="G54" s="64">
        <v>13.48</v>
      </c>
      <c r="H54" s="64">
        <v>4.95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64">
        <v>0</v>
      </c>
      <c r="P54" s="64">
        <v>0.37</v>
      </c>
      <c r="Q54" s="7" t="s">
        <v>49</v>
      </c>
      <c r="R54" s="198"/>
      <c r="S54" s="198"/>
      <c r="T54" s="198"/>
      <c r="U54" s="198"/>
    </row>
    <row r="55" spans="1:21" s="12" customFormat="1" x14ac:dyDescent="0.25">
      <c r="A55" s="248" t="s">
        <v>387</v>
      </c>
      <c r="B55" s="64">
        <v>8.52</v>
      </c>
      <c r="C55" s="64">
        <v>5.0199999999999996</v>
      </c>
      <c r="D55" s="64">
        <v>13.23</v>
      </c>
      <c r="E55" s="64">
        <v>3.69</v>
      </c>
      <c r="F55" s="64">
        <v>4.58</v>
      </c>
      <c r="G55" s="64">
        <v>12.11</v>
      </c>
      <c r="H55" s="64">
        <v>4.78</v>
      </c>
      <c r="I55" s="7" t="s">
        <v>49</v>
      </c>
      <c r="J55" s="64">
        <v>0.34</v>
      </c>
      <c r="K55" s="64">
        <v>353.07</v>
      </c>
      <c r="L55" s="64">
        <v>26.39</v>
      </c>
      <c r="M55" s="64">
        <v>100.35</v>
      </c>
      <c r="N55" s="64">
        <v>119.2</v>
      </c>
      <c r="O55" s="64">
        <v>0</v>
      </c>
      <c r="P55" s="64">
        <v>0.37</v>
      </c>
      <c r="Q55" s="7" t="s">
        <v>49</v>
      </c>
      <c r="R55" s="198"/>
      <c r="S55" s="198"/>
      <c r="T55" s="198"/>
      <c r="U55" s="198"/>
    </row>
    <row r="56" spans="1:21" s="12" customFormat="1" x14ac:dyDescent="0.25">
      <c r="A56" s="248" t="s">
        <v>388</v>
      </c>
      <c r="B56" s="64">
        <v>8.44</v>
      </c>
      <c r="C56" s="64">
        <v>4.6399999999999997</v>
      </c>
      <c r="D56" s="64">
        <v>12.97</v>
      </c>
      <c r="E56" s="64">
        <v>3.34</v>
      </c>
      <c r="F56" s="64">
        <v>4.3</v>
      </c>
      <c r="G56" s="64">
        <v>9.85</v>
      </c>
      <c r="H56" s="64">
        <v>4.49</v>
      </c>
      <c r="I56" s="64">
        <v>0.41</v>
      </c>
      <c r="J56" s="64">
        <v>0.31</v>
      </c>
      <c r="K56" s="64">
        <v>354.58</v>
      </c>
      <c r="L56" s="64">
        <v>26.45</v>
      </c>
      <c r="M56" s="64">
        <v>100.37</v>
      </c>
      <c r="N56" s="64">
        <v>125.2</v>
      </c>
      <c r="O56" s="64">
        <v>0</v>
      </c>
      <c r="P56" s="64">
        <v>0.35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48" t="s">
        <v>389</v>
      </c>
      <c r="B57" s="64">
        <v>8.09</v>
      </c>
      <c r="C57" s="64">
        <v>3.38</v>
      </c>
      <c r="D57" s="64">
        <v>12.03</v>
      </c>
      <c r="E57" s="64">
        <v>3.13</v>
      </c>
      <c r="F57" s="64">
        <v>4.51</v>
      </c>
      <c r="G57" s="64">
        <v>9.85</v>
      </c>
      <c r="H57" s="64">
        <v>4.49</v>
      </c>
      <c r="I57" s="64">
        <v>0.9</v>
      </c>
      <c r="J57" s="64">
        <v>0.35</v>
      </c>
      <c r="K57" s="64">
        <v>355.45</v>
      </c>
      <c r="L57" s="64">
        <v>26.33</v>
      </c>
      <c r="M57" s="64">
        <v>100.4</v>
      </c>
      <c r="N57" s="64">
        <v>129.6</v>
      </c>
      <c r="O57" s="64">
        <v>0</v>
      </c>
      <c r="P57" s="64">
        <v>0.33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48" t="s">
        <v>390</v>
      </c>
      <c r="B58" s="64">
        <v>7.99</v>
      </c>
      <c r="C58" s="64">
        <v>3.04</v>
      </c>
      <c r="D58" s="64">
        <v>11.77</v>
      </c>
      <c r="E58" s="64">
        <v>3.23</v>
      </c>
      <c r="F58" s="64">
        <v>5.55</v>
      </c>
      <c r="G58" s="64">
        <v>9.85</v>
      </c>
      <c r="H58" s="64">
        <v>4.49</v>
      </c>
      <c r="I58" s="64">
        <v>0.87</v>
      </c>
      <c r="J58" s="64">
        <v>0.32</v>
      </c>
      <c r="K58" s="64">
        <v>348.02</v>
      </c>
      <c r="L58" s="64">
        <v>26.25</v>
      </c>
      <c r="M58" s="64">
        <v>100.39</v>
      </c>
      <c r="N58" s="64">
        <v>158.19999999999999</v>
      </c>
      <c r="O58" s="64">
        <v>0</v>
      </c>
      <c r="P58" s="64">
        <v>0.34</v>
      </c>
      <c r="Q58" s="64">
        <v>9.1999999999999993</v>
      </c>
      <c r="R58" s="198"/>
      <c r="S58" s="198"/>
      <c r="T58" s="198"/>
      <c r="U58" s="198"/>
    </row>
    <row r="59" spans="1:21" s="12" customFormat="1" x14ac:dyDescent="0.25">
      <c r="A59" s="248" t="s">
        <v>391</v>
      </c>
      <c r="B59" s="64">
        <v>7.97</v>
      </c>
      <c r="C59" s="64">
        <v>3.04</v>
      </c>
      <c r="D59" s="64">
        <v>11.76</v>
      </c>
      <c r="E59" s="64">
        <v>3.46</v>
      </c>
      <c r="F59" s="64">
        <v>4.8899999999999997</v>
      </c>
      <c r="G59" s="64">
        <v>8.85</v>
      </c>
      <c r="H59" s="64">
        <v>4.2300000000000004</v>
      </c>
      <c r="I59" s="64">
        <v>0.84</v>
      </c>
      <c r="J59" s="64">
        <v>0.3</v>
      </c>
      <c r="K59" s="64">
        <v>350.52</v>
      </c>
      <c r="L59" s="64">
        <v>26.31</v>
      </c>
      <c r="M59" s="64">
        <v>100.36</v>
      </c>
      <c r="N59" s="64">
        <v>138.19999999999999</v>
      </c>
      <c r="O59" s="64">
        <v>0</v>
      </c>
      <c r="P59" s="64">
        <v>0.33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48" t="s">
        <v>392</v>
      </c>
      <c r="B60" s="64">
        <v>7.97</v>
      </c>
      <c r="C60" s="64">
        <v>2.98</v>
      </c>
      <c r="D60" s="64">
        <v>11.73</v>
      </c>
      <c r="E60" s="64">
        <v>3.35</v>
      </c>
      <c r="F60" s="64">
        <v>4.25</v>
      </c>
      <c r="G60" s="64">
        <v>7.34</v>
      </c>
      <c r="H60" s="64">
        <v>3.84</v>
      </c>
      <c r="I60" s="64">
        <v>0.85</v>
      </c>
      <c r="J60" s="64">
        <v>0.25</v>
      </c>
      <c r="K60" s="64">
        <v>344.28</v>
      </c>
      <c r="L60" s="64">
        <v>26.32</v>
      </c>
      <c r="M60" s="64">
        <v>100.35</v>
      </c>
      <c r="N60" s="64">
        <v>149.69999999999999</v>
      </c>
      <c r="O60" s="64">
        <v>0</v>
      </c>
      <c r="P60" s="64">
        <v>0.33</v>
      </c>
      <c r="Q60" s="64">
        <v>9.1999999999999993</v>
      </c>
      <c r="R60" s="198"/>
      <c r="S60" s="198"/>
      <c r="T60" s="198"/>
      <c r="U60" s="198"/>
    </row>
    <row r="61" spans="1:21" s="12" customFormat="1" x14ac:dyDescent="0.25">
      <c r="A61" s="248" t="s">
        <v>393</v>
      </c>
      <c r="B61" s="64">
        <v>8</v>
      </c>
      <c r="C61" s="64">
        <v>3.08</v>
      </c>
      <c r="D61" s="64">
        <v>11.8</v>
      </c>
      <c r="E61" s="64">
        <v>2.9</v>
      </c>
      <c r="F61" s="64">
        <v>5.76</v>
      </c>
      <c r="G61" s="64">
        <v>7.34</v>
      </c>
      <c r="H61" s="64">
        <v>3.84</v>
      </c>
      <c r="I61" s="64">
        <v>0.77</v>
      </c>
      <c r="J61" s="64">
        <v>0.27</v>
      </c>
      <c r="K61" s="64">
        <v>354.07</v>
      </c>
      <c r="L61" s="64">
        <v>26.33</v>
      </c>
      <c r="M61" s="64">
        <v>100.4</v>
      </c>
      <c r="N61" s="64">
        <v>146.5</v>
      </c>
      <c r="O61" s="64">
        <v>0</v>
      </c>
      <c r="P61" s="64">
        <v>0.34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48" t="s">
        <v>394</v>
      </c>
      <c r="B62" s="64">
        <v>7.98</v>
      </c>
      <c r="C62" s="64">
        <v>3.04</v>
      </c>
      <c r="D62" s="64">
        <v>11.76</v>
      </c>
      <c r="E62" s="64">
        <v>3.81</v>
      </c>
      <c r="F62" s="64">
        <v>5.69</v>
      </c>
      <c r="G62" s="64">
        <v>7.34</v>
      </c>
      <c r="H62" s="64">
        <v>3.84</v>
      </c>
      <c r="I62" s="64">
        <v>0.88</v>
      </c>
      <c r="J62" s="64">
        <v>0.33</v>
      </c>
      <c r="K62" s="64">
        <v>352.68</v>
      </c>
      <c r="L62" s="64">
        <v>26.28</v>
      </c>
      <c r="M62" s="64">
        <v>100.35</v>
      </c>
      <c r="N62" s="64">
        <v>173.6</v>
      </c>
      <c r="O62" s="64">
        <v>0</v>
      </c>
      <c r="P62" s="64">
        <v>0.34</v>
      </c>
      <c r="Q62" s="64">
        <v>9.2100000000000009</v>
      </c>
      <c r="R62" s="198"/>
      <c r="S62" s="198"/>
      <c r="T62" s="198"/>
      <c r="U62" s="198"/>
    </row>
    <row r="63" spans="1:21" s="12" customFormat="1" x14ac:dyDescent="0.25">
      <c r="A63" s="248" t="s">
        <v>395</v>
      </c>
      <c r="B63" s="212" t="s">
        <v>42</v>
      </c>
      <c r="C63" s="212" t="s">
        <v>42</v>
      </c>
      <c r="D63" s="212" t="s">
        <v>42</v>
      </c>
      <c r="E63" s="212" t="s">
        <v>42</v>
      </c>
      <c r="F63" s="212" t="s">
        <v>42</v>
      </c>
      <c r="G63" s="212" t="s">
        <v>42</v>
      </c>
      <c r="H63" s="212" t="s">
        <v>42</v>
      </c>
      <c r="I63" s="212" t="s">
        <v>42</v>
      </c>
      <c r="J63" s="64">
        <v>0.37</v>
      </c>
      <c r="K63" s="64">
        <v>354.19</v>
      </c>
      <c r="L63" s="64">
        <v>26.33</v>
      </c>
      <c r="M63" s="64">
        <v>100.34</v>
      </c>
      <c r="N63" s="64">
        <v>174</v>
      </c>
      <c r="O63" s="64">
        <v>0</v>
      </c>
      <c r="P63" s="212" t="s">
        <v>42</v>
      </c>
      <c r="Q63" s="212" t="s">
        <v>42</v>
      </c>
      <c r="R63" s="198"/>
      <c r="S63" s="198"/>
      <c r="T63" s="198"/>
      <c r="U63" s="198"/>
    </row>
    <row r="64" spans="1:21" s="12" customFormat="1" x14ac:dyDescent="0.25">
      <c r="A64" s="248" t="s">
        <v>396</v>
      </c>
      <c r="B64" s="212" t="s">
        <v>42</v>
      </c>
      <c r="C64" s="212" t="s">
        <v>42</v>
      </c>
      <c r="D64" s="212" t="s">
        <v>42</v>
      </c>
      <c r="E64" s="212" t="s">
        <v>42</v>
      </c>
      <c r="F64" s="212" t="s">
        <v>42</v>
      </c>
      <c r="G64" s="212" t="s">
        <v>42</v>
      </c>
      <c r="H64" s="212" t="s">
        <v>42</v>
      </c>
      <c r="I64" s="212" t="s">
        <v>42</v>
      </c>
      <c r="J64" s="64">
        <v>0.41</v>
      </c>
      <c r="K64" s="64">
        <v>1.37</v>
      </c>
      <c r="L64" s="64">
        <v>26.26</v>
      </c>
      <c r="M64" s="64">
        <v>100.34</v>
      </c>
      <c r="N64" s="64">
        <v>120.4</v>
      </c>
      <c r="O64" s="64">
        <v>0</v>
      </c>
      <c r="P64" s="212" t="s">
        <v>42</v>
      </c>
      <c r="Q64" s="212" t="s">
        <v>42</v>
      </c>
      <c r="R64" s="198"/>
      <c r="S64" s="198"/>
      <c r="T64" s="198"/>
      <c r="U64" s="198"/>
    </row>
    <row r="65" spans="1:21" s="12" customFormat="1" x14ac:dyDescent="0.25">
      <c r="A65" s="248" t="s">
        <v>397</v>
      </c>
      <c r="B65" s="64">
        <v>7.96</v>
      </c>
      <c r="C65" s="64">
        <v>3.05</v>
      </c>
      <c r="D65" s="64">
        <v>11.75</v>
      </c>
      <c r="E65" s="64">
        <v>3.2</v>
      </c>
      <c r="F65" s="64">
        <v>4.8099999999999996</v>
      </c>
      <c r="G65" s="64">
        <v>9.73</v>
      </c>
      <c r="H65" s="64">
        <v>3.3</v>
      </c>
      <c r="I65" s="64">
        <v>0.72</v>
      </c>
      <c r="J65" s="64">
        <v>0.44</v>
      </c>
      <c r="K65" s="64">
        <v>1.08</v>
      </c>
      <c r="L65" s="64">
        <v>26.19</v>
      </c>
      <c r="M65" s="64">
        <v>100.38</v>
      </c>
      <c r="N65" s="64">
        <v>124.4</v>
      </c>
      <c r="O65" s="64">
        <v>0</v>
      </c>
      <c r="P65" s="64">
        <v>0.32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48" t="s">
        <v>398</v>
      </c>
      <c r="B66" s="64">
        <v>7.95</v>
      </c>
      <c r="C66" s="64">
        <v>3.02</v>
      </c>
      <c r="D66" s="64">
        <v>11.73</v>
      </c>
      <c r="E66" s="64">
        <v>3.56</v>
      </c>
      <c r="F66" s="64">
        <v>4.26</v>
      </c>
      <c r="G66" s="64">
        <v>9.73</v>
      </c>
      <c r="H66" s="64">
        <v>3.3</v>
      </c>
      <c r="I66" s="64">
        <v>0.84</v>
      </c>
      <c r="J66" s="64">
        <v>0.39</v>
      </c>
      <c r="K66" s="64">
        <v>359.23</v>
      </c>
      <c r="L66" s="64">
        <v>25.98</v>
      </c>
      <c r="M66" s="64">
        <v>100.44</v>
      </c>
      <c r="N66" s="64">
        <v>116.8</v>
      </c>
      <c r="O66" s="64">
        <v>0.2</v>
      </c>
      <c r="P66" s="64">
        <v>0.33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48" t="s">
        <v>399</v>
      </c>
      <c r="B67" s="64">
        <v>7.94</v>
      </c>
      <c r="C67" s="64">
        <v>2.98</v>
      </c>
      <c r="D67" s="64">
        <v>11.7</v>
      </c>
      <c r="E67" s="64">
        <v>3.26</v>
      </c>
      <c r="F67" s="64">
        <v>5.21</v>
      </c>
      <c r="G67" s="64">
        <v>15.78</v>
      </c>
      <c r="H67" s="64">
        <v>5.23</v>
      </c>
      <c r="I67" s="64">
        <v>0.78</v>
      </c>
      <c r="J67" s="64">
        <v>0.28999999999999998</v>
      </c>
      <c r="K67" s="64">
        <v>359.64</v>
      </c>
      <c r="L67" s="64">
        <v>25.88</v>
      </c>
      <c r="M67" s="64">
        <v>100.44</v>
      </c>
      <c r="N67" s="64">
        <v>140.1</v>
      </c>
      <c r="O67" s="64">
        <v>0</v>
      </c>
      <c r="P67" s="64">
        <v>0.35</v>
      </c>
      <c r="Q67" s="64">
        <v>9.25</v>
      </c>
      <c r="R67" s="198"/>
      <c r="S67" s="198"/>
      <c r="T67" s="198"/>
      <c r="U67" s="198"/>
    </row>
    <row r="68" spans="1:21" s="12" customFormat="1" x14ac:dyDescent="0.25">
      <c r="A68" s="248" t="s">
        <v>400</v>
      </c>
      <c r="B68" s="64">
        <v>8.16</v>
      </c>
      <c r="C68" s="64">
        <v>3.47</v>
      </c>
      <c r="D68" s="64">
        <v>12.13</v>
      </c>
      <c r="E68" s="64">
        <v>4.4000000000000004</v>
      </c>
      <c r="F68" s="64">
        <v>2.56</v>
      </c>
      <c r="G68" s="64">
        <v>24.86</v>
      </c>
      <c r="H68" s="64">
        <v>8.11</v>
      </c>
      <c r="I68" s="64">
        <v>0.84</v>
      </c>
      <c r="J68" s="64">
        <v>0.33</v>
      </c>
      <c r="K68" s="64">
        <v>355.85</v>
      </c>
      <c r="L68" s="64">
        <v>25.81</v>
      </c>
      <c r="M68" s="64">
        <v>100.46</v>
      </c>
      <c r="N68" s="64">
        <v>129.5</v>
      </c>
      <c r="O68" s="64">
        <v>0</v>
      </c>
      <c r="P68" s="64">
        <v>0.34</v>
      </c>
      <c r="Q68" s="64">
        <v>9.24</v>
      </c>
      <c r="R68" s="198"/>
      <c r="S68" s="198"/>
      <c r="T68" s="198"/>
      <c r="U68" s="198"/>
    </row>
    <row r="69" spans="1:21" s="12" customFormat="1" x14ac:dyDescent="0.25">
      <c r="A69" s="248" t="s">
        <v>401</v>
      </c>
      <c r="B69" s="64">
        <v>8.2100000000000009</v>
      </c>
      <c r="C69" s="64">
        <v>3.62</v>
      </c>
      <c r="D69" s="64">
        <v>12.25</v>
      </c>
      <c r="E69" s="64">
        <v>3.85</v>
      </c>
      <c r="F69" s="64">
        <v>4.55</v>
      </c>
      <c r="G69" s="64">
        <v>24.86</v>
      </c>
      <c r="H69" s="64">
        <v>8.11</v>
      </c>
      <c r="I69" s="64">
        <v>0.94</v>
      </c>
      <c r="J69" s="64">
        <v>0.31</v>
      </c>
      <c r="K69" s="64">
        <v>359.05</v>
      </c>
      <c r="L69" s="64">
        <v>25.79</v>
      </c>
      <c r="M69" s="64">
        <v>100.5</v>
      </c>
      <c r="N69" s="64">
        <v>124.8</v>
      </c>
      <c r="O69" s="64">
        <v>0</v>
      </c>
      <c r="P69" s="64">
        <v>0.33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48" t="s">
        <v>402</v>
      </c>
      <c r="B70" s="64">
        <v>7.96</v>
      </c>
      <c r="C70" s="64">
        <v>3.09</v>
      </c>
      <c r="D70" s="64">
        <v>11.77</v>
      </c>
      <c r="E70" s="64">
        <v>3.96</v>
      </c>
      <c r="F70" s="64">
        <v>7.67</v>
      </c>
      <c r="G70" s="64">
        <v>24.86</v>
      </c>
      <c r="H70" s="64">
        <v>8.11</v>
      </c>
      <c r="I70" s="64">
        <v>0.88</v>
      </c>
      <c r="J70" s="64">
        <v>0.28000000000000003</v>
      </c>
      <c r="K70" s="64">
        <v>353.52</v>
      </c>
      <c r="L70" s="64">
        <v>25.75</v>
      </c>
      <c r="M70" s="64">
        <v>100.47</v>
      </c>
      <c r="N70" s="64">
        <v>115.7</v>
      </c>
      <c r="O70" s="64">
        <v>0.2</v>
      </c>
      <c r="P70" s="64">
        <v>0.34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48" t="s">
        <v>403</v>
      </c>
      <c r="B71" s="64">
        <v>7.91</v>
      </c>
      <c r="C71" s="64">
        <v>2.99</v>
      </c>
      <c r="D71" s="64">
        <v>11.68</v>
      </c>
      <c r="E71" s="64">
        <v>4.13</v>
      </c>
      <c r="F71" s="64">
        <v>5.78</v>
      </c>
      <c r="G71" s="64">
        <v>21.88</v>
      </c>
      <c r="H71" s="64">
        <v>7.96</v>
      </c>
      <c r="I71" s="64">
        <v>0.94</v>
      </c>
      <c r="J71" s="64">
        <v>0.31</v>
      </c>
      <c r="K71" s="64">
        <v>355.37</v>
      </c>
      <c r="L71" s="64">
        <v>25.66</v>
      </c>
      <c r="M71" s="64">
        <v>100.33</v>
      </c>
      <c r="N71" s="64">
        <v>114.9</v>
      </c>
      <c r="O71" s="64">
        <v>0</v>
      </c>
      <c r="P71" s="64">
        <v>0.34</v>
      </c>
      <c r="Q71" s="64">
        <v>9.09</v>
      </c>
      <c r="R71" s="198"/>
      <c r="S71" s="198"/>
      <c r="T71" s="198"/>
      <c r="U71" s="198"/>
    </row>
    <row r="72" spans="1:21" s="12" customFormat="1" x14ac:dyDescent="0.25">
      <c r="A72" s="248" t="s">
        <v>404</v>
      </c>
      <c r="B72" s="64">
        <v>7.91</v>
      </c>
      <c r="C72" s="64">
        <v>2.99</v>
      </c>
      <c r="D72" s="64">
        <v>11.68</v>
      </c>
      <c r="E72" s="64">
        <v>3.85</v>
      </c>
      <c r="F72" s="64">
        <v>4.7699999999999996</v>
      </c>
      <c r="G72" s="64">
        <v>17.41</v>
      </c>
      <c r="H72" s="64">
        <v>7.75</v>
      </c>
      <c r="I72" s="64">
        <v>0.86</v>
      </c>
      <c r="J72" s="64">
        <v>0.4</v>
      </c>
      <c r="K72" s="64">
        <v>7.17</v>
      </c>
      <c r="L72" s="64">
        <v>25.74</v>
      </c>
      <c r="M72" s="64">
        <v>100.32</v>
      </c>
      <c r="N72" s="64">
        <v>96.5</v>
      </c>
      <c r="O72" s="64">
        <v>0</v>
      </c>
      <c r="P72" s="64">
        <v>0.34</v>
      </c>
      <c r="Q72" s="64">
        <v>9.09</v>
      </c>
      <c r="R72" s="198"/>
      <c r="S72" s="198"/>
      <c r="T72" s="198"/>
      <c r="U72" s="198"/>
    </row>
    <row r="73" spans="1:21" s="12" customFormat="1" x14ac:dyDescent="0.25">
      <c r="A73" s="248" t="s">
        <v>405</v>
      </c>
      <c r="B73" s="64">
        <v>7.95</v>
      </c>
      <c r="C73" s="64">
        <v>3.03</v>
      </c>
      <c r="D73" s="64">
        <v>11.73</v>
      </c>
      <c r="E73" s="64">
        <v>3.8</v>
      </c>
      <c r="F73" s="64">
        <v>3.84</v>
      </c>
      <c r="G73" s="64">
        <v>17.41</v>
      </c>
      <c r="H73" s="64">
        <v>7.75</v>
      </c>
      <c r="I73" s="64">
        <v>0.82</v>
      </c>
      <c r="J73" s="64">
        <v>0.41</v>
      </c>
      <c r="K73" s="64">
        <v>355.7</v>
      </c>
      <c r="L73" s="64">
        <v>25.76</v>
      </c>
      <c r="M73" s="64">
        <v>100.3</v>
      </c>
      <c r="N73" s="64">
        <v>95.3</v>
      </c>
      <c r="O73" s="64">
        <v>0</v>
      </c>
      <c r="P73" s="64">
        <v>0.33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48" t="s">
        <v>406</v>
      </c>
      <c r="B74" s="64">
        <v>7.97</v>
      </c>
      <c r="C74" s="64">
        <v>3.03</v>
      </c>
      <c r="D74" s="64">
        <v>11.75</v>
      </c>
      <c r="E74" s="64">
        <v>3.85</v>
      </c>
      <c r="F74" s="64">
        <v>4.12</v>
      </c>
      <c r="G74" s="64">
        <v>17.41</v>
      </c>
      <c r="H74" s="64">
        <v>7.75</v>
      </c>
      <c r="I74" s="64">
        <v>0.86</v>
      </c>
      <c r="J74" s="64">
        <v>0.35</v>
      </c>
      <c r="K74" s="64">
        <v>17.03</v>
      </c>
      <c r="L74" s="64">
        <v>25.82</v>
      </c>
      <c r="M74" s="64">
        <v>100.3</v>
      </c>
      <c r="N74" s="64">
        <v>90.2</v>
      </c>
      <c r="O74" s="64">
        <v>0</v>
      </c>
      <c r="P74" s="64">
        <v>0.34</v>
      </c>
      <c r="Q74" s="64">
        <v>9.1300000000000008</v>
      </c>
      <c r="R74" s="198"/>
      <c r="S74" s="198"/>
      <c r="T74" s="198"/>
      <c r="U74" s="198"/>
    </row>
    <row r="75" spans="1:21" s="12" customFormat="1" x14ac:dyDescent="0.25">
      <c r="A75" s="248" t="s">
        <v>407</v>
      </c>
      <c r="B75" s="64">
        <v>7.95</v>
      </c>
      <c r="C75" s="64">
        <v>2.96</v>
      </c>
      <c r="D75" s="64">
        <v>11.7</v>
      </c>
      <c r="E75" s="64">
        <v>3.99</v>
      </c>
      <c r="F75" s="64">
        <v>3.69</v>
      </c>
      <c r="G75" s="64">
        <v>19.78</v>
      </c>
      <c r="H75" s="64">
        <v>7.13</v>
      </c>
      <c r="I75" s="64">
        <v>0.86</v>
      </c>
      <c r="J75" s="64">
        <v>0.3</v>
      </c>
      <c r="K75" s="64">
        <v>4.3600000000000003</v>
      </c>
      <c r="L75" s="64">
        <v>25.85</v>
      </c>
      <c r="M75" s="64">
        <v>100.3</v>
      </c>
      <c r="N75" s="64">
        <v>81.900000000000006</v>
      </c>
      <c r="O75" s="64">
        <v>0</v>
      </c>
      <c r="P75" s="64">
        <v>0.34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48" t="s">
        <v>408</v>
      </c>
      <c r="B76" s="64">
        <v>7.94</v>
      </c>
      <c r="C76" s="64">
        <v>2.97</v>
      </c>
      <c r="D76" s="64">
        <v>11.7</v>
      </c>
      <c r="E76" s="64">
        <v>3.8</v>
      </c>
      <c r="F76" s="64">
        <v>3.79</v>
      </c>
      <c r="G76" s="64">
        <v>23.34</v>
      </c>
      <c r="H76" s="64">
        <v>6.21</v>
      </c>
      <c r="I76" s="64">
        <v>0.85</v>
      </c>
      <c r="J76" s="64">
        <v>0.28000000000000003</v>
      </c>
      <c r="K76" s="64">
        <v>358.16</v>
      </c>
      <c r="L76" s="64">
        <v>25.81</v>
      </c>
      <c r="M76" s="64">
        <v>100.3</v>
      </c>
      <c r="N76" s="64">
        <v>76.2</v>
      </c>
      <c r="O76" s="64">
        <v>0</v>
      </c>
      <c r="P76" s="64">
        <v>0.35</v>
      </c>
      <c r="Q76" s="64">
        <v>9.1999999999999993</v>
      </c>
      <c r="R76" s="198"/>
      <c r="S76" s="198"/>
      <c r="T76" s="198"/>
      <c r="U76" s="198"/>
    </row>
    <row r="77" spans="1:21" s="12" customFormat="1" x14ac:dyDescent="0.25">
      <c r="A77" s="248" t="s">
        <v>409</v>
      </c>
      <c r="B77" s="64">
        <v>7.95</v>
      </c>
      <c r="C77" s="64">
        <v>2.95</v>
      </c>
      <c r="D77" s="64">
        <v>11.69</v>
      </c>
      <c r="E77" s="64">
        <v>4.09</v>
      </c>
      <c r="F77" s="64">
        <v>4.0599999999999996</v>
      </c>
      <c r="G77" s="64">
        <v>23.34</v>
      </c>
      <c r="H77" s="64">
        <v>6.21</v>
      </c>
      <c r="I77" s="64">
        <v>0.88</v>
      </c>
      <c r="J77" s="64">
        <v>0.26</v>
      </c>
      <c r="K77" s="64">
        <v>358.34</v>
      </c>
      <c r="L77" s="64">
        <v>25.73</v>
      </c>
      <c r="M77" s="64">
        <v>100.3</v>
      </c>
      <c r="N77" s="64">
        <v>65.7</v>
      </c>
      <c r="O77" s="64">
        <v>0</v>
      </c>
      <c r="P77" s="64">
        <v>0.35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48" t="s">
        <v>410</v>
      </c>
      <c r="B78" s="64">
        <v>7.95</v>
      </c>
      <c r="C78" s="64">
        <v>2.94</v>
      </c>
      <c r="D78" s="64">
        <v>11.69</v>
      </c>
      <c r="E78" s="64">
        <v>3.98</v>
      </c>
      <c r="F78" s="64">
        <v>3.62</v>
      </c>
      <c r="G78" s="64">
        <v>23.34</v>
      </c>
      <c r="H78" s="64">
        <v>6.21</v>
      </c>
      <c r="I78" s="64">
        <v>0.94</v>
      </c>
      <c r="J78" s="64">
        <v>0.26</v>
      </c>
      <c r="K78" s="64">
        <v>2.6</v>
      </c>
      <c r="L78" s="64">
        <v>25.69</v>
      </c>
      <c r="M78" s="64">
        <v>100.31</v>
      </c>
      <c r="N78" s="64">
        <v>57.7</v>
      </c>
      <c r="O78" s="64">
        <v>0</v>
      </c>
      <c r="P78" s="64">
        <v>0.36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48" t="s">
        <v>411</v>
      </c>
      <c r="B79" s="64">
        <v>7.96</v>
      </c>
      <c r="C79" s="64">
        <v>2.93</v>
      </c>
      <c r="D79" s="64">
        <v>11.68</v>
      </c>
      <c r="E79" s="64">
        <v>4.05</v>
      </c>
      <c r="F79" s="64">
        <v>3.57</v>
      </c>
      <c r="G79" s="64">
        <v>20.66</v>
      </c>
      <c r="H79" s="64">
        <v>7.94</v>
      </c>
      <c r="I79" s="64">
        <v>0.97</v>
      </c>
      <c r="J79" s="64">
        <v>0.35</v>
      </c>
      <c r="K79" s="64">
        <v>3.72</v>
      </c>
      <c r="L79" s="64">
        <v>25.69</v>
      </c>
      <c r="M79" s="64">
        <v>100.33</v>
      </c>
      <c r="N79" s="64">
        <v>52.8</v>
      </c>
      <c r="O79" s="64">
        <v>0</v>
      </c>
      <c r="P79" s="64">
        <v>0.36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48" t="s">
        <v>412</v>
      </c>
      <c r="B80" s="64">
        <v>7.97</v>
      </c>
      <c r="C80" s="64">
        <v>2.95</v>
      </c>
      <c r="D80" s="64">
        <v>11.71</v>
      </c>
      <c r="E80" s="64">
        <v>4.05</v>
      </c>
      <c r="F80" s="64">
        <v>4.74</v>
      </c>
      <c r="G80" s="64">
        <v>16.64</v>
      </c>
      <c r="H80" s="64">
        <v>10.55</v>
      </c>
      <c r="I80" s="64">
        <v>1.02</v>
      </c>
      <c r="J80" s="64">
        <v>0.37</v>
      </c>
      <c r="K80" s="64">
        <v>4.72</v>
      </c>
      <c r="L80" s="64">
        <v>25.66</v>
      </c>
      <c r="M80" s="64">
        <v>100.33</v>
      </c>
      <c r="N80" s="64">
        <v>51.3</v>
      </c>
      <c r="O80" s="64">
        <v>0</v>
      </c>
      <c r="P80" s="64">
        <v>0.38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48" t="s">
        <v>413</v>
      </c>
      <c r="B81" s="64">
        <v>7.98</v>
      </c>
      <c r="C81" s="64">
        <v>3.05</v>
      </c>
      <c r="D81" s="64">
        <v>11.77</v>
      </c>
      <c r="E81" s="64">
        <v>4.3899999999999997</v>
      </c>
      <c r="F81" s="64">
        <v>5.59</v>
      </c>
      <c r="G81" s="64">
        <v>16.64</v>
      </c>
      <c r="H81" s="64">
        <v>10.55</v>
      </c>
      <c r="I81" s="64">
        <v>1.07</v>
      </c>
      <c r="J81" s="64">
        <v>0.37</v>
      </c>
      <c r="K81" s="64">
        <v>5.51</v>
      </c>
      <c r="L81" s="64">
        <v>25.64</v>
      </c>
      <c r="M81" s="64">
        <v>100.35</v>
      </c>
      <c r="N81" s="64">
        <v>51</v>
      </c>
      <c r="O81" s="64">
        <v>0</v>
      </c>
      <c r="P81" s="64">
        <v>0.39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48" t="s">
        <v>414</v>
      </c>
      <c r="B82" s="64">
        <v>8.33</v>
      </c>
      <c r="C82" s="64">
        <v>3.78</v>
      </c>
      <c r="D82" s="64">
        <v>12.43</v>
      </c>
      <c r="E82" s="64">
        <v>4.24</v>
      </c>
      <c r="F82" s="64">
        <v>3.06</v>
      </c>
      <c r="G82" s="64">
        <v>16.64</v>
      </c>
      <c r="H82" s="64">
        <v>10.55</v>
      </c>
      <c r="I82" s="64">
        <v>1.1000000000000001</v>
      </c>
      <c r="J82" s="64">
        <v>0.37</v>
      </c>
      <c r="K82" s="64">
        <v>16.190000000000001</v>
      </c>
      <c r="L82" s="64">
        <v>25.66</v>
      </c>
      <c r="M82" s="64">
        <v>100.35</v>
      </c>
      <c r="N82" s="64">
        <v>51</v>
      </c>
      <c r="O82" s="64">
        <v>0</v>
      </c>
      <c r="P82" s="64">
        <v>0.41</v>
      </c>
      <c r="Q82" s="64">
        <v>9.09</v>
      </c>
      <c r="R82" s="198"/>
      <c r="S82" s="198"/>
      <c r="T82" s="198"/>
      <c r="U82" s="198"/>
    </row>
    <row r="83" spans="1:26" s="12" customFormat="1" x14ac:dyDescent="0.25">
      <c r="A83" s="248" t="s">
        <v>415</v>
      </c>
      <c r="B83" s="64">
        <v>8.14</v>
      </c>
      <c r="C83" s="64">
        <v>3.38</v>
      </c>
      <c r="D83" s="64">
        <v>12.07</v>
      </c>
      <c r="E83" s="64">
        <v>4.12</v>
      </c>
      <c r="F83" s="64">
        <v>3.37</v>
      </c>
      <c r="G83" s="64">
        <v>16.62</v>
      </c>
      <c r="H83" s="64">
        <v>11.15</v>
      </c>
      <c r="I83" s="64">
        <v>1.1399999999999999</v>
      </c>
      <c r="J83" s="64">
        <v>0.32</v>
      </c>
      <c r="K83" s="64">
        <v>359.33</v>
      </c>
      <c r="L83" s="64">
        <v>25.6</v>
      </c>
      <c r="M83" s="64">
        <v>100.35</v>
      </c>
      <c r="N83" s="64">
        <v>50.5</v>
      </c>
      <c r="O83" s="64">
        <v>0</v>
      </c>
      <c r="P83" s="64">
        <v>0.41</v>
      </c>
      <c r="Q83" s="64">
        <v>9.06</v>
      </c>
      <c r="R83" s="198"/>
      <c r="S83" s="198"/>
      <c r="T83" s="198"/>
      <c r="U83" s="198"/>
    </row>
    <row r="84" spans="1:26" s="12" customFormat="1" x14ac:dyDescent="0.25">
      <c r="A84" s="248" t="s">
        <v>416</v>
      </c>
      <c r="B84" s="64">
        <v>8</v>
      </c>
      <c r="C84" s="64">
        <v>3.11</v>
      </c>
      <c r="D84" s="64">
        <v>11.81</v>
      </c>
      <c r="E84" s="64">
        <v>3.27</v>
      </c>
      <c r="F84" s="64">
        <v>4.3499999999999996</v>
      </c>
      <c r="G84" s="64">
        <v>16.579999999999998</v>
      </c>
      <c r="H84" s="64">
        <v>12.05</v>
      </c>
      <c r="I84" s="64">
        <v>1.18</v>
      </c>
      <c r="J84" s="64">
        <v>0.28999999999999998</v>
      </c>
      <c r="K84" s="64">
        <v>8.31</v>
      </c>
      <c r="L84" s="64">
        <v>25.49</v>
      </c>
      <c r="M84" s="64">
        <v>100.35</v>
      </c>
      <c r="N84" s="64">
        <v>50.5</v>
      </c>
      <c r="O84" s="64">
        <v>0</v>
      </c>
      <c r="P84" s="64">
        <v>0.42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48" t="s">
        <v>417</v>
      </c>
      <c r="B85" s="64">
        <v>8.2100000000000009</v>
      </c>
      <c r="C85" s="64">
        <v>3.55</v>
      </c>
      <c r="D85" s="64">
        <v>12.21</v>
      </c>
      <c r="E85" s="64">
        <v>4</v>
      </c>
      <c r="F85" s="64">
        <v>4.3099999999999996</v>
      </c>
      <c r="G85" s="64">
        <v>16.579999999999998</v>
      </c>
      <c r="H85" s="64">
        <v>12.05</v>
      </c>
      <c r="I85" s="64">
        <v>1.22</v>
      </c>
      <c r="J85" s="64">
        <v>0.39</v>
      </c>
      <c r="K85" s="64">
        <v>11.69</v>
      </c>
      <c r="L85" s="64">
        <v>25.41</v>
      </c>
      <c r="M85" s="64">
        <v>100.34</v>
      </c>
      <c r="N85" s="64">
        <v>50.9</v>
      </c>
      <c r="O85" s="64">
        <v>0</v>
      </c>
      <c r="P85" s="64">
        <v>0.43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48" t="s">
        <v>418</v>
      </c>
      <c r="B86" s="64">
        <v>8.1199999999999992</v>
      </c>
      <c r="C86" s="64">
        <v>3.37</v>
      </c>
      <c r="D86" s="64">
        <v>12.04</v>
      </c>
      <c r="E86" s="64">
        <v>3.67</v>
      </c>
      <c r="F86" s="64">
        <v>2.4500000000000002</v>
      </c>
      <c r="G86" s="64">
        <v>16.579999999999998</v>
      </c>
      <c r="H86" s="64">
        <v>12.05</v>
      </c>
      <c r="I86" s="64">
        <v>1.24</v>
      </c>
      <c r="J86" s="64">
        <v>0.31</v>
      </c>
      <c r="K86" s="64">
        <v>14.34</v>
      </c>
      <c r="L86" s="64">
        <v>25.35</v>
      </c>
      <c r="M86" s="64">
        <v>100.35</v>
      </c>
      <c r="N86" s="64">
        <v>51.1</v>
      </c>
      <c r="O86" s="64">
        <v>0.2</v>
      </c>
      <c r="P86" s="64">
        <v>0.42</v>
      </c>
      <c r="Q86" s="64">
        <v>9.1199999999999992</v>
      </c>
      <c r="R86" s="198"/>
      <c r="S86" s="198"/>
      <c r="T86" s="198"/>
      <c r="U86" s="198"/>
    </row>
    <row r="87" spans="1:26" s="12" customFormat="1" x14ac:dyDescent="0.25">
      <c r="A87" s="248" t="s">
        <v>419</v>
      </c>
      <c r="B87" s="64">
        <v>7.97</v>
      </c>
      <c r="C87" s="64">
        <v>3.06</v>
      </c>
      <c r="D87" s="64">
        <v>11.76</v>
      </c>
      <c r="E87" s="64">
        <v>3.96</v>
      </c>
      <c r="F87" s="64">
        <v>4.95</v>
      </c>
      <c r="G87" s="64">
        <v>17.29</v>
      </c>
      <c r="H87" s="64">
        <v>11.12</v>
      </c>
      <c r="I87" s="64">
        <v>1.27</v>
      </c>
      <c r="J87" s="64">
        <v>0.28999999999999998</v>
      </c>
      <c r="K87" s="64">
        <v>15.15</v>
      </c>
      <c r="L87" s="64">
        <v>25.28</v>
      </c>
      <c r="M87" s="64">
        <v>100.33</v>
      </c>
      <c r="N87" s="64">
        <v>51.3</v>
      </c>
      <c r="O87" s="64">
        <v>0</v>
      </c>
      <c r="P87" s="64">
        <v>0.44</v>
      </c>
      <c r="Q87" s="64">
        <v>9.18</v>
      </c>
      <c r="R87" s="198"/>
      <c r="S87" s="198"/>
      <c r="T87" s="198"/>
      <c r="U87" s="198"/>
    </row>
    <row r="88" spans="1:26" s="12" customFormat="1" x14ac:dyDescent="0.25">
      <c r="A88" s="248" t="s">
        <v>420</v>
      </c>
      <c r="B88" s="64">
        <v>8.2200000000000006</v>
      </c>
      <c r="C88" s="64">
        <v>3.59</v>
      </c>
      <c r="D88" s="64">
        <v>12.25</v>
      </c>
      <c r="E88" s="64">
        <v>4.24</v>
      </c>
      <c r="F88" s="64">
        <v>4.21</v>
      </c>
      <c r="G88" s="64">
        <v>18.350000000000001</v>
      </c>
      <c r="H88" s="64">
        <v>9.74</v>
      </c>
      <c r="I88" s="64">
        <v>1.29</v>
      </c>
      <c r="J88" s="64">
        <v>0.28999999999999998</v>
      </c>
      <c r="K88" s="64">
        <v>7.57</v>
      </c>
      <c r="L88" s="64">
        <v>25.22</v>
      </c>
      <c r="M88" s="64">
        <v>100.32</v>
      </c>
      <c r="N88" s="64">
        <v>51.2</v>
      </c>
      <c r="O88" s="64">
        <v>0.2</v>
      </c>
      <c r="P88" s="64">
        <v>0.44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48" t="s">
        <v>421</v>
      </c>
      <c r="B89" s="64">
        <v>8.1199999999999992</v>
      </c>
      <c r="C89" s="64">
        <v>3.42</v>
      </c>
      <c r="D89" s="64">
        <v>12.07</v>
      </c>
      <c r="E89" s="64">
        <v>4.1100000000000003</v>
      </c>
      <c r="F89" s="64">
        <v>2.36</v>
      </c>
      <c r="G89" s="64">
        <v>18.350000000000001</v>
      </c>
      <c r="H89" s="64">
        <v>9.74</v>
      </c>
      <c r="I89" s="64">
        <v>1.32</v>
      </c>
      <c r="J89" s="64">
        <v>0.25</v>
      </c>
      <c r="K89" s="64">
        <v>5.24</v>
      </c>
      <c r="L89" s="64">
        <v>25.17</v>
      </c>
      <c r="M89" s="64">
        <v>100.33</v>
      </c>
      <c r="N89" s="64">
        <v>51.2</v>
      </c>
      <c r="O89" s="64">
        <v>0</v>
      </c>
      <c r="P89" s="64">
        <v>0.43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48" t="s">
        <v>422</v>
      </c>
      <c r="B90" s="64">
        <v>8.19</v>
      </c>
      <c r="C90" s="64">
        <v>3.53</v>
      </c>
      <c r="D90" s="64">
        <v>12.19</v>
      </c>
      <c r="E90" s="64">
        <v>3.73</v>
      </c>
      <c r="F90" s="64">
        <v>4.7699999999999996</v>
      </c>
      <c r="G90" s="64">
        <v>18.350000000000001</v>
      </c>
      <c r="H90" s="64">
        <v>9.74</v>
      </c>
      <c r="I90" s="64">
        <v>1.35</v>
      </c>
      <c r="J90" s="64">
        <v>0.34</v>
      </c>
      <c r="K90" s="64">
        <v>15.7</v>
      </c>
      <c r="L90" s="64">
        <v>25.13</v>
      </c>
      <c r="M90" s="64">
        <v>100.42</v>
      </c>
      <c r="N90" s="64">
        <v>51.3</v>
      </c>
      <c r="O90" s="64">
        <v>0</v>
      </c>
      <c r="P90" s="64">
        <v>0.43</v>
      </c>
      <c r="Q90" s="64">
        <v>9.19</v>
      </c>
      <c r="R90" s="198"/>
      <c r="S90" s="198"/>
      <c r="T90" s="198"/>
      <c r="U90" s="198"/>
    </row>
    <row r="91" spans="1:26" s="12" customFormat="1" x14ac:dyDescent="0.25">
      <c r="A91" s="248" t="s">
        <v>423</v>
      </c>
      <c r="B91" s="64">
        <v>8.36</v>
      </c>
      <c r="C91" s="64">
        <v>3.84</v>
      </c>
      <c r="D91" s="64">
        <v>12.49</v>
      </c>
      <c r="E91" s="64">
        <v>3.86</v>
      </c>
      <c r="F91" s="64">
        <v>3.25</v>
      </c>
      <c r="G91" s="64">
        <v>16.420000000000002</v>
      </c>
      <c r="H91" s="64">
        <v>10.66</v>
      </c>
      <c r="I91" s="64">
        <v>1.35</v>
      </c>
      <c r="J91" s="64">
        <v>0.25</v>
      </c>
      <c r="K91" s="64">
        <v>351.87</v>
      </c>
      <c r="L91" s="64">
        <v>25.2</v>
      </c>
      <c r="M91" s="64">
        <v>100.5</v>
      </c>
      <c r="N91" s="64">
        <v>51.1</v>
      </c>
      <c r="O91" s="64">
        <v>0</v>
      </c>
      <c r="P91" s="64">
        <v>0.42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48" t="s">
        <v>424</v>
      </c>
      <c r="B92" s="64">
        <v>8.06</v>
      </c>
      <c r="C92" s="64">
        <v>3.16</v>
      </c>
      <c r="D92" s="64">
        <v>11.89</v>
      </c>
      <c r="E92" s="64">
        <v>4</v>
      </c>
      <c r="F92" s="64">
        <v>4.03</v>
      </c>
      <c r="G92" s="64">
        <v>13.68</v>
      </c>
      <c r="H92" s="64">
        <v>11.97</v>
      </c>
      <c r="I92" s="64">
        <v>1.34</v>
      </c>
      <c r="J92" s="64">
        <v>0.35</v>
      </c>
      <c r="K92" s="64">
        <v>356.51</v>
      </c>
      <c r="L92" s="64">
        <v>25.27</v>
      </c>
      <c r="M92" s="64">
        <v>100.5</v>
      </c>
      <c r="N92" s="64">
        <v>51.4</v>
      </c>
      <c r="O92" s="64">
        <v>0</v>
      </c>
      <c r="P92" s="64">
        <v>0.41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48" t="s">
        <v>425</v>
      </c>
      <c r="B93" s="64">
        <v>7.97</v>
      </c>
      <c r="C93" s="64">
        <v>2.99</v>
      </c>
      <c r="D93" s="64">
        <v>11.73</v>
      </c>
      <c r="E93" s="64">
        <v>3.38</v>
      </c>
      <c r="F93" s="64">
        <v>3.92</v>
      </c>
      <c r="G93" s="64">
        <v>13.68</v>
      </c>
      <c r="H93" s="64">
        <v>11.97</v>
      </c>
      <c r="I93" s="64">
        <v>1.35</v>
      </c>
      <c r="J93" s="64">
        <v>0.36</v>
      </c>
      <c r="K93" s="64">
        <v>1.42</v>
      </c>
      <c r="L93" s="64">
        <v>25.31</v>
      </c>
      <c r="M93" s="64">
        <v>100.5</v>
      </c>
      <c r="N93" s="64">
        <v>51.7</v>
      </c>
      <c r="O93" s="64">
        <v>0</v>
      </c>
      <c r="P93" s="64">
        <v>0.4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48" t="s">
        <v>426</v>
      </c>
      <c r="B94" s="64">
        <v>7.96</v>
      </c>
      <c r="C94" s="64">
        <v>2.97</v>
      </c>
      <c r="D94" s="64">
        <v>11.71</v>
      </c>
      <c r="E94" s="64">
        <v>3.45</v>
      </c>
      <c r="F94" s="64">
        <v>3.91</v>
      </c>
      <c r="G94" s="64">
        <v>13.68</v>
      </c>
      <c r="H94" s="64">
        <v>11.97</v>
      </c>
      <c r="I94" s="64">
        <v>1.36</v>
      </c>
      <c r="J94" s="64">
        <v>0.33</v>
      </c>
      <c r="K94" s="64">
        <v>13.78</v>
      </c>
      <c r="L94" s="64">
        <v>25.35</v>
      </c>
      <c r="M94" s="64">
        <v>100.51</v>
      </c>
      <c r="N94" s="64">
        <v>51.7</v>
      </c>
      <c r="O94" s="64">
        <v>0</v>
      </c>
      <c r="P94" s="64">
        <v>0.39</v>
      </c>
      <c r="Q94" s="64">
        <v>9.24</v>
      </c>
      <c r="R94" s="198"/>
      <c r="S94" s="198"/>
      <c r="T94" s="198"/>
      <c r="U94" s="198"/>
    </row>
    <row r="95" spans="1:26" s="12" customFormat="1" x14ac:dyDescent="0.25">
      <c r="A95" s="248" t="s">
        <v>427</v>
      </c>
      <c r="B95" s="64">
        <v>8</v>
      </c>
      <c r="C95" s="64">
        <v>2.97</v>
      </c>
      <c r="D95" s="64">
        <v>11.74</v>
      </c>
      <c r="E95" s="64">
        <v>3.72</v>
      </c>
      <c r="F95" s="64">
        <v>4.1500000000000004</v>
      </c>
      <c r="G95" s="64">
        <v>12.34</v>
      </c>
      <c r="H95" s="64">
        <v>10.67</v>
      </c>
      <c r="I95" s="64">
        <v>1.28</v>
      </c>
      <c r="J95" s="64">
        <v>0.42</v>
      </c>
      <c r="K95" s="64">
        <v>3.16</v>
      </c>
      <c r="L95" s="64">
        <v>25.22</v>
      </c>
      <c r="M95" s="64">
        <v>100.53</v>
      </c>
      <c r="N95" s="64">
        <v>51.5</v>
      </c>
      <c r="O95" s="64">
        <v>0</v>
      </c>
      <c r="P95" s="64">
        <v>0.37</v>
      </c>
      <c r="Q95" s="64">
        <v>9.23</v>
      </c>
      <c r="R95" s="198"/>
      <c r="S95" s="198"/>
      <c r="T95" s="198"/>
      <c r="U95" s="198"/>
    </row>
    <row r="96" spans="1:26" s="12" customFormat="1" x14ac:dyDescent="0.25">
      <c r="A96" s="248" t="s">
        <v>428</v>
      </c>
      <c r="B96" s="64">
        <v>7.98</v>
      </c>
      <c r="C96" s="64">
        <v>2.94</v>
      </c>
      <c r="D96" s="64">
        <v>11.71</v>
      </c>
      <c r="E96" s="64">
        <v>3.79</v>
      </c>
      <c r="F96" s="64">
        <v>3.79</v>
      </c>
      <c r="G96" s="64">
        <v>10.34</v>
      </c>
      <c r="H96" s="64">
        <v>8.7200000000000006</v>
      </c>
      <c r="I96" s="64">
        <v>1.2</v>
      </c>
      <c r="J96" s="64">
        <v>0.42</v>
      </c>
      <c r="K96" s="64">
        <v>16.86</v>
      </c>
      <c r="L96" s="64">
        <v>25.28</v>
      </c>
      <c r="M96" s="64">
        <v>100.52</v>
      </c>
      <c r="N96" s="64">
        <v>51.4</v>
      </c>
      <c r="O96" s="64">
        <v>0</v>
      </c>
      <c r="P96" s="64">
        <v>0.35</v>
      </c>
      <c r="Q96" s="64">
        <v>9.27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429</v>
      </c>
      <c r="B97" s="64">
        <v>7.99</v>
      </c>
      <c r="C97" s="64">
        <v>2.95</v>
      </c>
      <c r="D97" s="64">
        <v>11.72</v>
      </c>
      <c r="E97" s="64">
        <v>3.93</v>
      </c>
      <c r="F97" s="64">
        <v>3.86</v>
      </c>
      <c r="G97" s="64">
        <v>10.34</v>
      </c>
      <c r="H97" s="64">
        <v>8.7200000000000006</v>
      </c>
      <c r="I97" s="64">
        <v>1.1100000000000001</v>
      </c>
      <c r="J97" s="64">
        <v>0.28999999999999998</v>
      </c>
      <c r="K97" s="64">
        <v>9.26</v>
      </c>
      <c r="L97" s="64">
        <v>25.24</v>
      </c>
      <c r="M97" s="64">
        <v>100.53</v>
      </c>
      <c r="N97" s="64">
        <v>51.5</v>
      </c>
      <c r="O97" s="64">
        <v>0</v>
      </c>
      <c r="P97" s="64">
        <v>0.34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48" t="s">
        <v>430</v>
      </c>
      <c r="B98" s="64">
        <v>7.97</v>
      </c>
      <c r="C98" s="64">
        <v>2.94</v>
      </c>
      <c r="D98" s="64">
        <v>11.7</v>
      </c>
      <c r="E98" s="64">
        <v>3.91</v>
      </c>
      <c r="F98" s="64">
        <v>4.5</v>
      </c>
      <c r="G98" s="64">
        <v>10.34</v>
      </c>
      <c r="H98" s="64">
        <v>8.7200000000000006</v>
      </c>
      <c r="I98" s="64">
        <v>0.99</v>
      </c>
      <c r="J98" s="64">
        <v>0.39</v>
      </c>
      <c r="K98" s="64">
        <v>1.59</v>
      </c>
      <c r="L98" s="64">
        <v>25.21</v>
      </c>
      <c r="M98" s="64">
        <v>100.54</v>
      </c>
      <c r="N98" s="64">
        <v>51.6</v>
      </c>
      <c r="O98" s="64">
        <v>0</v>
      </c>
      <c r="P98" s="64">
        <v>0.32</v>
      </c>
      <c r="Q98" s="64">
        <v>9.26</v>
      </c>
      <c r="R98" s="198"/>
      <c r="S98" s="198"/>
      <c r="T98" s="198"/>
      <c r="U98" s="198"/>
    </row>
    <row r="99" spans="1:33" s="12" customFormat="1" x14ac:dyDescent="0.25">
      <c r="A99" s="248" t="s">
        <v>431</v>
      </c>
      <c r="B99" s="64">
        <v>7.93</v>
      </c>
      <c r="C99" s="64">
        <v>2.92</v>
      </c>
      <c r="D99" s="64">
        <v>11.66</v>
      </c>
      <c r="E99" s="64">
        <v>4</v>
      </c>
      <c r="F99" s="64">
        <v>4.96</v>
      </c>
      <c r="G99" s="64">
        <v>10.38</v>
      </c>
      <c r="H99" s="64">
        <v>7.73</v>
      </c>
      <c r="I99" s="64">
        <v>0.95</v>
      </c>
      <c r="J99" s="64">
        <v>0.28999999999999998</v>
      </c>
      <c r="K99" s="64">
        <v>6.29</v>
      </c>
      <c r="L99" s="64">
        <v>25.17</v>
      </c>
      <c r="M99" s="64">
        <v>100.55</v>
      </c>
      <c r="N99" s="64">
        <v>51.6</v>
      </c>
      <c r="O99" s="64">
        <v>0</v>
      </c>
      <c r="P99" s="64">
        <v>0.32</v>
      </c>
      <c r="Q99" s="64">
        <v>9.26</v>
      </c>
      <c r="R99" s="198"/>
      <c r="S99" s="198"/>
      <c r="T99" s="198"/>
      <c r="U99" s="198"/>
    </row>
    <row r="100" spans="1:33" s="12" customFormat="1" x14ac:dyDescent="0.25">
      <c r="A100" s="248" t="s">
        <v>432</v>
      </c>
      <c r="B100" s="64">
        <v>7.93</v>
      </c>
      <c r="C100" s="64">
        <v>2.98</v>
      </c>
      <c r="D100" s="64">
        <v>11.69</v>
      </c>
      <c r="E100" s="64">
        <v>2.66</v>
      </c>
      <c r="F100" s="64">
        <v>3.56</v>
      </c>
      <c r="G100" s="64">
        <v>10.45</v>
      </c>
      <c r="H100" s="64">
        <v>6.24</v>
      </c>
      <c r="I100" s="64">
        <v>0.91</v>
      </c>
      <c r="J100" s="64">
        <v>0.28999999999999998</v>
      </c>
      <c r="K100" s="64">
        <v>0.43</v>
      </c>
      <c r="L100" s="64">
        <v>25.14</v>
      </c>
      <c r="M100" s="64">
        <v>100.56</v>
      </c>
      <c r="N100" s="64">
        <v>51.7</v>
      </c>
      <c r="O100" s="64">
        <v>0</v>
      </c>
      <c r="P100" s="64">
        <v>0.31</v>
      </c>
      <c r="Q100" s="64">
        <v>9.14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433</v>
      </c>
      <c r="B101" s="64">
        <v>7.93</v>
      </c>
      <c r="C101" s="64">
        <v>2.97</v>
      </c>
      <c r="D101" s="64">
        <v>11.69</v>
      </c>
      <c r="E101" s="64">
        <v>3.99</v>
      </c>
      <c r="F101" s="64">
        <v>3.84</v>
      </c>
      <c r="G101" s="64">
        <v>10.45</v>
      </c>
      <c r="H101" s="64">
        <v>6.24</v>
      </c>
      <c r="I101" s="64">
        <v>0.88</v>
      </c>
      <c r="J101" s="64">
        <v>0.32</v>
      </c>
      <c r="K101" s="64">
        <v>5.99</v>
      </c>
      <c r="L101" s="64">
        <v>25.09</v>
      </c>
      <c r="M101" s="64">
        <v>100.58</v>
      </c>
      <c r="N101" s="64">
        <v>51.6</v>
      </c>
      <c r="O101" s="64">
        <v>0</v>
      </c>
      <c r="P101" s="64">
        <v>0.3</v>
      </c>
      <c r="Q101" s="64">
        <v>9.1</v>
      </c>
      <c r="R101" s="198"/>
      <c r="S101" s="198"/>
      <c r="T101" s="198"/>
      <c r="U101" s="198"/>
    </row>
    <row r="102" spans="1:33" s="12" customFormat="1" x14ac:dyDescent="0.25">
      <c r="A102" s="248" t="s">
        <v>434</v>
      </c>
      <c r="B102" s="64">
        <v>7.93</v>
      </c>
      <c r="C102" s="64">
        <v>2.96</v>
      </c>
      <c r="D102" s="64">
        <v>11.68</v>
      </c>
      <c r="E102" s="64">
        <v>4.1100000000000003</v>
      </c>
      <c r="F102" s="64">
        <v>5.19</v>
      </c>
      <c r="G102" s="64">
        <v>10.45</v>
      </c>
      <c r="H102" s="64">
        <v>6.24</v>
      </c>
      <c r="I102" s="64">
        <v>0.87</v>
      </c>
      <c r="J102" s="64">
        <v>0.4</v>
      </c>
      <c r="K102" s="64">
        <v>5.0199999999999996</v>
      </c>
      <c r="L102" s="64">
        <v>25.11</v>
      </c>
      <c r="M102" s="64">
        <v>100.55</v>
      </c>
      <c r="N102" s="64">
        <v>52</v>
      </c>
      <c r="O102" s="64">
        <v>0</v>
      </c>
      <c r="P102" s="64">
        <v>0.3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48" t="s">
        <v>435</v>
      </c>
      <c r="B103" s="64">
        <v>7.9</v>
      </c>
      <c r="C103" s="64">
        <v>2.93</v>
      </c>
      <c r="D103" s="64">
        <v>11.64</v>
      </c>
      <c r="E103" s="64">
        <v>4.33</v>
      </c>
      <c r="F103" s="64">
        <v>2.33</v>
      </c>
      <c r="G103" s="64">
        <v>9.6</v>
      </c>
      <c r="H103" s="64">
        <v>5.51</v>
      </c>
      <c r="I103" s="64">
        <v>0.94</v>
      </c>
      <c r="J103" s="64">
        <v>0.3</v>
      </c>
      <c r="K103" s="64">
        <v>359.88</v>
      </c>
      <c r="L103" s="64">
        <v>25.18</v>
      </c>
      <c r="M103" s="64">
        <v>100.57</v>
      </c>
      <c r="N103" s="64">
        <v>52</v>
      </c>
      <c r="O103" s="64">
        <v>0</v>
      </c>
      <c r="P103" s="64">
        <v>0.28000000000000003</v>
      </c>
      <c r="Q103" s="64">
        <v>9.1199999999999992</v>
      </c>
      <c r="R103" s="198"/>
      <c r="S103" s="198"/>
      <c r="T103" s="198"/>
      <c r="U103" s="198"/>
    </row>
    <row r="104" spans="1:33" s="12" customFormat="1" x14ac:dyDescent="0.25">
      <c r="A104" s="248" t="s">
        <v>436</v>
      </c>
      <c r="B104" s="64">
        <v>7.95</v>
      </c>
      <c r="C104" s="64">
        <v>3</v>
      </c>
      <c r="D104" s="64">
        <v>11.71</v>
      </c>
      <c r="E104" s="64">
        <v>4.04</v>
      </c>
      <c r="F104" s="64">
        <v>5.1100000000000003</v>
      </c>
      <c r="G104" s="64">
        <v>8.33</v>
      </c>
      <c r="H104" s="64">
        <v>4.41</v>
      </c>
      <c r="I104" s="64">
        <v>0.95</v>
      </c>
      <c r="J104" s="64">
        <v>0.38</v>
      </c>
      <c r="K104" s="64">
        <v>6.03</v>
      </c>
      <c r="L104" s="64">
        <v>25.24</v>
      </c>
      <c r="M104" s="64">
        <v>100.61</v>
      </c>
      <c r="N104" s="64">
        <v>52</v>
      </c>
      <c r="O104" s="64">
        <v>0</v>
      </c>
      <c r="P104" s="64">
        <v>0.27</v>
      </c>
      <c r="Q104" s="64">
        <v>9.1300000000000008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2.92</v>
      </c>
      <c r="D106" s="67">
        <f t="shared" ref="D106:Q106" si="0">MIN(D9:D104)</f>
        <v>11.64</v>
      </c>
      <c r="E106" s="67">
        <f t="shared" si="0"/>
        <v>2.66</v>
      </c>
      <c r="F106" s="67">
        <f t="shared" si="0"/>
        <v>2.33</v>
      </c>
      <c r="G106" s="67">
        <f t="shared" si="0"/>
        <v>7.34</v>
      </c>
      <c r="H106" s="67">
        <f t="shared" si="0"/>
        <v>3.3</v>
      </c>
      <c r="I106" s="67">
        <f t="shared" si="0"/>
        <v>0.41</v>
      </c>
      <c r="J106" s="67">
        <f t="shared" si="0"/>
        <v>0.25</v>
      </c>
      <c r="K106" s="67">
        <f t="shared" si="0"/>
        <v>0.43</v>
      </c>
      <c r="L106" s="67">
        <f t="shared" si="0"/>
        <v>25.09</v>
      </c>
      <c r="M106" s="67">
        <f t="shared" si="0"/>
        <v>100.3</v>
      </c>
      <c r="N106" s="67">
        <f t="shared" si="0"/>
        <v>50.5</v>
      </c>
      <c r="O106" s="67">
        <f t="shared" si="0"/>
        <v>0</v>
      </c>
      <c r="P106" s="67">
        <f t="shared" si="0"/>
        <v>0.27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8.52</v>
      </c>
      <c r="C107" s="66">
        <f t="shared" ref="C107:Q107" si="1">MAX(C9:C104)</f>
        <v>5.0199999999999996</v>
      </c>
      <c r="D107" s="66">
        <f t="shared" si="1"/>
        <v>13.23</v>
      </c>
      <c r="E107" s="66">
        <f t="shared" si="1"/>
        <v>4.4000000000000004</v>
      </c>
      <c r="F107" s="66">
        <f t="shared" si="1"/>
        <v>7.67</v>
      </c>
      <c r="G107" s="66">
        <f t="shared" si="1"/>
        <v>24.86</v>
      </c>
      <c r="H107" s="66">
        <f t="shared" si="1"/>
        <v>12.05</v>
      </c>
      <c r="I107" s="66">
        <f t="shared" si="1"/>
        <v>1.36</v>
      </c>
      <c r="J107" s="66">
        <f t="shared" si="1"/>
        <v>0.44</v>
      </c>
      <c r="K107" s="66">
        <f t="shared" si="1"/>
        <v>359.88</v>
      </c>
      <c r="L107" s="66">
        <f t="shared" si="1"/>
        <v>26.45</v>
      </c>
      <c r="M107" s="66">
        <f t="shared" si="1"/>
        <v>100.61</v>
      </c>
      <c r="N107" s="66">
        <f t="shared" si="1"/>
        <v>174</v>
      </c>
      <c r="O107" s="66">
        <f t="shared" si="1"/>
        <v>0.2</v>
      </c>
      <c r="P107" s="66">
        <f t="shared" si="1"/>
        <v>0.44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8.04265306122449</v>
      </c>
      <c r="C108" s="67">
        <f t="shared" ref="C108:Q108" si="2">AVERAGE(C9:C104)</f>
        <v>3.2234693877551019</v>
      </c>
      <c r="D108" s="67">
        <f t="shared" si="2"/>
        <v>11.908571428571427</v>
      </c>
      <c r="E108" s="67">
        <f t="shared" si="2"/>
        <v>3.7740816326530613</v>
      </c>
      <c r="F108" s="67">
        <f t="shared" si="2"/>
        <v>4.3151020408163276</v>
      </c>
      <c r="G108" s="67">
        <f t="shared" si="2"/>
        <v>14.887755102040819</v>
      </c>
      <c r="H108" s="67">
        <f t="shared" si="2"/>
        <v>7.736326530612252</v>
      </c>
      <c r="I108" s="67">
        <f t="shared" si="2"/>
        <v>1.0038297872340427</v>
      </c>
      <c r="J108" s="67">
        <f t="shared" si="2"/>
        <v>0.33179999999999987</v>
      </c>
      <c r="K108" s="67">
        <f t="shared" si="2"/>
        <v>160.4178</v>
      </c>
      <c r="L108" s="67">
        <f t="shared" si="2"/>
        <v>25.660400000000003</v>
      </c>
      <c r="M108" s="67">
        <f t="shared" si="2"/>
        <v>100.41000000000003</v>
      </c>
      <c r="N108" s="67">
        <f t="shared" si="2"/>
        <v>84.023999999999972</v>
      </c>
      <c r="O108" s="67">
        <f t="shared" si="2"/>
        <v>1.5686274509803921E-2</v>
      </c>
      <c r="P108" s="67">
        <f t="shared" si="2"/>
        <v>0.35918367346938773</v>
      </c>
      <c r="Q108" s="67">
        <f t="shared" si="2"/>
        <v>9.1846808510638294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0.14974666816276852</v>
      </c>
      <c r="C109" s="67">
        <f t="shared" ref="C109:Q109" si="3">STDEV(C9:C104)</f>
        <v>0.45291900959410336</v>
      </c>
      <c r="D109" s="67">
        <f t="shared" si="3"/>
        <v>0.35397740040855719</v>
      </c>
      <c r="E109" s="67">
        <f t="shared" si="3"/>
        <v>0.39056539341140756</v>
      </c>
      <c r="F109" s="67">
        <f t="shared" si="3"/>
        <v>0.99100353692813603</v>
      </c>
      <c r="G109" s="67">
        <f t="shared" si="3"/>
        <v>5.1503342388731355</v>
      </c>
      <c r="H109" s="67">
        <f t="shared" si="3"/>
        <v>2.7792247824090031</v>
      </c>
      <c r="I109" s="67">
        <f t="shared" si="3"/>
        <v>0.21089409243472554</v>
      </c>
      <c r="J109" s="67">
        <f t="shared" si="3"/>
        <v>5.0817400201755493E-2</v>
      </c>
      <c r="K109" s="67">
        <f t="shared" si="3"/>
        <v>174.26691991509429</v>
      </c>
      <c r="L109" s="67">
        <f t="shared" si="3"/>
        <v>0.42702559307710952</v>
      </c>
      <c r="M109" s="67">
        <f t="shared" si="3"/>
        <v>9.3917028079392839E-2</v>
      </c>
      <c r="N109" s="67">
        <f t="shared" si="3"/>
        <v>40.331294174572712</v>
      </c>
      <c r="O109" s="67">
        <f t="shared" si="3"/>
        <v>5.430487646467063E-2</v>
      </c>
      <c r="P109" s="67">
        <f t="shared" si="3"/>
        <v>4.3003717605471864E-2</v>
      </c>
      <c r="Q109" s="67">
        <f t="shared" si="3"/>
        <v>5.5082983398954705E-2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COUNT(B9:B104)+47</f>
        <v>96</v>
      </c>
      <c r="C110" s="66">
        <f t="shared" ref="C110:H110" si="4">COUNT(C9:C104)+47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COUNT(I9:I104)+49</f>
        <v>96</v>
      </c>
      <c r="J110" s="66">
        <f>COUNT(J9:J104)+46</f>
        <v>96</v>
      </c>
      <c r="K110" s="66">
        <f t="shared" ref="K110:N110" si="5">COUNT(K9:K104)+46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>COUNT(O9:O104)+45</f>
        <v>96</v>
      </c>
      <c r="P110" s="66">
        <f>COUNT(P9:P104)+47</f>
        <v>96</v>
      </c>
      <c r="Q110" s="66">
        <f>COUNT(Q9:Q104)+49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437</v>
      </c>
      <c r="B9" s="64">
        <v>8.26</v>
      </c>
      <c r="C9" s="64">
        <v>3.72</v>
      </c>
      <c r="D9" s="64">
        <v>12.34</v>
      </c>
      <c r="E9" s="64">
        <v>4.3499999999999996</v>
      </c>
      <c r="F9" s="64">
        <v>4.04</v>
      </c>
      <c r="G9" s="64">
        <v>8.33</v>
      </c>
      <c r="H9" s="64">
        <v>4.41</v>
      </c>
      <c r="I9" s="64">
        <v>0.88</v>
      </c>
      <c r="J9" s="64">
        <v>0.4</v>
      </c>
      <c r="K9" s="64">
        <v>10.54</v>
      </c>
      <c r="L9" s="64">
        <v>25.31</v>
      </c>
      <c r="M9" s="64">
        <v>100.66</v>
      </c>
      <c r="N9" s="64">
        <v>52</v>
      </c>
      <c r="O9" s="64">
        <v>0</v>
      </c>
      <c r="P9" s="64">
        <v>0.26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48" t="s">
        <v>438</v>
      </c>
      <c r="B10" s="64">
        <v>8.01</v>
      </c>
      <c r="C10" s="64">
        <v>3.25</v>
      </c>
      <c r="D10" s="64">
        <v>11.9</v>
      </c>
      <c r="E10" s="64">
        <v>4.3</v>
      </c>
      <c r="F10" s="64">
        <v>2.85</v>
      </c>
      <c r="G10" s="64">
        <v>8.33</v>
      </c>
      <c r="H10" s="64">
        <v>4.41</v>
      </c>
      <c r="I10" s="64">
        <v>0.85</v>
      </c>
      <c r="J10" s="64">
        <v>0.38</v>
      </c>
      <c r="K10" s="64">
        <v>3.75</v>
      </c>
      <c r="L10" s="64">
        <v>25.29</v>
      </c>
      <c r="M10" s="64">
        <v>100.68</v>
      </c>
      <c r="N10" s="64">
        <v>51.6</v>
      </c>
      <c r="O10" s="64">
        <v>0</v>
      </c>
      <c r="P10" s="64">
        <v>0.24</v>
      </c>
      <c r="Q10" s="64">
        <v>9.1199999999999992</v>
      </c>
      <c r="R10" s="198"/>
      <c r="S10" s="198"/>
      <c r="T10" s="198"/>
      <c r="U10" s="198"/>
    </row>
    <row r="11" spans="1:21" s="12" customFormat="1" x14ac:dyDescent="0.25">
      <c r="A11" s="248" t="s">
        <v>439</v>
      </c>
      <c r="B11" s="64">
        <v>7.89</v>
      </c>
      <c r="C11" s="64">
        <v>2.98</v>
      </c>
      <c r="D11" s="64">
        <v>11.66</v>
      </c>
      <c r="E11" s="64">
        <v>3.99</v>
      </c>
      <c r="F11" s="64">
        <v>5.98</v>
      </c>
      <c r="G11" s="64">
        <v>10.81</v>
      </c>
      <c r="H11" s="64">
        <v>3.88</v>
      </c>
      <c r="I11" s="64">
        <v>0.82</v>
      </c>
      <c r="J11" s="64">
        <v>0.35</v>
      </c>
      <c r="K11" s="64">
        <v>11.79</v>
      </c>
      <c r="L11" s="64">
        <v>25.15</v>
      </c>
      <c r="M11" s="64">
        <v>100.68</v>
      </c>
      <c r="N11" s="64">
        <v>51.2</v>
      </c>
      <c r="O11" s="64">
        <v>0</v>
      </c>
      <c r="P11" s="64">
        <v>0.24</v>
      </c>
      <c r="Q11" s="64">
        <v>9.17</v>
      </c>
      <c r="R11" s="198"/>
      <c r="S11" s="198"/>
      <c r="T11" s="198"/>
      <c r="U11" s="198"/>
    </row>
    <row r="12" spans="1:21" s="12" customFormat="1" x14ac:dyDescent="0.25">
      <c r="A12" s="248" t="s">
        <v>440</v>
      </c>
      <c r="B12" s="64">
        <v>7.88</v>
      </c>
      <c r="C12" s="64">
        <v>2.91</v>
      </c>
      <c r="D12" s="64">
        <v>11.61</v>
      </c>
      <c r="E12" s="64">
        <v>4.37</v>
      </c>
      <c r="F12" s="64">
        <v>4.79</v>
      </c>
      <c r="G12" s="64">
        <v>14.52</v>
      </c>
      <c r="H12" s="64">
        <v>3.13</v>
      </c>
      <c r="I12" s="64">
        <v>0.74</v>
      </c>
      <c r="J12" s="64">
        <v>0.39</v>
      </c>
      <c r="K12" s="64">
        <v>0.03</v>
      </c>
      <c r="L12" s="64">
        <v>25.15</v>
      </c>
      <c r="M12" s="64">
        <v>100.68</v>
      </c>
      <c r="N12" s="64">
        <v>51.5</v>
      </c>
      <c r="O12" s="64">
        <v>0</v>
      </c>
      <c r="P12" s="64">
        <v>0.25</v>
      </c>
      <c r="Q12" s="64">
        <v>9.17</v>
      </c>
      <c r="R12" s="198"/>
      <c r="S12" s="198"/>
      <c r="T12" s="198"/>
      <c r="U12" s="198"/>
    </row>
    <row r="13" spans="1:21" s="12" customFormat="1" x14ac:dyDescent="0.25">
      <c r="A13" s="248" t="s">
        <v>441</v>
      </c>
      <c r="B13" s="64">
        <v>7.9</v>
      </c>
      <c r="C13" s="64">
        <v>2.9</v>
      </c>
      <c r="D13" s="64">
        <v>11.63</v>
      </c>
      <c r="E13" s="64">
        <v>4.32</v>
      </c>
      <c r="F13" s="64">
        <v>3.14</v>
      </c>
      <c r="G13" s="64">
        <v>14.52</v>
      </c>
      <c r="H13" s="64">
        <v>3.13</v>
      </c>
      <c r="I13" s="64">
        <v>0.73</v>
      </c>
      <c r="J13" s="64">
        <v>0.42</v>
      </c>
      <c r="K13" s="64">
        <v>4.72</v>
      </c>
      <c r="L13" s="64">
        <v>25.21</v>
      </c>
      <c r="M13" s="64">
        <v>100.66</v>
      </c>
      <c r="N13" s="64">
        <v>51.9</v>
      </c>
      <c r="O13" s="64">
        <v>0</v>
      </c>
      <c r="P13" s="64">
        <v>0.23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48" t="s">
        <v>442</v>
      </c>
      <c r="B14" s="64">
        <v>7.91</v>
      </c>
      <c r="C14" s="64">
        <v>2.88</v>
      </c>
      <c r="D14" s="64">
        <v>11.62</v>
      </c>
      <c r="E14" s="64">
        <v>4.34</v>
      </c>
      <c r="F14" s="64">
        <v>4.8099999999999996</v>
      </c>
      <c r="G14" s="64">
        <v>14.52</v>
      </c>
      <c r="H14" s="64">
        <v>3.13</v>
      </c>
      <c r="I14" s="64">
        <v>0.73</v>
      </c>
      <c r="J14" s="64">
        <v>0.31</v>
      </c>
      <c r="K14" s="64">
        <v>358.29</v>
      </c>
      <c r="L14" s="64">
        <v>25.03</v>
      </c>
      <c r="M14" s="64">
        <v>100.7</v>
      </c>
      <c r="N14" s="64">
        <v>51.2</v>
      </c>
      <c r="O14" s="64">
        <v>0.2</v>
      </c>
      <c r="P14" s="64">
        <v>0.21</v>
      </c>
      <c r="Q14" s="64">
        <v>9.11</v>
      </c>
      <c r="R14" s="198"/>
      <c r="S14" s="198"/>
      <c r="T14" s="198"/>
      <c r="U14" s="198"/>
    </row>
    <row r="15" spans="1:21" s="12" customFormat="1" x14ac:dyDescent="0.25">
      <c r="A15" s="248" t="s">
        <v>443</v>
      </c>
      <c r="B15" s="64">
        <v>7.95</v>
      </c>
      <c r="C15" s="64">
        <v>2.92</v>
      </c>
      <c r="D15" s="64">
        <v>11.68</v>
      </c>
      <c r="E15" s="64">
        <v>4.0199999999999996</v>
      </c>
      <c r="F15" s="64">
        <v>4.16</v>
      </c>
      <c r="G15" s="64">
        <v>13.06</v>
      </c>
      <c r="H15" s="64">
        <v>2.84</v>
      </c>
      <c r="I15" s="64">
        <v>0.67</v>
      </c>
      <c r="J15" s="64">
        <v>0.28999999999999998</v>
      </c>
      <c r="K15" s="64">
        <v>0.45</v>
      </c>
      <c r="L15" s="64">
        <v>24.86</v>
      </c>
      <c r="M15" s="64">
        <v>100.71</v>
      </c>
      <c r="N15" s="64">
        <v>51</v>
      </c>
      <c r="O15" s="64">
        <v>0</v>
      </c>
      <c r="P15" s="64">
        <v>0.21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48" t="s">
        <v>444</v>
      </c>
      <c r="B16" s="64">
        <v>7.97</v>
      </c>
      <c r="C16" s="64">
        <v>2.95</v>
      </c>
      <c r="D16" s="64">
        <v>11.71</v>
      </c>
      <c r="E16" s="64">
        <v>3.87</v>
      </c>
      <c r="F16" s="64">
        <v>4.29</v>
      </c>
      <c r="G16" s="64">
        <v>10.88</v>
      </c>
      <c r="H16" s="64">
        <v>2.42</v>
      </c>
      <c r="I16" s="64">
        <v>0.61</v>
      </c>
      <c r="J16" s="64">
        <v>0.25</v>
      </c>
      <c r="K16" s="64">
        <v>6.67</v>
      </c>
      <c r="L16" s="64">
        <v>24.69</v>
      </c>
      <c r="M16" s="64">
        <v>100.69</v>
      </c>
      <c r="N16" s="64">
        <v>51.3</v>
      </c>
      <c r="O16" s="64">
        <v>0.2</v>
      </c>
      <c r="P16" s="64">
        <v>0.21</v>
      </c>
      <c r="Q16" s="64">
        <v>9.19</v>
      </c>
      <c r="R16" s="198"/>
      <c r="S16" s="198"/>
      <c r="T16" s="198"/>
      <c r="U16" s="198"/>
    </row>
    <row r="17" spans="1:21" s="12" customFormat="1" x14ac:dyDescent="0.25">
      <c r="A17" s="248" t="s">
        <v>445</v>
      </c>
      <c r="B17" s="64">
        <v>7.99</v>
      </c>
      <c r="C17" s="64">
        <v>2.96</v>
      </c>
      <c r="D17" s="64">
        <v>11.73</v>
      </c>
      <c r="E17" s="64">
        <v>3.93</v>
      </c>
      <c r="F17" s="64">
        <v>4.16</v>
      </c>
      <c r="G17" s="64">
        <v>10.88</v>
      </c>
      <c r="H17" s="64">
        <v>2.42</v>
      </c>
      <c r="I17" s="64">
        <v>0.57999999999999996</v>
      </c>
      <c r="J17" s="64">
        <v>0.31</v>
      </c>
      <c r="K17" s="64">
        <v>15.88</v>
      </c>
      <c r="L17" s="64">
        <v>24.45</v>
      </c>
      <c r="M17" s="64">
        <v>100.69</v>
      </c>
      <c r="N17" s="64">
        <v>51.6</v>
      </c>
      <c r="O17" s="64">
        <v>0.6</v>
      </c>
      <c r="P17" s="64">
        <v>0.2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48" t="s">
        <v>446</v>
      </c>
      <c r="B18" s="64">
        <v>7.98</v>
      </c>
      <c r="C18" s="64">
        <v>2.99</v>
      </c>
      <c r="D18" s="64">
        <v>11.74</v>
      </c>
      <c r="E18" s="64">
        <v>4.1900000000000004</v>
      </c>
      <c r="F18" s="64">
        <v>3.93</v>
      </c>
      <c r="G18" s="64">
        <v>10.88</v>
      </c>
      <c r="H18" s="64">
        <v>2.42</v>
      </c>
      <c r="I18" s="64">
        <v>0.56000000000000005</v>
      </c>
      <c r="J18" s="64">
        <v>0.32</v>
      </c>
      <c r="K18" s="64">
        <v>1.66</v>
      </c>
      <c r="L18" s="64">
        <v>24.27</v>
      </c>
      <c r="M18" s="64">
        <v>100.72</v>
      </c>
      <c r="N18" s="64">
        <v>51.7</v>
      </c>
      <c r="O18" s="64">
        <v>0.6</v>
      </c>
      <c r="P18" s="64">
        <v>0.2</v>
      </c>
      <c r="Q18" s="64">
        <v>9.1999999999999993</v>
      </c>
      <c r="R18" s="198"/>
      <c r="S18" s="198"/>
      <c r="T18" s="198"/>
      <c r="U18" s="198"/>
    </row>
    <row r="19" spans="1:21" s="12" customFormat="1" x14ac:dyDescent="0.25">
      <c r="A19" s="248" t="s">
        <v>447</v>
      </c>
      <c r="B19" s="64">
        <v>8.06</v>
      </c>
      <c r="C19" s="64">
        <v>3.07</v>
      </c>
      <c r="D19" s="64">
        <v>11.84</v>
      </c>
      <c r="E19" s="64">
        <v>4.08</v>
      </c>
      <c r="F19" s="64">
        <v>4.43</v>
      </c>
      <c r="G19" s="64">
        <v>9.7200000000000006</v>
      </c>
      <c r="H19" s="64">
        <v>3.49</v>
      </c>
      <c r="I19" s="64">
        <v>0.57999999999999996</v>
      </c>
      <c r="J19" s="64">
        <v>0.28000000000000003</v>
      </c>
      <c r="K19" s="64">
        <v>0.26</v>
      </c>
      <c r="L19" s="64">
        <v>24.19</v>
      </c>
      <c r="M19" s="64">
        <v>100.73</v>
      </c>
      <c r="N19" s="64">
        <v>51.6</v>
      </c>
      <c r="O19" s="64">
        <v>0.2</v>
      </c>
      <c r="P19" s="64">
        <v>0.2</v>
      </c>
      <c r="Q19" s="64">
        <v>9.1999999999999993</v>
      </c>
      <c r="R19" s="198"/>
      <c r="S19" s="198"/>
      <c r="T19" s="198"/>
      <c r="U19" s="198"/>
    </row>
    <row r="20" spans="1:21" s="12" customFormat="1" x14ac:dyDescent="0.25">
      <c r="A20" s="248" t="s">
        <v>448</v>
      </c>
      <c r="B20" s="64">
        <v>8.06</v>
      </c>
      <c r="C20" s="64">
        <v>3.08</v>
      </c>
      <c r="D20" s="64">
        <v>11.85</v>
      </c>
      <c r="E20" s="64">
        <v>3.12</v>
      </c>
      <c r="F20" s="64">
        <v>4.07</v>
      </c>
      <c r="G20" s="64">
        <v>7.99</v>
      </c>
      <c r="H20" s="64">
        <v>5.09</v>
      </c>
      <c r="I20" s="64">
        <v>0.56999999999999995</v>
      </c>
      <c r="J20" s="64">
        <v>0.28999999999999998</v>
      </c>
      <c r="K20" s="64">
        <v>352.67</v>
      </c>
      <c r="L20" s="64">
        <v>24.17</v>
      </c>
      <c r="M20" s="64">
        <v>100.74</v>
      </c>
      <c r="N20" s="64">
        <v>51.6</v>
      </c>
      <c r="O20" s="64">
        <v>0.2</v>
      </c>
      <c r="P20" s="64">
        <v>0.2</v>
      </c>
      <c r="Q20" s="64">
        <v>9.19</v>
      </c>
      <c r="R20" s="198"/>
      <c r="S20" s="198"/>
      <c r="T20" s="198"/>
      <c r="U20" s="198"/>
    </row>
    <row r="21" spans="1:21" s="12" customFormat="1" x14ac:dyDescent="0.25">
      <c r="A21" s="248" t="s">
        <v>449</v>
      </c>
      <c r="B21" s="64">
        <v>8.01</v>
      </c>
      <c r="C21" s="64">
        <v>3.02</v>
      </c>
      <c r="D21" s="64">
        <v>11.77</v>
      </c>
      <c r="E21" s="64">
        <v>2.79</v>
      </c>
      <c r="F21" s="64">
        <v>4.8899999999999997</v>
      </c>
      <c r="G21" s="64">
        <v>7.99</v>
      </c>
      <c r="H21" s="64">
        <v>5.09</v>
      </c>
      <c r="I21" s="64">
        <v>0.56999999999999995</v>
      </c>
      <c r="J21" s="64">
        <v>0.28999999999999998</v>
      </c>
      <c r="K21" s="64">
        <v>6.25</v>
      </c>
      <c r="L21" s="64">
        <v>24.09</v>
      </c>
      <c r="M21" s="64">
        <v>100.75</v>
      </c>
      <c r="N21" s="64">
        <v>51.7</v>
      </c>
      <c r="O21" s="64">
        <v>0.6</v>
      </c>
      <c r="P21" s="64">
        <v>0.2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48" t="s">
        <v>450</v>
      </c>
      <c r="B22" s="64">
        <v>7.94</v>
      </c>
      <c r="C22" s="64">
        <v>2.93</v>
      </c>
      <c r="D22" s="64">
        <v>11.67</v>
      </c>
      <c r="E22" s="64">
        <v>2.74</v>
      </c>
      <c r="F22" s="64">
        <v>4.57</v>
      </c>
      <c r="G22" s="64">
        <v>7.99</v>
      </c>
      <c r="H22" s="64">
        <v>5.09</v>
      </c>
      <c r="I22" s="64">
        <v>0.56999999999999995</v>
      </c>
      <c r="J22" s="64">
        <v>0.3</v>
      </c>
      <c r="K22" s="64">
        <v>5.92</v>
      </c>
      <c r="L22" s="64">
        <v>24.05</v>
      </c>
      <c r="M22" s="64">
        <v>100.8</v>
      </c>
      <c r="N22" s="64">
        <v>51.8</v>
      </c>
      <c r="O22" s="64">
        <v>0.2</v>
      </c>
      <c r="P22" s="64">
        <v>0.2</v>
      </c>
      <c r="Q22" s="64">
        <v>9.1300000000000008</v>
      </c>
      <c r="R22" s="198"/>
      <c r="S22" s="198"/>
      <c r="T22" s="198"/>
      <c r="U22" s="198"/>
    </row>
    <row r="23" spans="1:21" s="12" customFormat="1" x14ac:dyDescent="0.25">
      <c r="A23" s="248" t="s">
        <v>451</v>
      </c>
      <c r="B23" s="64">
        <v>7.9</v>
      </c>
      <c r="C23" s="64">
        <v>2.93</v>
      </c>
      <c r="D23" s="64">
        <v>11.64</v>
      </c>
      <c r="E23" s="64">
        <v>2.75</v>
      </c>
      <c r="F23" s="64">
        <v>3.66</v>
      </c>
      <c r="G23" s="64">
        <v>7.23</v>
      </c>
      <c r="H23" s="64">
        <v>5.0599999999999996</v>
      </c>
      <c r="I23" s="64">
        <v>0.56000000000000005</v>
      </c>
      <c r="J23" s="64">
        <v>0.33</v>
      </c>
      <c r="K23" s="64">
        <v>356.77</v>
      </c>
      <c r="L23" s="64">
        <v>23.94</v>
      </c>
      <c r="M23" s="64">
        <v>100.82</v>
      </c>
      <c r="N23" s="64">
        <v>52.1</v>
      </c>
      <c r="O23" s="64">
        <v>0.6</v>
      </c>
      <c r="P23" s="64">
        <v>0.2</v>
      </c>
      <c r="Q23" s="64">
        <v>9.07</v>
      </c>
      <c r="R23" s="198"/>
      <c r="S23" s="198"/>
      <c r="T23" s="198"/>
      <c r="U23" s="198"/>
    </row>
    <row r="24" spans="1:21" s="12" customFormat="1" x14ac:dyDescent="0.25">
      <c r="A24" s="248" t="s">
        <v>452</v>
      </c>
      <c r="B24" s="64">
        <v>7.9</v>
      </c>
      <c r="C24" s="64">
        <v>2.94</v>
      </c>
      <c r="D24" s="64">
        <v>11.65</v>
      </c>
      <c r="E24" s="64">
        <v>3.08</v>
      </c>
      <c r="F24" s="64">
        <v>6.63</v>
      </c>
      <c r="G24" s="64">
        <v>6.08</v>
      </c>
      <c r="H24" s="64">
        <v>5.0199999999999996</v>
      </c>
      <c r="I24" s="64">
        <v>0.57999999999999996</v>
      </c>
      <c r="J24" s="64">
        <v>0.39</v>
      </c>
      <c r="K24" s="64">
        <v>9.8800000000000008</v>
      </c>
      <c r="L24" s="64">
        <v>23.7</v>
      </c>
      <c r="M24" s="64">
        <v>100.83</v>
      </c>
      <c r="N24" s="64">
        <v>52</v>
      </c>
      <c r="O24" s="64">
        <v>1.4</v>
      </c>
      <c r="P24" s="64">
        <v>0.21</v>
      </c>
      <c r="Q24" s="64">
        <v>9.09</v>
      </c>
      <c r="R24" s="198"/>
      <c r="S24" s="198"/>
      <c r="T24" s="198"/>
      <c r="U24" s="198"/>
    </row>
    <row r="25" spans="1:21" s="12" customFormat="1" x14ac:dyDescent="0.25">
      <c r="A25" s="248" t="s">
        <v>453</v>
      </c>
      <c r="B25" s="64">
        <v>7.95</v>
      </c>
      <c r="C25" s="64">
        <v>2.96</v>
      </c>
      <c r="D25" s="64">
        <v>11.69</v>
      </c>
      <c r="E25" s="64">
        <v>2.71</v>
      </c>
      <c r="F25" s="64">
        <v>2.96</v>
      </c>
      <c r="G25" s="64">
        <v>6.08</v>
      </c>
      <c r="H25" s="64">
        <v>5.0199999999999996</v>
      </c>
      <c r="I25" s="64">
        <v>0.56999999999999995</v>
      </c>
      <c r="J25" s="64">
        <v>0.47</v>
      </c>
      <c r="K25" s="64">
        <v>15.16</v>
      </c>
      <c r="L25" s="64">
        <v>23.41</v>
      </c>
      <c r="M25" s="64">
        <v>100.83</v>
      </c>
      <c r="N25" s="64">
        <v>52</v>
      </c>
      <c r="O25" s="64">
        <v>1.6</v>
      </c>
      <c r="P25" s="64">
        <v>0.2</v>
      </c>
      <c r="Q25" s="64">
        <v>9.06</v>
      </c>
      <c r="R25" s="198"/>
      <c r="S25" s="198"/>
      <c r="T25" s="198"/>
      <c r="U25" s="198"/>
    </row>
    <row r="26" spans="1:21" s="12" customFormat="1" x14ac:dyDescent="0.25">
      <c r="A26" s="248" t="s">
        <v>454</v>
      </c>
      <c r="B26" s="64">
        <v>7.93</v>
      </c>
      <c r="C26" s="64">
        <v>2.98</v>
      </c>
      <c r="D26" s="64">
        <v>11.69</v>
      </c>
      <c r="E26" s="64">
        <v>2.66</v>
      </c>
      <c r="F26" s="64">
        <v>5.58</v>
      </c>
      <c r="G26" s="64">
        <v>6.08</v>
      </c>
      <c r="H26" s="64">
        <v>5.0199999999999996</v>
      </c>
      <c r="I26" s="64">
        <v>0.56000000000000005</v>
      </c>
      <c r="J26" s="64">
        <v>0.39</v>
      </c>
      <c r="K26" s="64">
        <v>6.06</v>
      </c>
      <c r="L26" s="64">
        <v>23.3</v>
      </c>
      <c r="M26" s="64">
        <v>100.83</v>
      </c>
      <c r="N26" s="64">
        <v>51.8</v>
      </c>
      <c r="O26" s="64">
        <v>1.6</v>
      </c>
      <c r="P26" s="64">
        <v>0.19</v>
      </c>
      <c r="Q26" s="64">
        <v>9.1</v>
      </c>
      <c r="R26" s="198"/>
      <c r="S26" s="198"/>
      <c r="T26" s="198"/>
      <c r="U26" s="198"/>
    </row>
    <row r="27" spans="1:21" s="12" customFormat="1" x14ac:dyDescent="0.25">
      <c r="A27" s="248" t="s">
        <v>455</v>
      </c>
      <c r="B27" s="64">
        <v>8.19</v>
      </c>
      <c r="C27" s="64">
        <v>3.58</v>
      </c>
      <c r="D27" s="64">
        <v>12.21</v>
      </c>
      <c r="E27" s="64">
        <v>2.74</v>
      </c>
      <c r="F27" s="64">
        <v>8.56</v>
      </c>
      <c r="G27" s="64">
        <v>8.02</v>
      </c>
      <c r="H27" s="64">
        <v>5.05</v>
      </c>
      <c r="I27" s="64">
        <v>0.55000000000000004</v>
      </c>
      <c r="J27" s="64">
        <v>0.36</v>
      </c>
      <c r="K27" s="64">
        <v>14.16</v>
      </c>
      <c r="L27" s="64">
        <v>23.32</v>
      </c>
      <c r="M27" s="64">
        <v>100.83</v>
      </c>
      <c r="N27" s="64">
        <v>52</v>
      </c>
      <c r="O27" s="64">
        <v>1.2</v>
      </c>
      <c r="P27" s="64">
        <v>0.21</v>
      </c>
      <c r="Q27" s="64">
        <v>9.1199999999999992</v>
      </c>
      <c r="R27" s="198"/>
      <c r="S27" s="198"/>
      <c r="T27" s="198"/>
      <c r="U27" s="198"/>
    </row>
    <row r="28" spans="1:21" s="12" customFormat="1" x14ac:dyDescent="0.25">
      <c r="A28" s="248" t="s">
        <v>456</v>
      </c>
      <c r="B28" s="64">
        <v>8.0399999999999991</v>
      </c>
      <c r="C28" s="64">
        <v>3.28</v>
      </c>
      <c r="D28" s="64">
        <v>11.93</v>
      </c>
      <c r="E28" s="64">
        <v>2.4300000000000002</v>
      </c>
      <c r="F28" s="64">
        <v>8.81</v>
      </c>
      <c r="G28" s="64">
        <v>10.94</v>
      </c>
      <c r="H28" s="64">
        <v>5.0999999999999996</v>
      </c>
      <c r="I28" s="64">
        <v>0.53</v>
      </c>
      <c r="J28" s="64">
        <v>0.34</v>
      </c>
      <c r="K28" s="64">
        <v>9.6</v>
      </c>
      <c r="L28" s="64">
        <v>23.37</v>
      </c>
      <c r="M28" s="64">
        <v>100.85</v>
      </c>
      <c r="N28" s="64">
        <v>52.8</v>
      </c>
      <c r="O28" s="64">
        <v>2</v>
      </c>
      <c r="P28" s="64">
        <v>0.21</v>
      </c>
      <c r="Q28" s="64">
        <v>9.06</v>
      </c>
      <c r="R28" s="198"/>
      <c r="S28" s="198"/>
      <c r="T28" s="198"/>
      <c r="U28" s="198"/>
    </row>
    <row r="29" spans="1:21" s="12" customFormat="1" x14ac:dyDescent="0.25">
      <c r="A29" s="248" t="s">
        <v>457</v>
      </c>
      <c r="B29" s="64">
        <v>7.93</v>
      </c>
      <c r="C29" s="64">
        <v>2.98</v>
      </c>
      <c r="D29" s="64">
        <v>11.69</v>
      </c>
      <c r="E29" s="64">
        <v>2.85</v>
      </c>
      <c r="F29" s="64">
        <v>9.5299999999999994</v>
      </c>
      <c r="G29" s="64">
        <v>10.94</v>
      </c>
      <c r="H29" s="64">
        <v>5.0999999999999996</v>
      </c>
      <c r="I29" s="64">
        <v>0.52</v>
      </c>
      <c r="J29" s="64">
        <v>0.33</v>
      </c>
      <c r="K29" s="64">
        <v>9.65</v>
      </c>
      <c r="L29" s="64">
        <v>23.38</v>
      </c>
      <c r="M29" s="64">
        <v>100.85</v>
      </c>
      <c r="N29" s="64">
        <v>53.9</v>
      </c>
      <c r="O29" s="64">
        <v>1.8</v>
      </c>
      <c r="P29" s="64">
        <v>0.21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48" t="s">
        <v>458</v>
      </c>
      <c r="B30" s="64">
        <v>7.91</v>
      </c>
      <c r="C30" s="64">
        <v>2.98</v>
      </c>
      <c r="D30" s="64">
        <v>11.68</v>
      </c>
      <c r="E30" s="64">
        <v>3.04</v>
      </c>
      <c r="F30" s="64">
        <v>4.59</v>
      </c>
      <c r="G30" s="64">
        <v>10.94</v>
      </c>
      <c r="H30" s="64">
        <v>5.0999999999999996</v>
      </c>
      <c r="I30" s="64">
        <v>0.49</v>
      </c>
      <c r="J30" s="64">
        <v>0.33</v>
      </c>
      <c r="K30" s="64">
        <v>7.28</v>
      </c>
      <c r="L30" s="64">
        <v>23.4</v>
      </c>
      <c r="M30" s="64">
        <v>100.87</v>
      </c>
      <c r="N30" s="64">
        <v>55.1</v>
      </c>
      <c r="O30" s="64">
        <v>2.6</v>
      </c>
      <c r="P30" s="64">
        <v>0.22</v>
      </c>
      <c r="Q30" s="64">
        <v>9.11</v>
      </c>
      <c r="R30" s="198"/>
      <c r="S30" s="198"/>
      <c r="T30" s="198"/>
      <c r="U30" s="198"/>
    </row>
    <row r="31" spans="1:21" s="12" customFormat="1" x14ac:dyDescent="0.25">
      <c r="A31" s="248" t="s">
        <v>459</v>
      </c>
      <c r="B31" s="64">
        <v>7.9</v>
      </c>
      <c r="C31" s="64">
        <v>2.93</v>
      </c>
      <c r="D31" s="64">
        <v>11.64</v>
      </c>
      <c r="E31" s="64">
        <v>2.79</v>
      </c>
      <c r="F31" s="64">
        <v>8.06</v>
      </c>
      <c r="G31" s="64">
        <v>9.7799999999999994</v>
      </c>
      <c r="H31" s="64">
        <v>4.7699999999999996</v>
      </c>
      <c r="I31" s="64">
        <v>0.54</v>
      </c>
      <c r="J31" s="64">
        <v>0.34</v>
      </c>
      <c r="K31" s="64">
        <v>1.95</v>
      </c>
      <c r="L31" s="64">
        <v>23.39</v>
      </c>
      <c r="M31" s="64">
        <v>100.89</v>
      </c>
      <c r="N31" s="64">
        <v>56.8</v>
      </c>
      <c r="O31" s="64">
        <v>2.4</v>
      </c>
      <c r="P31" s="64">
        <v>0.22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48" t="s">
        <v>460</v>
      </c>
      <c r="B32" s="64">
        <v>7.96</v>
      </c>
      <c r="C32" s="64">
        <v>2.99</v>
      </c>
      <c r="D32" s="64">
        <v>11.72</v>
      </c>
      <c r="E32" s="64">
        <v>2.62</v>
      </c>
      <c r="F32" s="64">
        <v>9.67</v>
      </c>
      <c r="G32" s="64">
        <v>8.06</v>
      </c>
      <c r="H32" s="64">
        <v>4.28</v>
      </c>
      <c r="I32" s="64">
        <v>0.56000000000000005</v>
      </c>
      <c r="J32" s="64">
        <v>0.33</v>
      </c>
      <c r="K32" s="64">
        <v>2.08</v>
      </c>
      <c r="L32" s="64">
        <v>23.4</v>
      </c>
      <c r="M32" s="64">
        <v>100.88</v>
      </c>
      <c r="N32" s="64">
        <v>57.3</v>
      </c>
      <c r="O32" s="64">
        <v>2.4</v>
      </c>
      <c r="P32" s="64">
        <v>0.22</v>
      </c>
      <c r="Q32" s="64">
        <v>9.1300000000000008</v>
      </c>
      <c r="R32" s="198"/>
      <c r="S32" s="198"/>
      <c r="T32" s="198"/>
      <c r="U32" s="198"/>
    </row>
    <row r="33" spans="1:21" s="12" customFormat="1" x14ac:dyDescent="0.25">
      <c r="A33" s="248" t="s">
        <v>461</v>
      </c>
      <c r="B33" s="64">
        <v>8.1300000000000008</v>
      </c>
      <c r="C33" s="64">
        <v>3.33</v>
      </c>
      <c r="D33" s="64">
        <v>12.04</v>
      </c>
      <c r="E33" s="64">
        <v>2.99</v>
      </c>
      <c r="F33" s="64">
        <v>9.06</v>
      </c>
      <c r="G33" s="64">
        <v>8.06</v>
      </c>
      <c r="H33" s="64">
        <v>4.28</v>
      </c>
      <c r="I33" s="64">
        <v>0.56000000000000005</v>
      </c>
      <c r="J33" s="64">
        <v>0.34</v>
      </c>
      <c r="K33" s="64">
        <v>3.89</v>
      </c>
      <c r="L33" s="64">
        <v>23.43</v>
      </c>
      <c r="M33" s="64">
        <v>100.85</v>
      </c>
      <c r="N33" s="64">
        <v>58.9</v>
      </c>
      <c r="O33" s="64">
        <v>1.8</v>
      </c>
      <c r="P33" s="64">
        <v>0.21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48" t="s">
        <v>462</v>
      </c>
      <c r="B34" s="64">
        <v>8.16</v>
      </c>
      <c r="C34" s="64">
        <v>3.36</v>
      </c>
      <c r="D34" s="64">
        <v>12.08</v>
      </c>
      <c r="E34" s="64">
        <v>2.69</v>
      </c>
      <c r="F34" s="64">
        <v>8.15</v>
      </c>
      <c r="G34" s="64">
        <v>8.06</v>
      </c>
      <c r="H34" s="64">
        <v>4.28</v>
      </c>
      <c r="I34" s="64">
        <v>0.52</v>
      </c>
      <c r="J34" s="64">
        <v>0.35</v>
      </c>
      <c r="K34" s="64">
        <v>11.49</v>
      </c>
      <c r="L34" s="64">
        <v>23.47</v>
      </c>
      <c r="M34" s="64">
        <v>100.85</v>
      </c>
      <c r="N34" s="64">
        <v>59.9</v>
      </c>
      <c r="O34" s="64">
        <v>1.2</v>
      </c>
      <c r="P34" s="64">
        <v>0.22</v>
      </c>
      <c r="Q34" s="64">
        <v>9.17</v>
      </c>
      <c r="R34" s="198"/>
      <c r="S34" s="198"/>
      <c r="T34" s="198"/>
      <c r="U34" s="198"/>
    </row>
    <row r="35" spans="1:21" s="12" customFormat="1" x14ac:dyDescent="0.25">
      <c r="A35" s="248" t="s">
        <v>463</v>
      </c>
      <c r="B35" s="64">
        <v>8</v>
      </c>
      <c r="C35" s="64">
        <v>3.03</v>
      </c>
      <c r="D35" s="64">
        <v>11.77</v>
      </c>
      <c r="E35" s="64">
        <v>2.62</v>
      </c>
      <c r="F35" s="64">
        <v>9.84</v>
      </c>
      <c r="G35" s="64">
        <v>7.09</v>
      </c>
      <c r="H35" s="64">
        <v>3.92</v>
      </c>
      <c r="I35" s="64">
        <v>0.56000000000000005</v>
      </c>
      <c r="J35" s="64">
        <v>0.3</v>
      </c>
      <c r="K35" s="64">
        <v>4.1399999999999997</v>
      </c>
      <c r="L35" s="64">
        <v>23.48</v>
      </c>
      <c r="M35" s="64">
        <v>100.81</v>
      </c>
      <c r="N35" s="64">
        <v>58.8</v>
      </c>
      <c r="O35" s="64">
        <v>2.8</v>
      </c>
      <c r="P35" s="64">
        <v>0.21</v>
      </c>
      <c r="Q35" s="64">
        <v>9.15</v>
      </c>
      <c r="R35" s="198"/>
      <c r="S35" s="198"/>
      <c r="T35" s="198"/>
      <c r="U35" s="198"/>
    </row>
    <row r="36" spans="1:21" s="12" customFormat="1" x14ac:dyDescent="0.25">
      <c r="A36" s="248" t="s">
        <v>464</v>
      </c>
      <c r="B36" s="64">
        <v>7.99</v>
      </c>
      <c r="C36" s="64">
        <v>3.01</v>
      </c>
      <c r="D36" s="64">
        <v>11.75</v>
      </c>
      <c r="E36" s="64">
        <v>4.3099999999999996</v>
      </c>
      <c r="F36" s="64">
        <v>6.74</v>
      </c>
      <c r="G36" s="64">
        <v>5.64</v>
      </c>
      <c r="H36" s="64">
        <v>3.39</v>
      </c>
      <c r="I36" s="64">
        <v>0.56999999999999995</v>
      </c>
      <c r="J36" s="64">
        <v>0.31</v>
      </c>
      <c r="K36" s="64">
        <v>8.24</v>
      </c>
      <c r="L36" s="64">
        <v>23.48</v>
      </c>
      <c r="M36" s="64">
        <v>100.77</v>
      </c>
      <c r="N36" s="64">
        <v>58.4</v>
      </c>
      <c r="O36" s="64">
        <v>3.8</v>
      </c>
      <c r="P36" s="64">
        <v>0.23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48" t="s">
        <v>465</v>
      </c>
      <c r="B37" s="64">
        <v>8</v>
      </c>
      <c r="C37" s="64">
        <v>3.02</v>
      </c>
      <c r="D37" s="64">
        <v>11.77</v>
      </c>
      <c r="E37" s="64">
        <v>3.66</v>
      </c>
      <c r="F37" s="64">
        <v>8.3800000000000008</v>
      </c>
      <c r="G37" s="64">
        <v>5.64</v>
      </c>
      <c r="H37" s="64">
        <v>3.39</v>
      </c>
      <c r="I37" s="64">
        <v>0.61</v>
      </c>
      <c r="J37" s="64">
        <v>0.28000000000000003</v>
      </c>
      <c r="K37" s="64">
        <v>8.59</v>
      </c>
      <c r="L37" s="64">
        <v>23.49</v>
      </c>
      <c r="M37" s="64">
        <v>100.73</v>
      </c>
      <c r="N37" s="64">
        <v>60.4</v>
      </c>
      <c r="O37" s="64">
        <v>3.6</v>
      </c>
      <c r="P37" s="64">
        <v>0.24</v>
      </c>
      <c r="Q37" s="64">
        <v>9.17</v>
      </c>
      <c r="R37" s="198"/>
      <c r="S37" s="198"/>
      <c r="T37" s="198"/>
      <c r="U37" s="198"/>
    </row>
    <row r="38" spans="1:21" s="12" customFormat="1" x14ac:dyDescent="0.25">
      <c r="A38" s="248" t="s">
        <v>466</v>
      </c>
      <c r="B38" s="64">
        <v>7.97</v>
      </c>
      <c r="C38" s="64">
        <v>3.01</v>
      </c>
      <c r="D38" s="64">
        <v>11.74</v>
      </c>
      <c r="E38" s="64">
        <v>3.9</v>
      </c>
      <c r="F38" s="64">
        <v>7.97</v>
      </c>
      <c r="G38" s="64">
        <v>5.64</v>
      </c>
      <c r="H38" s="64">
        <v>3.39</v>
      </c>
      <c r="I38" s="64">
        <v>0.63</v>
      </c>
      <c r="J38" s="64">
        <v>0.26</v>
      </c>
      <c r="K38" s="64">
        <v>24.49</v>
      </c>
      <c r="L38" s="64">
        <v>23.53</v>
      </c>
      <c r="M38" s="64">
        <v>100.8</v>
      </c>
      <c r="N38" s="64">
        <v>61.7</v>
      </c>
      <c r="O38" s="64">
        <v>3.8</v>
      </c>
      <c r="P38" s="64">
        <v>0.24</v>
      </c>
      <c r="Q38" s="64">
        <v>9.17</v>
      </c>
      <c r="R38" s="198"/>
      <c r="S38" s="198"/>
      <c r="T38" s="198"/>
      <c r="U38" s="198"/>
    </row>
    <row r="39" spans="1:21" s="12" customFormat="1" x14ac:dyDescent="0.25">
      <c r="A39" s="248" t="s">
        <v>467</v>
      </c>
      <c r="B39" s="64">
        <v>7.98</v>
      </c>
      <c r="C39" s="64">
        <v>3.04</v>
      </c>
      <c r="D39" s="64">
        <v>11.76</v>
      </c>
      <c r="E39" s="64">
        <v>4.26</v>
      </c>
      <c r="F39" s="64">
        <v>4.8499999999999996</v>
      </c>
      <c r="G39" s="64">
        <v>6.33</v>
      </c>
      <c r="H39" s="64">
        <v>3.51</v>
      </c>
      <c r="I39" s="64">
        <v>0.69</v>
      </c>
      <c r="J39" s="64">
        <v>0.09</v>
      </c>
      <c r="K39" s="64">
        <v>87.03</v>
      </c>
      <c r="L39" s="64">
        <v>23.5</v>
      </c>
      <c r="M39" s="64">
        <v>100.83</v>
      </c>
      <c r="N39" s="64">
        <v>62.2</v>
      </c>
      <c r="O39" s="64">
        <v>3.6</v>
      </c>
      <c r="P39" s="64">
        <v>0.25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48" t="s">
        <v>468</v>
      </c>
      <c r="B40" s="64">
        <v>7.98</v>
      </c>
      <c r="C40" s="64">
        <v>3.03</v>
      </c>
      <c r="D40" s="64">
        <v>11.75</v>
      </c>
      <c r="E40" s="64">
        <v>4.0599999999999996</v>
      </c>
      <c r="F40" s="64">
        <v>7.83</v>
      </c>
      <c r="G40" s="64">
        <v>7.37</v>
      </c>
      <c r="H40" s="64">
        <v>3.68</v>
      </c>
      <c r="I40" s="64">
        <v>0.73</v>
      </c>
      <c r="J40" s="64">
        <v>0.27</v>
      </c>
      <c r="K40" s="64">
        <v>118.13</v>
      </c>
      <c r="L40" s="64">
        <v>23.5</v>
      </c>
      <c r="M40" s="64">
        <v>100.83</v>
      </c>
      <c r="N40" s="64">
        <v>59.2</v>
      </c>
      <c r="O40" s="64">
        <v>5.4</v>
      </c>
      <c r="P40" s="64">
        <v>0.26</v>
      </c>
      <c r="Q40" s="64">
        <v>9.2100000000000009</v>
      </c>
      <c r="R40" s="198"/>
      <c r="S40" s="198"/>
      <c r="T40" s="198"/>
      <c r="U40" s="198"/>
    </row>
    <row r="41" spans="1:21" s="12" customFormat="1" x14ac:dyDescent="0.25">
      <c r="A41" s="248" t="s">
        <v>469</v>
      </c>
      <c r="B41" s="64">
        <v>8.42</v>
      </c>
      <c r="C41" s="64">
        <v>3.92</v>
      </c>
      <c r="D41" s="64">
        <v>12.57</v>
      </c>
      <c r="E41" s="64">
        <v>4.26</v>
      </c>
      <c r="F41" s="64">
        <v>5.88</v>
      </c>
      <c r="G41" s="64">
        <v>7.37</v>
      </c>
      <c r="H41" s="64">
        <v>3.68</v>
      </c>
      <c r="I41" s="64">
        <v>0.77</v>
      </c>
      <c r="J41" s="64">
        <v>0.34</v>
      </c>
      <c r="K41" s="64">
        <v>335.6</v>
      </c>
      <c r="L41" s="64">
        <v>23.58</v>
      </c>
      <c r="M41" s="64">
        <v>100.84</v>
      </c>
      <c r="N41" s="64">
        <v>59.4</v>
      </c>
      <c r="O41" s="64">
        <v>6.4</v>
      </c>
      <c r="P41" s="64">
        <v>0.27</v>
      </c>
      <c r="Q41" s="64">
        <v>9.14</v>
      </c>
      <c r="R41" s="198"/>
      <c r="S41" s="198"/>
      <c r="T41" s="198"/>
      <c r="U41" s="198"/>
    </row>
    <row r="42" spans="1:21" s="12" customFormat="1" x14ac:dyDescent="0.25">
      <c r="A42" s="248" t="s">
        <v>470</v>
      </c>
      <c r="B42" s="64">
        <v>8.44</v>
      </c>
      <c r="C42" s="64">
        <v>3.96</v>
      </c>
      <c r="D42" s="64">
        <v>12.61</v>
      </c>
      <c r="E42" s="64">
        <v>4.26</v>
      </c>
      <c r="F42" s="64">
        <v>4.82</v>
      </c>
      <c r="G42" s="64">
        <v>7.37</v>
      </c>
      <c r="H42" s="64">
        <v>3.68</v>
      </c>
      <c r="I42" s="64">
        <v>0.9</v>
      </c>
      <c r="J42" s="64">
        <v>0.35</v>
      </c>
      <c r="K42" s="64">
        <v>353.53</v>
      </c>
      <c r="L42" s="64">
        <v>23.52</v>
      </c>
      <c r="M42" s="64">
        <v>100.9</v>
      </c>
      <c r="N42" s="64">
        <v>75.400000000000006</v>
      </c>
      <c r="O42" s="64">
        <v>1.8</v>
      </c>
      <c r="P42" s="64">
        <v>0.28000000000000003</v>
      </c>
      <c r="Q42" s="64">
        <v>9.15</v>
      </c>
      <c r="R42" s="198"/>
      <c r="S42" s="198"/>
      <c r="T42" s="198"/>
      <c r="U42" s="198"/>
    </row>
    <row r="43" spans="1:21" s="12" customFormat="1" x14ac:dyDescent="0.25">
      <c r="A43" s="248" t="s">
        <v>471</v>
      </c>
      <c r="B43" s="64">
        <v>8.43</v>
      </c>
      <c r="C43" s="64">
        <v>4.1100000000000003</v>
      </c>
      <c r="D43" s="64">
        <v>12.68</v>
      </c>
      <c r="E43" s="64">
        <v>4.5</v>
      </c>
      <c r="F43" s="64">
        <v>10.53</v>
      </c>
      <c r="G43" s="64">
        <v>8.67</v>
      </c>
      <c r="H43" s="64">
        <v>3.46</v>
      </c>
      <c r="I43" s="64">
        <v>0.98</v>
      </c>
      <c r="J43" s="64">
        <v>0.34</v>
      </c>
      <c r="K43" s="64">
        <v>5.14</v>
      </c>
      <c r="L43" s="64">
        <v>23.53</v>
      </c>
      <c r="M43" s="64">
        <v>100.93</v>
      </c>
      <c r="N43" s="64">
        <v>88.2</v>
      </c>
      <c r="O43" s="64">
        <v>2.2000000000000002</v>
      </c>
      <c r="P43" s="64">
        <v>0.28999999999999998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48" t="s">
        <v>472</v>
      </c>
      <c r="B44" s="64">
        <v>8.06</v>
      </c>
      <c r="C44" s="64">
        <v>3.29</v>
      </c>
      <c r="D44" s="64">
        <v>11.96</v>
      </c>
      <c r="E44" s="64">
        <v>4</v>
      </c>
      <c r="F44" s="64">
        <v>4.66</v>
      </c>
      <c r="G44" s="64">
        <v>10.63</v>
      </c>
      <c r="H44" s="64">
        <v>3.12</v>
      </c>
      <c r="I44" s="64">
        <v>0.97</v>
      </c>
      <c r="J44" s="64">
        <v>0.38</v>
      </c>
      <c r="K44" s="64">
        <v>5.75</v>
      </c>
      <c r="L44" s="64">
        <v>23.63</v>
      </c>
      <c r="M44" s="64">
        <v>100.94</v>
      </c>
      <c r="N44" s="64">
        <v>126.9</v>
      </c>
      <c r="O44" s="64">
        <v>0.8</v>
      </c>
      <c r="P44" s="64">
        <v>0.28000000000000003</v>
      </c>
      <c r="Q44" s="64">
        <v>9.16</v>
      </c>
      <c r="R44" s="198"/>
      <c r="S44" s="198"/>
      <c r="T44" s="198"/>
      <c r="U44" s="198"/>
    </row>
    <row r="45" spans="1:21" s="12" customFormat="1" x14ac:dyDescent="0.25">
      <c r="A45" s="248" t="s">
        <v>473</v>
      </c>
      <c r="B45" s="64">
        <v>7.96</v>
      </c>
      <c r="C45" s="64">
        <v>3.05</v>
      </c>
      <c r="D45" s="64">
        <v>11.75</v>
      </c>
      <c r="E45" s="64">
        <v>4.04</v>
      </c>
      <c r="F45" s="64">
        <v>6.63</v>
      </c>
      <c r="G45" s="64">
        <v>10.63</v>
      </c>
      <c r="H45" s="64">
        <v>3.12</v>
      </c>
      <c r="I45" s="64">
        <v>1</v>
      </c>
      <c r="J45" s="64">
        <v>0.32</v>
      </c>
      <c r="K45" s="64">
        <v>2.68</v>
      </c>
      <c r="L45" s="64">
        <v>23.67</v>
      </c>
      <c r="M45" s="64">
        <v>100.96</v>
      </c>
      <c r="N45" s="64">
        <v>137.6</v>
      </c>
      <c r="O45" s="64">
        <v>0.4</v>
      </c>
      <c r="P45" s="64">
        <v>0.28999999999999998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48" t="s">
        <v>474</v>
      </c>
      <c r="B46" s="64">
        <v>8.09</v>
      </c>
      <c r="C46" s="64">
        <v>3.24</v>
      </c>
      <c r="D46" s="64">
        <v>11.96</v>
      </c>
      <c r="E46" s="64">
        <v>4.13</v>
      </c>
      <c r="F46" s="64">
        <v>4.7300000000000004</v>
      </c>
      <c r="G46" s="64">
        <v>10.63</v>
      </c>
      <c r="H46" s="64">
        <v>3.12</v>
      </c>
      <c r="I46" s="64">
        <v>0.93</v>
      </c>
      <c r="J46" s="64">
        <v>0.31</v>
      </c>
      <c r="K46" s="64">
        <v>5.29</v>
      </c>
      <c r="L46" s="64">
        <v>23.8</v>
      </c>
      <c r="M46" s="64">
        <v>100.98</v>
      </c>
      <c r="N46" s="64">
        <v>169.4</v>
      </c>
      <c r="O46" s="64">
        <v>0</v>
      </c>
      <c r="P46" s="64">
        <v>0.28999999999999998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48" t="s">
        <v>475</v>
      </c>
      <c r="B47" s="64">
        <v>8.14</v>
      </c>
      <c r="C47" s="64">
        <v>3.46</v>
      </c>
      <c r="D47" s="64">
        <v>12.11</v>
      </c>
      <c r="E47" s="64">
        <v>4.13</v>
      </c>
      <c r="F47" s="64">
        <v>3.33</v>
      </c>
      <c r="G47" s="64">
        <v>9.6199999999999992</v>
      </c>
      <c r="H47" s="64">
        <v>3.08</v>
      </c>
      <c r="I47" s="64">
        <v>0.98</v>
      </c>
      <c r="J47" s="64">
        <v>0.4</v>
      </c>
      <c r="K47" s="64">
        <v>357</v>
      </c>
      <c r="L47" s="64">
        <v>23.84</v>
      </c>
      <c r="M47" s="64">
        <v>101</v>
      </c>
      <c r="N47" s="64">
        <v>177.1</v>
      </c>
      <c r="O47" s="64">
        <v>0.4</v>
      </c>
      <c r="P47" s="64">
        <v>0.28000000000000003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48" t="s">
        <v>476</v>
      </c>
      <c r="B48" s="64">
        <v>7.99</v>
      </c>
      <c r="C48" s="64">
        <v>3.11</v>
      </c>
      <c r="D48" s="64">
        <v>11.81</v>
      </c>
      <c r="E48" s="64">
        <v>4.21</v>
      </c>
      <c r="F48" s="64">
        <v>4.87</v>
      </c>
      <c r="G48" s="64">
        <v>8.1</v>
      </c>
      <c r="H48" s="64">
        <v>3.01</v>
      </c>
      <c r="I48" s="64">
        <v>0.99</v>
      </c>
      <c r="J48" s="64">
        <v>0.46</v>
      </c>
      <c r="K48" s="64">
        <v>13.51</v>
      </c>
      <c r="L48" s="64">
        <v>23.82</v>
      </c>
      <c r="M48" s="64">
        <v>101</v>
      </c>
      <c r="N48" s="64">
        <v>150.80000000000001</v>
      </c>
      <c r="O48" s="64">
        <v>0.6</v>
      </c>
      <c r="P48" s="64">
        <v>0.28999999999999998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48" t="s">
        <v>477</v>
      </c>
      <c r="B49" s="64">
        <v>7.96</v>
      </c>
      <c r="C49" s="64">
        <v>3.07</v>
      </c>
      <c r="D49" s="64">
        <v>11.76</v>
      </c>
      <c r="E49" s="64">
        <v>4.28</v>
      </c>
      <c r="F49" s="64">
        <v>4.91</v>
      </c>
      <c r="G49" s="64">
        <v>8.1</v>
      </c>
      <c r="H49" s="64">
        <v>3.01</v>
      </c>
      <c r="I49" s="64">
        <v>0.92</v>
      </c>
      <c r="J49" s="64">
        <v>0.28999999999999998</v>
      </c>
      <c r="K49" s="64">
        <v>8.3000000000000007</v>
      </c>
      <c r="L49" s="64">
        <v>23.74</v>
      </c>
      <c r="M49" s="64">
        <v>100.98</v>
      </c>
      <c r="N49" s="64">
        <v>110.7</v>
      </c>
      <c r="O49" s="64">
        <v>0.6</v>
      </c>
      <c r="P49" s="64">
        <v>0.3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48" t="s">
        <v>478</v>
      </c>
      <c r="B50" s="64">
        <v>7.94</v>
      </c>
      <c r="C50" s="64">
        <v>3.04</v>
      </c>
      <c r="D50" s="64">
        <v>11.72</v>
      </c>
      <c r="E50" s="64">
        <v>3.89</v>
      </c>
      <c r="F50" s="64">
        <v>334.02</v>
      </c>
      <c r="G50" s="64">
        <v>8.1</v>
      </c>
      <c r="H50" s="64">
        <v>3.01</v>
      </c>
      <c r="I50" s="64">
        <v>0.96</v>
      </c>
      <c r="J50" s="64">
        <v>0.35</v>
      </c>
      <c r="K50" s="64">
        <v>3.77</v>
      </c>
      <c r="L50" s="64">
        <v>23.75</v>
      </c>
      <c r="M50" s="64">
        <v>101</v>
      </c>
      <c r="N50" s="64">
        <v>120.1</v>
      </c>
      <c r="O50" s="64">
        <v>0.2</v>
      </c>
      <c r="P50" s="64">
        <v>0.3</v>
      </c>
      <c r="Q50" s="64">
        <v>9.06</v>
      </c>
      <c r="R50" s="198"/>
      <c r="S50" s="198"/>
      <c r="T50" s="198"/>
      <c r="U50" s="198"/>
    </row>
    <row r="51" spans="1:21" s="12" customFormat="1" x14ac:dyDescent="0.25">
      <c r="A51" s="248" t="s">
        <v>479</v>
      </c>
      <c r="B51" s="64">
        <v>7.93</v>
      </c>
      <c r="C51" s="64">
        <v>2.98</v>
      </c>
      <c r="D51" s="64">
        <v>11.69</v>
      </c>
      <c r="E51" s="64">
        <v>4.17</v>
      </c>
      <c r="F51" s="64">
        <v>20.350000000000001</v>
      </c>
      <c r="G51" s="64">
        <v>8.1</v>
      </c>
      <c r="H51" s="64">
        <v>3.01</v>
      </c>
      <c r="I51" s="64">
        <v>0.75</v>
      </c>
      <c r="J51" s="64">
        <v>0.33</v>
      </c>
      <c r="K51" s="64">
        <v>4.33</v>
      </c>
      <c r="L51" s="64">
        <v>23.81</v>
      </c>
      <c r="M51" s="64">
        <v>101</v>
      </c>
      <c r="N51" s="64">
        <v>128.80000000000001</v>
      </c>
      <c r="O51" s="64">
        <v>0.6</v>
      </c>
      <c r="P51" s="64">
        <v>0.28999999999999998</v>
      </c>
      <c r="Q51" s="64">
        <v>9.0399999999999991</v>
      </c>
      <c r="R51" s="198"/>
      <c r="S51" s="198"/>
      <c r="T51" s="198"/>
      <c r="U51" s="198"/>
    </row>
    <row r="52" spans="1:21" s="12" customFormat="1" x14ac:dyDescent="0.25">
      <c r="A52" s="248" t="s">
        <v>480</v>
      </c>
      <c r="B52" s="64">
        <v>7.92</v>
      </c>
      <c r="C52" s="64">
        <v>2.96</v>
      </c>
      <c r="D52" s="64">
        <v>11.68</v>
      </c>
      <c r="E52" s="64">
        <v>3.76</v>
      </c>
      <c r="F52" s="64">
        <v>9.7799999999999994</v>
      </c>
      <c r="G52" s="64">
        <v>8.1</v>
      </c>
      <c r="H52" s="64">
        <v>3.01</v>
      </c>
      <c r="I52" s="64">
        <v>0.75</v>
      </c>
      <c r="J52" s="64">
        <v>0.39</v>
      </c>
      <c r="K52" s="64">
        <v>5.26</v>
      </c>
      <c r="L52" s="64">
        <v>23.92</v>
      </c>
      <c r="M52" s="64">
        <v>101.02</v>
      </c>
      <c r="N52" s="64">
        <v>148.80000000000001</v>
      </c>
      <c r="O52" s="64">
        <v>0.4</v>
      </c>
      <c r="P52" s="64">
        <v>0.25</v>
      </c>
      <c r="Q52" s="64">
        <v>9.0500000000000007</v>
      </c>
      <c r="R52" s="198"/>
      <c r="S52" s="198"/>
      <c r="T52" s="198"/>
      <c r="U52" s="198"/>
    </row>
    <row r="53" spans="1:21" s="12" customFormat="1" x14ac:dyDescent="0.25">
      <c r="A53" s="248" t="s">
        <v>481</v>
      </c>
      <c r="B53" s="64">
        <v>7.92</v>
      </c>
      <c r="C53" s="64">
        <v>2.96</v>
      </c>
      <c r="D53" s="64">
        <v>11.67</v>
      </c>
      <c r="E53" s="64">
        <v>3.23</v>
      </c>
      <c r="F53" s="64">
        <v>5.61</v>
      </c>
      <c r="G53" s="6" t="s">
        <v>42</v>
      </c>
      <c r="H53" s="6" t="s">
        <v>42</v>
      </c>
      <c r="I53" s="64">
        <v>0.56000000000000005</v>
      </c>
      <c r="J53" s="64">
        <v>0.46</v>
      </c>
      <c r="K53" s="64">
        <v>3.88</v>
      </c>
      <c r="L53" s="64">
        <v>24</v>
      </c>
      <c r="M53" s="64">
        <v>101.03</v>
      </c>
      <c r="N53" s="64">
        <v>142.69999999999999</v>
      </c>
      <c r="O53" s="64">
        <v>0</v>
      </c>
      <c r="P53" s="64">
        <v>0.26</v>
      </c>
      <c r="Q53" s="64">
        <v>9.01</v>
      </c>
      <c r="R53" s="198"/>
      <c r="S53" s="198"/>
      <c r="T53" s="198"/>
      <c r="U53" s="198"/>
    </row>
    <row r="54" spans="1:21" s="12" customFormat="1" x14ac:dyDescent="0.25">
      <c r="A54" s="248" t="s">
        <v>482</v>
      </c>
      <c r="B54" s="64">
        <v>7.93</v>
      </c>
      <c r="C54" s="64">
        <v>2.96</v>
      </c>
      <c r="D54" s="64">
        <v>11.68</v>
      </c>
      <c r="E54" s="64">
        <v>2.91</v>
      </c>
      <c r="F54" s="64">
        <v>3.89</v>
      </c>
      <c r="G54" s="6" t="s">
        <v>42</v>
      </c>
      <c r="H54" s="6" t="s">
        <v>42</v>
      </c>
      <c r="I54" s="64">
        <v>0.48</v>
      </c>
      <c r="J54" s="64">
        <v>0.46</v>
      </c>
      <c r="K54" s="64">
        <v>4.5199999999999996</v>
      </c>
      <c r="L54" s="64">
        <v>24.17</v>
      </c>
      <c r="M54" s="64">
        <v>101.04</v>
      </c>
      <c r="N54" s="64">
        <v>154.69999999999999</v>
      </c>
      <c r="O54" s="64">
        <v>0</v>
      </c>
      <c r="P54" s="64">
        <v>0.26</v>
      </c>
      <c r="Q54" s="64">
        <v>9.0399999999999991</v>
      </c>
      <c r="R54" s="198"/>
      <c r="S54" s="198"/>
      <c r="T54" s="198"/>
      <c r="U54" s="198"/>
    </row>
    <row r="55" spans="1:21" s="12" customFormat="1" x14ac:dyDescent="0.25">
      <c r="A55" s="248" t="s">
        <v>483</v>
      </c>
      <c r="B55" s="64">
        <v>7.94</v>
      </c>
      <c r="C55" s="64">
        <v>2.99</v>
      </c>
      <c r="D55" s="64">
        <v>11.7</v>
      </c>
      <c r="E55" s="64">
        <v>3.05</v>
      </c>
      <c r="F55" s="64">
        <v>4.45</v>
      </c>
      <c r="G55" s="6" t="s">
        <v>42</v>
      </c>
      <c r="H55" s="6" t="s">
        <v>42</v>
      </c>
      <c r="I55" s="64">
        <v>0.51</v>
      </c>
      <c r="J55" s="64">
        <v>0.44</v>
      </c>
      <c r="K55" s="64">
        <v>9.73</v>
      </c>
      <c r="L55" s="64">
        <v>24.26</v>
      </c>
      <c r="M55" s="64">
        <v>101.03</v>
      </c>
      <c r="N55" s="64">
        <v>135.4</v>
      </c>
      <c r="O55" s="64">
        <v>0.2</v>
      </c>
      <c r="P55" s="64">
        <v>0.27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48" t="s">
        <v>484</v>
      </c>
      <c r="B56" s="64">
        <v>7.95</v>
      </c>
      <c r="C56" s="64">
        <v>2.95</v>
      </c>
      <c r="D56" s="64">
        <v>11.69</v>
      </c>
      <c r="E56" s="64">
        <v>3.16</v>
      </c>
      <c r="F56" s="64">
        <v>6.46</v>
      </c>
      <c r="G56" s="6" t="s">
        <v>42</v>
      </c>
      <c r="H56" s="6" t="s">
        <v>42</v>
      </c>
      <c r="I56" s="64">
        <v>0.56000000000000005</v>
      </c>
      <c r="J56" s="64">
        <v>0.37</v>
      </c>
      <c r="K56" s="64">
        <v>0.73</v>
      </c>
      <c r="L56" s="64">
        <v>24.26</v>
      </c>
      <c r="M56" s="64">
        <v>101.05</v>
      </c>
      <c r="N56" s="64">
        <v>123.2</v>
      </c>
      <c r="O56" s="64">
        <v>0.6</v>
      </c>
      <c r="P56" s="64">
        <v>0.26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48" t="s">
        <v>485</v>
      </c>
      <c r="B57" s="64">
        <v>7.96</v>
      </c>
      <c r="C57" s="64">
        <v>2.95</v>
      </c>
      <c r="D57" s="64">
        <v>11.69</v>
      </c>
      <c r="E57" s="64">
        <v>3.17</v>
      </c>
      <c r="F57" s="64">
        <v>6.41</v>
      </c>
      <c r="G57" s="64">
        <v>3.39</v>
      </c>
      <c r="H57" s="212" t="s">
        <v>42</v>
      </c>
      <c r="I57" s="64">
        <v>0.57999999999999996</v>
      </c>
      <c r="J57" s="64">
        <v>0.4</v>
      </c>
      <c r="K57" s="64">
        <v>7.14</v>
      </c>
      <c r="L57" s="64">
        <v>24.2</v>
      </c>
      <c r="M57" s="64">
        <v>101.07</v>
      </c>
      <c r="N57" s="64">
        <v>132.69999999999999</v>
      </c>
      <c r="O57" s="64">
        <v>0.4</v>
      </c>
      <c r="P57" s="64">
        <v>0.25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48" t="s">
        <v>486</v>
      </c>
      <c r="B58" s="64">
        <v>7.94</v>
      </c>
      <c r="C58" s="64">
        <v>2.94</v>
      </c>
      <c r="D58" s="64">
        <v>11.68</v>
      </c>
      <c r="E58" s="64">
        <v>3.31</v>
      </c>
      <c r="F58" s="64">
        <v>5.15</v>
      </c>
      <c r="G58" s="64">
        <v>11.3</v>
      </c>
      <c r="H58" s="212" t="s">
        <v>42</v>
      </c>
      <c r="I58" s="64">
        <v>0.57999999999999996</v>
      </c>
      <c r="J58" s="64">
        <v>0.48</v>
      </c>
      <c r="K58" s="64">
        <v>13.61</v>
      </c>
      <c r="L58" s="64">
        <v>24.29</v>
      </c>
      <c r="M58" s="64">
        <v>101.08</v>
      </c>
      <c r="N58" s="64">
        <v>153.9</v>
      </c>
      <c r="O58" s="64">
        <v>0.4</v>
      </c>
      <c r="P58" s="64">
        <v>0.28000000000000003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48" t="s">
        <v>487</v>
      </c>
      <c r="B59" s="64">
        <v>7.95</v>
      </c>
      <c r="C59" s="64">
        <v>2.95</v>
      </c>
      <c r="D59" s="64">
        <v>11.69</v>
      </c>
      <c r="E59" s="64">
        <v>3.41</v>
      </c>
      <c r="F59" s="64">
        <v>4.26</v>
      </c>
      <c r="G59" s="64">
        <v>11.3</v>
      </c>
      <c r="H59" s="212" t="s">
        <v>42</v>
      </c>
      <c r="I59" s="64">
        <v>0.62</v>
      </c>
      <c r="J59" s="64">
        <v>0.33</v>
      </c>
      <c r="K59" s="64">
        <v>16.48</v>
      </c>
      <c r="L59" s="64">
        <v>24.45</v>
      </c>
      <c r="M59" s="64">
        <v>101.04</v>
      </c>
      <c r="N59" s="64">
        <v>159.69999999999999</v>
      </c>
      <c r="O59" s="64">
        <v>0.2</v>
      </c>
      <c r="P59" s="64">
        <v>0.27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48" t="s">
        <v>488</v>
      </c>
      <c r="B60" s="64">
        <v>7.93</v>
      </c>
      <c r="C60" s="64">
        <v>2.97</v>
      </c>
      <c r="D60" s="64">
        <v>11.69</v>
      </c>
      <c r="E60" s="64">
        <v>3.58</v>
      </c>
      <c r="F60" s="64">
        <v>6.19</v>
      </c>
      <c r="G60" s="64">
        <v>11.3</v>
      </c>
      <c r="H60" s="212" t="s">
        <v>42</v>
      </c>
      <c r="I60" s="64">
        <v>0.66</v>
      </c>
      <c r="J60" s="64">
        <v>0.32</v>
      </c>
      <c r="K60" s="64">
        <v>6.65</v>
      </c>
      <c r="L60" s="64">
        <v>24.53</v>
      </c>
      <c r="M60" s="64">
        <v>101.06</v>
      </c>
      <c r="N60" s="64">
        <v>151</v>
      </c>
      <c r="O60" s="64">
        <v>0</v>
      </c>
      <c r="P60" s="64">
        <v>0.28000000000000003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48" t="s">
        <v>489</v>
      </c>
      <c r="B61" s="64">
        <v>7.92</v>
      </c>
      <c r="C61" s="64">
        <v>2.94</v>
      </c>
      <c r="D61" s="64">
        <v>11.66</v>
      </c>
      <c r="E61" s="64">
        <v>3.47</v>
      </c>
      <c r="F61" s="64">
        <v>2.5499999999999998</v>
      </c>
      <c r="G61" s="64">
        <v>17</v>
      </c>
      <c r="H61" s="212" t="s">
        <v>42</v>
      </c>
      <c r="I61" s="64">
        <v>0.66</v>
      </c>
      <c r="J61" s="64">
        <v>0.36</v>
      </c>
      <c r="K61" s="64">
        <v>10.65</v>
      </c>
      <c r="L61" s="64">
        <v>24.62</v>
      </c>
      <c r="M61" s="64">
        <v>101.05</v>
      </c>
      <c r="N61" s="64">
        <v>139.19999999999999</v>
      </c>
      <c r="O61" s="64">
        <v>0</v>
      </c>
      <c r="P61" s="64">
        <v>0.27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48" t="s">
        <v>490</v>
      </c>
      <c r="B62" s="64">
        <v>7.94</v>
      </c>
      <c r="C62" s="64">
        <v>2.95</v>
      </c>
      <c r="D62" s="64">
        <v>11.68</v>
      </c>
      <c r="E62" s="64">
        <v>3.03</v>
      </c>
      <c r="F62" s="64">
        <v>4.91</v>
      </c>
      <c r="G62" s="64">
        <v>30.31</v>
      </c>
      <c r="H62" s="212" t="s">
        <v>42</v>
      </c>
      <c r="I62" s="64">
        <v>0.69</v>
      </c>
      <c r="J62" s="64">
        <v>0.36</v>
      </c>
      <c r="K62" s="64">
        <v>10.199999999999999</v>
      </c>
      <c r="L62" s="64">
        <v>24.76</v>
      </c>
      <c r="M62" s="64">
        <v>101.07</v>
      </c>
      <c r="N62" s="64">
        <v>157.1</v>
      </c>
      <c r="O62" s="64">
        <v>0</v>
      </c>
      <c r="P62" s="64">
        <v>0.28000000000000003</v>
      </c>
      <c r="Q62" s="64">
        <v>9.09</v>
      </c>
      <c r="R62" s="198"/>
      <c r="S62" s="198"/>
      <c r="T62" s="198"/>
      <c r="U62" s="198"/>
    </row>
    <row r="63" spans="1:21" s="12" customFormat="1" x14ac:dyDescent="0.25">
      <c r="A63" s="248" t="s">
        <v>491</v>
      </c>
      <c r="B63" s="64">
        <v>7.96</v>
      </c>
      <c r="C63" s="64">
        <v>3.04</v>
      </c>
      <c r="D63" s="64">
        <v>11.74</v>
      </c>
      <c r="E63" s="64">
        <v>3.65</v>
      </c>
      <c r="F63" s="64">
        <v>3.53</v>
      </c>
      <c r="G63" s="64">
        <v>30.31</v>
      </c>
      <c r="H63" s="212" t="s">
        <v>42</v>
      </c>
      <c r="I63" s="64">
        <v>0.71</v>
      </c>
      <c r="J63" s="64">
        <v>0.4</v>
      </c>
      <c r="K63" s="64">
        <v>0.74</v>
      </c>
      <c r="L63" s="64">
        <v>24.87</v>
      </c>
      <c r="M63" s="64">
        <v>101.07</v>
      </c>
      <c r="N63" s="64">
        <v>158.69999999999999</v>
      </c>
      <c r="O63" s="64">
        <v>0</v>
      </c>
      <c r="P63" s="64">
        <v>0.28000000000000003</v>
      </c>
      <c r="Q63" s="64">
        <v>9.1</v>
      </c>
      <c r="R63" s="198"/>
      <c r="S63" s="198"/>
      <c r="T63" s="198"/>
      <c r="U63" s="198"/>
    </row>
    <row r="64" spans="1:21" s="12" customFormat="1" x14ac:dyDescent="0.25">
      <c r="A64" s="248" t="s">
        <v>492</v>
      </c>
      <c r="B64" s="64">
        <v>8.0299999999999994</v>
      </c>
      <c r="C64" s="64">
        <v>3.25</v>
      </c>
      <c r="D64" s="64">
        <v>11.91</v>
      </c>
      <c r="E64" s="64">
        <v>3.43</v>
      </c>
      <c r="F64" s="64">
        <v>5.91</v>
      </c>
      <c r="G64" s="6" t="s">
        <v>42</v>
      </c>
      <c r="H64" s="212" t="s">
        <v>42</v>
      </c>
      <c r="I64" s="64">
        <v>0.87</v>
      </c>
      <c r="J64" s="64">
        <v>0.39</v>
      </c>
      <c r="K64" s="64">
        <v>7.44</v>
      </c>
      <c r="L64" s="64">
        <v>25.02</v>
      </c>
      <c r="M64" s="64">
        <v>101.06</v>
      </c>
      <c r="N64" s="64">
        <v>149.5</v>
      </c>
      <c r="O64" s="64">
        <v>0</v>
      </c>
      <c r="P64" s="64">
        <v>0.28999999999999998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48" t="s">
        <v>493</v>
      </c>
      <c r="B65" s="64">
        <v>8.34</v>
      </c>
      <c r="C65" s="64">
        <v>3.96</v>
      </c>
      <c r="D65" s="64">
        <v>12.53</v>
      </c>
      <c r="E65" s="64">
        <v>3.61</v>
      </c>
      <c r="F65" s="64">
        <v>2.75</v>
      </c>
      <c r="G65" s="6" t="s">
        <v>42</v>
      </c>
      <c r="H65" s="212" t="s">
        <v>42</v>
      </c>
      <c r="I65" s="64">
        <v>0.9</v>
      </c>
      <c r="J65" s="64">
        <v>0.28999999999999998</v>
      </c>
      <c r="K65" s="64">
        <v>6.37</v>
      </c>
      <c r="L65" s="64">
        <v>25.12</v>
      </c>
      <c r="M65" s="64">
        <v>101.08</v>
      </c>
      <c r="N65" s="64">
        <v>165.6</v>
      </c>
      <c r="O65" s="64">
        <v>0</v>
      </c>
      <c r="P65" s="64">
        <v>0.3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48" t="s">
        <v>494</v>
      </c>
      <c r="B66" s="64">
        <v>8.02</v>
      </c>
      <c r="C66" s="64">
        <v>3.14</v>
      </c>
      <c r="D66" s="64">
        <v>11.85</v>
      </c>
      <c r="E66" s="64">
        <v>3.09</v>
      </c>
      <c r="F66" s="64">
        <v>4.16</v>
      </c>
      <c r="G66" s="6" t="s">
        <v>42</v>
      </c>
      <c r="H66" s="212" t="s">
        <v>42</v>
      </c>
      <c r="I66" s="64">
        <v>0.81</v>
      </c>
      <c r="J66" s="64">
        <v>0.39</v>
      </c>
      <c r="K66" s="64">
        <v>359.99</v>
      </c>
      <c r="L66" s="64">
        <v>25.18</v>
      </c>
      <c r="M66" s="64">
        <v>101.06</v>
      </c>
      <c r="N66" s="64">
        <v>146.9</v>
      </c>
      <c r="O66" s="64">
        <v>0</v>
      </c>
      <c r="P66" s="64">
        <v>0.28999999999999998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48" t="s">
        <v>495</v>
      </c>
      <c r="B67" s="64">
        <v>7.94</v>
      </c>
      <c r="C67" s="64">
        <v>2.97</v>
      </c>
      <c r="D67" s="64">
        <v>11.69</v>
      </c>
      <c r="E67" s="64">
        <v>2.97</v>
      </c>
      <c r="F67" s="64">
        <v>5.07</v>
      </c>
      <c r="G67" s="64">
        <v>55.58</v>
      </c>
      <c r="H67" s="64">
        <v>20.100000000000001</v>
      </c>
      <c r="I67" s="64">
        <v>0.92</v>
      </c>
      <c r="J67" s="64">
        <v>0.34</v>
      </c>
      <c r="K67" s="64">
        <v>5.47</v>
      </c>
      <c r="L67" s="64">
        <v>25.2</v>
      </c>
      <c r="M67" s="64">
        <v>101.07</v>
      </c>
      <c r="N67" s="64">
        <v>121.9</v>
      </c>
      <c r="O67" s="64">
        <v>0</v>
      </c>
      <c r="P67" s="64">
        <v>0.28999999999999998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48" t="s">
        <v>496</v>
      </c>
      <c r="B68" s="64">
        <v>7.93</v>
      </c>
      <c r="C68" s="64">
        <v>2.97</v>
      </c>
      <c r="D68" s="64">
        <v>11.69</v>
      </c>
      <c r="E68" s="64">
        <v>4.0599999999999996</v>
      </c>
      <c r="F68" s="64">
        <v>2.5299999999999998</v>
      </c>
      <c r="G68" s="64">
        <v>69.47</v>
      </c>
      <c r="H68" s="64">
        <v>25.12</v>
      </c>
      <c r="I68" s="64">
        <v>0.82</v>
      </c>
      <c r="J68" s="64">
        <v>0.26</v>
      </c>
      <c r="K68" s="64">
        <v>356.87</v>
      </c>
      <c r="L68" s="64">
        <v>25.27</v>
      </c>
      <c r="M68" s="64">
        <v>101.07</v>
      </c>
      <c r="N68" s="64">
        <v>121.6</v>
      </c>
      <c r="O68" s="64">
        <v>0</v>
      </c>
      <c r="P68" s="64">
        <v>0.28000000000000003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48" t="s">
        <v>497</v>
      </c>
      <c r="B69" s="64">
        <v>7.94</v>
      </c>
      <c r="C69" s="64">
        <v>2.97</v>
      </c>
      <c r="D69" s="64">
        <v>11.69</v>
      </c>
      <c r="E69" s="64">
        <v>4.68</v>
      </c>
      <c r="F69" s="64">
        <v>3.76</v>
      </c>
      <c r="G69" s="64">
        <v>69.47</v>
      </c>
      <c r="H69" s="64">
        <v>25.12</v>
      </c>
      <c r="I69" s="64">
        <v>0.93</v>
      </c>
      <c r="J69" s="64">
        <v>0.34</v>
      </c>
      <c r="K69" s="64">
        <v>5.21</v>
      </c>
      <c r="L69" s="64">
        <v>25.41</v>
      </c>
      <c r="M69" s="64">
        <v>101.06</v>
      </c>
      <c r="N69" s="64">
        <v>122.5</v>
      </c>
      <c r="O69" s="64">
        <v>0</v>
      </c>
      <c r="P69" s="64">
        <v>0.26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48" t="s">
        <v>498</v>
      </c>
      <c r="B70" s="64">
        <v>7.96</v>
      </c>
      <c r="C70" s="64">
        <v>2.96</v>
      </c>
      <c r="D70" s="64">
        <v>11.7</v>
      </c>
      <c r="E70" s="64">
        <v>4.49</v>
      </c>
      <c r="F70" s="64">
        <v>3.69</v>
      </c>
      <c r="G70" s="64">
        <v>69.47</v>
      </c>
      <c r="H70" s="64">
        <v>25.12</v>
      </c>
      <c r="I70" s="64">
        <v>0.93</v>
      </c>
      <c r="J70" s="64">
        <v>0.26</v>
      </c>
      <c r="K70" s="64">
        <v>349.54</v>
      </c>
      <c r="L70" s="64">
        <v>25.44</v>
      </c>
      <c r="M70" s="64">
        <v>100.97</v>
      </c>
      <c r="N70" s="64">
        <v>103</v>
      </c>
      <c r="O70" s="64">
        <v>0</v>
      </c>
      <c r="P70" s="64">
        <v>0.27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48" t="s">
        <v>499</v>
      </c>
      <c r="B71" s="64">
        <v>8.01</v>
      </c>
      <c r="C71" s="64">
        <v>3</v>
      </c>
      <c r="D71" s="64">
        <v>11.77</v>
      </c>
      <c r="E71" s="64">
        <v>4.3899999999999997</v>
      </c>
      <c r="F71" s="64">
        <v>3.95</v>
      </c>
      <c r="G71" s="64">
        <v>49.52</v>
      </c>
      <c r="H71" s="64">
        <v>18.64</v>
      </c>
      <c r="I71" s="64">
        <v>0.9</v>
      </c>
      <c r="J71" s="64">
        <v>0.34</v>
      </c>
      <c r="K71" s="64">
        <v>356.27</v>
      </c>
      <c r="L71" s="64">
        <v>25.45</v>
      </c>
      <c r="M71" s="64">
        <v>101.02</v>
      </c>
      <c r="N71" s="64">
        <v>96.1</v>
      </c>
      <c r="O71" s="64">
        <v>0.2</v>
      </c>
      <c r="P71" s="64">
        <v>0.27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48" t="s">
        <v>500</v>
      </c>
      <c r="B72" s="64">
        <v>8.02</v>
      </c>
      <c r="C72" s="64">
        <v>3.04</v>
      </c>
      <c r="D72" s="64">
        <v>11.79</v>
      </c>
      <c r="E72" s="64">
        <v>4.29</v>
      </c>
      <c r="F72" s="64">
        <v>4.1500000000000004</v>
      </c>
      <c r="G72" s="64">
        <v>48.96</v>
      </c>
      <c r="H72" s="64">
        <v>18.46</v>
      </c>
      <c r="I72" s="64">
        <v>0.87</v>
      </c>
      <c r="J72" s="64">
        <v>0.28000000000000003</v>
      </c>
      <c r="K72" s="64">
        <v>341.84</v>
      </c>
      <c r="L72" s="64">
        <v>25.59</v>
      </c>
      <c r="M72" s="64">
        <v>101.02</v>
      </c>
      <c r="N72" s="64">
        <v>107</v>
      </c>
      <c r="O72" s="64">
        <v>0</v>
      </c>
      <c r="P72" s="64">
        <v>0.27</v>
      </c>
      <c r="Q72" s="64">
        <v>9.2899999999999991</v>
      </c>
      <c r="R72" s="198"/>
      <c r="S72" s="198"/>
      <c r="T72" s="198"/>
      <c r="U72" s="198"/>
    </row>
    <row r="73" spans="1:21" s="12" customFormat="1" x14ac:dyDescent="0.25">
      <c r="A73" s="248" t="s">
        <v>501</v>
      </c>
      <c r="B73" s="64">
        <v>8.01</v>
      </c>
      <c r="C73" s="64">
        <v>3.01</v>
      </c>
      <c r="D73" s="64">
        <v>11.77</v>
      </c>
      <c r="E73" s="64">
        <v>4.53</v>
      </c>
      <c r="F73" s="64">
        <v>4.22</v>
      </c>
      <c r="G73" s="64">
        <v>48.96</v>
      </c>
      <c r="H73" s="64">
        <v>18.46</v>
      </c>
      <c r="I73" s="64">
        <v>0.86</v>
      </c>
      <c r="J73" s="64">
        <v>0.37</v>
      </c>
      <c r="K73" s="64">
        <v>359.84</v>
      </c>
      <c r="L73" s="64">
        <v>25.66</v>
      </c>
      <c r="M73" s="64">
        <v>101.01</v>
      </c>
      <c r="N73" s="64">
        <v>100.5</v>
      </c>
      <c r="O73" s="64">
        <v>0</v>
      </c>
      <c r="P73" s="64">
        <v>0.26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48" t="s">
        <v>502</v>
      </c>
      <c r="B74" s="64">
        <v>8</v>
      </c>
      <c r="C74" s="64">
        <v>3.02</v>
      </c>
      <c r="D74" s="64">
        <v>11.77</v>
      </c>
      <c r="E74" s="64">
        <v>4.37</v>
      </c>
      <c r="F74" s="64">
        <v>4.03</v>
      </c>
      <c r="G74" s="64">
        <v>48.96</v>
      </c>
      <c r="H74" s="64">
        <v>18.46</v>
      </c>
      <c r="I74" s="64">
        <v>0.76</v>
      </c>
      <c r="J74" s="64">
        <v>0.28999999999999998</v>
      </c>
      <c r="K74" s="64">
        <v>1.04</v>
      </c>
      <c r="L74" s="64">
        <v>25.77</v>
      </c>
      <c r="M74" s="64">
        <v>100.47</v>
      </c>
      <c r="N74" s="64">
        <v>81.8</v>
      </c>
      <c r="O74" s="64">
        <v>0</v>
      </c>
      <c r="P74" s="64">
        <v>0.27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48" t="s">
        <v>503</v>
      </c>
      <c r="B75" s="64">
        <v>7.98</v>
      </c>
      <c r="C75" s="64">
        <v>2.95</v>
      </c>
      <c r="D75" s="64">
        <v>11.72</v>
      </c>
      <c r="E75" s="64">
        <v>4.74</v>
      </c>
      <c r="F75" s="64">
        <v>3.67</v>
      </c>
      <c r="G75" s="64">
        <v>36.04</v>
      </c>
      <c r="H75" s="64">
        <v>14.71</v>
      </c>
      <c r="I75" s="64">
        <v>0.77</v>
      </c>
      <c r="J75" s="64">
        <v>0.26</v>
      </c>
      <c r="K75" s="64">
        <v>356.8</v>
      </c>
      <c r="L75" s="64">
        <v>25.59</v>
      </c>
      <c r="M75" s="64">
        <v>100.89</v>
      </c>
      <c r="N75" s="64">
        <v>69.099999999999994</v>
      </c>
      <c r="O75" s="64">
        <v>0</v>
      </c>
      <c r="P75" s="64">
        <v>0.28999999999999998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48" t="s">
        <v>504</v>
      </c>
      <c r="B76" s="64">
        <v>7.97</v>
      </c>
      <c r="C76" s="64">
        <v>2.98</v>
      </c>
      <c r="D76" s="64">
        <v>11.72</v>
      </c>
      <c r="E76" s="64">
        <v>4.8099999999999996</v>
      </c>
      <c r="F76" s="64">
        <v>4.88</v>
      </c>
      <c r="G76" s="64">
        <v>32.799999999999997</v>
      </c>
      <c r="H76" s="64">
        <v>13.77</v>
      </c>
      <c r="I76" s="64">
        <v>0.79</v>
      </c>
      <c r="J76" s="64">
        <v>0.37</v>
      </c>
      <c r="K76" s="64">
        <v>352.05</v>
      </c>
      <c r="L76" s="64">
        <v>25.54</v>
      </c>
      <c r="M76" s="64">
        <v>100.66</v>
      </c>
      <c r="N76" s="64">
        <v>64.599999999999994</v>
      </c>
      <c r="O76" s="64">
        <v>0</v>
      </c>
      <c r="P76" s="64">
        <v>0.3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48" t="s">
        <v>505</v>
      </c>
      <c r="B77" s="64">
        <v>8.1199999999999992</v>
      </c>
      <c r="C77" s="64">
        <v>3.31</v>
      </c>
      <c r="D77" s="64">
        <v>12.02</v>
      </c>
      <c r="E77" s="64">
        <v>4.9800000000000004</v>
      </c>
      <c r="F77" s="64">
        <v>4.78</v>
      </c>
      <c r="G77" s="64">
        <v>32.799999999999997</v>
      </c>
      <c r="H77" s="64">
        <v>13.77</v>
      </c>
      <c r="I77" s="64">
        <v>0.85</v>
      </c>
      <c r="J77" s="64">
        <v>0.34</v>
      </c>
      <c r="K77" s="64">
        <v>0.81</v>
      </c>
      <c r="L77" s="64">
        <v>25.56</v>
      </c>
      <c r="M77" s="64">
        <v>100.47</v>
      </c>
      <c r="N77" s="64">
        <v>62.8</v>
      </c>
      <c r="O77" s="64">
        <v>0</v>
      </c>
      <c r="P77" s="64">
        <v>0.32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48" t="s">
        <v>506</v>
      </c>
      <c r="B78" s="64">
        <v>8.18</v>
      </c>
      <c r="C78" s="64">
        <v>3.53</v>
      </c>
      <c r="D78" s="64">
        <v>12.18</v>
      </c>
      <c r="E78" s="64">
        <v>5.1100000000000003</v>
      </c>
      <c r="F78" s="64">
        <v>2.36</v>
      </c>
      <c r="G78" s="64">
        <v>32.799999999999997</v>
      </c>
      <c r="H78" s="64">
        <v>13.77</v>
      </c>
      <c r="I78" s="64">
        <v>0.87</v>
      </c>
      <c r="J78" s="64">
        <v>0.36</v>
      </c>
      <c r="K78" s="64">
        <v>7.51</v>
      </c>
      <c r="L78" s="64">
        <v>25.7</v>
      </c>
      <c r="M78" s="64">
        <v>100.6</v>
      </c>
      <c r="N78" s="64">
        <v>56.4</v>
      </c>
      <c r="O78" s="64">
        <v>0</v>
      </c>
      <c r="P78" s="64">
        <v>0.31</v>
      </c>
      <c r="Q78" s="64">
        <v>9.1</v>
      </c>
      <c r="R78" s="198"/>
      <c r="S78" s="198"/>
      <c r="T78" s="198"/>
      <c r="U78" s="198"/>
    </row>
    <row r="79" spans="1:21" s="12" customFormat="1" x14ac:dyDescent="0.25">
      <c r="A79" s="248" t="s">
        <v>507</v>
      </c>
      <c r="B79" s="64">
        <v>7.95</v>
      </c>
      <c r="C79" s="64">
        <v>3.06</v>
      </c>
      <c r="D79" s="64">
        <v>11.75</v>
      </c>
      <c r="E79" s="64">
        <v>4.5999999999999996</v>
      </c>
      <c r="F79" s="64">
        <v>5.22</v>
      </c>
      <c r="G79" s="64">
        <v>25.09</v>
      </c>
      <c r="H79" s="64">
        <v>16.100000000000001</v>
      </c>
      <c r="I79" s="64">
        <v>0.89</v>
      </c>
      <c r="J79" s="64">
        <v>0.34</v>
      </c>
      <c r="K79" s="64">
        <v>351.12</v>
      </c>
      <c r="L79" s="64">
        <v>25.62</v>
      </c>
      <c r="M79" s="64">
        <v>100.74</v>
      </c>
      <c r="N79" s="64">
        <v>52.9</v>
      </c>
      <c r="O79" s="64">
        <v>0</v>
      </c>
      <c r="P79" s="64">
        <v>0.32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48" t="s">
        <v>508</v>
      </c>
      <c r="B80" s="64">
        <v>7.94</v>
      </c>
      <c r="C80" s="64">
        <v>2.97</v>
      </c>
      <c r="D80" s="64">
        <v>11.69</v>
      </c>
      <c r="E80" s="64">
        <v>4.8899999999999997</v>
      </c>
      <c r="F80" s="64">
        <v>4.34</v>
      </c>
      <c r="G80" s="64">
        <v>23.17</v>
      </c>
      <c r="H80" s="64">
        <v>16.68</v>
      </c>
      <c r="I80" s="64">
        <v>0.94</v>
      </c>
      <c r="J80" s="64">
        <v>0.21</v>
      </c>
      <c r="K80" s="64">
        <v>3.45</v>
      </c>
      <c r="L80" s="64">
        <v>25.61</v>
      </c>
      <c r="M80" s="64">
        <v>100.8</v>
      </c>
      <c r="N80" s="64">
        <v>52</v>
      </c>
      <c r="O80" s="64">
        <v>0</v>
      </c>
      <c r="P80" s="64">
        <v>0.33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48" t="s">
        <v>509</v>
      </c>
      <c r="B81" s="64">
        <v>7.9</v>
      </c>
      <c r="C81" s="64">
        <v>2.91</v>
      </c>
      <c r="D81" s="64">
        <v>11.63</v>
      </c>
      <c r="E81" s="64">
        <v>5.34</v>
      </c>
      <c r="F81" s="64">
        <v>3.08</v>
      </c>
      <c r="G81" s="64">
        <v>23.17</v>
      </c>
      <c r="H81" s="64">
        <v>16.68</v>
      </c>
      <c r="I81" s="64">
        <v>0.96</v>
      </c>
      <c r="J81" s="64">
        <v>0.2</v>
      </c>
      <c r="K81" s="64">
        <v>356.71</v>
      </c>
      <c r="L81" s="64">
        <v>25.53</v>
      </c>
      <c r="M81" s="64">
        <v>100.47</v>
      </c>
      <c r="N81" s="64">
        <v>52</v>
      </c>
      <c r="O81" s="64">
        <v>0</v>
      </c>
      <c r="P81" s="64">
        <v>0.31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48" t="s">
        <v>510</v>
      </c>
      <c r="B82" s="64">
        <v>7.92</v>
      </c>
      <c r="C82" s="64">
        <v>2.95</v>
      </c>
      <c r="D82" s="64">
        <v>11.67</v>
      </c>
      <c r="E82" s="64">
        <v>4.8499999999999996</v>
      </c>
      <c r="F82" s="64">
        <v>4.66</v>
      </c>
      <c r="G82" s="64">
        <v>23.17</v>
      </c>
      <c r="H82" s="64">
        <v>16.68</v>
      </c>
      <c r="I82" s="64">
        <v>1.03</v>
      </c>
      <c r="J82" s="64">
        <v>0.24</v>
      </c>
      <c r="K82" s="64">
        <v>7.91</v>
      </c>
      <c r="L82" s="64">
        <v>25.64</v>
      </c>
      <c r="M82" s="64">
        <v>100.51</v>
      </c>
      <c r="N82" s="64">
        <v>52</v>
      </c>
      <c r="O82" s="64">
        <v>0</v>
      </c>
      <c r="P82" s="64">
        <v>0.33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48" t="s">
        <v>511</v>
      </c>
      <c r="B83" s="64">
        <v>8.17</v>
      </c>
      <c r="C83" s="64">
        <v>3.43</v>
      </c>
      <c r="D83" s="64">
        <v>12.12</v>
      </c>
      <c r="E83" s="64">
        <v>4.96</v>
      </c>
      <c r="F83" s="64">
        <v>2.2400000000000002</v>
      </c>
      <c r="G83" s="64">
        <v>21.03</v>
      </c>
      <c r="H83" s="64">
        <v>13.07</v>
      </c>
      <c r="I83" s="64">
        <v>1.08</v>
      </c>
      <c r="J83" s="64">
        <v>0.15</v>
      </c>
      <c r="K83" s="64">
        <v>359.2</v>
      </c>
      <c r="L83" s="64">
        <v>25.56</v>
      </c>
      <c r="M83" s="64">
        <v>100.67</v>
      </c>
      <c r="N83" s="64">
        <v>51.9</v>
      </c>
      <c r="O83" s="64">
        <v>0</v>
      </c>
      <c r="P83" s="64">
        <v>0.33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48" t="s">
        <v>512</v>
      </c>
      <c r="B84" s="64">
        <v>8.2100000000000009</v>
      </c>
      <c r="C84" s="64">
        <v>3.59</v>
      </c>
      <c r="D84" s="64">
        <v>12.23</v>
      </c>
      <c r="E84" s="64">
        <v>3.89</v>
      </c>
      <c r="F84" s="64">
        <v>4.34</v>
      </c>
      <c r="G84" s="64">
        <v>20.5</v>
      </c>
      <c r="H84" s="64">
        <v>12.17</v>
      </c>
      <c r="I84" s="64">
        <v>1.1200000000000001</v>
      </c>
      <c r="J84" s="64">
        <v>0.11</v>
      </c>
      <c r="K84" s="64">
        <v>332.11</v>
      </c>
      <c r="L84" s="64">
        <v>25.57</v>
      </c>
      <c r="M84" s="64">
        <v>100.9</v>
      </c>
      <c r="N84" s="64">
        <v>51.9</v>
      </c>
      <c r="O84" s="64">
        <v>0</v>
      </c>
      <c r="P84" s="64">
        <v>0.33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48" t="s">
        <v>513</v>
      </c>
      <c r="B85" s="64">
        <v>7.99</v>
      </c>
      <c r="C85" s="64">
        <v>3.1</v>
      </c>
      <c r="D85" s="64">
        <v>11.8</v>
      </c>
      <c r="E85" s="64">
        <v>4.17</v>
      </c>
      <c r="F85" s="64">
        <v>3.58</v>
      </c>
      <c r="G85" s="64">
        <v>20.5</v>
      </c>
      <c r="H85" s="64">
        <v>12.17</v>
      </c>
      <c r="I85" s="64">
        <v>1.1499999999999999</v>
      </c>
      <c r="J85" s="64">
        <v>0.17</v>
      </c>
      <c r="K85" s="64">
        <v>4.88</v>
      </c>
      <c r="L85" s="64">
        <v>25.64</v>
      </c>
      <c r="M85" s="64">
        <v>100.52</v>
      </c>
      <c r="N85" s="64">
        <v>52</v>
      </c>
      <c r="O85" s="64">
        <v>0</v>
      </c>
      <c r="P85" s="64">
        <v>0.34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48" t="s">
        <v>514</v>
      </c>
      <c r="B86" s="64">
        <v>7.96</v>
      </c>
      <c r="C86" s="64">
        <v>3.03</v>
      </c>
      <c r="D86" s="64">
        <v>11.74</v>
      </c>
      <c r="E86" s="64">
        <v>4.3499999999999996</v>
      </c>
      <c r="F86" s="64">
        <v>2.84</v>
      </c>
      <c r="G86" s="64">
        <v>20.5</v>
      </c>
      <c r="H86" s="64">
        <v>12.17</v>
      </c>
      <c r="I86" s="64">
        <v>1.1599999999999999</v>
      </c>
      <c r="J86" s="64">
        <v>0.17</v>
      </c>
      <c r="K86" s="64">
        <v>351.07</v>
      </c>
      <c r="L86" s="64">
        <v>25.69</v>
      </c>
      <c r="M86" s="64">
        <v>100.53</v>
      </c>
      <c r="N86" s="64">
        <v>52</v>
      </c>
      <c r="O86" s="64">
        <v>0</v>
      </c>
      <c r="P86" s="64">
        <v>0.32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48" t="s">
        <v>515</v>
      </c>
      <c r="B87" s="64">
        <v>7.98</v>
      </c>
      <c r="C87" s="64">
        <v>3.03</v>
      </c>
      <c r="D87" s="64">
        <v>11.75</v>
      </c>
      <c r="E87" s="64">
        <v>4.45</v>
      </c>
      <c r="F87" s="64">
        <v>4.08</v>
      </c>
      <c r="G87" s="64">
        <v>20.18</v>
      </c>
      <c r="H87" s="64">
        <v>9.48</v>
      </c>
      <c r="I87" s="64">
        <v>1.18</v>
      </c>
      <c r="J87" s="64">
        <v>0.19</v>
      </c>
      <c r="K87" s="64">
        <v>343.09</v>
      </c>
      <c r="L87" s="64">
        <v>25.6</v>
      </c>
      <c r="M87" s="64">
        <v>100.6</v>
      </c>
      <c r="N87" s="64">
        <v>51.9</v>
      </c>
      <c r="O87" s="64">
        <v>0</v>
      </c>
      <c r="P87" s="64">
        <v>0.32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48" t="s">
        <v>516</v>
      </c>
      <c r="B88" s="64">
        <v>7.98</v>
      </c>
      <c r="C88" s="64">
        <v>2.99</v>
      </c>
      <c r="D88" s="64">
        <v>11.74</v>
      </c>
      <c r="E88" s="64">
        <v>4.1500000000000004</v>
      </c>
      <c r="F88" s="64">
        <v>3.65</v>
      </c>
      <c r="G88" s="64">
        <v>20.100000000000001</v>
      </c>
      <c r="H88" s="64">
        <v>8.8000000000000007</v>
      </c>
      <c r="I88" s="64">
        <v>1.17</v>
      </c>
      <c r="J88" s="64">
        <v>0.12</v>
      </c>
      <c r="K88" s="64">
        <v>1.1499999999999999</v>
      </c>
      <c r="L88" s="64">
        <v>25.57</v>
      </c>
      <c r="M88" s="64">
        <v>100.97</v>
      </c>
      <c r="N88" s="64">
        <v>51.8</v>
      </c>
      <c r="O88" s="64">
        <v>0</v>
      </c>
      <c r="P88" s="64">
        <v>0.33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48" t="s">
        <v>517</v>
      </c>
      <c r="B89" s="64">
        <v>8.01</v>
      </c>
      <c r="C89" s="64">
        <v>3.06</v>
      </c>
      <c r="D89" s="64">
        <v>11.8</v>
      </c>
      <c r="E89" s="64">
        <v>4.0199999999999996</v>
      </c>
      <c r="F89" s="64">
        <v>3.8</v>
      </c>
      <c r="G89" s="64">
        <v>20.100000000000001</v>
      </c>
      <c r="H89" s="64">
        <v>8.8000000000000007</v>
      </c>
      <c r="I89" s="64">
        <v>1.1599999999999999</v>
      </c>
      <c r="J89" s="64">
        <v>0.05</v>
      </c>
      <c r="K89" s="64">
        <v>330.09</v>
      </c>
      <c r="L89" s="64">
        <v>25.51</v>
      </c>
      <c r="M89" s="64">
        <v>100.52</v>
      </c>
      <c r="N89" s="64">
        <v>51.7</v>
      </c>
      <c r="O89" s="64">
        <v>0</v>
      </c>
      <c r="P89" s="64">
        <v>0.32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48" t="s">
        <v>518</v>
      </c>
      <c r="B90" s="64">
        <v>8</v>
      </c>
      <c r="C90" s="64">
        <v>3.02</v>
      </c>
      <c r="D90" s="64">
        <v>11.76</v>
      </c>
      <c r="E90" s="64">
        <v>3.96</v>
      </c>
      <c r="F90" s="64">
        <v>3.35</v>
      </c>
      <c r="G90" s="64">
        <v>20.100000000000001</v>
      </c>
      <c r="H90" s="64">
        <v>8.8000000000000007</v>
      </c>
      <c r="I90" s="64">
        <v>1.19</v>
      </c>
      <c r="J90" s="64">
        <v>0.03</v>
      </c>
      <c r="K90" s="64">
        <v>78.2</v>
      </c>
      <c r="L90" s="64">
        <v>25.56</v>
      </c>
      <c r="M90" s="64">
        <v>100.54</v>
      </c>
      <c r="N90" s="64">
        <v>51.6</v>
      </c>
      <c r="O90" s="64">
        <v>0</v>
      </c>
      <c r="P90" s="64">
        <v>0.32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48" t="s">
        <v>519</v>
      </c>
      <c r="B91" s="64">
        <v>8.14</v>
      </c>
      <c r="C91" s="64">
        <v>3.21</v>
      </c>
      <c r="D91" s="64">
        <v>11.98</v>
      </c>
      <c r="E91" s="64">
        <v>4.12</v>
      </c>
      <c r="F91" s="64">
        <v>3.16</v>
      </c>
      <c r="G91" s="64">
        <v>17.149999999999999</v>
      </c>
      <c r="H91" s="64">
        <v>9.4700000000000006</v>
      </c>
      <c r="I91" s="64">
        <v>1.25</v>
      </c>
      <c r="J91" s="64">
        <v>0.04</v>
      </c>
      <c r="K91" s="64">
        <v>172</v>
      </c>
      <c r="L91" s="64">
        <v>25.37</v>
      </c>
      <c r="M91" s="64">
        <v>101.07</v>
      </c>
      <c r="N91" s="64">
        <v>50.9</v>
      </c>
      <c r="O91" s="64">
        <v>0</v>
      </c>
      <c r="P91" s="64">
        <v>0.32</v>
      </c>
      <c r="Q91" s="64">
        <v>9.2799999999999994</v>
      </c>
      <c r="R91" s="198"/>
      <c r="S91" s="198"/>
      <c r="T91" s="198"/>
      <c r="U91" s="198"/>
    </row>
    <row r="92" spans="1:26" s="12" customFormat="1" x14ac:dyDescent="0.25">
      <c r="A92" s="248" t="s">
        <v>520</v>
      </c>
      <c r="B92" s="64">
        <v>8.1300000000000008</v>
      </c>
      <c r="C92" s="64">
        <v>3.21</v>
      </c>
      <c r="D92" s="64">
        <v>11.97</v>
      </c>
      <c r="E92" s="64">
        <v>4.33</v>
      </c>
      <c r="F92" s="64">
        <v>3.36</v>
      </c>
      <c r="G92" s="64">
        <v>16.41</v>
      </c>
      <c r="H92" s="64">
        <v>9.64</v>
      </c>
      <c r="I92" s="64">
        <v>1.33</v>
      </c>
      <c r="J92" s="64">
        <v>0.14000000000000001</v>
      </c>
      <c r="K92" s="64">
        <v>165.58</v>
      </c>
      <c r="L92" s="64">
        <v>25.35</v>
      </c>
      <c r="M92" s="64">
        <v>101.1</v>
      </c>
      <c r="N92" s="64">
        <v>50.8</v>
      </c>
      <c r="O92" s="64">
        <v>0</v>
      </c>
      <c r="P92" s="64">
        <v>0.31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48" t="s">
        <v>521</v>
      </c>
      <c r="B93" s="64">
        <v>8.0299999999999994</v>
      </c>
      <c r="C93" s="64">
        <v>3.04</v>
      </c>
      <c r="D93" s="64">
        <v>11.8</v>
      </c>
      <c r="E93" s="64">
        <v>4.29</v>
      </c>
      <c r="F93" s="64">
        <v>3.6</v>
      </c>
      <c r="G93" s="64">
        <v>16.41</v>
      </c>
      <c r="H93" s="64">
        <v>9.64</v>
      </c>
      <c r="I93" s="64">
        <v>1.46</v>
      </c>
      <c r="J93" s="64">
        <v>0.02</v>
      </c>
      <c r="K93" s="64">
        <v>201.28</v>
      </c>
      <c r="L93" s="64">
        <v>25.32</v>
      </c>
      <c r="M93" s="64">
        <v>101.14</v>
      </c>
      <c r="N93" s="64">
        <v>51</v>
      </c>
      <c r="O93" s="64">
        <v>0</v>
      </c>
      <c r="P93" s="64">
        <v>0.31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48" t="s">
        <v>522</v>
      </c>
      <c r="B94" s="64">
        <v>8.0299999999999994</v>
      </c>
      <c r="C94" s="64">
        <v>3.07</v>
      </c>
      <c r="D94" s="64">
        <v>11.82</v>
      </c>
      <c r="E94" s="64">
        <v>4.49</v>
      </c>
      <c r="F94" s="64">
        <v>4.45</v>
      </c>
      <c r="G94" s="64">
        <v>16.41</v>
      </c>
      <c r="H94" s="64">
        <v>9.64</v>
      </c>
      <c r="I94" s="64">
        <v>1.62</v>
      </c>
      <c r="J94" s="64">
        <v>0.01</v>
      </c>
      <c r="K94" s="64">
        <v>323.57</v>
      </c>
      <c r="L94" s="64">
        <v>25.3</v>
      </c>
      <c r="M94" s="64">
        <v>101.17</v>
      </c>
      <c r="N94" s="64">
        <v>51.2</v>
      </c>
      <c r="O94" s="64">
        <v>0</v>
      </c>
      <c r="P94" s="64">
        <v>0.32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48" t="s">
        <v>523</v>
      </c>
      <c r="B95" s="64">
        <v>7.99</v>
      </c>
      <c r="C95" s="64">
        <v>3.01</v>
      </c>
      <c r="D95" s="64">
        <v>11.75</v>
      </c>
      <c r="E95" s="64">
        <v>4.51</v>
      </c>
      <c r="F95" s="64">
        <v>4.9000000000000004</v>
      </c>
      <c r="G95" s="64">
        <v>22.24</v>
      </c>
      <c r="H95" s="64">
        <v>7.72</v>
      </c>
      <c r="I95" s="64">
        <v>1.7</v>
      </c>
      <c r="J95" s="64">
        <v>0.12</v>
      </c>
      <c r="K95" s="64">
        <v>191.37</v>
      </c>
      <c r="L95" s="64">
        <v>25.31</v>
      </c>
      <c r="M95" s="64">
        <v>101.13</v>
      </c>
      <c r="N95" s="64">
        <v>51.5</v>
      </c>
      <c r="O95" s="64">
        <v>0</v>
      </c>
      <c r="P95" s="64">
        <v>0.32</v>
      </c>
      <c r="Q95" s="64">
        <v>9.26</v>
      </c>
      <c r="R95" s="198"/>
      <c r="S95" s="198"/>
      <c r="T95" s="198"/>
      <c r="U95" s="198"/>
    </row>
    <row r="96" spans="1:26" s="12" customFormat="1" x14ac:dyDescent="0.25">
      <c r="A96" s="248" t="s">
        <v>524</v>
      </c>
      <c r="B96" s="64">
        <v>7.96</v>
      </c>
      <c r="C96" s="64">
        <v>2.97</v>
      </c>
      <c r="D96" s="64">
        <v>11.71</v>
      </c>
      <c r="E96" s="64">
        <v>4.7300000000000004</v>
      </c>
      <c r="F96" s="64">
        <v>3.19</v>
      </c>
      <c r="G96" s="64">
        <v>23.69</v>
      </c>
      <c r="H96" s="64">
        <v>7.24</v>
      </c>
      <c r="I96" s="64">
        <v>1.67</v>
      </c>
      <c r="J96" s="64">
        <v>0.12</v>
      </c>
      <c r="K96" s="64">
        <v>138.43</v>
      </c>
      <c r="L96" s="64">
        <v>25.3</v>
      </c>
      <c r="M96" s="64">
        <v>101.16</v>
      </c>
      <c r="N96" s="64">
        <v>51.6</v>
      </c>
      <c r="O96" s="64">
        <v>0</v>
      </c>
      <c r="P96" s="64">
        <v>0.31</v>
      </c>
      <c r="Q96" s="64">
        <v>9.1199999999999992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525</v>
      </c>
      <c r="B97" s="64">
        <v>8.26</v>
      </c>
      <c r="C97" s="64">
        <v>3.53</v>
      </c>
      <c r="D97" s="64">
        <v>12.24</v>
      </c>
      <c r="E97" s="64">
        <v>4.8</v>
      </c>
      <c r="F97" s="64">
        <v>3.61</v>
      </c>
      <c r="G97" s="64">
        <v>23.69</v>
      </c>
      <c r="H97" s="64">
        <v>7.24</v>
      </c>
      <c r="I97" s="64">
        <v>1.66</v>
      </c>
      <c r="J97" s="64">
        <v>0.17</v>
      </c>
      <c r="K97" s="64">
        <v>158.08000000000001</v>
      </c>
      <c r="L97" s="64">
        <v>25.31</v>
      </c>
      <c r="M97" s="64">
        <v>101.24</v>
      </c>
      <c r="N97" s="64">
        <v>51.7</v>
      </c>
      <c r="O97" s="64">
        <v>0</v>
      </c>
      <c r="P97" s="64">
        <v>0.3</v>
      </c>
      <c r="Q97" s="64">
        <v>9.1300000000000008</v>
      </c>
      <c r="R97" s="198"/>
      <c r="S97" s="198"/>
      <c r="T97" s="198"/>
      <c r="U97" s="198"/>
    </row>
    <row r="98" spans="1:33" s="12" customFormat="1" x14ac:dyDescent="0.25">
      <c r="A98" s="248" t="s">
        <v>526</v>
      </c>
      <c r="B98" s="64">
        <v>8.09</v>
      </c>
      <c r="C98" s="64">
        <v>3.25</v>
      </c>
      <c r="D98" s="64">
        <v>11.96</v>
      </c>
      <c r="E98" s="64">
        <v>4.41</v>
      </c>
      <c r="F98" s="64">
        <v>4.72</v>
      </c>
      <c r="G98" s="64">
        <v>23.69</v>
      </c>
      <c r="H98" s="64">
        <v>7.24</v>
      </c>
      <c r="I98" s="64">
        <v>1.81</v>
      </c>
      <c r="J98" s="64">
        <v>0.18</v>
      </c>
      <c r="K98" s="64">
        <v>137.75</v>
      </c>
      <c r="L98" s="64">
        <v>25.28</v>
      </c>
      <c r="M98" s="64">
        <v>101.24</v>
      </c>
      <c r="N98" s="64">
        <v>52</v>
      </c>
      <c r="O98" s="64">
        <v>0</v>
      </c>
      <c r="P98" s="64">
        <v>0.3</v>
      </c>
      <c r="Q98" s="64">
        <v>9.15</v>
      </c>
      <c r="R98" s="198"/>
      <c r="S98" s="198"/>
      <c r="T98" s="198"/>
      <c r="U98" s="198"/>
    </row>
    <row r="99" spans="1:33" s="12" customFormat="1" x14ac:dyDescent="0.25">
      <c r="A99" s="248" t="s">
        <v>527</v>
      </c>
      <c r="B99" s="64">
        <v>8.16</v>
      </c>
      <c r="C99" s="64">
        <v>3.4</v>
      </c>
      <c r="D99" s="64">
        <v>12.09</v>
      </c>
      <c r="E99" s="64">
        <v>4.3099999999999996</v>
      </c>
      <c r="F99" s="64">
        <v>2.33</v>
      </c>
      <c r="G99" s="64">
        <v>20.14</v>
      </c>
      <c r="H99" s="64">
        <v>5.93</v>
      </c>
      <c r="I99" s="64">
        <v>1.78</v>
      </c>
      <c r="J99" s="64">
        <v>7.0000000000000007E-2</v>
      </c>
      <c r="K99" s="64">
        <v>83.19</v>
      </c>
      <c r="L99" s="64">
        <v>25.21</v>
      </c>
      <c r="M99" s="64">
        <v>101.26</v>
      </c>
      <c r="N99" s="64">
        <v>51.6</v>
      </c>
      <c r="O99" s="64">
        <v>0</v>
      </c>
      <c r="P99" s="64">
        <v>0.28000000000000003</v>
      </c>
      <c r="Q99" s="64">
        <v>9.14</v>
      </c>
      <c r="R99" s="198"/>
      <c r="S99" s="198"/>
      <c r="T99" s="198"/>
      <c r="U99" s="198"/>
    </row>
    <row r="100" spans="1:33" s="12" customFormat="1" x14ac:dyDescent="0.25">
      <c r="A100" s="248" t="s">
        <v>528</v>
      </c>
      <c r="B100" s="64">
        <v>8.39</v>
      </c>
      <c r="C100" s="64">
        <v>3.87</v>
      </c>
      <c r="D100" s="64">
        <v>12.52</v>
      </c>
      <c r="E100" s="64">
        <v>3.92</v>
      </c>
      <c r="F100" s="64">
        <v>4.42</v>
      </c>
      <c r="G100" s="64">
        <v>19.25</v>
      </c>
      <c r="H100" s="64">
        <v>5.61</v>
      </c>
      <c r="I100" s="64">
        <v>1.81</v>
      </c>
      <c r="J100" s="64">
        <v>0.09</v>
      </c>
      <c r="K100" s="64">
        <v>196.45</v>
      </c>
      <c r="L100" s="64">
        <v>25.04</v>
      </c>
      <c r="M100" s="64">
        <v>101.3</v>
      </c>
      <c r="N100" s="64">
        <v>51.4</v>
      </c>
      <c r="O100" s="64">
        <v>0</v>
      </c>
      <c r="P100" s="64">
        <v>0.28000000000000003</v>
      </c>
      <c r="Q100" s="64">
        <v>9.1999999999999993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529</v>
      </c>
      <c r="B101" s="64">
        <v>8.4499999999999993</v>
      </c>
      <c r="C101" s="64">
        <v>3.98</v>
      </c>
      <c r="D101" s="64">
        <v>12.63</v>
      </c>
      <c r="E101" s="64">
        <v>4.26</v>
      </c>
      <c r="F101" s="64">
        <v>3.57</v>
      </c>
      <c r="G101" s="64">
        <v>19.25</v>
      </c>
      <c r="H101" s="64">
        <v>5.61</v>
      </c>
      <c r="I101" s="64">
        <v>1.77</v>
      </c>
      <c r="J101" s="64">
        <v>0.01</v>
      </c>
      <c r="K101" s="64">
        <v>184.68</v>
      </c>
      <c r="L101" s="64">
        <v>24.96</v>
      </c>
      <c r="M101" s="64">
        <v>101.34</v>
      </c>
      <c r="N101" s="64">
        <v>51.3</v>
      </c>
      <c r="O101" s="64">
        <v>0</v>
      </c>
      <c r="P101" s="64">
        <v>0.28000000000000003</v>
      </c>
      <c r="Q101" s="64">
        <v>9.1999999999999993</v>
      </c>
      <c r="R101" s="198"/>
      <c r="S101" s="198"/>
      <c r="T101" s="198"/>
      <c r="U101" s="198"/>
    </row>
    <row r="102" spans="1:33" s="12" customFormat="1" x14ac:dyDescent="0.25">
      <c r="A102" s="248" t="s">
        <v>530</v>
      </c>
      <c r="B102" s="64">
        <v>8.26</v>
      </c>
      <c r="C102" s="64">
        <v>3.62</v>
      </c>
      <c r="D102" s="64">
        <v>12.29</v>
      </c>
      <c r="E102" s="64">
        <v>4.34</v>
      </c>
      <c r="F102" s="64">
        <v>3.38</v>
      </c>
      <c r="G102" s="64">
        <v>19.25</v>
      </c>
      <c r="H102" s="64">
        <v>5.61</v>
      </c>
      <c r="I102" s="64">
        <v>1.75</v>
      </c>
      <c r="J102" s="64">
        <v>0.16</v>
      </c>
      <c r="K102" s="64">
        <v>131.52000000000001</v>
      </c>
      <c r="L102" s="64">
        <v>24.94</v>
      </c>
      <c r="M102" s="64">
        <v>101.36</v>
      </c>
      <c r="N102" s="64">
        <v>51.2</v>
      </c>
      <c r="O102" s="64">
        <v>0</v>
      </c>
      <c r="P102" s="64">
        <v>0.26</v>
      </c>
      <c r="Q102" s="64">
        <v>9.19</v>
      </c>
      <c r="R102" s="198"/>
      <c r="S102" s="198"/>
      <c r="T102" s="198"/>
      <c r="U102" s="198"/>
    </row>
    <row r="103" spans="1:33" s="12" customFormat="1" x14ac:dyDescent="0.25">
      <c r="A103" s="248" t="s">
        <v>531</v>
      </c>
      <c r="B103" s="64">
        <v>8.06</v>
      </c>
      <c r="C103" s="64">
        <v>3.21</v>
      </c>
      <c r="D103" s="64">
        <v>11.92</v>
      </c>
      <c r="E103" s="64">
        <v>4.05</v>
      </c>
      <c r="F103" s="64">
        <v>5.23</v>
      </c>
      <c r="G103" s="64">
        <v>15.35</v>
      </c>
      <c r="H103" s="64">
        <v>6.45</v>
      </c>
      <c r="I103" s="64">
        <v>1.74</v>
      </c>
      <c r="J103" s="64">
        <v>0.06</v>
      </c>
      <c r="K103" s="64">
        <v>306.26</v>
      </c>
      <c r="L103" s="64">
        <v>24.92</v>
      </c>
      <c r="M103" s="64">
        <v>101.28</v>
      </c>
      <c r="N103" s="64">
        <v>51.2</v>
      </c>
      <c r="O103" s="64">
        <v>0</v>
      </c>
      <c r="P103" s="64">
        <v>0.27</v>
      </c>
      <c r="Q103" s="64">
        <v>9.23</v>
      </c>
      <c r="R103" s="198"/>
      <c r="S103" s="198"/>
      <c r="T103" s="198"/>
      <c r="U103" s="198"/>
    </row>
    <row r="104" spans="1:33" s="12" customFormat="1" x14ac:dyDescent="0.25">
      <c r="A104" s="248" t="s">
        <v>532</v>
      </c>
      <c r="B104" s="64">
        <v>7.95</v>
      </c>
      <c r="C104" s="64">
        <v>2.99</v>
      </c>
      <c r="D104" s="64">
        <v>11.71</v>
      </c>
      <c r="E104" s="64">
        <v>4.29</v>
      </c>
      <c r="F104" s="64">
        <v>2.5099999999999998</v>
      </c>
      <c r="G104" s="64">
        <v>14.37</v>
      </c>
      <c r="H104" s="64">
        <v>6.67</v>
      </c>
      <c r="I104" s="64">
        <v>1.76</v>
      </c>
      <c r="J104" s="64">
        <v>0.03</v>
      </c>
      <c r="K104" s="64">
        <v>176.6</v>
      </c>
      <c r="L104" s="64">
        <v>24.93</v>
      </c>
      <c r="M104" s="64">
        <v>101.27</v>
      </c>
      <c r="N104" s="64">
        <v>51.1</v>
      </c>
      <c r="O104" s="64">
        <v>0</v>
      </c>
      <c r="P104" s="64">
        <v>0.26</v>
      </c>
      <c r="Q104" s="64">
        <v>9.1999999999999993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2.88</v>
      </c>
      <c r="D106" s="67">
        <f t="shared" ref="D106:Q106" si="0">MIN(D9:D104)</f>
        <v>11.61</v>
      </c>
      <c r="E106" s="67">
        <f t="shared" si="0"/>
        <v>2.4300000000000002</v>
      </c>
      <c r="F106" s="67">
        <f t="shared" si="0"/>
        <v>2.2400000000000002</v>
      </c>
      <c r="G106" s="67">
        <f t="shared" si="0"/>
        <v>3.39</v>
      </c>
      <c r="H106" s="67">
        <f t="shared" si="0"/>
        <v>2.42</v>
      </c>
      <c r="I106" s="67">
        <f t="shared" si="0"/>
        <v>0.48</v>
      </c>
      <c r="J106" s="67">
        <f t="shared" si="0"/>
        <v>0.01</v>
      </c>
      <c r="K106" s="67">
        <f t="shared" si="0"/>
        <v>0.03</v>
      </c>
      <c r="L106" s="67">
        <f t="shared" si="0"/>
        <v>23.3</v>
      </c>
      <c r="M106" s="67">
        <f t="shared" si="0"/>
        <v>100.47</v>
      </c>
      <c r="N106" s="67">
        <f t="shared" si="0"/>
        <v>50.8</v>
      </c>
      <c r="O106" s="67">
        <f t="shared" si="0"/>
        <v>0</v>
      </c>
      <c r="P106" s="67">
        <f t="shared" si="0"/>
        <v>0.19</v>
      </c>
      <c r="Q106" s="67">
        <f t="shared" si="0"/>
        <v>9.01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8.4499999999999993</v>
      </c>
      <c r="C107" s="66">
        <f t="shared" ref="C107:Q107" si="1">MAX(C9:C104)</f>
        <v>4.1100000000000003</v>
      </c>
      <c r="D107" s="66">
        <f t="shared" si="1"/>
        <v>12.68</v>
      </c>
      <c r="E107" s="66">
        <f t="shared" si="1"/>
        <v>5.34</v>
      </c>
      <c r="F107" s="66">
        <f t="shared" si="1"/>
        <v>334.02</v>
      </c>
      <c r="G107" s="66">
        <f t="shared" si="1"/>
        <v>69.47</v>
      </c>
      <c r="H107" s="66">
        <f t="shared" si="1"/>
        <v>25.12</v>
      </c>
      <c r="I107" s="66">
        <f t="shared" si="1"/>
        <v>1.81</v>
      </c>
      <c r="J107" s="66">
        <f t="shared" si="1"/>
        <v>0.48</v>
      </c>
      <c r="K107" s="66">
        <f t="shared" si="1"/>
        <v>359.99</v>
      </c>
      <c r="L107" s="66">
        <f t="shared" si="1"/>
        <v>25.77</v>
      </c>
      <c r="M107" s="66">
        <f t="shared" si="1"/>
        <v>101.36</v>
      </c>
      <c r="N107" s="66">
        <f t="shared" si="1"/>
        <v>177.1</v>
      </c>
      <c r="O107" s="66">
        <f t="shared" si="1"/>
        <v>6.4</v>
      </c>
      <c r="P107" s="66">
        <f t="shared" si="1"/>
        <v>0.34</v>
      </c>
      <c r="Q107" s="66">
        <f t="shared" si="1"/>
        <v>9.3000000000000007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8.0271874999999984</v>
      </c>
      <c r="C108" s="67">
        <f t="shared" ref="C108:Q108" si="2">AVERAGE(C9:C104)</f>
        <v>3.1384374999999989</v>
      </c>
      <c r="D108" s="67">
        <f t="shared" si="2"/>
        <v>11.850937500000002</v>
      </c>
      <c r="E108" s="67">
        <f t="shared" si="2"/>
        <v>3.8979166666666671</v>
      </c>
      <c r="F108" s="67">
        <f t="shared" si="2"/>
        <v>8.5043750000000031</v>
      </c>
      <c r="G108" s="67">
        <f t="shared" si="2"/>
        <v>18.297415730337082</v>
      </c>
      <c r="H108" s="67">
        <f t="shared" si="2"/>
        <v>7.9198780487804861</v>
      </c>
      <c r="I108" s="67">
        <f t="shared" si="2"/>
        <v>0.8988541666666664</v>
      </c>
      <c r="J108" s="67">
        <f t="shared" si="2"/>
        <v>0.28239583333333346</v>
      </c>
      <c r="K108" s="67">
        <f t="shared" si="2"/>
        <v>110.57031250000004</v>
      </c>
      <c r="L108" s="67">
        <f t="shared" si="2"/>
        <v>24.61</v>
      </c>
      <c r="M108" s="67">
        <f t="shared" si="2"/>
        <v>100.8991666666667</v>
      </c>
      <c r="N108" s="67">
        <f t="shared" si="2"/>
        <v>80.729166666666671</v>
      </c>
      <c r="O108" s="67">
        <f t="shared" si="2"/>
        <v>0.65416666666666667</v>
      </c>
      <c r="P108" s="67">
        <f t="shared" si="2"/>
        <v>0.26729166666666654</v>
      </c>
      <c r="Q108" s="67">
        <f t="shared" si="2"/>
        <v>9.1661458333333332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0.13310623477824807</v>
      </c>
      <c r="C109" s="67">
        <f t="shared" ref="C109:Q109" si="3">STDEV(C9:C104)</f>
        <v>0.28234479900702225</v>
      </c>
      <c r="D109" s="67">
        <f t="shared" si="3"/>
        <v>0.25219907811092407</v>
      </c>
      <c r="E109" s="67">
        <f t="shared" si="3"/>
        <v>0.69217569516882949</v>
      </c>
      <c r="F109" s="67">
        <f t="shared" si="3"/>
        <v>33.663435632041953</v>
      </c>
      <c r="G109" s="67">
        <f t="shared" si="3"/>
        <v>14.703041006423376</v>
      </c>
      <c r="H109" s="67">
        <f t="shared" si="3"/>
        <v>5.9013749169892815</v>
      </c>
      <c r="I109" s="67">
        <f t="shared" si="3"/>
        <v>0.36856726813480234</v>
      </c>
      <c r="J109" s="67">
        <f t="shared" si="3"/>
        <v>0.11870125961879131</v>
      </c>
      <c r="K109" s="67">
        <f t="shared" si="3"/>
        <v>144.01487651557409</v>
      </c>
      <c r="L109" s="67">
        <f t="shared" si="3"/>
        <v>0.82941704321707033</v>
      </c>
      <c r="M109" s="67">
        <f t="shared" si="3"/>
        <v>0.21344131039341016</v>
      </c>
      <c r="N109" s="67">
        <f t="shared" si="3"/>
        <v>40.445232408300029</v>
      </c>
      <c r="O109" s="67">
        <f t="shared" si="3"/>
        <v>1.2275707004329337</v>
      </c>
      <c r="P109" s="67">
        <f t="shared" si="3"/>
        <v>4.1051422609280117E-2</v>
      </c>
      <c r="Q109" s="67">
        <f t="shared" si="3"/>
        <v>6.558834607116476E-2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COUNT(H9:H104)+14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533</v>
      </c>
      <c r="B9" s="64">
        <v>7.96</v>
      </c>
      <c r="C9" s="64">
        <v>2.96</v>
      </c>
      <c r="D9" s="64">
        <v>11.7</v>
      </c>
      <c r="E9" s="64">
        <v>4.2300000000000004</v>
      </c>
      <c r="F9" s="64">
        <v>3.32</v>
      </c>
      <c r="G9" s="64">
        <v>14.37</v>
      </c>
      <c r="H9" s="64">
        <v>6.67</v>
      </c>
      <c r="I9" s="64">
        <v>1.78</v>
      </c>
      <c r="J9" s="64">
        <v>7.0000000000000007E-2</v>
      </c>
      <c r="K9" s="64">
        <v>166.39</v>
      </c>
      <c r="L9" s="64">
        <v>24.91</v>
      </c>
      <c r="M9" s="64">
        <v>101.28</v>
      </c>
      <c r="N9" s="64">
        <v>50.9</v>
      </c>
      <c r="O9" s="64">
        <v>0</v>
      </c>
      <c r="P9" s="64">
        <v>0.23</v>
      </c>
      <c r="Q9" s="64">
        <v>9.19</v>
      </c>
      <c r="R9" s="198"/>
      <c r="S9" s="198"/>
      <c r="T9" s="198"/>
      <c r="U9" s="198"/>
    </row>
    <row r="10" spans="1:21" s="12" customFormat="1" x14ac:dyDescent="0.25">
      <c r="A10" s="248" t="s">
        <v>534</v>
      </c>
      <c r="B10" s="64">
        <v>7.96</v>
      </c>
      <c r="C10" s="64">
        <v>2.93</v>
      </c>
      <c r="D10" s="64">
        <v>11.69</v>
      </c>
      <c r="E10" s="64">
        <v>3.95</v>
      </c>
      <c r="F10" s="64">
        <v>3.69</v>
      </c>
      <c r="G10" s="64">
        <v>14.37</v>
      </c>
      <c r="H10" s="64">
        <v>6.67</v>
      </c>
      <c r="I10" s="64">
        <v>1.72</v>
      </c>
      <c r="J10" s="64">
        <v>0.38</v>
      </c>
      <c r="K10" s="64">
        <v>155.78</v>
      </c>
      <c r="L10" s="64">
        <v>24.77</v>
      </c>
      <c r="M10" s="64">
        <v>101.29</v>
      </c>
      <c r="N10" s="64">
        <v>51.2</v>
      </c>
      <c r="O10" s="64">
        <v>0</v>
      </c>
      <c r="P10" s="64">
        <v>0.24</v>
      </c>
      <c r="Q10" s="64">
        <v>9.19</v>
      </c>
      <c r="R10" s="198"/>
      <c r="S10" s="198"/>
      <c r="T10" s="198"/>
      <c r="U10" s="198"/>
    </row>
    <row r="11" spans="1:21" s="12" customFormat="1" x14ac:dyDescent="0.25">
      <c r="A11" s="248" t="s">
        <v>535</v>
      </c>
      <c r="B11" s="64">
        <v>7.97</v>
      </c>
      <c r="C11" s="64">
        <v>2.95</v>
      </c>
      <c r="D11" s="64">
        <v>11.71</v>
      </c>
      <c r="E11" s="64">
        <v>3.93</v>
      </c>
      <c r="F11" s="64">
        <v>3.88</v>
      </c>
      <c r="G11" s="64">
        <v>11.59</v>
      </c>
      <c r="H11" s="64">
        <v>5.49</v>
      </c>
      <c r="I11" s="64">
        <v>1.67</v>
      </c>
      <c r="J11" s="64">
        <v>0.17</v>
      </c>
      <c r="K11" s="64">
        <v>146.22</v>
      </c>
      <c r="L11" s="64">
        <v>24.67</v>
      </c>
      <c r="M11" s="64">
        <v>101.3</v>
      </c>
      <c r="N11" s="64">
        <v>51.1</v>
      </c>
      <c r="O11" s="64">
        <v>0</v>
      </c>
      <c r="P11" s="64">
        <v>0.24</v>
      </c>
      <c r="Q11" s="64">
        <v>9.23</v>
      </c>
      <c r="R11" s="198"/>
      <c r="S11" s="198"/>
      <c r="T11" s="198"/>
      <c r="U11" s="198"/>
    </row>
    <row r="12" spans="1:21" s="12" customFormat="1" x14ac:dyDescent="0.25">
      <c r="A12" s="248" t="s">
        <v>536</v>
      </c>
      <c r="B12" s="64">
        <v>7.96</v>
      </c>
      <c r="C12" s="64">
        <v>2.97</v>
      </c>
      <c r="D12" s="64">
        <v>11.7</v>
      </c>
      <c r="E12" s="64">
        <v>4.16</v>
      </c>
      <c r="F12" s="64">
        <v>3.55</v>
      </c>
      <c r="G12" s="64">
        <v>10.9</v>
      </c>
      <c r="H12" s="64">
        <v>5.2</v>
      </c>
      <c r="I12" s="64">
        <v>1.74</v>
      </c>
      <c r="J12" s="64">
        <v>0.08</v>
      </c>
      <c r="K12" s="64">
        <v>131.13999999999999</v>
      </c>
      <c r="L12" s="64">
        <v>24.62</v>
      </c>
      <c r="M12" s="64">
        <v>101.32</v>
      </c>
      <c r="N12" s="64">
        <v>51.3</v>
      </c>
      <c r="O12" s="64">
        <v>0</v>
      </c>
      <c r="P12" s="64">
        <v>0.24</v>
      </c>
      <c r="Q12" s="64">
        <v>9.24</v>
      </c>
      <c r="R12" s="198"/>
      <c r="S12" s="198"/>
      <c r="T12" s="198"/>
      <c r="U12" s="198"/>
    </row>
    <row r="13" spans="1:21" s="12" customFormat="1" x14ac:dyDescent="0.25">
      <c r="A13" s="248" t="s">
        <v>537</v>
      </c>
      <c r="B13" s="64">
        <v>7.97</v>
      </c>
      <c r="C13" s="64">
        <v>2.99</v>
      </c>
      <c r="D13" s="64">
        <v>11.73</v>
      </c>
      <c r="E13" s="64">
        <v>4.1399999999999997</v>
      </c>
      <c r="F13" s="64">
        <v>3.65</v>
      </c>
      <c r="G13" s="64">
        <v>10.9</v>
      </c>
      <c r="H13" s="64">
        <v>5.2</v>
      </c>
      <c r="I13" s="64">
        <v>1.93</v>
      </c>
      <c r="J13" s="64">
        <v>0.09</v>
      </c>
      <c r="K13" s="64">
        <v>163.88</v>
      </c>
      <c r="L13" s="64">
        <v>24.67</v>
      </c>
      <c r="M13" s="64">
        <v>101.32</v>
      </c>
      <c r="N13" s="64">
        <v>51.3</v>
      </c>
      <c r="O13" s="64">
        <v>0</v>
      </c>
      <c r="P13" s="64">
        <v>0.23</v>
      </c>
      <c r="Q13" s="64">
        <v>9.27</v>
      </c>
      <c r="R13" s="198"/>
      <c r="S13" s="198"/>
      <c r="T13" s="198"/>
      <c r="U13" s="198"/>
    </row>
    <row r="14" spans="1:21" s="12" customFormat="1" x14ac:dyDescent="0.25">
      <c r="A14" s="248" t="s">
        <v>538</v>
      </c>
      <c r="B14" s="64">
        <v>8</v>
      </c>
      <c r="C14" s="64">
        <v>2.98</v>
      </c>
      <c r="D14" s="64">
        <v>11.75</v>
      </c>
      <c r="E14" s="64">
        <v>4.34</v>
      </c>
      <c r="F14" s="64">
        <v>3.87</v>
      </c>
      <c r="G14" s="64">
        <v>10.9</v>
      </c>
      <c r="H14" s="64">
        <v>5.2</v>
      </c>
      <c r="I14" s="64">
        <v>1.98</v>
      </c>
      <c r="J14" s="64">
        <v>0.31</v>
      </c>
      <c r="K14" s="64">
        <v>156.43</v>
      </c>
      <c r="L14" s="64">
        <v>24.74</v>
      </c>
      <c r="M14" s="64">
        <v>101.3</v>
      </c>
      <c r="N14" s="64">
        <v>51.3</v>
      </c>
      <c r="O14" s="64">
        <v>0</v>
      </c>
      <c r="P14" s="64">
        <v>0.23</v>
      </c>
      <c r="Q14" s="64">
        <v>9.26</v>
      </c>
      <c r="R14" s="198"/>
      <c r="S14" s="198"/>
      <c r="T14" s="198"/>
      <c r="U14" s="198"/>
    </row>
    <row r="15" spans="1:21" s="12" customFormat="1" x14ac:dyDescent="0.25">
      <c r="A15" s="248" t="s">
        <v>539</v>
      </c>
      <c r="B15" s="64">
        <v>8</v>
      </c>
      <c r="C15" s="64">
        <v>2.98</v>
      </c>
      <c r="D15" s="64">
        <v>11.75</v>
      </c>
      <c r="E15" s="64">
        <v>4.0199999999999996</v>
      </c>
      <c r="F15" s="64">
        <v>4.0199999999999996</v>
      </c>
      <c r="G15" s="64">
        <v>14.55</v>
      </c>
      <c r="H15" s="64">
        <v>3.98</v>
      </c>
      <c r="I15" s="64">
        <v>2.0499999999999998</v>
      </c>
      <c r="J15" s="64">
        <v>0.38</v>
      </c>
      <c r="K15" s="64">
        <v>163.02000000000001</v>
      </c>
      <c r="L15" s="64">
        <v>24.81</v>
      </c>
      <c r="M15" s="64">
        <v>101.3</v>
      </c>
      <c r="N15" s="64">
        <v>51.4</v>
      </c>
      <c r="O15" s="64">
        <v>0</v>
      </c>
      <c r="P15" s="64">
        <v>0.23</v>
      </c>
      <c r="Q15" s="64">
        <v>9.24</v>
      </c>
      <c r="R15" s="198"/>
      <c r="S15" s="198"/>
      <c r="T15" s="198"/>
      <c r="U15" s="198"/>
    </row>
    <row r="16" spans="1:21" s="12" customFormat="1" x14ac:dyDescent="0.25">
      <c r="A16" s="248" t="s">
        <v>540</v>
      </c>
      <c r="B16" s="64">
        <v>8.0500000000000007</v>
      </c>
      <c r="C16" s="64">
        <v>3.11</v>
      </c>
      <c r="D16" s="64">
        <v>11.85</v>
      </c>
      <c r="E16" s="64">
        <v>4.18</v>
      </c>
      <c r="F16" s="64">
        <v>3.76</v>
      </c>
      <c r="G16" s="64">
        <v>15.47</v>
      </c>
      <c r="H16" s="64">
        <v>3.68</v>
      </c>
      <c r="I16" s="64">
        <v>2.12</v>
      </c>
      <c r="J16" s="64">
        <v>0.48</v>
      </c>
      <c r="K16" s="64">
        <v>129.86000000000001</v>
      </c>
      <c r="L16" s="64">
        <v>24.91</v>
      </c>
      <c r="M16" s="64">
        <v>101.31</v>
      </c>
      <c r="N16" s="64">
        <v>51.6</v>
      </c>
      <c r="O16" s="64">
        <v>0</v>
      </c>
      <c r="P16" s="64">
        <v>0.23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48" t="s">
        <v>541</v>
      </c>
      <c r="B17" s="64">
        <v>8.52</v>
      </c>
      <c r="C17" s="64">
        <v>4.04</v>
      </c>
      <c r="D17" s="64">
        <v>12.72</v>
      </c>
      <c r="E17" s="64">
        <v>4.4000000000000004</v>
      </c>
      <c r="F17" s="64">
        <v>5.0599999999999996</v>
      </c>
      <c r="G17" s="64">
        <v>15.47</v>
      </c>
      <c r="H17" s="64">
        <v>3.68</v>
      </c>
      <c r="I17" s="64">
        <v>2.2200000000000002</v>
      </c>
      <c r="J17" s="64">
        <v>0.14000000000000001</v>
      </c>
      <c r="K17" s="64">
        <v>117.93</v>
      </c>
      <c r="L17" s="64">
        <v>25</v>
      </c>
      <c r="M17" s="64">
        <v>101.33</v>
      </c>
      <c r="N17" s="64">
        <v>51.6</v>
      </c>
      <c r="O17" s="64">
        <v>0</v>
      </c>
      <c r="P17" s="64">
        <v>0.24</v>
      </c>
      <c r="Q17" s="64">
        <v>9.23</v>
      </c>
      <c r="R17" s="198"/>
      <c r="S17" s="198"/>
      <c r="T17" s="198"/>
      <c r="U17" s="198"/>
    </row>
    <row r="18" spans="1:21" s="12" customFormat="1" x14ac:dyDescent="0.25">
      <c r="A18" s="248" t="s">
        <v>542</v>
      </c>
      <c r="B18" s="64">
        <v>8.17</v>
      </c>
      <c r="C18" s="64">
        <v>3.39</v>
      </c>
      <c r="D18" s="64">
        <v>12.1</v>
      </c>
      <c r="E18" s="64">
        <v>4.37</v>
      </c>
      <c r="F18" s="64">
        <v>3.53</v>
      </c>
      <c r="G18" s="64">
        <v>15.47</v>
      </c>
      <c r="H18" s="64">
        <v>3.68</v>
      </c>
      <c r="I18" s="64">
        <v>2.34</v>
      </c>
      <c r="J18" s="64">
        <v>0.08</v>
      </c>
      <c r="K18" s="64">
        <v>81.05</v>
      </c>
      <c r="L18" s="64">
        <v>24.97</v>
      </c>
      <c r="M18" s="64">
        <v>101.33</v>
      </c>
      <c r="N18" s="64">
        <v>51.6</v>
      </c>
      <c r="O18" s="64">
        <v>0</v>
      </c>
      <c r="P18" s="64">
        <v>0.23</v>
      </c>
      <c r="Q18" s="64">
        <v>9.1199999999999992</v>
      </c>
      <c r="R18" s="198"/>
      <c r="S18" s="198"/>
      <c r="T18" s="198"/>
      <c r="U18" s="198"/>
    </row>
    <row r="19" spans="1:21" s="12" customFormat="1" x14ac:dyDescent="0.25">
      <c r="A19" s="248" t="s">
        <v>543</v>
      </c>
      <c r="B19" s="64">
        <v>7.98</v>
      </c>
      <c r="C19" s="64">
        <v>3.06</v>
      </c>
      <c r="D19" s="64">
        <v>11.77</v>
      </c>
      <c r="E19" s="64">
        <v>4.4000000000000004</v>
      </c>
      <c r="F19" s="64">
        <v>4.08</v>
      </c>
      <c r="G19" s="64">
        <v>14.01</v>
      </c>
      <c r="H19" s="64">
        <v>8.41</v>
      </c>
      <c r="I19" s="64">
        <v>2.3199999999999998</v>
      </c>
      <c r="J19" s="64">
        <v>0.03</v>
      </c>
      <c r="K19" s="64">
        <v>192.53</v>
      </c>
      <c r="L19" s="64">
        <v>25.01</v>
      </c>
      <c r="M19" s="64">
        <v>101.34</v>
      </c>
      <c r="N19" s="64">
        <v>51.6</v>
      </c>
      <c r="O19" s="64">
        <v>0</v>
      </c>
      <c r="P19" s="64">
        <v>0.22</v>
      </c>
      <c r="Q19" s="64">
        <v>9.1</v>
      </c>
      <c r="R19" s="198"/>
      <c r="S19" s="198"/>
      <c r="T19" s="198"/>
      <c r="U19" s="198"/>
    </row>
    <row r="20" spans="1:21" s="12" customFormat="1" x14ac:dyDescent="0.25">
      <c r="A20" s="248" t="s">
        <v>544</v>
      </c>
      <c r="B20" s="64">
        <v>8.31</v>
      </c>
      <c r="C20" s="64">
        <v>3.68</v>
      </c>
      <c r="D20" s="64">
        <v>12.36</v>
      </c>
      <c r="E20" s="64">
        <v>4.74</v>
      </c>
      <c r="F20" s="64">
        <v>4.33</v>
      </c>
      <c r="G20" s="64">
        <v>13.64</v>
      </c>
      <c r="H20" s="64">
        <v>9.6</v>
      </c>
      <c r="I20" s="64">
        <v>2.25</v>
      </c>
      <c r="J20" s="64">
        <v>0.17</v>
      </c>
      <c r="K20" s="64">
        <v>137.16999999999999</v>
      </c>
      <c r="L20" s="64">
        <v>25.01</v>
      </c>
      <c r="M20" s="64">
        <v>101.34</v>
      </c>
      <c r="N20" s="64">
        <v>51.7</v>
      </c>
      <c r="O20" s="64">
        <v>0</v>
      </c>
      <c r="P20" s="64">
        <v>0.23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48" t="s">
        <v>545</v>
      </c>
      <c r="B21" s="64">
        <v>8.1999999999999993</v>
      </c>
      <c r="C21" s="64">
        <v>3.51</v>
      </c>
      <c r="D21" s="64">
        <v>12.18</v>
      </c>
      <c r="E21" s="64">
        <v>5.24</v>
      </c>
      <c r="F21" s="64">
        <v>2.58</v>
      </c>
      <c r="G21" s="64">
        <v>13.64</v>
      </c>
      <c r="H21" s="64">
        <v>9.6</v>
      </c>
      <c r="I21" s="64">
        <v>2.1800000000000002</v>
      </c>
      <c r="J21" s="64">
        <v>0.06</v>
      </c>
      <c r="K21" s="64">
        <v>10.57</v>
      </c>
      <c r="L21" s="64">
        <v>25.08</v>
      </c>
      <c r="M21" s="64">
        <v>101.33</v>
      </c>
      <c r="N21" s="64">
        <v>51.9</v>
      </c>
      <c r="O21" s="64">
        <v>0</v>
      </c>
      <c r="P21" s="64">
        <v>0.21</v>
      </c>
      <c r="Q21" s="64">
        <v>9.08</v>
      </c>
      <c r="R21" s="198"/>
      <c r="S21" s="198"/>
      <c r="T21" s="198"/>
      <c r="U21" s="198"/>
    </row>
    <row r="22" spans="1:21" s="12" customFormat="1" x14ac:dyDescent="0.25">
      <c r="A22" s="248" t="s">
        <v>546</v>
      </c>
      <c r="B22" s="64">
        <v>7.99</v>
      </c>
      <c r="C22" s="64">
        <v>3.06</v>
      </c>
      <c r="D22" s="64">
        <v>11.78</v>
      </c>
      <c r="E22" s="64">
        <v>4.8899999999999997</v>
      </c>
      <c r="F22" s="64">
        <v>4.93</v>
      </c>
      <c r="G22" s="64">
        <v>13.64</v>
      </c>
      <c r="H22" s="64">
        <v>9.6</v>
      </c>
      <c r="I22" s="64">
        <v>2.15</v>
      </c>
      <c r="J22" s="64">
        <v>0.1</v>
      </c>
      <c r="K22" s="64">
        <v>165.11</v>
      </c>
      <c r="L22" s="64">
        <v>24.78</v>
      </c>
      <c r="M22" s="64">
        <v>101.36</v>
      </c>
      <c r="N22" s="64">
        <v>52.4</v>
      </c>
      <c r="O22" s="64">
        <v>0.6</v>
      </c>
      <c r="P22" s="64">
        <v>0.22</v>
      </c>
      <c r="Q22" s="64">
        <v>9.14</v>
      </c>
      <c r="R22" s="198"/>
      <c r="S22" s="198"/>
      <c r="T22" s="198"/>
      <c r="U22" s="198"/>
    </row>
    <row r="23" spans="1:21" s="12" customFormat="1" x14ac:dyDescent="0.25">
      <c r="A23" s="248" t="s">
        <v>547</v>
      </c>
      <c r="B23" s="64">
        <v>8.15</v>
      </c>
      <c r="C23" s="64">
        <v>3.37</v>
      </c>
      <c r="D23" s="64">
        <v>12.07</v>
      </c>
      <c r="E23" s="64">
        <v>4.9800000000000004</v>
      </c>
      <c r="F23" s="64">
        <v>2.2400000000000002</v>
      </c>
      <c r="G23" s="64">
        <v>11.15</v>
      </c>
      <c r="H23" s="64">
        <v>11.11</v>
      </c>
      <c r="I23" s="64">
        <v>2.08</v>
      </c>
      <c r="J23" s="64">
        <v>7.0000000000000007E-2</v>
      </c>
      <c r="K23" s="64">
        <v>49.81</v>
      </c>
      <c r="L23" s="64">
        <v>24.52</v>
      </c>
      <c r="M23" s="64">
        <v>101.38</v>
      </c>
      <c r="N23" s="64">
        <v>52</v>
      </c>
      <c r="O23" s="64">
        <v>0.8</v>
      </c>
      <c r="P23" s="64">
        <v>0.21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48" t="s">
        <v>548</v>
      </c>
      <c r="B24" s="64">
        <v>8.36</v>
      </c>
      <c r="C24" s="64">
        <v>3.81</v>
      </c>
      <c r="D24" s="64">
        <v>12.46</v>
      </c>
      <c r="E24" s="64">
        <v>5.07</v>
      </c>
      <c r="F24" s="64">
        <v>4.32</v>
      </c>
      <c r="G24" s="64">
        <v>10.52</v>
      </c>
      <c r="H24" s="64">
        <v>11.48</v>
      </c>
      <c r="I24" s="64">
        <v>2.0099999999999998</v>
      </c>
      <c r="J24" s="64">
        <v>0.17</v>
      </c>
      <c r="K24" s="64">
        <v>149.52000000000001</v>
      </c>
      <c r="L24" s="64">
        <v>24.41</v>
      </c>
      <c r="M24" s="64">
        <v>101.4</v>
      </c>
      <c r="N24" s="64">
        <v>52</v>
      </c>
      <c r="O24" s="64">
        <v>0</v>
      </c>
      <c r="P24" s="64">
        <v>0.22</v>
      </c>
      <c r="Q24" s="64">
        <v>9.18</v>
      </c>
      <c r="R24" s="198"/>
      <c r="S24" s="198"/>
      <c r="T24" s="198"/>
      <c r="U24" s="198"/>
    </row>
    <row r="25" spans="1:21" s="12" customFormat="1" x14ac:dyDescent="0.25">
      <c r="A25" s="248" t="s">
        <v>549</v>
      </c>
      <c r="B25" s="64">
        <v>8.15</v>
      </c>
      <c r="C25" s="64">
        <v>3.38</v>
      </c>
      <c r="D25" s="64">
        <v>12.07</v>
      </c>
      <c r="E25" s="64">
        <v>5.07</v>
      </c>
      <c r="F25" s="64">
        <v>2.79</v>
      </c>
      <c r="G25" s="64">
        <v>10.52</v>
      </c>
      <c r="H25" s="64">
        <v>11.48</v>
      </c>
      <c r="I25" s="64">
        <v>1.96</v>
      </c>
      <c r="J25" s="64">
        <v>0.12</v>
      </c>
      <c r="K25" s="64">
        <v>154.01</v>
      </c>
      <c r="L25" s="64">
        <v>24.44</v>
      </c>
      <c r="M25" s="64">
        <v>101.32</v>
      </c>
      <c r="N25" s="64">
        <v>52</v>
      </c>
      <c r="O25" s="64">
        <v>0</v>
      </c>
      <c r="P25" s="64">
        <v>0.21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48" t="s">
        <v>550</v>
      </c>
      <c r="B26" s="64">
        <v>8.15</v>
      </c>
      <c r="C26" s="64">
        <v>3.41</v>
      </c>
      <c r="D26" s="64">
        <v>12.09</v>
      </c>
      <c r="E26" s="64">
        <v>5.21</v>
      </c>
      <c r="F26" s="64">
        <v>4.03</v>
      </c>
      <c r="G26" s="64">
        <v>10.52</v>
      </c>
      <c r="H26" s="64">
        <v>11.48</v>
      </c>
      <c r="I26" s="64">
        <v>1.93</v>
      </c>
      <c r="J26" s="64">
        <v>0.2</v>
      </c>
      <c r="K26" s="64">
        <v>161.66999999999999</v>
      </c>
      <c r="L26" s="64">
        <v>24.52</v>
      </c>
      <c r="M26" s="64">
        <v>101.33</v>
      </c>
      <c r="N26" s="64">
        <v>52.2</v>
      </c>
      <c r="O26" s="64">
        <v>0</v>
      </c>
      <c r="P26" s="64">
        <v>0.2</v>
      </c>
      <c r="Q26" s="64">
        <v>9.18</v>
      </c>
      <c r="R26" s="198"/>
      <c r="S26" s="198"/>
      <c r="T26" s="198"/>
      <c r="U26" s="198"/>
    </row>
    <row r="27" spans="1:21" s="12" customFormat="1" x14ac:dyDescent="0.25">
      <c r="A27" s="248" t="s">
        <v>551</v>
      </c>
      <c r="B27" s="64">
        <v>8.2100000000000009</v>
      </c>
      <c r="C27" s="64">
        <v>3.5</v>
      </c>
      <c r="D27" s="64">
        <v>12.19</v>
      </c>
      <c r="E27" s="64">
        <v>4.7</v>
      </c>
      <c r="F27" s="64">
        <v>3.33</v>
      </c>
      <c r="G27" s="64">
        <v>10.58</v>
      </c>
      <c r="H27" s="64">
        <v>10.58</v>
      </c>
      <c r="I27" s="64">
        <v>1.91</v>
      </c>
      <c r="J27" s="64">
        <v>0.35</v>
      </c>
      <c r="K27" s="64">
        <v>147.38999999999999</v>
      </c>
      <c r="L27" s="64">
        <v>24.57</v>
      </c>
      <c r="M27" s="64">
        <v>101.33</v>
      </c>
      <c r="N27" s="64">
        <v>53.4</v>
      </c>
      <c r="O27" s="64">
        <v>0</v>
      </c>
      <c r="P27" s="64">
        <v>0.21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48" t="s">
        <v>552</v>
      </c>
      <c r="B28" s="64">
        <v>8.18</v>
      </c>
      <c r="C28" s="64">
        <v>3.36</v>
      </c>
      <c r="D28" s="64">
        <v>12.09</v>
      </c>
      <c r="E28" s="64">
        <v>4.88</v>
      </c>
      <c r="F28" s="64">
        <v>3.7</v>
      </c>
      <c r="G28" s="64">
        <v>10.59</v>
      </c>
      <c r="H28" s="64">
        <v>10.36</v>
      </c>
      <c r="I28" s="64">
        <v>1.9</v>
      </c>
      <c r="J28" s="64">
        <v>0.18</v>
      </c>
      <c r="K28" s="64">
        <v>157.82</v>
      </c>
      <c r="L28" s="64">
        <v>24.58</v>
      </c>
      <c r="M28" s="64">
        <v>101.33</v>
      </c>
      <c r="N28" s="64">
        <v>57.8</v>
      </c>
      <c r="O28" s="64">
        <v>0</v>
      </c>
      <c r="P28" s="64">
        <v>0.19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48" t="s">
        <v>553</v>
      </c>
      <c r="B29" s="64">
        <v>8.3000000000000007</v>
      </c>
      <c r="C29" s="64">
        <v>3.59</v>
      </c>
      <c r="D29" s="64">
        <v>12.3</v>
      </c>
      <c r="E29" s="64">
        <v>5.05</v>
      </c>
      <c r="F29" s="64">
        <v>3.75</v>
      </c>
      <c r="G29" s="64">
        <v>10.59</v>
      </c>
      <c r="H29" s="64">
        <v>10.36</v>
      </c>
      <c r="I29" s="64">
        <v>1.96</v>
      </c>
      <c r="J29" s="64">
        <v>0.25</v>
      </c>
      <c r="K29" s="64">
        <v>145.88999999999999</v>
      </c>
      <c r="L29" s="64">
        <v>24.64</v>
      </c>
      <c r="M29" s="64">
        <v>101.34</v>
      </c>
      <c r="N29" s="64">
        <v>70.599999999999994</v>
      </c>
      <c r="O29" s="64">
        <v>0</v>
      </c>
      <c r="P29" s="64">
        <v>0.2</v>
      </c>
      <c r="Q29" s="64">
        <v>9.18</v>
      </c>
      <c r="R29" s="198"/>
      <c r="S29" s="198"/>
      <c r="T29" s="198"/>
      <c r="U29" s="198"/>
    </row>
    <row r="30" spans="1:21" s="12" customFormat="1" x14ac:dyDescent="0.25">
      <c r="A30" s="248" t="s">
        <v>554</v>
      </c>
      <c r="B30" s="64">
        <v>8.06</v>
      </c>
      <c r="C30" s="64">
        <v>3.12</v>
      </c>
      <c r="D30" s="64">
        <v>11.86</v>
      </c>
      <c r="E30" s="64">
        <v>4.7699999999999996</v>
      </c>
      <c r="F30" s="64">
        <v>3.14</v>
      </c>
      <c r="G30" s="64">
        <v>10.59</v>
      </c>
      <c r="H30" s="64">
        <v>10.36</v>
      </c>
      <c r="I30" s="64">
        <v>2.09</v>
      </c>
      <c r="J30" s="64">
        <v>0.15</v>
      </c>
      <c r="K30" s="64">
        <v>169.9</v>
      </c>
      <c r="L30" s="64">
        <v>24.75</v>
      </c>
      <c r="M30" s="64">
        <v>101.32</v>
      </c>
      <c r="N30" s="64">
        <v>84.3</v>
      </c>
      <c r="O30" s="64">
        <v>0</v>
      </c>
      <c r="P30" s="64">
        <v>0.2</v>
      </c>
      <c r="Q30" s="64">
        <v>9.1999999999999993</v>
      </c>
      <c r="R30" s="198"/>
      <c r="S30" s="198"/>
      <c r="T30" s="198"/>
      <c r="U30" s="198"/>
    </row>
    <row r="31" spans="1:21" s="12" customFormat="1" x14ac:dyDescent="0.25">
      <c r="A31" s="248" t="s">
        <v>555</v>
      </c>
      <c r="B31" s="64">
        <v>7.99</v>
      </c>
      <c r="C31" s="64">
        <v>2.98</v>
      </c>
      <c r="D31" s="64">
        <v>11.74</v>
      </c>
      <c r="E31" s="64">
        <v>4.83</v>
      </c>
      <c r="F31" s="64">
        <v>3.4</v>
      </c>
      <c r="G31" s="64">
        <v>8.0500000000000007</v>
      </c>
      <c r="H31" s="64">
        <v>8.6300000000000008</v>
      </c>
      <c r="I31" s="64">
        <v>2.1800000000000002</v>
      </c>
      <c r="J31" s="64">
        <v>0.17</v>
      </c>
      <c r="K31" s="64">
        <v>166.65</v>
      </c>
      <c r="L31" s="64">
        <v>24.87</v>
      </c>
      <c r="M31" s="64">
        <v>101.31</v>
      </c>
      <c r="N31" s="64">
        <v>101.2</v>
      </c>
      <c r="O31" s="64">
        <v>0</v>
      </c>
      <c r="P31" s="64">
        <v>0.2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48" t="s">
        <v>556</v>
      </c>
      <c r="B32" s="64">
        <v>7.97</v>
      </c>
      <c r="C32" s="64">
        <v>2.98</v>
      </c>
      <c r="D32" s="64">
        <v>11.73</v>
      </c>
      <c r="E32" s="64">
        <v>5.1100000000000003</v>
      </c>
      <c r="F32" s="64">
        <v>3.28</v>
      </c>
      <c r="G32" s="64">
        <v>7.41</v>
      </c>
      <c r="H32" s="64">
        <v>8.19</v>
      </c>
      <c r="I32" s="64">
        <v>2.2200000000000002</v>
      </c>
      <c r="J32" s="64">
        <v>0.03</v>
      </c>
      <c r="K32" s="64">
        <v>224.65</v>
      </c>
      <c r="L32" s="64">
        <v>25.06</v>
      </c>
      <c r="M32" s="64">
        <v>101.24</v>
      </c>
      <c r="N32" s="64">
        <v>96.8</v>
      </c>
      <c r="O32" s="64">
        <v>0</v>
      </c>
      <c r="P32" s="64">
        <v>0.2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48" t="s">
        <v>557</v>
      </c>
      <c r="B33" s="64">
        <v>7.99</v>
      </c>
      <c r="C33" s="64">
        <v>3</v>
      </c>
      <c r="D33" s="64">
        <v>11.74</v>
      </c>
      <c r="E33" s="64">
        <v>4.92</v>
      </c>
      <c r="F33" s="64">
        <v>3.3</v>
      </c>
      <c r="G33" s="64">
        <v>7.41</v>
      </c>
      <c r="H33" s="64">
        <v>8.19</v>
      </c>
      <c r="I33" s="64">
        <v>2.34</v>
      </c>
      <c r="J33" s="64">
        <v>0.06</v>
      </c>
      <c r="K33" s="64">
        <v>334.77</v>
      </c>
      <c r="L33" s="64">
        <v>25.13</v>
      </c>
      <c r="M33" s="64">
        <v>101.25</v>
      </c>
      <c r="N33" s="64">
        <v>83.7</v>
      </c>
      <c r="O33" s="64">
        <v>0</v>
      </c>
      <c r="P33" s="64">
        <v>0.24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48" t="s">
        <v>558</v>
      </c>
      <c r="B34" s="64">
        <v>8.01</v>
      </c>
      <c r="C34" s="64">
        <v>3.02</v>
      </c>
      <c r="D34" s="64">
        <v>11.78</v>
      </c>
      <c r="E34" s="64">
        <v>4.6500000000000004</v>
      </c>
      <c r="F34" s="64">
        <v>4.22</v>
      </c>
      <c r="G34" s="64">
        <v>7.41</v>
      </c>
      <c r="H34" s="64">
        <v>8.19</v>
      </c>
      <c r="I34" s="64">
        <v>2.34</v>
      </c>
      <c r="J34" s="64">
        <v>0.1</v>
      </c>
      <c r="K34" s="64">
        <v>352.62</v>
      </c>
      <c r="L34" s="64">
        <v>25.16</v>
      </c>
      <c r="M34" s="64">
        <v>101.26</v>
      </c>
      <c r="N34" s="64">
        <v>90.8</v>
      </c>
      <c r="O34" s="64">
        <v>0</v>
      </c>
      <c r="P34" s="64">
        <v>0.24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48" t="s">
        <v>559</v>
      </c>
      <c r="B35" s="64">
        <v>8</v>
      </c>
      <c r="C35" s="64">
        <v>3.01</v>
      </c>
      <c r="D35" s="64">
        <v>11.76</v>
      </c>
      <c r="E35" s="64">
        <v>5.28</v>
      </c>
      <c r="F35" s="64">
        <v>4.46</v>
      </c>
      <c r="G35" s="64">
        <v>11.31</v>
      </c>
      <c r="H35" s="64">
        <v>6.61</v>
      </c>
      <c r="I35" s="64">
        <v>2.2799999999999998</v>
      </c>
      <c r="J35" s="64">
        <v>0.09</v>
      </c>
      <c r="K35" s="64">
        <v>26.46</v>
      </c>
      <c r="L35" s="64">
        <v>25.31</v>
      </c>
      <c r="M35" s="64">
        <v>101.27</v>
      </c>
      <c r="N35" s="64">
        <v>137.4</v>
      </c>
      <c r="O35" s="64">
        <v>0</v>
      </c>
      <c r="P35" s="64">
        <v>0.25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48" t="s">
        <v>560</v>
      </c>
      <c r="B36" s="64">
        <v>8.16</v>
      </c>
      <c r="C36" s="64">
        <v>3.32</v>
      </c>
      <c r="D36" s="64">
        <v>12.06</v>
      </c>
      <c r="E36" s="64">
        <v>4.8899999999999997</v>
      </c>
      <c r="F36" s="64">
        <v>4.04</v>
      </c>
      <c r="G36" s="64">
        <v>12.28</v>
      </c>
      <c r="H36" s="64">
        <v>6.21</v>
      </c>
      <c r="I36" s="64">
        <v>2.2200000000000002</v>
      </c>
      <c r="J36" s="64">
        <v>0.02</v>
      </c>
      <c r="K36" s="64">
        <v>339.28</v>
      </c>
      <c r="L36" s="64">
        <v>25.53</v>
      </c>
      <c r="M36" s="64">
        <v>101.16</v>
      </c>
      <c r="N36" s="64">
        <v>172.6</v>
      </c>
      <c r="O36" s="64">
        <v>0</v>
      </c>
      <c r="P36" s="64">
        <v>0.26</v>
      </c>
      <c r="Q36" s="64">
        <v>9.19</v>
      </c>
      <c r="R36" s="198"/>
      <c r="S36" s="198"/>
      <c r="T36" s="198"/>
      <c r="U36" s="198"/>
    </row>
    <row r="37" spans="1:21" s="12" customFormat="1" x14ac:dyDescent="0.25">
      <c r="A37" s="248" t="s">
        <v>561</v>
      </c>
      <c r="B37" s="64">
        <v>8.34</v>
      </c>
      <c r="C37" s="64">
        <v>3.76</v>
      </c>
      <c r="D37" s="64">
        <v>12.43</v>
      </c>
      <c r="E37" s="64">
        <v>4.58</v>
      </c>
      <c r="F37" s="64">
        <v>3.76</v>
      </c>
      <c r="G37" s="64">
        <v>12.28</v>
      </c>
      <c r="H37" s="64">
        <v>6.21</v>
      </c>
      <c r="I37" s="64">
        <v>2.14</v>
      </c>
      <c r="J37" s="64">
        <v>0.1</v>
      </c>
      <c r="K37" s="64">
        <v>10.79</v>
      </c>
      <c r="L37" s="64">
        <v>25.92</v>
      </c>
      <c r="M37" s="64">
        <v>101.1</v>
      </c>
      <c r="N37" s="64">
        <v>234.5</v>
      </c>
      <c r="O37" s="64">
        <v>0</v>
      </c>
      <c r="P37" s="64">
        <v>0.25</v>
      </c>
      <c r="Q37" s="64">
        <v>9.18</v>
      </c>
      <c r="R37" s="198"/>
      <c r="S37" s="198"/>
      <c r="T37" s="198"/>
      <c r="U37" s="198"/>
    </row>
    <row r="38" spans="1:21" s="12" customFormat="1" x14ac:dyDescent="0.25">
      <c r="A38" s="248" t="s">
        <v>562</v>
      </c>
      <c r="B38" s="64">
        <v>8.31</v>
      </c>
      <c r="C38" s="64">
        <v>3.71</v>
      </c>
      <c r="D38" s="64">
        <v>12.37</v>
      </c>
      <c r="E38" s="64">
        <v>4.53</v>
      </c>
      <c r="F38" s="64">
        <v>4.34</v>
      </c>
      <c r="G38" s="64">
        <v>12.28</v>
      </c>
      <c r="H38" s="64">
        <v>6.21</v>
      </c>
      <c r="I38" s="64">
        <v>2.13</v>
      </c>
      <c r="J38" s="64">
        <v>0.23</v>
      </c>
      <c r="K38" s="64">
        <v>356.62</v>
      </c>
      <c r="L38" s="64">
        <v>26.33</v>
      </c>
      <c r="M38" s="64">
        <v>101.07</v>
      </c>
      <c r="N38" s="64">
        <v>288.39999999999998</v>
      </c>
      <c r="O38" s="64">
        <v>0</v>
      </c>
      <c r="P38" s="64">
        <v>0.27</v>
      </c>
      <c r="Q38" s="64">
        <v>9.17</v>
      </c>
      <c r="R38" s="198"/>
      <c r="S38" s="198"/>
      <c r="T38" s="198"/>
      <c r="U38" s="198"/>
    </row>
    <row r="39" spans="1:21" s="12" customFormat="1" x14ac:dyDescent="0.25">
      <c r="A39" s="248" t="s">
        <v>563</v>
      </c>
      <c r="B39" s="64">
        <v>8.41</v>
      </c>
      <c r="C39" s="64">
        <v>4.0199999999999996</v>
      </c>
      <c r="D39" s="64">
        <v>12.62</v>
      </c>
      <c r="E39" s="64">
        <v>4.7699999999999996</v>
      </c>
      <c r="F39" s="64">
        <v>2.67</v>
      </c>
      <c r="G39" s="64">
        <v>11.75</v>
      </c>
      <c r="H39" s="64">
        <v>7.2</v>
      </c>
      <c r="I39" s="64">
        <v>2.11</v>
      </c>
      <c r="J39" s="64">
        <v>0.19</v>
      </c>
      <c r="K39" s="64">
        <v>53.03</v>
      </c>
      <c r="L39" s="64">
        <v>26.66</v>
      </c>
      <c r="M39" s="64">
        <v>101.06</v>
      </c>
      <c r="N39" s="64">
        <v>286.89999999999998</v>
      </c>
      <c r="O39" s="64">
        <v>0</v>
      </c>
      <c r="P39" s="64">
        <v>0.26</v>
      </c>
      <c r="Q39" s="64">
        <v>9.15</v>
      </c>
      <c r="R39" s="198"/>
      <c r="S39" s="198"/>
      <c r="T39" s="198"/>
      <c r="U39" s="198"/>
    </row>
    <row r="40" spans="1:21" s="12" customFormat="1" x14ac:dyDescent="0.25">
      <c r="A40" s="248" t="s">
        <v>564</v>
      </c>
      <c r="B40" s="64">
        <v>8.08</v>
      </c>
      <c r="C40" s="64">
        <v>3.31</v>
      </c>
      <c r="D40" s="64">
        <v>11.98</v>
      </c>
      <c r="E40" s="64">
        <v>4.5999999999999996</v>
      </c>
      <c r="F40" s="64">
        <v>4.6900000000000004</v>
      </c>
      <c r="G40" s="64">
        <v>11.62</v>
      </c>
      <c r="H40" s="64">
        <v>7.45</v>
      </c>
      <c r="I40" s="64">
        <v>2</v>
      </c>
      <c r="J40" s="64">
        <v>0.21</v>
      </c>
      <c r="K40" s="64">
        <v>347.27</v>
      </c>
      <c r="L40" s="64">
        <v>26.86</v>
      </c>
      <c r="M40" s="64">
        <v>101.04</v>
      </c>
      <c r="N40" s="64">
        <v>298.8</v>
      </c>
      <c r="O40" s="64">
        <v>0.2</v>
      </c>
      <c r="P40" s="64">
        <v>0.27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48" t="s">
        <v>565</v>
      </c>
      <c r="B41" s="64">
        <v>8.02</v>
      </c>
      <c r="C41" s="64">
        <v>3.16</v>
      </c>
      <c r="D41" s="64">
        <v>11.86</v>
      </c>
      <c r="E41" s="64">
        <v>4.2</v>
      </c>
      <c r="F41" s="64">
        <v>3.34</v>
      </c>
      <c r="G41" s="64">
        <v>11.62</v>
      </c>
      <c r="H41" s="64">
        <v>7.45</v>
      </c>
      <c r="I41" s="64">
        <v>1.85</v>
      </c>
      <c r="J41" s="64">
        <v>0.21</v>
      </c>
      <c r="K41" s="64">
        <v>355.49</v>
      </c>
      <c r="L41" s="64">
        <v>26.83</v>
      </c>
      <c r="M41" s="64">
        <v>101.02</v>
      </c>
      <c r="N41" s="64">
        <v>218.3</v>
      </c>
      <c r="O41" s="64">
        <v>0</v>
      </c>
      <c r="P41" s="64">
        <v>0.26</v>
      </c>
      <c r="Q41" s="64">
        <v>9.17</v>
      </c>
      <c r="R41" s="198"/>
      <c r="S41" s="198"/>
      <c r="T41" s="198"/>
      <c r="U41" s="198"/>
    </row>
    <row r="42" spans="1:21" s="12" customFormat="1" x14ac:dyDescent="0.25">
      <c r="A42" s="248" t="s">
        <v>566</v>
      </c>
      <c r="B42" s="64">
        <v>8.14</v>
      </c>
      <c r="C42" s="64">
        <v>3.46</v>
      </c>
      <c r="D42" s="64">
        <v>12.11</v>
      </c>
      <c r="E42" s="64">
        <v>4.6500000000000004</v>
      </c>
      <c r="F42" s="64">
        <v>4.45</v>
      </c>
      <c r="G42" s="64">
        <v>11.62</v>
      </c>
      <c r="H42" s="64">
        <v>7.45</v>
      </c>
      <c r="I42" s="64">
        <v>1.86</v>
      </c>
      <c r="J42" s="64">
        <v>0.19</v>
      </c>
      <c r="K42" s="64">
        <v>340.47</v>
      </c>
      <c r="L42" s="64">
        <v>26.95</v>
      </c>
      <c r="M42" s="64">
        <v>100.74</v>
      </c>
      <c r="N42" s="64">
        <v>261.10000000000002</v>
      </c>
      <c r="O42" s="64">
        <v>0</v>
      </c>
      <c r="P42" s="64">
        <v>0.26</v>
      </c>
      <c r="Q42" s="64">
        <v>9.18</v>
      </c>
      <c r="R42" s="198"/>
      <c r="S42" s="198"/>
      <c r="T42" s="198"/>
      <c r="U42" s="198"/>
    </row>
    <row r="43" spans="1:21" s="12" customFormat="1" x14ac:dyDescent="0.25">
      <c r="A43" s="248" t="s">
        <v>567</v>
      </c>
      <c r="B43" s="64">
        <v>8.18</v>
      </c>
      <c r="C43" s="64">
        <v>3.61</v>
      </c>
      <c r="D43" s="64">
        <v>12.22</v>
      </c>
      <c r="E43" s="64">
        <v>4.34</v>
      </c>
      <c r="F43" s="64">
        <v>4.1399999999999997</v>
      </c>
      <c r="G43" s="64">
        <v>16.05</v>
      </c>
      <c r="H43" s="64">
        <v>5.89</v>
      </c>
      <c r="I43" s="64">
        <v>1.69</v>
      </c>
      <c r="J43" s="64">
        <v>0.18</v>
      </c>
      <c r="K43" s="64">
        <v>346.52</v>
      </c>
      <c r="L43" s="64">
        <v>26.92</v>
      </c>
      <c r="M43" s="64">
        <v>100.66</v>
      </c>
      <c r="N43" s="64">
        <v>236.4</v>
      </c>
      <c r="O43" s="64">
        <v>0</v>
      </c>
      <c r="P43" s="64">
        <v>0.27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48" t="s">
        <v>568</v>
      </c>
      <c r="B44" s="64">
        <v>8.0299999999999994</v>
      </c>
      <c r="C44" s="64">
        <v>3.24</v>
      </c>
      <c r="D44" s="64">
        <v>11.9</v>
      </c>
      <c r="E44" s="64">
        <v>4.7300000000000004</v>
      </c>
      <c r="F44" s="64">
        <v>3.51</v>
      </c>
      <c r="G44" s="64">
        <v>17.149999999999999</v>
      </c>
      <c r="H44" s="64">
        <v>5.5</v>
      </c>
      <c r="I44" s="64">
        <v>1.59</v>
      </c>
      <c r="J44" s="64">
        <v>0.38</v>
      </c>
      <c r="K44" s="64">
        <v>352.71</v>
      </c>
      <c r="L44" s="64">
        <v>27.1</v>
      </c>
      <c r="M44" s="64">
        <v>98.92</v>
      </c>
      <c r="N44" s="64">
        <v>273.8</v>
      </c>
      <c r="O44" s="64">
        <v>0</v>
      </c>
      <c r="P44" s="64">
        <v>0.26</v>
      </c>
      <c r="Q44" s="64">
        <v>9.15</v>
      </c>
      <c r="R44" s="198"/>
      <c r="S44" s="198"/>
      <c r="T44" s="198"/>
      <c r="U44" s="198"/>
    </row>
    <row r="45" spans="1:21" s="12" customFormat="1" x14ac:dyDescent="0.25">
      <c r="A45" s="248" t="s">
        <v>569</v>
      </c>
      <c r="B45" s="64">
        <v>8.1199999999999992</v>
      </c>
      <c r="C45" s="64">
        <v>3.5</v>
      </c>
      <c r="D45" s="64">
        <v>12.11</v>
      </c>
      <c r="E45" s="64">
        <v>4.59</v>
      </c>
      <c r="F45" s="64">
        <v>5.0199999999999996</v>
      </c>
      <c r="G45" s="64">
        <v>17.149999999999999</v>
      </c>
      <c r="H45" s="64">
        <v>5.5</v>
      </c>
      <c r="I45" s="64">
        <v>1.54</v>
      </c>
      <c r="J45" s="64">
        <v>0.3</v>
      </c>
      <c r="K45" s="64">
        <v>1.2</v>
      </c>
      <c r="L45" s="64">
        <v>27.02</v>
      </c>
      <c r="M45" s="64">
        <v>99.73</v>
      </c>
      <c r="N45" s="64">
        <v>216.9</v>
      </c>
      <c r="O45" s="64">
        <v>0</v>
      </c>
      <c r="P45" s="64">
        <v>0.28000000000000003</v>
      </c>
      <c r="Q45" s="64">
        <v>9.15</v>
      </c>
      <c r="R45" s="198"/>
      <c r="S45" s="198"/>
      <c r="T45" s="198"/>
      <c r="U45" s="198"/>
    </row>
    <row r="46" spans="1:21" s="12" customFormat="1" x14ac:dyDescent="0.25">
      <c r="A46" s="248" t="s">
        <v>570</v>
      </c>
      <c r="B46" s="64">
        <v>7.98</v>
      </c>
      <c r="C46" s="64">
        <v>3.08</v>
      </c>
      <c r="D46" s="64">
        <v>11.78</v>
      </c>
      <c r="E46" s="64">
        <v>4.72</v>
      </c>
      <c r="F46" s="64">
        <v>3.1</v>
      </c>
      <c r="G46" s="64">
        <v>17.149999999999999</v>
      </c>
      <c r="H46" s="64">
        <v>5.5</v>
      </c>
      <c r="I46" s="64">
        <v>1.41</v>
      </c>
      <c r="J46" s="64">
        <v>0.14000000000000001</v>
      </c>
      <c r="K46" s="64">
        <v>355.41</v>
      </c>
      <c r="L46" s="64">
        <v>27.25</v>
      </c>
      <c r="M46" s="64">
        <v>99.59</v>
      </c>
      <c r="N46" s="64">
        <v>267</v>
      </c>
      <c r="O46" s="64">
        <v>0</v>
      </c>
      <c r="P46" s="64">
        <v>0.26</v>
      </c>
      <c r="Q46" s="64">
        <v>9.1199999999999992</v>
      </c>
      <c r="R46" s="198"/>
      <c r="S46" s="198"/>
      <c r="T46" s="198"/>
      <c r="U46" s="198"/>
    </row>
    <row r="47" spans="1:21" s="12" customFormat="1" x14ac:dyDescent="0.25">
      <c r="A47" s="248" t="s">
        <v>571</v>
      </c>
      <c r="B47" s="64">
        <v>7.97</v>
      </c>
      <c r="C47" s="64">
        <v>2.96</v>
      </c>
      <c r="D47" s="64">
        <v>11.71</v>
      </c>
      <c r="E47" s="64">
        <v>4.4400000000000004</v>
      </c>
      <c r="F47" s="64">
        <v>4.3499999999999996</v>
      </c>
      <c r="G47" s="64">
        <v>16.63</v>
      </c>
      <c r="H47" s="64">
        <v>4.4000000000000004</v>
      </c>
      <c r="I47" s="64">
        <v>1.34</v>
      </c>
      <c r="J47" s="64">
        <v>0.13</v>
      </c>
      <c r="K47" s="64">
        <v>354</v>
      </c>
      <c r="L47" s="64">
        <v>27.58</v>
      </c>
      <c r="M47" s="64">
        <v>97.97</v>
      </c>
      <c r="N47" s="64">
        <v>283.89999999999998</v>
      </c>
      <c r="O47" s="64">
        <v>0</v>
      </c>
      <c r="P47" s="64">
        <v>0.27</v>
      </c>
      <c r="Q47" s="64">
        <v>9.1199999999999992</v>
      </c>
      <c r="R47" s="198"/>
      <c r="S47" s="198"/>
      <c r="T47" s="198"/>
      <c r="U47" s="198"/>
    </row>
    <row r="48" spans="1:21" s="12" customFormat="1" x14ac:dyDescent="0.25">
      <c r="A48" s="248" t="s">
        <v>572</v>
      </c>
      <c r="B48" s="64">
        <v>7.97</v>
      </c>
      <c r="C48" s="64">
        <v>2.92</v>
      </c>
      <c r="D48" s="64">
        <v>11.69</v>
      </c>
      <c r="E48" s="64">
        <v>4.34</v>
      </c>
      <c r="F48" s="64">
        <v>4.0199999999999996</v>
      </c>
      <c r="G48" s="64">
        <v>16.5</v>
      </c>
      <c r="H48" s="64">
        <v>4.13</v>
      </c>
      <c r="I48" s="64">
        <v>1.21</v>
      </c>
      <c r="J48" s="64">
        <v>0.14000000000000001</v>
      </c>
      <c r="K48" s="64">
        <v>2.67</v>
      </c>
      <c r="L48" s="64">
        <v>27.38</v>
      </c>
      <c r="M48" s="64">
        <v>97.84</v>
      </c>
      <c r="N48" s="64">
        <v>226.6</v>
      </c>
      <c r="O48" s="64">
        <v>0</v>
      </c>
      <c r="P48" s="64">
        <v>0.27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48" t="s">
        <v>573</v>
      </c>
      <c r="B49" s="64">
        <v>7.97</v>
      </c>
      <c r="C49" s="64">
        <v>2.93</v>
      </c>
      <c r="D49" s="64">
        <v>11.7</v>
      </c>
      <c r="E49" s="64">
        <v>4.49</v>
      </c>
      <c r="F49" s="64">
        <v>4.0199999999999996</v>
      </c>
      <c r="G49" s="64">
        <v>16.5</v>
      </c>
      <c r="H49" s="64">
        <v>4.13</v>
      </c>
      <c r="I49" s="64">
        <v>1.23</v>
      </c>
      <c r="J49" s="64">
        <v>0.1</v>
      </c>
      <c r="K49" s="64">
        <v>328.46</v>
      </c>
      <c r="L49" s="64">
        <v>27.35</v>
      </c>
      <c r="M49" s="64">
        <v>99.23</v>
      </c>
      <c r="N49" s="64">
        <v>227.7</v>
      </c>
      <c r="O49" s="64">
        <v>0</v>
      </c>
      <c r="P49" s="64">
        <v>0.28000000000000003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48" t="s">
        <v>574</v>
      </c>
      <c r="B50" s="64">
        <v>7.97</v>
      </c>
      <c r="C50" s="64">
        <v>2.95</v>
      </c>
      <c r="D50" s="64">
        <v>11.71</v>
      </c>
      <c r="E50" s="64">
        <v>4.2699999999999996</v>
      </c>
      <c r="F50" s="64">
        <v>3.83</v>
      </c>
      <c r="G50" s="64">
        <v>16.5</v>
      </c>
      <c r="H50" s="64">
        <v>4.13</v>
      </c>
      <c r="I50" s="64">
        <v>1.26</v>
      </c>
      <c r="J50" s="64">
        <v>0.19</v>
      </c>
      <c r="K50" s="64">
        <v>345.98</v>
      </c>
      <c r="L50" s="64">
        <v>27.13</v>
      </c>
      <c r="M50" s="64">
        <v>100.61</v>
      </c>
      <c r="N50" s="64">
        <v>202.5</v>
      </c>
      <c r="O50" s="64">
        <v>0</v>
      </c>
      <c r="P50" s="64">
        <v>0.28000000000000003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48" t="s">
        <v>575</v>
      </c>
      <c r="B51" s="64">
        <v>7.99</v>
      </c>
      <c r="C51" s="64">
        <v>2.97</v>
      </c>
      <c r="D51" s="64">
        <v>11.74</v>
      </c>
      <c r="E51" s="64">
        <v>4.25</v>
      </c>
      <c r="F51" s="64">
        <v>4.3899999999999997</v>
      </c>
      <c r="G51" s="64">
        <v>24.16</v>
      </c>
      <c r="H51" s="64">
        <v>3.67</v>
      </c>
      <c r="I51" s="64">
        <v>1.26</v>
      </c>
      <c r="J51" s="64">
        <v>0.16</v>
      </c>
      <c r="K51" s="64">
        <v>340.63</v>
      </c>
      <c r="L51" s="64">
        <v>27.07</v>
      </c>
      <c r="M51" s="64">
        <v>101.1</v>
      </c>
      <c r="N51" s="64">
        <v>162.30000000000001</v>
      </c>
      <c r="O51" s="64">
        <v>0</v>
      </c>
      <c r="P51" s="64">
        <v>0.28000000000000003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48" t="s">
        <v>576</v>
      </c>
      <c r="B52" s="64">
        <v>8.01</v>
      </c>
      <c r="C52" s="64">
        <v>2.97</v>
      </c>
      <c r="D52" s="64">
        <v>11.75</v>
      </c>
      <c r="E52" s="64">
        <v>3.72</v>
      </c>
      <c r="F52" s="64">
        <v>3.85</v>
      </c>
      <c r="G52" s="64">
        <v>26.08</v>
      </c>
      <c r="H52" s="64">
        <v>3.56</v>
      </c>
      <c r="I52" s="64">
        <v>1.25</v>
      </c>
      <c r="J52" s="64">
        <v>0.25</v>
      </c>
      <c r="K52" s="64">
        <v>351.1</v>
      </c>
      <c r="L52" s="64">
        <v>26.72</v>
      </c>
      <c r="M52" s="64">
        <v>101.47</v>
      </c>
      <c r="N52" s="64">
        <v>238.1</v>
      </c>
      <c r="O52" s="64">
        <v>0</v>
      </c>
      <c r="P52" s="64">
        <v>0.28000000000000003</v>
      </c>
      <c r="Q52" s="64">
        <v>9.17</v>
      </c>
      <c r="R52" s="198"/>
      <c r="S52" s="198"/>
      <c r="T52" s="198"/>
      <c r="U52" s="198"/>
    </row>
    <row r="53" spans="1:21" s="12" customFormat="1" x14ac:dyDescent="0.25">
      <c r="A53" s="248" t="s">
        <v>577</v>
      </c>
      <c r="B53" s="64">
        <v>8.1</v>
      </c>
      <c r="C53" s="64">
        <v>3.18</v>
      </c>
      <c r="D53" s="64">
        <v>11.94</v>
      </c>
      <c r="E53" s="64">
        <v>3.54</v>
      </c>
      <c r="F53" s="64">
        <v>4.2</v>
      </c>
      <c r="G53" s="64">
        <v>26.08</v>
      </c>
      <c r="H53" s="64">
        <v>3.56</v>
      </c>
      <c r="I53" s="64">
        <v>1.29</v>
      </c>
      <c r="J53" s="64">
        <v>0.01</v>
      </c>
      <c r="K53" s="64">
        <v>212.57</v>
      </c>
      <c r="L53" s="64">
        <v>27.22</v>
      </c>
      <c r="M53" s="64">
        <v>101.49</v>
      </c>
      <c r="N53" s="64">
        <v>333.5</v>
      </c>
      <c r="O53" s="64">
        <v>0</v>
      </c>
      <c r="P53" s="64">
        <v>0.3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48" t="s">
        <v>578</v>
      </c>
      <c r="B54" s="64">
        <v>8.3000000000000007</v>
      </c>
      <c r="C54" s="64">
        <v>3.71</v>
      </c>
      <c r="D54" s="64">
        <v>12.37</v>
      </c>
      <c r="E54" s="64">
        <v>3.85</v>
      </c>
      <c r="F54" s="64">
        <v>4.18</v>
      </c>
      <c r="G54" s="64">
        <v>26.08</v>
      </c>
      <c r="H54" s="64">
        <v>3.56</v>
      </c>
      <c r="I54" s="64">
        <v>1.32</v>
      </c>
      <c r="J54" s="64">
        <v>0.11</v>
      </c>
      <c r="K54" s="64">
        <v>343.35</v>
      </c>
      <c r="L54" s="64">
        <v>27.81</v>
      </c>
      <c r="M54" s="64">
        <v>101.28</v>
      </c>
      <c r="N54" s="64">
        <v>405.4</v>
      </c>
      <c r="O54" s="64">
        <v>0</v>
      </c>
      <c r="P54" s="64">
        <v>0.3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48" t="s">
        <v>579</v>
      </c>
      <c r="B55" s="64">
        <v>8.01</v>
      </c>
      <c r="C55" s="64">
        <v>3.09</v>
      </c>
      <c r="D55" s="64">
        <v>11.81</v>
      </c>
      <c r="E55" s="64">
        <v>3.54</v>
      </c>
      <c r="F55" s="64">
        <v>4.42</v>
      </c>
      <c r="G55" s="64">
        <v>21.77</v>
      </c>
      <c r="H55" s="64">
        <v>3.64</v>
      </c>
      <c r="I55" s="64">
        <v>1.39</v>
      </c>
      <c r="J55" s="64">
        <v>0.17</v>
      </c>
      <c r="K55" s="64">
        <v>6.52</v>
      </c>
      <c r="L55" s="64">
        <v>28.34</v>
      </c>
      <c r="M55" s="64">
        <v>98.18</v>
      </c>
      <c r="N55" s="64">
        <v>454.2</v>
      </c>
      <c r="O55" s="64">
        <v>0</v>
      </c>
      <c r="P55" s="64">
        <v>0.3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48" t="s">
        <v>580</v>
      </c>
      <c r="B56" s="64">
        <v>7.96</v>
      </c>
      <c r="C56" s="64">
        <v>3.01</v>
      </c>
      <c r="D56" s="64">
        <v>11.73</v>
      </c>
      <c r="E56" s="64">
        <v>3.5</v>
      </c>
      <c r="F56" s="64">
        <v>3.79</v>
      </c>
      <c r="G56" s="64">
        <v>20.7</v>
      </c>
      <c r="H56" s="64">
        <v>3.66</v>
      </c>
      <c r="I56" s="64">
        <v>1.44</v>
      </c>
      <c r="J56" s="64">
        <v>0.14000000000000001</v>
      </c>
      <c r="K56" s="64">
        <v>346.03</v>
      </c>
      <c r="L56" s="64">
        <v>28.21</v>
      </c>
      <c r="M56" s="64">
        <v>97.54</v>
      </c>
      <c r="N56" s="64">
        <v>235.2</v>
      </c>
      <c r="O56" s="64">
        <v>0</v>
      </c>
      <c r="P56" s="64">
        <v>0.31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48" t="s">
        <v>581</v>
      </c>
      <c r="B57" s="64">
        <v>8.31</v>
      </c>
      <c r="C57" s="64">
        <v>3.78</v>
      </c>
      <c r="D57" s="64">
        <v>12.41</v>
      </c>
      <c r="E57" s="64">
        <v>3.24</v>
      </c>
      <c r="F57" s="64">
        <v>4.17</v>
      </c>
      <c r="G57" s="64">
        <v>20.7</v>
      </c>
      <c r="H57" s="64">
        <v>3.66</v>
      </c>
      <c r="I57" s="64">
        <v>1.4</v>
      </c>
      <c r="J57" s="64">
        <v>0.28000000000000003</v>
      </c>
      <c r="K57" s="64">
        <v>347.16</v>
      </c>
      <c r="L57" s="64">
        <v>28.02</v>
      </c>
      <c r="M57" s="64">
        <v>95.81</v>
      </c>
      <c r="N57" s="64">
        <v>195</v>
      </c>
      <c r="O57" s="64">
        <v>0</v>
      </c>
      <c r="P57" s="64">
        <v>0.28999999999999998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48" t="s">
        <v>582</v>
      </c>
      <c r="B58" s="64">
        <v>8.08</v>
      </c>
      <c r="C58" s="64">
        <v>3.38</v>
      </c>
      <c r="D58" s="64">
        <v>12.02</v>
      </c>
      <c r="E58" s="64">
        <v>2.89</v>
      </c>
      <c r="F58" s="64">
        <v>4.3099999999999996</v>
      </c>
      <c r="G58" s="64">
        <v>20.7</v>
      </c>
      <c r="H58" s="64">
        <v>3.66</v>
      </c>
      <c r="I58" s="64">
        <v>1.43</v>
      </c>
      <c r="J58" s="64">
        <v>0.35</v>
      </c>
      <c r="K58" s="64">
        <v>6.06</v>
      </c>
      <c r="L58" s="64">
        <v>28.18</v>
      </c>
      <c r="M58" s="64">
        <v>94.53</v>
      </c>
      <c r="N58" s="64">
        <v>229.1</v>
      </c>
      <c r="O58" s="64">
        <v>0</v>
      </c>
      <c r="P58" s="64">
        <v>0.32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48" t="s">
        <v>583</v>
      </c>
      <c r="B59" s="64">
        <v>8.16</v>
      </c>
      <c r="C59" s="64">
        <v>3.55</v>
      </c>
      <c r="D59" s="64">
        <v>12.17</v>
      </c>
      <c r="E59" s="64">
        <v>3.33</v>
      </c>
      <c r="F59" s="64">
        <v>2.95</v>
      </c>
      <c r="G59" s="64">
        <v>26.56</v>
      </c>
      <c r="H59" s="64">
        <v>5.17</v>
      </c>
      <c r="I59" s="64">
        <v>1.35</v>
      </c>
      <c r="J59" s="64">
        <v>0.33</v>
      </c>
      <c r="K59" s="64">
        <v>358.61</v>
      </c>
      <c r="L59" s="64">
        <v>28.42</v>
      </c>
      <c r="M59" s="64">
        <v>93.17</v>
      </c>
      <c r="N59" s="64">
        <v>211</v>
      </c>
      <c r="O59" s="64">
        <v>0</v>
      </c>
      <c r="P59" s="64">
        <v>0.31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48" t="s">
        <v>584</v>
      </c>
      <c r="B60" s="64">
        <v>8.01</v>
      </c>
      <c r="C60" s="64">
        <v>3.14</v>
      </c>
      <c r="D60" s="64">
        <v>11.83</v>
      </c>
      <c r="E60" s="64">
        <v>3.04</v>
      </c>
      <c r="F60" s="64">
        <v>5.12</v>
      </c>
      <c r="G60" s="64">
        <v>28.02</v>
      </c>
      <c r="H60" s="64">
        <v>5.55</v>
      </c>
      <c r="I60" s="64">
        <v>1.38</v>
      </c>
      <c r="J60" s="64">
        <v>0.28999999999999998</v>
      </c>
      <c r="K60" s="64">
        <v>340.84</v>
      </c>
      <c r="L60" s="64">
        <v>28.43</v>
      </c>
      <c r="M60" s="64">
        <v>93.27</v>
      </c>
      <c r="N60" s="64">
        <v>340.9</v>
      </c>
      <c r="O60" s="64">
        <v>0</v>
      </c>
      <c r="P60" s="64">
        <v>0.34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48" t="s">
        <v>585</v>
      </c>
      <c r="B61" s="64">
        <v>8.16</v>
      </c>
      <c r="C61" s="64">
        <v>3.55</v>
      </c>
      <c r="D61" s="64">
        <v>12.17</v>
      </c>
      <c r="E61" s="64">
        <v>3.55</v>
      </c>
      <c r="F61" s="64">
        <v>3.25</v>
      </c>
      <c r="G61" s="64">
        <v>28.02</v>
      </c>
      <c r="H61" s="64">
        <v>5.55</v>
      </c>
      <c r="I61" s="64">
        <v>1.29</v>
      </c>
      <c r="J61" s="64">
        <v>0.21</v>
      </c>
      <c r="K61" s="64">
        <v>335.53</v>
      </c>
      <c r="L61" s="64">
        <v>29.2</v>
      </c>
      <c r="M61" s="64">
        <v>91.01</v>
      </c>
      <c r="N61" s="64">
        <v>490.5</v>
      </c>
      <c r="O61" s="64">
        <v>0</v>
      </c>
      <c r="P61" s="64">
        <v>0.33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48" t="s">
        <v>586</v>
      </c>
      <c r="B62" s="64">
        <v>8.15</v>
      </c>
      <c r="C62" s="64">
        <v>3.54</v>
      </c>
      <c r="D62" s="64">
        <v>12.16</v>
      </c>
      <c r="E62" s="64">
        <v>3.51</v>
      </c>
      <c r="F62" s="64">
        <v>4.74</v>
      </c>
      <c r="G62" s="64">
        <v>28.02</v>
      </c>
      <c r="H62" s="64">
        <v>5.55</v>
      </c>
      <c r="I62" s="64">
        <v>1.33</v>
      </c>
      <c r="J62" s="64">
        <v>0.32</v>
      </c>
      <c r="K62" s="64">
        <v>358.69</v>
      </c>
      <c r="L62" s="64">
        <v>29.35</v>
      </c>
      <c r="M62" s="64">
        <v>90.39</v>
      </c>
      <c r="N62" s="64">
        <v>348.8</v>
      </c>
      <c r="O62" s="64">
        <v>0</v>
      </c>
      <c r="P62" s="64">
        <v>0.33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48" t="s">
        <v>587</v>
      </c>
      <c r="B63" s="64">
        <v>7.97</v>
      </c>
      <c r="C63" s="64">
        <v>3.06</v>
      </c>
      <c r="D63" s="64">
        <v>11.76</v>
      </c>
      <c r="E63" s="64">
        <v>3.55</v>
      </c>
      <c r="F63" s="64">
        <v>5.47</v>
      </c>
      <c r="G63" s="64">
        <v>30.27</v>
      </c>
      <c r="H63" s="64">
        <v>5.89</v>
      </c>
      <c r="I63" s="64">
        <v>1.34</v>
      </c>
      <c r="J63" s="64">
        <v>0.32</v>
      </c>
      <c r="K63" s="64">
        <v>359.28</v>
      </c>
      <c r="L63" s="64">
        <v>29.01</v>
      </c>
      <c r="M63" s="64">
        <v>91.45</v>
      </c>
      <c r="N63" s="64">
        <v>294.2</v>
      </c>
      <c r="O63" s="64">
        <v>0</v>
      </c>
      <c r="P63" s="64">
        <v>0.34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48" t="s">
        <v>588</v>
      </c>
      <c r="B64" s="64">
        <v>7.99</v>
      </c>
      <c r="C64" s="64">
        <v>3.12</v>
      </c>
      <c r="D64" s="64">
        <v>11.81</v>
      </c>
      <c r="E64" s="64">
        <v>3.3</v>
      </c>
      <c r="F64" s="64">
        <v>2.8</v>
      </c>
      <c r="G64" s="64">
        <v>30.84</v>
      </c>
      <c r="H64" s="64">
        <v>5.97</v>
      </c>
      <c r="I64" s="64">
        <v>1.31</v>
      </c>
      <c r="J64" s="64">
        <v>0.21</v>
      </c>
      <c r="K64" s="64">
        <v>342.67</v>
      </c>
      <c r="L64" s="64">
        <v>28.65</v>
      </c>
      <c r="M64" s="64">
        <v>92.06</v>
      </c>
      <c r="N64" s="64">
        <v>295</v>
      </c>
      <c r="O64" s="64">
        <v>0</v>
      </c>
      <c r="P64" s="64">
        <v>0.33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48" t="s">
        <v>589</v>
      </c>
      <c r="B65" s="64">
        <v>7.96</v>
      </c>
      <c r="C65" s="64">
        <v>3.06</v>
      </c>
      <c r="D65" s="64">
        <v>11.76</v>
      </c>
      <c r="E65" s="64">
        <v>3.15</v>
      </c>
      <c r="F65" s="64">
        <v>3.98</v>
      </c>
      <c r="G65" s="64">
        <v>30.84</v>
      </c>
      <c r="H65" s="64">
        <v>5.97</v>
      </c>
      <c r="I65" s="64">
        <v>1.29</v>
      </c>
      <c r="J65" s="64">
        <v>0.14000000000000001</v>
      </c>
      <c r="K65" s="64">
        <v>327.55</v>
      </c>
      <c r="L65" s="64">
        <v>29.09</v>
      </c>
      <c r="M65" s="64">
        <v>92.56</v>
      </c>
      <c r="N65" s="64">
        <v>270.2</v>
      </c>
      <c r="O65" s="64">
        <v>0</v>
      </c>
      <c r="P65" s="64">
        <v>0.32</v>
      </c>
      <c r="Q65" s="64">
        <v>9.1</v>
      </c>
      <c r="R65" s="198"/>
      <c r="S65" s="198"/>
      <c r="T65" s="198"/>
      <c r="U65" s="198"/>
    </row>
    <row r="66" spans="1:21" s="12" customFormat="1" x14ac:dyDescent="0.25">
      <c r="A66" s="248" t="s">
        <v>590</v>
      </c>
      <c r="B66" s="64">
        <v>8</v>
      </c>
      <c r="C66" s="64">
        <v>3.05</v>
      </c>
      <c r="D66" s="64">
        <v>11.78</v>
      </c>
      <c r="E66" s="64">
        <v>3.04</v>
      </c>
      <c r="F66" s="64">
        <v>4.3600000000000003</v>
      </c>
      <c r="G66" s="64">
        <v>30.84</v>
      </c>
      <c r="H66" s="64">
        <v>5.97</v>
      </c>
      <c r="I66" s="64">
        <v>1.1100000000000001</v>
      </c>
      <c r="J66" s="64">
        <v>0.19</v>
      </c>
      <c r="K66" s="64">
        <v>331.61</v>
      </c>
      <c r="L66" s="64">
        <v>29.09</v>
      </c>
      <c r="M66" s="64">
        <v>94.25</v>
      </c>
      <c r="N66" s="64">
        <v>261.7</v>
      </c>
      <c r="O66" s="64">
        <v>0</v>
      </c>
      <c r="P66" s="64">
        <v>0.33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48" t="s">
        <v>591</v>
      </c>
      <c r="B67" s="64">
        <v>8.15</v>
      </c>
      <c r="C67" s="64">
        <v>3.34</v>
      </c>
      <c r="D67" s="64">
        <v>12.06</v>
      </c>
      <c r="E67" s="64">
        <v>3.07</v>
      </c>
      <c r="F67" s="64">
        <v>4.0599999999999996</v>
      </c>
      <c r="G67" s="64">
        <v>32.729999999999997</v>
      </c>
      <c r="H67" s="64">
        <v>5.24</v>
      </c>
      <c r="I67" s="64">
        <v>1.1599999999999999</v>
      </c>
      <c r="J67" s="64">
        <v>0.12</v>
      </c>
      <c r="K67" s="64">
        <v>348.54</v>
      </c>
      <c r="L67" s="64">
        <v>29.41</v>
      </c>
      <c r="M67" s="64">
        <v>89.86</v>
      </c>
      <c r="N67" s="64">
        <v>268</v>
      </c>
      <c r="O67" s="64">
        <v>0</v>
      </c>
      <c r="P67" s="64">
        <v>0.34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48" t="s">
        <v>592</v>
      </c>
      <c r="B68" s="64">
        <v>8.1199999999999992</v>
      </c>
      <c r="C68" s="64">
        <v>3.24</v>
      </c>
      <c r="D68" s="64">
        <v>11.98</v>
      </c>
      <c r="E68" s="64">
        <v>2.21</v>
      </c>
      <c r="F68" s="64">
        <v>4.1900000000000004</v>
      </c>
      <c r="G68" s="64">
        <v>33.200000000000003</v>
      </c>
      <c r="H68" s="64">
        <v>5.0599999999999996</v>
      </c>
      <c r="I68" s="64">
        <v>1.24</v>
      </c>
      <c r="J68" s="64">
        <v>0.33</v>
      </c>
      <c r="K68" s="64">
        <v>1.44</v>
      </c>
      <c r="L68" s="64">
        <v>29.08</v>
      </c>
      <c r="M68" s="64">
        <v>89.07</v>
      </c>
      <c r="N68" s="64">
        <v>215.6</v>
      </c>
      <c r="O68" s="64">
        <v>0</v>
      </c>
      <c r="P68" s="64">
        <v>0.34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48" t="s">
        <v>593</v>
      </c>
      <c r="B69" s="64">
        <v>8.01</v>
      </c>
      <c r="C69" s="64">
        <v>3.04</v>
      </c>
      <c r="D69" s="64">
        <v>11.78</v>
      </c>
      <c r="E69" s="64">
        <v>3.59</v>
      </c>
      <c r="F69" s="64">
        <v>4.54</v>
      </c>
      <c r="G69" s="64">
        <v>33.200000000000003</v>
      </c>
      <c r="H69" s="64">
        <v>5.0599999999999996</v>
      </c>
      <c r="I69" s="64">
        <v>1.31</v>
      </c>
      <c r="J69" s="64">
        <v>0.3</v>
      </c>
      <c r="K69" s="64">
        <v>348.65</v>
      </c>
      <c r="L69" s="64">
        <v>29.07</v>
      </c>
      <c r="M69" s="64">
        <v>89.59</v>
      </c>
      <c r="N69" s="64">
        <v>188.5</v>
      </c>
      <c r="O69" s="64">
        <v>0</v>
      </c>
      <c r="P69" s="64">
        <v>0.33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48" t="s">
        <v>594</v>
      </c>
      <c r="B70" s="64">
        <v>8</v>
      </c>
      <c r="C70" s="64">
        <v>3.05</v>
      </c>
      <c r="D70" s="64">
        <v>11.78</v>
      </c>
      <c r="E70" s="64">
        <v>4.01</v>
      </c>
      <c r="F70" s="64">
        <v>4.3499999999999996</v>
      </c>
      <c r="G70" s="64">
        <v>33.200000000000003</v>
      </c>
      <c r="H70" s="64">
        <v>5.0599999999999996</v>
      </c>
      <c r="I70" s="64">
        <v>1.29</v>
      </c>
      <c r="J70" s="64">
        <v>0.26</v>
      </c>
      <c r="K70" s="64">
        <v>350.79</v>
      </c>
      <c r="L70" s="64">
        <v>28.94</v>
      </c>
      <c r="M70" s="64">
        <v>91.41</v>
      </c>
      <c r="N70" s="64">
        <v>183.8</v>
      </c>
      <c r="O70" s="64">
        <v>0</v>
      </c>
      <c r="P70" s="64">
        <v>0.34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48" t="s">
        <v>595</v>
      </c>
      <c r="B71" s="64">
        <v>7.97</v>
      </c>
      <c r="C71" s="64">
        <v>3.03</v>
      </c>
      <c r="D71" s="64">
        <v>11.75</v>
      </c>
      <c r="E71" s="64">
        <v>3.6</v>
      </c>
      <c r="F71" s="64">
        <v>4.1399999999999997</v>
      </c>
      <c r="G71" s="64">
        <v>29.8</v>
      </c>
      <c r="H71" s="64">
        <v>8.89</v>
      </c>
      <c r="I71" s="64">
        <v>1.21</v>
      </c>
      <c r="J71" s="64">
        <v>0.04</v>
      </c>
      <c r="K71" s="64">
        <v>336.72</v>
      </c>
      <c r="L71" s="64">
        <v>28.71</v>
      </c>
      <c r="M71" s="64">
        <v>93.38</v>
      </c>
      <c r="N71" s="64">
        <v>130.9</v>
      </c>
      <c r="O71" s="64">
        <v>0</v>
      </c>
      <c r="P71" s="64">
        <v>0.34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48" t="s">
        <v>596</v>
      </c>
      <c r="B72" s="64">
        <v>7.95</v>
      </c>
      <c r="C72" s="64">
        <v>3</v>
      </c>
      <c r="D72" s="64">
        <v>11.72</v>
      </c>
      <c r="E72" s="64">
        <v>3.7</v>
      </c>
      <c r="F72" s="64">
        <v>4.47</v>
      </c>
      <c r="G72" s="64">
        <v>28.95</v>
      </c>
      <c r="H72" s="64">
        <v>9.85</v>
      </c>
      <c r="I72" s="64">
        <v>1.18</v>
      </c>
      <c r="J72" s="64">
        <v>0.35</v>
      </c>
      <c r="K72" s="64">
        <v>6.53</v>
      </c>
      <c r="L72" s="64">
        <v>28.64</v>
      </c>
      <c r="M72" s="64">
        <v>91.83</v>
      </c>
      <c r="N72" s="64">
        <v>157.9</v>
      </c>
      <c r="O72" s="64">
        <v>0</v>
      </c>
      <c r="P72" s="64">
        <v>0.34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48" t="s">
        <v>597</v>
      </c>
      <c r="B73" s="64">
        <v>7.93</v>
      </c>
      <c r="C73" s="64">
        <v>2.97</v>
      </c>
      <c r="D73" s="64">
        <v>11.69</v>
      </c>
      <c r="E73" s="64">
        <v>3.96</v>
      </c>
      <c r="F73" s="64">
        <v>4.2699999999999996</v>
      </c>
      <c r="G73" s="64">
        <v>28.95</v>
      </c>
      <c r="H73" s="64">
        <v>9.85</v>
      </c>
      <c r="I73" s="64">
        <v>1.26</v>
      </c>
      <c r="J73" s="64">
        <v>0.3</v>
      </c>
      <c r="K73" s="64">
        <v>351.92</v>
      </c>
      <c r="L73" s="64">
        <v>28.46</v>
      </c>
      <c r="M73" s="64">
        <v>93.02</v>
      </c>
      <c r="N73" s="64">
        <v>102.3</v>
      </c>
      <c r="O73" s="64">
        <v>0</v>
      </c>
      <c r="P73" s="64">
        <v>0.35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48" t="s">
        <v>598</v>
      </c>
      <c r="B74" s="64">
        <v>7.93</v>
      </c>
      <c r="C74" s="64">
        <v>2.97</v>
      </c>
      <c r="D74" s="64">
        <v>11.68</v>
      </c>
      <c r="E74" s="64">
        <v>3.47</v>
      </c>
      <c r="F74" s="64">
        <v>4.88</v>
      </c>
      <c r="G74" s="64">
        <v>28.95</v>
      </c>
      <c r="H74" s="64">
        <v>9.85</v>
      </c>
      <c r="I74" s="64">
        <v>1.27</v>
      </c>
      <c r="J74" s="64">
        <v>0.26</v>
      </c>
      <c r="K74" s="64">
        <v>6.22</v>
      </c>
      <c r="L74" s="64">
        <v>28.32</v>
      </c>
      <c r="M74" s="64">
        <v>94.61</v>
      </c>
      <c r="N74" s="64">
        <v>97.9</v>
      </c>
      <c r="O74" s="64">
        <v>0</v>
      </c>
      <c r="P74" s="64">
        <v>0.36</v>
      </c>
      <c r="Q74" s="64">
        <v>9.1999999999999993</v>
      </c>
      <c r="R74" s="198"/>
      <c r="S74" s="198"/>
      <c r="T74" s="198"/>
      <c r="U74" s="198"/>
    </row>
    <row r="75" spans="1:21" s="12" customFormat="1" x14ac:dyDescent="0.25">
      <c r="A75" s="248" t="s">
        <v>599</v>
      </c>
      <c r="B75" s="64">
        <v>7.91</v>
      </c>
      <c r="C75" s="64">
        <v>2.93</v>
      </c>
      <c r="D75" s="64">
        <v>11.65</v>
      </c>
      <c r="E75" s="64">
        <v>3.75</v>
      </c>
      <c r="F75" s="64">
        <v>3.75</v>
      </c>
      <c r="G75" s="64">
        <v>36.82</v>
      </c>
      <c r="H75" s="64">
        <v>8.86</v>
      </c>
      <c r="I75" s="64">
        <v>1.25</v>
      </c>
      <c r="J75" s="64">
        <v>0.26</v>
      </c>
      <c r="K75" s="64">
        <v>1.86</v>
      </c>
      <c r="L75" s="64">
        <v>28.21</v>
      </c>
      <c r="M75" s="64">
        <v>96.16</v>
      </c>
      <c r="N75" s="64">
        <v>87.2</v>
      </c>
      <c r="O75" s="64">
        <v>0</v>
      </c>
      <c r="P75" s="64">
        <v>0.37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48" t="s">
        <v>600</v>
      </c>
      <c r="B76" s="64">
        <v>7.9</v>
      </c>
      <c r="C76" s="64">
        <v>2.94</v>
      </c>
      <c r="D76" s="64">
        <v>11.65</v>
      </c>
      <c r="E76" s="64">
        <v>3.69</v>
      </c>
      <c r="F76" s="64">
        <v>4.93</v>
      </c>
      <c r="G76" s="64">
        <v>38.79</v>
      </c>
      <c r="H76" s="64">
        <v>8.61</v>
      </c>
      <c r="I76" s="64">
        <v>1.28</v>
      </c>
      <c r="J76" s="64">
        <v>0.38</v>
      </c>
      <c r="K76" s="64">
        <v>11.13</v>
      </c>
      <c r="L76" s="64">
        <v>28.17</v>
      </c>
      <c r="M76" s="64">
        <v>94.76</v>
      </c>
      <c r="N76" s="64">
        <v>75.599999999999994</v>
      </c>
      <c r="O76" s="64">
        <v>0</v>
      </c>
      <c r="P76" s="64">
        <v>0.39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48" t="s">
        <v>601</v>
      </c>
      <c r="B77" s="64">
        <v>7.97</v>
      </c>
      <c r="C77" s="64">
        <v>3.1</v>
      </c>
      <c r="D77" s="64">
        <v>11.79</v>
      </c>
      <c r="E77" s="64">
        <v>3.65</v>
      </c>
      <c r="F77" s="64">
        <v>3.43</v>
      </c>
      <c r="G77" s="64">
        <v>38.79</v>
      </c>
      <c r="H77" s="64">
        <v>8.61</v>
      </c>
      <c r="I77" s="64">
        <v>1.31</v>
      </c>
      <c r="J77" s="64">
        <v>0.35</v>
      </c>
      <c r="K77" s="64">
        <v>15.18</v>
      </c>
      <c r="L77" s="64">
        <v>28.04</v>
      </c>
      <c r="M77" s="64">
        <v>95.8</v>
      </c>
      <c r="N77" s="64">
        <v>60.5</v>
      </c>
      <c r="O77" s="64">
        <v>0</v>
      </c>
      <c r="P77" s="64">
        <v>0.39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48" t="s">
        <v>602</v>
      </c>
      <c r="B78" s="64">
        <v>8.16</v>
      </c>
      <c r="C78" s="64">
        <v>3.63</v>
      </c>
      <c r="D78" s="64">
        <v>12.22</v>
      </c>
      <c r="E78" s="64">
        <v>3.82</v>
      </c>
      <c r="F78" s="64">
        <v>4.67</v>
      </c>
      <c r="G78" s="64">
        <v>38.79</v>
      </c>
      <c r="H78" s="64">
        <v>8.61</v>
      </c>
      <c r="I78" s="64">
        <v>1.35</v>
      </c>
      <c r="J78" s="64">
        <v>0.22</v>
      </c>
      <c r="K78" s="64">
        <v>10.39</v>
      </c>
      <c r="L78" s="64">
        <v>26.16</v>
      </c>
      <c r="M78" s="64">
        <v>101.62</v>
      </c>
      <c r="N78" s="64">
        <v>49.5</v>
      </c>
      <c r="O78" s="64">
        <v>3</v>
      </c>
      <c r="P78" s="64">
        <v>0.39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48" t="s">
        <v>603</v>
      </c>
      <c r="B79" s="64">
        <v>8.02</v>
      </c>
      <c r="C79" s="64">
        <v>3.26</v>
      </c>
      <c r="D79" s="64">
        <v>11.91</v>
      </c>
      <c r="E79" s="64">
        <v>3.57</v>
      </c>
      <c r="F79" s="64">
        <v>4.5199999999999996</v>
      </c>
      <c r="G79" s="64">
        <v>36.1</v>
      </c>
      <c r="H79" s="64">
        <v>8.02</v>
      </c>
      <c r="I79" s="64">
        <v>1.34</v>
      </c>
      <c r="J79" s="64">
        <v>0.22</v>
      </c>
      <c r="K79" s="64">
        <v>14.63</v>
      </c>
      <c r="L79" s="64">
        <v>25.24</v>
      </c>
      <c r="M79" s="64">
        <v>102.03</v>
      </c>
      <c r="N79" s="64">
        <v>43.7</v>
      </c>
      <c r="O79" s="64">
        <v>0</v>
      </c>
      <c r="P79" s="64">
        <v>0.4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48" t="s">
        <v>604</v>
      </c>
      <c r="B80" s="64">
        <v>7.99</v>
      </c>
      <c r="C80" s="64">
        <v>3.14</v>
      </c>
      <c r="D80" s="64">
        <v>11.82</v>
      </c>
      <c r="E80" s="64">
        <v>3.87</v>
      </c>
      <c r="F80" s="64">
        <v>2.63</v>
      </c>
      <c r="G80" s="64">
        <v>35.43</v>
      </c>
      <c r="H80" s="64">
        <v>7.87</v>
      </c>
      <c r="I80" s="64">
        <v>1.32</v>
      </c>
      <c r="J80" s="64">
        <v>7.0000000000000007E-2</v>
      </c>
      <c r="K80" s="64">
        <v>36.869999999999997</v>
      </c>
      <c r="L80" s="64">
        <v>25.34</v>
      </c>
      <c r="M80" s="64">
        <v>102.04</v>
      </c>
      <c r="N80" s="64">
        <v>41.7</v>
      </c>
      <c r="O80" s="64">
        <v>0</v>
      </c>
      <c r="P80" s="64">
        <v>0.39</v>
      </c>
      <c r="Q80" s="64">
        <v>9.1300000000000008</v>
      </c>
      <c r="R80" s="198"/>
      <c r="S80" s="198"/>
      <c r="T80" s="198"/>
      <c r="U80" s="198"/>
    </row>
    <row r="81" spans="1:26" s="12" customFormat="1" x14ac:dyDescent="0.25">
      <c r="A81" s="248" t="s">
        <v>605</v>
      </c>
      <c r="B81" s="64">
        <v>8.25</v>
      </c>
      <c r="C81" s="64">
        <v>3.72</v>
      </c>
      <c r="D81" s="64">
        <v>12.34</v>
      </c>
      <c r="E81" s="64">
        <v>3.9</v>
      </c>
      <c r="F81" s="64">
        <v>4.28</v>
      </c>
      <c r="G81" s="64">
        <v>35.43</v>
      </c>
      <c r="H81" s="64">
        <v>7.87</v>
      </c>
      <c r="I81" s="64">
        <v>1.33</v>
      </c>
      <c r="J81" s="64">
        <v>0.09</v>
      </c>
      <c r="K81" s="64">
        <v>300.36</v>
      </c>
      <c r="L81" s="64">
        <v>25.37</v>
      </c>
      <c r="M81" s="64">
        <v>102.2</v>
      </c>
      <c r="N81" s="64">
        <v>41.5</v>
      </c>
      <c r="O81" s="64">
        <v>0</v>
      </c>
      <c r="P81" s="64">
        <v>0.39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48" t="s">
        <v>606</v>
      </c>
      <c r="B82" s="64">
        <v>8.15</v>
      </c>
      <c r="C82" s="64">
        <v>3.46</v>
      </c>
      <c r="D82" s="64">
        <v>12.11</v>
      </c>
      <c r="E82" s="64">
        <v>3.36</v>
      </c>
      <c r="F82" s="64">
        <v>3.34</v>
      </c>
      <c r="G82" s="64">
        <v>35.43</v>
      </c>
      <c r="H82" s="64">
        <v>7.87</v>
      </c>
      <c r="I82" s="64">
        <v>1.42</v>
      </c>
      <c r="J82" s="64">
        <v>0.09</v>
      </c>
      <c r="K82" s="64">
        <v>282.94</v>
      </c>
      <c r="L82" s="64">
        <v>25.34</v>
      </c>
      <c r="M82" s="64">
        <v>101.71</v>
      </c>
      <c r="N82" s="64">
        <v>41.5</v>
      </c>
      <c r="O82" s="64">
        <v>0</v>
      </c>
      <c r="P82" s="64">
        <v>0.41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48" t="s">
        <v>607</v>
      </c>
      <c r="B83" s="64">
        <v>8.01</v>
      </c>
      <c r="C83" s="64">
        <v>3.14</v>
      </c>
      <c r="D83" s="64">
        <v>11.84</v>
      </c>
      <c r="E83" s="64">
        <v>3.6</v>
      </c>
      <c r="F83" s="64">
        <v>3.39</v>
      </c>
      <c r="G83" s="64">
        <v>30.84</v>
      </c>
      <c r="H83" s="64">
        <v>6.32</v>
      </c>
      <c r="I83" s="64">
        <v>1.5</v>
      </c>
      <c r="J83" s="64">
        <v>7.0000000000000007E-2</v>
      </c>
      <c r="K83" s="64">
        <v>235.93</v>
      </c>
      <c r="L83" s="64">
        <v>25.32</v>
      </c>
      <c r="M83" s="64">
        <v>101.74</v>
      </c>
      <c r="N83" s="64">
        <v>41.4</v>
      </c>
      <c r="O83" s="64">
        <v>0</v>
      </c>
      <c r="P83" s="64">
        <v>0.41</v>
      </c>
      <c r="Q83" s="64">
        <v>9.16</v>
      </c>
      <c r="R83" s="198"/>
      <c r="S83" s="198"/>
      <c r="T83" s="198"/>
      <c r="U83" s="198"/>
    </row>
    <row r="84" spans="1:26" s="12" customFormat="1" x14ac:dyDescent="0.25">
      <c r="A84" s="248" t="s">
        <v>608</v>
      </c>
      <c r="B84" s="64">
        <v>8</v>
      </c>
      <c r="C84" s="64">
        <v>3.05</v>
      </c>
      <c r="D84" s="64">
        <v>11.78</v>
      </c>
      <c r="E84" s="64">
        <v>3.34</v>
      </c>
      <c r="F84" s="64">
        <v>3.62</v>
      </c>
      <c r="G84" s="64">
        <v>29.7</v>
      </c>
      <c r="H84" s="64">
        <v>5.93</v>
      </c>
      <c r="I84" s="64">
        <v>1.6</v>
      </c>
      <c r="J84" s="64">
        <v>0.06</v>
      </c>
      <c r="K84" s="64">
        <v>229.76</v>
      </c>
      <c r="L84" s="64">
        <v>25.31</v>
      </c>
      <c r="M84" s="64">
        <v>101.41</v>
      </c>
      <c r="N84" s="64">
        <v>41.3</v>
      </c>
      <c r="O84" s="64">
        <v>0</v>
      </c>
      <c r="P84" s="64">
        <v>0.42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48" t="s">
        <v>609</v>
      </c>
      <c r="B85" s="64">
        <v>8.0399999999999991</v>
      </c>
      <c r="C85" s="64">
        <v>3.07</v>
      </c>
      <c r="D85" s="64">
        <v>11.83</v>
      </c>
      <c r="E85" s="64">
        <v>2.92</v>
      </c>
      <c r="F85" s="64">
        <v>3.51</v>
      </c>
      <c r="G85" s="64">
        <v>29.7</v>
      </c>
      <c r="H85" s="64">
        <v>5.93</v>
      </c>
      <c r="I85" s="64">
        <v>1.84</v>
      </c>
      <c r="J85" s="64">
        <v>0.11</v>
      </c>
      <c r="K85" s="64">
        <v>220.17</v>
      </c>
      <c r="L85" s="64">
        <v>25.26</v>
      </c>
      <c r="M85" s="64">
        <v>101.34</v>
      </c>
      <c r="N85" s="64">
        <v>41.4</v>
      </c>
      <c r="O85" s="64">
        <v>0</v>
      </c>
      <c r="P85" s="64">
        <v>0.43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48" t="s">
        <v>610</v>
      </c>
      <c r="B86" s="64">
        <v>8.08</v>
      </c>
      <c r="C86" s="64">
        <v>3.11</v>
      </c>
      <c r="D86" s="64">
        <v>11.87</v>
      </c>
      <c r="E86" s="64">
        <v>3.37</v>
      </c>
      <c r="F86" s="64">
        <v>3.5</v>
      </c>
      <c r="G86" s="64">
        <v>29.7</v>
      </c>
      <c r="H86" s="64">
        <v>5.93</v>
      </c>
      <c r="I86" s="64">
        <v>2.21</v>
      </c>
      <c r="J86" s="64">
        <v>0.13</v>
      </c>
      <c r="K86" s="64">
        <v>193.91</v>
      </c>
      <c r="L86" s="64">
        <v>25.26</v>
      </c>
      <c r="M86" s="64">
        <v>101.42</v>
      </c>
      <c r="N86" s="64">
        <v>41.3</v>
      </c>
      <c r="O86" s="64">
        <v>0</v>
      </c>
      <c r="P86" s="64">
        <v>0.43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48" t="s">
        <v>611</v>
      </c>
      <c r="B87" s="64">
        <v>8.31</v>
      </c>
      <c r="C87" s="64">
        <v>3.52</v>
      </c>
      <c r="D87" s="64">
        <v>12.28</v>
      </c>
      <c r="E87" s="64">
        <v>3.62</v>
      </c>
      <c r="F87" s="64">
        <v>3.33</v>
      </c>
      <c r="G87" s="64">
        <v>27.57</v>
      </c>
      <c r="H87" s="64">
        <v>5.31</v>
      </c>
      <c r="I87" s="64">
        <v>2.27</v>
      </c>
      <c r="J87" s="64">
        <v>0.15</v>
      </c>
      <c r="K87" s="64">
        <v>183.97</v>
      </c>
      <c r="L87" s="64">
        <v>25.2</v>
      </c>
      <c r="M87" s="64">
        <v>101.64</v>
      </c>
      <c r="N87" s="64">
        <v>41.4</v>
      </c>
      <c r="O87" s="64">
        <v>0</v>
      </c>
      <c r="P87" s="64">
        <v>0.44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48" t="s">
        <v>612</v>
      </c>
      <c r="B88" s="64">
        <v>8.09</v>
      </c>
      <c r="C88" s="64">
        <v>3.11</v>
      </c>
      <c r="D88" s="64">
        <v>11.89</v>
      </c>
      <c r="E88" s="64">
        <v>3.4</v>
      </c>
      <c r="F88" s="64">
        <v>3.3</v>
      </c>
      <c r="G88" s="64">
        <v>27.04</v>
      </c>
      <c r="H88" s="64">
        <v>5.15</v>
      </c>
      <c r="I88" s="64">
        <v>2.63</v>
      </c>
      <c r="J88" s="64">
        <v>0.14000000000000001</v>
      </c>
      <c r="K88" s="64">
        <v>171.56</v>
      </c>
      <c r="L88" s="64">
        <v>25.22</v>
      </c>
      <c r="M88" s="64">
        <v>101.52</v>
      </c>
      <c r="N88" s="64">
        <v>41.3</v>
      </c>
      <c r="O88" s="64">
        <v>0</v>
      </c>
      <c r="P88" s="64">
        <v>0.46</v>
      </c>
      <c r="Q88" s="64">
        <v>9.24</v>
      </c>
      <c r="R88" s="198"/>
      <c r="S88" s="198"/>
      <c r="T88" s="198"/>
      <c r="U88" s="198"/>
    </row>
    <row r="89" spans="1:26" s="12" customFormat="1" x14ac:dyDescent="0.25">
      <c r="A89" s="248" t="s">
        <v>613</v>
      </c>
      <c r="B89" s="64">
        <v>8.0399999999999991</v>
      </c>
      <c r="C89" s="64">
        <v>3.03</v>
      </c>
      <c r="D89" s="64">
        <v>11.81</v>
      </c>
      <c r="E89" s="64">
        <v>3.64</v>
      </c>
      <c r="F89" s="64">
        <v>3.29</v>
      </c>
      <c r="G89" s="64">
        <v>27.04</v>
      </c>
      <c r="H89" s="64">
        <v>5.15</v>
      </c>
      <c r="I89" s="64">
        <v>2.87</v>
      </c>
      <c r="J89" s="64">
        <v>0.11</v>
      </c>
      <c r="K89" s="64">
        <v>203.53</v>
      </c>
      <c r="L89" s="64">
        <v>25.13</v>
      </c>
      <c r="M89" s="64">
        <v>101.43</v>
      </c>
      <c r="N89" s="64">
        <v>41.4</v>
      </c>
      <c r="O89" s="64">
        <v>0</v>
      </c>
      <c r="P89" s="64">
        <v>0.46</v>
      </c>
      <c r="Q89" s="64">
        <v>9.27</v>
      </c>
      <c r="R89" s="198"/>
      <c r="S89" s="198"/>
      <c r="T89" s="198"/>
      <c r="U89" s="198"/>
    </row>
    <row r="90" spans="1:26" s="12" customFormat="1" x14ac:dyDescent="0.25">
      <c r="A90" s="248" t="s">
        <v>614</v>
      </c>
      <c r="B90" s="64">
        <v>8.6</v>
      </c>
      <c r="C90" s="64">
        <v>3.83</v>
      </c>
      <c r="D90" s="64">
        <v>12.67</v>
      </c>
      <c r="E90" s="64">
        <v>3.44</v>
      </c>
      <c r="F90" s="64">
        <v>3.75</v>
      </c>
      <c r="G90" s="64">
        <v>27.04</v>
      </c>
      <c r="H90" s="64">
        <v>5.15</v>
      </c>
      <c r="I90" s="64">
        <v>3.04</v>
      </c>
      <c r="J90" s="64">
        <v>0.09</v>
      </c>
      <c r="K90" s="64">
        <v>186.38</v>
      </c>
      <c r="L90" s="64">
        <v>25.1</v>
      </c>
      <c r="M90" s="64">
        <v>101.3</v>
      </c>
      <c r="N90" s="64">
        <v>41.5</v>
      </c>
      <c r="O90" s="64">
        <v>0</v>
      </c>
      <c r="P90" s="64">
        <v>0.49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48" t="s">
        <v>615</v>
      </c>
      <c r="B91" s="64">
        <v>9.26</v>
      </c>
      <c r="C91" s="64">
        <v>4.82</v>
      </c>
      <c r="D91" s="64">
        <v>13.71</v>
      </c>
      <c r="E91" s="64">
        <v>3.85</v>
      </c>
      <c r="F91" s="64">
        <v>3.7</v>
      </c>
      <c r="G91" s="64">
        <v>28.81</v>
      </c>
      <c r="H91" s="64">
        <v>12.67</v>
      </c>
      <c r="I91" s="64">
        <v>3.21</v>
      </c>
      <c r="J91" s="64">
        <v>0.2</v>
      </c>
      <c r="K91" s="64">
        <v>347.19</v>
      </c>
      <c r="L91" s="64">
        <v>25.08</v>
      </c>
      <c r="M91" s="64">
        <v>101.26</v>
      </c>
      <c r="N91" s="64">
        <v>41.5</v>
      </c>
      <c r="O91" s="64">
        <v>0</v>
      </c>
      <c r="P91" s="64">
        <v>0.51</v>
      </c>
      <c r="Q91" s="64">
        <v>9.34</v>
      </c>
      <c r="R91" s="198"/>
      <c r="S91" s="198"/>
      <c r="T91" s="198"/>
      <c r="U91" s="198"/>
    </row>
    <row r="92" spans="1:26" s="12" customFormat="1" x14ac:dyDescent="0.25">
      <c r="A92" s="248" t="s">
        <v>616</v>
      </c>
      <c r="B92" s="64">
        <v>9.41</v>
      </c>
      <c r="C92" s="64">
        <v>5.23</v>
      </c>
      <c r="D92" s="64">
        <v>14.05</v>
      </c>
      <c r="E92" s="64">
        <v>3.89</v>
      </c>
      <c r="F92" s="64">
        <v>4.0599999999999996</v>
      </c>
      <c r="G92" s="64">
        <v>29.25</v>
      </c>
      <c r="H92" s="64">
        <v>14.55</v>
      </c>
      <c r="I92" s="64">
        <v>3.25</v>
      </c>
      <c r="J92" s="64">
        <v>0.2</v>
      </c>
      <c r="K92" s="64">
        <v>319.77</v>
      </c>
      <c r="L92" s="64">
        <v>25.06</v>
      </c>
      <c r="M92" s="64">
        <v>101.35</v>
      </c>
      <c r="N92" s="64">
        <v>41.5</v>
      </c>
      <c r="O92" s="64">
        <v>0</v>
      </c>
      <c r="P92" s="64">
        <v>0.51</v>
      </c>
      <c r="Q92" s="64">
        <v>9.35</v>
      </c>
      <c r="R92" s="198"/>
      <c r="S92" s="198"/>
      <c r="T92" s="198"/>
      <c r="U92" s="198"/>
    </row>
    <row r="93" spans="1:26" s="12" customFormat="1" x14ac:dyDescent="0.25">
      <c r="A93" s="248" t="s">
        <v>617</v>
      </c>
      <c r="B93" s="64">
        <v>9.4600000000000009</v>
      </c>
      <c r="C93" s="64">
        <v>5.35</v>
      </c>
      <c r="D93" s="64">
        <v>14.16</v>
      </c>
      <c r="E93" s="64">
        <v>3.46</v>
      </c>
      <c r="F93" s="64">
        <v>3.46</v>
      </c>
      <c r="G93" s="64">
        <v>29.25</v>
      </c>
      <c r="H93" s="64">
        <v>14.55</v>
      </c>
      <c r="I93" s="64">
        <v>3.31</v>
      </c>
      <c r="J93" s="64">
        <v>0.17</v>
      </c>
      <c r="K93" s="64">
        <v>347.78</v>
      </c>
      <c r="L93" s="64">
        <v>25.12</v>
      </c>
      <c r="M93" s="64">
        <v>101.6</v>
      </c>
      <c r="N93" s="64">
        <v>41.5</v>
      </c>
      <c r="O93" s="64">
        <v>0</v>
      </c>
      <c r="P93" s="64">
        <v>0.53</v>
      </c>
      <c r="Q93" s="64">
        <v>9.3699999999999992</v>
      </c>
      <c r="R93" s="198"/>
      <c r="S93" s="198"/>
      <c r="T93" s="198"/>
      <c r="U93" s="198"/>
    </row>
    <row r="94" spans="1:26" s="12" customFormat="1" x14ac:dyDescent="0.25">
      <c r="A94" s="248" t="s">
        <v>618</v>
      </c>
      <c r="B94" s="64">
        <v>9.44</v>
      </c>
      <c r="C94" s="64">
        <v>5.33</v>
      </c>
      <c r="D94" s="64">
        <v>14.13</v>
      </c>
      <c r="E94" s="64">
        <v>3.37</v>
      </c>
      <c r="F94" s="64">
        <v>4.24</v>
      </c>
      <c r="G94" s="64">
        <v>29.25</v>
      </c>
      <c r="H94" s="64">
        <v>14.55</v>
      </c>
      <c r="I94" s="64">
        <v>3.33</v>
      </c>
      <c r="J94" s="64">
        <v>0.01</v>
      </c>
      <c r="K94" s="64">
        <v>9.99</v>
      </c>
      <c r="L94" s="64">
        <v>25.16</v>
      </c>
      <c r="M94" s="64">
        <v>101.55</v>
      </c>
      <c r="N94" s="64">
        <v>41.3</v>
      </c>
      <c r="O94" s="64">
        <v>0</v>
      </c>
      <c r="P94" s="64">
        <v>0.53</v>
      </c>
      <c r="Q94" s="64">
        <v>9.39</v>
      </c>
      <c r="R94" s="198"/>
      <c r="S94" s="198"/>
      <c r="T94" s="198"/>
      <c r="U94" s="198"/>
    </row>
    <row r="95" spans="1:26" s="12" customFormat="1" x14ac:dyDescent="0.25">
      <c r="A95" s="248" t="s">
        <v>619</v>
      </c>
      <c r="B95" s="64">
        <v>9.42</v>
      </c>
      <c r="C95" s="64">
        <v>5.36</v>
      </c>
      <c r="D95" s="64">
        <v>14.13</v>
      </c>
      <c r="E95" s="64">
        <v>3.58</v>
      </c>
      <c r="F95" s="64">
        <v>3.91</v>
      </c>
      <c r="G95" s="64">
        <v>26.5</v>
      </c>
      <c r="H95" s="64">
        <v>11.6</v>
      </c>
      <c r="I95" s="64">
        <v>3.31</v>
      </c>
      <c r="J95" s="64">
        <v>0.08</v>
      </c>
      <c r="K95" s="64">
        <v>218.69</v>
      </c>
      <c r="L95" s="64">
        <v>25.24</v>
      </c>
      <c r="M95" s="64">
        <v>101.23</v>
      </c>
      <c r="N95" s="64">
        <v>41.5</v>
      </c>
      <c r="O95" s="64">
        <v>0</v>
      </c>
      <c r="P95" s="64">
        <v>0.52</v>
      </c>
      <c r="Q95" s="64">
        <v>9.41</v>
      </c>
      <c r="R95" s="198"/>
      <c r="S95" s="198"/>
      <c r="T95" s="198"/>
      <c r="U95" s="198"/>
    </row>
    <row r="96" spans="1:26" s="12" customFormat="1" x14ac:dyDescent="0.25">
      <c r="A96" s="248" t="s">
        <v>620</v>
      </c>
      <c r="B96" s="64">
        <v>9.4499999999999993</v>
      </c>
      <c r="C96" s="64">
        <v>5.38</v>
      </c>
      <c r="D96" s="64">
        <v>14.16</v>
      </c>
      <c r="E96" s="64">
        <v>3.88</v>
      </c>
      <c r="F96" s="64">
        <v>2.95</v>
      </c>
      <c r="G96" s="64">
        <v>25.81</v>
      </c>
      <c r="H96" s="64">
        <v>10.86</v>
      </c>
      <c r="I96" s="64">
        <v>3.23</v>
      </c>
      <c r="J96" s="64">
        <v>0.16</v>
      </c>
      <c r="K96" s="64">
        <v>320.17</v>
      </c>
      <c r="L96" s="64">
        <v>25.27</v>
      </c>
      <c r="M96" s="64">
        <v>101.52</v>
      </c>
      <c r="N96" s="64">
        <v>41.5</v>
      </c>
      <c r="O96" s="64">
        <v>0</v>
      </c>
      <c r="P96" s="64">
        <v>0.51</v>
      </c>
      <c r="Q96" s="64">
        <v>9.3800000000000008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621</v>
      </c>
      <c r="B97" s="64">
        <v>9.31</v>
      </c>
      <c r="C97" s="64">
        <v>5.14</v>
      </c>
      <c r="D97" s="64">
        <v>13.92</v>
      </c>
      <c r="E97" s="64">
        <v>3.21</v>
      </c>
      <c r="F97" s="64">
        <v>4.4400000000000004</v>
      </c>
      <c r="G97" s="64">
        <v>25.81</v>
      </c>
      <c r="H97" s="64">
        <v>10.86</v>
      </c>
      <c r="I97" s="64">
        <v>3.27</v>
      </c>
      <c r="J97" s="64">
        <v>0.02</v>
      </c>
      <c r="K97" s="64">
        <v>242.52</v>
      </c>
      <c r="L97" s="64">
        <v>25.39</v>
      </c>
      <c r="M97" s="64">
        <v>101.57</v>
      </c>
      <c r="N97" s="64">
        <v>41.5</v>
      </c>
      <c r="O97" s="64">
        <v>0</v>
      </c>
      <c r="P97" s="64">
        <v>0.51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48" t="s">
        <v>622</v>
      </c>
      <c r="B98" s="64">
        <v>9.2100000000000009</v>
      </c>
      <c r="C98" s="64">
        <v>5.12</v>
      </c>
      <c r="D98" s="64">
        <v>13.83</v>
      </c>
      <c r="E98" s="64">
        <v>3.66</v>
      </c>
      <c r="F98" s="64">
        <v>2.82</v>
      </c>
      <c r="G98" s="64">
        <v>25.81</v>
      </c>
      <c r="H98" s="64">
        <v>10.86</v>
      </c>
      <c r="I98" s="64">
        <v>3.24</v>
      </c>
      <c r="J98" s="64">
        <v>0.3</v>
      </c>
      <c r="K98" s="64">
        <v>355.1</v>
      </c>
      <c r="L98" s="64">
        <v>25.57</v>
      </c>
      <c r="M98" s="64">
        <v>101.58</v>
      </c>
      <c r="N98" s="64">
        <v>42.5</v>
      </c>
      <c r="O98" s="64">
        <v>0</v>
      </c>
      <c r="P98" s="64">
        <v>0.49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48" t="s">
        <v>623</v>
      </c>
      <c r="B99" s="64">
        <v>9.0299999999999994</v>
      </c>
      <c r="C99" s="64">
        <v>5.0599999999999996</v>
      </c>
      <c r="D99" s="64">
        <v>13.65</v>
      </c>
      <c r="E99" s="64">
        <v>3.79</v>
      </c>
      <c r="F99" s="64">
        <v>4.18</v>
      </c>
      <c r="G99" s="64">
        <v>21.34</v>
      </c>
      <c r="H99" s="64">
        <v>10.87</v>
      </c>
      <c r="I99" s="64">
        <v>3.15</v>
      </c>
      <c r="J99" s="64">
        <v>0.34</v>
      </c>
      <c r="K99" s="64">
        <v>359.69</v>
      </c>
      <c r="L99" s="64">
        <v>25.42</v>
      </c>
      <c r="M99" s="64">
        <v>101.59</v>
      </c>
      <c r="N99" s="64">
        <v>43</v>
      </c>
      <c r="O99" s="64">
        <v>0</v>
      </c>
      <c r="P99" s="64">
        <v>0.46</v>
      </c>
      <c r="Q99" s="64">
        <v>9.4</v>
      </c>
      <c r="R99" s="198"/>
      <c r="S99" s="198"/>
      <c r="T99" s="198"/>
      <c r="U99" s="198"/>
    </row>
    <row r="100" spans="1:33" s="12" customFormat="1" x14ac:dyDescent="0.25">
      <c r="A100" s="248" t="s">
        <v>624</v>
      </c>
      <c r="B100" s="64">
        <v>8.91</v>
      </c>
      <c r="C100" s="64">
        <v>4.95</v>
      </c>
      <c r="D100" s="64">
        <v>13.51</v>
      </c>
      <c r="E100" s="64">
        <v>4.34</v>
      </c>
      <c r="F100" s="64">
        <v>4.21</v>
      </c>
      <c r="G100" s="64">
        <v>20.22</v>
      </c>
      <c r="H100" s="64">
        <v>10.87</v>
      </c>
      <c r="I100" s="64">
        <v>2.99</v>
      </c>
      <c r="J100" s="64">
        <v>0.21</v>
      </c>
      <c r="K100" s="64">
        <v>357.75</v>
      </c>
      <c r="L100" s="64">
        <v>25.22</v>
      </c>
      <c r="M100" s="64">
        <v>101.63</v>
      </c>
      <c r="N100" s="64">
        <v>42.3</v>
      </c>
      <c r="O100" s="64">
        <v>0</v>
      </c>
      <c r="P100" s="64">
        <v>0.45</v>
      </c>
      <c r="Q100" s="64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625</v>
      </c>
      <c r="B101" s="64">
        <v>8.67</v>
      </c>
      <c r="C101" s="64">
        <v>4.43</v>
      </c>
      <c r="D101" s="64">
        <v>13.04</v>
      </c>
      <c r="E101" s="64">
        <v>5.0599999999999996</v>
      </c>
      <c r="F101" s="64">
        <v>2.99</v>
      </c>
      <c r="G101" s="64">
        <v>20.22</v>
      </c>
      <c r="H101" s="64">
        <v>10.87</v>
      </c>
      <c r="I101" s="64">
        <v>2.75</v>
      </c>
      <c r="J101" s="64">
        <v>0.14000000000000001</v>
      </c>
      <c r="K101" s="64">
        <v>327.04000000000002</v>
      </c>
      <c r="L101" s="64">
        <v>25.22</v>
      </c>
      <c r="M101" s="64">
        <v>101.63</v>
      </c>
      <c r="N101" s="64">
        <v>42.2</v>
      </c>
      <c r="O101" s="64">
        <v>0</v>
      </c>
      <c r="P101" s="64">
        <v>0.41</v>
      </c>
      <c r="Q101" s="64">
        <v>9.2899999999999991</v>
      </c>
      <c r="R101" s="198"/>
      <c r="S101" s="198"/>
      <c r="T101" s="198"/>
      <c r="U101" s="198"/>
    </row>
    <row r="102" spans="1:33" s="12" customFormat="1" x14ac:dyDescent="0.25">
      <c r="A102" s="248" t="s">
        <v>626</v>
      </c>
      <c r="B102" s="64">
        <v>8.3699999999999992</v>
      </c>
      <c r="C102" s="64">
        <v>3.72</v>
      </c>
      <c r="D102" s="64">
        <v>12.43</v>
      </c>
      <c r="E102" s="64">
        <v>4.6900000000000004</v>
      </c>
      <c r="F102" s="64">
        <v>3.76</v>
      </c>
      <c r="G102" s="64">
        <v>20.22</v>
      </c>
      <c r="H102" s="64">
        <v>10.87</v>
      </c>
      <c r="I102" s="64">
        <v>2.39</v>
      </c>
      <c r="J102" s="64">
        <v>0.13</v>
      </c>
      <c r="K102" s="64">
        <v>344.6</v>
      </c>
      <c r="L102" s="64">
        <v>25.21</v>
      </c>
      <c r="M102" s="64">
        <v>101.64</v>
      </c>
      <c r="N102" s="64">
        <v>42.2</v>
      </c>
      <c r="O102" s="64">
        <v>0</v>
      </c>
      <c r="P102" s="64">
        <v>0.41</v>
      </c>
      <c r="Q102" s="64">
        <v>9.27</v>
      </c>
      <c r="R102" s="198"/>
      <c r="S102" s="198"/>
      <c r="T102" s="198"/>
      <c r="U102" s="198"/>
    </row>
    <row r="103" spans="1:33" s="12" customFormat="1" x14ac:dyDescent="0.25">
      <c r="A103" s="248" t="s">
        <v>627</v>
      </c>
      <c r="B103" s="64">
        <v>8.34</v>
      </c>
      <c r="C103" s="64">
        <v>3.61</v>
      </c>
      <c r="D103" s="64">
        <v>12.34</v>
      </c>
      <c r="E103" s="64">
        <v>4.47</v>
      </c>
      <c r="F103" s="64">
        <v>3.72</v>
      </c>
      <c r="G103" s="64">
        <v>21.5</v>
      </c>
      <c r="H103" s="64">
        <v>8.26</v>
      </c>
      <c r="I103" s="64">
        <v>2.44</v>
      </c>
      <c r="J103" s="64">
        <v>0.15</v>
      </c>
      <c r="K103" s="64">
        <v>355.31</v>
      </c>
      <c r="L103" s="64">
        <v>25.22</v>
      </c>
      <c r="M103" s="64">
        <v>101.62</v>
      </c>
      <c r="N103" s="64">
        <v>42.3</v>
      </c>
      <c r="O103" s="64">
        <v>0</v>
      </c>
      <c r="P103" s="64">
        <v>0.41</v>
      </c>
      <c r="Q103" s="64">
        <v>9.31</v>
      </c>
      <c r="R103" s="198"/>
      <c r="S103" s="198"/>
      <c r="T103" s="198"/>
      <c r="U103" s="198"/>
    </row>
    <row r="104" spans="1:33" s="12" customFormat="1" x14ac:dyDescent="0.25">
      <c r="A104" s="248" t="s">
        <v>628</v>
      </c>
      <c r="B104" s="64">
        <v>8.2799999999999994</v>
      </c>
      <c r="C104" s="64">
        <v>3.47</v>
      </c>
      <c r="D104" s="64">
        <v>12.23</v>
      </c>
      <c r="E104" s="64">
        <v>4.67</v>
      </c>
      <c r="F104" s="64">
        <v>3.47</v>
      </c>
      <c r="G104" s="64">
        <v>21.82</v>
      </c>
      <c r="H104" s="64">
        <v>7.61</v>
      </c>
      <c r="I104" s="64">
        <v>2.4900000000000002</v>
      </c>
      <c r="J104" s="64">
        <v>0.05</v>
      </c>
      <c r="K104" s="64">
        <v>76.790000000000006</v>
      </c>
      <c r="L104" s="64">
        <v>25.18</v>
      </c>
      <c r="M104" s="64">
        <v>101.63</v>
      </c>
      <c r="N104" s="64">
        <v>42.3</v>
      </c>
      <c r="O104" s="64">
        <v>0</v>
      </c>
      <c r="P104" s="64">
        <v>0.4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2.92</v>
      </c>
      <c r="D106" s="67">
        <f t="shared" ref="D106:Q106" si="0">MIN(D9:D104)</f>
        <v>11.65</v>
      </c>
      <c r="E106" s="67">
        <f t="shared" si="0"/>
        <v>2.21</v>
      </c>
      <c r="F106" s="67">
        <f t="shared" si="0"/>
        <v>2.2400000000000002</v>
      </c>
      <c r="G106" s="67">
        <f t="shared" si="0"/>
        <v>7.41</v>
      </c>
      <c r="H106" s="67">
        <f t="shared" si="0"/>
        <v>3.56</v>
      </c>
      <c r="I106" s="67">
        <f t="shared" si="0"/>
        <v>1.1100000000000001</v>
      </c>
      <c r="J106" s="67">
        <f t="shared" si="0"/>
        <v>0.01</v>
      </c>
      <c r="K106" s="67">
        <f t="shared" si="0"/>
        <v>1.2</v>
      </c>
      <c r="L106" s="67">
        <f t="shared" si="0"/>
        <v>24.41</v>
      </c>
      <c r="M106" s="67">
        <f t="shared" si="0"/>
        <v>89.07</v>
      </c>
      <c r="N106" s="67">
        <f t="shared" si="0"/>
        <v>41.3</v>
      </c>
      <c r="O106" s="67">
        <f t="shared" si="0"/>
        <v>0</v>
      </c>
      <c r="P106" s="67">
        <f t="shared" si="0"/>
        <v>0.19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9.4600000000000009</v>
      </c>
      <c r="C107" s="66">
        <f t="shared" ref="C107:Q107" si="1">MAX(C9:C104)</f>
        <v>5.38</v>
      </c>
      <c r="D107" s="66">
        <f t="shared" si="1"/>
        <v>14.16</v>
      </c>
      <c r="E107" s="66">
        <f t="shared" si="1"/>
        <v>5.28</v>
      </c>
      <c r="F107" s="66">
        <f t="shared" si="1"/>
        <v>5.47</v>
      </c>
      <c r="G107" s="66">
        <f t="shared" si="1"/>
        <v>38.79</v>
      </c>
      <c r="H107" s="66">
        <f t="shared" si="1"/>
        <v>14.55</v>
      </c>
      <c r="I107" s="66">
        <f t="shared" si="1"/>
        <v>3.33</v>
      </c>
      <c r="J107" s="66">
        <f t="shared" si="1"/>
        <v>0.48</v>
      </c>
      <c r="K107" s="66">
        <f t="shared" si="1"/>
        <v>359.69</v>
      </c>
      <c r="L107" s="66">
        <f t="shared" si="1"/>
        <v>29.41</v>
      </c>
      <c r="M107" s="66">
        <f t="shared" si="1"/>
        <v>102.2</v>
      </c>
      <c r="N107" s="66">
        <f t="shared" si="1"/>
        <v>490.5</v>
      </c>
      <c r="O107" s="66">
        <f t="shared" si="1"/>
        <v>3</v>
      </c>
      <c r="P107" s="66">
        <f t="shared" si="1"/>
        <v>0.53</v>
      </c>
      <c r="Q107" s="66">
        <f t="shared" si="1"/>
        <v>9.41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8.2240624999999987</v>
      </c>
      <c r="C108" s="67">
        <f t="shared" ref="C108:Q108" si="2">AVERAGE(C9:C104)</f>
        <v>3.4675000000000007</v>
      </c>
      <c r="D108" s="67">
        <f t="shared" si="2"/>
        <v>12.180416666666666</v>
      </c>
      <c r="E108" s="67">
        <f t="shared" si="2"/>
        <v>4.0533333333333328</v>
      </c>
      <c r="F108" s="67">
        <f t="shared" si="2"/>
        <v>3.8699999999999997</v>
      </c>
      <c r="G108" s="67">
        <f t="shared" si="2"/>
        <v>21.576354166666665</v>
      </c>
      <c r="H108" s="67">
        <f t="shared" si="2"/>
        <v>7.3492708333333328</v>
      </c>
      <c r="I108" s="67">
        <f t="shared" si="2"/>
        <v>1.9088541666666672</v>
      </c>
      <c r="J108" s="67">
        <f t="shared" si="2"/>
        <v>0.18052083333333335</v>
      </c>
      <c r="K108" s="67">
        <f t="shared" si="2"/>
        <v>216.5428125</v>
      </c>
      <c r="L108" s="67">
        <f t="shared" si="2"/>
        <v>26.283229166666647</v>
      </c>
      <c r="M108" s="67">
        <f t="shared" si="2"/>
        <v>99.261666666666656</v>
      </c>
      <c r="N108" s="67">
        <f t="shared" si="2"/>
        <v>134.06041666666664</v>
      </c>
      <c r="O108" s="67">
        <f t="shared" si="2"/>
        <v>4.7916666666666663E-2</v>
      </c>
      <c r="P108" s="67">
        <f t="shared" si="2"/>
        <v>0.32354166666666678</v>
      </c>
      <c r="Q108" s="67">
        <f t="shared" si="2"/>
        <v>9.2033333333333278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0.39948803585273202</v>
      </c>
      <c r="C109" s="67">
        <f t="shared" ref="C109:Q109" si="3">STDEV(C9:C104)</f>
        <v>0.66112981446834018</v>
      </c>
      <c r="D109" s="67">
        <f t="shared" si="3"/>
        <v>0.66225915847382311</v>
      </c>
      <c r="E109" s="67">
        <f t="shared" si="3"/>
        <v>0.65268137897150214</v>
      </c>
      <c r="F109" s="67">
        <f t="shared" si="3"/>
        <v>0.62832777232403647</v>
      </c>
      <c r="G109" s="67">
        <f t="shared" si="3"/>
        <v>8.93769888197318</v>
      </c>
      <c r="H109" s="67">
        <f t="shared" si="3"/>
        <v>2.8059644161721953</v>
      </c>
      <c r="I109" s="67">
        <f t="shared" si="3"/>
        <v>0.63539771182542082</v>
      </c>
      <c r="J109" s="67">
        <f t="shared" si="3"/>
        <v>0.10441183429262643</v>
      </c>
      <c r="K109" s="67">
        <f t="shared" si="3"/>
        <v>129.88328627699502</v>
      </c>
      <c r="L109" s="67">
        <f t="shared" si="3"/>
        <v>1.5725651152390057</v>
      </c>
      <c r="M109" s="67">
        <f t="shared" si="3"/>
        <v>3.683711134073659</v>
      </c>
      <c r="N109" s="67">
        <f t="shared" si="3"/>
        <v>111.79816915850181</v>
      </c>
      <c r="O109" s="67">
        <f t="shared" si="3"/>
        <v>0.32150277617420242</v>
      </c>
      <c r="P109" s="67">
        <f t="shared" si="3"/>
        <v>9.4934649729686155E-2</v>
      </c>
      <c r="Q109" s="67">
        <f t="shared" si="3"/>
        <v>7.8949239743903513E-2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629</v>
      </c>
      <c r="B9" s="64">
        <v>8.0500000000000007</v>
      </c>
      <c r="C9" s="64">
        <v>3.02</v>
      </c>
      <c r="D9" s="64">
        <v>11.8</v>
      </c>
      <c r="E9" s="64">
        <v>4.82</v>
      </c>
      <c r="F9" s="64">
        <v>3.5</v>
      </c>
      <c r="G9" s="64">
        <v>21.82</v>
      </c>
      <c r="H9" s="64">
        <v>7.61</v>
      </c>
      <c r="I9" s="64">
        <v>2.36</v>
      </c>
      <c r="J9" s="64">
        <v>0.09</v>
      </c>
      <c r="K9" s="64">
        <v>225.98</v>
      </c>
      <c r="L9" s="64">
        <v>24.94</v>
      </c>
      <c r="M9" s="64">
        <v>101.66</v>
      </c>
      <c r="N9" s="64">
        <v>42.4</v>
      </c>
      <c r="O9" s="64">
        <v>0</v>
      </c>
      <c r="P9" s="64">
        <v>0.33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48" t="s">
        <v>630</v>
      </c>
      <c r="B10" s="64">
        <v>8.0399999999999991</v>
      </c>
      <c r="C10" s="64">
        <v>3.01</v>
      </c>
      <c r="D10" s="64">
        <v>11.79</v>
      </c>
      <c r="E10" s="64">
        <v>4.75</v>
      </c>
      <c r="F10" s="64">
        <v>3.39</v>
      </c>
      <c r="G10" s="64">
        <v>21.82</v>
      </c>
      <c r="H10" s="64">
        <v>7.61</v>
      </c>
      <c r="I10" s="64">
        <v>2.42</v>
      </c>
      <c r="J10" s="64">
        <v>0.08</v>
      </c>
      <c r="K10" s="64">
        <v>309.04000000000002</v>
      </c>
      <c r="L10" s="64">
        <v>24.76</v>
      </c>
      <c r="M10" s="64">
        <v>101.68</v>
      </c>
      <c r="N10" s="64">
        <v>42.2</v>
      </c>
      <c r="O10" s="64">
        <v>0</v>
      </c>
      <c r="P10" s="64">
        <v>0.33</v>
      </c>
      <c r="Q10" s="64">
        <v>9.33</v>
      </c>
      <c r="R10" s="198"/>
      <c r="S10" s="198"/>
      <c r="T10" s="198"/>
      <c r="U10" s="198"/>
    </row>
    <row r="11" spans="1:21" s="12" customFormat="1" x14ac:dyDescent="0.25">
      <c r="A11" s="248" t="s">
        <v>631</v>
      </c>
      <c r="B11" s="64">
        <v>8.01</v>
      </c>
      <c r="C11" s="64">
        <v>3</v>
      </c>
      <c r="D11" s="64">
        <v>11.76</v>
      </c>
      <c r="E11" s="64">
        <v>4.9000000000000004</v>
      </c>
      <c r="F11" s="64">
        <v>3.63</v>
      </c>
      <c r="G11" s="64">
        <v>16.579999999999998</v>
      </c>
      <c r="H11" s="64">
        <v>11.49</v>
      </c>
      <c r="I11" s="64">
        <v>2.5499999999999998</v>
      </c>
      <c r="J11" s="64">
        <v>0.03</v>
      </c>
      <c r="K11" s="64">
        <v>348.97</v>
      </c>
      <c r="L11" s="64">
        <v>24.62</v>
      </c>
      <c r="M11" s="64">
        <v>101.71</v>
      </c>
      <c r="N11" s="64">
        <v>41.9</v>
      </c>
      <c r="O11" s="64">
        <v>0</v>
      </c>
      <c r="P11" s="64">
        <v>0.32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48" t="s">
        <v>632</v>
      </c>
      <c r="B12" s="64">
        <v>8.0299999999999994</v>
      </c>
      <c r="C12" s="64">
        <v>3.02</v>
      </c>
      <c r="D12" s="64">
        <v>11.79</v>
      </c>
      <c r="E12" s="64">
        <v>4.93</v>
      </c>
      <c r="F12" s="64">
        <v>3.22</v>
      </c>
      <c r="G12" s="64">
        <v>15.27</v>
      </c>
      <c r="H12" s="64">
        <v>12.46</v>
      </c>
      <c r="I12" s="64">
        <v>2.64</v>
      </c>
      <c r="J12" s="64">
        <v>0.11</v>
      </c>
      <c r="K12" s="64">
        <v>339.54</v>
      </c>
      <c r="L12" s="64">
        <v>24.59</v>
      </c>
      <c r="M12" s="64">
        <v>101.75</v>
      </c>
      <c r="N12" s="64">
        <v>41.9</v>
      </c>
      <c r="O12" s="64">
        <v>0</v>
      </c>
      <c r="P12" s="64">
        <v>0.31</v>
      </c>
      <c r="Q12" s="64">
        <v>9.32</v>
      </c>
      <c r="R12" s="198"/>
      <c r="S12" s="198"/>
      <c r="T12" s="198"/>
      <c r="U12" s="198"/>
    </row>
    <row r="13" spans="1:21" s="12" customFormat="1" x14ac:dyDescent="0.25">
      <c r="A13" s="248" t="s">
        <v>633</v>
      </c>
      <c r="B13" s="64">
        <v>8.33</v>
      </c>
      <c r="C13" s="64">
        <v>3.54</v>
      </c>
      <c r="D13" s="64">
        <v>12.3</v>
      </c>
      <c r="E13" s="64">
        <v>4.92</v>
      </c>
      <c r="F13" s="64">
        <v>3.71</v>
      </c>
      <c r="G13" s="64">
        <v>15.27</v>
      </c>
      <c r="H13" s="64">
        <v>12.46</v>
      </c>
      <c r="I13" s="64">
        <v>2.76</v>
      </c>
      <c r="J13" s="64">
        <v>0.21</v>
      </c>
      <c r="K13" s="64">
        <v>131.08000000000001</v>
      </c>
      <c r="L13" s="64">
        <v>24.57</v>
      </c>
      <c r="M13" s="64">
        <v>101.86</v>
      </c>
      <c r="N13" s="64">
        <v>42</v>
      </c>
      <c r="O13" s="64">
        <v>0</v>
      </c>
      <c r="P13" s="64">
        <v>0.3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48" t="s">
        <v>634</v>
      </c>
      <c r="B14" s="64">
        <v>8.7100000000000009</v>
      </c>
      <c r="C14" s="64">
        <v>4.32</v>
      </c>
      <c r="D14" s="64">
        <v>13.01</v>
      </c>
      <c r="E14" s="64">
        <v>4.4800000000000004</v>
      </c>
      <c r="F14" s="64">
        <v>4.0599999999999996</v>
      </c>
      <c r="G14" s="64">
        <v>15.27</v>
      </c>
      <c r="H14" s="64">
        <v>12.46</v>
      </c>
      <c r="I14" s="64">
        <v>2.78</v>
      </c>
      <c r="J14" s="64">
        <v>0.38</v>
      </c>
      <c r="K14" s="64">
        <v>127.68</v>
      </c>
      <c r="L14" s="64">
        <v>24.57</v>
      </c>
      <c r="M14" s="64">
        <v>102.05</v>
      </c>
      <c r="N14" s="64">
        <v>42.2</v>
      </c>
      <c r="O14" s="64">
        <v>0</v>
      </c>
      <c r="P14" s="64">
        <v>0.28999999999999998</v>
      </c>
      <c r="Q14" s="64">
        <v>9.2899999999999991</v>
      </c>
      <c r="R14" s="198"/>
      <c r="S14" s="198"/>
      <c r="T14" s="198"/>
      <c r="U14" s="198"/>
    </row>
    <row r="15" spans="1:21" s="12" customFormat="1" x14ac:dyDescent="0.25">
      <c r="A15" s="248" t="s">
        <v>635</v>
      </c>
      <c r="B15" s="64">
        <v>8.2200000000000006</v>
      </c>
      <c r="C15" s="64">
        <v>3.49</v>
      </c>
      <c r="D15" s="64">
        <v>12.19</v>
      </c>
      <c r="E15" s="64">
        <v>4.87</v>
      </c>
      <c r="F15" s="64">
        <v>3.97</v>
      </c>
      <c r="G15" s="64">
        <v>16.75</v>
      </c>
      <c r="H15" s="64">
        <v>12.1</v>
      </c>
      <c r="I15" s="64">
        <v>2.74</v>
      </c>
      <c r="J15" s="64">
        <v>7.0000000000000007E-2</v>
      </c>
      <c r="K15" s="64">
        <v>142.43</v>
      </c>
      <c r="L15" s="64">
        <v>24.6</v>
      </c>
      <c r="M15" s="64">
        <v>102.05</v>
      </c>
      <c r="N15" s="64">
        <v>42</v>
      </c>
      <c r="O15" s="64">
        <v>0</v>
      </c>
      <c r="P15" s="64">
        <v>0.28999999999999998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48" t="s">
        <v>636</v>
      </c>
      <c r="B16" s="64">
        <v>8.16</v>
      </c>
      <c r="C16" s="64">
        <v>3.41</v>
      </c>
      <c r="D16" s="64">
        <v>12.1</v>
      </c>
      <c r="E16" s="64">
        <v>4.97</v>
      </c>
      <c r="F16" s="64">
        <v>3.77</v>
      </c>
      <c r="G16" s="64">
        <v>17.12</v>
      </c>
      <c r="H16" s="64">
        <v>12.01</v>
      </c>
      <c r="I16" s="64">
        <v>2.7</v>
      </c>
      <c r="J16" s="64">
        <v>0.11</v>
      </c>
      <c r="K16" s="64">
        <v>98.22</v>
      </c>
      <c r="L16" s="64">
        <v>24.61</v>
      </c>
      <c r="M16" s="64">
        <v>102.04</v>
      </c>
      <c r="N16" s="64">
        <v>41.9</v>
      </c>
      <c r="O16" s="64">
        <v>0</v>
      </c>
      <c r="P16" s="64">
        <v>0.28000000000000003</v>
      </c>
      <c r="Q16" s="64">
        <v>9.27</v>
      </c>
      <c r="R16" s="198"/>
      <c r="S16" s="198"/>
      <c r="T16" s="198"/>
      <c r="U16" s="198"/>
    </row>
    <row r="17" spans="1:21" s="12" customFormat="1" x14ac:dyDescent="0.25">
      <c r="A17" s="248" t="s">
        <v>637</v>
      </c>
      <c r="B17" s="64">
        <v>8.58</v>
      </c>
      <c r="C17" s="64">
        <v>4.3</v>
      </c>
      <c r="D17" s="64">
        <v>12.9</v>
      </c>
      <c r="E17" s="64">
        <v>4.7300000000000004</v>
      </c>
      <c r="F17" s="64">
        <v>3.84</v>
      </c>
      <c r="G17" s="64">
        <v>17.12</v>
      </c>
      <c r="H17" s="64">
        <v>12.01</v>
      </c>
      <c r="I17" s="64">
        <v>2.73</v>
      </c>
      <c r="J17" s="64">
        <v>0.12</v>
      </c>
      <c r="K17" s="64">
        <v>210.45</v>
      </c>
      <c r="L17" s="64">
        <v>24.62</v>
      </c>
      <c r="M17" s="64">
        <v>102.01</v>
      </c>
      <c r="N17" s="64">
        <v>41.9</v>
      </c>
      <c r="O17" s="64">
        <v>0</v>
      </c>
      <c r="P17" s="64">
        <v>0.28000000000000003</v>
      </c>
      <c r="Q17" s="64">
        <v>9.2899999999999991</v>
      </c>
      <c r="R17" s="198"/>
      <c r="S17" s="198"/>
      <c r="T17" s="198"/>
      <c r="U17" s="198"/>
    </row>
    <row r="18" spans="1:21" s="12" customFormat="1" x14ac:dyDescent="0.25">
      <c r="A18" s="248" t="s">
        <v>638</v>
      </c>
      <c r="B18" s="64">
        <v>8.61</v>
      </c>
      <c r="C18" s="64">
        <v>4.33</v>
      </c>
      <c r="D18" s="64">
        <v>12.94</v>
      </c>
      <c r="E18" s="64">
        <v>4.84</v>
      </c>
      <c r="F18" s="64">
        <v>4.04</v>
      </c>
      <c r="G18" s="64">
        <v>17.12</v>
      </c>
      <c r="H18" s="64">
        <v>12.01</v>
      </c>
      <c r="I18" s="64">
        <v>2.83</v>
      </c>
      <c r="J18" s="64">
        <v>0.15</v>
      </c>
      <c r="K18" s="64">
        <v>99.53</v>
      </c>
      <c r="L18" s="64">
        <v>24.54</v>
      </c>
      <c r="M18" s="64">
        <v>101.91</v>
      </c>
      <c r="N18" s="64">
        <v>41.7</v>
      </c>
      <c r="O18" s="64">
        <v>0</v>
      </c>
      <c r="P18" s="64">
        <v>0.26</v>
      </c>
      <c r="Q18" s="64">
        <v>9.27</v>
      </c>
      <c r="R18" s="198"/>
      <c r="S18" s="198"/>
      <c r="T18" s="198"/>
      <c r="U18" s="198"/>
    </row>
    <row r="19" spans="1:21" s="12" customFormat="1" x14ac:dyDescent="0.25">
      <c r="A19" s="248" t="s">
        <v>639</v>
      </c>
      <c r="B19" s="64">
        <v>8.64</v>
      </c>
      <c r="C19" s="64">
        <v>4.46</v>
      </c>
      <c r="D19" s="64">
        <v>13.03</v>
      </c>
      <c r="E19" s="64">
        <v>4.78</v>
      </c>
      <c r="F19" s="64">
        <v>4.05</v>
      </c>
      <c r="G19" s="64">
        <v>17.41</v>
      </c>
      <c r="H19" s="64">
        <v>11.9</v>
      </c>
      <c r="I19" s="64">
        <v>2.78</v>
      </c>
      <c r="J19" s="64">
        <v>0.09</v>
      </c>
      <c r="K19" s="64">
        <v>74.36</v>
      </c>
      <c r="L19" s="64">
        <v>24.57</v>
      </c>
      <c r="M19" s="64">
        <v>101.47</v>
      </c>
      <c r="N19" s="64">
        <v>41.8</v>
      </c>
      <c r="O19" s="64">
        <v>0</v>
      </c>
      <c r="P19" s="64">
        <v>0.26</v>
      </c>
      <c r="Q19" s="64">
        <v>9.2899999999999991</v>
      </c>
      <c r="R19" s="198"/>
      <c r="S19" s="198"/>
      <c r="T19" s="198"/>
      <c r="U19" s="198"/>
    </row>
    <row r="20" spans="1:21" s="12" customFormat="1" x14ac:dyDescent="0.25">
      <c r="A20" s="248" t="s">
        <v>640</v>
      </c>
      <c r="B20" s="64">
        <v>8.6199999999999992</v>
      </c>
      <c r="C20" s="64">
        <v>4.3499999999999996</v>
      </c>
      <c r="D20" s="64">
        <v>12.96</v>
      </c>
      <c r="E20" s="64">
        <v>4.25</v>
      </c>
      <c r="F20" s="64">
        <v>3.21</v>
      </c>
      <c r="G20" s="64">
        <v>17.489999999999998</v>
      </c>
      <c r="H20" s="64">
        <v>11.88</v>
      </c>
      <c r="I20" s="64">
        <v>2.74</v>
      </c>
      <c r="J20" s="64">
        <v>0.15</v>
      </c>
      <c r="K20" s="64">
        <v>114.17</v>
      </c>
      <c r="L20" s="64">
        <v>24.61</v>
      </c>
      <c r="M20" s="64">
        <v>101.25</v>
      </c>
      <c r="N20" s="64">
        <v>41.9</v>
      </c>
      <c r="O20" s="64">
        <v>0</v>
      </c>
      <c r="P20" s="64">
        <v>0.25</v>
      </c>
      <c r="Q20" s="64">
        <v>9.26</v>
      </c>
      <c r="R20" s="198"/>
      <c r="S20" s="198"/>
      <c r="T20" s="198"/>
      <c r="U20" s="198"/>
    </row>
    <row r="21" spans="1:21" s="12" customFormat="1" x14ac:dyDescent="0.25">
      <c r="A21" s="248" t="s">
        <v>641</v>
      </c>
      <c r="B21" s="64">
        <v>8.3699999999999992</v>
      </c>
      <c r="C21" s="64">
        <v>3.87</v>
      </c>
      <c r="D21" s="64">
        <v>12.5</v>
      </c>
      <c r="E21" s="64">
        <v>4.4400000000000004</v>
      </c>
      <c r="F21" s="64">
        <v>4.21</v>
      </c>
      <c r="G21" s="64">
        <v>17.489999999999998</v>
      </c>
      <c r="H21" s="64">
        <v>11.88</v>
      </c>
      <c r="I21" s="64">
        <v>2.73</v>
      </c>
      <c r="J21" s="64">
        <v>0.36</v>
      </c>
      <c r="K21" s="64">
        <v>136.13</v>
      </c>
      <c r="L21" s="64">
        <v>24.6</v>
      </c>
      <c r="M21" s="64">
        <v>101.19</v>
      </c>
      <c r="N21" s="64">
        <v>42</v>
      </c>
      <c r="O21" s="64">
        <v>0</v>
      </c>
      <c r="P21" s="64">
        <v>0.25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48" t="s">
        <v>642</v>
      </c>
      <c r="B22" s="64">
        <v>8.51</v>
      </c>
      <c r="C22" s="64">
        <v>4.1500000000000004</v>
      </c>
      <c r="D22" s="64">
        <v>12.77</v>
      </c>
      <c r="E22" s="64">
        <v>4.29</v>
      </c>
      <c r="F22" s="64">
        <v>2.86</v>
      </c>
      <c r="G22" s="64">
        <v>17.489999999999998</v>
      </c>
      <c r="H22" s="64">
        <v>11.88</v>
      </c>
      <c r="I22" s="64">
        <v>2.68</v>
      </c>
      <c r="J22" s="64">
        <v>0.03</v>
      </c>
      <c r="K22" s="64">
        <v>160.54</v>
      </c>
      <c r="L22" s="64">
        <v>24.56</v>
      </c>
      <c r="M22" s="64">
        <v>101.17</v>
      </c>
      <c r="N22" s="64">
        <v>41.9</v>
      </c>
      <c r="O22" s="64">
        <v>0</v>
      </c>
      <c r="P22" s="64">
        <v>0.25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48" t="s">
        <v>643</v>
      </c>
      <c r="B23" s="64">
        <v>8.6300000000000008</v>
      </c>
      <c r="C23" s="64">
        <v>4.34</v>
      </c>
      <c r="D23" s="64">
        <v>12.96</v>
      </c>
      <c r="E23" s="64">
        <v>4.67</v>
      </c>
      <c r="F23" s="64">
        <v>3.08</v>
      </c>
      <c r="G23" s="64">
        <v>15.23</v>
      </c>
      <c r="H23" s="64">
        <v>11.5</v>
      </c>
      <c r="I23" s="64">
        <v>2.69</v>
      </c>
      <c r="J23" s="64">
        <v>0.05</v>
      </c>
      <c r="K23" s="64">
        <v>286.14</v>
      </c>
      <c r="L23" s="64">
        <v>24.51</v>
      </c>
      <c r="M23" s="64">
        <v>101.11</v>
      </c>
      <c r="N23" s="64">
        <v>41.7</v>
      </c>
      <c r="O23" s="64">
        <v>0</v>
      </c>
      <c r="P23" s="64">
        <v>0.24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48" t="s">
        <v>644</v>
      </c>
      <c r="B24" s="64">
        <v>8.56</v>
      </c>
      <c r="C24" s="64">
        <v>4.1100000000000003</v>
      </c>
      <c r="D24" s="64">
        <v>12.79</v>
      </c>
      <c r="E24" s="64">
        <v>4.55</v>
      </c>
      <c r="F24" s="64">
        <v>3.48</v>
      </c>
      <c r="G24" s="64">
        <v>14.66</v>
      </c>
      <c r="H24" s="64">
        <v>11.41</v>
      </c>
      <c r="I24" s="64">
        <v>2.66</v>
      </c>
      <c r="J24" s="64">
        <v>0.03</v>
      </c>
      <c r="K24" s="64">
        <v>118.81</v>
      </c>
      <c r="L24" s="64">
        <v>24.5</v>
      </c>
      <c r="M24" s="64">
        <v>101.11</v>
      </c>
      <c r="N24" s="64">
        <v>41.7</v>
      </c>
      <c r="O24" s="64">
        <v>0</v>
      </c>
      <c r="P24" s="64">
        <v>0.23</v>
      </c>
      <c r="Q24" s="64">
        <v>9.2200000000000006</v>
      </c>
      <c r="R24" s="198"/>
      <c r="S24" s="198"/>
      <c r="T24" s="198"/>
      <c r="U24" s="198"/>
    </row>
    <row r="25" spans="1:21" s="12" customFormat="1" x14ac:dyDescent="0.25">
      <c r="A25" s="248" t="s">
        <v>645</v>
      </c>
      <c r="B25" s="64">
        <v>8.3000000000000007</v>
      </c>
      <c r="C25" s="64">
        <v>3.57</v>
      </c>
      <c r="D25" s="64">
        <v>12.3</v>
      </c>
      <c r="E25" s="64">
        <v>4.47</v>
      </c>
      <c r="F25" s="64">
        <v>3.46</v>
      </c>
      <c r="G25" s="64">
        <v>14.66</v>
      </c>
      <c r="H25" s="64">
        <v>11.41</v>
      </c>
      <c r="I25" s="64">
        <v>2.69</v>
      </c>
      <c r="J25" s="64">
        <v>0.05</v>
      </c>
      <c r="K25" s="64">
        <v>346.81</v>
      </c>
      <c r="L25" s="64">
        <v>24.56</v>
      </c>
      <c r="M25" s="64">
        <v>101.12</v>
      </c>
      <c r="N25" s="64">
        <v>41.7</v>
      </c>
      <c r="O25" s="64">
        <v>0</v>
      </c>
      <c r="P25" s="64">
        <v>0.24</v>
      </c>
      <c r="Q25" s="64">
        <v>9.24</v>
      </c>
      <c r="R25" s="198"/>
      <c r="S25" s="198"/>
      <c r="T25" s="198"/>
      <c r="U25" s="198"/>
    </row>
    <row r="26" spans="1:21" s="12" customFormat="1" x14ac:dyDescent="0.25">
      <c r="A26" s="248" t="s">
        <v>646</v>
      </c>
      <c r="B26" s="64">
        <v>8.19</v>
      </c>
      <c r="C26" s="64">
        <v>3.32</v>
      </c>
      <c r="D26" s="64">
        <v>12.07</v>
      </c>
      <c r="E26" s="64">
        <v>4.42</v>
      </c>
      <c r="F26" s="64">
        <v>3.28</v>
      </c>
      <c r="G26" s="64">
        <v>14.66</v>
      </c>
      <c r="H26" s="64">
        <v>11.41</v>
      </c>
      <c r="I26" s="64">
        <v>2.82</v>
      </c>
      <c r="J26" s="64">
        <v>7.0000000000000007E-2</v>
      </c>
      <c r="K26" s="64">
        <v>173.13</v>
      </c>
      <c r="L26" s="64">
        <v>24.54</v>
      </c>
      <c r="M26" s="64">
        <v>101.18</v>
      </c>
      <c r="N26" s="64">
        <v>41.9</v>
      </c>
      <c r="O26" s="64">
        <v>0</v>
      </c>
      <c r="P26" s="64">
        <v>0.23</v>
      </c>
      <c r="Q26" s="64">
        <v>9.26</v>
      </c>
      <c r="R26" s="198"/>
      <c r="S26" s="198"/>
      <c r="T26" s="198"/>
      <c r="U26" s="198"/>
    </row>
    <row r="27" spans="1:21" s="12" customFormat="1" x14ac:dyDescent="0.25">
      <c r="A27" s="248" t="s">
        <v>647</v>
      </c>
      <c r="B27" s="64">
        <v>8.0299999999999994</v>
      </c>
      <c r="C27" s="64">
        <v>3.03</v>
      </c>
      <c r="D27" s="64">
        <v>11.8</v>
      </c>
      <c r="E27" s="64">
        <v>4.72</v>
      </c>
      <c r="F27" s="64">
        <v>3.23</v>
      </c>
      <c r="G27" s="64">
        <v>18.149999999999999</v>
      </c>
      <c r="H27" s="64">
        <v>8.67</v>
      </c>
      <c r="I27" s="64">
        <v>2.94</v>
      </c>
      <c r="J27" s="64">
        <v>0.1</v>
      </c>
      <c r="K27" s="64">
        <v>326.99</v>
      </c>
      <c r="L27" s="64">
        <v>24.51</v>
      </c>
      <c r="M27" s="64">
        <v>101.23</v>
      </c>
      <c r="N27" s="64">
        <v>42.9</v>
      </c>
      <c r="O27" s="64">
        <v>0</v>
      </c>
      <c r="P27" s="64">
        <v>0.23</v>
      </c>
      <c r="Q27" s="64">
        <v>9.27</v>
      </c>
      <c r="R27" s="198"/>
      <c r="S27" s="198"/>
      <c r="T27" s="198"/>
      <c r="U27" s="198"/>
    </row>
    <row r="28" spans="1:21" s="12" customFormat="1" x14ac:dyDescent="0.25">
      <c r="A28" s="248" t="s">
        <v>648</v>
      </c>
      <c r="B28" s="64">
        <v>8.0399999999999991</v>
      </c>
      <c r="C28" s="64">
        <v>2.99</v>
      </c>
      <c r="D28" s="64">
        <v>11.79</v>
      </c>
      <c r="E28" s="64">
        <v>4.71</v>
      </c>
      <c r="F28" s="64">
        <v>3.22</v>
      </c>
      <c r="G28" s="64">
        <v>19.02</v>
      </c>
      <c r="H28" s="64">
        <v>7.99</v>
      </c>
      <c r="I28" s="64">
        <v>2.95</v>
      </c>
      <c r="J28" s="64">
        <v>0.12</v>
      </c>
      <c r="K28" s="64">
        <v>307</v>
      </c>
      <c r="L28" s="64">
        <v>24.62</v>
      </c>
      <c r="M28" s="64">
        <v>101.22</v>
      </c>
      <c r="N28" s="64">
        <v>49.8</v>
      </c>
      <c r="O28" s="64">
        <v>0</v>
      </c>
      <c r="P28" s="64">
        <v>0.24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48" t="s">
        <v>649</v>
      </c>
      <c r="B29" s="64">
        <v>8.33</v>
      </c>
      <c r="C29" s="64">
        <v>3.49</v>
      </c>
      <c r="D29" s="64">
        <v>12.28</v>
      </c>
      <c r="E29" s="64">
        <v>4.42</v>
      </c>
      <c r="F29" s="64">
        <v>3.27</v>
      </c>
      <c r="G29" s="64">
        <v>19.02</v>
      </c>
      <c r="H29" s="64">
        <v>7.99</v>
      </c>
      <c r="I29" s="64">
        <v>3.09</v>
      </c>
      <c r="J29" s="64">
        <v>0.09</v>
      </c>
      <c r="K29" s="64">
        <v>237.49</v>
      </c>
      <c r="L29" s="64">
        <v>24.65</v>
      </c>
      <c r="M29" s="64">
        <v>101.25</v>
      </c>
      <c r="N29" s="64">
        <v>66.099999999999994</v>
      </c>
      <c r="O29" s="64">
        <v>0</v>
      </c>
      <c r="P29" s="64">
        <v>0.23</v>
      </c>
      <c r="Q29" s="64">
        <v>9.3000000000000007</v>
      </c>
      <c r="R29" s="198"/>
      <c r="S29" s="198"/>
      <c r="T29" s="198"/>
      <c r="U29" s="198"/>
    </row>
    <row r="30" spans="1:21" s="12" customFormat="1" x14ac:dyDescent="0.25">
      <c r="A30" s="248" t="s">
        <v>650</v>
      </c>
      <c r="B30" s="64">
        <v>8.33</v>
      </c>
      <c r="C30" s="64">
        <v>3.57</v>
      </c>
      <c r="D30" s="64">
        <v>12.32</v>
      </c>
      <c r="E30" s="64">
        <v>4.79</v>
      </c>
      <c r="F30" s="64">
        <v>3.78</v>
      </c>
      <c r="G30" s="64">
        <v>19.02</v>
      </c>
      <c r="H30" s="64">
        <v>7.99</v>
      </c>
      <c r="I30" s="64">
        <v>3.17</v>
      </c>
      <c r="J30" s="64">
        <v>0.14000000000000001</v>
      </c>
      <c r="K30" s="64">
        <v>346.47</v>
      </c>
      <c r="L30" s="64">
        <v>24.84</v>
      </c>
      <c r="M30" s="64">
        <v>101.28</v>
      </c>
      <c r="N30" s="64">
        <v>84.1</v>
      </c>
      <c r="O30" s="64">
        <v>0</v>
      </c>
      <c r="P30" s="64">
        <v>0.23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48" t="s">
        <v>651</v>
      </c>
      <c r="B31" s="64">
        <v>8.56</v>
      </c>
      <c r="C31" s="64">
        <v>4.05</v>
      </c>
      <c r="D31" s="64">
        <v>12.75</v>
      </c>
      <c r="E31" s="64">
        <v>5.05</v>
      </c>
      <c r="F31" s="64">
        <v>4.4000000000000004</v>
      </c>
      <c r="G31" s="64">
        <v>19.5</v>
      </c>
      <c r="H31" s="64">
        <v>6.07</v>
      </c>
      <c r="I31" s="64">
        <v>3.22</v>
      </c>
      <c r="J31" s="64">
        <v>7.0000000000000007E-2</v>
      </c>
      <c r="K31" s="64">
        <v>180.09</v>
      </c>
      <c r="L31" s="64">
        <v>25.18</v>
      </c>
      <c r="M31" s="64">
        <v>101.25</v>
      </c>
      <c r="N31" s="64">
        <v>102.2</v>
      </c>
      <c r="O31" s="64">
        <v>0</v>
      </c>
      <c r="P31" s="64">
        <v>0.24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48" t="s">
        <v>652</v>
      </c>
      <c r="B32" s="64">
        <v>8.74</v>
      </c>
      <c r="C32" s="64">
        <v>4.3600000000000003</v>
      </c>
      <c r="D32" s="64">
        <v>13.06</v>
      </c>
      <c r="E32" s="64">
        <v>4.8600000000000003</v>
      </c>
      <c r="F32" s="64">
        <v>3.78</v>
      </c>
      <c r="G32" s="64">
        <v>19.62</v>
      </c>
      <c r="H32" s="64">
        <v>5.59</v>
      </c>
      <c r="I32" s="64">
        <v>3.22</v>
      </c>
      <c r="J32" s="64">
        <v>0.06</v>
      </c>
      <c r="K32" s="64">
        <v>136.86000000000001</v>
      </c>
      <c r="L32" s="64">
        <v>25.35</v>
      </c>
      <c r="M32" s="64">
        <v>101.19</v>
      </c>
      <c r="N32" s="64">
        <v>113.5</v>
      </c>
      <c r="O32" s="64">
        <v>0</v>
      </c>
      <c r="P32" s="64">
        <v>0.24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48" t="s">
        <v>653</v>
      </c>
      <c r="B33" s="64">
        <v>8.84</v>
      </c>
      <c r="C33" s="64">
        <v>4.5199999999999996</v>
      </c>
      <c r="D33" s="64">
        <v>13.23</v>
      </c>
      <c r="E33" s="64">
        <v>5.24</v>
      </c>
      <c r="F33" s="64">
        <v>3.95</v>
      </c>
      <c r="G33" s="64">
        <v>19.62</v>
      </c>
      <c r="H33" s="64">
        <v>5.59</v>
      </c>
      <c r="I33" s="64">
        <v>3.15</v>
      </c>
      <c r="J33" s="64">
        <v>0.06</v>
      </c>
      <c r="K33" s="64">
        <v>66.16</v>
      </c>
      <c r="L33" s="64">
        <v>25.73</v>
      </c>
      <c r="M33" s="64">
        <v>101.22</v>
      </c>
      <c r="N33" s="64">
        <v>170.9</v>
      </c>
      <c r="O33" s="64">
        <v>0</v>
      </c>
      <c r="P33" s="64">
        <v>0.25</v>
      </c>
      <c r="Q33" s="64">
        <v>9.24</v>
      </c>
      <c r="R33" s="198"/>
      <c r="S33" s="198"/>
      <c r="T33" s="198"/>
      <c r="U33" s="198"/>
    </row>
    <row r="34" spans="1:21" s="12" customFormat="1" x14ac:dyDescent="0.25">
      <c r="A34" s="248" t="s">
        <v>654</v>
      </c>
      <c r="B34" s="64">
        <v>8.91</v>
      </c>
      <c r="C34" s="64">
        <v>4.78</v>
      </c>
      <c r="D34" s="64">
        <v>13.42</v>
      </c>
      <c r="E34" s="64">
        <v>4.72</v>
      </c>
      <c r="F34" s="64">
        <v>3.91</v>
      </c>
      <c r="G34" s="64">
        <v>19.62</v>
      </c>
      <c r="H34" s="64">
        <v>5.59</v>
      </c>
      <c r="I34" s="64">
        <v>3.11</v>
      </c>
      <c r="J34" s="64">
        <v>0.05</v>
      </c>
      <c r="K34" s="64">
        <v>186.26</v>
      </c>
      <c r="L34" s="64">
        <v>26.47</v>
      </c>
      <c r="M34" s="64">
        <v>101.14</v>
      </c>
      <c r="N34" s="64">
        <v>226.9</v>
      </c>
      <c r="O34" s="64">
        <v>0</v>
      </c>
      <c r="P34" s="64">
        <v>0.28000000000000003</v>
      </c>
      <c r="Q34" s="64">
        <v>9.25</v>
      </c>
      <c r="R34" s="198"/>
      <c r="S34" s="198"/>
      <c r="T34" s="198"/>
      <c r="U34" s="198"/>
    </row>
    <row r="35" spans="1:21" s="12" customFormat="1" x14ac:dyDescent="0.25">
      <c r="A35" s="248" t="s">
        <v>655</v>
      </c>
      <c r="B35" s="64">
        <v>8.92</v>
      </c>
      <c r="C35" s="64">
        <v>4.88</v>
      </c>
      <c r="D35" s="64">
        <v>13.47</v>
      </c>
      <c r="E35" s="64">
        <v>4.74</v>
      </c>
      <c r="F35" s="64">
        <v>4</v>
      </c>
      <c r="G35" s="64">
        <v>23.87</v>
      </c>
      <c r="H35" s="64">
        <v>6.44</v>
      </c>
      <c r="I35" s="64">
        <v>3.04</v>
      </c>
      <c r="J35" s="64">
        <v>0.15</v>
      </c>
      <c r="K35" s="64">
        <v>18.399999999999999</v>
      </c>
      <c r="L35" s="64">
        <v>27.28</v>
      </c>
      <c r="M35" s="64">
        <v>100.93</v>
      </c>
      <c r="N35" s="64">
        <v>351.5</v>
      </c>
      <c r="O35" s="64">
        <v>0</v>
      </c>
      <c r="P35" s="64">
        <v>0.27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48" t="s">
        <v>656</v>
      </c>
      <c r="B36" s="64">
        <v>8.8800000000000008</v>
      </c>
      <c r="C36" s="64">
        <v>4.8600000000000003</v>
      </c>
      <c r="D36" s="64">
        <v>13.44</v>
      </c>
      <c r="E36" s="64">
        <v>4.9800000000000004</v>
      </c>
      <c r="F36" s="64">
        <v>3.91</v>
      </c>
      <c r="G36" s="64">
        <v>24.93</v>
      </c>
      <c r="H36" s="64">
        <v>6.66</v>
      </c>
      <c r="I36" s="64">
        <v>2.99</v>
      </c>
      <c r="J36" s="64">
        <v>0.18</v>
      </c>
      <c r="K36" s="64">
        <v>11.99</v>
      </c>
      <c r="L36" s="64">
        <v>28.12</v>
      </c>
      <c r="M36" s="64">
        <v>98.13</v>
      </c>
      <c r="N36" s="64">
        <v>377.1</v>
      </c>
      <c r="O36" s="64">
        <v>0</v>
      </c>
      <c r="P36" s="64">
        <v>0.28999999999999998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48" t="s">
        <v>657</v>
      </c>
      <c r="B37" s="64">
        <v>8.82</v>
      </c>
      <c r="C37" s="64">
        <v>4.68</v>
      </c>
      <c r="D37" s="64">
        <v>13.29</v>
      </c>
      <c r="E37" s="64">
        <v>5.42</v>
      </c>
      <c r="F37" s="64">
        <v>3.18</v>
      </c>
      <c r="G37" s="64">
        <v>24.93</v>
      </c>
      <c r="H37" s="64">
        <v>6.66</v>
      </c>
      <c r="I37" s="64">
        <v>2.89</v>
      </c>
      <c r="J37" s="64">
        <v>0.3</v>
      </c>
      <c r="K37" s="64">
        <v>2.61</v>
      </c>
      <c r="L37" s="64">
        <v>28.24</v>
      </c>
      <c r="M37" s="64">
        <v>96.91</v>
      </c>
      <c r="N37" s="64">
        <v>444.6</v>
      </c>
      <c r="O37" s="64">
        <v>0</v>
      </c>
      <c r="P37" s="64">
        <v>0.28999999999999998</v>
      </c>
      <c r="Q37" s="64">
        <v>9.24</v>
      </c>
      <c r="R37" s="198"/>
      <c r="S37" s="198"/>
      <c r="T37" s="198"/>
      <c r="U37" s="198"/>
    </row>
    <row r="38" spans="1:21" s="12" customFormat="1" x14ac:dyDescent="0.25">
      <c r="A38" s="248" t="s">
        <v>658</v>
      </c>
      <c r="B38" s="64">
        <v>8.86</v>
      </c>
      <c r="C38" s="64">
        <v>4.88</v>
      </c>
      <c r="D38" s="64">
        <v>13.43</v>
      </c>
      <c r="E38" s="64">
        <v>5.32</v>
      </c>
      <c r="F38" s="64">
        <v>4.96</v>
      </c>
      <c r="G38" s="64">
        <v>24.93</v>
      </c>
      <c r="H38" s="64">
        <v>6.66</v>
      </c>
      <c r="I38" s="64">
        <v>2.81</v>
      </c>
      <c r="J38" s="64">
        <v>0.32</v>
      </c>
      <c r="K38" s="64">
        <v>5.05</v>
      </c>
      <c r="L38" s="64">
        <v>28.98</v>
      </c>
      <c r="M38" s="64">
        <v>92.57</v>
      </c>
      <c r="N38" s="64">
        <v>554</v>
      </c>
      <c r="O38" s="64">
        <v>0</v>
      </c>
      <c r="P38" s="64">
        <v>0.3</v>
      </c>
      <c r="Q38" s="64">
        <v>9.25</v>
      </c>
      <c r="R38" s="198"/>
      <c r="S38" s="198"/>
      <c r="T38" s="198"/>
      <c r="U38" s="198"/>
    </row>
    <row r="39" spans="1:21" s="12" customFormat="1" x14ac:dyDescent="0.25">
      <c r="A39" s="248" t="s">
        <v>659</v>
      </c>
      <c r="B39" s="64">
        <v>8.85</v>
      </c>
      <c r="C39" s="64">
        <v>5.04</v>
      </c>
      <c r="D39" s="64">
        <v>13.51</v>
      </c>
      <c r="E39" s="64">
        <v>5.43</v>
      </c>
      <c r="F39" s="64">
        <v>2.37</v>
      </c>
      <c r="G39" s="64">
        <v>25.97</v>
      </c>
      <c r="H39" s="64">
        <v>8.81</v>
      </c>
      <c r="I39" s="64">
        <v>2.62</v>
      </c>
      <c r="J39" s="64">
        <v>0.28999999999999998</v>
      </c>
      <c r="K39" s="64">
        <v>2.79</v>
      </c>
      <c r="L39" s="64">
        <v>29.89</v>
      </c>
      <c r="M39" s="64">
        <v>89</v>
      </c>
      <c r="N39" s="64">
        <v>471.6</v>
      </c>
      <c r="O39" s="64">
        <v>0</v>
      </c>
      <c r="P39" s="64">
        <v>0.28999999999999998</v>
      </c>
      <c r="Q39" s="64">
        <v>9.26</v>
      </c>
      <c r="R39" s="198"/>
      <c r="S39" s="198"/>
      <c r="T39" s="198"/>
      <c r="U39" s="198"/>
    </row>
    <row r="40" spans="1:21" s="12" customFormat="1" x14ac:dyDescent="0.25">
      <c r="A40" s="248" t="s">
        <v>660</v>
      </c>
      <c r="B40" s="64">
        <v>8.7899999999999991</v>
      </c>
      <c r="C40" s="64">
        <v>4.95</v>
      </c>
      <c r="D40" s="64">
        <v>13.41</v>
      </c>
      <c r="E40" s="64">
        <v>5.44</v>
      </c>
      <c r="F40" s="64">
        <v>3.97</v>
      </c>
      <c r="G40" s="64">
        <v>26.23</v>
      </c>
      <c r="H40" s="64">
        <v>9.35</v>
      </c>
      <c r="I40" s="64">
        <v>2.5</v>
      </c>
      <c r="J40" s="64">
        <v>0.3</v>
      </c>
      <c r="K40" s="64">
        <v>351.68</v>
      </c>
      <c r="L40" s="64">
        <v>29.93</v>
      </c>
      <c r="M40" s="64">
        <v>87.47</v>
      </c>
      <c r="N40" s="64">
        <v>520.29999999999995</v>
      </c>
      <c r="O40" s="64">
        <v>0</v>
      </c>
      <c r="P40" s="64">
        <v>0.28999999999999998</v>
      </c>
      <c r="Q40" s="64">
        <v>9.25</v>
      </c>
      <c r="R40" s="198"/>
      <c r="S40" s="198"/>
      <c r="T40" s="198"/>
      <c r="U40" s="198"/>
    </row>
    <row r="41" spans="1:21" s="12" customFormat="1" x14ac:dyDescent="0.25">
      <c r="A41" s="248" t="s">
        <v>661</v>
      </c>
      <c r="B41" s="64">
        <v>8.7200000000000006</v>
      </c>
      <c r="C41" s="64">
        <v>4.8099999999999996</v>
      </c>
      <c r="D41" s="64">
        <v>13.28</v>
      </c>
      <c r="E41" s="64">
        <v>5.39</v>
      </c>
      <c r="F41" s="64">
        <v>3.49</v>
      </c>
      <c r="G41" s="64">
        <v>26.23</v>
      </c>
      <c r="H41" s="64">
        <v>9.35</v>
      </c>
      <c r="I41" s="64">
        <v>2.27</v>
      </c>
      <c r="J41" s="64">
        <v>0.35</v>
      </c>
      <c r="K41" s="64">
        <v>344.58</v>
      </c>
      <c r="L41" s="64">
        <v>29.79</v>
      </c>
      <c r="M41" s="64">
        <v>87.02</v>
      </c>
      <c r="N41" s="64">
        <v>542.1</v>
      </c>
      <c r="O41" s="64">
        <v>0</v>
      </c>
      <c r="P41" s="64">
        <v>0.31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48" t="s">
        <v>662</v>
      </c>
      <c r="B42" s="64">
        <v>8.32</v>
      </c>
      <c r="C42" s="64">
        <v>3.84</v>
      </c>
      <c r="D42" s="64">
        <v>12.45</v>
      </c>
      <c r="E42" s="64">
        <v>5.09</v>
      </c>
      <c r="F42" s="64">
        <v>3.58</v>
      </c>
      <c r="G42" s="64">
        <v>26.23</v>
      </c>
      <c r="H42" s="64">
        <v>9.35</v>
      </c>
      <c r="I42" s="64">
        <v>2.11</v>
      </c>
      <c r="J42" s="64">
        <v>0.38</v>
      </c>
      <c r="K42" s="64">
        <v>357.79</v>
      </c>
      <c r="L42" s="64">
        <v>30.09</v>
      </c>
      <c r="M42" s="64">
        <v>86.21</v>
      </c>
      <c r="N42" s="64">
        <v>702.6</v>
      </c>
      <c r="O42" s="64">
        <v>0</v>
      </c>
      <c r="P42" s="64">
        <v>0.3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48" t="s">
        <v>663</v>
      </c>
      <c r="B43" s="64">
        <v>8.08</v>
      </c>
      <c r="C43" s="64">
        <v>3.25</v>
      </c>
      <c r="D43" s="64">
        <v>11.95</v>
      </c>
      <c r="E43" s="64">
        <v>5.12</v>
      </c>
      <c r="F43" s="64">
        <v>4.2300000000000004</v>
      </c>
      <c r="G43" s="64">
        <v>29.73</v>
      </c>
      <c r="H43" s="64">
        <v>7.49</v>
      </c>
      <c r="I43" s="64">
        <v>1.96</v>
      </c>
      <c r="J43" s="64">
        <v>0.37</v>
      </c>
      <c r="K43" s="64">
        <v>0.19</v>
      </c>
      <c r="L43" s="64">
        <v>29.11</v>
      </c>
      <c r="M43" s="64">
        <v>89.22</v>
      </c>
      <c r="N43" s="64">
        <v>305.5</v>
      </c>
      <c r="O43" s="64">
        <v>0</v>
      </c>
      <c r="P43" s="64">
        <v>0.31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48" t="s">
        <v>664</v>
      </c>
      <c r="B44" s="64">
        <v>8</v>
      </c>
      <c r="C44" s="64">
        <v>3.09</v>
      </c>
      <c r="D44" s="64">
        <v>11.81</v>
      </c>
      <c r="E44" s="64">
        <v>5.2</v>
      </c>
      <c r="F44" s="64">
        <v>4.0999999999999996</v>
      </c>
      <c r="G44" s="64">
        <v>30.6</v>
      </c>
      <c r="H44" s="64">
        <v>7.03</v>
      </c>
      <c r="I44" s="64">
        <v>1.79</v>
      </c>
      <c r="J44" s="64">
        <v>0.33</v>
      </c>
      <c r="K44" s="64">
        <v>351.09</v>
      </c>
      <c r="L44" s="64">
        <v>29.01</v>
      </c>
      <c r="M44" s="64">
        <v>89.74</v>
      </c>
      <c r="N44" s="64">
        <v>672.8</v>
      </c>
      <c r="O44" s="64">
        <v>0</v>
      </c>
      <c r="P44" s="64">
        <v>0.32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48" t="s">
        <v>665</v>
      </c>
      <c r="B45" s="64">
        <v>8.02</v>
      </c>
      <c r="C45" s="64">
        <v>3.06</v>
      </c>
      <c r="D45" s="64">
        <v>11.8</v>
      </c>
      <c r="E45" s="64">
        <v>5.09</v>
      </c>
      <c r="F45" s="64">
        <v>4.18</v>
      </c>
      <c r="G45" s="64">
        <v>30.6</v>
      </c>
      <c r="H45" s="64">
        <v>7.03</v>
      </c>
      <c r="I45" s="64">
        <v>1.65</v>
      </c>
      <c r="J45" s="64">
        <v>0.3</v>
      </c>
      <c r="K45" s="64">
        <v>342.21</v>
      </c>
      <c r="L45" s="64">
        <v>29.6</v>
      </c>
      <c r="M45" s="64">
        <v>87.89</v>
      </c>
      <c r="N45" s="64">
        <v>553.4</v>
      </c>
      <c r="O45" s="64">
        <v>0</v>
      </c>
      <c r="P45" s="64">
        <v>0.32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48" t="s">
        <v>666</v>
      </c>
      <c r="B46" s="64">
        <v>8.08</v>
      </c>
      <c r="C46" s="64">
        <v>3.21</v>
      </c>
      <c r="D46" s="64">
        <v>11.93</v>
      </c>
      <c r="E46" s="64">
        <v>5.42</v>
      </c>
      <c r="F46" s="64">
        <v>4.26</v>
      </c>
      <c r="G46" s="64">
        <v>30.6</v>
      </c>
      <c r="H46" s="64">
        <v>7.03</v>
      </c>
      <c r="I46" s="64">
        <v>1.53</v>
      </c>
      <c r="J46" s="64">
        <v>0.33</v>
      </c>
      <c r="K46" s="64">
        <v>346.89</v>
      </c>
      <c r="L46" s="64">
        <v>30</v>
      </c>
      <c r="M46" s="64">
        <v>85.8</v>
      </c>
      <c r="N46" s="64">
        <v>332</v>
      </c>
      <c r="O46" s="64">
        <v>0</v>
      </c>
      <c r="P46" s="64">
        <v>0.34</v>
      </c>
      <c r="Q46" s="64">
        <v>9.19</v>
      </c>
      <c r="R46" s="198"/>
      <c r="S46" s="198"/>
      <c r="T46" s="198"/>
      <c r="U46" s="198"/>
    </row>
    <row r="47" spans="1:21" s="12" customFormat="1" x14ac:dyDescent="0.25">
      <c r="A47" s="248" t="s">
        <v>667</v>
      </c>
      <c r="B47" s="64">
        <v>8.0500000000000007</v>
      </c>
      <c r="C47" s="64">
        <v>3.13</v>
      </c>
      <c r="D47" s="64">
        <v>11.86</v>
      </c>
      <c r="E47" s="64">
        <v>5.22</v>
      </c>
      <c r="F47" s="64">
        <v>4.2699999999999996</v>
      </c>
      <c r="G47" s="64">
        <v>34.33</v>
      </c>
      <c r="H47" s="64">
        <v>12.25</v>
      </c>
      <c r="I47" s="64">
        <v>1.36</v>
      </c>
      <c r="J47" s="64">
        <v>0.28000000000000003</v>
      </c>
      <c r="K47" s="64">
        <v>343.45</v>
      </c>
      <c r="L47" s="64">
        <v>29.62</v>
      </c>
      <c r="M47" s="64">
        <v>86.91</v>
      </c>
      <c r="N47" s="64">
        <v>354.3</v>
      </c>
      <c r="O47" s="64">
        <v>0.2</v>
      </c>
      <c r="P47" s="64">
        <v>0.35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48" t="s">
        <v>668</v>
      </c>
      <c r="B48" s="64">
        <v>8.01</v>
      </c>
      <c r="C48" s="64">
        <v>3.07</v>
      </c>
      <c r="D48" s="64">
        <v>11.8</v>
      </c>
      <c r="E48" s="64">
        <v>5.31</v>
      </c>
      <c r="F48" s="64">
        <v>6.1</v>
      </c>
      <c r="G48" s="64">
        <v>35.26</v>
      </c>
      <c r="H48" s="64">
        <v>13.55</v>
      </c>
      <c r="I48" s="64">
        <v>1.34</v>
      </c>
      <c r="J48" s="64">
        <v>0.31</v>
      </c>
      <c r="K48" s="64">
        <v>341.44</v>
      </c>
      <c r="L48" s="64">
        <v>29.7</v>
      </c>
      <c r="M48" s="64">
        <v>86.52</v>
      </c>
      <c r="N48" s="64">
        <v>336.6</v>
      </c>
      <c r="O48" s="64">
        <v>0</v>
      </c>
      <c r="P48" s="64">
        <v>0.35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48" t="s">
        <v>669</v>
      </c>
      <c r="B49" s="64">
        <v>7.96</v>
      </c>
      <c r="C49" s="64">
        <v>3.04</v>
      </c>
      <c r="D49" s="64">
        <v>11.75</v>
      </c>
      <c r="E49" s="64">
        <v>5.46</v>
      </c>
      <c r="F49" s="64">
        <v>5.01</v>
      </c>
      <c r="G49" s="64">
        <v>35.26</v>
      </c>
      <c r="H49" s="64">
        <v>13.55</v>
      </c>
      <c r="I49" s="64">
        <v>1.34</v>
      </c>
      <c r="J49" s="64">
        <v>0.31</v>
      </c>
      <c r="K49" s="64">
        <v>346.74</v>
      </c>
      <c r="L49" s="64">
        <v>29.5</v>
      </c>
      <c r="M49" s="64">
        <v>88.37</v>
      </c>
      <c r="N49" s="64">
        <v>431.4</v>
      </c>
      <c r="O49" s="64">
        <v>0</v>
      </c>
      <c r="P49" s="64">
        <v>0.36</v>
      </c>
      <c r="Q49" s="64">
        <v>9.2100000000000009</v>
      </c>
      <c r="R49" s="198"/>
      <c r="S49" s="198"/>
      <c r="T49" s="198"/>
      <c r="U49" s="198"/>
    </row>
    <row r="50" spans="1:21" s="12" customFormat="1" x14ac:dyDescent="0.25">
      <c r="A50" s="248" t="s">
        <v>670</v>
      </c>
      <c r="B50" s="64">
        <v>8.09</v>
      </c>
      <c r="C50" s="64">
        <v>3.47</v>
      </c>
      <c r="D50" s="64">
        <v>12.07</v>
      </c>
      <c r="E50" s="64">
        <v>5.63</v>
      </c>
      <c r="F50" s="64">
        <v>5.33</v>
      </c>
      <c r="G50" s="64">
        <v>35.26</v>
      </c>
      <c r="H50" s="64">
        <v>13.55</v>
      </c>
      <c r="I50" s="64">
        <v>1.25</v>
      </c>
      <c r="J50" s="64">
        <v>0.31</v>
      </c>
      <c r="K50" s="64">
        <v>340.61</v>
      </c>
      <c r="L50" s="64">
        <v>30.66</v>
      </c>
      <c r="M50" s="64">
        <v>84.17</v>
      </c>
      <c r="N50" s="64">
        <v>702.9</v>
      </c>
      <c r="O50" s="64">
        <v>0</v>
      </c>
      <c r="P50" s="64">
        <v>0.37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48" t="s">
        <v>671</v>
      </c>
      <c r="B51" s="64">
        <v>8.2100000000000009</v>
      </c>
      <c r="C51" s="64">
        <v>3.89</v>
      </c>
      <c r="D51" s="64">
        <v>12.39</v>
      </c>
      <c r="E51" s="64">
        <v>5.43</v>
      </c>
      <c r="F51" s="64">
        <v>5.13</v>
      </c>
      <c r="G51" s="64">
        <v>26.8</v>
      </c>
      <c r="H51" s="64">
        <v>15.81</v>
      </c>
      <c r="I51" s="64">
        <v>1.28</v>
      </c>
      <c r="J51" s="64">
        <v>0.34</v>
      </c>
      <c r="K51" s="64">
        <v>347.42</v>
      </c>
      <c r="L51" s="64">
        <v>31.07</v>
      </c>
      <c r="M51" s="64">
        <v>81.650000000000006</v>
      </c>
      <c r="N51" s="64">
        <v>707.1</v>
      </c>
      <c r="O51" s="64">
        <v>0</v>
      </c>
      <c r="P51" s="64">
        <v>0.39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48" t="s">
        <v>672</v>
      </c>
      <c r="B52" s="64">
        <v>8.0500000000000007</v>
      </c>
      <c r="C52" s="64">
        <v>3.47</v>
      </c>
      <c r="D52" s="64">
        <v>12.04</v>
      </c>
      <c r="E52" s="64">
        <v>3.83</v>
      </c>
      <c r="F52" s="64">
        <v>5.92</v>
      </c>
      <c r="G52" s="64">
        <v>24.68</v>
      </c>
      <c r="H52" s="64">
        <v>16.37</v>
      </c>
      <c r="I52" s="64">
        <v>1.33</v>
      </c>
      <c r="J52" s="64">
        <v>0.32</v>
      </c>
      <c r="K52" s="64">
        <v>336.44</v>
      </c>
      <c r="L52" s="64">
        <v>31.28</v>
      </c>
      <c r="M52" s="64">
        <v>80.56</v>
      </c>
      <c r="N52" s="64">
        <v>531</v>
      </c>
      <c r="O52" s="64">
        <v>0</v>
      </c>
      <c r="P52" s="64">
        <v>0.41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48" t="s">
        <v>673</v>
      </c>
      <c r="B53" s="64">
        <v>7.95</v>
      </c>
      <c r="C53" s="64">
        <v>3.18</v>
      </c>
      <c r="D53" s="64">
        <v>11.82</v>
      </c>
      <c r="E53" s="64">
        <v>4.0199999999999996</v>
      </c>
      <c r="F53" s="64">
        <v>6.97</v>
      </c>
      <c r="G53" s="64">
        <v>24.68</v>
      </c>
      <c r="H53" s="64">
        <v>16.37</v>
      </c>
      <c r="I53" s="64">
        <v>1.39</v>
      </c>
      <c r="J53" s="64">
        <v>0.34</v>
      </c>
      <c r="K53" s="64">
        <v>357.66</v>
      </c>
      <c r="L53" s="64">
        <v>30.96</v>
      </c>
      <c r="M53" s="64">
        <v>81.19</v>
      </c>
      <c r="N53" s="64">
        <v>800.7</v>
      </c>
      <c r="O53" s="64">
        <v>0</v>
      </c>
      <c r="P53" s="64">
        <v>0.45</v>
      </c>
      <c r="Q53" s="64">
        <v>9.08</v>
      </c>
      <c r="R53" s="198"/>
      <c r="S53" s="198"/>
      <c r="T53" s="198"/>
      <c r="U53" s="198"/>
    </row>
    <row r="54" spans="1:21" s="12" customFormat="1" x14ac:dyDescent="0.25">
      <c r="A54" s="248" t="s">
        <v>674</v>
      </c>
      <c r="B54" s="64">
        <v>7.94</v>
      </c>
      <c r="C54" s="64">
        <v>3.07</v>
      </c>
      <c r="D54" s="64">
        <v>11.74</v>
      </c>
      <c r="E54" s="64">
        <v>4.0599999999999996</v>
      </c>
      <c r="F54" s="64">
        <v>7.31</v>
      </c>
      <c r="G54" s="64">
        <v>24.68</v>
      </c>
      <c r="H54" s="64">
        <v>16.37</v>
      </c>
      <c r="I54" s="64">
        <v>1.5</v>
      </c>
      <c r="J54" s="64">
        <v>0.34</v>
      </c>
      <c r="K54" s="64">
        <v>332.93</v>
      </c>
      <c r="L54" s="64">
        <v>31.13</v>
      </c>
      <c r="M54" s="64">
        <v>81.59</v>
      </c>
      <c r="N54" s="64">
        <v>688.5</v>
      </c>
      <c r="O54" s="64">
        <v>0</v>
      </c>
      <c r="P54" s="64">
        <v>0.42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48" t="s">
        <v>675</v>
      </c>
      <c r="B55" s="64">
        <v>7.92</v>
      </c>
      <c r="C55" s="64">
        <v>3.02</v>
      </c>
      <c r="D55" s="64">
        <v>11.7</v>
      </c>
      <c r="E55" s="64">
        <v>3.92</v>
      </c>
      <c r="F55" s="64">
        <v>6.96</v>
      </c>
      <c r="G55" s="64">
        <v>29.33</v>
      </c>
      <c r="H55" s="64">
        <v>13.49</v>
      </c>
      <c r="I55" s="64">
        <v>1.79</v>
      </c>
      <c r="J55" s="64">
        <v>0.33</v>
      </c>
      <c r="K55" s="64">
        <v>350.86</v>
      </c>
      <c r="L55" s="64">
        <v>31.17</v>
      </c>
      <c r="M55" s="64">
        <v>81.25</v>
      </c>
      <c r="N55" s="64">
        <v>563.70000000000005</v>
      </c>
      <c r="O55" s="64">
        <v>0</v>
      </c>
      <c r="P55" s="64">
        <v>0.4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48" t="s">
        <v>676</v>
      </c>
      <c r="B56" s="64">
        <v>7.88</v>
      </c>
      <c r="C56" s="64">
        <v>2.97</v>
      </c>
      <c r="D56" s="64">
        <v>11.65</v>
      </c>
      <c r="E56" s="64">
        <v>3.82</v>
      </c>
      <c r="F56" s="64">
        <v>3.81</v>
      </c>
      <c r="G56" s="64">
        <v>30.5</v>
      </c>
      <c r="H56" s="64">
        <v>12.77</v>
      </c>
      <c r="I56" s="64">
        <v>1.53</v>
      </c>
      <c r="J56" s="64">
        <v>0.31</v>
      </c>
      <c r="K56" s="64">
        <v>358.08</v>
      </c>
      <c r="L56" s="64">
        <v>30.68</v>
      </c>
      <c r="M56" s="64">
        <v>84.24</v>
      </c>
      <c r="N56" s="64">
        <v>398.7</v>
      </c>
      <c r="O56" s="64">
        <v>0</v>
      </c>
      <c r="P56" s="64">
        <v>0.4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48" t="s">
        <v>677</v>
      </c>
      <c r="B57" s="64">
        <v>7.89</v>
      </c>
      <c r="C57" s="64">
        <v>3.03</v>
      </c>
      <c r="D57" s="64">
        <v>11.69</v>
      </c>
      <c r="E57" s="64">
        <v>4.12</v>
      </c>
      <c r="F57" s="64">
        <v>2.95</v>
      </c>
      <c r="G57" s="64">
        <v>30.5</v>
      </c>
      <c r="H57" s="64">
        <v>12.77</v>
      </c>
      <c r="I57" s="64">
        <v>1.45</v>
      </c>
      <c r="J57" s="64">
        <v>0.28999999999999998</v>
      </c>
      <c r="K57" s="64">
        <v>351.72</v>
      </c>
      <c r="L57" s="64">
        <v>30.82</v>
      </c>
      <c r="M57" s="64">
        <v>81.849999999999994</v>
      </c>
      <c r="N57" s="64">
        <v>668.5</v>
      </c>
      <c r="O57" s="64">
        <v>0</v>
      </c>
      <c r="P57" s="64">
        <v>0.38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48" t="s">
        <v>678</v>
      </c>
      <c r="B58" s="64">
        <v>7.91</v>
      </c>
      <c r="C58" s="64">
        <v>3.04</v>
      </c>
      <c r="D58" s="64">
        <v>11.71</v>
      </c>
      <c r="E58" s="64">
        <v>3.81</v>
      </c>
      <c r="F58" s="64">
        <v>4.3499999999999996</v>
      </c>
      <c r="G58" s="64">
        <v>30.5</v>
      </c>
      <c r="H58" s="64">
        <v>12.77</v>
      </c>
      <c r="I58" s="64">
        <v>1.49</v>
      </c>
      <c r="J58" s="64">
        <v>0.27</v>
      </c>
      <c r="K58" s="64">
        <v>348.95</v>
      </c>
      <c r="L58" s="64">
        <v>31.34</v>
      </c>
      <c r="M58" s="64">
        <v>80.12</v>
      </c>
      <c r="N58" s="64">
        <v>722</v>
      </c>
      <c r="O58" s="64">
        <v>0</v>
      </c>
      <c r="P58" s="64">
        <v>0.37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48" t="s">
        <v>679</v>
      </c>
      <c r="B59" s="64">
        <v>7.95</v>
      </c>
      <c r="C59" s="64">
        <v>3.11</v>
      </c>
      <c r="D59" s="64">
        <v>11.78</v>
      </c>
      <c r="E59" s="64">
        <v>3.76</v>
      </c>
      <c r="F59" s="64">
        <v>4.79</v>
      </c>
      <c r="G59" s="64">
        <v>33.39</v>
      </c>
      <c r="H59" s="64">
        <v>13.72</v>
      </c>
      <c r="I59" s="64">
        <v>1.42</v>
      </c>
      <c r="J59" s="64">
        <v>0.27</v>
      </c>
      <c r="K59" s="64">
        <v>336.66</v>
      </c>
      <c r="L59" s="64">
        <v>31.67</v>
      </c>
      <c r="M59" s="64">
        <v>79.75</v>
      </c>
      <c r="N59" s="64">
        <v>623.29999999999995</v>
      </c>
      <c r="O59" s="64">
        <v>0</v>
      </c>
      <c r="P59" s="64">
        <v>0.39</v>
      </c>
      <c r="Q59" s="64">
        <v>9.2100000000000009</v>
      </c>
      <c r="R59" s="198"/>
      <c r="S59" s="198"/>
      <c r="T59" s="198"/>
      <c r="U59" s="198"/>
    </row>
    <row r="60" spans="1:21" s="12" customFormat="1" x14ac:dyDescent="0.25">
      <c r="A60" s="248" t="s">
        <v>680</v>
      </c>
      <c r="B60" s="64">
        <v>8.0500000000000007</v>
      </c>
      <c r="C60" s="64">
        <v>3.38</v>
      </c>
      <c r="D60" s="64">
        <v>11.99</v>
      </c>
      <c r="E60" s="64">
        <v>4.01</v>
      </c>
      <c r="F60" s="64">
        <v>4.0599999999999996</v>
      </c>
      <c r="G60" s="64">
        <v>34.119999999999997</v>
      </c>
      <c r="H60" s="64">
        <v>13.96</v>
      </c>
      <c r="I60" s="64">
        <v>1.34</v>
      </c>
      <c r="J60" s="64">
        <v>0.28999999999999998</v>
      </c>
      <c r="K60" s="64">
        <v>345.46</v>
      </c>
      <c r="L60" s="64">
        <v>31.51</v>
      </c>
      <c r="M60" s="64">
        <v>78.95</v>
      </c>
      <c r="N60" s="64">
        <v>497.1</v>
      </c>
      <c r="O60" s="64">
        <v>0</v>
      </c>
      <c r="P60" s="64">
        <v>0.38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48" t="s">
        <v>681</v>
      </c>
      <c r="B61" s="64">
        <v>8.01</v>
      </c>
      <c r="C61" s="64">
        <v>3.26</v>
      </c>
      <c r="D61" s="64">
        <v>11.9</v>
      </c>
      <c r="E61" s="64">
        <v>3.7</v>
      </c>
      <c r="F61" s="64">
        <v>4.99</v>
      </c>
      <c r="G61" s="64">
        <v>34.119999999999997</v>
      </c>
      <c r="H61" s="64">
        <v>13.96</v>
      </c>
      <c r="I61" s="64">
        <v>1.36</v>
      </c>
      <c r="J61" s="64">
        <v>0.35</v>
      </c>
      <c r="K61" s="64">
        <v>331.79</v>
      </c>
      <c r="L61" s="64">
        <v>31.28</v>
      </c>
      <c r="M61" s="64">
        <v>81.23</v>
      </c>
      <c r="N61" s="64">
        <v>409.2</v>
      </c>
      <c r="O61" s="64">
        <v>0</v>
      </c>
      <c r="P61" s="64">
        <v>0.41</v>
      </c>
      <c r="Q61" s="64">
        <v>9.17</v>
      </c>
      <c r="R61" s="198"/>
      <c r="S61" s="198"/>
      <c r="T61" s="198"/>
      <c r="U61" s="198"/>
    </row>
    <row r="62" spans="1:21" s="12" customFormat="1" x14ac:dyDescent="0.25">
      <c r="A62" s="248" t="s">
        <v>682</v>
      </c>
      <c r="B62" s="64">
        <v>7.97</v>
      </c>
      <c r="C62" s="64">
        <v>3.05</v>
      </c>
      <c r="D62" s="64">
        <v>11.76</v>
      </c>
      <c r="E62" s="64">
        <v>3.93</v>
      </c>
      <c r="F62" s="64">
        <v>3.53</v>
      </c>
      <c r="G62" s="64">
        <v>34.119999999999997</v>
      </c>
      <c r="H62" s="64">
        <v>13.96</v>
      </c>
      <c r="I62" s="64">
        <v>1.39</v>
      </c>
      <c r="J62" s="64">
        <v>0.19</v>
      </c>
      <c r="K62" s="64">
        <v>316.58</v>
      </c>
      <c r="L62" s="64">
        <v>31.12</v>
      </c>
      <c r="M62" s="64">
        <v>81.040000000000006</v>
      </c>
      <c r="N62" s="64">
        <v>402</v>
      </c>
      <c r="O62" s="64">
        <v>0</v>
      </c>
      <c r="P62" s="64">
        <v>0.41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48" t="s">
        <v>683</v>
      </c>
      <c r="B63" s="64">
        <v>7.96</v>
      </c>
      <c r="C63" s="64">
        <v>3.01</v>
      </c>
      <c r="D63" s="64">
        <v>11.73</v>
      </c>
      <c r="E63" s="64">
        <v>4.01</v>
      </c>
      <c r="F63" s="64">
        <v>4.16</v>
      </c>
      <c r="G63" s="64">
        <v>62.37</v>
      </c>
      <c r="H63" s="64">
        <v>18.87</v>
      </c>
      <c r="I63" s="64">
        <v>1.65</v>
      </c>
      <c r="J63" s="64">
        <v>0.28999999999999998</v>
      </c>
      <c r="K63" s="64">
        <v>337.45</v>
      </c>
      <c r="L63" s="64">
        <v>31.12</v>
      </c>
      <c r="M63" s="64">
        <v>80.099999999999994</v>
      </c>
      <c r="N63" s="64">
        <v>393</v>
      </c>
      <c r="O63" s="64">
        <v>0</v>
      </c>
      <c r="P63" s="64">
        <v>0.41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48" t="s">
        <v>684</v>
      </c>
      <c r="B64" s="64">
        <v>7.98</v>
      </c>
      <c r="C64" s="64">
        <v>3.02</v>
      </c>
      <c r="D64" s="64">
        <v>11.75</v>
      </c>
      <c r="E64" s="64">
        <v>3.79</v>
      </c>
      <c r="F64" s="64">
        <v>4.33</v>
      </c>
      <c r="G64" s="64">
        <v>69.430000000000007</v>
      </c>
      <c r="H64" s="64">
        <v>20.100000000000001</v>
      </c>
      <c r="I64" s="64">
        <v>1.72</v>
      </c>
      <c r="J64" s="64">
        <v>0.25</v>
      </c>
      <c r="K64" s="64">
        <v>331.17</v>
      </c>
      <c r="L64" s="64">
        <v>31.3</v>
      </c>
      <c r="M64" s="64">
        <v>79.849999999999994</v>
      </c>
      <c r="N64" s="64">
        <v>353.6</v>
      </c>
      <c r="O64" s="64">
        <v>0</v>
      </c>
      <c r="P64" s="64">
        <v>0.41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48" t="s">
        <v>685</v>
      </c>
      <c r="B65" s="64">
        <v>8.01</v>
      </c>
      <c r="C65" s="64">
        <v>3.05</v>
      </c>
      <c r="D65" s="64">
        <v>11.79</v>
      </c>
      <c r="E65" s="64">
        <v>3.8</v>
      </c>
      <c r="F65" s="64">
        <v>4.79</v>
      </c>
      <c r="G65" s="64">
        <v>69.430000000000007</v>
      </c>
      <c r="H65" s="64">
        <v>20.100000000000001</v>
      </c>
      <c r="I65" s="64">
        <v>1.72</v>
      </c>
      <c r="J65" s="64">
        <v>0.3</v>
      </c>
      <c r="K65" s="64">
        <v>351.17</v>
      </c>
      <c r="L65" s="64">
        <v>31.03</v>
      </c>
      <c r="M65" s="64">
        <v>81.17</v>
      </c>
      <c r="N65" s="64">
        <v>313.10000000000002</v>
      </c>
      <c r="O65" s="64">
        <v>0</v>
      </c>
      <c r="P65" s="64">
        <v>0.4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48" t="s">
        <v>686</v>
      </c>
      <c r="B66" s="64">
        <v>8</v>
      </c>
      <c r="C66" s="64">
        <v>3.06</v>
      </c>
      <c r="D66" s="64">
        <v>11.79</v>
      </c>
      <c r="E66" s="64">
        <v>3.54</v>
      </c>
      <c r="F66" s="64">
        <v>4.45</v>
      </c>
      <c r="G66" s="64">
        <v>69.430000000000007</v>
      </c>
      <c r="H66" s="64">
        <v>20.100000000000001</v>
      </c>
      <c r="I66" s="64">
        <v>1.71</v>
      </c>
      <c r="J66" s="64">
        <v>0.31</v>
      </c>
      <c r="K66" s="64">
        <v>345.62</v>
      </c>
      <c r="L66" s="64">
        <v>30.89</v>
      </c>
      <c r="M66" s="64">
        <v>79.84</v>
      </c>
      <c r="N66" s="64">
        <v>300</v>
      </c>
      <c r="O66" s="64">
        <v>0</v>
      </c>
      <c r="P66" s="64">
        <v>0.4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48" t="s">
        <v>687</v>
      </c>
      <c r="B67" s="64">
        <v>7.99</v>
      </c>
      <c r="C67" s="64">
        <v>3.06</v>
      </c>
      <c r="D67" s="64">
        <v>11.78</v>
      </c>
      <c r="E67" s="64">
        <v>3.61</v>
      </c>
      <c r="F67" s="64">
        <v>4.82</v>
      </c>
      <c r="G67" s="64">
        <v>64.680000000000007</v>
      </c>
      <c r="H67" s="64">
        <v>20.420000000000002</v>
      </c>
      <c r="I67" s="64">
        <v>1.67</v>
      </c>
      <c r="J67" s="64">
        <v>0.33</v>
      </c>
      <c r="K67" s="64">
        <v>353.66</v>
      </c>
      <c r="L67" s="64">
        <v>30.76</v>
      </c>
      <c r="M67" s="64">
        <v>81.849999999999994</v>
      </c>
      <c r="N67" s="64">
        <v>264.10000000000002</v>
      </c>
      <c r="O67" s="64">
        <v>0</v>
      </c>
      <c r="P67" s="64">
        <v>0.42</v>
      </c>
      <c r="Q67" s="64">
        <v>9.2799999999999994</v>
      </c>
      <c r="R67" s="198"/>
      <c r="S67" s="198"/>
      <c r="T67" s="198"/>
      <c r="U67" s="198"/>
    </row>
    <row r="68" spans="1:21" s="12" customFormat="1" x14ac:dyDescent="0.25">
      <c r="A68" s="248" t="s">
        <v>688</v>
      </c>
      <c r="B68" s="64">
        <v>8</v>
      </c>
      <c r="C68" s="64">
        <v>3.17</v>
      </c>
      <c r="D68" s="64">
        <v>11.84</v>
      </c>
      <c r="E68" s="64">
        <v>4.25</v>
      </c>
      <c r="F68" s="64">
        <v>4.45</v>
      </c>
      <c r="G68" s="64">
        <v>63.49</v>
      </c>
      <c r="H68" s="64">
        <v>20.5</v>
      </c>
      <c r="I68" s="64">
        <v>1.66</v>
      </c>
      <c r="J68" s="64">
        <v>0.28000000000000003</v>
      </c>
      <c r="K68" s="64">
        <v>341.5</v>
      </c>
      <c r="L68" s="64">
        <v>30.96</v>
      </c>
      <c r="M68" s="64">
        <v>80.459999999999994</v>
      </c>
      <c r="N68" s="64">
        <v>287.39999999999998</v>
      </c>
      <c r="O68" s="64">
        <v>0</v>
      </c>
      <c r="P68" s="64">
        <v>0.42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48" t="s">
        <v>689</v>
      </c>
      <c r="B69" s="64">
        <v>8.02</v>
      </c>
      <c r="C69" s="64">
        <v>3.27</v>
      </c>
      <c r="D69" s="64">
        <v>11.91</v>
      </c>
      <c r="E69" s="64">
        <v>4.08</v>
      </c>
      <c r="F69" s="64">
        <v>4.83</v>
      </c>
      <c r="G69" s="64">
        <v>63.49</v>
      </c>
      <c r="H69" s="64">
        <v>20.5</v>
      </c>
      <c r="I69" s="64">
        <v>1.71</v>
      </c>
      <c r="J69" s="64">
        <v>0.28999999999999998</v>
      </c>
      <c r="K69" s="64">
        <v>357.4</v>
      </c>
      <c r="L69" s="64">
        <v>30.77</v>
      </c>
      <c r="M69" s="64">
        <v>80.81</v>
      </c>
      <c r="N69" s="64">
        <v>251.5</v>
      </c>
      <c r="O69" s="64">
        <v>0</v>
      </c>
      <c r="P69" s="64">
        <v>0.41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48" t="s">
        <v>690</v>
      </c>
      <c r="B70" s="64">
        <v>8.09</v>
      </c>
      <c r="C70" s="64">
        <v>3.46</v>
      </c>
      <c r="D70" s="64">
        <v>12.06</v>
      </c>
      <c r="E70" s="64">
        <v>3.92</v>
      </c>
      <c r="F70" s="64">
        <v>3.96</v>
      </c>
      <c r="G70" s="64">
        <v>63.49</v>
      </c>
      <c r="H70" s="64">
        <v>20.5</v>
      </c>
      <c r="I70" s="64">
        <v>1.71</v>
      </c>
      <c r="J70" s="64">
        <v>0.32</v>
      </c>
      <c r="K70" s="64">
        <v>358.55</v>
      </c>
      <c r="L70" s="64">
        <v>30.75</v>
      </c>
      <c r="M70" s="64">
        <v>82.3</v>
      </c>
      <c r="N70" s="64">
        <v>256.3</v>
      </c>
      <c r="O70" s="64">
        <v>0</v>
      </c>
      <c r="P70" s="64">
        <v>0.41</v>
      </c>
      <c r="Q70" s="64">
        <v>9.2799999999999994</v>
      </c>
      <c r="R70" s="198"/>
      <c r="S70" s="198"/>
      <c r="T70" s="198"/>
      <c r="U70" s="198"/>
    </row>
    <row r="71" spans="1:21" s="12" customFormat="1" x14ac:dyDescent="0.25">
      <c r="A71" s="248" t="s">
        <v>691</v>
      </c>
      <c r="B71" s="64">
        <v>7.99</v>
      </c>
      <c r="C71" s="64">
        <v>3.25</v>
      </c>
      <c r="D71" s="64">
        <v>11.88</v>
      </c>
      <c r="E71" s="64">
        <v>3.88</v>
      </c>
      <c r="F71" s="64">
        <v>4.87</v>
      </c>
      <c r="G71" s="64">
        <v>62.55</v>
      </c>
      <c r="H71" s="64">
        <v>16.87</v>
      </c>
      <c r="I71" s="64">
        <v>1.69</v>
      </c>
      <c r="J71" s="64">
        <v>0.26</v>
      </c>
      <c r="K71" s="64">
        <v>358.93</v>
      </c>
      <c r="L71" s="64">
        <v>30.65</v>
      </c>
      <c r="M71" s="64">
        <v>83.25</v>
      </c>
      <c r="N71" s="64">
        <v>185.7</v>
      </c>
      <c r="O71" s="64">
        <v>0</v>
      </c>
      <c r="P71" s="64">
        <v>0.4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48" t="s">
        <v>692</v>
      </c>
      <c r="B72" s="64">
        <v>7.99</v>
      </c>
      <c r="C72" s="64">
        <v>3.24</v>
      </c>
      <c r="D72" s="64">
        <v>11.87</v>
      </c>
      <c r="E72" s="64">
        <v>4.0999999999999996</v>
      </c>
      <c r="F72" s="64">
        <v>2.77</v>
      </c>
      <c r="G72" s="64">
        <v>62.31</v>
      </c>
      <c r="H72" s="64">
        <v>15.96</v>
      </c>
      <c r="I72" s="64">
        <v>1.77</v>
      </c>
      <c r="J72" s="64">
        <v>0.23</v>
      </c>
      <c r="K72" s="64">
        <v>9.2899999999999991</v>
      </c>
      <c r="L72" s="64">
        <v>30.52</v>
      </c>
      <c r="M72" s="64">
        <v>84.76</v>
      </c>
      <c r="N72" s="64">
        <v>211.8</v>
      </c>
      <c r="O72" s="64">
        <v>0</v>
      </c>
      <c r="P72" s="64">
        <v>0.4</v>
      </c>
      <c r="Q72" s="64">
        <v>9.2799999999999994</v>
      </c>
      <c r="R72" s="198"/>
      <c r="S72" s="198"/>
      <c r="T72" s="198"/>
      <c r="U72" s="198"/>
    </row>
    <row r="73" spans="1:21" s="12" customFormat="1" x14ac:dyDescent="0.25">
      <c r="A73" s="248" t="s">
        <v>693</v>
      </c>
      <c r="B73" s="64">
        <v>7.97</v>
      </c>
      <c r="C73" s="64">
        <v>3.09</v>
      </c>
      <c r="D73" s="64">
        <v>11.78</v>
      </c>
      <c r="E73" s="64">
        <v>3.71</v>
      </c>
      <c r="F73" s="64">
        <v>4.29</v>
      </c>
      <c r="G73" s="64">
        <v>62.31</v>
      </c>
      <c r="H73" s="64">
        <v>15.96</v>
      </c>
      <c r="I73" s="64">
        <v>1.61</v>
      </c>
      <c r="J73" s="64">
        <v>0.34</v>
      </c>
      <c r="K73" s="64">
        <v>4.53</v>
      </c>
      <c r="L73" s="64">
        <v>30.28</v>
      </c>
      <c r="M73" s="64">
        <v>85.41</v>
      </c>
      <c r="N73" s="64">
        <v>178.8</v>
      </c>
      <c r="O73" s="64">
        <v>0</v>
      </c>
      <c r="P73" s="64">
        <v>0.38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48" t="s">
        <v>694</v>
      </c>
      <c r="B74" s="64">
        <v>7.97</v>
      </c>
      <c r="C74" s="64">
        <v>3.11</v>
      </c>
      <c r="D74" s="64">
        <v>11.79</v>
      </c>
      <c r="E74" s="64">
        <v>3.53</v>
      </c>
      <c r="F74" s="64">
        <v>4.82</v>
      </c>
      <c r="G74" s="64">
        <v>62.31</v>
      </c>
      <c r="H74" s="64">
        <v>15.96</v>
      </c>
      <c r="I74" s="64">
        <v>1.56</v>
      </c>
      <c r="J74" s="64">
        <v>0.28999999999999998</v>
      </c>
      <c r="K74" s="64">
        <v>5.78</v>
      </c>
      <c r="L74" s="64">
        <v>30.16</v>
      </c>
      <c r="M74" s="64">
        <v>87.34</v>
      </c>
      <c r="N74" s="64">
        <v>154</v>
      </c>
      <c r="O74" s="64">
        <v>0</v>
      </c>
      <c r="P74" s="64">
        <v>0.38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48" t="s">
        <v>695</v>
      </c>
      <c r="B75" s="64">
        <v>7.94</v>
      </c>
      <c r="C75" s="64">
        <v>3.01</v>
      </c>
      <c r="D75" s="64">
        <v>11.72</v>
      </c>
      <c r="E75" s="64">
        <v>3.72</v>
      </c>
      <c r="F75" s="64">
        <v>3.47</v>
      </c>
      <c r="G75" s="64">
        <v>44.86</v>
      </c>
      <c r="H75" s="64">
        <v>16.760000000000002</v>
      </c>
      <c r="I75" s="64">
        <v>1.46</v>
      </c>
      <c r="J75" s="64">
        <v>0.25</v>
      </c>
      <c r="K75" s="64">
        <v>14.42</v>
      </c>
      <c r="L75" s="64">
        <v>29.93</v>
      </c>
      <c r="M75" s="64">
        <v>87.58</v>
      </c>
      <c r="N75" s="64">
        <v>131.4</v>
      </c>
      <c r="O75" s="64">
        <v>0</v>
      </c>
      <c r="P75" s="64">
        <v>0.39</v>
      </c>
      <c r="Q75" s="64">
        <v>9.31</v>
      </c>
      <c r="R75" s="198"/>
      <c r="S75" s="198"/>
      <c r="T75" s="198"/>
      <c r="U75" s="198"/>
    </row>
    <row r="76" spans="1:21" s="12" customFormat="1" x14ac:dyDescent="0.25">
      <c r="A76" s="248" t="s">
        <v>696</v>
      </c>
      <c r="B76" s="64">
        <v>7.9</v>
      </c>
      <c r="C76" s="64">
        <v>2.98</v>
      </c>
      <c r="D76" s="64">
        <v>11.67</v>
      </c>
      <c r="E76" s="64">
        <v>4.0199999999999996</v>
      </c>
      <c r="F76" s="64">
        <v>2.5099999999999998</v>
      </c>
      <c r="G76" s="64">
        <v>40.5</v>
      </c>
      <c r="H76" s="64">
        <v>16.96</v>
      </c>
      <c r="I76" s="64">
        <v>1.46</v>
      </c>
      <c r="J76" s="64">
        <v>0.18</v>
      </c>
      <c r="K76" s="64">
        <v>19.47</v>
      </c>
      <c r="L76" s="64">
        <v>29.79</v>
      </c>
      <c r="M76" s="64">
        <v>89.07</v>
      </c>
      <c r="N76" s="64">
        <v>113.1</v>
      </c>
      <c r="O76" s="64">
        <v>0</v>
      </c>
      <c r="P76" s="64">
        <v>0.4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48" t="s">
        <v>697</v>
      </c>
      <c r="B77" s="64">
        <v>8.02</v>
      </c>
      <c r="C77" s="64">
        <v>3.28</v>
      </c>
      <c r="D77" s="64">
        <v>11.92</v>
      </c>
      <c r="E77" s="64">
        <v>3.91</v>
      </c>
      <c r="F77" s="64">
        <v>3.61</v>
      </c>
      <c r="G77" s="64">
        <v>40.5</v>
      </c>
      <c r="H77" s="64">
        <v>16.96</v>
      </c>
      <c r="I77" s="64">
        <v>1.55</v>
      </c>
      <c r="J77" s="64">
        <v>0.14000000000000001</v>
      </c>
      <c r="K77" s="64">
        <v>6.02</v>
      </c>
      <c r="L77" s="64">
        <v>29.43</v>
      </c>
      <c r="M77" s="64">
        <v>92.02</v>
      </c>
      <c r="N77" s="64">
        <v>96.8</v>
      </c>
      <c r="O77" s="64">
        <v>0</v>
      </c>
      <c r="P77" s="64">
        <v>0.41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48" t="s">
        <v>698</v>
      </c>
      <c r="B78" s="64">
        <v>8.3699999999999992</v>
      </c>
      <c r="C78" s="64">
        <v>4.13</v>
      </c>
      <c r="D78" s="64">
        <v>12.64</v>
      </c>
      <c r="E78" s="64">
        <v>3.9</v>
      </c>
      <c r="F78" s="64">
        <v>3.42</v>
      </c>
      <c r="G78" s="64">
        <v>40.5</v>
      </c>
      <c r="H78" s="64">
        <v>16.96</v>
      </c>
      <c r="I78" s="64">
        <v>1.61</v>
      </c>
      <c r="J78" s="64">
        <v>0.22</v>
      </c>
      <c r="K78" s="64">
        <v>356.3</v>
      </c>
      <c r="L78" s="64">
        <v>29.17</v>
      </c>
      <c r="M78" s="64">
        <v>92.73</v>
      </c>
      <c r="N78" s="64">
        <v>84.5</v>
      </c>
      <c r="O78" s="64">
        <v>0</v>
      </c>
      <c r="P78" s="64">
        <v>0.42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48" t="s">
        <v>699</v>
      </c>
      <c r="B79" s="64">
        <v>8.06</v>
      </c>
      <c r="C79" s="64">
        <v>3.27</v>
      </c>
      <c r="D79" s="64">
        <v>11.94</v>
      </c>
      <c r="E79" s="64">
        <v>3.61</v>
      </c>
      <c r="F79" s="64">
        <v>3.79</v>
      </c>
      <c r="G79" s="64">
        <v>39.81</v>
      </c>
      <c r="H79" s="64">
        <v>13.91</v>
      </c>
      <c r="I79" s="64">
        <v>1.66</v>
      </c>
      <c r="J79" s="64">
        <v>0.23</v>
      </c>
      <c r="K79" s="64">
        <v>4.47</v>
      </c>
      <c r="L79" s="64">
        <v>28.9</v>
      </c>
      <c r="M79" s="64">
        <v>93.6</v>
      </c>
      <c r="N79" s="64">
        <v>76.2</v>
      </c>
      <c r="O79" s="64">
        <v>0</v>
      </c>
      <c r="P79" s="64">
        <v>0.43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48" t="s">
        <v>700</v>
      </c>
      <c r="B80" s="64">
        <v>7.99</v>
      </c>
      <c r="C80" s="64">
        <v>3.04</v>
      </c>
      <c r="D80" s="64">
        <v>11.77</v>
      </c>
      <c r="E80" s="64">
        <v>3.52</v>
      </c>
      <c r="F80" s="64">
        <v>3.24</v>
      </c>
      <c r="G80" s="64">
        <v>39.630000000000003</v>
      </c>
      <c r="H80" s="64">
        <v>13.15</v>
      </c>
      <c r="I80" s="64">
        <v>1.72</v>
      </c>
      <c r="J80" s="64">
        <v>0.13</v>
      </c>
      <c r="K80" s="64">
        <v>10.63</v>
      </c>
      <c r="L80" s="64">
        <v>28.75</v>
      </c>
      <c r="M80" s="64">
        <v>94.52</v>
      </c>
      <c r="N80" s="64">
        <v>74.5</v>
      </c>
      <c r="O80" s="64">
        <v>0</v>
      </c>
      <c r="P80" s="64">
        <v>0.45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48" t="s">
        <v>701</v>
      </c>
      <c r="B81" s="64">
        <v>8.02</v>
      </c>
      <c r="C81" s="64">
        <v>3.01</v>
      </c>
      <c r="D81" s="64">
        <v>11.77</v>
      </c>
      <c r="E81" s="64">
        <v>3.75</v>
      </c>
      <c r="F81" s="64">
        <v>3.31</v>
      </c>
      <c r="G81" s="64">
        <v>39.630000000000003</v>
      </c>
      <c r="H81" s="64">
        <v>13.15</v>
      </c>
      <c r="I81" s="64">
        <v>1.87</v>
      </c>
      <c r="J81" s="64">
        <v>0.19</v>
      </c>
      <c r="K81" s="64">
        <v>9.2100000000000009</v>
      </c>
      <c r="L81" s="64">
        <v>28.61</v>
      </c>
      <c r="M81" s="64">
        <v>96.12</v>
      </c>
      <c r="N81" s="64">
        <v>74.400000000000006</v>
      </c>
      <c r="O81" s="64">
        <v>0</v>
      </c>
      <c r="P81" s="64">
        <v>0.44</v>
      </c>
      <c r="Q81" s="64">
        <v>9.31</v>
      </c>
      <c r="R81" s="198"/>
      <c r="S81" s="198"/>
      <c r="T81" s="198"/>
      <c r="U81" s="198"/>
    </row>
    <row r="82" spans="1:26" s="12" customFormat="1" x14ac:dyDescent="0.25">
      <c r="A82" s="248" t="s">
        <v>702</v>
      </c>
      <c r="B82" s="64">
        <v>8</v>
      </c>
      <c r="C82" s="64">
        <v>2.98</v>
      </c>
      <c r="D82" s="64">
        <v>11.74</v>
      </c>
      <c r="E82" s="64">
        <v>3.57</v>
      </c>
      <c r="F82" s="64">
        <v>3.4</v>
      </c>
      <c r="G82" s="64">
        <v>39.630000000000003</v>
      </c>
      <c r="H82" s="64">
        <v>13.15</v>
      </c>
      <c r="I82" s="64">
        <v>2.0299999999999998</v>
      </c>
      <c r="J82" s="64">
        <v>0.05</v>
      </c>
      <c r="K82" s="64">
        <v>345.75</v>
      </c>
      <c r="L82" s="64">
        <v>28.56</v>
      </c>
      <c r="M82" s="64">
        <v>97.75</v>
      </c>
      <c r="N82" s="64">
        <v>74.5</v>
      </c>
      <c r="O82" s="64">
        <v>0</v>
      </c>
      <c r="P82" s="64">
        <v>0.47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48" t="s">
        <v>703</v>
      </c>
      <c r="B83" s="64">
        <v>8</v>
      </c>
      <c r="C83" s="64">
        <v>3.02</v>
      </c>
      <c r="D83" s="64">
        <v>11.77</v>
      </c>
      <c r="E83" s="64">
        <v>3.81</v>
      </c>
      <c r="F83" s="64">
        <v>3.54</v>
      </c>
      <c r="G83" s="64">
        <v>74.37</v>
      </c>
      <c r="H83" s="64">
        <v>11.45</v>
      </c>
      <c r="I83" s="64">
        <v>2.1800000000000002</v>
      </c>
      <c r="J83" s="64">
        <v>0.21</v>
      </c>
      <c r="K83" s="64">
        <v>12.92</v>
      </c>
      <c r="L83" s="64">
        <v>28.62</v>
      </c>
      <c r="M83" s="64">
        <v>97.84</v>
      </c>
      <c r="N83" s="64">
        <v>74.400000000000006</v>
      </c>
      <c r="O83" s="64">
        <v>0</v>
      </c>
      <c r="P83" s="64">
        <v>0.49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48" t="s">
        <v>704</v>
      </c>
      <c r="B84" s="64">
        <v>8.0399999999999991</v>
      </c>
      <c r="C84" s="64">
        <v>3.04</v>
      </c>
      <c r="D84" s="64">
        <v>11.81</v>
      </c>
      <c r="E84" s="64">
        <v>3.54</v>
      </c>
      <c r="F84" s="64">
        <v>3.21</v>
      </c>
      <c r="G84" s="64">
        <v>83.06</v>
      </c>
      <c r="H84" s="64">
        <v>11.03</v>
      </c>
      <c r="I84" s="64">
        <v>2.36</v>
      </c>
      <c r="J84" s="64">
        <v>0.17</v>
      </c>
      <c r="K84" s="64">
        <v>338.3</v>
      </c>
      <c r="L84" s="64">
        <v>28.52</v>
      </c>
      <c r="M84" s="64">
        <v>98.86</v>
      </c>
      <c r="N84" s="64">
        <v>73.3</v>
      </c>
      <c r="O84" s="64">
        <v>0</v>
      </c>
      <c r="P84" s="64">
        <v>0.51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48" t="s">
        <v>705</v>
      </c>
      <c r="B85" s="64">
        <v>8.0299999999999994</v>
      </c>
      <c r="C85" s="64">
        <v>3</v>
      </c>
      <c r="D85" s="64">
        <v>11.78</v>
      </c>
      <c r="E85" s="64">
        <v>4.04</v>
      </c>
      <c r="F85" s="64">
        <v>3.63</v>
      </c>
      <c r="G85" s="64">
        <v>83.06</v>
      </c>
      <c r="H85" s="64">
        <v>11.03</v>
      </c>
      <c r="I85" s="64">
        <v>2.77</v>
      </c>
      <c r="J85" s="64">
        <v>0.2</v>
      </c>
      <c r="K85" s="64">
        <v>358.28</v>
      </c>
      <c r="L85" s="64">
        <v>28.43</v>
      </c>
      <c r="M85" s="64">
        <v>100.42</v>
      </c>
      <c r="N85" s="64">
        <v>73.400000000000006</v>
      </c>
      <c r="O85" s="64">
        <v>0</v>
      </c>
      <c r="P85" s="64">
        <v>0.52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48" t="s">
        <v>706</v>
      </c>
      <c r="B86" s="64">
        <v>8</v>
      </c>
      <c r="C86" s="64">
        <v>2.99</v>
      </c>
      <c r="D86" s="64">
        <v>11.75</v>
      </c>
      <c r="E86" s="64">
        <v>4.2699999999999996</v>
      </c>
      <c r="F86" s="64">
        <v>4.96</v>
      </c>
      <c r="G86" s="64">
        <v>83.06</v>
      </c>
      <c r="H86" s="64">
        <v>11.03</v>
      </c>
      <c r="I86" s="64">
        <v>2.93</v>
      </c>
      <c r="J86" s="64">
        <v>0.21</v>
      </c>
      <c r="K86" s="64">
        <v>25.08</v>
      </c>
      <c r="L86" s="64">
        <v>28.38</v>
      </c>
      <c r="M86" s="64">
        <v>101.04</v>
      </c>
      <c r="N86" s="64">
        <v>73.599999999999994</v>
      </c>
      <c r="O86" s="64">
        <v>0</v>
      </c>
      <c r="P86" s="64">
        <v>0.55000000000000004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48" t="s">
        <v>707</v>
      </c>
      <c r="B87" s="64">
        <v>8.0299999999999994</v>
      </c>
      <c r="C87" s="64">
        <v>3.17</v>
      </c>
      <c r="D87" s="64">
        <v>11.87</v>
      </c>
      <c r="E87" s="64">
        <v>4.59</v>
      </c>
      <c r="F87" s="64">
        <v>3.38</v>
      </c>
      <c r="G87" s="64">
        <v>85.33</v>
      </c>
      <c r="H87" s="64">
        <v>12.62</v>
      </c>
      <c r="I87" s="64">
        <v>3.03</v>
      </c>
      <c r="J87" s="64">
        <v>0.28000000000000003</v>
      </c>
      <c r="K87" s="64">
        <v>12.47</v>
      </c>
      <c r="L87" s="64">
        <v>28.33</v>
      </c>
      <c r="M87" s="64">
        <v>100.72</v>
      </c>
      <c r="N87" s="64">
        <v>73.7</v>
      </c>
      <c r="O87" s="64">
        <v>0</v>
      </c>
      <c r="P87" s="64">
        <v>0.56999999999999995</v>
      </c>
      <c r="Q87" s="64">
        <v>9.3000000000000007</v>
      </c>
      <c r="R87" s="198"/>
      <c r="S87" s="198"/>
      <c r="T87" s="198"/>
      <c r="U87" s="198"/>
    </row>
    <row r="88" spans="1:26" s="12" customFormat="1" x14ac:dyDescent="0.25">
      <c r="A88" s="248" t="s">
        <v>708</v>
      </c>
      <c r="B88" s="64">
        <v>8.16</v>
      </c>
      <c r="C88" s="64">
        <v>3.47</v>
      </c>
      <c r="D88" s="64">
        <v>12.13</v>
      </c>
      <c r="E88" s="64">
        <v>4.05</v>
      </c>
      <c r="F88" s="64">
        <v>4.34</v>
      </c>
      <c r="G88" s="64">
        <v>85.9</v>
      </c>
      <c r="H88" s="64">
        <v>13.02</v>
      </c>
      <c r="I88" s="64">
        <v>3.06</v>
      </c>
      <c r="J88" s="64">
        <v>0.38</v>
      </c>
      <c r="K88" s="64">
        <v>13.39</v>
      </c>
      <c r="L88" s="64">
        <v>27.86</v>
      </c>
      <c r="M88" s="64">
        <v>97.74</v>
      </c>
      <c r="N88" s="64">
        <v>74.7</v>
      </c>
      <c r="O88" s="64">
        <v>0</v>
      </c>
      <c r="P88" s="64">
        <v>0.55000000000000004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48" t="s">
        <v>709</v>
      </c>
      <c r="B89" s="64">
        <v>8.1999999999999993</v>
      </c>
      <c r="C89" s="64">
        <v>3.71</v>
      </c>
      <c r="D89" s="64">
        <v>12.29</v>
      </c>
      <c r="E89" s="64">
        <v>4.51</v>
      </c>
      <c r="F89" s="64">
        <v>4.07</v>
      </c>
      <c r="G89" s="64">
        <v>85.9</v>
      </c>
      <c r="H89" s="64">
        <v>13.02</v>
      </c>
      <c r="I89" s="64">
        <v>3.08</v>
      </c>
      <c r="J89" s="64">
        <v>0.31</v>
      </c>
      <c r="K89" s="64">
        <v>9.08</v>
      </c>
      <c r="L89" s="64">
        <v>27.22</v>
      </c>
      <c r="M89" s="64">
        <v>101.35</v>
      </c>
      <c r="N89" s="64">
        <v>74.900000000000006</v>
      </c>
      <c r="O89" s="64">
        <v>0</v>
      </c>
      <c r="P89" s="64">
        <v>0.54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48" t="s">
        <v>710</v>
      </c>
      <c r="B90" s="64">
        <v>8.32</v>
      </c>
      <c r="C90" s="64">
        <v>4.0599999999999996</v>
      </c>
      <c r="D90" s="64">
        <v>12.57</v>
      </c>
      <c r="E90" s="64">
        <v>4.24</v>
      </c>
      <c r="F90" s="64">
        <v>3.48</v>
      </c>
      <c r="G90" s="64">
        <v>85.9</v>
      </c>
      <c r="H90" s="64">
        <v>13.02</v>
      </c>
      <c r="I90" s="64">
        <v>2.86</v>
      </c>
      <c r="J90" s="64">
        <v>0.28000000000000003</v>
      </c>
      <c r="K90" s="64">
        <v>20.350000000000001</v>
      </c>
      <c r="L90" s="64">
        <v>27.08</v>
      </c>
      <c r="M90" s="64">
        <v>101.39</v>
      </c>
      <c r="N90" s="64">
        <v>74.8</v>
      </c>
      <c r="O90" s="64">
        <v>0</v>
      </c>
      <c r="P90" s="64">
        <v>0.52</v>
      </c>
      <c r="Q90" s="64">
        <v>9.18</v>
      </c>
      <c r="R90" s="198"/>
      <c r="S90" s="198"/>
      <c r="T90" s="198"/>
      <c r="U90" s="198"/>
    </row>
    <row r="91" spans="1:26" s="12" customFormat="1" x14ac:dyDescent="0.25">
      <c r="A91" s="248" t="s">
        <v>711</v>
      </c>
      <c r="B91" s="64">
        <v>8.32</v>
      </c>
      <c r="C91" s="64">
        <v>3.96</v>
      </c>
      <c r="D91" s="64">
        <v>12.52</v>
      </c>
      <c r="E91" s="64">
        <v>4.29</v>
      </c>
      <c r="F91" s="64">
        <v>4.32</v>
      </c>
      <c r="G91" s="64">
        <v>73.87</v>
      </c>
      <c r="H91" s="64">
        <v>14.75</v>
      </c>
      <c r="I91" s="64">
        <v>2.5099999999999998</v>
      </c>
      <c r="J91" s="64">
        <v>0.2</v>
      </c>
      <c r="K91" s="64">
        <v>22.27</v>
      </c>
      <c r="L91" s="64">
        <v>27.01</v>
      </c>
      <c r="M91" s="64">
        <v>100.95</v>
      </c>
      <c r="N91" s="64">
        <v>75.400000000000006</v>
      </c>
      <c r="O91" s="64">
        <v>0</v>
      </c>
      <c r="P91" s="64">
        <v>0.54</v>
      </c>
      <c r="Q91" s="64">
        <v>9.24</v>
      </c>
      <c r="R91" s="198"/>
      <c r="S91" s="198"/>
      <c r="T91" s="198"/>
      <c r="U91" s="198"/>
    </row>
    <row r="92" spans="1:26" s="12" customFormat="1" x14ac:dyDescent="0.25">
      <c r="A92" s="248" t="s">
        <v>712</v>
      </c>
      <c r="B92" s="64">
        <v>8.49</v>
      </c>
      <c r="C92" s="64">
        <v>4.3099999999999996</v>
      </c>
      <c r="D92" s="64">
        <v>12.83</v>
      </c>
      <c r="E92" s="64">
        <v>4.34</v>
      </c>
      <c r="F92" s="64">
        <v>2.4300000000000002</v>
      </c>
      <c r="G92" s="64">
        <v>70.86</v>
      </c>
      <c r="H92" s="64">
        <v>15.19</v>
      </c>
      <c r="I92" s="64">
        <v>2.42</v>
      </c>
      <c r="J92" s="64">
        <v>0.21</v>
      </c>
      <c r="K92" s="64">
        <v>335.4</v>
      </c>
      <c r="L92" s="64">
        <v>27</v>
      </c>
      <c r="M92" s="64">
        <v>101.11</v>
      </c>
      <c r="N92" s="64">
        <v>75.400000000000006</v>
      </c>
      <c r="O92" s="64">
        <v>0</v>
      </c>
      <c r="P92" s="64">
        <v>0.53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48" t="s">
        <v>713</v>
      </c>
      <c r="B93" s="64">
        <v>8.06</v>
      </c>
      <c r="C93" s="64">
        <v>3.22</v>
      </c>
      <c r="D93" s="64">
        <v>11.92</v>
      </c>
      <c r="E93" s="64">
        <v>3.92</v>
      </c>
      <c r="F93" s="64">
        <v>4.6100000000000003</v>
      </c>
      <c r="G93" s="64">
        <v>70.86</v>
      </c>
      <c r="H93" s="64">
        <v>15.19</v>
      </c>
      <c r="I93" s="64">
        <v>2.62</v>
      </c>
      <c r="J93" s="64">
        <v>0.24</v>
      </c>
      <c r="K93" s="64">
        <v>326.25</v>
      </c>
      <c r="L93" s="64">
        <v>26.9</v>
      </c>
      <c r="M93" s="64">
        <v>101.37</v>
      </c>
      <c r="N93" s="64">
        <v>75.3</v>
      </c>
      <c r="O93" s="64">
        <v>0</v>
      </c>
      <c r="P93" s="64">
        <v>0.54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48" t="s">
        <v>714</v>
      </c>
      <c r="B94" s="64">
        <v>7.98</v>
      </c>
      <c r="C94" s="64">
        <v>3.08</v>
      </c>
      <c r="D94" s="64">
        <v>11.79</v>
      </c>
      <c r="E94" s="64">
        <v>4.3499999999999996</v>
      </c>
      <c r="F94" s="64">
        <v>2.5099999999999998</v>
      </c>
      <c r="G94" s="64">
        <v>70.86</v>
      </c>
      <c r="H94" s="64">
        <v>15.19</v>
      </c>
      <c r="I94" s="64">
        <v>2.37</v>
      </c>
      <c r="J94" s="64">
        <v>0.23</v>
      </c>
      <c r="K94" s="64">
        <v>335.19</v>
      </c>
      <c r="L94" s="64">
        <v>26.96</v>
      </c>
      <c r="M94" s="64">
        <v>101.47</v>
      </c>
      <c r="N94" s="64">
        <v>75.400000000000006</v>
      </c>
      <c r="O94" s="64">
        <v>0</v>
      </c>
      <c r="P94" s="64">
        <v>0.53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48" t="s">
        <v>715</v>
      </c>
      <c r="B95" s="64">
        <v>7.97</v>
      </c>
      <c r="C95" s="64">
        <v>3.03</v>
      </c>
      <c r="D95" s="64">
        <v>11.75</v>
      </c>
      <c r="E95" s="64">
        <v>3.98</v>
      </c>
      <c r="F95" s="64">
        <v>3.57</v>
      </c>
      <c r="G95" s="64">
        <v>70.06</v>
      </c>
      <c r="H95" s="64">
        <v>13.23</v>
      </c>
      <c r="I95" s="64">
        <v>2.34</v>
      </c>
      <c r="J95" s="64">
        <v>0.3</v>
      </c>
      <c r="K95" s="64">
        <v>329.33</v>
      </c>
      <c r="L95" s="64">
        <v>26.9</v>
      </c>
      <c r="M95" s="64">
        <v>101.49</v>
      </c>
      <c r="N95" s="64">
        <v>75.2</v>
      </c>
      <c r="O95" s="64">
        <v>0</v>
      </c>
      <c r="P95" s="64">
        <v>0.53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48" t="s">
        <v>716</v>
      </c>
      <c r="B96" s="64">
        <v>7.96</v>
      </c>
      <c r="C96" s="64">
        <v>3.05</v>
      </c>
      <c r="D96" s="64">
        <v>11.75</v>
      </c>
      <c r="E96" s="64">
        <v>3.54</v>
      </c>
      <c r="F96" s="64">
        <v>3.44</v>
      </c>
      <c r="G96" s="64">
        <v>69.87</v>
      </c>
      <c r="H96" s="64">
        <v>12.74</v>
      </c>
      <c r="I96" s="64">
        <v>2.35</v>
      </c>
      <c r="J96" s="64">
        <v>0.2</v>
      </c>
      <c r="K96" s="64">
        <v>353.16</v>
      </c>
      <c r="L96" s="64">
        <v>26.42</v>
      </c>
      <c r="M96" s="64">
        <v>101.48</v>
      </c>
      <c r="N96" s="64">
        <v>76.099999999999994</v>
      </c>
      <c r="O96" s="64">
        <v>0.8</v>
      </c>
      <c r="P96" s="64">
        <v>0.53</v>
      </c>
      <c r="Q96" s="64">
        <v>9.3699999999999992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717</v>
      </c>
      <c r="B97" s="64">
        <v>8.07</v>
      </c>
      <c r="C97" s="64">
        <v>3.17</v>
      </c>
      <c r="D97" s="64">
        <v>11.9</v>
      </c>
      <c r="E97" s="64">
        <v>3.94</v>
      </c>
      <c r="F97" s="64">
        <v>3.62</v>
      </c>
      <c r="G97" s="64">
        <v>69.87</v>
      </c>
      <c r="H97" s="64">
        <v>12.74</v>
      </c>
      <c r="I97" s="64">
        <v>2.4</v>
      </c>
      <c r="J97" s="64">
        <v>0.18</v>
      </c>
      <c r="K97" s="64">
        <v>339.84</v>
      </c>
      <c r="L97" s="64">
        <v>26.08</v>
      </c>
      <c r="M97" s="64">
        <v>101.53</v>
      </c>
      <c r="N97" s="64">
        <v>75.5</v>
      </c>
      <c r="O97" s="64">
        <v>0</v>
      </c>
      <c r="P97" s="64">
        <v>0.51</v>
      </c>
      <c r="Q97" s="64">
        <v>9.32</v>
      </c>
      <c r="R97" s="198"/>
      <c r="S97" s="198"/>
      <c r="T97" s="198"/>
      <c r="U97" s="198"/>
    </row>
    <row r="98" spans="1:33" s="12" customFormat="1" x14ac:dyDescent="0.25">
      <c r="A98" s="248" t="s">
        <v>718</v>
      </c>
      <c r="B98" s="64">
        <v>8.1999999999999993</v>
      </c>
      <c r="C98" s="64">
        <v>3.38</v>
      </c>
      <c r="D98" s="64">
        <v>12.12</v>
      </c>
      <c r="E98" s="64">
        <v>4.0599999999999996</v>
      </c>
      <c r="F98" s="64">
        <v>3.55</v>
      </c>
      <c r="G98" s="64">
        <v>69.87</v>
      </c>
      <c r="H98" s="64">
        <v>12.74</v>
      </c>
      <c r="I98" s="64">
        <v>2.4300000000000002</v>
      </c>
      <c r="J98" s="64">
        <v>0.09</v>
      </c>
      <c r="K98" s="64">
        <v>351.82</v>
      </c>
      <c r="L98" s="64">
        <v>26</v>
      </c>
      <c r="M98" s="64">
        <v>101.55</v>
      </c>
      <c r="N98" s="64">
        <v>75.5</v>
      </c>
      <c r="O98" s="64">
        <v>0.2</v>
      </c>
      <c r="P98" s="64">
        <v>0.52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48" t="s">
        <v>719</v>
      </c>
      <c r="B99" s="64">
        <v>8.27</v>
      </c>
      <c r="C99" s="64">
        <v>3.51</v>
      </c>
      <c r="D99" s="64">
        <v>12.24</v>
      </c>
      <c r="E99" s="64">
        <v>3.92</v>
      </c>
      <c r="F99" s="64">
        <v>3.55</v>
      </c>
      <c r="G99" s="64">
        <v>63.68</v>
      </c>
      <c r="H99" s="64">
        <v>31.29</v>
      </c>
      <c r="I99" s="64">
        <v>2.4500000000000002</v>
      </c>
      <c r="J99" s="64">
        <v>0.21</v>
      </c>
      <c r="K99" s="64">
        <v>345.95</v>
      </c>
      <c r="L99" s="64">
        <v>26</v>
      </c>
      <c r="M99" s="64">
        <v>101.55</v>
      </c>
      <c r="N99" s="64">
        <v>75.400000000000006</v>
      </c>
      <c r="O99" s="64">
        <v>0</v>
      </c>
      <c r="P99" s="64">
        <v>0.55000000000000004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48" t="s">
        <v>720</v>
      </c>
      <c r="B100" s="64">
        <v>8.0299999999999994</v>
      </c>
      <c r="C100" s="64">
        <v>3.05</v>
      </c>
      <c r="D100" s="64">
        <v>11.81</v>
      </c>
      <c r="E100" s="64">
        <v>4.4000000000000004</v>
      </c>
      <c r="F100" s="64">
        <v>3.25</v>
      </c>
      <c r="G100" s="64">
        <v>62.14</v>
      </c>
      <c r="H100" s="64">
        <v>35.93</v>
      </c>
      <c r="I100" s="64">
        <v>2.5499999999999998</v>
      </c>
      <c r="J100" s="64">
        <v>0.16</v>
      </c>
      <c r="K100" s="64">
        <v>329.97</v>
      </c>
      <c r="L100" s="64">
        <v>26.03</v>
      </c>
      <c r="M100" s="64">
        <v>101.56</v>
      </c>
      <c r="N100" s="64">
        <v>74.599999999999994</v>
      </c>
      <c r="O100" s="64">
        <v>0</v>
      </c>
      <c r="P100" s="64">
        <v>0.57999999999999996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721</v>
      </c>
      <c r="B101" s="64">
        <v>8</v>
      </c>
      <c r="C101" s="64">
        <v>3.01</v>
      </c>
      <c r="D101" s="64">
        <v>11.76</v>
      </c>
      <c r="E101" s="64">
        <v>3.82</v>
      </c>
      <c r="F101" s="64">
        <v>3.58</v>
      </c>
      <c r="G101" s="64">
        <v>62.14</v>
      </c>
      <c r="H101" s="64">
        <v>35.93</v>
      </c>
      <c r="I101" s="64">
        <v>2.79</v>
      </c>
      <c r="J101" s="64">
        <v>0.17</v>
      </c>
      <c r="K101" s="64">
        <v>337.34</v>
      </c>
      <c r="L101" s="64">
        <v>26.1</v>
      </c>
      <c r="M101" s="64">
        <v>101.6</v>
      </c>
      <c r="N101" s="64">
        <v>74</v>
      </c>
      <c r="O101" s="64">
        <v>0</v>
      </c>
      <c r="P101" s="64">
        <v>0.6</v>
      </c>
      <c r="Q101" s="64">
        <v>9.41</v>
      </c>
      <c r="R101" s="198"/>
      <c r="S101" s="198"/>
      <c r="T101" s="198"/>
      <c r="U101" s="198"/>
    </row>
    <row r="102" spans="1:33" s="12" customFormat="1" x14ac:dyDescent="0.25">
      <c r="A102" s="248" t="s">
        <v>722</v>
      </c>
      <c r="B102" s="64">
        <v>7.99</v>
      </c>
      <c r="C102" s="64">
        <v>3.04</v>
      </c>
      <c r="D102" s="64">
        <v>11.77</v>
      </c>
      <c r="E102" s="64">
        <v>4.0199999999999996</v>
      </c>
      <c r="F102" s="64">
        <v>3.46</v>
      </c>
      <c r="G102" s="64">
        <v>62.14</v>
      </c>
      <c r="H102" s="64">
        <v>35.93</v>
      </c>
      <c r="I102" s="64">
        <v>3.18</v>
      </c>
      <c r="J102" s="64">
        <v>0.17</v>
      </c>
      <c r="K102" s="64">
        <v>335.53</v>
      </c>
      <c r="L102" s="64">
        <v>26.16</v>
      </c>
      <c r="M102" s="64">
        <v>101.61</v>
      </c>
      <c r="N102" s="64">
        <v>74.2</v>
      </c>
      <c r="O102" s="64">
        <v>0</v>
      </c>
      <c r="P102" s="64">
        <v>0.61</v>
      </c>
      <c r="Q102" s="64">
        <v>9.4</v>
      </c>
      <c r="R102" s="198"/>
      <c r="S102" s="198"/>
      <c r="T102" s="198"/>
      <c r="U102" s="198"/>
    </row>
    <row r="103" spans="1:33" s="12" customFormat="1" x14ac:dyDescent="0.25">
      <c r="A103" s="248" t="s">
        <v>723</v>
      </c>
      <c r="B103" s="64">
        <v>8.02</v>
      </c>
      <c r="C103" s="64">
        <v>3.03</v>
      </c>
      <c r="D103" s="64">
        <v>11.79</v>
      </c>
      <c r="E103" s="64">
        <v>4.3600000000000003</v>
      </c>
      <c r="F103" s="64">
        <v>3.38</v>
      </c>
      <c r="G103" s="64">
        <v>56.77</v>
      </c>
      <c r="H103" s="64">
        <v>26.68</v>
      </c>
      <c r="I103" s="64">
        <v>3.59</v>
      </c>
      <c r="J103" s="64">
        <v>0.17</v>
      </c>
      <c r="K103" s="64">
        <v>0.66</v>
      </c>
      <c r="L103" s="64">
        <v>26.29</v>
      </c>
      <c r="M103" s="64">
        <v>101.61</v>
      </c>
      <c r="N103" s="64">
        <v>74.5</v>
      </c>
      <c r="O103" s="64">
        <v>0</v>
      </c>
      <c r="P103" s="64">
        <v>0.61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48" t="s">
        <v>724</v>
      </c>
      <c r="B104" s="64">
        <v>7.99</v>
      </c>
      <c r="C104" s="64">
        <v>3.05</v>
      </c>
      <c r="D104" s="64">
        <v>11.78</v>
      </c>
      <c r="E104" s="64">
        <v>4.1399999999999997</v>
      </c>
      <c r="F104" s="64">
        <v>4.2699999999999996</v>
      </c>
      <c r="G104" s="64">
        <v>55.43</v>
      </c>
      <c r="H104" s="64">
        <v>24.37</v>
      </c>
      <c r="I104" s="64">
        <v>3.89</v>
      </c>
      <c r="J104" s="64">
        <v>0.12</v>
      </c>
      <c r="K104" s="64">
        <v>357.76</v>
      </c>
      <c r="L104" s="64">
        <v>26.24</v>
      </c>
      <c r="M104" s="64">
        <v>101.65</v>
      </c>
      <c r="N104" s="64">
        <v>74.900000000000006</v>
      </c>
      <c r="O104" s="64">
        <v>0</v>
      </c>
      <c r="P104" s="64">
        <v>0.59</v>
      </c>
      <c r="Q104" s="64">
        <v>9.44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2.97</v>
      </c>
      <c r="D106" s="67">
        <f t="shared" ref="D106:Q106" si="0">MIN(D9:D104)</f>
        <v>11.65</v>
      </c>
      <c r="E106" s="67">
        <f t="shared" si="0"/>
        <v>3.52</v>
      </c>
      <c r="F106" s="67">
        <f t="shared" si="0"/>
        <v>2.37</v>
      </c>
      <c r="G106" s="67">
        <f t="shared" si="0"/>
        <v>14.66</v>
      </c>
      <c r="H106" s="67">
        <f t="shared" si="0"/>
        <v>5.59</v>
      </c>
      <c r="I106" s="67">
        <f t="shared" si="0"/>
        <v>1.25</v>
      </c>
      <c r="J106" s="67">
        <f t="shared" si="0"/>
        <v>0.03</v>
      </c>
      <c r="K106" s="67">
        <f t="shared" si="0"/>
        <v>0.19</v>
      </c>
      <c r="L106" s="67">
        <f t="shared" si="0"/>
        <v>24.5</v>
      </c>
      <c r="M106" s="67">
        <f t="shared" si="0"/>
        <v>78.95</v>
      </c>
      <c r="N106" s="67">
        <f t="shared" si="0"/>
        <v>41.7</v>
      </c>
      <c r="O106" s="67">
        <f t="shared" si="0"/>
        <v>0</v>
      </c>
      <c r="P106" s="67">
        <f t="shared" si="0"/>
        <v>0.23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8.92</v>
      </c>
      <c r="C107" s="66">
        <f t="shared" ref="C107:Q107" si="1">MAX(C9:C104)</f>
        <v>5.04</v>
      </c>
      <c r="D107" s="66">
        <f t="shared" si="1"/>
        <v>13.51</v>
      </c>
      <c r="E107" s="66">
        <f t="shared" si="1"/>
        <v>5.63</v>
      </c>
      <c r="F107" s="66">
        <f t="shared" si="1"/>
        <v>7.31</v>
      </c>
      <c r="G107" s="66">
        <f t="shared" si="1"/>
        <v>85.9</v>
      </c>
      <c r="H107" s="66">
        <f t="shared" si="1"/>
        <v>35.93</v>
      </c>
      <c r="I107" s="66">
        <f t="shared" si="1"/>
        <v>3.89</v>
      </c>
      <c r="J107" s="66">
        <f t="shared" si="1"/>
        <v>0.38</v>
      </c>
      <c r="K107" s="66">
        <f t="shared" si="1"/>
        <v>358.93</v>
      </c>
      <c r="L107" s="66">
        <f t="shared" si="1"/>
        <v>31.67</v>
      </c>
      <c r="M107" s="66">
        <f t="shared" si="1"/>
        <v>102.05</v>
      </c>
      <c r="N107" s="66">
        <f t="shared" si="1"/>
        <v>800.7</v>
      </c>
      <c r="O107" s="66">
        <f t="shared" si="1"/>
        <v>0.8</v>
      </c>
      <c r="P107" s="66">
        <f t="shared" si="1"/>
        <v>0.61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8.1970833333333335</v>
      </c>
      <c r="C108" s="67">
        <f t="shared" ref="C108:Q108" si="2">AVERAGE(C9:C104)</f>
        <v>3.4996875000000003</v>
      </c>
      <c r="D108" s="67">
        <f t="shared" si="2"/>
        <v>12.175729166666663</v>
      </c>
      <c r="E108" s="67">
        <f t="shared" si="2"/>
        <v>4.3917708333333341</v>
      </c>
      <c r="F108" s="67">
        <f t="shared" si="2"/>
        <v>3.9734374999999993</v>
      </c>
      <c r="G108" s="67">
        <f t="shared" si="2"/>
        <v>41.401354166666657</v>
      </c>
      <c r="H108" s="67">
        <f t="shared" si="2"/>
        <v>13.781354166666674</v>
      </c>
      <c r="I108" s="67">
        <f t="shared" si="2"/>
        <v>2.2663541666666682</v>
      </c>
      <c r="J108" s="67">
        <f t="shared" si="2"/>
        <v>0.21760416666666671</v>
      </c>
      <c r="K108" s="67">
        <f t="shared" si="2"/>
        <v>225.66718750000007</v>
      </c>
      <c r="L108" s="67">
        <f t="shared" si="2"/>
        <v>27.964895833333333</v>
      </c>
      <c r="M108" s="67">
        <f t="shared" si="2"/>
        <v>93.737499999999997</v>
      </c>
      <c r="N108" s="67">
        <f t="shared" si="2"/>
        <v>227.02604166666677</v>
      </c>
      <c r="O108" s="67">
        <f t="shared" si="2"/>
        <v>1.2499999999999999E-2</v>
      </c>
      <c r="P108" s="67">
        <f t="shared" si="2"/>
        <v>0.38562500000000005</v>
      </c>
      <c r="Q108" s="67">
        <f t="shared" si="2"/>
        <v>9.2655208333333317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0.29464310852879072</v>
      </c>
      <c r="C109" s="67">
        <f t="shared" ref="C109:Q109" si="3">STDEV(C9:C104)</f>
        <v>0.60060049446147634</v>
      </c>
      <c r="D109" s="67">
        <f t="shared" si="3"/>
        <v>0.54632695973182999</v>
      </c>
      <c r="E109" s="67">
        <f t="shared" si="3"/>
        <v>0.58210144674122988</v>
      </c>
      <c r="F109" s="67">
        <f t="shared" si="3"/>
        <v>0.89709921780088042</v>
      </c>
      <c r="G109" s="67">
        <f t="shared" si="3"/>
        <v>22.764869223839391</v>
      </c>
      <c r="H109" s="67">
        <f t="shared" si="3"/>
        <v>6.0754726252871807</v>
      </c>
      <c r="I109" s="67">
        <f t="shared" si="3"/>
        <v>0.65248048132397318</v>
      </c>
      <c r="J109" s="67">
        <f t="shared" si="3"/>
        <v>0.10143958317682367</v>
      </c>
      <c r="K109" s="67">
        <f t="shared" si="3"/>
        <v>144.23823898933111</v>
      </c>
      <c r="L109" s="67">
        <f t="shared" si="3"/>
        <v>2.4728325947517491</v>
      </c>
      <c r="M109" s="67">
        <f t="shared" si="3"/>
        <v>8.5689570697464639</v>
      </c>
      <c r="N109" s="67">
        <f t="shared" si="3"/>
        <v>218.08613954596328</v>
      </c>
      <c r="O109" s="67">
        <f t="shared" si="3"/>
        <v>8.6145531698277586E-2</v>
      </c>
      <c r="P109" s="67">
        <f t="shared" si="3"/>
        <v>0.10865505534779139</v>
      </c>
      <c r="Q109" s="67">
        <f t="shared" si="3"/>
        <v>7.4662324630955915E-2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4" sqref="H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725</v>
      </c>
      <c r="B9" s="64">
        <v>8</v>
      </c>
      <c r="C9" s="64">
        <v>3.09</v>
      </c>
      <c r="D9" s="64">
        <v>11.8</v>
      </c>
      <c r="E9" s="64">
        <v>4.1500000000000004</v>
      </c>
      <c r="F9" s="64">
        <v>3.45</v>
      </c>
      <c r="G9" s="64">
        <v>55.43</v>
      </c>
      <c r="H9" s="64">
        <v>24.37</v>
      </c>
      <c r="I9" s="64">
        <v>3.97</v>
      </c>
      <c r="J9" s="64">
        <v>0.21</v>
      </c>
      <c r="K9" s="64">
        <v>5.21</v>
      </c>
      <c r="L9" s="64">
        <v>26.22</v>
      </c>
      <c r="M9" s="64">
        <v>101.72</v>
      </c>
      <c r="N9" s="64">
        <v>75.3</v>
      </c>
      <c r="O9" s="64">
        <v>0</v>
      </c>
      <c r="P9" s="64">
        <v>0.54</v>
      </c>
      <c r="Q9" s="64">
        <v>9.39</v>
      </c>
      <c r="R9" s="198"/>
      <c r="S9" s="198"/>
      <c r="T9" s="198"/>
      <c r="U9" s="198"/>
    </row>
    <row r="10" spans="1:21" s="12" customFormat="1" x14ac:dyDescent="0.25">
      <c r="A10" s="248" t="s">
        <v>726</v>
      </c>
      <c r="B10" s="64">
        <v>7.98</v>
      </c>
      <c r="C10" s="64">
        <v>3.09</v>
      </c>
      <c r="D10" s="64">
        <v>11.79</v>
      </c>
      <c r="E10" s="64">
        <v>4.58</v>
      </c>
      <c r="F10" s="64">
        <v>4.74</v>
      </c>
      <c r="G10" s="64">
        <v>55.43</v>
      </c>
      <c r="H10" s="64">
        <v>24.37</v>
      </c>
      <c r="I10" s="64">
        <v>3.84</v>
      </c>
      <c r="J10" s="64">
        <v>0.22</v>
      </c>
      <c r="K10" s="64">
        <v>4.46</v>
      </c>
      <c r="L10" s="64">
        <v>26.22</v>
      </c>
      <c r="M10" s="64">
        <v>101.77</v>
      </c>
      <c r="N10" s="64">
        <v>75.2</v>
      </c>
      <c r="O10" s="64">
        <v>0</v>
      </c>
      <c r="P10" s="64">
        <v>0.55000000000000004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48" t="s">
        <v>727</v>
      </c>
      <c r="B11" s="64">
        <v>7.98</v>
      </c>
      <c r="C11" s="64">
        <v>3.06</v>
      </c>
      <c r="D11" s="64">
        <v>11.77</v>
      </c>
      <c r="E11" s="64">
        <v>4.38</v>
      </c>
      <c r="F11" s="64">
        <v>3.14</v>
      </c>
      <c r="G11" s="64">
        <v>48.9</v>
      </c>
      <c r="H11" s="64">
        <v>22.56</v>
      </c>
      <c r="I11" s="64">
        <v>3.69</v>
      </c>
      <c r="J11" s="64">
        <v>0.25</v>
      </c>
      <c r="K11" s="64">
        <v>1.72</v>
      </c>
      <c r="L11" s="64">
        <v>26.21</v>
      </c>
      <c r="M11" s="64">
        <v>101.8</v>
      </c>
      <c r="N11" s="64">
        <v>75.099999999999994</v>
      </c>
      <c r="O11" s="64">
        <v>0</v>
      </c>
      <c r="P11" s="64">
        <v>0.52</v>
      </c>
      <c r="Q11" s="64">
        <v>9.32</v>
      </c>
      <c r="R11" s="198"/>
      <c r="S11" s="198"/>
      <c r="T11" s="198"/>
      <c r="U11" s="198"/>
    </row>
    <row r="12" spans="1:21" s="12" customFormat="1" x14ac:dyDescent="0.25">
      <c r="A12" s="248" t="s">
        <v>728</v>
      </c>
      <c r="B12" s="64">
        <v>7.98</v>
      </c>
      <c r="C12" s="64">
        <v>3.1</v>
      </c>
      <c r="D12" s="64">
        <v>11.79</v>
      </c>
      <c r="E12" s="64">
        <v>4.4000000000000004</v>
      </c>
      <c r="F12" s="64">
        <v>3.7</v>
      </c>
      <c r="G12" s="64">
        <v>47.26</v>
      </c>
      <c r="H12" s="64">
        <v>22.11</v>
      </c>
      <c r="I12" s="64">
        <v>3.52</v>
      </c>
      <c r="J12" s="64">
        <v>0.31</v>
      </c>
      <c r="K12" s="64">
        <v>355.72</v>
      </c>
      <c r="L12" s="64">
        <v>26.21</v>
      </c>
      <c r="M12" s="64">
        <v>101.8</v>
      </c>
      <c r="N12" s="64">
        <v>75.599999999999994</v>
      </c>
      <c r="O12" s="64">
        <v>0</v>
      </c>
      <c r="P12" s="64">
        <v>0.49</v>
      </c>
      <c r="Q12" s="64">
        <v>9.2799999999999994</v>
      </c>
      <c r="R12" s="198"/>
      <c r="S12" s="198"/>
      <c r="T12" s="198"/>
      <c r="U12" s="198"/>
    </row>
    <row r="13" spans="1:21" s="12" customFormat="1" x14ac:dyDescent="0.25">
      <c r="A13" s="248" t="s">
        <v>729</v>
      </c>
      <c r="B13" s="64">
        <v>8.2100000000000009</v>
      </c>
      <c r="C13" s="64">
        <v>3.53</v>
      </c>
      <c r="D13" s="64">
        <v>12.2</v>
      </c>
      <c r="E13" s="64">
        <v>4.09</v>
      </c>
      <c r="F13" s="64">
        <v>3.74</v>
      </c>
      <c r="G13" s="64">
        <v>47.26</v>
      </c>
      <c r="H13" s="64">
        <v>22.11</v>
      </c>
      <c r="I13" s="64">
        <v>3.4</v>
      </c>
      <c r="J13" s="64">
        <v>0.32</v>
      </c>
      <c r="K13" s="64">
        <v>5.84</v>
      </c>
      <c r="L13" s="64">
        <v>26.19</v>
      </c>
      <c r="M13" s="64">
        <v>101.8</v>
      </c>
      <c r="N13" s="64">
        <v>75.5</v>
      </c>
      <c r="O13" s="64">
        <v>0</v>
      </c>
      <c r="P13" s="64">
        <v>0.45</v>
      </c>
      <c r="Q13" s="64">
        <v>9.26</v>
      </c>
      <c r="R13" s="198"/>
      <c r="S13" s="198"/>
      <c r="T13" s="198"/>
      <c r="U13" s="198"/>
    </row>
    <row r="14" spans="1:21" s="12" customFormat="1" x14ac:dyDescent="0.25">
      <c r="A14" s="248" t="s">
        <v>730</v>
      </c>
      <c r="B14" s="64">
        <v>8.09</v>
      </c>
      <c r="C14" s="64">
        <v>3.33</v>
      </c>
      <c r="D14" s="64">
        <v>12</v>
      </c>
      <c r="E14" s="64">
        <v>4.1100000000000003</v>
      </c>
      <c r="F14" s="64">
        <v>3.87</v>
      </c>
      <c r="G14" s="64">
        <v>47.26</v>
      </c>
      <c r="H14" s="64">
        <v>22.11</v>
      </c>
      <c r="I14" s="64">
        <v>3.35</v>
      </c>
      <c r="J14" s="64">
        <v>0.28000000000000003</v>
      </c>
      <c r="K14" s="64">
        <v>355.53</v>
      </c>
      <c r="L14" s="64">
        <v>26.15</v>
      </c>
      <c r="M14" s="64">
        <v>101.81</v>
      </c>
      <c r="N14" s="64">
        <v>75.400000000000006</v>
      </c>
      <c r="O14" s="64">
        <v>0</v>
      </c>
      <c r="P14" s="64">
        <v>0.44</v>
      </c>
      <c r="Q14" s="64">
        <v>9.2899999999999991</v>
      </c>
      <c r="R14" s="198"/>
      <c r="S14" s="198"/>
      <c r="T14" s="198"/>
      <c r="U14" s="198"/>
    </row>
    <row r="15" spans="1:21" s="12" customFormat="1" x14ac:dyDescent="0.25">
      <c r="A15" s="248" t="s">
        <v>731</v>
      </c>
      <c r="B15" s="64">
        <v>8.2100000000000009</v>
      </c>
      <c r="C15" s="64">
        <v>3.65</v>
      </c>
      <c r="D15" s="64">
        <v>12.27</v>
      </c>
      <c r="E15" s="64">
        <v>4.24</v>
      </c>
      <c r="F15" s="64">
        <v>3.74</v>
      </c>
      <c r="G15" s="64">
        <v>37.18</v>
      </c>
      <c r="H15" s="64">
        <v>21.45</v>
      </c>
      <c r="I15" s="64">
        <v>3.1</v>
      </c>
      <c r="J15" s="64">
        <v>0.25</v>
      </c>
      <c r="K15" s="64">
        <v>350.47</v>
      </c>
      <c r="L15" s="64">
        <v>26.14</v>
      </c>
      <c r="M15" s="64">
        <v>101.8</v>
      </c>
      <c r="N15" s="64">
        <v>75.400000000000006</v>
      </c>
      <c r="O15" s="64">
        <v>0</v>
      </c>
      <c r="P15" s="64">
        <v>0.41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48" t="s">
        <v>732</v>
      </c>
      <c r="B16" s="64">
        <v>8</v>
      </c>
      <c r="C16" s="64">
        <v>3.19</v>
      </c>
      <c r="D16" s="64">
        <v>11.85</v>
      </c>
      <c r="E16" s="64">
        <v>4.13</v>
      </c>
      <c r="F16" s="64">
        <v>3.61</v>
      </c>
      <c r="G16" s="64">
        <v>34.65</v>
      </c>
      <c r="H16" s="64">
        <v>21.29</v>
      </c>
      <c r="I16" s="64">
        <v>2.93</v>
      </c>
      <c r="J16" s="64">
        <v>0.26</v>
      </c>
      <c r="K16" s="64">
        <v>359.38</v>
      </c>
      <c r="L16" s="64">
        <v>26.04</v>
      </c>
      <c r="M16" s="64">
        <v>101.88</v>
      </c>
      <c r="N16" s="64">
        <v>75.400000000000006</v>
      </c>
      <c r="O16" s="64">
        <v>0</v>
      </c>
      <c r="P16" s="64">
        <v>0.4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48" t="s">
        <v>733</v>
      </c>
      <c r="B17" s="64">
        <v>8.0299999999999994</v>
      </c>
      <c r="C17" s="64">
        <v>3.2</v>
      </c>
      <c r="D17" s="64">
        <v>11.88</v>
      </c>
      <c r="E17" s="64">
        <v>4.4000000000000004</v>
      </c>
      <c r="F17" s="64">
        <v>2.85</v>
      </c>
      <c r="G17" s="64">
        <v>34.65</v>
      </c>
      <c r="H17" s="64">
        <v>21.29</v>
      </c>
      <c r="I17" s="64">
        <v>2.75</v>
      </c>
      <c r="J17" s="64">
        <v>0.26</v>
      </c>
      <c r="K17" s="64">
        <v>354.91</v>
      </c>
      <c r="L17" s="64">
        <v>25.97</v>
      </c>
      <c r="M17" s="64">
        <v>101.96</v>
      </c>
      <c r="N17" s="64">
        <v>75.7</v>
      </c>
      <c r="O17" s="64">
        <v>0</v>
      </c>
      <c r="P17" s="64">
        <v>0.38</v>
      </c>
      <c r="Q17" s="64">
        <v>9.2100000000000009</v>
      </c>
      <c r="R17" s="198"/>
      <c r="S17" s="198"/>
      <c r="T17" s="198"/>
      <c r="U17" s="198"/>
    </row>
    <row r="18" spans="1:21" s="12" customFormat="1" x14ac:dyDescent="0.25">
      <c r="A18" s="248" t="s">
        <v>734</v>
      </c>
      <c r="B18" s="64">
        <v>8.15</v>
      </c>
      <c r="C18" s="64">
        <v>3.5</v>
      </c>
      <c r="D18" s="64">
        <v>12.14</v>
      </c>
      <c r="E18" s="64">
        <v>4.1100000000000003</v>
      </c>
      <c r="F18" s="64">
        <v>4.28</v>
      </c>
      <c r="G18" s="64">
        <v>34.65</v>
      </c>
      <c r="H18" s="64">
        <v>21.29</v>
      </c>
      <c r="I18" s="64">
        <v>2.66</v>
      </c>
      <c r="J18" s="64">
        <v>0.11</v>
      </c>
      <c r="K18" s="64">
        <v>351.3</v>
      </c>
      <c r="L18" s="64">
        <v>25.91</v>
      </c>
      <c r="M18" s="64">
        <v>101.95</v>
      </c>
      <c r="N18" s="64">
        <v>76.3</v>
      </c>
      <c r="O18" s="64">
        <v>0</v>
      </c>
      <c r="P18" s="64">
        <v>0.37</v>
      </c>
      <c r="Q18" s="64">
        <v>9.24</v>
      </c>
      <c r="R18" s="198"/>
      <c r="S18" s="198"/>
      <c r="T18" s="198"/>
      <c r="U18" s="198"/>
    </row>
    <row r="19" spans="1:21" s="12" customFormat="1" x14ac:dyDescent="0.25">
      <c r="A19" s="248" t="s">
        <v>735</v>
      </c>
      <c r="B19" s="64">
        <v>8</v>
      </c>
      <c r="C19" s="64">
        <v>3.05</v>
      </c>
      <c r="D19" s="64">
        <v>11.78</v>
      </c>
      <c r="E19" s="64">
        <v>4.58</v>
      </c>
      <c r="F19" s="64">
        <v>3.12</v>
      </c>
      <c r="G19" s="64">
        <v>33.36</v>
      </c>
      <c r="H19" s="64">
        <v>16.48</v>
      </c>
      <c r="I19" s="64">
        <v>2.52</v>
      </c>
      <c r="J19" s="64">
        <v>0.15</v>
      </c>
      <c r="K19" s="64">
        <v>335.32</v>
      </c>
      <c r="L19" s="64">
        <v>25.88</v>
      </c>
      <c r="M19" s="64">
        <v>101.94</v>
      </c>
      <c r="N19" s="64">
        <v>76.3</v>
      </c>
      <c r="O19" s="64">
        <v>0</v>
      </c>
      <c r="P19" s="64">
        <v>0.35</v>
      </c>
      <c r="Q19" s="64">
        <v>9.2100000000000009</v>
      </c>
      <c r="R19" s="198"/>
      <c r="S19" s="198"/>
      <c r="T19" s="198"/>
      <c r="U19" s="198"/>
    </row>
    <row r="20" spans="1:21" s="12" customFormat="1" x14ac:dyDescent="0.25">
      <c r="A20" s="248" t="s">
        <v>736</v>
      </c>
      <c r="B20" s="64">
        <v>7.96</v>
      </c>
      <c r="C20" s="64">
        <v>3</v>
      </c>
      <c r="D20" s="64">
        <v>11.73</v>
      </c>
      <c r="E20" s="64">
        <v>4.43</v>
      </c>
      <c r="F20" s="64">
        <v>3.79</v>
      </c>
      <c r="G20" s="64">
        <v>33.03</v>
      </c>
      <c r="H20" s="64">
        <v>15.27</v>
      </c>
      <c r="I20" s="64">
        <v>2.4300000000000002</v>
      </c>
      <c r="J20" s="64">
        <v>0.15</v>
      </c>
      <c r="K20" s="64">
        <v>315.95</v>
      </c>
      <c r="L20" s="64">
        <v>25.85</v>
      </c>
      <c r="M20" s="64">
        <v>101.97</v>
      </c>
      <c r="N20" s="64">
        <v>76</v>
      </c>
      <c r="O20" s="64">
        <v>0</v>
      </c>
      <c r="P20" s="64">
        <v>0.34</v>
      </c>
      <c r="Q20" s="64">
        <v>9.19</v>
      </c>
      <c r="R20" s="198"/>
      <c r="S20" s="198"/>
      <c r="T20" s="198"/>
      <c r="U20" s="198"/>
    </row>
    <row r="21" spans="1:21" s="12" customFormat="1" x14ac:dyDescent="0.25">
      <c r="A21" s="248" t="s">
        <v>737</v>
      </c>
      <c r="B21" s="64">
        <v>7.96</v>
      </c>
      <c r="C21" s="64">
        <v>2.95</v>
      </c>
      <c r="D21" s="64">
        <v>11.7</v>
      </c>
      <c r="E21" s="64">
        <v>3.96</v>
      </c>
      <c r="F21" s="64">
        <v>3.72</v>
      </c>
      <c r="G21" s="64">
        <v>33.03</v>
      </c>
      <c r="H21" s="64">
        <v>15.27</v>
      </c>
      <c r="I21" s="64">
        <v>2.4700000000000002</v>
      </c>
      <c r="J21" s="64">
        <v>0.08</v>
      </c>
      <c r="K21" s="64">
        <v>344.32</v>
      </c>
      <c r="L21" s="64">
        <v>25.85</v>
      </c>
      <c r="M21" s="64">
        <v>102.03</v>
      </c>
      <c r="N21" s="64">
        <v>75.900000000000006</v>
      </c>
      <c r="O21" s="64">
        <v>0</v>
      </c>
      <c r="P21" s="64">
        <v>0.34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48" t="s">
        <v>738</v>
      </c>
      <c r="B22" s="64">
        <v>7.98</v>
      </c>
      <c r="C22" s="64">
        <v>3.01</v>
      </c>
      <c r="D22" s="64">
        <v>11.75</v>
      </c>
      <c r="E22" s="64">
        <v>4.04</v>
      </c>
      <c r="F22" s="64">
        <v>3.67</v>
      </c>
      <c r="G22" s="64">
        <v>33.03</v>
      </c>
      <c r="H22" s="64">
        <v>15.27</v>
      </c>
      <c r="I22" s="64">
        <v>2.57</v>
      </c>
      <c r="J22" s="64">
        <v>0.19</v>
      </c>
      <c r="K22" s="64">
        <v>318.8</v>
      </c>
      <c r="L22" s="64">
        <v>25.87</v>
      </c>
      <c r="M22" s="64">
        <v>102.06</v>
      </c>
      <c r="N22" s="64">
        <v>75.8</v>
      </c>
      <c r="O22" s="64">
        <v>0</v>
      </c>
      <c r="P22" s="64">
        <v>0.33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48" t="s">
        <v>739</v>
      </c>
      <c r="B23" s="64">
        <v>7.99</v>
      </c>
      <c r="C23" s="64">
        <v>2.99</v>
      </c>
      <c r="D23" s="64">
        <v>11.75</v>
      </c>
      <c r="E23" s="64">
        <v>4.0599999999999996</v>
      </c>
      <c r="F23" s="64">
        <v>3.63</v>
      </c>
      <c r="G23" s="64">
        <v>25.38</v>
      </c>
      <c r="H23" s="64">
        <v>13.12</v>
      </c>
      <c r="I23" s="64">
        <v>2.58</v>
      </c>
      <c r="J23" s="64">
        <v>0.16</v>
      </c>
      <c r="K23" s="64">
        <v>326.94</v>
      </c>
      <c r="L23" s="64">
        <v>25.83</v>
      </c>
      <c r="M23" s="64">
        <v>102.05</v>
      </c>
      <c r="N23" s="64">
        <v>75.7</v>
      </c>
      <c r="O23" s="64">
        <v>0</v>
      </c>
      <c r="P23" s="64">
        <v>0.32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48" t="s">
        <v>740</v>
      </c>
      <c r="B24" s="64">
        <v>7.99</v>
      </c>
      <c r="C24" s="64">
        <v>2.99</v>
      </c>
      <c r="D24" s="64">
        <v>11.74</v>
      </c>
      <c r="E24" s="64">
        <v>4.09</v>
      </c>
      <c r="F24" s="64">
        <v>3.56</v>
      </c>
      <c r="G24" s="64">
        <v>23.46</v>
      </c>
      <c r="H24" s="64">
        <v>12.58</v>
      </c>
      <c r="I24" s="64">
        <v>2.62</v>
      </c>
      <c r="J24" s="64">
        <v>0.19</v>
      </c>
      <c r="K24" s="64">
        <v>320.12</v>
      </c>
      <c r="L24" s="64">
        <v>25.81</v>
      </c>
      <c r="M24" s="64">
        <v>102.06</v>
      </c>
      <c r="N24" s="64">
        <v>75.5</v>
      </c>
      <c r="O24" s="64">
        <v>0</v>
      </c>
      <c r="P24" s="64">
        <v>0.32</v>
      </c>
      <c r="Q24" s="64">
        <v>9.2799999999999994</v>
      </c>
      <c r="R24" s="198"/>
      <c r="S24" s="198"/>
      <c r="T24" s="198"/>
      <c r="U24" s="198"/>
    </row>
    <row r="25" spans="1:21" s="12" customFormat="1" x14ac:dyDescent="0.25">
      <c r="A25" s="248" t="s">
        <v>741</v>
      </c>
      <c r="B25" s="64">
        <v>8</v>
      </c>
      <c r="C25" s="64">
        <v>2.99</v>
      </c>
      <c r="D25" s="64">
        <v>11.75</v>
      </c>
      <c r="E25" s="64">
        <v>4.0999999999999996</v>
      </c>
      <c r="F25" s="64">
        <v>3.33</v>
      </c>
      <c r="G25" s="64">
        <v>23.46</v>
      </c>
      <c r="H25" s="64">
        <v>12.58</v>
      </c>
      <c r="I25" s="64">
        <v>2.62</v>
      </c>
      <c r="J25" s="64">
        <v>0.15</v>
      </c>
      <c r="K25" s="64">
        <v>335.17</v>
      </c>
      <c r="L25" s="64">
        <v>25.75</v>
      </c>
      <c r="M25" s="64">
        <v>102.03</v>
      </c>
      <c r="N25" s="64">
        <v>75.5</v>
      </c>
      <c r="O25" s="64">
        <v>0</v>
      </c>
      <c r="P25" s="64">
        <v>0.32</v>
      </c>
      <c r="Q25" s="64">
        <v>9.27</v>
      </c>
      <c r="R25" s="198"/>
      <c r="S25" s="198"/>
      <c r="T25" s="198"/>
      <c r="U25" s="198"/>
    </row>
    <row r="26" spans="1:21" s="12" customFormat="1" x14ac:dyDescent="0.25">
      <c r="A26" s="248" t="s">
        <v>742</v>
      </c>
      <c r="B26" s="64">
        <v>8</v>
      </c>
      <c r="C26" s="64">
        <v>2.91</v>
      </c>
      <c r="D26" s="64">
        <v>11.71</v>
      </c>
      <c r="E26" s="64">
        <v>4.03</v>
      </c>
      <c r="F26" s="64">
        <v>3.87</v>
      </c>
      <c r="G26" s="64">
        <v>23.46</v>
      </c>
      <c r="H26" s="64">
        <v>12.58</v>
      </c>
      <c r="I26" s="64">
        <v>2.66</v>
      </c>
      <c r="J26" s="64">
        <v>0.17</v>
      </c>
      <c r="K26" s="64">
        <v>346.55</v>
      </c>
      <c r="L26" s="64">
        <v>25.7</v>
      </c>
      <c r="M26" s="64">
        <v>102.08</v>
      </c>
      <c r="N26" s="64">
        <v>75.900000000000006</v>
      </c>
      <c r="O26" s="64">
        <v>0</v>
      </c>
      <c r="P26" s="64">
        <v>0.32</v>
      </c>
      <c r="Q26" s="64">
        <v>9.2799999999999994</v>
      </c>
      <c r="R26" s="198"/>
      <c r="S26" s="198"/>
      <c r="T26" s="198"/>
      <c r="U26" s="198"/>
    </row>
    <row r="27" spans="1:21" s="12" customFormat="1" x14ac:dyDescent="0.25">
      <c r="A27" s="248" t="s">
        <v>743</v>
      </c>
      <c r="B27" s="64">
        <v>7.97</v>
      </c>
      <c r="C27" s="64">
        <v>2.97</v>
      </c>
      <c r="D27" s="64">
        <v>11.72</v>
      </c>
      <c r="E27" s="64">
        <v>4.5999999999999996</v>
      </c>
      <c r="F27" s="64">
        <v>3.76</v>
      </c>
      <c r="G27" s="64">
        <v>33.72</v>
      </c>
      <c r="H27" s="64">
        <v>15.04</v>
      </c>
      <c r="I27" s="64">
        <v>2.76</v>
      </c>
      <c r="J27" s="64">
        <v>0.18</v>
      </c>
      <c r="K27" s="64">
        <v>329.84</v>
      </c>
      <c r="L27" s="64">
        <v>25.67</v>
      </c>
      <c r="M27" s="64">
        <v>102.08</v>
      </c>
      <c r="N27" s="64">
        <v>76.7</v>
      </c>
      <c r="O27" s="64">
        <v>0</v>
      </c>
      <c r="P27" s="64">
        <v>0.33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48" t="s">
        <v>744</v>
      </c>
      <c r="B28" s="64">
        <v>8.19</v>
      </c>
      <c r="C28" s="64">
        <v>3.44</v>
      </c>
      <c r="D28" s="64">
        <v>12.14</v>
      </c>
      <c r="E28" s="64">
        <v>4.0999999999999996</v>
      </c>
      <c r="F28" s="64">
        <v>4.4800000000000004</v>
      </c>
      <c r="G28" s="64">
        <v>36.28</v>
      </c>
      <c r="H28" s="64">
        <v>15.65</v>
      </c>
      <c r="I28" s="64">
        <v>2.78</v>
      </c>
      <c r="J28" s="64">
        <v>0.16</v>
      </c>
      <c r="K28" s="64">
        <v>329.5</v>
      </c>
      <c r="L28" s="64">
        <v>25.67</v>
      </c>
      <c r="M28" s="64">
        <v>102.09</v>
      </c>
      <c r="N28" s="64">
        <v>84.5</v>
      </c>
      <c r="O28" s="64">
        <v>0</v>
      </c>
      <c r="P28" s="64">
        <v>0.33</v>
      </c>
      <c r="Q28" s="64">
        <v>9.2200000000000006</v>
      </c>
      <c r="R28" s="198"/>
      <c r="S28" s="198"/>
      <c r="T28" s="198"/>
      <c r="U28" s="198"/>
    </row>
    <row r="29" spans="1:21" s="12" customFormat="1" x14ac:dyDescent="0.25">
      <c r="A29" s="248" t="s">
        <v>745</v>
      </c>
      <c r="B29" s="64">
        <v>8.4</v>
      </c>
      <c r="C29" s="64">
        <v>3.96</v>
      </c>
      <c r="D29" s="64">
        <v>12.58</v>
      </c>
      <c r="E29" s="64">
        <v>4.0199999999999996</v>
      </c>
      <c r="F29" s="64">
        <v>3.81</v>
      </c>
      <c r="G29" s="64">
        <v>36.28</v>
      </c>
      <c r="H29" s="64">
        <v>15.65</v>
      </c>
      <c r="I29" s="64">
        <v>2.78</v>
      </c>
      <c r="J29" s="64">
        <v>0.17</v>
      </c>
      <c r="K29" s="64">
        <v>329.91</v>
      </c>
      <c r="L29" s="64">
        <v>25.75</v>
      </c>
      <c r="M29" s="64">
        <v>102.09</v>
      </c>
      <c r="N29" s="64">
        <v>101.9</v>
      </c>
      <c r="O29" s="64">
        <v>0</v>
      </c>
      <c r="P29" s="64">
        <v>0.33</v>
      </c>
      <c r="Q29" s="64">
        <v>9.2100000000000009</v>
      </c>
      <c r="R29" s="198"/>
      <c r="S29" s="198"/>
      <c r="T29" s="198"/>
      <c r="U29" s="198"/>
    </row>
    <row r="30" spans="1:21" s="12" customFormat="1" x14ac:dyDescent="0.25">
      <c r="A30" s="248" t="s">
        <v>746</v>
      </c>
      <c r="B30" s="64">
        <v>8.06</v>
      </c>
      <c r="C30" s="64">
        <v>3.24</v>
      </c>
      <c r="D30" s="64">
        <v>11.94</v>
      </c>
      <c r="E30" s="64">
        <v>3.99</v>
      </c>
      <c r="F30" s="64">
        <v>3.72</v>
      </c>
      <c r="G30" s="64">
        <v>36.28</v>
      </c>
      <c r="H30" s="64">
        <v>15.65</v>
      </c>
      <c r="I30" s="64">
        <v>2.79</v>
      </c>
      <c r="J30" s="64">
        <v>0.18</v>
      </c>
      <c r="K30" s="64">
        <v>342.57</v>
      </c>
      <c r="L30" s="64">
        <v>25.85</v>
      </c>
      <c r="M30" s="64">
        <v>102.1</v>
      </c>
      <c r="N30" s="64">
        <v>113.3</v>
      </c>
      <c r="O30" s="64">
        <v>0</v>
      </c>
      <c r="P30" s="64">
        <v>0.33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48" t="s">
        <v>747</v>
      </c>
      <c r="B31" s="64">
        <v>8.08</v>
      </c>
      <c r="C31" s="64">
        <v>3.25</v>
      </c>
      <c r="D31" s="64">
        <v>11.95</v>
      </c>
      <c r="E31" s="64">
        <v>4.2699999999999996</v>
      </c>
      <c r="F31" s="64">
        <v>4.28</v>
      </c>
      <c r="G31" s="64">
        <v>27.83</v>
      </c>
      <c r="H31" s="64">
        <v>12.33</v>
      </c>
      <c r="I31" s="64">
        <v>2.79</v>
      </c>
      <c r="J31" s="64">
        <v>0.21</v>
      </c>
      <c r="K31" s="64">
        <v>338.71</v>
      </c>
      <c r="L31" s="64">
        <v>26.03</v>
      </c>
      <c r="M31" s="64">
        <v>102.09</v>
      </c>
      <c r="N31" s="64">
        <v>122.6</v>
      </c>
      <c r="O31" s="64">
        <v>0</v>
      </c>
      <c r="P31" s="64">
        <v>0.34</v>
      </c>
      <c r="Q31" s="64">
        <v>9.27</v>
      </c>
      <c r="R31" s="198"/>
      <c r="S31" s="198"/>
      <c r="T31" s="198"/>
      <c r="U31" s="198"/>
    </row>
    <row r="32" spans="1:21" s="12" customFormat="1" x14ac:dyDescent="0.25">
      <c r="A32" s="248" t="s">
        <v>748</v>
      </c>
      <c r="B32" s="64">
        <v>8.27</v>
      </c>
      <c r="C32" s="64">
        <v>3.71</v>
      </c>
      <c r="D32" s="64">
        <v>12.35</v>
      </c>
      <c r="E32" s="64">
        <v>4.4400000000000004</v>
      </c>
      <c r="F32" s="64">
        <v>3.01</v>
      </c>
      <c r="G32" s="64">
        <v>25.71</v>
      </c>
      <c r="H32" s="64">
        <v>11.5</v>
      </c>
      <c r="I32" s="64">
        <v>2.72</v>
      </c>
      <c r="J32" s="64">
        <v>0.2</v>
      </c>
      <c r="K32" s="64">
        <v>349.76</v>
      </c>
      <c r="L32" s="64">
        <v>26.15</v>
      </c>
      <c r="M32" s="64">
        <v>102.06</v>
      </c>
      <c r="N32" s="64">
        <v>123.4</v>
      </c>
      <c r="O32" s="64">
        <v>0</v>
      </c>
      <c r="P32" s="64">
        <v>0.34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48" t="s">
        <v>749</v>
      </c>
      <c r="B33" s="64">
        <v>8.0500000000000007</v>
      </c>
      <c r="C33" s="64">
        <v>3.28</v>
      </c>
      <c r="D33" s="64">
        <v>11.95</v>
      </c>
      <c r="E33" s="64">
        <v>4.33</v>
      </c>
      <c r="F33" s="64">
        <v>4.0199999999999996</v>
      </c>
      <c r="G33" s="64">
        <v>25.71</v>
      </c>
      <c r="H33" s="64">
        <v>11.5</v>
      </c>
      <c r="I33" s="64">
        <v>2.67</v>
      </c>
      <c r="J33" s="64">
        <v>0.14000000000000001</v>
      </c>
      <c r="K33" s="64">
        <v>8.4700000000000006</v>
      </c>
      <c r="L33" s="64">
        <v>26.28</v>
      </c>
      <c r="M33" s="64">
        <v>102.06</v>
      </c>
      <c r="N33" s="64">
        <v>148</v>
      </c>
      <c r="O33" s="64">
        <v>0</v>
      </c>
      <c r="P33" s="64">
        <v>0.34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48" t="s">
        <v>750</v>
      </c>
      <c r="B34" s="64">
        <v>8.2899999999999991</v>
      </c>
      <c r="C34" s="64">
        <v>3.67</v>
      </c>
      <c r="D34" s="64">
        <v>12.34</v>
      </c>
      <c r="E34" s="64">
        <v>4.25</v>
      </c>
      <c r="F34" s="64">
        <v>3.51</v>
      </c>
      <c r="G34" s="64">
        <v>25.71</v>
      </c>
      <c r="H34" s="64">
        <v>11.5</v>
      </c>
      <c r="I34" s="64">
        <v>2.61</v>
      </c>
      <c r="J34" s="64">
        <v>0.14000000000000001</v>
      </c>
      <c r="K34" s="64">
        <v>342.01</v>
      </c>
      <c r="L34" s="64">
        <v>26.54</v>
      </c>
      <c r="M34" s="64">
        <v>101.68</v>
      </c>
      <c r="N34" s="64">
        <v>191.5</v>
      </c>
      <c r="O34" s="64">
        <v>0</v>
      </c>
      <c r="P34" s="64">
        <v>0.35</v>
      </c>
      <c r="Q34" s="64">
        <v>9.2799999999999994</v>
      </c>
      <c r="R34" s="198"/>
      <c r="S34" s="198"/>
      <c r="T34" s="198"/>
      <c r="U34" s="198"/>
    </row>
    <row r="35" spans="1:21" s="12" customFormat="1" x14ac:dyDescent="0.25">
      <c r="A35" s="248" t="s">
        <v>751</v>
      </c>
      <c r="B35" s="64">
        <v>8.1999999999999993</v>
      </c>
      <c r="C35" s="64">
        <v>3.55</v>
      </c>
      <c r="D35" s="64">
        <v>12.2</v>
      </c>
      <c r="E35" s="64">
        <v>4.57</v>
      </c>
      <c r="F35" s="64">
        <v>3.02</v>
      </c>
      <c r="G35" s="64">
        <v>28.48</v>
      </c>
      <c r="H35" s="64">
        <v>9.76</v>
      </c>
      <c r="I35" s="64">
        <v>2.56</v>
      </c>
      <c r="J35" s="64">
        <v>0.23</v>
      </c>
      <c r="K35" s="64">
        <v>345.11</v>
      </c>
      <c r="L35" s="64">
        <v>26.72</v>
      </c>
      <c r="M35" s="64">
        <v>101.65</v>
      </c>
      <c r="N35" s="64">
        <v>215</v>
      </c>
      <c r="O35" s="64">
        <v>0</v>
      </c>
      <c r="P35" s="64">
        <v>0.37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48" t="s">
        <v>752</v>
      </c>
      <c r="B36" s="64">
        <v>8.1</v>
      </c>
      <c r="C36" s="64">
        <v>3.31</v>
      </c>
      <c r="D36" s="64">
        <v>12</v>
      </c>
      <c r="E36" s="64">
        <v>4.66</v>
      </c>
      <c r="F36" s="64">
        <v>3.69</v>
      </c>
      <c r="G36" s="64">
        <v>29.17</v>
      </c>
      <c r="H36" s="64">
        <v>9.33</v>
      </c>
      <c r="I36" s="64">
        <v>2.57</v>
      </c>
      <c r="J36" s="64">
        <v>0.23</v>
      </c>
      <c r="K36" s="64">
        <v>347.38</v>
      </c>
      <c r="L36" s="64">
        <v>27.09</v>
      </c>
      <c r="M36" s="64">
        <v>101.64</v>
      </c>
      <c r="N36" s="64">
        <v>224.8</v>
      </c>
      <c r="O36" s="64">
        <v>0</v>
      </c>
      <c r="P36" s="64">
        <v>0.36</v>
      </c>
      <c r="Q36" s="64">
        <v>9.23</v>
      </c>
      <c r="R36" s="198"/>
      <c r="S36" s="198"/>
      <c r="T36" s="198"/>
      <c r="U36" s="198"/>
    </row>
    <row r="37" spans="1:21" s="12" customFormat="1" x14ac:dyDescent="0.25">
      <c r="A37" s="248" t="s">
        <v>753</v>
      </c>
      <c r="B37" s="64">
        <v>8.2899999999999991</v>
      </c>
      <c r="C37" s="64">
        <v>3.64</v>
      </c>
      <c r="D37" s="64">
        <v>12.33</v>
      </c>
      <c r="E37" s="64">
        <v>4.28</v>
      </c>
      <c r="F37" s="64">
        <v>2.86</v>
      </c>
      <c r="G37" s="64">
        <v>29.17</v>
      </c>
      <c r="H37" s="64">
        <v>9.33</v>
      </c>
      <c r="I37" s="64">
        <v>2.56</v>
      </c>
      <c r="J37" s="64">
        <v>0.28000000000000003</v>
      </c>
      <c r="K37" s="64">
        <v>331.69</v>
      </c>
      <c r="L37" s="64">
        <v>27.67</v>
      </c>
      <c r="M37" s="64">
        <v>101.54</v>
      </c>
      <c r="N37" s="64">
        <v>242.2</v>
      </c>
      <c r="O37" s="64">
        <v>0</v>
      </c>
      <c r="P37" s="64">
        <v>0.37</v>
      </c>
      <c r="Q37" s="64">
        <v>9.24</v>
      </c>
      <c r="R37" s="198"/>
      <c r="S37" s="198"/>
      <c r="T37" s="198"/>
      <c r="U37" s="198"/>
    </row>
    <row r="38" spans="1:21" s="12" customFormat="1" x14ac:dyDescent="0.25">
      <c r="A38" s="248" t="s">
        <v>754</v>
      </c>
      <c r="B38" s="64">
        <v>8.2100000000000009</v>
      </c>
      <c r="C38" s="64">
        <v>3.43</v>
      </c>
      <c r="D38" s="64">
        <v>12.15</v>
      </c>
      <c r="E38" s="64">
        <v>4.68</v>
      </c>
      <c r="F38" s="64">
        <v>4.05</v>
      </c>
      <c r="G38" s="64">
        <v>29.17</v>
      </c>
      <c r="H38" s="64">
        <v>9.33</v>
      </c>
      <c r="I38" s="64">
        <v>2.48</v>
      </c>
      <c r="J38" s="64">
        <v>0.26</v>
      </c>
      <c r="K38" s="64">
        <v>338.82</v>
      </c>
      <c r="L38" s="64">
        <v>28.22</v>
      </c>
      <c r="M38" s="64">
        <v>101.54</v>
      </c>
      <c r="N38" s="64">
        <v>270.39999999999998</v>
      </c>
      <c r="O38" s="64">
        <v>0</v>
      </c>
      <c r="P38" s="64">
        <v>0.38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48" t="s">
        <v>755</v>
      </c>
      <c r="B39" s="64">
        <v>8.02</v>
      </c>
      <c r="C39" s="64">
        <v>3.04</v>
      </c>
      <c r="D39" s="64">
        <v>11.79</v>
      </c>
      <c r="E39" s="64">
        <v>4.12</v>
      </c>
      <c r="F39" s="64">
        <v>3.84</v>
      </c>
      <c r="G39" s="64">
        <v>31.72</v>
      </c>
      <c r="H39" s="64">
        <v>7.47</v>
      </c>
      <c r="I39" s="64">
        <v>2.41</v>
      </c>
      <c r="J39" s="64">
        <v>0.18</v>
      </c>
      <c r="K39" s="64">
        <v>337.63</v>
      </c>
      <c r="L39" s="64">
        <v>28.6</v>
      </c>
      <c r="M39" s="64">
        <v>100.88</v>
      </c>
      <c r="N39" s="64">
        <v>389.9</v>
      </c>
      <c r="O39" s="64">
        <v>0</v>
      </c>
      <c r="P39" s="64">
        <v>0.4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48" t="s">
        <v>756</v>
      </c>
      <c r="B40" s="64">
        <v>8.02</v>
      </c>
      <c r="C40" s="64">
        <v>3.03</v>
      </c>
      <c r="D40" s="64">
        <v>11.79</v>
      </c>
      <c r="E40" s="64">
        <v>4.6100000000000003</v>
      </c>
      <c r="F40" s="64">
        <v>3.44</v>
      </c>
      <c r="G40" s="64">
        <v>32.36</v>
      </c>
      <c r="H40" s="64">
        <v>7.01</v>
      </c>
      <c r="I40" s="64">
        <v>2.44</v>
      </c>
      <c r="J40" s="64">
        <v>0.22</v>
      </c>
      <c r="K40" s="64">
        <v>314.7</v>
      </c>
      <c r="L40" s="64">
        <v>29.21</v>
      </c>
      <c r="M40" s="64">
        <v>98.65</v>
      </c>
      <c r="N40" s="64">
        <v>377.7</v>
      </c>
      <c r="O40" s="64">
        <v>0</v>
      </c>
      <c r="P40" s="64">
        <v>0.43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48" t="s">
        <v>757</v>
      </c>
      <c r="B41" s="64">
        <v>8.06</v>
      </c>
      <c r="C41" s="64">
        <v>3.07</v>
      </c>
      <c r="D41" s="64">
        <v>11.84</v>
      </c>
      <c r="E41" s="64">
        <v>4.0999999999999996</v>
      </c>
      <c r="F41" s="64">
        <v>3.38</v>
      </c>
      <c r="G41" s="64">
        <v>32.36</v>
      </c>
      <c r="H41" s="64">
        <v>7.01</v>
      </c>
      <c r="I41" s="64">
        <v>2.56</v>
      </c>
      <c r="J41" s="64">
        <v>0.41</v>
      </c>
      <c r="K41" s="64">
        <v>322.52</v>
      </c>
      <c r="L41" s="64">
        <v>30.07</v>
      </c>
      <c r="M41" s="64">
        <v>93.12</v>
      </c>
      <c r="N41" s="64">
        <v>327.8</v>
      </c>
      <c r="O41" s="64">
        <v>0</v>
      </c>
      <c r="P41" s="64">
        <v>0.45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48" t="s">
        <v>758</v>
      </c>
      <c r="B42" s="64">
        <v>8.06</v>
      </c>
      <c r="C42" s="64">
        <v>3.09</v>
      </c>
      <c r="D42" s="64">
        <v>11.85</v>
      </c>
      <c r="E42" s="64">
        <v>4.38</v>
      </c>
      <c r="F42" s="64">
        <v>3.54</v>
      </c>
      <c r="G42" s="64">
        <v>32.36</v>
      </c>
      <c r="H42" s="64">
        <v>7.01</v>
      </c>
      <c r="I42" s="64">
        <v>2.64</v>
      </c>
      <c r="J42" s="64">
        <v>0.2</v>
      </c>
      <c r="K42" s="64">
        <v>333.16</v>
      </c>
      <c r="L42" s="64">
        <v>29.53</v>
      </c>
      <c r="M42" s="64">
        <v>93.65</v>
      </c>
      <c r="N42" s="64">
        <v>217</v>
      </c>
      <c r="O42" s="64">
        <v>0</v>
      </c>
      <c r="P42" s="64">
        <v>0.46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48" t="s">
        <v>759</v>
      </c>
      <c r="B43" s="64">
        <v>8.32</v>
      </c>
      <c r="C43" s="64">
        <v>3.58</v>
      </c>
      <c r="D43" s="64">
        <v>12.32</v>
      </c>
      <c r="E43" s="64">
        <v>4.51</v>
      </c>
      <c r="F43" s="64">
        <v>3.35</v>
      </c>
      <c r="G43" s="64">
        <v>41.21</v>
      </c>
      <c r="H43" s="64">
        <v>12.81</v>
      </c>
      <c r="I43" s="64">
        <v>2.72</v>
      </c>
      <c r="J43" s="64">
        <v>0.23</v>
      </c>
      <c r="K43" s="64">
        <v>340.44</v>
      </c>
      <c r="L43" s="64">
        <v>29.09</v>
      </c>
      <c r="M43" s="64">
        <v>95.69</v>
      </c>
      <c r="N43" s="64">
        <v>208.9</v>
      </c>
      <c r="O43" s="64">
        <v>0</v>
      </c>
      <c r="P43" s="64">
        <v>0.46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48" t="s">
        <v>760</v>
      </c>
      <c r="B44" s="64">
        <v>8.52</v>
      </c>
      <c r="C44" s="64">
        <v>3.97</v>
      </c>
      <c r="D44" s="64">
        <v>12.68</v>
      </c>
      <c r="E44" s="64">
        <v>4.37</v>
      </c>
      <c r="F44" s="64">
        <v>3.55</v>
      </c>
      <c r="G44" s="64">
        <v>43.42</v>
      </c>
      <c r="H44" s="64">
        <v>14.27</v>
      </c>
      <c r="I44" s="64">
        <v>2.67</v>
      </c>
      <c r="J44" s="64">
        <v>0.2</v>
      </c>
      <c r="K44" s="64">
        <v>321.39</v>
      </c>
      <c r="L44" s="64">
        <v>29.34</v>
      </c>
      <c r="M44" s="64">
        <v>95.05</v>
      </c>
      <c r="N44" s="64">
        <v>305.2</v>
      </c>
      <c r="O44" s="64">
        <v>0</v>
      </c>
      <c r="P44" s="64">
        <v>0.48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48" t="s">
        <v>761</v>
      </c>
      <c r="B45" s="64">
        <v>8.27</v>
      </c>
      <c r="C45" s="64">
        <v>3.54</v>
      </c>
      <c r="D45" s="64">
        <v>12.25</v>
      </c>
      <c r="E45" s="64">
        <v>4.97</v>
      </c>
      <c r="F45" s="64">
        <v>3.97</v>
      </c>
      <c r="G45" s="64">
        <v>43.42</v>
      </c>
      <c r="H45" s="64">
        <v>14.27</v>
      </c>
      <c r="I45" s="64">
        <v>2.65</v>
      </c>
      <c r="J45" s="64">
        <v>0.27</v>
      </c>
      <c r="K45" s="64">
        <v>326.89999999999998</v>
      </c>
      <c r="L45" s="64">
        <v>30.03</v>
      </c>
      <c r="M45" s="64">
        <v>91.63</v>
      </c>
      <c r="N45" s="64">
        <v>369.9</v>
      </c>
      <c r="O45" s="64">
        <v>0</v>
      </c>
      <c r="P45" s="64">
        <v>0.49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48" t="s">
        <v>762</v>
      </c>
      <c r="B46" s="64">
        <v>8.58</v>
      </c>
      <c r="C46" s="64">
        <v>4.13</v>
      </c>
      <c r="D46" s="64">
        <v>12.81</v>
      </c>
      <c r="E46" s="64">
        <v>4.8499999999999996</v>
      </c>
      <c r="F46" s="64">
        <v>4.45</v>
      </c>
      <c r="G46" s="64">
        <v>43.42</v>
      </c>
      <c r="H46" s="64">
        <v>14.27</v>
      </c>
      <c r="I46" s="64">
        <v>2.63</v>
      </c>
      <c r="J46" s="64">
        <v>0.64</v>
      </c>
      <c r="K46" s="64">
        <v>314.98</v>
      </c>
      <c r="L46" s="64">
        <v>30.95</v>
      </c>
      <c r="M46" s="64">
        <v>86.98</v>
      </c>
      <c r="N46" s="64">
        <v>375.4</v>
      </c>
      <c r="O46" s="64">
        <v>0</v>
      </c>
      <c r="P46" s="64">
        <v>0.52</v>
      </c>
      <c r="Q46" s="64">
        <v>9.44</v>
      </c>
      <c r="R46" s="198"/>
      <c r="S46" s="198"/>
      <c r="T46" s="198"/>
      <c r="U46" s="198"/>
    </row>
    <row r="47" spans="1:21" s="12" customFormat="1" x14ac:dyDescent="0.25">
      <c r="A47" s="248" t="s">
        <v>763</v>
      </c>
      <c r="B47" s="64">
        <v>9.02</v>
      </c>
      <c r="C47" s="64">
        <v>5.04</v>
      </c>
      <c r="D47" s="64">
        <v>13.64</v>
      </c>
      <c r="E47" s="64">
        <v>4.47</v>
      </c>
      <c r="F47" s="64">
        <v>4</v>
      </c>
      <c r="G47" s="64">
        <v>47.75</v>
      </c>
      <c r="H47" s="64">
        <v>22.02</v>
      </c>
      <c r="I47" s="64">
        <v>2.5099999999999998</v>
      </c>
      <c r="J47" s="64">
        <v>0.75</v>
      </c>
      <c r="K47" s="64">
        <v>317.64999999999998</v>
      </c>
      <c r="L47" s="64">
        <v>30.96</v>
      </c>
      <c r="M47" s="64">
        <v>85.42</v>
      </c>
      <c r="N47" s="64">
        <v>355.9</v>
      </c>
      <c r="O47" s="64">
        <v>0</v>
      </c>
      <c r="P47" s="64">
        <v>0.52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48" t="s">
        <v>764</v>
      </c>
      <c r="B48" s="64">
        <v>8.5299999999999994</v>
      </c>
      <c r="C48" s="64">
        <v>4.37</v>
      </c>
      <c r="D48" s="64">
        <v>12.9</v>
      </c>
      <c r="E48" s="64">
        <v>4.93</v>
      </c>
      <c r="F48" s="64">
        <v>5.16</v>
      </c>
      <c r="G48" s="64">
        <v>48.83</v>
      </c>
      <c r="H48" s="64">
        <v>23.96</v>
      </c>
      <c r="I48" s="64">
        <v>2.48</v>
      </c>
      <c r="J48" s="64">
        <v>0.64</v>
      </c>
      <c r="K48" s="64">
        <v>315.52</v>
      </c>
      <c r="L48" s="64">
        <v>31.53</v>
      </c>
      <c r="M48" s="64">
        <v>83.98</v>
      </c>
      <c r="N48" s="64">
        <v>504.1</v>
      </c>
      <c r="O48" s="64">
        <v>0</v>
      </c>
      <c r="P48" s="64">
        <v>0.53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48" t="s">
        <v>765</v>
      </c>
      <c r="B49" s="64">
        <v>8.0500000000000007</v>
      </c>
      <c r="C49" s="64">
        <v>3.33</v>
      </c>
      <c r="D49" s="64">
        <v>11.97</v>
      </c>
      <c r="E49" s="64">
        <v>4.53</v>
      </c>
      <c r="F49" s="64">
        <v>8.49</v>
      </c>
      <c r="G49" s="64">
        <v>48.83</v>
      </c>
      <c r="H49" s="64">
        <v>23.96</v>
      </c>
      <c r="I49" s="64">
        <v>2.38</v>
      </c>
      <c r="J49" s="64">
        <v>0.62</v>
      </c>
      <c r="K49" s="64">
        <v>328.26</v>
      </c>
      <c r="L49" s="64">
        <v>32.61</v>
      </c>
      <c r="M49" s="64">
        <v>79.67</v>
      </c>
      <c r="N49" s="64">
        <v>531.29999999999995</v>
      </c>
      <c r="O49" s="64">
        <v>0</v>
      </c>
      <c r="P49" s="64">
        <v>0.61</v>
      </c>
      <c r="Q49" s="64">
        <v>9.25</v>
      </c>
      <c r="R49" s="198"/>
      <c r="S49" s="198"/>
      <c r="T49" s="198"/>
      <c r="U49" s="198"/>
    </row>
    <row r="50" spans="1:21" s="12" customFormat="1" x14ac:dyDescent="0.25">
      <c r="A50" s="248" t="s">
        <v>766</v>
      </c>
      <c r="B50" s="64">
        <v>7.93</v>
      </c>
      <c r="C50" s="64">
        <v>3.12</v>
      </c>
      <c r="D50" s="64">
        <v>11.76</v>
      </c>
      <c r="E50" s="64">
        <v>4.12</v>
      </c>
      <c r="F50" s="64">
        <v>5.96</v>
      </c>
      <c r="G50" s="64">
        <v>48.83</v>
      </c>
      <c r="H50" s="64">
        <v>23.96</v>
      </c>
      <c r="I50" s="64">
        <v>1.86</v>
      </c>
      <c r="J50" s="64">
        <v>0.33</v>
      </c>
      <c r="K50" s="64">
        <v>317.61</v>
      </c>
      <c r="L50" s="64">
        <v>32.08</v>
      </c>
      <c r="M50" s="64">
        <v>80.400000000000006</v>
      </c>
      <c r="N50" s="64">
        <v>443.8</v>
      </c>
      <c r="O50" s="64">
        <v>0</v>
      </c>
      <c r="P50" s="64">
        <v>0.57999999999999996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48" t="s">
        <v>767</v>
      </c>
      <c r="B51" s="64">
        <v>7.94</v>
      </c>
      <c r="C51" s="64">
        <v>3.07</v>
      </c>
      <c r="D51" s="64">
        <v>11.74</v>
      </c>
      <c r="E51" s="64">
        <v>4.29</v>
      </c>
      <c r="F51" s="64">
        <v>9.7899999999999991</v>
      </c>
      <c r="G51" s="64">
        <v>37.11</v>
      </c>
      <c r="H51" s="64">
        <v>41.01</v>
      </c>
      <c r="I51" s="64">
        <v>1.69</v>
      </c>
      <c r="J51" s="64">
        <v>0.24</v>
      </c>
      <c r="K51" s="64">
        <v>320.79000000000002</v>
      </c>
      <c r="L51" s="64">
        <v>32</v>
      </c>
      <c r="M51" s="64">
        <v>81.05</v>
      </c>
      <c r="N51" s="64">
        <v>546.20000000000005</v>
      </c>
      <c r="O51" s="64">
        <v>0</v>
      </c>
      <c r="P51" s="64">
        <v>0.48</v>
      </c>
      <c r="Q51" s="64">
        <v>9.2899999999999991</v>
      </c>
      <c r="R51" s="198"/>
      <c r="S51" s="198"/>
      <c r="T51" s="198"/>
      <c r="U51" s="198"/>
    </row>
    <row r="52" spans="1:21" s="12" customFormat="1" x14ac:dyDescent="0.25">
      <c r="A52" s="248" t="s">
        <v>768</v>
      </c>
      <c r="B52" s="64">
        <v>7.91</v>
      </c>
      <c r="C52" s="64">
        <v>3.01</v>
      </c>
      <c r="D52" s="64">
        <v>11.69</v>
      </c>
      <c r="E52" s="64">
        <v>3.34</v>
      </c>
      <c r="F52" s="64">
        <v>11.72</v>
      </c>
      <c r="G52" s="64">
        <v>34.18</v>
      </c>
      <c r="H52" s="64">
        <v>45.28</v>
      </c>
      <c r="I52" s="64">
        <v>1.59</v>
      </c>
      <c r="J52" s="64">
        <v>0.39</v>
      </c>
      <c r="K52" s="64">
        <v>313.11</v>
      </c>
      <c r="L52" s="64">
        <v>32.840000000000003</v>
      </c>
      <c r="M52" s="64">
        <v>77.81</v>
      </c>
      <c r="N52" s="64">
        <v>550.29999999999995</v>
      </c>
      <c r="O52" s="64">
        <v>0</v>
      </c>
      <c r="P52" s="64">
        <v>0.45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48" t="s">
        <v>769</v>
      </c>
      <c r="B53" s="64">
        <v>7.9</v>
      </c>
      <c r="C53" s="64">
        <v>2.97</v>
      </c>
      <c r="D53" s="64">
        <v>11.66</v>
      </c>
      <c r="E53" s="64">
        <v>4.84</v>
      </c>
      <c r="F53" s="64">
        <v>14.73</v>
      </c>
      <c r="G53" s="64">
        <v>34.18</v>
      </c>
      <c r="H53" s="64">
        <v>45.28</v>
      </c>
      <c r="I53" s="64">
        <v>1.34</v>
      </c>
      <c r="J53" s="64">
        <v>0.17</v>
      </c>
      <c r="K53" s="64">
        <v>331.65</v>
      </c>
      <c r="L53" s="64">
        <v>32.479999999999997</v>
      </c>
      <c r="M53" s="64">
        <v>79.33</v>
      </c>
      <c r="N53" s="64">
        <v>871.6</v>
      </c>
      <c r="O53" s="64">
        <v>0</v>
      </c>
      <c r="P53" s="64">
        <v>0.4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48" t="s">
        <v>770</v>
      </c>
      <c r="B54" s="64">
        <v>7.9</v>
      </c>
      <c r="C54" s="64">
        <v>2.96</v>
      </c>
      <c r="D54" s="64">
        <v>11.66</v>
      </c>
      <c r="E54" s="64">
        <v>4.6500000000000004</v>
      </c>
      <c r="F54" s="64">
        <v>13.61</v>
      </c>
      <c r="G54" s="64">
        <v>34.18</v>
      </c>
      <c r="H54" s="64">
        <v>45.28</v>
      </c>
      <c r="I54" s="64">
        <v>1.18</v>
      </c>
      <c r="J54" s="64">
        <v>0.5</v>
      </c>
      <c r="K54" s="64">
        <v>324.19</v>
      </c>
      <c r="L54" s="64">
        <v>32.94</v>
      </c>
      <c r="M54" s="64">
        <v>78.459999999999994</v>
      </c>
      <c r="N54" s="64">
        <v>833</v>
      </c>
      <c r="O54" s="64">
        <v>0</v>
      </c>
      <c r="P54" s="64">
        <v>0.38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48" t="s">
        <v>771</v>
      </c>
      <c r="B55" s="64">
        <v>7.89</v>
      </c>
      <c r="C55" s="64">
        <v>3</v>
      </c>
      <c r="D55" s="64">
        <v>11.67</v>
      </c>
      <c r="E55" s="64">
        <v>4.96</v>
      </c>
      <c r="F55" s="64">
        <v>21.59</v>
      </c>
      <c r="G55" s="64">
        <v>38.630000000000003</v>
      </c>
      <c r="H55" s="64">
        <v>41.42</v>
      </c>
      <c r="I55" s="64">
        <v>1.1299999999999999</v>
      </c>
      <c r="J55" s="64">
        <v>0.27</v>
      </c>
      <c r="K55" s="64">
        <v>341.85</v>
      </c>
      <c r="L55" s="64">
        <v>32.1</v>
      </c>
      <c r="M55" s="64">
        <v>82.62</v>
      </c>
      <c r="N55" s="64">
        <v>629.70000000000005</v>
      </c>
      <c r="O55" s="64">
        <v>0</v>
      </c>
      <c r="P55" s="64">
        <v>0.42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48" t="s">
        <v>772</v>
      </c>
      <c r="B56" s="64">
        <v>7.88</v>
      </c>
      <c r="C56" s="64">
        <v>2.96</v>
      </c>
      <c r="D56" s="64">
        <v>11.64</v>
      </c>
      <c r="E56" s="64">
        <v>4.91</v>
      </c>
      <c r="F56" s="64">
        <v>17.23</v>
      </c>
      <c r="G56" s="64">
        <v>39.74</v>
      </c>
      <c r="H56" s="64">
        <v>40.46</v>
      </c>
      <c r="I56" s="64">
        <v>1.19</v>
      </c>
      <c r="J56" s="64">
        <v>0.28999999999999998</v>
      </c>
      <c r="K56" s="64">
        <v>334</v>
      </c>
      <c r="L56" s="64">
        <v>32.130000000000003</v>
      </c>
      <c r="M56" s="64">
        <v>84.18</v>
      </c>
      <c r="N56" s="64">
        <v>581.9</v>
      </c>
      <c r="O56" s="64">
        <v>0</v>
      </c>
      <c r="P56" s="64">
        <v>0.36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48" t="s">
        <v>773</v>
      </c>
      <c r="B57" s="64">
        <v>7.89</v>
      </c>
      <c r="C57" s="64">
        <v>2.94</v>
      </c>
      <c r="D57" s="64">
        <v>11.64</v>
      </c>
      <c r="E57" s="64">
        <v>4.5599999999999996</v>
      </c>
      <c r="F57" s="64">
        <v>8.2899999999999991</v>
      </c>
      <c r="G57" s="64">
        <v>39.74</v>
      </c>
      <c r="H57" s="64">
        <v>40.46</v>
      </c>
      <c r="I57" s="64">
        <v>1.27</v>
      </c>
      <c r="J57" s="64">
        <v>0.22</v>
      </c>
      <c r="K57" s="64">
        <v>340.06</v>
      </c>
      <c r="L57" s="64">
        <v>31.93</v>
      </c>
      <c r="M57" s="64">
        <v>83.14</v>
      </c>
      <c r="N57" s="64">
        <v>418.5</v>
      </c>
      <c r="O57" s="64">
        <v>0</v>
      </c>
      <c r="P57" s="64">
        <v>0.34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48" t="s">
        <v>774</v>
      </c>
      <c r="B58" s="64">
        <v>7.9</v>
      </c>
      <c r="C58" s="64">
        <v>2.95</v>
      </c>
      <c r="D58" s="64">
        <v>11.65</v>
      </c>
      <c r="E58" s="64">
        <v>4.8099999999999996</v>
      </c>
      <c r="F58" s="64">
        <v>9.2100000000000009</v>
      </c>
      <c r="G58" s="64">
        <v>39.74</v>
      </c>
      <c r="H58" s="64">
        <v>40.46</v>
      </c>
      <c r="I58" s="64">
        <v>1.08</v>
      </c>
      <c r="J58" s="64">
        <v>0.24</v>
      </c>
      <c r="K58" s="64">
        <v>326.48</v>
      </c>
      <c r="L58" s="64">
        <v>32.35</v>
      </c>
      <c r="M58" s="64">
        <v>82.66</v>
      </c>
      <c r="N58" s="64">
        <v>335.2</v>
      </c>
      <c r="O58" s="64">
        <v>0</v>
      </c>
      <c r="P58" s="64">
        <v>0.41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48" t="s">
        <v>775</v>
      </c>
      <c r="B59" s="64">
        <v>7.92</v>
      </c>
      <c r="C59" s="64">
        <v>3</v>
      </c>
      <c r="D59" s="64">
        <v>11.69</v>
      </c>
      <c r="E59" s="64">
        <v>4.83</v>
      </c>
      <c r="F59" s="64">
        <v>16.8</v>
      </c>
      <c r="G59" s="64">
        <v>47.61</v>
      </c>
      <c r="H59" s="64">
        <v>35.14</v>
      </c>
      <c r="I59" s="64">
        <v>1.19</v>
      </c>
      <c r="J59" s="64">
        <v>0.17</v>
      </c>
      <c r="K59" s="64">
        <v>260.31</v>
      </c>
      <c r="L59" s="64">
        <v>31.29</v>
      </c>
      <c r="M59" s="64">
        <v>86.33</v>
      </c>
      <c r="N59" s="64">
        <v>380.4</v>
      </c>
      <c r="O59" s="64">
        <v>0</v>
      </c>
      <c r="P59" s="64">
        <v>0.47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48" t="s">
        <v>776</v>
      </c>
      <c r="B60" s="64">
        <v>7.91</v>
      </c>
      <c r="C60" s="64">
        <v>2.97</v>
      </c>
      <c r="D60" s="64">
        <v>11.67</v>
      </c>
      <c r="E60" s="64">
        <v>5.27</v>
      </c>
      <c r="F60" s="64">
        <v>14.17</v>
      </c>
      <c r="G60" s="64">
        <v>49.58</v>
      </c>
      <c r="H60" s="64">
        <v>33.81</v>
      </c>
      <c r="I60" s="64">
        <v>1.46</v>
      </c>
      <c r="J60" s="64">
        <v>0.04</v>
      </c>
      <c r="K60" s="64">
        <v>175.58</v>
      </c>
      <c r="L60" s="64">
        <v>31.47</v>
      </c>
      <c r="M60" s="64">
        <v>84.22</v>
      </c>
      <c r="N60" s="64">
        <v>357.1</v>
      </c>
      <c r="O60" s="64">
        <v>0</v>
      </c>
      <c r="P60" s="64">
        <v>0.49</v>
      </c>
      <c r="Q60" s="64">
        <v>9.15</v>
      </c>
      <c r="R60" s="198"/>
      <c r="S60" s="198"/>
      <c r="T60" s="198"/>
      <c r="U60" s="198"/>
    </row>
    <row r="61" spans="1:21" s="12" customFormat="1" x14ac:dyDescent="0.25">
      <c r="A61" s="248" t="s">
        <v>777</v>
      </c>
      <c r="B61" s="64">
        <v>7.92</v>
      </c>
      <c r="C61" s="64">
        <v>3.01</v>
      </c>
      <c r="D61" s="64">
        <v>11.69</v>
      </c>
      <c r="E61" s="64">
        <v>4.57</v>
      </c>
      <c r="F61" s="64">
        <v>6.06</v>
      </c>
      <c r="G61" s="64">
        <v>49.58</v>
      </c>
      <c r="H61" s="64">
        <v>33.81</v>
      </c>
      <c r="I61" s="64">
        <v>1.97</v>
      </c>
      <c r="J61" s="64">
        <v>0.2</v>
      </c>
      <c r="K61" s="64">
        <v>282.10000000000002</v>
      </c>
      <c r="L61" s="64">
        <v>31.83</v>
      </c>
      <c r="M61" s="64">
        <v>80.680000000000007</v>
      </c>
      <c r="N61" s="64">
        <v>382</v>
      </c>
      <c r="O61" s="64">
        <v>0</v>
      </c>
      <c r="P61" s="64">
        <v>0.48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48" t="s">
        <v>778</v>
      </c>
      <c r="B62" s="64">
        <v>7.92</v>
      </c>
      <c r="C62" s="64">
        <v>2.97</v>
      </c>
      <c r="D62" s="64">
        <v>11.68</v>
      </c>
      <c r="E62" s="64">
        <v>4.87</v>
      </c>
      <c r="F62" s="64">
        <v>12.27</v>
      </c>
      <c r="G62" s="64">
        <v>49.58</v>
      </c>
      <c r="H62" s="64">
        <v>33.81</v>
      </c>
      <c r="I62" s="64">
        <v>2.77</v>
      </c>
      <c r="J62" s="64">
        <v>0.11</v>
      </c>
      <c r="K62" s="64">
        <v>295.58999999999997</v>
      </c>
      <c r="L62" s="64">
        <v>31.12</v>
      </c>
      <c r="M62" s="64">
        <v>87.87</v>
      </c>
      <c r="N62" s="64">
        <v>352.3</v>
      </c>
      <c r="O62" s="64">
        <v>0</v>
      </c>
      <c r="P62" s="64">
        <v>0.43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48" t="s">
        <v>779</v>
      </c>
      <c r="B63" s="64">
        <v>7.91</v>
      </c>
      <c r="C63" s="64">
        <v>2.96</v>
      </c>
      <c r="D63" s="64">
        <v>11.66</v>
      </c>
      <c r="E63" s="64">
        <v>5.12</v>
      </c>
      <c r="F63" s="64">
        <v>8.1199999999999992</v>
      </c>
      <c r="G63" s="64">
        <v>73.09</v>
      </c>
      <c r="H63" s="64">
        <v>38.69</v>
      </c>
      <c r="I63" s="64">
        <v>2.67</v>
      </c>
      <c r="J63" s="64">
        <v>0.24</v>
      </c>
      <c r="K63" s="64">
        <v>339.08</v>
      </c>
      <c r="L63" s="64">
        <v>30.52</v>
      </c>
      <c r="M63" s="64">
        <v>89.68</v>
      </c>
      <c r="N63" s="64">
        <v>240.5</v>
      </c>
      <c r="O63" s="64">
        <v>0</v>
      </c>
      <c r="P63" s="64">
        <v>0.37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48" t="s">
        <v>780</v>
      </c>
      <c r="B64" s="64">
        <v>7.91</v>
      </c>
      <c r="C64" s="64">
        <v>2.99</v>
      </c>
      <c r="D64" s="64">
        <v>11.68</v>
      </c>
      <c r="E64" s="64">
        <v>4.55</v>
      </c>
      <c r="F64" s="64">
        <v>11.71</v>
      </c>
      <c r="G64" s="64">
        <v>78.97</v>
      </c>
      <c r="H64" s="64">
        <v>39.909999999999997</v>
      </c>
      <c r="I64" s="64">
        <v>2.2999999999999998</v>
      </c>
      <c r="J64" s="64">
        <v>0.28000000000000003</v>
      </c>
      <c r="K64" s="64">
        <v>339.5</v>
      </c>
      <c r="L64" s="64">
        <v>30.35</v>
      </c>
      <c r="M64" s="64">
        <v>88.86</v>
      </c>
      <c r="N64" s="64">
        <v>207.1</v>
      </c>
      <c r="O64" s="64">
        <v>0</v>
      </c>
      <c r="P64" s="64">
        <v>0.38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48" t="s">
        <v>781</v>
      </c>
      <c r="B65" s="64">
        <v>7.93</v>
      </c>
      <c r="C65" s="64">
        <v>2.98</v>
      </c>
      <c r="D65" s="64">
        <v>11.69</v>
      </c>
      <c r="E65" s="64">
        <v>4.8899999999999997</v>
      </c>
      <c r="F65" s="64">
        <v>9.9700000000000006</v>
      </c>
      <c r="G65" s="64">
        <v>78.97</v>
      </c>
      <c r="H65" s="64">
        <v>39.909999999999997</v>
      </c>
      <c r="I65" s="64">
        <v>2</v>
      </c>
      <c r="J65" s="64">
        <v>0.2</v>
      </c>
      <c r="K65" s="64">
        <v>349.75</v>
      </c>
      <c r="L65" s="64">
        <v>30.06</v>
      </c>
      <c r="M65" s="64">
        <v>90.81</v>
      </c>
      <c r="N65" s="64">
        <v>184.5</v>
      </c>
      <c r="O65" s="64">
        <v>0</v>
      </c>
      <c r="P65" s="64">
        <v>0.37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48" t="s">
        <v>782</v>
      </c>
      <c r="B66" s="64">
        <v>7.93</v>
      </c>
      <c r="C66" s="64">
        <v>3.04</v>
      </c>
      <c r="D66" s="64">
        <v>11.72</v>
      </c>
      <c r="E66" s="64">
        <v>4.93</v>
      </c>
      <c r="F66" s="64">
        <v>10.63</v>
      </c>
      <c r="G66" s="64">
        <v>78.97</v>
      </c>
      <c r="H66" s="64">
        <v>39.909999999999997</v>
      </c>
      <c r="I66" s="64">
        <v>1.75</v>
      </c>
      <c r="J66" s="64">
        <v>1.04</v>
      </c>
      <c r="K66" s="64">
        <v>324.45999999999998</v>
      </c>
      <c r="L66" s="64">
        <v>28.19</v>
      </c>
      <c r="M66" s="64">
        <v>98.14</v>
      </c>
      <c r="N66" s="64">
        <v>92.8</v>
      </c>
      <c r="O66" s="64">
        <v>10.199999999999999</v>
      </c>
      <c r="P66" s="64">
        <v>0.44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48" t="s">
        <v>783</v>
      </c>
      <c r="B67" s="64">
        <v>7.94</v>
      </c>
      <c r="C67" s="64">
        <v>3.03</v>
      </c>
      <c r="D67" s="64">
        <v>11.73</v>
      </c>
      <c r="E67" s="64">
        <v>4.51</v>
      </c>
      <c r="F67" s="64">
        <v>15.55</v>
      </c>
      <c r="G67" s="64">
        <v>54.25</v>
      </c>
      <c r="H67" s="64">
        <v>30.76</v>
      </c>
      <c r="I67" s="64">
        <v>1.69</v>
      </c>
      <c r="J67" s="64">
        <v>0.37</v>
      </c>
      <c r="K67" s="64">
        <v>121.59</v>
      </c>
      <c r="L67" s="64">
        <v>24.09</v>
      </c>
      <c r="M67" s="64">
        <v>101.49</v>
      </c>
      <c r="N67" s="64">
        <v>65.900000000000006</v>
      </c>
      <c r="O67" s="64">
        <v>5.4</v>
      </c>
      <c r="P67" s="64">
        <v>0.42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48" t="s">
        <v>784</v>
      </c>
      <c r="B68" s="64">
        <v>7.93</v>
      </c>
      <c r="C68" s="64">
        <v>3</v>
      </c>
      <c r="D68" s="64">
        <v>11.69</v>
      </c>
      <c r="E68" s="64">
        <v>4.3099999999999996</v>
      </c>
      <c r="F68" s="64">
        <v>10.050000000000001</v>
      </c>
      <c r="G68" s="64">
        <v>48.07</v>
      </c>
      <c r="H68" s="64">
        <v>28.48</v>
      </c>
      <c r="I68" s="64">
        <v>1.55</v>
      </c>
      <c r="J68" s="64">
        <v>0.25</v>
      </c>
      <c r="K68" s="64">
        <v>184.9</v>
      </c>
      <c r="L68" s="64">
        <v>25.14</v>
      </c>
      <c r="M68" s="64">
        <v>101.51</v>
      </c>
      <c r="N68" s="64">
        <v>62.6</v>
      </c>
      <c r="O68" s="64">
        <v>4.8</v>
      </c>
      <c r="P68" s="64">
        <v>0.4</v>
      </c>
      <c r="Q68" s="64">
        <v>9.1999999999999993</v>
      </c>
      <c r="R68" s="198"/>
      <c r="S68" s="198"/>
      <c r="T68" s="198"/>
      <c r="U68" s="198"/>
    </row>
    <row r="69" spans="1:21" s="12" customFormat="1" x14ac:dyDescent="0.25">
      <c r="A69" s="248" t="s">
        <v>785</v>
      </c>
      <c r="B69" s="64">
        <v>7.95</v>
      </c>
      <c r="C69" s="64">
        <v>3.07</v>
      </c>
      <c r="D69" s="64">
        <v>11.75</v>
      </c>
      <c r="E69" s="64">
        <v>4.54</v>
      </c>
      <c r="F69" s="64">
        <v>7.75</v>
      </c>
      <c r="G69" s="64">
        <v>48.07</v>
      </c>
      <c r="H69" s="64">
        <v>28.48</v>
      </c>
      <c r="I69" s="64">
        <v>1.52</v>
      </c>
      <c r="J69" s="64">
        <v>0.56000000000000005</v>
      </c>
      <c r="K69" s="64">
        <v>151.09</v>
      </c>
      <c r="L69" s="64">
        <v>25.48</v>
      </c>
      <c r="M69" s="64">
        <v>101.53</v>
      </c>
      <c r="N69" s="64">
        <v>65.599999999999994</v>
      </c>
      <c r="O69" s="64">
        <v>2</v>
      </c>
      <c r="P69" s="64">
        <v>0.37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48" t="s">
        <v>786</v>
      </c>
      <c r="B70" s="64">
        <v>7.96</v>
      </c>
      <c r="C70" s="64">
        <v>3.1</v>
      </c>
      <c r="D70" s="64">
        <v>11.78</v>
      </c>
      <c r="E70" s="64">
        <v>4.07</v>
      </c>
      <c r="F70" s="64">
        <v>6.72</v>
      </c>
      <c r="G70" s="64">
        <v>48.07</v>
      </c>
      <c r="H70" s="64">
        <v>28.48</v>
      </c>
      <c r="I70" s="64">
        <v>1.62</v>
      </c>
      <c r="J70" s="64">
        <v>0.33</v>
      </c>
      <c r="K70" s="64">
        <v>10.48</v>
      </c>
      <c r="L70" s="64">
        <v>25.19</v>
      </c>
      <c r="M70" s="64">
        <v>101.58</v>
      </c>
      <c r="N70" s="64">
        <v>67.8</v>
      </c>
      <c r="O70" s="64">
        <v>1.4</v>
      </c>
      <c r="P70" s="64">
        <v>0.37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48" t="s">
        <v>787</v>
      </c>
      <c r="B71" s="64">
        <v>7.98</v>
      </c>
      <c r="C71" s="64">
        <v>3.12</v>
      </c>
      <c r="D71" s="64">
        <v>11.81</v>
      </c>
      <c r="E71" s="64">
        <v>4.1399999999999997</v>
      </c>
      <c r="F71" s="64">
        <v>4.97</v>
      </c>
      <c r="G71" s="64">
        <v>33.96</v>
      </c>
      <c r="H71" s="64">
        <v>30.42</v>
      </c>
      <c r="I71" s="64">
        <v>1.77</v>
      </c>
      <c r="J71" s="64">
        <v>0.21</v>
      </c>
      <c r="K71" s="64">
        <v>61.57</v>
      </c>
      <c r="L71" s="64">
        <v>24.48</v>
      </c>
      <c r="M71" s="64">
        <v>101.58</v>
      </c>
      <c r="N71" s="64">
        <v>64.8</v>
      </c>
      <c r="O71" s="64">
        <v>0.2</v>
      </c>
      <c r="P71" s="64">
        <v>0.35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48" t="s">
        <v>788</v>
      </c>
      <c r="B72" s="64">
        <v>8.0399999999999991</v>
      </c>
      <c r="C72" s="64">
        <v>3.42</v>
      </c>
      <c r="D72" s="64">
        <v>12.01</v>
      </c>
      <c r="E72" s="64">
        <v>4.26</v>
      </c>
      <c r="F72" s="64">
        <v>4.41</v>
      </c>
      <c r="G72" s="64">
        <v>30.43</v>
      </c>
      <c r="H72" s="64">
        <v>30.9</v>
      </c>
      <c r="I72" s="64">
        <v>1.66</v>
      </c>
      <c r="J72" s="64">
        <v>0.25</v>
      </c>
      <c r="K72" s="64">
        <v>331.75</v>
      </c>
      <c r="L72" s="64">
        <v>24.53</v>
      </c>
      <c r="M72" s="64">
        <v>101.55</v>
      </c>
      <c r="N72" s="64">
        <v>61.2</v>
      </c>
      <c r="O72" s="64">
        <v>0.2</v>
      </c>
      <c r="P72" s="64">
        <v>0.59</v>
      </c>
      <c r="Q72" s="64">
        <v>9.5</v>
      </c>
      <c r="R72" s="198"/>
      <c r="S72" s="198"/>
      <c r="T72" s="198"/>
      <c r="U72" s="198"/>
    </row>
    <row r="73" spans="1:21" s="12" customFormat="1" x14ac:dyDescent="0.25">
      <c r="A73" s="248" t="s">
        <v>789</v>
      </c>
      <c r="B73" s="64">
        <v>8.01</v>
      </c>
      <c r="C73" s="64">
        <v>3.3</v>
      </c>
      <c r="D73" s="64">
        <v>11.92</v>
      </c>
      <c r="E73" s="64">
        <v>4.28</v>
      </c>
      <c r="F73" s="64">
        <v>7.35</v>
      </c>
      <c r="G73" s="64">
        <v>30.43</v>
      </c>
      <c r="H73" s="64">
        <v>30.9</v>
      </c>
      <c r="I73" s="64">
        <v>1.66</v>
      </c>
      <c r="J73" s="64">
        <v>0.64</v>
      </c>
      <c r="K73" s="64">
        <v>338.98</v>
      </c>
      <c r="L73" s="64">
        <v>24.5</v>
      </c>
      <c r="M73" s="64">
        <v>101.55</v>
      </c>
      <c r="N73" s="64">
        <v>66</v>
      </c>
      <c r="O73" s="64">
        <v>0.2</v>
      </c>
      <c r="P73" s="64">
        <v>0.62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48" t="s">
        <v>790</v>
      </c>
      <c r="B74" s="64">
        <v>8.06</v>
      </c>
      <c r="C74" s="64">
        <v>3.26</v>
      </c>
      <c r="D74" s="64">
        <v>11.94</v>
      </c>
      <c r="E74" s="64">
        <v>4.18</v>
      </c>
      <c r="F74" s="64">
        <v>3.12</v>
      </c>
      <c r="G74" s="64">
        <v>30.43</v>
      </c>
      <c r="H74" s="64">
        <v>30.9</v>
      </c>
      <c r="I74" s="64">
        <v>1.75</v>
      </c>
      <c r="J74" s="64">
        <v>0.08</v>
      </c>
      <c r="K74" s="64">
        <v>277</v>
      </c>
      <c r="L74" s="64">
        <v>24.36</v>
      </c>
      <c r="M74" s="64">
        <v>101.59</v>
      </c>
      <c r="N74" s="64">
        <v>62.1</v>
      </c>
      <c r="O74" s="64">
        <v>0.6</v>
      </c>
      <c r="P74" s="64">
        <v>0.62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48" t="s">
        <v>791</v>
      </c>
      <c r="B75" s="64">
        <v>8.7100000000000009</v>
      </c>
      <c r="C75" s="64">
        <v>4.55</v>
      </c>
      <c r="D75" s="64">
        <v>13.13</v>
      </c>
      <c r="E75" s="64">
        <v>3.88</v>
      </c>
      <c r="F75" s="64">
        <v>5.45</v>
      </c>
      <c r="G75" s="64">
        <v>48.51</v>
      </c>
      <c r="H75" s="64">
        <v>27.21</v>
      </c>
      <c r="I75" s="64">
        <v>1.91</v>
      </c>
      <c r="J75" s="64">
        <v>0.54</v>
      </c>
      <c r="K75" s="64">
        <v>327.84</v>
      </c>
      <c r="L75" s="64">
        <v>24.63</v>
      </c>
      <c r="M75" s="64">
        <v>101.64</v>
      </c>
      <c r="N75" s="64">
        <v>60.1</v>
      </c>
      <c r="O75" s="64">
        <v>2.6</v>
      </c>
      <c r="P75" s="64">
        <v>0.63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48" t="s">
        <v>792</v>
      </c>
      <c r="B76" s="64">
        <v>8.4499999999999993</v>
      </c>
      <c r="C76" s="64">
        <v>3.91</v>
      </c>
      <c r="D76" s="64">
        <v>12.59</v>
      </c>
      <c r="E76" s="64">
        <v>3.88</v>
      </c>
      <c r="F76" s="64">
        <v>9</v>
      </c>
      <c r="G76" s="64">
        <v>53.03</v>
      </c>
      <c r="H76" s="64">
        <v>26.29</v>
      </c>
      <c r="I76" s="64">
        <v>2.11</v>
      </c>
      <c r="J76" s="64">
        <v>0.16</v>
      </c>
      <c r="K76" s="64">
        <v>185.02</v>
      </c>
      <c r="L76" s="64">
        <v>24.33</v>
      </c>
      <c r="M76" s="64">
        <v>101.6</v>
      </c>
      <c r="N76" s="64">
        <v>60.5</v>
      </c>
      <c r="O76" s="64">
        <v>6.2</v>
      </c>
      <c r="P76" s="64">
        <v>0.65</v>
      </c>
      <c r="Q76" s="64">
        <v>9.68</v>
      </c>
      <c r="R76" s="198"/>
      <c r="S76" s="198"/>
      <c r="T76" s="198"/>
      <c r="U76" s="198"/>
    </row>
    <row r="77" spans="1:21" s="12" customFormat="1" x14ac:dyDescent="0.25">
      <c r="A77" s="248" t="s">
        <v>793</v>
      </c>
      <c r="B77" s="64">
        <v>8.18</v>
      </c>
      <c r="C77" s="64">
        <v>3.33</v>
      </c>
      <c r="D77" s="64">
        <v>12.07</v>
      </c>
      <c r="E77" s="64">
        <v>4.5</v>
      </c>
      <c r="F77" s="64">
        <v>7.47</v>
      </c>
      <c r="G77" s="64">
        <v>53.03</v>
      </c>
      <c r="H77" s="64">
        <v>26.29</v>
      </c>
      <c r="I77" s="64">
        <v>2.3199999999999998</v>
      </c>
      <c r="J77" s="64">
        <v>0.06</v>
      </c>
      <c r="K77" s="64">
        <v>129.54</v>
      </c>
      <c r="L77" s="64">
        <v>24.37</v>
      </c>
      <c r="M77" s="64">
        <v>101.61</v>
      </c>
      <c r="N77" s="64">
        <v>60</v>
      </c>
      <c r="O77" s="64">
        <v>0.8</v>
      </c>
      <c r="P77" s="64">
        <v>0.64</v>
      </c>
      <c r="Q77" s="64">
        <v>9.7799999999999994</v>
      </c>
      <c r="R77" s="198"/>
      <c r="S77" s="198"/>
      <c r="T77" s="198"/>
      <c r="U77" s="198"/>
    </row>
    <row r="78" spans="1:21" s="12" customFormat="1" x14ac:dyDescent="0.25">
      <c r="A78" s="248" t="s">
        <v>794</v>
      </c>
      <c r="B78" s="64">
        <v>8.19</v>
      </c>
      <c r="C78" s="64">
        <v>3.33</v>
      </c>
      <c r="D78" s="64">
        <v>12.08</v>
      </c>
      <c r="E78" s="64">
        <v>4.2</v>
      </c>
      <c r="F78" s="64">
        <v>5.59</v>
      </c>
      <c r="G78" s="64">
        <v>53.03</v>
      </c>
      <c r="H78" s="64">
        <v>26.29</v>
      </c>
      <c r="I78" s="64">
        <v>2.48</v>
      </c>
      <c r="J78" s="64">
        <v>0.25</v>
      </c>
      <c r="K78" s="64">
        <v>351.06</v>
      </c>
      <c r="L78" s="64">
        <v>24.48</v>
      </c>
      <c r="M78" s="64">
        <v>101.61</v>
      </c>
      <c r="N78" s="64">
        <v>59.8</v>
      </c>
      <c r="O78" s="64">
        <v>0.8</v>
      </c>
      <c r="P78" s="64">
        <v>0.61</v>
      </c>
      <c r="Q78" s="64">
        <v>9.81</v>
      </c>
      <c r="R78" s="198"/>
      <c r="S78" s="198"/>
      <c r="T78" s="198"/>
      <c r="U78" s="198"/>
    </row>
    <row r="79" spans="1:21" s="12" customFormat="1" x14ac:dyDescent="0.25">
      <c r="A79" s="248" t="s">
        <v>795</v>
      </c>
      <c r="B79" s="64">
        <v>8.15</v>
      </c>
      <c r="C79" s="64">
        <v>3.24</v>
      </c>
      <c r="D79" s="64">
        <v>12</v>
      </c>
      <c r="E79" s="64">
        <v>4.04</v>
      </c>
      <c r="F79" s="64">
        <v>5.45</v>
      </c>
      <c r="G79" s="64">
        <v>52.7</v>
      </c>
      <c r="H79" s="64">
        <v>25.34</v>
      </c>
      <c r="I79" s="64">
        <v>2.71</v>
      </c>
      <c r="J79" s="64">
        <v>0.31</v>
      </c>
      <c r="K79" s="64">
        <v>13.43</v>
      </c>
      <c r="L79" s="64">
        <v>24.09</v>
      </c>
      <c r="M79" s="64">
        <v>101.62</v>
      </c>
      <c r="N79" s="64">
        <v>60.5</v>
      </c>
      <c r="O79" s="64">
        <v>1.2</v>
      </c>
      <c r="P79" s="64">
        <v>0.6</v>
      </c>
      <c r="Q79" s="64">
        <v>9.82</v>
      </c>
      <c r="R79" s="198"/>
      <c r="S79" s="198"/>
      <c r="T79" s="198"/>
      <c r="U79" s="198"/>
    </row>
    <row r="80" spans="1:21" s="12" customFormat="1" x14ac:dyDescent="0.25">
      <c r="A80" s="248" t="s">
        <v>796</v>
      </c>
      <c r="B80" s="64">
        <v>8.09</v>
      </c>
      <c r="C80" s="64">
        <v>3.12</v>
      </c>
      <c r="D80" s="64">
        <v>11.89</v>
      </c>
      <c r="E80" s="64">
        <v>4.13</v>
      </c>
      <c r="F80" s="64">
        <v>3.35</v>
      </c>
      <c r="G80" s="64">
        <v>52.61</v>
      </c>
      <c r="H80" s="64">
        <v>25.11</v>
      </c>
      <c r="I80" s="64">
        <v>2.4900000000000002</v>
      </c>
      <c r="J80" s="64">
        <v>0.22</v>
      </c>
      <c r="K80" s="64">
        <v>358.94</v>
      </c>
      <c r="L80" s="64">
        <v>24.17</v>
      </c>
      <c r="M80" s="64">
        <v>101.61</v>
      </c>
      <c r="N80" s="64">
        <v>59.5</v>
      </c>
      <c r="O80" s="64">
        <v>0.8</v>
      </c>
      <c r="P80" s="64">
        <v>0.57999999999999996</v>
      </c>
      <c r="Q80" s="64">
        <v>9.83</v>
      </c>
      <c r="R80" s="198"/>
      <c r="S80" s="198"/>
      <c r="T80" s="198"/>
      <c r="U80" s="198"/>
    </row>
    <row r="81" spans="1:26" s="12" customFormat="1" x14ac:dyDescent="0.25">
      <c r="A81" s="248" t="s">
        <v>797</v>
      </c>
      <c r="B81" s="64">
        <v>8.07</v>
      </c>
      <c r="C81" s="64">
        <v>3.06</v>
      </c>
      <c r="D81" s="64">
        <v>11.84</v>
      </c>
      <c r="E81" s="64">
        <v>3.86</v>
      </c>
      <c r="F81" s="64">
        <v>3.38</v>
      </c>
      <c r="G81" s="64">
        <v>52.61</v>
      </c>
      <c r="H81" s="64">
        <v>25.11</v>
      </c>
      <c r="I81" s="64">
        <v>2.42</v>
      </c>
      <c r="J81" s="64">
        <v>0.24</v>
      </c>
      <c r="K81" s="64">
        <v>350.31</v>
      </c>
      <c r="L81" s="64">
        <v>24.19</v>
      </c>
      <c r="M81" s="64">
        <v>101.6</v>
      </c>
      <c r="N81" s="64">
        <v>59.8</v>
      </c>
      <c r="O81" s="64">
        <v>0.6</v>
      </c>
      <c r="P81" s="64">
        <v>0.55000000000000004</v>
      </c>
      <c r="Q81" s="64">
        <v>9.7799999999999994</v>
      </c>
      <c r="R81" s="198"/>
      <c r="S81" s="198"/>
      <c r="T81" s="198"/>
      <c r="U81" s="198"/>
    </row>
    <row r="82" spans="1:26" s="12" customFormat="1" x14ac:dyDescent="0.25">
      <c r="A82" s="248" t="s">
        <v>798</v>
      </c>
      <c r="B82" s="64">
        <v>8.02</v>
      </c>
      <c r="C82" s="64">
        <v>3.04</v>
      </c>
      <c r="D82" s="64">
        <v>11.79</v>
      </c>
      <c r="E82" s="64">
        <v>4.12</v>
      </c>
      <c r="F82" s="64">
        <v>4.16</v>
      </c>
      <c r="G82" s="64">
        <v>52.61</v>
      </c>
      <c r="H82" s="64">
        <v>25.11</v>
      </c>
      <c r="I82" s="64">
        <v>2.3199999999999998</v>
      </c>
      <c r="J82" s="64">
        <v>0.27</v>
      </c>
      <c r="K82" s="64">
        <v>3.07</v>
      </c>
      <c r="L82" s="64">
        <v>23.83</v>
      </c>
      <c r="M82" s="64">
        <v>101.59</v>
      </c>
      <c r="N82" s="64">
        <v>60.5</v>
      </c>
      <c r="O82" s="64">
        <v>0.6</v>
      </c>
      <c r="P82" s="64">
        <v>0.56999999999999995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48" t="s">
        <v>799</v>
      </c>
      <c r="B83" s="64">
        <v>8.11</v>
      </c>
      <c r="C83" s="64">
        <v>3.25</v>
      </c>
      <c r="D83" s="64">
        <v>11.98</v>
      </c>
      <c r="E83" s="64">
        <v>4.04</v>
      </c>
      <c r="F83" s="64">
        <v>3.01</v>
      </c>
      <c r="G83" s="64">
        <v>43.25</v>
      </c>
      <c r="H83" s="64">
        <v>27.77</v>
      </c>
      <c r="I83" s="64">
        <v>2.29</v>
      </c>
      <c r="J83" s="64">
        <v>0.14000000000000001</v>
      </c>
      <c r="K83" s="64">
        <v>349.45</v>
      </c>
      <c r="L83" s="64">
        <v>23.42</v>
      </c>
      <c r="M83" s="64">
        <v>101.59</v>
      </c>
      <c r="N83" s="64">
        <v>60.4</v>
      </c>
      <c r="O83" s="64">
        <v>0.4</v>
      </c>
      <c r="P83" s="64">
        <v>0.56000000000000005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48" t="s">
        <v>800</v>
      </c>
      <c r="B84" s="64">
        <v>8.0500000000000007</v>
      </c>
      <c r="C84" s="64">
        <v>3.13</v>
      </c>
      <c r="D84" s="64">
        <v>11.87</v>
      </c>
      <c r="E84" s="64">
        <v>3.3</v>
      </c>
      <c r="F84" s="64">
        <v>3.4</v>
      </c>
      <c r="G84" s="64">
        <v>40.909999999999997</v>
      </c>
      <c r="H84" s="64">
        <v>28.44</v>
      </c>
      <c r="I84" s="64">
        <v>2.31</v>
      </c>
      <c r="J84" s="64">
        <v>0.06</v>
      </c>
      <c r="K84" s="64">
        <v>315.70999999999998</v>
      </c>
      <c r="L84" s="64">
        <v>23.54</v>
      </c>
      <c r="M84" s="64">
        <v>101.58</v>
      </c>
      <c r="N84" s="64">
        <v>59.8</v>
      </c>
      <c r="O84" s="64">
        <v>0.4</v>
      </c>
      <c r="P84" s="64">
        <v>0.56000000000000005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48" t="s">
        <v>801</v>
      </c>
      <c r="B85" s="64">
        <v>8.0299999999999994</v>
      </c>
      <c r="C85" s="64">
        <v>3.06</v>
      </c>
      <c r="D85" s="64">
        <v>11.81</v>
      </c>
      <c r="E85" s="64">
        <v>3.41</v>
      </c>
      <c r="F85" s="64">
        <v>2.67</v>
      </c>
      <c r="G85" s="64">
        <v>40.909999999999997</v>
      </c>
      <c r="H85" s="64">
        <v>28.44</v>
      </c>
      <c r="I85" s="64">
        <v>2.33</v>
      </c>
      <c r="J85" s="64">
        <v>0.14000000000000001</v>
      </c>
      <c r="K85" s="64">
        <v>359.12</v>
      </c>
      <c r="L85" s="64">
        <v>23.7</v>
      </c>
      <c r="M85" s="64">
        <v>101.62</v>
      </c>
      <c r="N85" s="64">
        <v>59.8</v>
      </c>
      <c r="O85" s="64">
        <v>0.4</v>
      </c>
      <c r="P85" s="64">
        <v>0.54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48" t="s">
        <v>802</v>
      </c>
      <c r="B86" s="64">
        <v>8.3800000000000008</v>
      </c>
      <c r="C86" s="64">
        <v>3.7</v>
      </c>
      <c r="D86" s="64">
        <v>12.43</v>
      </c>
      <c r="E86" s="64">
        <v>2.98</v>
      </c>
      <c r="F86" s="64">
        <v>4.37</v>
      </c>
      <c r="G86" s="64">
        <v>40.909999999999997</v>
      </c>
      <c r="H86" s="64">
        <v>28.44</v>
      </c>
      <c r="I86" s="64">
        <v>2.39</v>
      </c>
      <c r="J86" s="64">
        <v>7.0000000000000007E-2</v>
      </c>
      <c r="K86" s="64">
        <v>36.36</v>
      </c>
      <c r="L86" s="64">
        <v>23.91</v>
      </c>
      <c r="M86" s="64">
        <v>101.67</v>
      </c>
      <c r="N86" s="64">
        <v>59.6</v>
      </c>
      <c r="O86" s="64">
        <v>0</v>
      </c>
      <c r="P86" s="64">
        <v>0.54</v>
      </c>
      <c r="Q86" s="64">
        <v>9.52</v>
      </c>
      <c r="R86" s="198"/>
      <c r="S86" s="198"/>
      <c r="T86" s="198"/>
      <c r="U86" s="198"/>
    </row>
    <row r="87" spans="1:26" s="12" customFormat="1" x14ac:dyDescent="0.25">
      <c r="A87" s="248" t="s">
        <v>803</v>
      </c>
      <c r="B87" s="64">
        <v>8.24</v>
      </c>
      <c r="C87" s="64">
        <v>3.48</v>
      </c>
      <c r="D87" s="64">
        <v>12.21</v>
      </c>
      <c r="E87" s="64">
        <v>3.59</v>
      </c>
      <c r="F87" s="64">
        <v>2.71</v>
      </c>
      <c r="G87" s="64">
        <v>31.78</v>
      </c>
      <c r="H87" s="64">
        <v>23.91</v>
      </c>
      <c r="I87" s="64">
        <v>2.41</v>
      </c>
      <c r="J87" s="64">
        <v>0.17</v>
      </c>
      <c r="K87" s="64">
        <v>20.83</v>
      </c>
      <c r="L87" s="64">
        <v>24.09</v>
      </c>
      <c r="M87" s="64">
        <v>101.63</v>
      </c>
      <c r="N87" s="64">
        <v>59.8</v>
      </c>
      <c r="O87" s="64">
        <v>0.2</v>
      </c>
      <c r="P87" s="64">
        <v>0.53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48" t="s">
        <v>804</v>
      </c>
      <c r="B88" s="64">
        <v>8.01</v>
      </c>
      <c r="C88" s="64">
        <v>3.05</v>
      </c>
      <c r="D88" s="64">
        <v>11.79</v>
      </c>
      <c r="E88" s="64">
        <v>3.14</v>
      </c>
      <c r="F88" s="64">
        <v>3.71</v>
      </c>
      <c r="G88" s="64">
        <v>29.49</v>
      </c>
      <c r="H88" s="64">
        <v>22.78</v>
      </c>
      <c r="I88" s="64">
        <v>2.42</v>
      </c>
      <c r="J88" s="64">
        <v>0.08</v>
      </c>
      <c r="K88" s="64">
        <v>25.18</v>
      </c>
      <c r="L88" s="64">
        <v>24.21</v>
      </c>
      <c r="M88" s="64">
        <v>101.62</v>
      </c>
      <c r="N88" s="64">
        <v>59.9</v>
      </c>
      <c r="O88" s="64">
        <v>0</v>
      </c>
      <c r="P88" s="64">
        <v>0.53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48" t="s">
        <v>805</v>
      </c>
      <c r="B89" s="64">
        <v>8.0299999999999994</v>
      </c>
      <c r="C89" s="64">
        <v>3.02</v>
      </c>
      <c r="D89" s="64">
        <v>11.79</v>
      </c>
      <c r="E89" s="64">
        <v>3.25</v>
      </c>
      <c r="F89" s="64">
        <v>2.42</v>
      </c>
      <c r="G89" s="64">
        <v>29.49</v>
      </c>
      <c r="H89" s="64">
        <v>22.78</v>
      </c>
      <c r="I89" s="64">
        <v>2.4700000000000002</v>
      </c>
      <c r="J89" s="64">
        <v>0.01</v>
      </c>
      <c r="K89" s="64">
        <v>59.7</v>
      </c>
      <c r="L89" s="64">
        <v>24.26</v>
      </c>
      <c r="M89" s="64">
        <v>101.68</v>
      </c>
      <c r="N89" s="64">
        <v>59.9</v>
      </c>
      <c r="O89" s="64">
        <v>0.2</v>
      </c>
      <c r="P89" s="64">
        <v>0.51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48" t="s">
        <v>806</v>
      </c>
      <c r="B90" s="64">
        <v>8.0299999999999994</v>
      </c>
      <c r="C90" s="64">
        <v>3.03</v>
      </c>
      <c r="D90" s="64">
        <v>11.79</v>
      </c>
      <c r="E90" s="64">
        <v>3.6</v>
      </c>
      <c r="F90" s="64">
        <v>4.09</v>
      </c>
      <c r="G90" s="64">
        <v>29.49</v>
      </c>
      <c r="H90" s="64">
        <v>22.78</v>
      </c>
      <c r="I90" s="64">
        <v>2.65</v>
      </c>
      <c r="J90" s="64">
        <v>0.14000000000000001</v>
      </c>
      <c r="K90" s="64">
        <v>323.02</v>
      </c>
      <c r="L90" s="64">
        <v>24.29</v>
      </c>
      <c r="M90" s="64">
        <v>101.72</v>
      </c>
      <c r="N90" s="64">
        <v>60.1</v>
      </c>
      <c r="O90" s="64">
        <v>0</v>
      </c>
      <c r="P90" s="64">
        <v>0.51</v>
      </c>
      <c r="Q90" s="64">
        <v>9.49</v>
      </c>
      <c r="R90" s="198"/>
      <c r="S90" s="198"/>
      <c r="T90" s="198"/>
      <c r="U90" s="198"/>
    </row>
    <row r="91" spans="1:26" s="12" customFormat="1" x14ac:dyDescent="0.25">
      <c r="A91" s="248" t="s">
        <v>807</v>
      </c>
      <c r="B91" s="64">
        <v>8.1999999999999993</v>
      </c>
      <c r="C91" s="64">
        <v>3.32</v>
      </c>
      <c r="D91" s="64">
        <v>12.08</v>
      </c>
      <c r="E91" s="64">
        <v>3.47</v>
      </c>
      <c r="F91" s="64">
        <v>3.77</v>
      </c>
      <c r="G91" s="64">
        <v>34.97</v>
      </c>
      <c r="H91" s="64">
        <v>17.55</v>
      </c>
      <c r="I91" s="64">
        <v>2.5099999999999998</v>
      </c>
      <c r="J91" s="64">
        <v>0.09</v>
      </c>
      <c r="K91" s="64">
        <v>16.920000000000002</v>
      </c>
      <c r="L91" s="64">
        <v>24.31</v>
      </c>
      <c r="M91" s="64">
        <v>101.73</v>
      </c>
      <c r="N91" s="64">
        <v>60.1</v>
      </c>
      <c r="O91" s="64">
        <v>0</v>
      </c>
      <c r="P91" s="64">
        <v>0.51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48" t="s">
        <v>808</v>
      </c>
      <c r="B92" s="64">
        <v>8.57</v>
      </c>
      <c r="C92" s="64">
        <v>4.01</v>
      </c>
      <c r="D92" s="64">
        <v>12.74</v>
      </c>
      <c r="E92" s="64">
        <v>3.3</v>
      </c>
      <c r="F92" s="64">
        <v>3.05</v>
      </c>
      <c r="G92" s="64">
        <v>36.340000000000003</v>
      </c>
      <c r="H92" s="64">
        <v>16.25</v>
      </c>
      <c r="I92" s="64">
        <v>2.59</v>
      </c>
      <c r="J92" s="64">
        <v>0.08</v>
      </c>
      <c r="K92" s="64">
        <v>178.38</v>
      </c>
      <c r="L92" s="64">
        <v>24.4</v>
      </c>
      <c r="M92" s="64">
        <v>101.71</v>
      </c>
      <c r="N92" s="64">
        <v>60</v>
      </c>
      <c r="O92" s="64">
        <v>0</v>
      </c>
      <c r="P92" s="64">
        <v>0.49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48" t="s">
        <v>809</v>
      </c>
      <c r="B93" s="64">
        <v>8.1300000000000008</v>
      </c>
      <c r="C93" s="64">
        <v>3.17</v>
      </c>
      <c r="D93" s="64">
        <v>11.95</v>
      </c>
      <c r="E93" s="64">
        <v>3.34</v>
      </c>
      <c r="F93" s="64">
        <v>3.67</v>
      </c>
      <c r="G93" s="64">
        <v>36.340000000000003</v>
      </c>
      <c r="H93" s="64">
        <v>16.25</v>
      </c>
      <c r="I93" s="64">
        <v>2.64</v>
      </c>
      <c r="J93" s="64">
        <v>0.06</v>
      </c>
      <c r="K93" s="64">
        <v>98.36</v>
      </c>
      <c r="L93" s="64">
        <v>24.51</v>
      </c>
      <c r="M93" s="64">
        <v>101.74</v>
      </c>
      <c r="N93" s="64">
        <v>60.1</v>
      </c>
      <c r="O93" s="64">
        <v>0</v>
      </c>
      <c r="P93" s="64">
        <v>0.49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48" t="s">
        <v>810</v>
      </c>
      <c r="B94" s="64">
        <v>8.0399999999999991</v>
      </c>
      <c r="C94" s="64">
        <v>3.06</v>
      </c>
      <c r="D94" s="64">
        <v>11.82</v>
      </c>
      <c r="E94" s="64">
        <v>3.28</v>
      </c>
      <c r="F94" s="64">
        <v>3.31</v>
      </c>
      <c r="G94" s="64">
        <v>36.340000000000003</v>
      </c>
      <c r="H94" s="64">
        <v>16.25</v>
      </c>
      <c r="I94" s="64">
        <v>2.66</v>
      </c>
      <c r="J94" s="64">
        <v>0.03</v>
      </c>
      <c r="K94" s="64">
        <v>188.29</v>
      </c>
      <c r="L94" s="64">
        <v>24.58</v>
      </c>
      <c r="M94" s="64">
        <v>101.75</v>
      </c>
      <c r="N94" s="64">
        <v>60.2</v>
      </c>
      <c r="O94" s="64">
        <v>0.2</v>
      </c>
      <c r="P94" s="64">
        <v>0.48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48" t="s">
        <v>811</v>
      </c>
      <c r="B95" s="64">
        <v>8.0299999999999994</v>
      </c>
      <c r="C95" s="64">
        <v>3.06</v>
      </c>
      <c r="D95" s="64">
        <v>11.81</v>
      </c>
      <c r="E95" s="64">
        <v>2.93</v>
      </c>
      <c r="F95" s="64">
        <v>3.66</v>
      </c>
      <c r="G95" s="64">
        <v>34.33</v>
      </c>
      <c r="H95" s="64">
        <v>18.63</v>
      </c>
      <c r="I95" s="64">
        <v>2.78</v>
      </c>
      <c r="J95" s="64">
        <v>0.01</v>
      </c>
      <c r="K95" s="64">
        <v>177.19</v>
      </c>
      <c r="L95" s="64">
        <v>24.58</v>
      </c>
      <c r="M95" s="64">
        <v>101.73</v>
      </c>
      <c r="N95" s="64">
        <v>60.3</v>
      </c>
      <c r="O95" s="64">
        <v>0</v>
      </c>
      <c r="P95" s="64">
        <v>0.47</v>
      </c>
      <c r="Q95" s="64">
        <v>9.48</v>
      </c>
      <c r="R95" s="198"/>
      <c r="S95" s="198"/>
      <c r="T95" s="198"/>
      <c r="U95" s="198"/>
    </row>
    <row r="96" spans="1:26" s="12" customFormat="1" x14ac:dyDescent="0.25">
      <c r="A96" s="248" t="s">
        <v>812</v>
      </c>
      <c r="B96" s="64">
        <v>8.0399999999999991</v>
      </c>
      <c r="C96" s="64">
        <v>3.04</v>
      </c>
      <c r="D96" s="64">
        <v>11.81</v>
      </c>
      <c r="E96" s="64">
        <v>3.16</v>
      </c>
      <c r="F96" s="64">
        <v>3.44</v>
      </c>
      <c r="G96" s="64">
        <v>33.82</v>
      </c>
      <c r="H96" s="64">
        <v>19.23</v>
      </c>
      <c r="I96" s="64">
        <v>2.83</v>
      </c>
      <c r="J96" s="64">
        <v>0.08</v>
      </c>
      <c r="K96" s="64">
        <v>128.27000000000001</v>
      </c>
      <c r="L96" s="64">
        <v>24.62</v>
      </c>
      <c r="M96" s="64">
        <v>101.77</v>
      </c>
      <c r="N96" s="64">
        <v>60.2</v>
      </c>
      <c r="O96" s="64">
        <v>0</v>
      </c>
      <c r="P96" s="64">
        <v>0.46</v>
      </c>
      <c r="Q96" s="64">
        <v>9.49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813</v>
      </c>
      <c r="B97" s="64">
        <v>8.0399999999999991</v>
      </c>
      <c r="C97" s="64">
        <v>3.02</v>
      </c>
      <c r="D97" s="64">
        <v>11.8</v>
      </c>
      <c r="E97" s="64">
        <v>3.19</v>
      </c>
      <c r="F97" s="64">
        <v>3.54</v>
      </c>
      <c r="G97" s="64">
        <v>33.82</v>
      </c>
      <c r="H97" s="64">
        <v>19.23</v>
      </c>
      <c r="I97" s="64">
        <v>2.94</v>
      </c>
      <c r="J97" s="64">
        <v>0.1</v>
      </c>
      <c r="K97" s="64">
        <v>76.16</v>
      </c>
      <c r="L97" s="64">
        <v>24.66</v>
      </c>
      <c r="M97" s="64">
        <v>101.83</v>
      </c>
      <c r="N97" s="64">
        <v>60.2</v>
      </c>
      <c r="O97" s="64">
        <v>0.2</v>
      </c>
      <c r="P97" s="64">
        <v>0.44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48" t="s">
        <v>814</v>
      </c>
      <c r="B98" s="64">
        <v>8.06</v>
      </c>
      <c r="C98" s="64">
        <v>3.04</v>
      </c>
      <c r="D98" s="64">
        <v>11.82</v>
      </c>
      <c r="E98" s="64">
        <v>3.21</v>
      </c>
      <c r="F98" s="64">
        <v>3.22</v>
      </c>
      <c r="G98" s="64">
        <v>33.82</v>
      </c>
      <c r="H98" s="64">
        <v>19.23</v>
      </c>
      <c r="I98" s="64">
        <v>2.97</v>
      </c>
      <c r="J98" s="64">
        <v>0.19</v>
      </c>
      <c r="K98" s="64">
        <v>353.2</v>
      </c>
      <c r="L98" s="64">
        <v>24.7</v>
      </c>
      <c r="M98" s="64">
        <v>101.76</v>
      </c>
      <c r="N98" s="64">
        <v>60.2</v>
      </c>
      <c r="O98" s="64">
        <v>0</v>
      </c>
      <c r="P98" s="64">
        <v>0.44</v>
      </c>
      <c r="Q98" s="64">
        <v>9.48</v>
      </c>
      <c r="R98" s="198"/>
      <c r="S98" s="198"/>
      <c r="T98" s="198"/>
      <c r="U98" s="198"/>
    </row>
    <row r="99" spans="1:33" s="12" customFormat="1" x14ac:dyDescent="0.25">
      <c r="A99" s="248" t="s">
        <v>815</v>
      </c>
      <c r="B99" s="64">
        <v>8.0500000000000007</v>
      </c>
      <c r="C99" s="64">
        <v>3.06</v>
      </c>
      <c r="D99" s="64">
        <v>11.83</v>
      </c>
      <c r="E99" s="64">
        <v>3.29</v>
      </c>
      <c r="F99" s="64">
        <v>4.1100000000000003</v>
      </c>
      <c r="G99" s="64">
        <v>30.33</v>
      </c>
      <c r="H99" s="64">
        <v>15.24</v>
      </c>
      <c r="I99" s="64">
        <v>3.05</v>
      </c>
      <c r="J99" s="64">
        <v>0.17</v>
      </c>
      <c r="K99" s="64">
        <v>346.44</v>
      </c>
      <c r="L99" s="64">
        <v>24.74</v>
      </c>
      <c r="M99" s="64">
        <v>101.73</v>
      </c>
      <c r="N99" s="64">
        <v>60.2</v>
      </c>
      <c r="O99" s="64">
        <v>0</v>
      </c>
      <c r="P99" s="64">
        <v>0.43</v>
      </c>
      <c r="Q99" s="64">
        <v>9.48</v>
      </c>
      <c r="R99" s="198"/>
      <c r="S99" s="198"/>
      <c r="T99" s="198"/>
      <c r="U99" s="198"/>
    </row>
    <row r="100" spans="1:33" s="12" customFormat="1" x14ac:dyDescent="0.25">
      <c r="A100" s="248" t="s">
        <v>816</v>
      </c>
      <c r="B100" s="64">
        <v>8</v>
      </c>
      <c r="C100" s="64">
        <v>2.97</v>
      </c>
      <c r="D100" s="64">
        <v>11.74</v>
      </c>
      <c r="E100" s="64">
        <v>3.47</v>
      </c>
      <c r="F100" s="64">
        <v>4.6900000000000004</v>
      </c>
      <c r="G100" s="64">
        <v>29.46</v>
      </c>
      <c r="H100" s="64">
        <v>14.24</v>
      </c>
      <c r="I100" s="64">
        <v>3.08</v>
      </c>
      <c r="J100" s="64">
        <v>0.2</v>
      </c>
      <c r="K100" s="64">
        <v>7.45</v>
      </c>
      <c r="L100" s="64">
        <v>24.79</v>
      </c>
      <c r="M100" s="64">
        <v>101.8</v>
      </c>
      <c r="N100" s="64">
        <v>60.3</v>
      </c>
      <c r="O100" s="64">
        <v>0.2</v>
      </c>
      <c r="P100" s="64">
        <v>0.43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817</v>
      </c>
      <c r="B101" s="64">
        <v>8</v>
      </c>
      <c r="C101" s="64">
        <v>3.01</v>
      </c>
      <c r="D101" s="64">
        <v>11.77</v>
      </c>
      <c r="E101" s="64">
        <v>3.92</v>
      </c>
      <c r="F101" s="64">
        <v>2.15</v>
      </c>
      <c r="G101" s="64">
        <v>29.46</v>
      </c>
      <c r="H101" s="64">
        <v>14.24</v>
      </c>
      <c r="I101" s="64">
        <v>2.99</v>
      </c>
      <c r="J101" s="64">
        <v>0.13</v>
      </c>
      <c r="K101" s="64">
        <v>20.079999999999998</v>
      </c>
      <c r="L101" s="64">
        <v>24.82</v>
      </c>
      <c r="M101" s="64">
        <v>101.81</v>
      </c>
      <c r="N101" s="64">
        <v>60.2</v>
      </c>
      <c r="O101" s="64">
        <v>0.6</v>
      </c>
      <c r="P101" s="64">
        <v>0.41</v>
      </c>
      <c r="Q101" s="64">
        <v>9.27</v>
      </c>
      <c r="R101" s="198"/>
      <c r="S101" s="198"/>
      <c r="T101" s="198"/>
      <c r="U101" s="198"/>
    </row>
    <row r="102" spans="1:33" s="12" customFormat="1" x14ac:dyDescent="0.25">
      <c r="A102" s="248" t="s">
        <v>818</v>
      </c>
      <c r="B102" s="64">
        <v>8</v>
      </c>
      <c r="C102" s="64">
        <v>3.03</v>
      </c>
      <c r="D102" s="64">
        <v>11.77</v>
      </c>
      <c r="E102" s="64">
        <v>3.69</v>
      </c>
      <c r="F102" s="64">
        <v>6</v>
      </c>
      <c r="G102" s="64">
        <v>29.46</v>
      </c>
      <c r="H102" s="64">
        <v>14.24</v>
      </c>
      <c r="I102" s="64">
        <v>2.94</v>
      </c>
      <c r="J102" s="64">
        <v>0.22</v>
      </c>
      <c r="K102" s="64">
        <v>343.37</v>
      </c>
      <c r="L102" s="64">
        <v>24.8</v>
      </c>
      <c r="M102" s="64">
        <v>101.74</v>
      </c>
      <c r="N102" s="64">
        <v>60.3</v>
      </c>
      <c r="O102" s="64">
        <v>2</v>
      </c>
      <c r="P102" s="64">
        <v>0.4</v>
      </c>
      <c r="Q102" s="64">
        <v>9.3000000000000007</v>
      </c>
      <c r="R102" s="198"/>
      <c r="S102" s="198"/>
      <c r="T102" s="198"/>
      <c r="U102" s="198"/>
    </row>
    <row r="103" spans="1:33" s="12" customFormat="1" x14ac:dyDescent="0.25">
      <c r="A103" s="248" t="s">
        <v>819</v>
      </c>
      <c r="B103" s="64">
        <v>8.09</v>
      </c>
      <c r="C103" s="64">
        <v>3.25</v>
      </c>
      <c r="D103" s="64">
        <v>11.96</v>
      </c>
      <c r="E103" s="64">
        <v>3.61</v>
      </c>
      <c r="F103" s="64">
        <v>14.2</v>
      </c>
      <c r="G103" s="64">
        <v>29.26</v>
      </c>
      <c r="H103" s="64">
        <v>11.24</v>
      </c>
      <c r="I103" s="64">
        <v>2.87</v>
      </c>
      <c r="J103" s="64">
        <v>0.27</v>
      </c>
      <c r="K103" s="64">
        <v>0.33</v>
      </c>
      <c r="L103" s="64">
        <v>24.64</v>
      </c>
      <c r="M103" s="64">
        <v>101.67</v>
      </c>
      <c r="N103" s="64">
        <v>60.7</v>
      </c>
      <c r="O103" s="64">
        <v>6.8</v>
      </c>
      <c r="P103" s="64">
        <v>0.41</v>
      </c>
      <c r="Q103" s="64">
        <v>9.34</v>
      </c>
      <c r="R103" s="198"/>
      <c r="S103" s="198"/>
      <c r="T103" s="198"/>
      <c r="U103" s="198"/>
    </row>
    <row r="104" spans="1:33" s="12" customFormat="1" x14ac:dyDescent="0.25">
      <c r="A104" s="248" t="s">
        <v>820</v>
      </c>
      <c r="B104" s="64">
        <v>8.11</v>
      </c>
      <c r="C104" s="64">
        <v>3.24</v>
      </c>
      <c r="D104" s="64">
        <v>11.97</v>
      </c>
      <c r="E104" s="64">
        <v>3.88</v>
      </c>
      <c r="F104" s="64">
        <v>9.94</v>
      </c>
      <c r="G104" s="64">
        <v>29.21</v>
      </c>
      <c r="H104" s="64">
        <v>10.49</v>
      </c>
      <c r="I104" s="64">
        <v>2.77</v>
      </c>
      <c r="J104" s="64">
        <v>0.23</v>
      </c>
      <c r="K104" s="64">
        <v>11.83</v>
      </c>
      <c r="L104" s="64">
        <v>24.57</v>
      </c>
      <c r="M104" s="64">
        <v>101.7</v>
      </c>
      <c r="N104" s="64">
        <v>60.4</v>
      </c>
      <c r="O104" s="64">
        <v>3</v>
      </c>
      <c r="P104" s="64">
        <v>0.4</v>
      </c>
      <c r="Q104" s="64">
        <v>9.31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2.91</v>
      </c>
      <c r="D106" s="67">
        <f t="shared" ref="D106:Q106" si="0">MIN(D9:D104)</f>
        <v>11.64</v>
      </c>
      <c r="E106" s="67">
        <f t="shared" si="0"/>
        <v>2.93</v>
      </c>
      <c r="F106" s="67">
        <f t="shared" si="0"/>
        <v>2.15</v>
      </c>
      <c r="G106" s="67">
        <f t="shared" si="0"/>
        <v>23.46</v>
      </c>
      <c r="H106" s="67">
        <f t="shared" si="0"/>
        <v>7.01</v>
      </c>
      <c r="I106" s="67">
        <f t="shared" si="0"/>
        <v>1.08</v>
      </c>
      <c r="J106" s="67">
        <f t="shared" si="0"/>
        <v>0.01</v>
      </c>
      <c r="K106" s="67">
        <f t="shared" si="0"/>
        <v>0.33</v>
      </c>
      <c r="L106" s="67">
        <f t="shared" si="0"/>
        <v>23.42</v>
      </c>
      <c r="M106" s="67">
        <f t="shared" si="0"/>
        <v>77.81</v>
      </c>
      <c r="N106" s="67">
        <f t="shared" si="0"/>
        <v>59.5</v>
      </c>
      <c r="O106" s="67">
        <f t="shared" si="0"/>
        <v>0</v>
      </c>
      <c r="P106" s="67">
        <f t="shared" si="0"/>
        <v>0.32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9.02</v>
      </c>
      <c r="C107" s="66">
        <f t="shared" ref="C107:Q107" si="1">MAX(C9:C104)</f>
        <v>5.04</v>
      </c>
      <c r="D107" s="66">
        <f t="shared" si="1"/>
        <v>13.64</v>
      </c>
      <c r="E107" s="66">
        <f t="shared" si="1"/>
        <v>5.27</v>
      </c>
      <c r="F107" s="66">
        <f t="shared" si="1"/>
        <v>21.59</v>
      </c>
      <c r="G107" s="66">
        <f t="shared" si="1"/>
        <v>78.97</v>
      </c>
      <c r="H107" s="66">
        <f t="shared" si="1"/>
        <v>45.28</v>
      </c>
      <c r="I107" s="66">
        <f t="shared" si="1"/>
        <v>3.97</v>
      </c>
      <c r="J107" s="66">
        <f t="shared" si="1"/>
        <v>1.04</v>
      </c>
      <c r="K107" s="66">
        <f t="shared" si="1"/>
        <v>359.38</v>
      </c>
      <c r="L107" s="66">
        <f t="shared" si="1"/>
        <v>32.94</v>
      </c>
      <c r="M107" s="66">
        <f t="shared" si="1"/>
        <v>102.1</v>
      </c>
      <c r="N107" s="66">
        <f t="shared" si="1"/>
        <v>871.6</v>
      </c>
      <c r="O107" s="66">
        <f t="shared" si="1"/>
        <v>10.199999999999999</v>
      </c>
      <c r="P107" s="66">
        <f t="shared" si="1"/>
        <v>0.65</v>
      </c>
      <c r="Q107" s="66">
        <f t="shared" si="1"/>
        <v>9.83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8.0888541666666658</v>
      </c>
      <c r="C108" s="67">
        <f t="shared" ref="C108:Q108" si="2">AVERAGE(C9:C104)</f>
        <v>3.2505208333333333</v>
      </c>
      <c r="D108" s="67">
        <f t="shared" si="2"/>
        <v>11.958749999999997</v>
      </c>
      <c r="E108" s="67">
        <f t="shared" si="2"/>
        <v>4.1601041666666676</v>
      </c>
      <c r="F108" s="67">
        <f t="shared" si="2"/>
        <v>5.8119791666666698</v>
      </c>
      <c r="G108" s="67">
        <f t="shared" si="2"/>
        <v>39.768541666666671</v>
      </c>
      <c r="H108" s="67">
        <f t="shared" si="2"/>
        <v>22.594270833333322</v>
      </c>
      <c r="I108" s="67">
        <f t="shared" si="2"/>
        <v>2.4286458333333338</v>
      </c>
      <c r="J108" s="67">
        <f t="shared" si="2"/>
        <v>0.23739583333333325</v>
      </c>
      <c r="K108" s="67">
        <f t="shared" si="2"/>
        <v>250.44739583333345</v>
      </c>
      <c r="L108" s="67">
        <f t="shared" si="2"/>
        <v>26.885833333333327</v>
      </c>
      <c r="M108" s="67">
        <f t="shared" si="2"/>
        <v>97.509687500000027</v>
      </c>
      <c r="N108" s="67">
        <f t="shared" si="2"/>
        <v>176.72083333333333</v>
      </c>
      <c r="O108" s="67">
        <f t="shared" si="2"/>
        <v>0.5541666666666667</v>
      </c>
      <c r="P108" s="67">
        <f t="shared" si="2"/>
        <v>0.44864583333333319</v>
      </c>
      <c r="Q108" s="67">
        <f t="shared" si="2"/>
        <v>9.34739583333333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0.1953774742802771</v>
      </c>
      <c r="C109" s="67">
        <f t="shared" ref="C109:Q109" si="3">STDEV(C9:C104)</f>
        <v>0.3762148596401238</v>
      </c>
      <c r="D109" s="67">
        <f t="shared" si="3"/>
        <v>0.35013756694972592</v>
      </c>
      <c r="E109" s="67">
        <f t="shared" si="3"/>
        <v>0.53029385059836787</v>
      </c>
      <c r="F109" s="67">
        <f t="shared" si="3"/>
        <v>3.9127098214574754</v>
      </c>
      <c r="G109" s="67">
        <f t="shared" si="3"/>
        <v>11.803505721799876</v>
      </c>
      <c r="H109" s="67">
        <f t="shared" si="3"/>
        <v>10.010531585316256</v>
      </c>
      <c r="I109" s="67">
        <f t="shared" si="3"/>
        <v>0.59358255718390329</v>
      </c>
      <c r="J109" s="67">
        <f t="shared" si="3"/>
        <v>0.16495769659723877</v>
      </c>
      <c r="K109" s="67">
        <f t="shared" si="3"/>
        <v>129.28671757596726</v>
      </c>
      <c r="L109" s="67">
        <f t="shared" si="3"/>
        <v>2.8691405889740094</v>
      </c>
      <c r="M109" s="67">
        <f t="shared" si="3"/>
        <v>7.5483953614589332</v>
      </c>
      <c r="N109" s="67">
        <f t="shared" si="3"/>
        <v>180.26357072305143</v>
      </c>
      <c r="O109" s="67">
        <f t="shared" si="3"/>
        <v>1.598546488905775</v>
      </c>
      <c r="P109" s="67">
        <f t="shared" si="3"/>
        <v>9.0700429891242662E-2</v>
      </c>
      <c r="Q109" s="67">
        <f t="shared" si="3"/>
        <v>0.17576446435450074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 t="shared" ref="H110:I110" si="6">COUNT(H9:H104)</f>
        <v>96</v>
      </c>
      <c r="I110" s="66">
        <f t="shared" si="6"/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7">IF(C110&gt;=87,"&gt;90%",IF(C110&lt;=87,"&lt;90%"))</f>
        <v>&gt;90%</v>
      </c>
      <c r="D111" s="13" t="str">
        <f t="shared" si="7"/>
        <v>&gt;90%</v>
      </c>
      <c r="E111" s="13" t="str">
        <f t="shared" si="7"/>
        <v>&gt;90%</v>
      </c>
      <c r="F111" s="13" t="str">
        <f t="shared" si="7"/>
        <v>&gt;90%</v>
      </c>
      <c r="G111" s="13" t="str">
        <f t="shared" si="7"/>
        <v>&gt;90%</v>
      </c>
      <c r="H111" s="13" t="str">
        <f t="shared" si="7"/>
        <v>&gt;90%</v>
      </c>
      <c r="I111" s="13" t="str">
        <f t="shared" si="7"/>
        <v>&gt;90%</v>
      </c>
      <c r="J111" s="13" t="str">
        <f t="shared" si="7"/>
        <v>&gt;90%</v>
      </c>
      <c r="K111" s="13" t="str">
        <f t="shared" si="7"/>
        <v>&gt;90%</v>
      </c>
      <c r="L111" s="13" t="str">
        <f t="shared" si="7"/>
        <v>&gt;90%</v>
      </c>
      <c r="M111" s="13" t="str">
        <f t="shared" si="7"/>
        <v>&gt;90%</v>
      </c>
      <c r="N111" s="13" t="str">
        <f t="shared" si="7"/>
        <v>&gt;90%</v>
      </c>
      <c r="O111" s="13" t="str">
        <f t="shared" si="7"/>
        <v>&gt;90%</v>
      </c>
      <c r="P111" s="13" t="str">
        <f t="shared" si="7"/>
        <v>&gt;90%</v>
      </c>
      <c r="Q111" s="13" t="str">
        <f t="shared" si="7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8">IF(C110&gt;=87,"OK",IF(C110&lt;=87,"LESS"))</f>
        <v>OK</v>
      </c>
      <c r="D112" s="13" t="str">
        <f t="shared" si="8"/>
        <v>OK</v>
      </c>
      <c r="E112" s="13" t="str">
        <f t="shared" si="8"/>
        <v>OK</v>
      </c>
      <c r="F112" s="13" t="str">
        <f t="shared" si="8"/>
        <v>OK</v>
      </c>
      <c r="G112" s="13" t="str">
        <f t="shared" si="8"/>
        <v>OK</v>
      </c>
      <c r="H112" s="13" t="str">
        <f t="shared" si="8"/>
        <v>OK</v>
      </c>
      <c r="I112" s="13" t="str">
        <f t="shared" si="8"/>
        <v>OK</v>
      </c>
      <c r="J112" s="13" t="str">
        <f t="shared" si="8"/>
        <v>OK</v>
      </c>
      <c r="K112" s="13" t="str">
        <f t="shared" si="8"/>
        <v>OK</v>
      </c>
      <c r="L112" s="13" t="str">
        <f t="shared" si="8"/>
        <v>OK</v>
      </c>
      <c r="M112" s="13" t="str">
        <f t="shared" si="8"/>
        <v>OK</v>
      </c>
      <c r="N112" s="13" t="str">
        <f t="shared" si="8"/>
        <v>OK</v>
      </c>
      <c r="O112" s="13" t="str">
        <f t="shared" si="8"/>
        <v>OK</v>
      </c>
      <c r="P112" s="13" t="str">
        <f t="shared" si="8"/>
        <v>OK</v>
      </c>
      <c r="Q112" s="13" t="str">
        <f t="shared" si="8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821</v>
      </c>
      <c r="B9" s="64">
        <v>8.3800000000000008</v>
      </c>
      <c r="C9" s="64">
        <v>3.81</v>
      </c>
      <c r="D9" s="64">
        <v>12.48</v>
      </c>
      <c r="E9" s="64">
        <v>3.64</v>
      </c>
      <c r="F9" s="64">
        <v>10.94</v>
      </c>
      <c r="G9" s="64">
        <v>29.21</v>
      </c>
      <c r="H9" s="64">
        <v>10.49</v>
      </c>
      <c r="I9" s="64">
        <v>2.63</v>
      </c>
      <c r="J9" s="64">
        <v>0.22</v>
      </c>
      <c r="K9" s="64">
        <v>8.3800000000000008</v>
      </c>
      <c r="L9" s="64">
        <v>24.23</v>
      </c>
      <c r="M9" s="64">
        <v>101.74</v>
      </c>
      <c r="N9" s="64">
        <v>60.8</v>
      </c>
      <c r="O9" s="64">
        <v>2.2000000000000002</v>
      </c>
      <c r="P9" s="64">
        <v>0.38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48" t="s">
        <v>822</v>
      </c>
      <c r="B10" s="64">
        <v>8.02</v>
      </c>
      <c r="C10" s="64">
        <v>3.16</v>
      </c>
      <c r="D10" s="64">
        <v>11.86</v>
      </c>
      <c r="E10" s="64">
        <v>4.03</v>
      </c>
      <c r="F10" s="64">
        <v>3.99</v>
      </c>
      <c r="G10" s="64">
        <v>29.21</v>
      </c>
      <c r="H10" s="64">
        <v>10.49</v>
      </c>
      <c r="I10" s="64">
        <v>2.4300000000000002</v>
      </c>
      <c r="J10" s="64">
        <v>0.32</v>
      </c>
      <c r="K10" s="64">
        <v>0.52</v>
      </c>
      <c r="L10" s="64">
        <v>24.16</v>
      </c>
      <c r="M10" s="64">
        <v>101.29</v>
      </c>
      <c r="N10" s="64">
        <v>60.6</v>
      </c>
      <c r="O10" s="64">
        <v>0.2</v>
      </c>
      <c r="P10" s="64">
        <v>0.35</v>
      </c>
      <c r="Q10" s="64">
        <v>9.3000000000000007</v>
      </c>
      <c r="R10" s="198"/>
      <c r="S10" s="198"/>
      <c r="T10" s="198"/>
      <c r="U10" s="198"/>
    </row>
    <row r="11" spans="1:21" s="12" customFormat="1" x14ac:dyDescent="0.25">
      <c r="A11" s="248" t="s">
        <v>823</v>
      </c>
      <c r="B11" s="64">
        <v>7.95</v>
      </c>
      <c r="C11" s="64">
        <v>3.01</v>
      </c>
      <c r="D11" s="64">
        <v>11.72</v>
      </c>
      <c r="E11" s="64">
        <v>3.74</v>
      </c>
      <c r="F11" s="64">
        <v>4.05</v>
      </c>
      <c r="G11" s="64">
        <v>23.35</v>
      </c>
      <c r="H11" s="64">
        <v>10.33</v>
      </c>
      <c r="I11" s="64">
        <v>2.42</v>
      </c>
      <c r="J11" s="64">
        <v>0.32</v>
      </c>
      <c r="K11" s="64">
        <v>5.63</v>
      </c>
      <c r="L11" s="64">
        <v>23.93</v>
      </c>
      <c r="M11" s="64">
        <v>101.67</v>
      </c>
      <c r="N11" s="64">
        <v>60.6</v>
      </c>
      <c r="O11" s="64">
        <v>0</v>
      </c>
      <c r="P11" s="64">
        <v>0.33</v>
      </c>
      <c r="Q11" s="64">
        <v>9.26</v>
      </c>
      <c r="R11" s="198"/>
      <c r="S11" s="198"/>
      <c r="T11" s="198"/>
      <c r="U11" s="198"/>
    </row>
    <row r="12" spans="1:21" s="12" customFormat="1" x14ac:dyDescent="0.25">
      <c r="A12" s="248" t="s">
        <v>824</v>
      </c>
      <c r="B12" s="64">
        <v>7.93</v>
      </c>
      <c r="C12" s="64">
        <v>2.94</v>
      </c>
      <c r="D12" s="64">
        <v>11.67</v>
      </c>
      <c r="E12" s="64">
        <v>3.68</v>
      </c>
      <c r="F12" s="64">
        <v>3.64</v>
      </c>
      <c r="G12" s="64">
        <v>21.88</v>
      </c>
      <c r="H12" s="64">
        <v>10.3</v>
      </c>
      <c r="I12" s="64">
        <v>2.19</v>
      </c>
      <c r="J12" s="64">
        <v>0.25</v>
      </c>
      <c r="K12" s="64">
        <v>0.28000000000000003</v>
      </c>
      <c r="L12" s="64">
        <v>23.89</v>
      </c>
      <c r="M12" s="64">
        <v>101.44</v>
      </c>
      <c r="N12" s="64">
        <v>60.5</v>
      </c>
      <c r="O12" s="64">
        <v>0</v>
      </c>
      <c r="P12" s="64">
        <v>0.32</v>
      </c>
      <c r="Q12" s="64">
        <v>9.27</v>
      </c>
      <c r="R12" s="198"/>
      <c r="S12" s="198"/>
      <c r="T12" s="198"/>
      <c r="U12" s="198"/>
    </row>
    <row r="13" spans="1:21" s="12" customFormat="1" x14ac:dyDescent="0.25">
      <c r="A13" s="248" t="s">
        <v>825</v>
      </c>
      <c r="B13" s="64">
        <v>7.96</v>
      </c>
      <c r="C13" s="64">
        <v>3.02</v>
      </c>
      <c r="D13" s="64">
        <v>11.74</v>
      </c>
      <c r="E13" s="64">
        <v>3.69</v>
      </c>
      <c r="F13" s="64">
        <v>3.89</v>
      </c>
      <c r="G13" s="64">
        <v>21.88</v>
      </c>
      <c r="H13" s="64">
        <v>10.3</v>
      </c>
      <c r="I13" s="64">
        <v>2.04</v>
      </c>
      <c r="J13" s="64">
        <v>0.23</v>
      </c>
      <c r="K13" s="64">
        <v>3.04</v>
      </c>
      <c r="L13" s="64">
        <v>23.89</v>
      </c>
      <c r="M13" s="64">
        <v>101.43</v>
      </c>
      <c r="N13" s="64">
        <v>60.5</v>
      </c>
      <c r="O13" s="64">
        <v>0.2</v>
      </c>
      <c r="P13" s="64">
        <v>0.3</v>
      </c>
      <c r="Q13" s="64">
        <v>9.23</v>
      </c>
      <c r="R13" s="198"/>
      <c r="S13" s="198"/>
      <c r="T13" s="198"/>
      <c r="U13" s="198"/>
    </row>
    <row r="14" spans="1:21" s="12" customFormat="1" x14ac:dyDescent="0.25">
      <c r="A14" s="248" t="s">
        <v>826</v>
      </c>
      <c r="B14" s="64">
        <v>7.93</v>
      </c>
      <c r="C14" s="64">
        <v>2.99</v>
      </c>
      <c r="D14" s="64">
        <v>11.69</v>
      </c>
      <c r="E14" s="64">
        <v>3.78</v>
      </c>
      <c r="F14" s="64">
        <v>3.6</v>
      </c>
      <c r="G14" s="64">
        <v>21.88</v>
      </c>
      <c r="H14" s="64">
        <v>10.3</v>
      </c>
      <c r="I14" s="64">
        <v>1.92</v>
      </c>
      <c r="J14" s="64">
        <v>0.27</v>
      </c>
      <c r="K14" s="64">
        <v>4.74</v>
      </c>
      <c r="L14" s="64">
        <v>23.96</v>
      </c>
      <c r="M14" s="64">
        <v>101.47</v>
      </c>
      <c r="N14" s="64">
        <v>60.5</v>
      </c>
      <c r="O14" s="64">
        <v>0</v>
      </c>
      <c r="P14" s="64">
        <v>0.3</v>
      </c>
      <c r="Q14" s="64">
        <v>9.24</v>
      </c>
      <c r="R14" s="198"/>
      <c r="S14" s="198"/>
      <c r="T14" s="198"/>
      <c r="U14" s="198"/>
    </row>
    <row r="15" spans="1:21" s="12" customFormat="1" x14ac:dyDescent="0.25">
      <c r="A15" s="248" t="s">
        <v>827</v>
      </c>
      <c r="B15" s="64">
        <v>7.96</v>
      </c>
      <c r="C15" s="64">
        <v>2.99</v>
      </c>
      <c r="D15" s="64">
        <v>11.72</v>
      </c>
      <c r="E15" s="64">
        <v>3.79</v>
      </c>
      <c r="F15" s="64">
        <v>3.95</v>
      </c>
      <c r="G15" s="64">
        <v>17.77</v>
      </c>
      <c r="H15" s="64">
        <v>8.2799999999999994</v>
      </c>
      <c r="I15" s="64">
        <v>1.8</v>
      </c>
      <c r="J15" s="64">
        <v>0.22</v>
      </c>
      <c r="K15" s="64">
        <v>351.22</v>
      </c>
      <c r="L15" s="64">
        <v>23.86</v>
      </c>
      <c r="M15" s="64">
        <v>101.8</v>
      </c>
      <c r="N15" s="64">
        <v>60.5</v>
      </c>
      <c r="O15" s="64">
        <v>0</v>
      </c>
      <c r="P15" s="64">
        <v>0.28999999999999998</v>
      </c>
      <c r="Q15" s="64">
        <v>9.2100000000000009</v>
      </c>
      <c r="R15" s="198"/>
      <c r="S15" s="198"/>
      <c r="T15" s="198"/>
      <c r="U15" s="198"/>
    </row>
    <row r="16" spans="1:21" s="12" customFormat="1" x14ac:dyDescent="0.25">
      <c r="A16" s="248" t="s">
        <v>828</v>
      </c>
      <c r="B16" s="64">
        <v>7.97</v>
      </c>
      <c r="C16" s="64">
        <v>2.93</v>
      </c>
      <c r="D16" s="64">
        <v>11.7</v>
      </c>
      <c r="E16" s="64">
        <v>3.64</v>
      </c>
      <c r="F16" s="64">
        <v>3.83</v>
      </c>
      <c r="G16" s="64">
        <v>16.75</v>
      </c>
      <c r="H16" s="64">
        <v>7.77</v>
      </c>
      <c r="I16" s="64">
        <v>1.7</v>
      </c>
      <c r="J16" s="64">
        <v>0.18</v>
      </c>
      <c r="K16" s="64">
        <v>354.65</v>
      </c>
      <c r="L16" s="64">
        <v>23.89</v>
      </c>
      <c r="M16" s="64">
        <v>101.78</v>
      </c>
      <c r="N16" s="64">
        <v>60.4</v>
      </c>
      <c r="O16" s="64">
        <v>0</v>
      </c>
      <c r="P16" s="64">
        <v>0.28999999999999998</v>
      </c>
      <c r="Q16" s="64">
        <v>9.2100000000000009</v>
      </c>
      <c r="R16" s="198"/>
      <c r="S16" s="198"/>
      <c r="T16" s="198"/>
      <c r="U16" s="198"/>
    </row>
    <row r="17" spans="1:21" s="12" customFormat="1" x14ac:dyDescent="0.25">
      <c r="A17" s="248" t="s">
        <v>829</v>
      </c>
      <c r="B17" s="64">
        <v>7.98</v>
      </c>
      <c r="C17" s="64">
        <v>2.92</v>
      </c>
      <c r="D17" s="64">
        <v>11.7</v>
      </c>
      <c r="E17" s="64">
        <v>3.51</v>
      </c>
      <c r="F17" s="64">
        <v>3.58</v>
      </c>
      <c r="G17" s="64">
        <v>16.75</v>
      </c>
      <c r="H17" s="64">
        <v>7.77</v>
      </c>
      <c r="I17" s="64">
        <v>1.65</v>
      </c>
      <c r="J17" s="64">
        <v>0.22</v>
      </c>
      <c r="K17" s="64">
        <v>4.8600000000000003</v>
      </c>
      <c r="L17" s="64">
        <v>23.99</v>
      </c>
      <c r="M17" s="64">
        <v>101.55</v>
      </c>
      <c r="N17" s="64">
        <v>60.6</v>
      </c>
      <c r="O17" s="64">
        <v>0</v>
      </c>
      <c r="P17" s="64">
        <v>0.28999999999999998</v>
      </c>
      <c r="Q17" s="64">
        <v>9.1999999999999993</v>
      </c>
      <c r="R17" s="198"/>
      <c r="S17" s="198"/>
      <c r="T17" s="198"/>
      <c r="U17" s="198"/>
    </row>
    <row r="18" spans="1:21" s="12" customFormat="1" x14ac:dyDescent="0.25">
      <c r="A18" s="248" t="s">
        <v>830</v>
      </c>
      <c r="B18" s="64">
        <v>8</v>
      </c>
      <c r="C18" s="64">
        <v>3</v>
      </c>
      <c r="D18" s="64">
        <v>11.75</v>
      </c>
      <c r="E18" s="64">
        <v>3.62</v>
      </c>
      <c r="F18" s="64">
        <v>3.49</v>
      </c>
      <c r="G18" s="64">
        <v>16.75</v>
      </c>
      <c r="H18" s="64">
        <v>7.77</v>
      </c>
      <c r="I18" s="64">
        <v>1.68</v>
      </c>
      <c r="J18" s="64">
        <v>0.14000000000000001</v>
      </c>
      <c r="K18" s="64">
        <v>341.02</v>
      </c>
      <c r="L18" s="64">
        <v>24.05</v>
      </c>
      <c r="M18" s="64">
        <v>101.57</v>
      </c>
      <c r="N18" s="64">
        <v>60.7</v>
      </c>
      <c r="O18" s="64">
        <v>0</v>
      </c>
      <c r="P18" s="64">
        <v>0.28000000000000003</v>
      </c>
      <c r="Q18" s="64">
        <v>9.2200000000000006</v>
      </c>
      <c r="R18" s="198"/>
      <c r="S18" s="198"/>
      <c r="T18" s="198"/>
      <c r="U18" s="198"/>
    </row>
    <row r="19" spans="1:21" s="12" customFormat="1" x14ac:dyDescent="0.25">
      <c r="A19" s="248" t="s">
        <v>831</v>
      </c>
      <c r="B19" s="64">
        <v>8.0299999999999994</v>
      </c>
      <c r="C19" s="64">
        <v>3.04</v>
      </c>
      <c r="D19" s="64">
        <v>11.8</v>
      </c>
      <c r="E19" s="64">
        <v>3.34</v>
      </c>
      <c r="F19" s="64">
        <v>3.29</v>
      </c>
      <c r="G19" s="64">
        <v>13.48</v>
      </c>
      <c r="H19" s="212" t="s">
        <v>42</v>
      </c>
      <c r="I19" s="64">
        <v>1.7</v>
      </c>
      <c r="J19" s="64">
        <v>0.2</v>
      </c>
      <c r="K19" s="64">
        <v>352.44</v>
      </c>
      <c r="L19" s="64">
        <v>23.98</v>
      </c>
      <c r="M19" s="64">
        <v>101.29</v>
      </c>
      <c r="N19" s="64">
        <v>60.6</v>
      </c>
      <c r="O19" s="64">
        <v>0</v>
      </c>
      <c r="P19" s="64">
        <v>0.28000000000000003</v>
      </c>
      <c r="Q19" s="64">
        <v>9.2200000000000006</v>
      </c>
      <c r="R19" s="198"/>
      <c r="S19" s="198"/>
      <c r="T19" s="198"/>
      <c r="U19" s="198"/>
    </row>
    <row r="20" spans="1:21" s="12" customFormat="1" x14ac:dyDescent="0.25">
      <c r="A20" s="248" t="s">
        <v>832</v>
      </c>
      <c r="B20" s="64">
        <v>8.0500000000000007</v>
      </c>
      <c r="C20" s="64">
        <v>3.08</v>
      </c>
      <c r="D20" s="64">
        <v>11.84</v>
      </c>
      <c r="E20" s="64">
        <v>3</v>
      </c>
      <c r="F20" s="64">
        <v>3.17</v>
      </c>
      <c r="G20" s="64">
        <v>12.67</v>
      </c>
      <c r="H20" s="212" t="s">
        <v>42</v>
      </c>
      <c r="I20" s="64">
        <v>1.67</v>
      </c>
      <c r="J20" s="64">
        <v>0.16</v>
      </c>
      <c r="K20" s="64">
        <v>332.38</v>
      </c>
      <c r="L20" s="64">
        <v>23.96</v>
      </c>
      <c r="M20" s="64">
        <v>101.47</v>
      </c>
      <c r="N20" s="64">
        <v>60.6</v>
      </c>
      <c r="O20" s="64">
        <v>0</v>
      </c>
      <c r="P20" s="64">
        <v>0.28999999999999998</v>
      </c>
      <c r="Q20" s="64">
        <v>9.2200000000000006</v>
      </c>
      <c r="R20" s="198"/>
      <c r="S20" s="198"/>
      <c r="T20" s="198"/>
      <c r="U20" s="198"/>
    </row>
    <row r="21" spans="1:21" s="12" customFormat="1" x14ac:dyDescent="0.25">
      <c r="A21" s="248" t="s">
        <v>833</v>
      </c>
      <c r="B21" s="64">
        <v>8.01</v>
      </c>
      <c r="C21" s="64">
        <v>3.02</v>
      </c>
      <c r="D21" s="64">
        <v>11.77</v>
      </c>
      <c r="E21" s="64">
        <v>3.42</v>
      </c>
      <c r="F21" s="64">
        <v>3.81</v>
      </c>
      <c r="G21" s="64">
        <v>12.67</v>
      </c>
      <c r="H21" s="212" t="s">
        <v>42</v>
      </c>
      <c r="I21" s="64">
        <v>1.73</v>
      </c>
      <c r="J21" s="64">
        <v>0.27</v>
      </c>
      <c r="K21" s="64">
        <v>337.69</v>
      </c>
      <c r="L21" s="64">
        <v>24.01</v>
      </c>
      <c r="M21" s="64">
        <v>101.1</v>
      </c>
      <c r="N21" s="64">
        <v>60.6</v>
      </c>
      <c r="O21" s="64">
        <v>0</v>
      </c>
      <c r="P21" s="64">
        <v>0.3</v>
      </c>
      <c r="Q21" s="64">
        <v>9.2200000000000006</v>
      </c>
      <c r="R21" s="198"/>
      <c r="S21" s="198"/>
      <c r="T21" s="198"/>
      <c r="U21" s="198"/>
    </row>
    <row r="22" spans="1:21" s="12" customFormat="1" x14ac:dyDescent="0.25">
      <c r="A22" s="248" t="s">
        <v>834</v>
      </c>
      <c r="B22" s="64">
        <v>8.08</v>
      </c>
      <c r="C22" s="64">
        <v>3.16</v>
      </c>
      <c r="D22" s="64">
        <v>11.9</v>
      </c>
      <c r="E22" s="64">
        <v>3.42</v>
      </c>
      <c r="F22" s="64">
        <v>4.71</v>
      </c>
      <c r="G22" s="64">
        <v>12.67</v>
      </c>
      <c r="H22" s="212" t="s">
        <v>42</v>
      </c>
      <c r="I22" s="64">
        <v>1.81</v>
      </c>
      <c r="J22" s="64">
        <v>0.18</v>
      </c>
      <c r="K22" s="64">
        <v>336.45</v>
      </c>
      <c r="L22" s="64">
        <v>24.12</v>
      </c>
      <c r="M22" s="64">
        <v>100.95</v>
      </c>
      <c r="N22" s="64">
        <v>60.7</v>
      </c>
      <c r="O22" s="64">
        <v>0</v>
      </c>
      <c r="P22" s="64">
        <v>0.32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48" t="s">
        <v>835</v>
      </c>
      <c r="B23" s="64">
        <v>8.0299999999999994</v>
      </c>
      <c r="C23" s="64">
        <v>3.08</v>
      </c>
      <c r="D23" s="64">
        <v>11.82</v>
      </c>
      <c r="E23" s="64">
        <v>3.59</v>
      </c>
      <c r="F23" s="64">
        <v>2.6</v>
      </c>
      <c r="G23" s="64">
        <v>16.309999999999999</v>
      </c>
      <c r="H23" s="212" t="s">
        <v>42</v>
      </c>
      <c r="I23" s="64">
        <v>2</v>
      </c>
      <c r="J23" s="64">
        <v>0.2</v>
      </c>
      <c r="K23" s="64">
        <v>0.38</v>
      </c>
      <c r="L23" s="64">
        <v>23.88</v>
      </c>
      <c r="M23" s="64">
        <v>101.08</v>
      </c>
      <c r="N23" s="64">
        <v>60.6</v>
      </c>
      <c r="O23" s="64">
        <v>0</v>
      </c>
      <c r="P23" s="64">
        <v>0.32</v>
      </c>
      <c r="Q23" s="64">
        <v>9.1199999999999992</v>
      </c>
      <c r="R23" s="198"/>
      <c r="S23" s="198"/>
      <c r="T23" s="198"/>
      <c r="U23" s="198"/>
    </row>
    <row r="24" spans="1:21" s="12" customFormat="1" x14ac:dyDescent="0.25">
      <c r="A24" s="248" t="s">
        <v>836</v>
      </c>
      <c r="B24" s="64">
        <v>8.31</v>
      </c>
      <c r="C24" s="64">
        <v>3.69</v>
      </c>
      <c r="D24" s="64">
        <v>12.37</v>
      </c>
      <c r="E24" s="64">
        <v>3.7</v>
      </c>
      <c r="F24" s="64">
        <v>4.9000000000000004</v>
      </c>
      <c r="G24" s="64">
        <v>17.23</v>
      </c>
      <c r="H24" s="212" t="s">
        <v>42</v>
      </c>
      <c r="I24" s="64">
        <v>2.1</v>
      </c>
      <c r="J24" s="64">
        <v>0.16</v>
      </c>
      <c r="K24" s="64">
        <v>347.43</v>
      </c>
      <c r="L24" s="64">
        <v>23.93</v>
      </c>
      <c r="M24" s="64">
        <v>101.55</v>
      </c>
      <c r="N24" s="64">
        <v>60.3</v>
      </c>
      <c r="O24" s="64">
        <v>0.2</v>
      </c>
      <c r="P24" s="64">
        <v>0.33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48" t="s">
        <v>837</v>
      </c>
      <c r="B25" s="64">
        <v>8.07</v>
      </c>
      <c r="C25" s="64">
        <v>3.27</v>
      </c>
      <c r="D25" s="64">
        <v>11.95</v>
      </c>
      <c r="E25" s="64">
        <v>3.42</v>
      </c>
      <c r="F25" s="64">
        <v>2.17</v>
      </c>
      <c r="G25" s="64">
        <v>17.23</v>
      </c>
      <c r="H25" s="212" t="s">
        <v>42</v>
      </c>
      <c r="I25" s="64">
        <v>2.16</v>
      </c>
      <c r="J25" s="64">
        <v>7.0000000000000007E-2</v>
      </c>
      <c r="K25" s="64">
        <v>208.22</v>
      </c>
      <c r="L25" s="64">
        <v>23.95</v>
      </c>
      <c r="M25" s="64">
        <v>101.02</v>
      </c>
      <c r="N25" s="64">
        <v>60.3</v>
      </c>
      <c r="O25" s="64">
        <v>0</v>
      </c>
      <c r="P25" s="64">
        <v>0.35</v>
      </c>
      <c r="Q25" s="64">
        <v>9.1300000000000008</v>
      </c>
      <c r="R25" s="198"/>
      <c r="S25" s="198"/>
      <c r="T25" s="198"/>
      <c r="U25" s="198"/>
    </row>
    <row r="26" spans="1:21" s="12" customFormat="1" x14ac:dyDescent="0.25">
      <c r="A26" s="248" t="s">
        <v>838</v>
      </c>
      <c r="B26" s="64">
        <v>7.98</v>
      </c>
      <c r="C26" s="64">
        <v>3.03</v>
      </c>
      <c r="D26" s="64">
        <v>11.75</v>
      </c>
      <c r="E26" s="64">
        <v>3.39</v>
      </c>
      <c r="F26" s="64">
        <v>3.71</v>
      </c>
      <c r="G26" s="64">
        <v>17.23</v>
      </c>
      <c r="H26" s="212" t="s">
        <v>42</v>
      </c>
      <c r="I26" s="64">
        <v>2.2799999999999998</v>
      </c>
      <c r="J26" s="64">
        <v>0.08</v>
      </c>
      <c r="K26" s="64">
        <v>304.06</v>
      </c>
      <c r="L26" s="64">
        <v>24.03</v>
      </c>
      <c r="M26" s="64">
        <v>100.99</v>
      </c>
      <c r="N26" s="64">
        <v>60.5</v>
      </c>
      <c r="O26" s="64">
        <v>0</v>
      </c>
      <c r="P26" s="64">
        <v>0.36</v>
      </c>
      <c r="Q26" s="64">
        <v>9.17</v>
      </c>
      <c r="R26" s="198"/>
      <c r="S26" s="198"/>
      <c r="T26" s="198"/>
      <c r="U26" s="198"/>
    </row>
    <row r="27" spans="1:21" s="12" customFormat="1" x14ac:dyDescent="0.25">
      <c r="A27" s="248" t="s">
        <v>839</v>
      </c>
      <c r="B27" s="64">
        <v>7.97</v>
      </c>
      <c r="C27" s="64">
        <v>2.97</v>
      </c>
      <c r="D27" s="64">
        <v>11.72</v>
      </c>
      <c r="E27" s="64">
        <v>3.22</v>
      </c>
      <c r="F27" s="64">
        <v>3.66</v>
      </c>
      <c r="G27" s="64">
        <v>19.77</v>
      </c>
      <c r="H27" s="212" t="s">
        <v>42</v>
      </c>
      <c r="I27" s="64">
        <v>2.52</v>
      </c>
      <c r="J27" s="64">
        <v>0.11</v>
      </c>
      <c r="K27" s="64">
        <v>40.33</v>
      </c>
      <c r="L27" s="64">
        <v>23.92</v>
      </c>
      <c r="M27" s="64">
        <v>101.54</v>
      </c>
      <c r="N27" s="64">
        <v>61.1</v>
      </c>
      <c r="O27" s="64">
        <v>0.2</v>
      </c>
      <c r="P27" s="64">
        <v>0.37</v>
      </c>
      <c r="Q27" s="64">
        <v>9.2200000000000006</v>
      </c>
      <c r="R27" s="198"/>
      <c r="S27" s="198"/>
      <c r="T27" s="198"/>
      <c r="U27" s="198"/>
    </row>
    <row r="28" spans="1:21" s="12" customFormat="1" x14ac:dyDescent="0.25">
      <c r="A28" s="248" t="s">
        <v>840</v>
      </c>
      <c r="B28" s="64">
        <v>7.95</v>
      </c>
      <c r="C28" s="64">
        <v>2.99</v>
      </c>
      <c r="D28" s="64">
        <v>11.71</v>
      </c>
      <c r="E28" s="64">
        <v>3.29</v>
      </c>
      <c r="F28" s="64">
        <v>3.26</v>
      </c>
      <c r="G28" s="64">
        <v>20.399999999999999</v>
      </c>
      <c r="H28" s="64">
        <v>19.850000000000001</v>
      </c>
      <c r="I28" s="64">
        <v>2.71</v>
      </c>
      <c r="J28" s="64">
        <v>0.14000000000000001</v>
      </c>
      <c r="K28" s="64">
        <v>280.74</v>
      </c>
      <c r="L28" s="64">
        <v>24.01</v>
      </c>
      <c r="M28" s="64">
        <v>101.53</v>
      </c>
      <c r="N28" s="64">
        <v>64.7</v>
      </c>
      <c r="O28" s="64">
        <v>0</v>
      </c>
      <c r="P28" s="64">
        <v>0.36</v>
      </c>
      <c r="Q28" s="64">
        <v>9.2100000000000009</v>
      </c>
      <c r="R28" s="198"/>
      <c r="S28" s="198"/>
      <c r="T28" s="198"/>
      <c r="U28" s="198"/>
    </row>
    <row r="29" spans="1:21" s="12" customFormat="1" x14ac:dyDescent="0.25">
      <c r="A29" s="248" t="s">
        <v>841</v>
      </c>
      <c r="B29" s="64">
        <v>7.97</v>
      </c>
      <c r="C29" s="64">
        <v>3.05</v>
      </c>
      <c r="D29" s="64">
        <v>11.76</v>
      </c>
      <c r="E29" s="64">
        <v>3.42</v>
      </c>
      <c r="F29" s="64">
        <v>3.97</v>
      </c>
      <c r="G29" s="64">
        <v>20.399999999999999</v>
      </c>
      <c r="H29" s="64">
        <v>19.850000000000001</v>
      </c>
      <c r="I29" s="64">
        <v>2.82</v>
      </c>
      <c r="J29" s="64">
        <v>0.08</v>
      </c>
      <c r="K29" s="64">
        <v>65.02</v>
      </c>
      <c r="L29" s="64">
        <v>24.08</v>
      </c>
      <c r="M29" s="64">
        <v>101.55</v>
      </c>
      <c r="N29" s="64">
        <v>73.400000000000006</v>
      </c>
      <c r="O29" s="64">
        <v>0</v>
      </c>
      <c r="P29" s="64">
        <v>0.37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48" t="s">
        <v>842</v>
      </c>
      <c r="B30" s="64">
        <v>8.33</v>
      </c>
      <c r="C30" s="64">
        <v>3.69</v>
      </c>
      <c r="D30" s="64">
        <v>12.38</v>
      </c>
      <c r="E30" s="64">
        <v>3.25</v>
      </c>
      <c r="F30" s="64">
        <v>2.46</v>
      </c>
      <c r="G30" s="64">
        <v>20.399999999999999</v>
      </c>
      <c r="H30" s="64">
        <v>19.850000000000001</v>
      </c>
      <c r="I30" s="64">
        <v>2.9</v>
      </c>
      <c r="J30" s="64">
        <v>0.02</v>
      </c>
      <c r="K30" s="64">
        <v>13.08</v>
      </c>
      <c r="L30" s="64">
        <v>24.11</v>
      </c>
      <c r="M30" s="64">
        <v>101.57</v>
      </c>
      <c r="N30" s="64">
        <v>75</v>
      </c>
      <c r="O30" s="64">
        <v>0</v>
      </c>
      <c r="P30" s="64">
        <v>0.36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48" t="s">
        <v>843</v>
      </c>
      <c r="B31" s="64">
        <v>8.09</v>
      </c>
      <c r="C31" s="64">
        <v>3.24</v>
      </c>
      <c r="D31" s="64">
        <v>11.95</v>
      </c>
      <c r="E31" s="64">
        <v>3.32</v>
      </c>
      <c r="F31" s="64">
        <v>4.2699999999999996</v>
      </c>
      <c r="G31" s="64">
        <v>25.12</v>
      </c>
      <c r="H31" s="64">
        <v>23.74</v>
      </c>
      <c r="I31" s="64">
        <v>2.98</v>
      </c>
      <c r="J31" s="64">
        <v>0.11</v>
      </c>
      <c r="K31" s="64">
        <v>22.55</v>
      </c>
      <c r="L31" s="64">
        <v>24.12</v>
      </c>
      <c r="M31" s="64">
        <v>101.55</v>
      </c>
      <c r="N31" s="64">
        <v>76.3</v>
      </c>
      <c r="O31" s="64">
        <v>0</v>
      </c>
      <c r="P31" s="64">
        <v>0.36</v>
      </c>
      <c r="Q31" s="64">
        <v>9.27</v>
      </c>
      <c r="R31" s="198"/>
      <c r="S31" s="198"/>
      <c r="T31" s="198"/>
      <c r="U31" s="198"/>
    </row>
    <row r="32" spans="1:21" s="12" customFormat="1" x14ac:dyDescent="0.25">
      <c r="A32" s="248" t="s">
        <v>844</v>
      </c>
      <c r="B32" s="64">
        <v>7.97</v>
      </c>
      <c r="C32" s="64">
        <v>3.01</v>
      </c>
      <c r="D32" s="64">
        <v>11.74</v>
      </c>
      <c r="E32" s="64">
        <v>3.45</v>
      </c>
      <c r="F32" s="64">
        <v>2.77</v>
      </c>
      <c r="G32" s="64">
        <v>26.31</v>
      </c>
      <c r="H32" s="64">
        <v>24.71</v>
      </c>
      <c r="I32" s="64">
        <v>3.06</v>
      </c>
      <c r="J32" s="64">
        <v>0.1</v>
      </c>
      <c r="K32" s="64">
        <v>342.18</v>
      </c>
      <c r="L32" s="64">
        <v>24.2</v>
      </c>
      <c r="M32" s="64">
        <v>101.44</v>
      </c>
      <c r="N32" s="64">
        <v>83.1</v>
      </c>
      <c r="O32" s="64">
        <v>0</v>
      </c>
      <c r="P32" s="64">
        <v>0.36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48" t="s">
        <v>845</v>
      </c>
      <c r="B33" s="64">
        <v>7.99</v>
      </c>
      <c r="C33" s="64">
        <v>3</v>
      </c>
      <c r="D33" s="64">
        <v>11.75</v>
      </c>
      <c r="E33" s="64">
        <v>3.41</v>
      </c>
      <c r="F33" s="64">
        <v>3.24</v>
      </c>
      <c r="G33" s="64">
        <v>26.31</v>
      </c>
      <c r="H33" s="64">
        <v>24.71</v>
      </c>
      <c r="I33" s="64">
        <v>3.12</v>
      </c>
      <c r="J33" s="64">
        <v>0.13</v>
      </c>
      <c r="K33" s="64">
        <v>312.29000000000002</v>
      </c>
      <c r="L33" s="64">
        <v>24.27</v>
      </c>
      <c r="M33" s="64">
        <v>101.26</v>
      </c>
      <c r="N33" s="64">
        <v>87.9</v>
      </c>
      <c r="O33" s="64">
        <v>0</v>
      </c>
      <c r="P33" s="64">
        <v>0.35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48" t="s">
        <v>846</v>
      </c>
      <c r="B34" s="64">
        <v>8.25</v>
      </c>
      <c r="C34" s="64">
        <v>3.43</v>
      </c>
      <c r="D34" s="64">
        <v>12.18</v>
      </c>
      <c r="E34" s="64">
        <v>3.25</v>
      </c>
      <c r="F34" s="64">
        <v>3.49</v>
      </c>
      <c r="G34" s="64">
        <v>26.31</v>
      </c>
      <c r="H34" s="64">
        <v>24.71</v>
      </c>
      <c r="I34" s="64">
        <v>3.13</v>
      </c>
      <c r="J34" s="64">
        <v>0.19</v>
      </c>
      <c r="K34" s="64">
        <v>303.83</v>
      </c>
      <c r="L34" s="64">
        <v>24.4</v>
      </c>
      <c r="M34" s="64">
        <v>101.09</v>
      </c>
      <c r="N34" s="64">
        <v>99.3</v>
      </c>
      <c r="O34" s="64">
        <v>0</v>
      </c>
      <c r="P34" s="64">
        <v>0.36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48" t="s">
        <v>847</v>
      </c>
      <c r="B35" s="64">
        <v>8.2200000000000006</v>
      </c>
      <c r="C35" s="64">
        <v>3.36</v>
      </c>
      <c r="D35" s="64">
        <v>12.12</v>
      </c>
      <c r="E35" s="64">
        <v>3.62</v>
      </c>
      <c r="F35" s="64">
        <v>3.48</v>
      </c>
      <c r="G35" s="64">
        <v>20.57</v>
      </c>
      <c r="H35" s="212" t="s">
        <v>42</v>
      </c>
      <c r="I35" s="64">
        <v>3.12</v>
      </c>
      <c r="J35" s="64">
        <v>0.24</v>
      </c>
      <c r="K35" s="64">
        <v>4.1900000000000004</v>
      </c>
      <c r="L35" s="64">
        <v>24.55</v>
      </c>
      <c r="M35" s="64">
        <v>101.09</v>
      </c>
      <c r="N35" s="64">
        <v>130.19999999999999</v>
      </c>
      <c r="O35" s="64">
        <v>0</v>
      </c>
      <c r="P35" s="64">
        <v>0.36</v>
      </c>
      <c r="Q35" s="64">
        <v>9.3000000000000007</v>
      </c>
      <c r="R35" s="198"/>
      <c r="S35" s="198"/>
      <c r="T35" s="198"/>
      <c r="U35" s="198"/>
    </row>
    <row r="36" spans="1:21" s="12" customFormat="1" x14ac:dyDescent="0.25">
      <c r="A36" s="248" t="s">
        <v>848</v>
      </c>
      <c r="B36" s="64">
        <v>8.08</v>
      </c>
      <c r="C36" s="64">
        <v>3.1</v>
      </c>
      <c r="D36" s="64">
        <v>11.87</v>
      </c>
      <c r="E36" s="64">
        <v>5.45</v>
      </c>
      <c r="F36" s="64">
        <v>3.07</v>
      </c>
      <c r="G36" s="64">
        <v>19.13</v>
      </c>
      <c r="H36" s="212" t="s">
        <v>42</v>
      </c>
      <c r="I36" s="64">
        <v>3.13</v>
      </c>
      <c r="J36" s="64">
        <v>0.11</v>
      </c>
      <c r="K36" s="64">
        <v>323.27999999999997</v>
      </c>
      <c r="L36" s="64">
        <v>24.66</v>
      </c>
      <c r="M36" s="64">
        <v>101.09</v>
      </c>
      <c r="N36" s="64">
        <v>134.80000000000001</v>
      </c>
      <c r="O36" s="64">
        <v>0</v>
      </c>
      <c r="P36" s="64">
        <v>0.37</v>
      </c>
      <c r="Q36" s="64">
        <v>9.3000000000000007</v>
      </c>
      <c r="R36" s="198"/>
      <c r="S36" s="198"/>
      <c r="T36" s="198"/>
      <c r="U36" s="198"/>
    </row>
    <row r="37" spans="1:21" s="12" customFormat="1" x14ac:dyDescent="0.25">
      <c r="A37" s="248" t="s">
        <v>849</v>
      </c>
      <c r="B37" s="64">
        <v>8.0299999999999994</v>
      </c>
      <c r="C37" s="64">
        <v>3.05</v>
      </c>
      <c r="D37" s="64">
        <v>11.81</v>
      </c>
      <c r="E37" s="64">
        <v>5.24</v>
      </c>
      <c r="F37" s="64">
        <v>3.3</v>
      </c>
      <c r="G37" s="64">
        <v>19.13</v>
      </c>
      <c r="H37" s="212" t="s">
        <v>42</v>
      </c>
      <c r="I37" s="64">
        <v>3.16</v>
      </c>
      <c r="J37" s="64">
        <v>0.17</v>
      </c>
      <c r="K37" s="64">
        <v>342.31</v>
      </c>
      <c r="L37" s="64">
        <v>24.83</v>
      </c>
      <c r="M37" s="64">
        <v>101.36</v>
      </c>
      <c r="N37" s="64">
        <v>164.6</v>
      </c>
      <c r="O37" s="64">
        <v>0</v>
      </c>
      <c r="P37" s="64">
        <v>0.37</v>
      </c>
      <c r="Q37" s="64">
        <v>9.2899999999999991</v>
      </c>
      <c r="R37" s="198"/>
      <c r="S37" s="198"/>
      <c r="T37" s="198"/>
      <c r="U37" s="198"/>
    </row>
    <row r="38" spans="1:21" s="12" customFormat="1" x14ac:dyDescent="0.25">
      <c r="A38" s="248" t="s">
        <v>850</v>
      </c>
      <c r="B38" s="64">
        <v>8.02</v>
      </c>
      <c r="C38" s="64">
        <v>3.03</v>
      </c>
      <c r="D38" s="64">
        <v>11.79</v>
      </c>
      <c r="E38" s="64">
        <v>4.9800000000000004</v>
      </c>
      <c r="F38" s="64">
        <v>3.45</v>
      </c>
      <c r="G38" s="64">
        <v>19.13</v>
      </c>
      <c r="H38" s="212" t="s">
        <v>42</v>
      </c>
      <c r="I38" s="64">
        <v>3.11</v>
      </c>
      <c r="J38" s="64">
        <v>0.25</v>
      </c>
      <c r="K38" s="64">
        <v>354.72</v>
      </c>
      <c r="L38" s="64">
        <v>25.08</v>
      </c>
      <c r="M38" s="64">
        <v>101.39</v>
      </c>
      <c r="N38" s="64">
        <v>143.9</v>
      </c>
      <c r="O38" s="64">
        <v>0</v>
      </c>
      <c r="P38" s="64">
        <v>0.37</v>
      </c>
      <c r="Q38" s="64">
        <v>9.2799999999999994</v>
      </c>
      <c r="R38" s="198"/>
      <c r="S38" s="198"/>
      <c r="T38" s="198"/>
      <c r="U38" s="198"/>
    </row>
    <row r="39" spans="1:21" s="12" customFormat="1" x14ac:dyDescent="0.25">
      <c r="A39" s="248" t="s">
        <v>851</v>
      </c>
      <c r="B39" s="64">
        <v>8.06</v>
      </c>
      <c r="C39" s="64">
        <v>3.06</v>
      </c>
      <c r="D39" s="64">
        <v>11.84</v>
      </c>
      <c r="E39" s="64">
        <v>5.39</v>
      </c>
      <c r="F39" s="64">
        <v>3.29</v>
      </c>
      <c r="G39" s="64">
        <v>22.33</v>
      </c>
      <c r="H39" s="212" t="s">
        <v>42</v>
      </c>
      <c r="I39" s="64">
        <v>3.17</v>
      </c>
      <c r="J39" s="64">
        <v>0.24</v>
      </c>
      <c r="K39" s="64">
        <v>328.43</v>
      </c>
      <c r="L39" s="64">
        <v>25.16</v>
      </c>
      <c r="M39" s="64">
        <v>101.56</v>
      </c>
      <c r="N39" s="64">
        <v>124.2</v>
      </c>
      <c r="O39" s="64">
        <v>0</v>
      </c>
      <c r="P39" s="64">
        <v>0.38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48" t="s">
        <v>852</v>
      </c>
      <c r="B40" s="64">
        <v>8.0399999999999991</v>
      </c>
      <c r="C40" s="64">
        <v>2.99</v>
      </c>
      <c r="D40" s="64">
        <v>11.78</v>
      </c>
      <c r="E40" s="64">
        <v>5.42</v>
      </c>
      <c r="F40" s="64">
        <v>3.94</v>
      </c>
      <c r="G40" s="64">
        <v>23.12</v>
      </c>
      <c r="H40" s="212" t="s">
        <v>42</v>
      </c>
      <c r="I40" s="64">
        <v>3.13</v>
      </c>
      <c r="J40" s="64">
        <v>0.14000000000000001</v>
      </c>
      <c r="K40" s="64">
        <v>340.09</v>
      </c>
      <c r="L40" s="64">
        <v>25.15</v>
      </c>
      <c r="M40" s="64">
        <v>101.56</v>
      </c>
      <c r="N40" s="64">
        <v>140.19999999999999</v>
      </c>
      <c r="O40" s="64">
        <v>0</v>
      </c>
      <c r="P40" s="64">
        <v>0.39</v>
      </c>
      <c r="Q40" s="64">
        <v>9.2799999999999994</v>
      </c>
      <c r="R40" s="198"/>
      <c r="S40" s="198"/>
      <c r="T40" s="198"/>
      <c r="U40" s="198"/>
    </row>
    <row r="41" spans="1:21" s="12" customFormat="1" x14ac:dyDescent="0.25">
      <c r="A41" s="248" t="s">
        <v>853</v>
      </c>
      <c r="B41" s="64">
        <v>8.02</v>
      </c>
      <c r="C41" s="64">
        <v>3.01</v>
      </c>
      <c r="D41" s="64">
        <v>11.78</v>
      </c>
      <c r="E41" s="64">
        <v>5.24</v>
      </c>
      <c r="F41" s="64">
        <v>3.98</v>
      </c>
      <c r="G41" s="64">
        <v>23.12</v>
      </c>
      <c r="H41" s="212" t="s">
        <v>42</v>
      </c>
      <c r="I41" s="64">
        <v>3.15</v>
      </c>
      <c r="J41" s="64">
        <v>0.22</v>
      </c>
      <c r="K41" s="64">
        <v>352.3</v>
      </c>
      <c r="L41" s="64">
        <v>25.15</v>
      </c>
      <c r="M41" s="64">
        <v>101.52</v>
      </c>
      <c r="N41" s="64">
        <v>171.4</v>
      </c>
      <c r="O41" s="64">
        <v>0.2</v>
      </c>
      <c r="P41" s="64">
        <v>0.4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48" t="s">
        <v>854</v>
      </c>
      <c r="B42" s="64">
        <v>8.3800000000000008</v>
      </c>
      <c r="C42" s="64">
        <v>3.66</v>
      </c>
      <c r="D42" s="64">
        <v>12.41</v>
      </c>
      <c r="E42" s="64">
        <v>5.39</v>
      </c>
      <c r="F42" s="64">
        <v>3.09</v>
      </c>
      <c r="G42" s="64">
        <v>23.12</v>
      </c>
      <c r="H42" s="212" t="s">
        <v>42</v>
      </c>
      <c r="I42" s="64">
        <v>3.18</v>
      </c>
      <c r="J42" s="64">
        <v>0.23</v>
      </c>
      <c r="K42" s="64">
        <v>349.57</v>
      </c>
      <c r="L42" s="64">
        <v>25.32</v>
      </c>
      <c r="M42" s="64">
        <v>101.58</v>
      </c>
      <c r="N42" s="64">
        <v>196.5</v>
      </c>
      <c r="O42" s="64">
        <v>0</v>
      </c>
      <c r="P42" s="64">
        <v>0.39</v>
      </c>
      <c r="Q42" s="64">
        <v>9.25</v>
      </c>
      <c r="R42" s="198"/>
      <c r="S42" s="198"/>
      <c r="T42" s="198"/>
      <c r="U42" s="198"/>
    </row>
    <row r="43" spans="1:21" s="12" customFormat="1" x14ac:dyDescent="0.25">
      <c r="A43" s="248" t="s">
        <v>855</v>
      </c>
      <c r="B43" s="64">
        <v>8.41</v>
      </c>
      <c r="C43" s="64">
        <v>3.72</v>
      </c>
      <c r="D43" s="64">
        <v>12.46</v>
      </c>
      <c r="E43" s="64">
        <v>5.5</v>
      </c>
      <c r="F43" s="64">
        <v>4.17</v>
      </c>
      <c r="G43" s="64">
        <v>19.93</v>
      </c>
      <c r="H43" s="212" t="s">
        <v>42</v>
      </c>
      <c r="I43" s="64">
        <v>3.18</v>
      </c>
      <c r="J43" s="64">
        <v>0.17</v>
      </c>
      <c r="K43" s="64">
        <v>350.26</v>
      </c>
      <c r="L43" s="64">
        <v>25.59</v>
      </c>
      <c r="M43" s="64">
        <v>101.6</v>
      </c>
      <c r="N43" s="64">
        <v>204.4</v>
      </c>
      <c r="O43" s="64">
        <v>0.2</v>
      </c>
      <c r="P43" s="64">
        <v>0.42</v>
      </c>
      <c r="Q43" s="64">
        <v>9.27</v>
      </c>
      <c r="R43" s="198"/>
      <c r="S43" s="198"/>
      <c r="T43" s="198"/>
      <c r="U43" s="198"/>
    </row>
    <row r="44" spans="1:21" s="12" customFormat="1" x14ac:dyDescent="0.25">
      <c r="A44" s="248" t="s">
        <v>856</v>
      </c>
      <c r="B44" s="64">
        <v>8.16</v>
      </c>
      <c r="C44" s="64">
        <v>3.32</v>
      </c>
      <c r="D44" s="64">
        <v>12.05</v>
      </c>
      <c r="E44" s="64">
        <v>5.14</v>
      </c>
      <c r="F44" s="64">
        <v>2.2799999999999998</v>
      </c>
      <c r="G44" s="64">
        <v>19.13</v>
      </c>
      <c r="H44" s="212" t="s">
        <v>42</v>
      </c>
      <c r="I44" s="64">
        <v>3.12</v>
      </c>
      <c r="J44" s="64">
        <v>0.21</v>
      </c>
      <c r="K44" s="64">
        <v>348.72</v>
      </c>
      <c r="L44" s="64">
        <v>25.47</v>
      </c>
      <c r="M44" s="64">
        <v>101.59</v>
      </c>
      <c r="N44" s="64">
        <v>179.3</v>
      </c>
      <c r="O44" s="64">
        <v>0</v>
      </c>
      <c r="P44" s="64">
        <v>0.43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48" t="s">
        <v>857</v>
      </c>
      <c r="B45" s="64">
        <v>8.18</v>
      </c>
      <c r="C45" s="64">
        <v>3.32</v>
      </c>
      <c r="D45" s="64">
        <v>12.07</v>
      </c>
      <c r="E45" s="64">
        <v>4.99</v>
      </c>
      <c r="F45" s="64">
        <v>4.45</v>
      </c>
      <c r="G45" s="64">
        <v>19.13</v>
      </c>
      <c r="H45" s="212" t="s">
        <v>42</v>
      </c>
      <c r="I45" s="64">
        <v>3.17</v>
      </c>
      <c r="J45" s="64">
        <v>0.18</v>
      </c>
      <c r="K45" s="64">
        <v>345.28</v>
      </c>
      <c r="L45" s="64">
        <v>25.74</v>
      </c>
      <c r="M45" s="64">
        <v>101.58</v>
      </c>
      <c r="N45" s="64">
        <v>212.6</v>
      </c>
      <c r="O45" s="64">
        <v>0</v>
      </c>
      <c r="P45" s="64">
        <v>0.45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48" t="s">
        <v>858</v>
      </c>
      <c r="B46" s="64">
        <v>8.1199999999999992</v>
      </c>
      <c r="C46" s="64">
        <v>3.21</v>
      </c>
      <c r="D46" s="64">
        <v>11.96</v>
      </c>
      <c r="E46" s="64">
        <v>5.23</v>
      </c>
      <c r="F46" s="64">
        <v>2.37</v>
      </c>
      <c r="G46" s="64">
        <v>19.13</v>
      </c>
      <c r="H46" s="212" t="s">
        <v>42</v>
      </c>
      <c r="I46" s="64">
        <v>3.13</v>
      </c>
      <c r="J46" s="64">
        <v>0.16</v>
      </c>
      <c r="K46" s="64">
        <v>2.17</v>
      </c>
      <c r="L46" s="64">
        <v>26.27</v>
      </c>
      <c r="M46" s="64">
        <v>101.31</v>
      </c>
      <c r="N46" s="64">
        <v>237.3</v>
      </c>
      <c r="O46" s="64">
        <v>0</v>
      </c>
      <c r="P46" s="64">
        <v>0.47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48" t="s">
        <v>859</v>
      </c>
      <c r="B47" s="64">
        <v>8.23</v>
      </c>
      <c r="C47" s="64">
        <v>3.4</v>
      </c>
      <c r="D47" s="64">
        <v>12.15</v>
      </c>
      <c r="E47" s="64">
        <v>5.04</v>
      </c>
      <c r="F47" s="64">
        <v>4.26</v>
      </c>
      <c r="G47" s="64">
        <v>25.08</v>
      </c>
      <c r="H47" s="212" t="s">
        <v>42</v>
      </c>
      <c r="I47" s="64">
        <v>3.2</v>
      </c>
      <c r="J47" s="64">
        <v>0.21</v>
      </c>
      <c r="K47" s="64">
        <v>343.91</v>
      </c>
      <c r="L47" s="64">
        <v>26.43</v>
      </c>
      <c r="M47" s="64">
        <v>101.3</v>
      </c>
      <c r="N47" s="64">
        <v>223.4</v>
      </c>
      <c r="O47" s="64">
        <v>0</v>
      </c>
      <c r="P47" s="64">
        <v>0.49</v>
      </c>
      <c r="Q47" s="64">
        <v>9.33</v>
      </c>
      <c r="R47" s="198"/>
      <c r="S47" s="198"/>
      <c r="T47" s="198"/>
      <c r="U47" s="198"/>
    </row>
    <row r="48" spans="1:21" s="12" customFormat="1" x14ac:dyDescent="0.25">
      <c r="A48" s="248" t="s">
        <v>860</v>
      </c>
      <c r="B48" s="64">
        <v>8.3800000000000008</v>
      </c>
      <c r="C48" s="64">
        <v>3.8</v>
      </c>
      <c r="D48" s="64">
        <v>12.48</v>
      </c>
      <c r="E48" s="64">
        <v>5.08</v>
      </c>
      <c r="F48" s="64">
        <v>3.5</v>
      </c>
      <c r="G48" s="64">
        <v>26.56</v>
      </c>
      <c r="H48" s="212" t="s">
        <v>42</v>
      </c>
      <c r="I48" s="64">
        <v>3.24</v>
      </c>
      <c r="J48" s="64">
        <v>0.19</v>
      </c>
      <c r="K48" s="64">
        <v>344.76</v>
      </c>
      <c r="L48" s="64">
        <v>26.49</v>
      </c>
      <c r="M48" s="64">
        <v>101.38</v>
      </c>
      <c r="N48" s="64">
        <v>214.2</v>
      </c>
      <c r="O48" s="64">
        <v>0</v>
      </c>
      <c r="P48" s="64">
        <v>0.56999999999999995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48" t="s">
        <v>861</v>
      </c>
      <c r="B49" s="64">
        <v>8.27</v>
      </c>
      <c r="C49" s="64">
        <v>3.66</v>
      </c>
      <c r="D49" s="64">
        <v>12.32</v>
      </c>
      <c r="E49" s="64">
        <v>5.49</v>
      </c>
      <c r="F49" s="64">
        <v>3.47</v>
      </c>
      <c r="G49" s="64">
        <v>26.56</v>
      </c>
      <c r="H49" s="212" t="s">
        <v>42</v>
      </c>
      <c r="I49" s="64">
        <v>3.11</v>
      </c>
      <c r="J49" s="64">
        <v>0.22</v>
      </c>
      <c r="K49" s="64">
        <v>337.46</v>
      </c>
      <c r="L49" s="64">
        <v>26.7</v>
      </c>
      <c r="M49" s="64">
        <v>101.35</v>
      </c>
      <c r="N49" s="64">
        <v>219.1</v>
      </c>
      <c r="O49" s="64">
        <v>0</v>
      </c>
      <c r="P49" s="64">
        <v>0.63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48" t="s">
        <v>862</v>
      </c>
      <c r="B50" s="64">
        <v>8.24</v>
      </c>
      <c r="C50" s="64">
        <v>3.61</v>
      </c>
      <c r="D50" s="64">
        <v>12.27</v>
      </c>
      <c r="E50" s="64">
        <v>4.8600000000000003</v>
      </c>
      <c r="F50" s="64">
        <v>4.08</v>
      </c>
      <c r="G50" s="64">
        <v>26.56</v>
      </c>
      <c r="H50" s="212" t="s">
        <v>42</v>
      </c>
      <c r="I50" s="64">
        <v>3.1</v>
      </c>
      <c r="J50" s="64">
        <v>0.21</v>
      </c>
      <c r="K50" s="64">
        <v>347.01</v>
      </c>
      <c r="L50" s="64">
        <v>26.96</v>
      </c>
      <c r="M50" s="64">
        <v>101.33</v>
      </c>
      <c r="N50" s="64">
        <v>223.8</v>
      </c>
      <c r="O50" s="64">
        <v>0</v>
      </c>
      <c r="P50" s="64">
        <v>0.67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48" t="s">
        <v>863</v>
      </c>
      <c r="B51" s="64">
        <v>8.16</v>
      </c>
      <c r="C51" s="64">
        <v>3.38</v>
      </c>
      <c r="D51" s="64">
        <v>12.08</v>
      </c>
      <c r="E51" s="64">
        <v>5.24</v>
      </c>
      <c r="F51" s="64">
        <v>2.83</v>
      </c>
      <c r="G51" s="64">
        <v>33.700000000000003</v>
      </c>
      <c r="H51" s="64">
        <v>24.94</v>
      </c>
      <c r="I51" s="64">
        <v>3.16</v>
      </c>
      <c r="J51" s="64">
        <v>0.2</v>
      </c>
      <c r="K51" s="64">
        <v>341.41</v>
      </c>
      <c r="L51" s="64">
        <v>27.2</v>
      </c>
      <c r="M51" s="64">
        <v>101.39</v>
      </c>
      <c r="N51" s="64">
        <v>204.8</v>
      </c>
      <c r="O51" s="64">
        <v>0</v>
      </c>
      <c r="P51" s="64">
        <v>0.69</v>
      </c>
      <c r="Q51" s="64">
        <v>9.4700000000000006</v>
      </c>
      <c r="R51" s="198"/>
      <c r="S51" s="198"/>
      <c r="T51" s="198"/>
      <c r="U51" s="198"/>
    </row>
    <row r="52" spans="1:21" s="12" customFormat="1" x14ac:dyDescent="0.25">
      <c r="A52" s="248" t="s">
        <v>864</v>
      </c>
      <c r="B52" s="64">
        <v>8.1</v>
      </c>
      <c r="C52" s="64">
        <v>3.24</v>
      </c>
      <c r="D52" s="64">
        <v>11.96</v>
      </c>
      <c r="E52" s="64">
        <v>4.3</v>
      </c>
      <c r="F52" s="64">
        <v>3.23</v>
      </c>
      <c r="G52" s="64">
        <v>35.479999999999997</v>
      </c>
      <c r="H52" s="64">
        <v>22.61</v>
      </c>
      <c r="I52" s="64">
        <v>3.17</v>
      </c>
      <c r="J52" s="64">
        <v>0.19</v>
      </c>
      <c r="K52" s="64">
        <v>325.75</v>
      </c>
      <c r="L52" s="64">
        <v>26.96</v>
      </c>
      <c r="M52" s="64">
        <v>101.46</v>
      </c>
      <c r="N52" s="64">
        <v>182.9</v>
      </c>
      <c r="O52" s="64">
        <v>0</v>
      </c>
      <c r="P52" s="64">
        <v>0.7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48" t="s">
        <v>865</v>
      </c>
      <c r="B53" s="64">
        <v>8.0500000000000007</v>
      </c>
      <c r="C53" s="64">
        <v>3.1</v>
      </c>
      <c r="D53" s="64">
        <v>11.85</v>
      </c>
      <c r="E53" s="64">
        <v>4.9800000000000004</v>
      </c>
      <c r="F53" s="64">
        <v>3.46</v>
      </c>
      <c r="G53" s="64">
        <v>35.479999999999997</v>
      </c>
      <c r="H53" s="64">
        <v>22.61</v>
      </c>
      <c r="I53" s="64">
        <v>3.22</v>
      </c>
      <c r="J53" s="64">
        <v>0.19</v>
      </c>
      <c r="K53" s="64">
        <v>315.81</v>
      </c>
      <c r="L53" s="64">
        <v>27.03</v>
      </c>
      <c r="M53" s="64">
        <v>101.53</v>
      </c>
      <c r="N53" s="64">
        <v>186.8</v>
      </c>
      <c r="O53" s="64">
        <v>0</v>
      </c>
      <c r="P53" s="64">
        <v>0.71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48" t="s">
        <v>866</v>
      </c>
      <c r="B54" s="64">
        <v>8.17</v>
      </c>
      <c r="C54" s="64">
        <v>3.28</v>
      </c>
      <c r="D54" s="64">
        <v>12.04</v>
      </c>
      <c r="E54" s="64">
        <v>4.71</v>
      </c>
      <c r="F54" s="64">
        <v>3.69</v>
      </c>
      <c r="G54" s="64">
        <v>35.479999999999997</v>
      </c>
      <c r="H54" s="64">
        <v>22.61</v>
      </c>
      <c r="I54" s="64">
        <v>3.32</v>
      </c>
      <c r="J54" s="64">
        <v>0.18</v>
      </c>
      <c r="K54" s="64">
        <v>311.05</v>
      </c>
      <c r="L54" s="64">
        <v>27.31</v>
      </c>
      <c r="M54" s="64">
        <v>101.56</v>
      </c>
      <c r="N54" s="64">
        <v>204.6</v>
      </c>
      <c r="O54" s="64">
        <v>0</v>
      </c>
      <c r="P54" s="64">
        <v>0.73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48" t="s">
        <v>867</v>
      </c>
      <c r="B55" s="64">
        <v>8.2100000000000009</v>
      </c>
      <c r="C55" s="64">
        <v>3.27</v>
      </c>
      <c r="D55" s="64">
        <v>12.07</v>
      </c>
      <c r="E55" s="64">
        <v>5.16</v>
      </c>
      <c r="F55" s="64">
        <v>3.44</v>
      </c>
      <c r="G55" s="64">
        <v>27.03</v>
      </c>
      <c r="H55" s="64">
        <v>16.82</v>
      </c>
      <c r="I55" s="64">
        <v>3.56</v>
      </c>
      <c r="J55" s="64">
        <v>0.16</v>
      </c>
      <c r="K55" s="64">
        <v>343.9</v>
      </c>
      <c r="L55" s="64">
        <v>27.39</v>
      </c>
      <c r="M55" s="64">
        <v>101.52</v>
      </c>
      <c r="N55" s="64">
        <v>197.6</v>
      </c>
      <c r="O55" s="64">
        <v>0</v>
      </c>
      <c r="P55" s="64">
        <v>0.75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48" t="s">
        <v>868</v>
      </c>
      <c r="B56" s="64">
        <v>8.2100000000000009</v>
      </c>
      <c r="C56" s="64">
        <v>3.35</v>
      </c>
      <c r="D56" s="64">
        <v>12.1</v>
      </c>
      <c r="E56" s="64">
        <v>5.0999999999999996</v>
      </c>
      <c r="F56" s="64">
        <v>3.83</v>
      </c>
      <c r="G56" s="64">
        <v>24.92</v>
      </c>
      <c r="H56" s="64">
        <v>15.37</v>
      </c>
      <c r="I56" s="64">
        <v>3.69</v>
      </c>
      <c r="J56" s="64">
        <v>0.19</v>
      </c>
      <c r="K56" s="64">
        <v>314.02</v>
      </c>
      <c r="L56" s="64">
        <v>27.41</v>
      </c>
      <c r="M56" s="64">
        <v>101.58</v>
      </c>
      <c r="N56" s="64">
        <v>197.9</v>
      </c>
      <c r="O56" s="64">
        <v>0</v>
      </c>
      <c r="P56" s="64">
        <v>0.76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48" t="s">
        <v>869</v>
      </c>
      <c r="B57" s="64">
        <v>8.2100000000000009</v>
      </c>
      <c r="C57" s="64">
        <v>3.42</v>
      </c>
      <c r="D57" s="64">
        <v>12.14</v>
      </c>
      <c r="E57" s="64">
        <v>5.07</v>
      </c>
      <c r="F57" s="64">
        <v>3.47</v>
      </c>
      <c r="G57" s="64">
        <v>24.92</v>
      </c>
      <c r="H57" s="64">
        <v>15.37</v>
      </c>
      <c r="I57" s="64">
        <v>3.81</v>
      </c>
      <c r="J57" s="64">
        <v>0.19</v>
      </c>
      <c r="K57" s="64">
        <v>300.77999999999997</v>
      </c>
      <c r="L57" s="64">
        <v>27.63</v>
      </c>
      <c r="M57" s="64">
        <v>101.57</v>
      </c>
      <c r="N57" s="64">
        <v>188</v>
      </c>
      <c r="O57" s="64">
        <v>0</v>
      </c>
      <c r="P57" s="64">
        <v>0.75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48" t="s">
        <v>870</v>
      </c>
      <c r="B58" s="64">
        <v>8.36</v>
      </c>
      <c r="C58" s="64">
        <v>3.71</v>
      </c>
      <c r="D58" s="64">
        <v>12.41</v>
      </c>
      <c r="E58" s="64">
        <v>5.04</v>
      </c>
      <c r="F58" s="64">
        <v>3.55</v>
      </c>
      <c r="G58" s="64">
        <v>24.92</v>
      </c>
      <c r="H58" s="64">
        <v>15.37</v>
      </c>
      <c r="I58" s="64">
        <v>3.86</v>
      </c>
      <c r="J58" s="64">
        <v>0.2</v>
      </c>
      <c r="K58" s="64">
        <v>312.68</v>
      </c>
      <c r="L58" s="64">
        <v>27.76</v>
      </c>
      <c r="M58" s="64">
        <v>101.53</v>
      </c>
      <c r="N58" s="64">
        <v>175.3</v>
      </c>
      <c r="O58" s="64">
        <v>0</v>
      </c>
      <c r="P58" s="64">
        <v>0.81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48" t="s">
        <v>871</v>
      </c>
      <c r="B59" s="64">
        <v>8.25</v>
      </c>
      <c r="C59" s="64">
        <v>3.38</v>
      </c>
      <c r="D59" s="64">
        <v>12.15</v>
      </c>
      <c r="E59" s="64">
        <v>5.2</v>
      </c>
      <c r="F59" s="64">
        <v>3.73</v>
      </c>
      <c r="G59" s="64">
        <v>54.52</v>
      </c>
      <c r="H59" s="64">
        <v>19.82</v>
      </c>
      <c r="I59" s="64">
        <v>3.91</v>
      </c>
      <c r="J59" s="64">
        <v>0.15</v>
      </c>
      <c r="K59" s="64">
        <v>287.8</v>
      </c>
      <c r="L59" s="64">
        <v>27.56</v>
      </c>
      <c r="M59" s="64">
        <v>101.52</v>
      </c>
      <c r="N59" s="64">
        <v>173.6</v>
      </c>
      <c r="O59" s="64">
        <v>0</v>
      </c>
      <c r="P59" s="64">
        <v>0.82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48" t="s">
        <v>872</v>
      </c>
      <c r="B60" s="64">
        <v>9.1</v>
      </c>
      <c r="C60" s="64">
        <v>4.79</v>
      </c>
      <c r="D60" s="64">
        <v>13.58</v>
      </c>
      <c r="E60" s="64">
        <v>5.26</v>
      </c>
      <c r="F60" s="64">
        <v>2.67</v>
      </c>
      <c r="G60" s="64">
        <v>61.91</v>
      </c>
      <c r="H60" s="64">
        <v>20.93</v>
      </c>
      <c r="I60" s="64">
        <v>3.99</v>
      </c>
      <c r="J60" s="64">
        <v>0.19</v>
      </c>
      <c r="K60" s="64">
        <v>265.04000000000002</v>
      </c>
      <c r="L60" s="64">
        <v>27.3</v>
      </c>
      <c r="M60" s="64">
        <v>101.54</v>
      </c>
      <c r="N60" s="64">
        <v>210.2</v>
      </c>
      <c r="O60" s="64">
        <v>0</v>
      </c>
      <c r="P60" s="64">
        <v>0.81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48" t="s">
        <v>873</v>
      </c>
      <c r="B61" s="64">
        <v>8.74</v>
      </c>
      <c r="C61" s="64">
        <v>4.32</v>
      </c>
      <c r="D61" s="64">
        <v>13.04</v>
      </c>
      <c r="E61" s="64">
        <v>5.18</v>
      </c>
      <c r="F61" s="64">
        <v>4.1500000000000004</v>
      </c>
      <c r="G61" s="64">
        <v>61.91</v>
      </c>
      <c r="H61" s="64">
        <v>20.93</v>
      </c>
      <c r="I61" s="64">
        <v>4.0999999999999996</v>
      </c>
      <c r="J61" s="64">
        <v>0.19</v>
      </c>
      <c r="K61" s="64">
        <v>315.24</v>
      </c>
      <c r="L61" s="64">
        <v>27.79</v>
      </c>
      <c r="M61" s="64">
        <v>101.6</v>
      </c>
      <c r="N61" s="64">
        <v>207.4</v>
      </c>
      <c r="O61" s="64">
        <v>0</v>
      </c>
      <c r="P61" s="64">
        <v>0.82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48" t="s">
        <v>874</v>
      </c>
      <c r="B62" s="64">
        <v>9.44</v>
      </c>
      <c r="C62" s="64">
        <v>5.44</v>
      </c>
      <c r="D62" s="64">
        <v>14.19</v>
      </c>
      <c r="E62" s="64">
        <v>5.26</v>
      </c>
      <c r="F62" s="64">
        <v>4.29</v>
      </c>
      <c r="G62" s="64">
        <v>61.91</v>
      </c>
      <c r="H62" s="64">
        <v>20.93</v>
      </c>
      <c r="I62" s="64">
        <v>4.16</v>
      </c>
      <c r="J62" s="64">
        <v>0.15</v>
      </c>
      <c r="K62" s="64">
        <v>318.47000000000003</v>
      </c>
      <c r="L62" s="64">
        <v>28.03</v>
      </c>
      <c r="M62" s="64">
        <v>101.6</v>
      </c>
      <c r="N62" s="64">
        <v>204.1</v>
      </c>
      <c r="O62" s="64">
        <v>0</v>
      </c>
      <c r="P62" s="64">
        <v>0.83</v>
      </c>
      <c r="Q62" s="64">
        <v>9.69</v>
      </c>
      <c r="R62" s="198"/>
      <c r="S62" s="198"/>
      <c r="T62" s="198"/>
      <c r="U62" s="198"/>
    </row>
    <row r="63" spans="1:21" s="12" customFormat="1" x14ac:dyDescent="0.25">
      <c r="A63" s="248" t="s">
        <v>875</v>
      </c>
      <c r="B63" s="64">
        <v>9.48</v>
      </c>
      <c r="C63" s="64">
        <v>5.37</v>
      </c>
      <c r="D63" s="64">
        <v>14.19</v>
      </c>
      <c r="E63" s="64">
        <v>5.5</v>
      </c>
      <c r="F63" s="64">
        <v>3.35</v>
      </c>
      <c r="G63" s="64">
        <v>44.15</v>
      </c>
      <c r="H63" s="64">
        <v>16.239999999999998</v>
      </c>
      <c r="I63" s="64">
        <v>4.26</v>
      </c>
      <c r="J63" s="64">
        <v>0.18</v>
      </c>
      <c r="K63" s="64">
        <v>274.93</v>
      </c>
      <c r="L63" s="64">
        <v>27.51</v>
      </c>
      <c r="M63" s="64">
        <v>101.6</v>
      </c>
      <c r="N63" s="64">
        <v>179.3</v>
      </c>
      <c r="O63" s="64">
        <v>0</v>
      </c>
      <c r="P63" s="64">
        <v>0.84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48" t="s">
        <v>876</v>
      </c>
      <c r="B64" s="64">
        <v>9.42</v>
      </c>
      <c r="C64" s="64">
        <v>5.41</v>
      </c>
      <c r="D64" s="64">
        <v>14.15</v>
      </c>
      <c r="E64" s="64">
        <v>5.27</v>
      </c>
      <c r="F64" s="64">
        <v>3.44</v>
      </c>
      <c r="G64" s="64">
        <v>39.700000000000003</v>
      </c>
      <c r="H64" s="64">
        <v>15.07</v>
      </c>
      <c r="I64" s="64">
        <v>4.4000000000000004</v>
      </c>
      <c r="J64" s="64">
        <v>0.15</v>
      </c>
      <c r="K64" s="64">
        <v>290.36</v>
      </c>
      <c r="L64" s="64">
        <v>27.5</v>
      </c>
      <c r="M64" s="64">
        <v>101.62</v>
      </c>
      <c r="N64" s="64">
        <v>174.4</v>
      </c>
      <c r="O64" s="64">
        <v>0</v>
      </c>
      <c r="P64" s="64">
        <v>0.83</v>
      </c>
      <c r="Q64" s="64">
        <v>9.67</v>
      </c>
      <c r="R64" s="198"/>
      <c r="S64" s="198"/>
      <c r="T64" s="198"/>
      <c r="U64" s="198"/>
    </row>
    <row r="65" spans="1:21" s="12" customFormat="1" x14ac:dyDescent="0.25">
      <c r="A65" s="248" t="s">
        <v>877</v>
      </c>
      <c r="B65" s="64">
        <v>9.15</v>
      </c>
      <c r="C65" s="64">
        <v>4.95</v>
      </c>
      <c r="D65" s="64">
        <v>13.7</v>
      </c>
      <c r="E65" s="64">
        <v>5.38</v>
      </c>
      <c r="F65" s="64">
        <v>3.53</v>
      </c>
      <c r="G65" s="64">
        <v>39.700000000000003</v>
      </c>
      <c r="H65" s="64">
        <v>15.07</v>
      </c>
      <c r="I65" s="64">
        <v>4.49</v>
      </c>
      <c r="J65" s="64">
        <v>0.15</v>
      </c>
      <c r="K65" s="64">
        <v>340.85</v>
      </c>
      <c r="L65" s="64">
        <v>27.6</v>
      </c>
      <c r="M65" s="64">
        <v>101.62</v>
      </c>
      <c r="N65" s="64">
        <v>180.8</v>
      </c>
      <c r="O65" s="64">
        <v>0</v>
      </c>
      <c r="P65" s="64">
        <v>0.81</v>
      </c>
      <c r="Q65" s="64">
        <v>9.73</v>
      </c>
      <c r="R65" s="198"/>
      <c r="S65" s="198"/>
      <c r="T65" s="198"/>
      <c r="U65" s="198"/>
    </row>
    <row r="66" spans="1:21" s="12" customFormat="1" x14ac:dyDescent="0.25">
      <c r="A66" s="248" t="s">
        <v>878</v>
      </c>
      <c r="B66" s="249" t="s">
        <v>32</v>
      </c>
      <c r="C66" s="249" t="s">
        <v>32</v>
      </c>
      <c r="D66" s="249" t="s">
        <v>32</v>
      </c>
      <c r="E66" s="249" t="s">
        <v>32</v>
      </c>
      <c r="F66" s="249" t="s">
        <v>32</v>
      </c>
      <c r="G66" s="249" t="s">
        <v>32</v>
      </c>
      <c r="H66" s="249" t="s">
        <v>32</v>
      </c>
      <c r="I66" s="249" t="s">
        <v>32</v>
      </c>
      <c r="J66" s="249" t="s">
        <v>32</v>
      </c>
      <c r="K66" s="249" t="s">
        <v>32</v>
      </c>
      <c r="L66" s="249" t="s">
        <v>32</v>
      </c>
      <c r="M66" s="249" t="s">
        <v>32</v>
      </c>
      <c r="N66" s="249" t="s">
        <v>32</v>
      </c>
      <c r="O66" s="249" t="s">
        <v>32</v>
      </c>
      <c r="P66" s="249" t="s">
        <v>32</v>
      </c>
      <c r="Q66" s="249" t="s">
        <v>32</v>
      </c>
      <c r="R66" s="198"/>
      <c r="S66" s="198"/>
      <c r="T66" s="198"/>
      <c r="U66" s="198"/>
    </row>
    <row r="67" spans="1:21" s="12" customFormat="1" x14ac:dyDescent="0.25">
      <c r="A67" s="248" t="s">
        <v>879</v>
      </c>
      <c r="B67" s="249" t="s">
        <v>32</v>
      </c>
      <c r="C67" s="249" t="s">
        <v>32</v>
      </c>
      <c r="D67" s="249" t="s">
        <v>32</v>
      </c>
      <c r="E67" s="249" t="s">
        <v>32</v>
      </c>
      <c r="F67" s="249" t="s">
        <v>32</v>
      </c>
      <c r="G67" s="249" t="s">
        <v>32</v>
      </c>
      <c r="H67" s="249" t="s">
        <v>32</v>
      </c>
      <c r="I67" s="249" t="s">
        <v>32</v>
      </c>
      <c r="J67" s="249" t="s">
        <v>32</v>
      </c>
      <c r="K67" s="249" t="s">
        <v>32</v>
      </c>
      <c r="L67" s="249" t="s">
        <v>32</v>
      </c>
      <c r="M67" s="249" t="s">
        <v>32</v>
      </c>
      <c r="N67" s="249" t="s">
        <v>32</v>
      </c>
      <c r="O67" s="249" t="s">
        <v>32</v>
      </c>
      <c r="P67" s="249" t="s">
        <v>32</v>
      </c>
      <c r="Q67" s="249" t="s">
        <v>32</v>
      </c>
      <c r="R67" s="198"/>
      <c r="S67" s="198"/>
      <c r="T67" s="198"/>
      <c r="U67" s="198"/>
    </row>
    <row r="68" spans="1:21" s="12" customFormat="1" x14ac:dyDescent="0.25">
      <c r="A68" s="248" t="s">
        <v>880</v>
      </c>
      <c r="B68" s="249" t="s">
        <v>32</v>
      </c>
      <c r="C68" s="249" t="s">
        <v>32</v>
      </c>
      <c r="D68" s="249" t="s">
        <v>32</v>
      </c>
      <c r="E68" s="249" t="s">
        <v>32</v>
      </c>
      <c r="F68" s="249" t="s">
        <v>32</v>
      </c>
      <c r="G68" s="249" t="s">
        <v>32</v>
      </c>
      <c r="H68" s="249" t="s">
        <v>32</v>
      </c>
      <c r="I68" s="249" t="s">
        <v>32</v>
      </c>
      <c r="J68" s="249" t="s">
        <v>32</v>
      </c>
      <c r="K68" s="249" t="s">
        <v>32</v>
      </c>
      <c r="L68" s="249" t="s">
        <v>32</v>
      </c>
      <c r="M68" s="249" t="s">
        <v>32</v>
      </c>
      <c r="N68" s="249" t="s">
        <v>32</v>
      </c>
      <c r="O68" s="249" t="s">
        <v>32</v>
      </c>
      <c r="P68" s="249" t="s">
        <v>32</v>
      </c>
      <c r="Q68" s="249" t="s">
        <v>32</v>
      </c>
      <c r="R68" s="198"/>
      <c r="S68" s="198"/>
      <c r="T68" s="198"/>
      <c r="U68" s="198"/>
    </row>
    <row r="69" spans="1:21" s="12" customFormat="1" x14ac:dyDescent="0.25">
      <c r="A69" s="248" t="s">
        <v>881</v>
      </c>
      <c r="B69" s="64">
        <v>9.15</v>
      </c>
      <c r="C69" s="64">
        <v>4.95</v>
      </c>
      <c r="D69" s="64">
        <v>13.7</v>
      </c>
      <c r="E69" s="64">
        <v>5.38</v>
      </c>
      <c r="F69" s="64">
        <v>3.53</v>
      </c>
      <c r="G69" s="64">
        <v>39.700000000000003</v>
      </c>
      <c r="H69" s="64">
        <v>15.07</v>
      </c>
      <c r="I69" s="64">
        <v>4.49</v>
      </c>
      <c r="J69" s="64">
        <v>0.15</v>
      </c>
      <c r="K69" s="64">
        <v>340.85</v>
      </c>
      <c r="L69" s="64">
        <v>27.6</v>
      </c>
      <c r="M69" s="64">
        <v>101.62</v>
      </c>
      <c r="N69" s="64">
        <v>180.8</v>
      </c>
      <c r="O69" s="64">
        <v>0</v>
      </c>
      <c r="P69" s="64">
        <v>0.81</v>
      </c>
      <c r="Q69" s="64">
        <v>9.73</v>
      </c>
      <c r="R69" s="198"/>
      <c r="S69" s="198"/>
      <c r="T69" s="198"/>
      <c r="U69" s="198"/>
    </row>
    <row r="70" spans="1:21" s="12" customFormat="1" x14ac:dyDescent="0.25">
      <c r="A70" s="248" t="s">
        <v>882</v>
      </c>
      <c r="B70" s="64">
        <v>9.34</v>
      </c>
      <c r="C70" s="64">
        <v>5.43</v>
      </c>
      <c r="D70" s="64">
        <v>14.1</v>
      </c>
      <c r="E70" s="64">
        <v>5.15</v>
      </c>
      <c r="F70" s="64">
        <v>3.28</v>
      </c>
      <c r="G70" s="64">
        <v>39.700000000000003</v>
      </c>
      <c r="H70" s="64">
        <v>15.07</v>
      </c>
      <c r="I70" s="64">
        <v>4.5</v>
      </c>
      <c r="J70" s="64">
        <v>0.22</v>
      </c>
      <c r="K70" s="64">
        <v>334.98</v>
      </c>
      <c r="L70" s="64">
        <v>27.69</v>
      </c>
      <c r="M70" s="64">
        <v>101.63</v>
      </c>
      <c r="N70" s="64">
        <v>142</v>
      </c>
      <c r="O70" s="64">
        <v>0</v>
      </c>
      <c r="P70" s="64">
        <v>0.78</v>
      </c>
      <c r="Q70" s="64">
        <v>9.74</v>
      </c>
      <c r="R70" s="198"/>
      <c r="S70" s="198"/>
      <c r="T70" s="198"/>
      <c r="U70" s="198"/>
    </row>
    <row r="71" spans="1:21" s="12" customFormat="1" x14ac:dyDescent="0.25">
      <c r="A71" s="248" t="s">
        <v>883</v>
      </c>
      <c r="B71" s="64">
        <v>9.51</v>
      </c>
      <c r="C71" s="64">
        <v>5.65</v>
      </c>
      <c r="D71" s="64">
        <v>14.35</v>
      </c>
      <c r="E71" s="64">
        <v>5.01</v>
      </c>
      <c r="F71" s="64">
        <v>3.64</v>
      </c>
      <c r="G71" s="64">
        <v>74.209999999999994</v>
      </c>
      <c r="H71" s="64">
        <v>26.86</v>
      </c>
      <c r="I71" s="64">
        <v>4.49</v>
      </c>
      <c r="J71" s="64">
        <v>0.18</v>
      </c>
      <c r="K71" s="64">
        <v>315.48</v>
      </c>
      <c r="L71" s="64">
        <v>27.68</v>
      </c>
      <c r="M71" s="64">
        <v>101.63</v>
      </c>
      <c r="N71" s="64">
        <v>123.5</v>
      </c>
      <c r="O71" s="64">
        <v>0.2</v>
      </c>
      <c r="P71" s="64">
        <v>0.77</v>
      </c>
      <c r="Q71" s="64">
        <v>9.73</v>
      </c>
      <c r="R71" s="198"/>
      <c r="S71" s="198"/>
      <c r="T71" s="198"/>
      <c r="U71" s="198"/>
    </row>
    <row r="72" spans="1:21" s="12" customFormat="1" x14ac:dyDescent="0.25">
      <c r="A72" s="248" t="s">
        <v>884</v>
      </c>
      <c r="B72" s="64">
        <v>9.34</v>
      </c>
      <c r="C72" s="64">
        <v>5.44</v>
      </c>
      <c r="D72" s="64">
        <v>14.11</v>
      </c>
      <c r="E72" s="64">
        <v>4.2</v>
      </c>
      <c r="F72" s="64">
        <v>3.52</v>
      </c>
      <c r="G72" s="64">
        <v>82.83</v>
      </c>
      <c r="H72" s="64">
        <v>29.81</v>
      </c>
      <c r="I72" s="64">
        <v>4.33</v>
      </c>
      <c r="J72" s="64">
        <v>0.11</v>
      </c>
      <c r="K72" s="64">
        <v>159.55000000000001</v>
      </c>
      <c r="L72" s="64">
        <v>27.09</v>
      </c>
      <c r="M72" s="64">
        <v>101.68</v>
      </c>
      <c r="N72" s="64">
        <v>120.3</v>
      </c>
      <c r="O72" s="64">
        <v>0.6</v>
      </c>
      <c r="P72" s="64">
        <v>0.75</v>
      </c>
      <c r="Q72" s="64">
        <v>9.6999999999999993</v>
      </c>
      <c r="R72" s="198"/>
      <c r="S72" s="198"/>
      <c r="T72" s="198"/>
      <c r="U72" s="198"/>
    </row>
    <row r="73" spans="1:21" s="12" customFormat="1" x14ac:dyDescent="0.25">
      <c r="A73" s="248" t="s">
        <v>885</v>
      </c>
      <c r="B73" s="64">
        <v>8.61</v>
      </c>
      <c r="C73" s="64">
        <v>4.26</v>
      </c>
      <c r="D73" s="64">
        <v>12.91</v>
      </c>
      <c r="E73" s="64">
        <v>4.26</v>
      </c>
      <c r="F73" s="64">
        <v>3.65</v>
      </c>
      <c r="G73" s="64">
        <v>82.83</v>
      </c>
      <c r="H73" s="64">
        <v>29.81</v>
      </c>
      <c r="I73" s="64">
        <v>4.29</v>
      </c>
      <c r="J73" s="64">
        <v>0.2</v>
      </c>
      <c r="K73" s="64">
        <v>298.27</v>
      </c>
      <c r="L73" s="64">
        <v>26.86</v>
      </c>
      <c r="M73" s="64">
        <v>101.72</v>
      </c>
      <c r="N73" s="64">
        <v>111.5</v>
      </c>
      <c r="O73" s="64">
        <v>0</v>
      </c>
      <c r="P73" s="64">
        <v>0.71</v>
      </c>
      <c r="Q73" s="64">
        <v>9.66</v>
      </c>
      <c r="R73" s="198"/>
      <c r="S73" s="198"/>
      <c r="T73" s="198"/>
      <c r="U73" s="198"/>
    </row>
    <row r="74" spans="1:21" s="12" customFormat="1" x14ac:dyDescent="0.25">
      <c r="A74" s="248" t="s">
        <v>886</v>
      </c>
      <c r="B74" s="64">
        <v>8.15</v>
      </c>
      <c r="C74" s="64">
        <v>3.38</v>
      </c>
      <c r="D74" s="64">
        <v>12.08</v>
      </c>
      <c r="E74" s="64">
        <v>4.3899999999999997</v>
      </c>
      <c r="F74" s="64">
        <v>3.83</v>
      </c>
      <c r="G74" s="64">
        <v>82.83</v>
      </c>
      <c r="H74" s="64">
        <v>29.81</v>
      </c>
      <c r="I74" s="64">
        <v>4.12</v>
      </c>
      <c r="J74" s="64">
        <v>0.12</v>
      </c>
      <c r="K74" s="64">
        <v>291.67</v>
      </c>
      <c r="L74" s="64">
        <v>26.87</v>
      </c>
      <c r="M74" s="64">
        <v>101.73</v>
      </c>
      <c r="N74" s="64">
        <v>122.6</v>
      </c>
      <c r="O74" s="64">
        <v>0</v>
      </c>
      <c r="P74" s="64">
        <v>0.7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48" t="s">
        <v>887</v>
      </c>
      <c r="B75" s="64">
        <v>8.09</v>
      </c>
      <c r="C75" s="64">
        <v>3.16</v>
      </c>
      <c r="D75" s="64">
        <v>11.91</v>
      </c>
      <c r="E75" s="64">
        <v>4.5199999999999996</v>
      </c>
      <c r="F75" s="64">
        <v>3.63</v>
      </c>
      <c r="G75" s="64">
        <v>73.430000000000007</v>
      </c>
      <c r="H75" s="64">
        <v>33.200000000000003</v>
      </c>
      <c r="I75" s="64">
        <v>3.88</v>
      </c>
      <c r="J75" s="64">
        <v>0.13</v>
      </c>
      <c r="K75" s="64">
        <v>317.62</v>
      </c>
      <c r="L75" s="64">
        <v>26.85</v>
      </c>
      <c r="M75" s="64">
        <v>101.74</v>
      </c>
      <c r="N75" s="64">
        <v>130</v>
      </c>
      <c r="O75" s="64">
        <v>0</v>
      </c>
      <c r="P75" s="64">
        <v>0.7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48" t="s">
        <v>888</v>
      </c>
      <c r="B76" s="64">
        <v>8.08</v>
      </c>
      <c r="C76" s="64">
        <v>3.07</v>
      </c>
      <c r="D76" s="64">
        <v>11.86</v>
      </c>
      <c r="E76" s="64">
        <v>4.55</v>
      </c>
      <c r="F76" s="64">
        <v>3.58</v>
      </c>
      <c r="G76" s="64">
        <v>71.069999999999993</v>
      </c>
      <c r="H76" s="64">
        <v>34.049999999999997</v>
      </c>
      <c r="I76" s="64">
        <v>3.68</v>
      </c>
      <c r="J76" s="64">
        <v>0.14000000000000001</v>
      </c>
      <c r="K76" s="64">
        <v>334.24</v>
      </c>
      <c r="L76" s="64">
        <v>27.05</v>
      </c>
      <c r="M76" s="64">
        <v>101.73</v>
      </c>
      <c r="N76" s="64">
        <v>121</v>
      </c>
      <c r="O76" s="64">
        <v>0</v>
      </c>
      <c r="P76" s="64">
        <v>0.7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48" t="s">
        <v>889</v>
      </c>
      <c r="B77" s="64">
        <v>8.08</v>
      </c>
      <c r="C77" s="64">
        <v>3.12</v>
      </c>
      <c r="D77" s="64">
        <v>11.89</v>
      </c>
      <c r="E77" s="64">
        <v>4.91</v>
      </c>
      <c r="F77" s="64">
        <v>3.53</v>
      </c>
      <c r="G77" s="64">
        <v>71.069999999999993</v>
      </c>
      <c r="H77" s="64">
        <v>34.049999999999997</v>
      </c>
      <c r="I77" s="64">
        <v>3.76</v>
      </c>
      <c r="J77" s="64">
        <v>0.15</v>
      </c>
      <c r="K77" s="64">
        <v>313.77</v>
      </c>
      <c r="L77" s="64">
        <v>27.06</v>
      </c>
      <c r="M77" s="64">
        <v>101.74</v>
      </c>
      <c r="N77" s="64">
        <v>104</v>
      </c>
      <c r="O77" s="64">
        <v>0</v>
      </c>
      <c r="P77" s="64">
        <v>0.7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48" t="s">
        <v>890</v>
      </c>
      <c r="B78" s="64">
        <v>8.07</v>
      </c>
      <c r="C78" s="64">
        <v>3.15</v>
      </c>
      <c r="D78" s="64">
        <v>11.9</v>
      </c>
      <c r="E78" s="64">
        <v>4.67</v>
      </c>
      <c r="F78" s="64">
        <v>3.21</v>
      </c>
      <c r="G78" s="64">
        <v>71.069999999999993</v>
      </c>
      <c r="H78" s="64">
        <v>34.049999999999997</v>
      </c>
      <c r="I78" s="64">
        <v>3.86</v>
      </c>
      <c r="J78" s="64">
        <v>0.15</v>
      </c>
      <c r="K78" s="64">
        <v>304.61</v>
      </c>
      <c r="L78" s="64">
        <v>26.89</v>
      </c>
      <c r="M78" s="64">
        <v>101.75</v>
      </c>
      <c r="N78" s="64">
        <v>84.1</v>
      </c>
      <c r="O78" s="64">
        <v>0</v>
      </c>
      <c r="P78" s="64">
        <v>0.7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48" t="s">
        <v>891</v>
      </c>
      <c r="B79" s="64">
        <v>8.26</v>
      </c>
      <c r="C79" s="64">
        <v>3.5</v>
      </c>
      <c r="D79" s="64">
        <v>12.22</v>
      </c>
      <c r="E79" s="64">
        <v>4.3600000000000003</v>
      </c>
      <c r="F79" s="64">
        <v>3.61</v>
      </c>
      <c r="G79" s="64">
        <v>63.86</v>
      </c>
      <c r="H79" s="64">
        <v>25.6</v>
      </c>
      <c r="I79" s="64">
        <v>3.85</v>
      </c>
      <c r="J79" s="64">
        <v>0.18</v>
      </c>
      <c r="K79" s="64">
        <v>338.38</v>
      </c>
      <c r="L79" s="64">
        <v>26.87</v>
      </c>
      <c r="M79" s="64">
        <v>101.77</v>
      </c>
      <c r="N79" s="64">
        <v>77.3</v>
      </c>
      <c r="O79" s="64">
        <v>0</v>
      </c>
      <c r="P79" s="64">
        <v>0.71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48" t="s">
        <v>892</v>
      </c>
      <c r="B80" s="64">
        <v>8.69</v>
      </c>
      <c r="C80" s="64">
        <v>4.2699999999999996</v>
      </c>
      <c r="D80" s="64">
        <v>12.97</v>
      </c>
      <c r="E80" s="64">
        <v>4.26</v>
      </c>
      <c r="F80" s="64">
        <v>3.39</v>
      </c>
      <c r="G80" s="64">
        <v>62.06</v>
      </c>
      <c r="H80" s="64">
        <v>23.49</v>
      </c>
      <c r="I80" s="64">
        <v>3.89</v>
      </c>
      <c r="J80" s="64">
        <v>0.21</v>
      </c>
      <c r="K80" s="64">
        <v>316.38</v>
      </c>
      <c r="L80" s="64">
        <v>26.87</v>
      </c>
      <c r="M80" s="64">
        <v>101.8</v>
      </c>
      <c r="N80" s="64">
        <v>72</v>
      </c>
      <c r="O80" s="64">
        <v>0</v>
      </c>
      <c r="P80" s="64">
        <v>0.71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48" t="s">
        <v>893</v>
      </c>
      <c r="B81" s="64">
        <v>8.25</v>
      </c>
      <c r="C81" s="64">
        <v>3.43</v>
      </c>
      <c r="D81" s="64">
        <v>12.19</v>
      </c>
      <c r="E81" s="64">
        <v>4.55</v>
      </c>
      <c r="F81" s="64">
        <v>4.6399999999999997</v>
      </c>
      <c r="G81" s="64">
        <v>62.06</v>
      </c>
      <c r="H81" s="64">
        <v>23.49</v>
      </c>
      <c r="I81" s="64">
        <v>3.98</v>
      </c>
      <c r="J81" s="64">
        <v>0.3</v>
      </c>
      <c r="K81" s="64">
        <v>335.95</v>
      </c>
      <c r="L81" s="64">
        <v>26.77</v>
      </c>
      <c r="M81" s="64">
        <v>101.77</v>
      </c>
      <c r="N81" s="64">
        <v>65.900000000000006</v>
      </c>
      <c r="O81" s="64">
        <v>0</v>
      </c>
      <c r="P81" s="64">
        <v>0.72</v>
      </c>
      <c r="Q81" s="64">
        <v>9.69</v>
      </c>
      <c r="R81" s="198"/>
      <c r="S81" s="198"/>
      <c r="T81" s="198"/>
      <c r="U81" s="198"/>
    </row>
    <row r="82" spans="1:26" s="12" customFormat="1" x14ac:dyDescent="0.25">
      <c r="A82" s="248" t="s">
        <v>894</v>
      </c>
      <c r="B82" s="64">
        <v>8.83</v>
      </c>
      <c r="C82" s="64">
        <v>4.3499999999999996</v>
      </c>
      <c r="D82" s="64">
        <v>13.12</v>
      </c>
      <c r="E82" s="64">
        <v>5.03</v>
      </c>
      <c r="F82" s="64">
        <v>2.59</v>
      </c>
      <c r="G82" s="64">
        <v>62.06</v>
      </c>
      <c r="H82" s="64">
        <v>23.49</v>
      </c>
      <c r="I82" s="64">
        <v>4</v>
      </c>
      <c r="J82" s="64">
        <v>0.39</v>
      </c>
      <c r="K82" s="64">
        <v>323.83</v>
      </c>
      <c r="L82" s="64">
        <v>25.42</v>
      </c>
      <c r="M82" s="64">
        <v>101.81</v>
      </c>
      <c r="N82" s="64">
        <v>65.2</v>
      </c>
      <c r="O82" s="64">
        <v>9.6</v>
      </c>
      <c r="P82" s="64">
        <v>0.71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48" t="s">
        <v>895</v>
      </c>
      <c r="B83" s="64">
        <v>8.89</v>
      </c>
      <c r="C83" s="64">
        <v>4.58</v>
      </c>
      <c r="D83" s="64">
        <v>13.3</v>
      </c>
      <c r="E83" s="64">
        <v>5.07</v>
      </c>
      <c r="F83" s="64">
        <v>4.5599999999999996</v>
      </c>
      <c r="G83" s="64">
        <v>56.88</v>
      </c>
      <c r="H83" s="64">
        <v>18.3</v>
      </c>
      <c r="I83" s="64">
        <v>3.99</v>
      </c>
      <c r="J83" s="64">
        <v>0.3</v>
      </c>
      <c r="K83" s="64">
        <v>338.57</v>
      </c>
      <c r="L83" s="64">
        <v>24.1</v>
      </c>
      <c r="M83" s="64">
        <v>101.87</v>
      </c>
      <c r="N83" s="64">
        <v>62.3</v>
      </c>
      <c r="O83" s="64">
        <v>2.4</v>
      </c>
      <c r="P83" s="64">
        <v>0.68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48" t="s">
        <v>896</v>
      </c>
      <c r="B84" s="64">
        <v>8.2799999999999994</v>
      </c>
      <c r="C84" s="64">
        <v>3.61</v>
      </c>
      <c r="D84" s="64">
        <v>12.3</v>
      </c>
      <c r="E84" s="64">
        <v>4.6100000000000003</v>
      </c>
      <c r="F84" s="64">
        <v>4.12</v>
      </c>
      <c r="G84" s="64">
        <v>55.58</v>
      </c>
      <c r="H84" s="64">
        <v>17</v>
      </c>
      <c r="I84" s="64">
        <v>3.84</v>
      </c>
      <c r="J84" s="64">
        <v>0.23</v>
      </c>
      <c r="K84" s="64">
        <v>1.5</v>
      </c>
      <c r="L84" s="64">
        <v>24.02</v>
      </c>
      <c r="M84" s="64">
        <v>101.87</v>
      </c>
      <c r="N84" s="64">
        <v>61.5</v>
      </c>
      <c r="O84" s="64">
        <v>3.6</v>
      </c>
      <c r="P84" s="64">
        <v>0.64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48" t="s">
        <v>897</v>
      </c>
      <c r="B85" s="64">
        <v>8.43</v>
      </c>
      <c r="C85" s="64">
        <v>3.88</v>
      </c>
      <c r="D85" s="64">
        <v>12.56</v>
      </c>
      <c r="E85" s="64">
        <v>4.8899999999999997</v>
      </c>
      <c r="F85" s="64">
        <v>4.9800000000000004</v>
      </c>
      <c r="G85" s="64">
        <v>55.58</v>
      </c>
      <c r="H85" s="64">
        <v>17</v>
      </c>
      <c r="I85" s="64">
        <v>3.59</v>
      </c>
      <c r="J85" s="64">
        <v>0.21</v>
      </c>
      <c r="K85" s="64">
        <v>11.17</v>
      </c>
      <c r="L85" s="64">
        <v>24.17</v>
      </c>
      <c r="M85" s="64">
        <v>101.89</v>
      </c>
      <c r="N85" s="64">
        <v>61.3</v>
      </c>
      <c r="O85" s="64">
        <v>1.6</v>
      </c>
      <c r="P85" s="64">
        <v>0.62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48" t="s">
        <v>898</v>
      </c>
      <c r="B86" s="64">
        <v>8.31</v>
      </c>
      <c r="C86" s="64">
        <v>3.63</v>
      </c>
      <c r="D86" s="64">
        <v>12.33</v>
      </c>
      <c r="E86" s="64">
        <v>4.96</v>
      </c>
      <c r="F86" s="64">
        <v>3.25</v>
      </c>
      <c r="G86" s="64">
        <v>55.58</v>
      </c>
      <c r="H86" s="64">
        <v>17</v>
      </c>
      <c r="I86" s="64">
        <v>3.31</v>
      </c>
      <c r="J86" s="64">
        <v>0.26</v>
      </c>
      <c r="K86" s="64">
        <v>4.7300000000000004</v>
      </c>
      <c r="L86" s="64">
        <v>24.29</v>
      </c>
      <c r="M86" s="64">
        <v>101.92</v>
      </c>
      <c r="N86" s="64">
        <v>61.4</v>
      </c>
      <c r="O86" s="64">
        <v>0.4</v>
      </c>
      <c r="P86" s="64">
        <v>0.62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48" t="s">
        <v>899</v>
      </c>
      <c r="B87" s="64">
        <v>8.31</v>
      </c>
      <c r="C87" s="64">
        <v>3.59</v>
      </c>
      <c r="D87" s="64">
        <v>12.31</v>
      </c>
      <c r="E87" s="64">
        <v>4.8600000000000003</v>
      </c>
      <c r="F87" s="64">
        <v>3.8</v>
      </c>
      <c r="G87" s="64">
        <v>42.34</v>
      </c>
      <c r="H87" s="64">
        <v>16.95</v>
      </c>
      <c r="I87" s="64">
        <v>3.18</v>
      </c>
      <c r="J87" s="64">
        <v>0.27</v>
      </c>
      <c r="K87" s="64">
        <v>7.22</v>
      </c>
      <c r="L87" s="64">
        <v>24.23</v>
      </c>
      <c r="M87" s="64">
        <v>101.94</v>
      </c>
      <c r="N87" s="64">
        <v>61.7</v>
      </c>
      <c r="O87" s="64">
        <v>0.4</v>
      </c>
      <c r="P87" s="64">
        <v>0.62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48" t="s">
        <v>900</v>
      </c>
      <c r="B88" s="64">
        <v>8.2100000000000009</v>
      </c>
      <c r="C88" s="64">
        <v>3.45</v>
      </c>
      <c r="D88" s="64">
        <v>12.16</v>
      </c>
      <c r="E88" s="64">
        <v>4.58</v>
      </c>
      <c r="F88" s="64">
        <v>2.98</v>
      </c>
      <c r="G88" s="64">
        <v>39.03</v>
      </c>
      <c r="H88" s="64">
        <v>16.940000000000001</v>
      </c>
      <c r="I88" s="64">
        <v>3.13</v>
      </c>
      <c r="J88" s="64">
        <v>0.22</v>
      </c>
      <c r="K88" s="64">
        <v>13.13</v>
      </c>
      <c r="L88" s="64">
        <v>24.23</v>
      </c>
      <c r="M88" s="64">
        <v>101.93</v>
      </c>
      <c r="N88" s="64">
        <v>61.7</v>
      </c>
      <c r="O88" s="64">
        <v>0.6</v>
      </c>
      <c r="P88" s="64">
        <v>0.61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48" t="s">
        <v>901</v>
      </c>
      <c r="B89" s="64">
        <v>8.18</v>
      </c>
      <c r="C89" s="64">
        <v>3.41</v>
      </c>
      <c r="D89" s="64">
        <v>12.12</v>
      </c>
      <c r="E89" s="64">
        <v>4.1500000000000004</v>
      </c>
      <c r="F89" s="64">
        <v>3.49</v>
      </c>
      <c r="G89" s="64">
        <v>39.03</v>
      </c>
      <c r="H89" s="64">
        <v>16.940000000000001</v>
      </c>
      <c r="I89" s="64">
        <v>3.09</v>
      </c>
      <c r="J89" s="64">
        <v>0.19</v>
      </c>
      <c r="K89" s="64">
        <v>0.72</v>
      </c>
      <c r="L89" s="64">
        <v>24.2</v>
      </c>
      <c r="M89" s="64">
        <v>102.01</v>
      </c>
      <c r="N89" s="64">
        <v>61.6</v>
      </c>
      <c r="O89" s="64">
        <v>0.4</v>
      </c>
      <c r="P89" s="64">
        <v>0.6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48" t="s">
        <v>902</v>
      </c>
      <c r="B90" s="64">
        <v>8.0299999999999994</v>
      </c>
      <c r="C90" s="64">
        <v>3.1</v>
      </c>
      <c r="D90" s="64">
        <v>11.84</v>
      </c>
      <c r="E90" s="64">
        <v>4.46</v>
      </c>
      <c r="F90" s="64">
        <v>3.44</v>
      </c>
      <c r="G90" s="64">
        <v>39.03</v>
      </c>
      <c r="H90" s="64">
        <v>16.940000000000001</v>
      </c>
      <c r="I90" s="64">
        <v>3.04</v>
      </c>
      <c r="J90" s="64">
        <v>0.21</v>
      </c>
      <c r="K90" s="64">
        <v>354.37</v>
      </c>
      <c r="L90" s="64">
        <v>24.17</v>
      </c>
      <c r="M90" s="64">
        <v>102.01</v>
      </c>
      <c r="N90" s="64">
        <v>61.4</v>
      </c>
      <c r="O90" s="64">
        <v>0.2</v>
      </c>
      <c r="P90" s="64">
        <v>0.61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48" t="s">
        <v>903</v>
      </c>
      <c r="B91" s="64">
        <v>8.1199999999999992</v>
      </c>
      <c r="C91" s="64">
        <v>3.26</v>
      </c>
      <c r="D91" s="64">
        <v>11.99</v>
      </c>
      <c r="E91" s="64">
        <v>4.13</v>
      </c>
      <c r="F91" s="64">
        <v>3.35</v>
      </c>
      <c r="G91" s="64">
        <v>31.69</v>
      </c>
      <c r="H91" s="64">
        <v>12.95</v>
      </c>
      <c r="I91" s="64">
        <v>3</v>
      </c>
      <c r="J91" s="64">
        <v>0.18</v>
      </c>
      <c r="K91" s="64">
        <v>357.68</v>
      </c>
      <c r="L91" s="64">
        <v>24.16</v>
      </c>
      <c r="M91" s="64">
        <v>102.78</v>
      </c>
      <c r="N91" s="64">
        <v>61.6</v>
      </c>
      <c r="O91" s="64">
        <v>0.2</v>
      </c>
      <c r="P91" s="64">
        <v>0.6</v>
      </c>
      <c r="Q91" s="64">
        <v>9.5500000000000007</v>
      </c>
      <c r="R91" s="198"/>
      <c r="S91" s="198"/>
      <c r="T91" s="198"/>
      <c r="U91" s="198"/>
    </row>
    <row r="92" spans="1:26" s="12" customFormat="1" x14ac:dyDescent="0.25">
      <c r="A92" s="248" t="s">
        <v>904</v>
      </c>
      <c r="B92" s="64">
        <v>8.17</v>
      </c>
      <c r="C92" s="64">
        <v>3.37</v>
      </c>
      <c r="D92" s="64">
        <v>12.09</v>
      </c>
      <c r="E92" s="64">
        <v>4.2699999999999996</v>
      </c>
      <c r="F92" s="64">
        <v>3.27</v>
      </c>
      <c r="G92" s="64">
        <v>29.98</v>
      </c>
      <c r="H92" s="64">
        <v>11.95</v>
      </c>
      <c r="I92" s="64">
        <v>2.98</v>
      </c>
      <c r="J92" s="64">
        <v>0.13</v>
      </c>
      <c r="K92" s="64">
        <v>345.48</v>
      </c>
      <c r="L92" s="64">
        <v>24.25</v>
      </c>
      <c r="M92" s="64">
        <v>103.21</v>
      </c>
      <c r="N92" s="64">
        <v>61.4</v>
      </c>
      <c r="O92" s="64">
        <v>0</v>
      </c>
      <c r="P92" s="64">
        <v>0.6</v>
      </c>
      <c r="Q92" s="64">
        <v>9.56</v>
      </c>
      <c r="R92" s="198"/>
      <c r="S92" s="198"/>
      <c r="T92" s="198"/>
      <c r="U92" s="198"/>
    </row>
    <row r="93" spans="1:26" s="12" customFormat="1" x14ac:dyDescent="0.25">
      <c r="A93" s="248" t="s">
        <v>905</v>
      </c>
      <c r="B93" s="64">
        <v>8.1300000000000008</v>
      </c>
      <c r="C93" s="64">
        <v>3.21</v>
      </c>
      <c r="D93" s="64">
        <v>11.97</v>
      </c>
      <c r="E93" s="64">
        <v>3.81</v>
      </c>
      <c r="F93" s="64">
        <v>3.35</v>
      </c>
      <c r="G93" s="64">
        <v>29.98</v>
      </c>
      <c r="H93" s="64">
        <v>11.95</v>
      </c>
      <c r="I93" s="64">
        <v>2.91</v>
      </c>
      <c r="J93" s="64">
        <v>0.18</v>
      </c>
      <c r="K93" s="64">
        <v>345.86</v>
      </c>
      <c r="L93" s="64">
        <v>24.27</v>
      </c>
      <c r="M93" s="64">
        <v>102.35</v>
      </c>
      <c r="N93" s="64">
        <v>61.5</v>
      </c>
      <c r="O93" s="64">
        <v>0</v>
      </c>
      <c r="P93" s="64">
        <v>0.63</v>
      </c>
      <c r="Q93" s="64">
        <v>9.58</v>
      </c>
      <c r="R93" s="198"/>
      <c r="S93" s="198"/>
      <c r="T93" s="198"/>
      <c r="U93" s="198"/>
    </row>
    <row r="94" spans="1:26" s="12" customFormat="1" x14ac:dyDescent="0.25">
      <c r="A94" s="248" t="s">
        <v>906</v>
      </c>
      <c r="B94" s="64">
        <v>8.1199999999999992</v>
      </c>
      <c r="C94" s="64">
        <v>3.15</v>
      </c>
      <c r="D94" s="64">
        <v>11.93</v>
      </c>
      <c r="E94" s="64">
        <v>4.07</v>
      </c>
      <c r="F94" s="64">
        <v>3.23</v>
      </c>
      <c r="G94" s="64">
        <v>29.98</v>
      </c>
      <c r="H94" s="64">
        <v>11.95</v>
      </c>
      <c r="I94" s="64">
        <v>2.92</v>
      </c>
      <c r="J94" s="64">
        <v>0.19</v>
      </c>
      <c r="K94" s="64">
        <v>2.25</v>
      </c>
      <c r="L94" s="64">
        <v>24.27</v>
      </c>
      <c r="M94" s="64">
        <v>101.84</v>
      </c>
      <c r="N94" s="64">
        <v>61.5</v>
      </c>
      <c r="O94" s="64">
        <v>0</v>
      </c>
      <c r="P94" s="64">
        <v>0.64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48" t="s">
        <v>907</v>
      </c>
      <c r="B95" s="64">
        <v>8.2100000000000009</v>
      </c>
      <c r="C95" s="64">
        <v>3.33</v>
      </c>
      <c r="D95" s="64">
        <v>12.1</v>
      </c>
      <c r="E95" s="64">
        <v>4.5199999999999996</v>
      </c>
      <c r="F95" s="64">
        <v>3.31</v>
      </c>
      <c r="G95" s="64">
        <v>30.33</v>
      </c>
      <c r="H95" s="64">
        <v>12.14</v>
      </c>
      <c r="I95" s="64">
        <v>3.06</v>
      </c>
      <c r="J95" s="64">
        <v>0.23</v>
      </c>
      <c r="K95" s="64">
        <v>351.98</v>
      </c>
      <c r="L95" s="64">
        <v>24.35</v>
      </c>
      <c r="M95" s="64">
        <v>101.79</v>
      </c>
      <c r="N95" s="64">
        <v>61.6</v>
      </c>
      <c r="O95" s="64">
        <v>0</v>
      </c>
      <c r="P95" s="64">
        <v>0.63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48" t="s">
        <v>908</v>
      </c>
      <c r="B96" s="64">
        <v>8.14</v>
      </c>
      <c r="C96" s="64">
        <v>3.22</v>
      </c>
      <c r="D96" s="64">
        <v>11.98</v>
      </c>
      <c r="E96" s="64">
        <v>4.21</v>
      </c>
      <c r="F96" s="64">
        <v>3.26</v>
      </c>
      <c r="G96" s="64">
        <v>30.42</v>
      </c>
      <c r="H96" s="64">
        <v>12.18</v>
      </c>
      <c r="I96" s="64">
        <v>3.11</v>
      </c>
      <c r="J96" s="64">
        <v>0.23</v>
      </c>
      <c r="K96" s="64">
        <v>347.17</v>
      </c>
      <c r="L96" s="64">
        <v>24.41</v>
      </c>
      <c r="M96" s="64">
        <v>101.81</v>
      </c>
      <c r="N96" s="64">
        <v>61.5</v>
      </c>
      <c r="O96" s="64">
        <v>0</v>
      </c>
      <c r="P96" s="64">
        <v>0.61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909</v>
      </c>
      <c r="B97" s="64">
        <v>8.1</v>
      </c>
      <c r="C97" s="64">
        <v>3.13</v>
      </c>
      <c r="D97" s="64">
        <v>11.91</v>
      </c>
      <c r="E97" s="64">
        <v>4.09</v>
      </c>
      <c r="F97" s="64">
        <v>3.4</v>
      </c>
      <c r="G97" s="64">
        <v>30.42</v>
      </c>
      <c r="H97" s="64">
        <v>12.18</v>
      </c>
      <c r="I97" s="64">
        <v>3.07</v>
      </c>
      <c r="J97" s="64">
        <v>0.26</v>
      </c>
      <c r="K97" s="64">
        <v>338.87</v>
      </c>
      <c r="L97" s="64">
        <v>24.4</v>
      </c>
      <c r="M97" s="64">
        <v>101.83</v>
      </c>
      <c r="N97" s="64">
        <v>61.8</v>
      </c>
      <c r="O97" s="64">
        <v>0</v>
      </c>
      <c r="P97" s="64">
        <v>0.6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48" t="s">
        <v>910</v>
      </c>
      <c r="B98" s="64">
        <v>8.0500000000000007</v>
      </c>
      <c r="C98" s="64">
        <v>3.06</v>
      </c>
      <c r="D98" s="64">
        <v>11.83</v>
      </c>
      <c r="E98" s="64">
        <v>4.38</v>
      </c>
      <c r="F98" s="64">
        <v>3.45</v>
      </c>
      <c r="G98" s="64">
        <v>30.42</v>
      </c>
      <c r="H98" s="64">
        <v>12.18</v>
      </c>
      <c r="I98" s="64">
        <v>3.02</v>
      </c>
      <c r="J98" s="64">
        <v>0.2</v>
      </c>
      <c r="K98" s="64">
        <v>348.6</v>
      </c>
      <c r="L98" s="64">
        <v>24.51</v>
      </c>
      <c r="M98" s="64">
        <v>101.86</v>
      </c>
      <c r="N98" s="64">
        <v>61.7</v>
      </c>
      <c r="O98" s="64">
        <v>0</v>
      </c>
      <c r="P98" s="64">
        <v>0.57999999999999996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48" t="s">
        <v>911</v>
      </c>
      <c r="B99" s="64">
        <v>8.09</v>
      </c>
      <c r="C99" s="64">
        <v>3.15</v>
      </c>
      <c r="D99" s="64">
        <v>11.91</v>
      </c>
      <c r="E99" s="64">
        <v>4.57</v>
      </c>
      <c r="F99" s="64">
        <v>3.44</v>
      </c>
      <c r="G99" s="64">
        <v>28.69</v>
      </c>
      <c r="H99" s="64">
        <v>9.73</v>
      </c>
      <c r="I99" s="64">
        <v>2.97</v>
      </c>
      <c r="J99" s="64">
        <v>0.2</v>
      </c>
      <c r="K99" s="64">
        <v>4.25</v>
      </c>
      <c r="L99" s="64">
        <v>24.49</v>
      </c>
      <c r="M99" s="64">
        <v>101.89</v>
      </c>
      <c r="N99" s="64">
        <v>61.8</v>
      </c>
      <c r="O99" s="64">
        <v>0</v>
      </c>
      <c r="P99" s="64">
        <v>0.57999999999999996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48" t="s">
        <v>912</v>
      </c>
      <c r="B100" s="64">
        <v>8.33</v>
      </c>
      <c r="C100" s="64">
        <v>3.53</v>
      </c>
      <c r="D100" s="64">
        <v>12.3</v>
      </c>
      <c r="E100" s="64">
        <v>4.46</v>
      </c>
      <c r="F100" s="64">
        <v>4.74</v>
      </c>
      <c r="G100" s="64">
        <v>28.26</v>
      </c>
      <c r="H100" s="64">
        <v>9.1199999999999992</v>
      </c>
      <c r="I100" s="64">
        <v>2.95</v>
      </c>
      <c r="J100" s="64">
        <v>0.17</v>
      </c>
      <c r="K100" s="64">
        <v>346.89</v>
      </c>
      <c r="L100" s="64">
        <v>24.52</v>
      </c>
      <c r="M100" s="64">
        <v>101.95</v>
      </c>
      <c r="N100" s="64">
        <v>61.8</v>
      </c>
      <c r="O100" s="64">
        <v>0</v>
      </c>
      <c r="P100" s="64">
        <v>0.56999999999999995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913</v>
      </c>
      <c r="B101" s="64">
        <v>8.8699999999999992</v>
      </c>
      <c r="C101" s="64">
        <v>4.43</v>
      </c>
      <c r="D101" s="64">
        <v>13.2</v>
      </c>
      <c r="E101" s="64">
        <v>4.7300000000000004</v>
      </c>
      <c r="F101" s="64">
        <v>2.68</v>
      </c>
      <c r="G101" s="64">
        <v>28.26</v>
      </c>
      <c r="H101" s="64">
        <v>9.1199999999999992</v>
      </c>
      <c r="I101" s="64">
        <v>2.92</v>
      </c>
      <c r="J101" s="64">
        <v>0.22</v>
      </c>
      <c r="K101" s="64">
        <v>353.43</v>
      </c>
      <c r="L101" s="64">
        <v>24.52</v>
      </c>
      <c r="M101" s="64">
        <v>101.98</v>
      </c>
      <c r="N101" s="64">
        <v>62.2</v>
      </c>
      <c r="O101" s="64">
        <v>0</v>
      </c>
      <c r="P101" s="64">
        <v>0.54</v>
      </c>
      <c r="Q101" s="64">
        <v>9.42</v>
      </c>
      <c r="R101" s="198"/>
      <c r="S101" s="198"/>
      <c r="T101" s="198"/>
      <c r="U101" s="198"/>
    </row>
    <row r="102" spans="1:33" s="12" customFormat="1" x14ac:dyDescent="0.25">
      <c r="A102" s="248" t="s">
        <v>914</v>
      </c>
      <c r="B102" s="64">
        <v>8.7100000000000009</v>
      </c>
      <c r="C102" s="64">
        <v>4.2</v>
      </c>
      <c r="D102" s="64">
        <v>12.96</v>
      </c>
      <c r="E102" s="64">
        <v>4.71</v>
      </c>
      <c r="F102" s="64">
        <v>4.3600000000000003</v>
      </c>
      <c r="G102" s="64">
        <v>28.26</v>
      </c>
      <c r="H102" s="64">
        <v>9.1199999999999992</v>
      </c>
      <c r="I102" s="64">
        <v>2.91</v>
      </c>
      <c r="J102" s="64">
        <v>0.27</v>
      </c>
      <c r="K102" s="64">
        <v>347.22</v>
      </c>
      <c r="L102" s="64">
        <v>24.47</v>
      </c>
      <c r="M102" s="64">
        <v>102</v>
      </c>
      <c r="N102" s="64">
        <v>62.1</v>
      </c>
      <c r="O102" s="64">
        <v>0</v>
      </c>
      <c r="P102" s="64">
        <v>0.54</v>
      </c>
      <c r="Q102" s="64">
        <v>9.44</v>
      </c>
      <c r="R102" s="198"/>
      <c r="S102" s="198"/>
      <c r="T102" s="198"/>
      <c r="U102" s="198"/>
    </row>
    <row r="103" spans="1:33" s="12" customFormat="1" x14ac:dyDescent="0.25">
      <c r="A103" s="248" t="s">
        <v>915</v>
      </c>
      <c r="B103" s="64">
        <v>8.3699999999999992</v>
      </c>
      <c r="C103" s="64">
        <v>3.67</v>
      </c>
      <c r="D103" s="64">
        <v>12.4</v>
      </c>
      <c r="E103" s="64">
        <v>4.24</v>
      </c>
      <c r="F103" s="64">
        <v>2.59</v>
      </c>
      <c r="G103" s="64">
        <v>23.06</v>
      </c>
      <c r="H103" s="212" t="s">
        <v>42</v>
      </c>
      <c r="I103" s="64">
        <v>2.83</v>
      </c>
      <c r="J103" s="64">
        <v>0.24</v>
      </c>
      <c r="K103" s="64">
        <v>353.05</v>
      </c>
      <c r="L103" s="64">
        <v>24.49</v>
      </c>
      <c r="M103" s="64">
        <v>102.06</v>
      </c>
      <c r="N103" s="64">
        <v>62.1</v>
      </c>
      <c r="O103" s="64">
        <v>0</v>
      </c>
      <c r="P103" s="64">
        <v>0.51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48" t="s">
        <v>916</v>
      </c>
      <c r="B104" s="64">
        <v>8.1</v>
      </c>
      <c r="C104" s="64">
        <v>3.2</v>
      </c>
      <c r="D104" s="64">
        <v>11.94</v>
      </c>
      <c r="E104" s="64">
        <v>3.47</v>
      </c>
      <c r="F104" s="64">
        <v>3.63</v>
      </c>
      <c r="G104" s="64">
        <v>21.77</v>
      </c>
      <c r="H104" s="212" t="s">
        <v>42</v>
      </c>
      <c r="I104" s="64">
        <v>2.8</v>
      </c>
      <c r="J104" s="64">
        <v>0.22</v>
      </c>
      <c r="K104" s="64">
        <v>359.48</v>
      </c>
      <c r="L104" s="64">
        <v>24.53</v>
      </c>
      <c r="M104" s="64">
        <v>102.15</v>
      </c>
      <c r="N104" s="64">
        <v>62.1</v>
      </c>
      <c r="O104" s="64">
        <v>0</v>
      </c>
      <c r="P104" s="64">
        <v>0.5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2.92</v>
      </c>
      <c r="D106" s="67">
        <f t="shared" ref="D106:Q106" si="0">MIN(D9:D104)</f>
        <v>11.67</v>
      </c>
      <c r="E106" s="67">
        <f t="shared" si="0"/>
        <v>3</v>
      </c>
      <c r="F106" s="67">
        <f t="shared" si="0"/>
        <v>2.17</v>
      </c>
      <c r="G106" s="67">
        <f t="shared" si="0"/>
        <v>12.67</v>
      </c>
      <c r="H106" s="67">
        <f t="shared" si="0"/>
        <v>7.77</v>
      </c>
      <c r="I106" s="67">
        <f t="shared" si="0"/>
        <v>1.65</v>
      </c>
      <c r="J106" s="67">
        <f t="shared" si="0"/>
        <v>0.02</v>
      </c>
      <c r="K106" s="67">
        <f t="shared" si="0"/>
        <v>0.28000000000000003</v>
      </c>
      <c r="L106" s="67">
        <f t="shared" si="0"/>
        <v>23.86</v>
      </c>
      <c r="M106" s="67">
        <f t="shared" si="0"/>
        <v>100.95</v>
      </c>
      <c r="N106" s="67">
        <f t="shared" si="0"/>
        <v>60.3</v>
      </c>
      <c r="O106" s="67">
        <f t="shared" si="0"/>
        <v>0</v>
      </c>
      <c r="P106" s="67">
        <f t="shared" si="0"/>
        <v>0.28000000000000003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9.51</v>
      </c>
      <c r="C107" s="66">
        <f t="shared" ref="C107:Q107" si="1">MAX(C9:C104)</f>
        <v>5.65</v>
      </c>
      <c r="D107" s="66">
        <f t="shared" si="1"/>
        <v>14.35</v>
      </c>
      <c r="E107" s="66">
        <f t="shared" si="1"/>
        <v>5.5</v>
      </c>
      <c r="F107" s="66">
        <f t="shared" si="1"/>
        <v>10.94</v>
      </c>
      <c r="G107" s="66">
        <f t="shared" si="1"/>
        <v>82.83</v>
      </c>
      <c r="H107" s="66">
        <f t="shared" si="1"/>
        <v>34.049999999999997</v>
      </c>
      <c r="I107" s="66">
        <f t="shared" si="1"/>
        <v>4.5</v>
      </c>
      <c r="J107" s="66">
        <f t="shared" si="1"/>
        <v>0.39</v>
      </c>
      <c r="K107" s="66">
        <f t="shared" si="1"/>
        <v>359.48</v>
      </c>
      <c r="L107" s="66">
        <f t="shared" si="1"/>
        <v>28.03</v>
      </c>
      <c r="M107" s="66">
        <f t="shared" si="1"/>
        <v>103.21</v>
      </c>
      <c r="N107" s="66">
        <f t="shared" si="1"/>
        <v>237.3</v>
      </c>
      <c r="O107" s="66">
        <f t="shared" si="1"/>
        <v>9.6</v>
      </c>
      <c r="P107" s="66">
        <f t="shared" si="1"/>
        <v>0.84</v>
      </c>
      <c r="Q107" s="66">
        <f t="shared" si="1"/>
        <v>9.74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8.2973118279569906</v>
      </c>
      <c r="C108" s="67">
        <f t="shared" ref="C108:Q108" si="2">AVERAGE(C9:C104)</f>
        <v>3.5435483870967732</v>
      </c>
      <c r="D108" s="67">
        <f t="shared" si="2"/>
        <v>12.279247311827962</v>
      </c>
      <c r="E108" s="67">
        <f t="shared" si="2"/>
        <v>4.4322580645161267</v>
      </c>
      <c r="F108" s="67">
        <f t="shared" si="2"/>
        <v>3.6300000000000003</v>
      </c>
      <c r="G108" s="67">
        <f t="shared" si="2"/>
        <v>34.416666666666693</v>
      </c>
      <c r="H108" s="67">
        <f t="shared" si="2"/>
        <v>17.960606060606064</v>
      </c>
      <c r="I108" s="67">
        <f t="shared" si="2"/>
        <v>3.1439784946236569</v>
      </c>
      <c r="J108" s="67">
        <f t="shared" si="2"/>
        <v>0.19161290322580646</v>
      </c>
      <c r="K108" s="67">
        <f t="shared" si="2"/>
        <v>251.66838709677424</v>
      </c>
      <c r="L108" s="67">
        <f t="shared" si="2"/>
        <v>25.365268817204296</v>
      </c>
      <c r="M108" s="67">
        <f t="shared" si="2"/>
        <v>101.63021505376346</v>
      </c>
      <c r="N108" s="67">
        <f t="shared" si="2"/>
        <v>111.5709677419355</v>
      </c>
      <c r="O108" s="67">
        <f t="shared" si="2"/>
        <v>0.25376344086021502</v>
      </c>
      <c r="P108" s="67">
        <f t="shared" si="2"/>
        <v>0.54505376344086032</v>
      </c>
      <c r="Q108" s="67">
        <f t="shared" si="2"/>
        <v>9.4431182795698945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0.39937761303478359</v>
      </c>
      <c r="C109" s="67">
        <f t="shared" ref="C109:Q109" si="3">STDEV(C9:C104)</f>
        <v>0.68188460894484448</v>
      </c>
      <c r="D109" s="67">
        <f t="shared" si="3"/>
        <v>0.67598918913264916</v>
      </c>
      <c r="E109" s="67">
        <f t="shared" si="3"/>
        <v>0.72545806973229487</v>
      </c>
      <c r="F109" s="67">
        <f t="shared" si="3"/>
        <v>0.94837962496221762</v>
      </c>
      <c r="G109" s="67">
        <f t="shared" si="3"/>
        <v>18.562678330768811</v>
      </c>
      <c r="H109" s="67">
        <f t="shared" si="3"/>
        <v>7.1998187752380431</v>
      </c>
      <c r="I109" s="67">
        <f t="shared" si="3"/>
        <v>0.7434191570108688</v>
      </c>
      <c r="J109" s="67">
        <f t="shared" si="3"/>
        <v>5.8128237592499722E-2</v>
      </c>
      <c r="K109" s="67">
        <f t="shared" si="3"/>
        <v>138.47116052975502</v>
      </c>
      <c r="L109" s="67">
        <f t="shared" si="3"/>
        <v>1.4292127594359265</v>
      </c>
      <c r="M109" s="67">
        <f t="shared" si="3"/>
        <v>0.33675555091975673</v>
      </c>
      <c r="N109" s="67">
        <f t="shared" si="3"/>
        <v>59.578507907533847</v>
      </c>
      <c r="O109" s="67">
        <f t="shared" si="3"/>
        <v>1.1124355516051205</v>
      </c>
      <c r="P109" s="67">
        <f t="shared" si="3"/>
        <v>0.17906534911028099</v>
      </c>
      <c r="Q109" s="67">
        <f t="shared" si="3"/>
        <v>0.18570651515474887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Q110" si="4">COUNT(C9:C104)+3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COUNT(H9:H104)+30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917</v>
      </c>
      <c r="B9" s="64">
        <v>8.3000000000000007</v>
      </c>
      <c r="C9" s="64">
        <v>3.58</v>
      </c>
      <c r="D9" s="64">
        <v>12.3</v>
      </c>
      <c r="E9" s="64">
        <v>3.4</v>
      </c>
      <c r="F9" s="64">
        <v>2.83</v>
      </c>
      <c r="G9" s="64">
        <v>21.77</v>
      </c>
      <c r="H9" s="212" t="s">
        <v>42</v>
      </c>
      <c r="I9" s="64">
        <v>2.72</v>
      </c>
      <c r="J9" s="64">
        <v>0.23</v>
      </c>
      <c r="K9" s="64">
        <v>353.6</v>
      </c>
      <c r="L9" s="64">
        <v>24.55</v>
      </c>
      <c r="M9" s="64">
        <v>102.26</v>
      </c>
      <c r="N9" s="64">
        <v>62.3</v>
      </c>
      <c r="O9" s="64">
        <v>0</v>
      </c>
      <c r="P9" s="64">
        <v>0.47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48" t="s">
        <v>918</v>
      </c>
      <c r="B10" s="64">
        <v>8.16</v>
      </c>
      <c r="C10" s="64">
        <v>3.39</v>
      </c>
      <c r="D10" s="64">
        <v>12.09</v>
      </c>
      <c r="E10" s="64">
        <v>3.34</v>
      </c>
      <c r="F10" s="64">
        <v>3.82</v>
      </c>
      <c r="G10" s="64">
        <v>21.77</v>
      </c>
      <c r="H10" s="212" t="s">
        <v>42</v>
      </c>
      <c r="I10" s="64">
        <v>2.67</v>
      </c>
      <c r="J10" s="64">
        <v>0.21</v>
      </c>
      <c r="K10" s="64">
        <v>337.41</v>
      </c>
      <c r="L10" s="64">
        <v>24.55</v>
      </c>
      <c r="M10" s="64">
        <v>102.19</v>
      </c>
      <c r="N10" s="64">
        <v>62.3</v>
      </c>
      <c r="O10" s="64">
        <v>0</v>
      </c>
      <c r="P10" s="64">
        <v>0.46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48" t="s">
        <v>919</v>
      </c>
      <c r="B11" s="64">
        <v>7.98</v>
      </c>
      <c r="C11" s="64">
        <v>3.04</v>
      </c>
      <c r="D11" s="64">
        <v>11.76</v>
      </c>
      <c r="E11" s="64">
        <v>3.56</v>
      </c>
      <c r="F11" s="64">
        <v>3.1</v>
      </c>
      <c r="G11" s="64">
        <v>17.25</v>
      </c>
      <c r="H11" s="212" t="s">
        <v>42</v>
      </c>
      <c r="I11" s="64">
        <v>2.54</v>
      </c>
      <c r="J11" s="64">
        <v>0.15</v>
      </c>
      <c r="K11" s="64">
        <v>23.33</v>
      </c>
      <c r="L11" s="64">
        <v>24.49</v>
      </c>
      <c r="M11" s="64">
        <v>101.84</v>
      </c>
      <c r="N11" s="64">
        <v>62.3</v>
      </c>
      <c r="O11" s="64">
        <v>0</v>
      </c>
      <c r="P11" s="64">
        <v>0.44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48" t="s">
        <v>920</v>
      </c>
      <c r="B12" s="64">
        <v>7.99</v>
      </c>
      <c r="C12" s="64">
        <v>3.04</v>
      </c>
      <c r="D12" s="64">
        <v>11.77</v>
      </c>
      <c r="E12" s="64">
        <v>3.34</v>
      </c>
      <c r="F12" s="64">
        <v>3.6</v>
      </c>
      <c r="G12" s="64">
        <v>16.12</v>
      </c>
      <c r="H12" s="64">
        <v>1.02</v>
      </c>
      <c r="I12" s="64">
        <v>2.4900000000000002</v>
      </c>
      <c r="J12" s="64">
        <v>0.21</v>
      </c>
      <c r="K12" s="64">
        <v>351.81</v>
      </c>
      <c r="L12" s="64">
        <v>24.45</v>
      </c>
      <c r="M12" s="64">
        <v>101.73</v>
      </c>
      <c r="N12" s="64">
        <v>62.3</v>
      </c>
      <c r="O12" s="64">
        <v>0</v>
      </c>
      <c r="P12" s="64">
        <v>0.43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48" t="s">
        <v>921</v>
      </c>
      <c r="B13" s="64">
        <v>8.01</v>
      </c>
      <c r="C13" s="64">
        <v>3.1</v>
      </c>
      <c r="D13" s="64">
        <v>11.81</v>
      </c>
      <c r="E13" s="64">
        <v>3.69</v>
      </c>
      <c r="F13" s="64">
        <v>3.04</v>
      </c>
      <c r="G13" s="64">
        <v>22.29</v>
      </c>
      <c r="H13" s="64">
        <v>0.4</v>
      </c>
      <c r="I13" s="64">
        <v>0.03</v>
      </c>
      <c r="J13" s="64">
        <v>0.22</v>
      </c>
      <c r="K13" s="64">
        <v>3.77</v>
      </c>
      <c r="L13" s="64">
        <v>24.59</v>
      </c>
      <c r="M13" s="64">
        <v>101.78</v>
      </c>
      <c r="N13" s="64">
        <v>62.5</v>
      </c>
      <c r="O13" s="64">
        <v>0</v>
      </c>
      <c r="P13" s="64">
        <v>0.39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48" t="s">
        <v>922</v>
      </c>
      <c r="B14" s="64">
        <v>8.2200000000000006</v>
      </c>
      <c r="C14" s="64">
        <v>3.46</v>
      </c>
      <c r="D14" s="64">
        <v>12.17</v>
      </c>
      <c r="E14" s="64">
        <v>3.59</v>
      </c>
      <c r="F14" s="64">
        <v>3.32</v>
      </c>
      <c r="G14" s="64">
        <v>24.93</v>
      </c>
      <c r="H14" s="64">
        <v>0.13</v>
      </c>
      <c r="I14" s="64">
        <v>0.91</v>
      </c>
      <c r="J14" s="64">
        <v>0.22</v>
      </c>
      <c r="K14" s="64">
        <v>350.73</v>
      </c>
      <c r="L14" s="64">
        <v>24.44</v>
      </c>
      <c r="M14" s="64">
        <v>102.12</v>
      </c>
      <c r="N14" s="64">
        <v>62.5</v>
      </c>
      <c r="O14" s="64">
        <v>0</v>
      </c>
      <c r="P14" s="64">
        <v>0.39</v>
      </c>
      <c r="Q14" s="64">
        <v>9.4</v>
      </c>
      <c r="R14" s="198"/>
      <c r="S14" s="198"/>
      <c r="T14" s="198"/>
      <c r="U14" s="198"/>
    </row>
    <row r="15" spans="1:21" s="12" customFormat="1" x14ac:dyDescent="0.25">
      <c r="A15" s="248" t="s">
        <v>923</v>
      </c>
      <c r="B15" s="64">
        <v>8.06</v>
      </c>
      <c r="C15" s="64">
        <v>3.14</v>
      </c>
      <c r="D15" s="64">
        <v>11.88</v>
      </c>
      <c r="E15" s="64">
        <v>3.64</v>
      </c>
      <c r="F15" s="64">
        <v>3.59</v>
      </c>
      <c r="G15" s="64">
        <v>26.96</v>
      </c>
      <c r="H15" s="64">
        <v>3.37</v>
      </c>
      <c r="I15" s="64">
        <v>2.2200000000000002</v>
      </c>
      <c r="J15" s="64">
        <v>0.25</v>
      </c>
      <c r="K15" s="64">
        <v>343.94</v>
      </c>
      <c r="L15" s="64">
        <v>24.38</v>
      </c>
      <c r="M15" s="64">
        <v>101.9</v>
      </c>
      <c r="N15" s="64">
        <v>62.6</v>
      </c>
      <c r="O15" s="64">
        <v>0.2</v>
      </c>
      <c r="P15" s="64">
        <v>0.38</v>
      </c>
      <c r="Q15" s="64">
        <v>9.3800000000000008</v>
      </c>
      <c r="R15" s="198"/>
      <c r="S15" s="198"/>
      <c r="T15" s="198"/>
      <c r="U15" s="198"/>
    </row>
    <row r="16" spans="1:21" s="12" customFormat="1" x14ac:dyDescent="0.25">
      <c r="A16" s="248" t="s">
        <v>924</v>
      </c>
      <c r="B16" s="64">
        <v>8.0399999999999991</v>
      </c>
      <c r="C16" s="64">
        <v>3.01</v>
      </c>
      <c r="D16" s="64">
        <v>11.79</v>
      </c>
      <c r="E16" s="64">
        <v>3.46</v>
      </c>
      <c r="F16" s="64">
        <v>3.29</v>
      </c>
      <c r="G16" s="64">
        <v>27.47</v>
      </c>
      <c r="H16" s="64">
        <v>4.17</v>
      </c>
      <c r="I16" s="64">
        <v>2.15</v>
      </c>
      <c r="J16" s="64">
        <v>0.21</v>
      </c>
      <c r="K16" s="64">
        <v>3.87</v>
      </c>
      <c r="L16" s="64">
        <v>24.36</v>
      </c>
      <c r="M16" s="64">
        <v>101.78</v>
      </c>
      <c r="N16" s="64">
        <v>62.5</v>
      </c>
      <c r="O16" s="64">
        <v>0</v>
      </c>
      <c r="P16" s="64">
        <v>0.38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48" t="s">
        <v>925</v>
      </c>
      <c r="B17" s="64">
        <v>8</v>
      </c>
      <c r="C17" s="64">
        <v>2.96</v>
      </c>
      <c r="D17" s="64">
        <v>11.74</v>
      </c>
      <c r="E17" s="64">
        <v>3.4</v>
      </c>
      <c r="F17" s="64">
        <v>3.39</v>
      </c>
      <c r="G17" s="64">
        <v>27.47</v>
      </c>
      <c r="H17" s="64">
        <v>4.17</v>
      </c>
      <c r="I17" s="64">
        <v>2.16</v>
      </c>
      <c r="J17" s="64">
        <v>0.24</v>
      </c>
      <c r="K17" s="64">
        <v>356.42</v>
      </c>
      <c r="L17" s="64">
        <v>24.61</v>
      </c>
      <c r="M17" s="64">
        <v>101.85</v>
      </c>
      <c r="N17" s="64">
        <v>62.4</v>
      </c>
      <c r="O17" s="64">
        <v>0</v>
      </c>
      <c r="P17" s="64">
        <v>0.39</v>
      </c>
      <c r="Q17" s="64">
        <v>9.36</v>
      </c>
      <c r="R17" s="198"/>
      <c r="S17" s="198"/>
      <c r="T17" s="198"/>
      <c r="U17" s="198"/>
    </row>
    <row r="18" spans="1:21" s="12" customFormat="1" x14ac:dyDescent="0.25">
      <c r="A18" s="248" t="s">
        <v>926</v>
      </c>
      <c r="B18" s="64">
        <v>8.02</v>
      </c>
      <c r="C18" s="64">
        <v>2.97</v>
      </c>
      <c r="D18" s="64">
        <v>11.76</v>
      </c>
      <c r="E18" s="64">
        <v>3.68</v>
      </c>
      <c r="F18" s="64">
        <v>3.43</v>
      </c>
      <c r="G18" s="64">
        <v>27.47</v>
      </c>
      <c r="H18" s="64">
        <v>4.17</v>
      </c>
      <c r="I18" s="64">
        <v>2.21</v>
      </c>
      <c r="J18" s="64">
        <v>0.26</v>
      </c>
      <c r="K18" s="64">
        <v>344.39</v>
      </c>
      <c r="L18" s="64">
        <v>24.51</v>
      </c>
      <c r="M18" s="64">
        <v>102.1</v>
      </c>
      <c r="N18" s="64">
        <v>62.6</v>
      </c>
      <c r="O18" s="64">
        <v>0</v>
      </c>
      <c r="P18" s="64">
        <v>0.43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48" t="s">
        <v>927</v>
      </c>
      <c r="B19" s="64">
        <v>8.02</v>
      </c>
      <c r="C19" s="64">
        <v>3.02</v>
      </c>
      <c r="D19" s="64">
        <v>11.79</v>
      </c>
      <c r="E19" s="64">
        <v>3.41</v>
      </c>
      <c r="F19" s="64">
        <v>3.42</v>
      </c>
      <c r="G19" s="64">
        <v>29.51</v>
      </c>
      <c r="H19" s="64">
        <v>14.13</v>
      </c>
      <c r="I19" s="64">
        <v>2.36</v>
      </c>
      <c r="J19" s="64">
        <v>0.26</v>
      </c>
      <c r="K19" s="64">
        <v>353.71</v>
      </c>
      <c r="L19" s="64">
        <v>24.55</v>
      </c>
      <c r="M19" s="64">
        <v>102.36</v>
      </c>
      <c r="N19" s="64">
        <v>62.6</v>
      </c>
      <c r="O19" s="64">
        <v>0</v>
      </c>
      <c r="P19" s="64">
        <v>0.47</v>
      </c>
      <c r="Q19" s="64">
        <v>9.31</v>
      </c>
      <c r="R19" s="198"/>
      <c r="S19" s="198"/>
      <c r="T19" s="198"/>
      <c r="U19" s="198"/>
    </row>
    <row r="20" spans="1:21" s="12" customFormat="1" x14ac:dyDescent="0.25">
      <c r="A20" s="248" t="s">
        <v>928</v>
      </c>
      <c r="B20" s="64">
        <v>8</v>
      </c>
      <c r="C20" s="64">
        <v>2.99</v>
      </c>
      <c r="D20" s="64">
        <v>11.75</v>
      </c>
      <c r="E20" s="64">
        <v>4.28</v>
      </c>
      <c r="F20" s="64">
        <v>3.42</v>
      </c>
      <c r="G20" s="64">
        <v>30.02</v>
      </c>
      <c r="H20" s="64">
        <v>16.62</v>
      </c>
      <c r="I20" s="64">
        <v>2.83</v>
      </c>
      <c r="J20" s="64">
        <v>0.22</v>
      </c>
      <c r="K20" s="64">
        <v>346.47</v>
      </c>
      <c r="L20" s="64">
        <v>24.61</v>
      </c>
      <c r="M20" s="64">
        <v>101.66</v>
      </c>
      <c r="N20" s="64">
        <v>62.5</v>
      </c>
      <c r="O20" s="64">
        <v>0</v>
      </c>
      <c r="P20" s="64">
        <v>0.52</v>
      </c>
      <c r="Q20" s="64">
        <v>9.27</v>
      </c>
      <c r="R20" s="198"/>
      <c r="S20" s="198"/>
      <c r="T20" s="198"/>
      <c r="U20" s="198"/>
    </row>
    <row r="21" spans="1:21" s="12" customFormat="1" x14ac:dyDescent="0.25">
      <c r="A21" s="248" t="s">
        <v>929</v>
      </c>
      <c r="B21" s="64">
        <v>8.0299999999999994</v>
      </c>
      <c r="C21" s="64">
        <v>3.06</v>
      </c>
      <c r="D21" s="64">
        <v>11.81</v>
      </c>
      <c r="E21" s="64">
        <v>4.45</v>
      </c>
      <c r="F21" s="64">
        <v>3.59</v>
      </c>
      <c r="G21" s="64">
        <v>30.02</v>
      </c>
      <c r="H21" s="64">
        <v>16.62</v>
      </c>
      <c r="I21" s="64">
        <v>3.31</v>
      </c>
      <c r="J21" s="64">
        <v>0.27</v>
      </c>
      <c r="K21" s="64">
        <v>348.43</v>
      </c>
      <c r="L21" s="64">
        <v>24.58</v>
      </c>
      <c r="M21" s="64">
        <v>101.79</v>
      </c>
      <c r="N21" s="64">
        <v>62</v>
      </c>
      <c r="O21" s="64">
        <v>0</v>
      </c>
      <c r="P21" s="64">
        <v>0.56000000000000005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48" t="s">
        <v>930</v>
      </c>
      <c r="B22" s="64">
        <v>7.99</v>
      </c>
      <c r="C22" s="64">
        <v>3.06</v>
      </c>
      <c r="D22" s="64">
        <v>11.78</v>
      </c>
      <c r="E22" s="64">
        <v>4.37</v>
      </c>
      <c r="F22" s="64">
        <v>4.51</v>
      </c>
      <c r="G22" s="64">
        <v>30.02</v>
      </c>
      <c r="H22" s="64">
        <v>16.62</v>
      </c>
      <c r="I22" s="64">
        <v>3.89</v>
      </c>
      <c r="J22" s="64">
        <v>0.21</v>
      </c>
      <c r="K22" s="64">
        <v>5.5</v>
      </c>
      <c r="L22" s="64">
        <v>24.36</v>
      </c>
      <c r="M22" s="64">
        <v>101.81</v>
      </c>
      <c r="N22" s="64">
        <v>61.9</v>
      </c>
      <c r="O22" s="64">
        <v>0</v>
      </c>
      <c r="P22" s="64">
        <v>0.57999999999999996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48" t="s">
        <v>931</v>
      </c>
      <c r="B23" s="64">
        <v>7.98</v>
      </c>
      <c r="C23" s="64">
        <v>3.04</v>
      </c>
      <c r="D23" s="64">
        <v>11.76</v>
      </c>
      <c r="E23" s="64">
        <v>4.59</v>
      </c>
      <c r="F23" s="64">
        <v>2.68</v>
      </c>
      <c r="G23" s="64">
        <v>34.08</v>
      </c>
      <c r="H23" s="64">
        <v>35.450000000000003</v>
      </c>
      <c r="I23" s="64">
        <v>4.1399999999999997</v>
      </c>
      <c r="J23" s="64">
        <v>0.22</v>
      </c>
      <c r="K23" s="64">
        <v>1.39</v>
      </c>
      <c r="L23" s="64">
        <v>24.38</v>
      </c>
      <c r="M23" s="64">
        <v>102.32</v>
      </c>
      <c r="N23" s="64">
        <v>62</v>
      </c>
      <c r="O23" s="64">
        <v>0</v>
      </c>
      <c r="P23" s="64">
        <v>0.56000000000000005</v>
      </c>
      <c r="Q23" s="64">
        <v>9.18</v>
      </c>
      <c r="R23" s="198"/>
      <c r="S23" s="198"/>
      <c r="T23" s="198"/>
      <c r="U23" s="198"/>
    </row>
    <row r="24" spans="1:21" s="12" customFormat="1" x14ac:dyDescent="0.25">
      <c r="A24" s="248" t="s">
        <v>932</v>
      </c>
      <c r="B24" s="64">
        <v>7.97</v>
      </c>
      <c r="C24" s="64">
        <v>3.02</v>
      </c>
      <c r="D24" s="64">
        <v>11.74</v>
      </c>
      <c r="E24" s="64">
        <v>4.55</v>
      </c>
      <c r="F24" s="64">
        <v>4.58</v>
      </c>
      <c r="G24" s="64">
        <v>35.1</v>
      </c>
      <c r="H24" s="64">
        <v>35.450000000000003</v>
      </c>
      <c r="I24" s="64">
        <v>4.0999999999999996</v>
      </c>
      <c r="J24" s="64">
        <v>0.2</v>
      </c>
      <c r="K24" s="64">
        <v>337.98</v>
      </c>
      <c r="L24" s="64">
        <v>24.32</v>
      </c>
      <c r="M24" s="64">
        <v>101.86</v>
      </c>
      <c r="N24" s="64">
        <v>61.9</v>
      </c>
      <c r="O24" s="64">
        <v>0</v>
      </c>
      <c r="P24" s="64">
        <v>0.54</v>
      </c>
      <c r="Q24" s="64">
        <v>9.19</v>
      </c>
      <c r="R24" s="198"/>
      <c r="S24" s="198"/>
      <c r="T24" s="198"/>
      <c r="U24" s="198"/>
    </row>
    <row r="25" spans="1:21" s="12" customFormat="1" x14ac:dyDescent="0.25">
      <c r="A25" s="248" t="s">
        <v>933</v>
      </c>
      <c r="B25" s="64">
        <v>8</v>
      </c>
      <c r="C25" s="64">
        <v>3.05</v>
      </c>
      <c r="D25" s="64">
        <v>11.78</v>
      </c>
      <c r="E25" s="64">
        <v>4.1900000000000004</v>
      </c>
      <c r="F25" s="64">
        <v>2.2599999999999998</v>
      </c>
      <c r="G25" s="64">
        <v>35.1</v>
      </c>
      <c r="H25" s="64">
        <v>30.45</v>
      </c>
      <c r="I25" s="64">
        <v>3.98</v>
      </c>
      <c r="J25" s="64">
        <v>0.16</v>
      </c>
      <c r="K25" s="64">
        <v>350.88</v>
      </c>
      <c r="L25" s="64">
        <v>24.42</v>
      </c>
      <c r="M25" s="64">
        <v>101.51</v>
      </c>
      <c r="N25" s="64">
        <v>61.8</v>
      </c>
      <c r="O25" s="64">
        <v>0</v>
      </c>
      <c r="P25" s="64">
        <v>0.51</v>
      </c>
      <c r="Q25" s="64">
        <v>9.16</v>
      </c>
      <c r="R25" s="198"/>
      <c r="S25" s="198"/>
      <c r="T25" s="198"/>
      <c r="U25" s="198"/>
    </row>
    <row r="26" spans="1:21" s="12" customFormat="1" x14ac:dyDescent="0.25">
      <c r="A26" s="248" t="s">
        <v>934</v>
      </c>
      <c r="B26" s="64">
        <v>8.0299999999999994</v>
      </c>
      <c r="C26" s="64">
        <v>3.14</v>
      </c>
      <c r="D26" s="64">
        <v>11.85</v>
      </c>
      <c r="E26" s="64">
        <v>4.5199999999999996</v>
      </c>
      <c r="F26" s="64">
        <v>4.68</v>
      </c>
      <c r="G26" s="64">
        <v>35.1</v>
      </c>
      <c r="H26" s="64">
        <v>31.45</v>
      </c>
      <c r="I26" s="64">
        <v>3.84</v>
      </c>
      <c r="J26" s="64">
        <v>0.18</v>
      </c>
      <c r="K26" s="64">
        <v>355.67</v>
      </c>
      <c r="L26" s="64">
        <v>24.36</v>
      </c>
      <c r="M26" s="64">
        <v>101.76</v>
      </c>
      <c r="N26" s="64">
        <v>61.8</v>
      </c>
      <c r="O26" s="64">
        <v>0</v>
      </c>
      <c r="P26" s="64">
        <v>0.49</v>
      </c>
      <c r="Q26" s="64">
        <v>9.2100000000000009</v>
      </c>
      <c r="R26" s="198"/>
      <c r="S26" s="198"/>
      <c r="T26" s="198"/>
      <c r="U26" s="198"/>
    </row>
    <row r="27" spans="1:21" s="12" customFormat="1" x14ac:dyDescent="0.25">
      <c r="A27" s="248" t="s">
        <v>935</v>
      </c>
      <c r="B27" s="64">
        <v>8.0500000000000007</v>
      </c>
      <c r="C27" s="64">
        <v>3.2</v>
      </c>
      <c r="D27" s="64">
        <v>11.9</v>
      </c>
      <c r="E27" s="64">
        <v>4.54</v>
      </c>
      <c r="F27" s="64">
        <v>2.69</v>
      </c>
      <c r="G27" s="64">
        <v>30.13</v>
      </c>
      <c r="H27" s="64">
        <v>11.93</v>
      </c>
      <c r="I27" s="64">
        <v>3.62</v>
      </c>
      <c r="J27" s="64">
        <v>0.18</v>
      </c>
      <c r="K27" s="64">
        <v>346.4</v>
      </c>
      <c r="L27" s="64">
        <v>24.31</v>
      </c>
      <c r="M27" s="64">
        <v>102.43</v>
      </c>
      <c r="N27" s="64">
        <v>61.8</v>
      </c>
      <c r="O27" s="64">
        <v>0</v>
      </c>
      <c r="P27" s="64">
        <v>0.47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48" t="s">
        <v>936</v>
      </c>
      <c r="B28" s="64">
        <v>7.99</v>
      </c>
      <c r="C28" s="64">
        <v>3.06</v>
      </c>
      <c r="D28" s="64">
        <v>11.78</v>
      </c>
      <c r="E28" s="64">
        <v>4.3099999999999996</v>
      </c>
      <c r="F28" s="64">
        <v>4.25</v>
      </c>
      <c r="G28" s="64">
        <v>28.89</v>
      </c>
      <c r="H28" s="64">
        <v>4.87</v>
      </c>
      <c r="I28" s="64">
        <v>3.48</v>
      </c>
      <c r="J28" s="64">
        <v>0.19</v>
      </c>
      <c r="K28" s="64">
        <v>351.3</v>
      </c>
      <c r="L28" s="64">
        <v>24.39</v>
      </c>
      <c r="M28" s="64">
        <v>102.69</v>
      </c>
      <c r="N28" s="64">
        <v>61.9</v>
      </c>
      <c r="O28" s="64">
        <v>0</v>
      </c>
      <c r="P28" s="64">
        <v>0.46</v>
      </c>
      <c r="Q28" s="64">
        <v>9.25</v>
      </c>
      <c r="R28" s="198"/>
      <c r="S28" s="198"/>
      <c r="T28" s="198"/>
      <c r="U28" s="198"/>
    </row>
    <row r="29" spans="1:21" s="12" customFormat="1" x14ac:dyDescent="0.25">
      <c r="A29" s="248" t="s">
        <v>937</v>
      </c>
      <c r="B29" s="64">
        <v>7.99</v>
      </c>
      <c r="C29" s="64">
        <v>3.05</v>
      </c>
      <c r="D29" s="64">
        <v>11.77</v>
      </c>
      <c r="E29" s="64">
        <v>4.33</v>
      </c>
      <c r="F29" s="64">
        <v>2.67</v>
      </c>
      <c r="G29" s="64">
        <v>28.89</v>
      </c>
      <c r="H29" s="64">
        <v>4.87</v>
      </c>
      <c r="I29" s="64">
        <v>3.37</v>
      </c>
      <c r="J29" s="64">
        <v>0.1</v>
      </c>
      <c r="K29" s="64">
        <v>333.63</v>
      </c>
      <c r="L29" s="64">
        <v>24.41</v>
      </c>
      <c r="M29" s="64">
        <v>102.78</v>
      </c>
      <c r="N29" s="64">
        <v>61.9</v>
      </c>
      <c r="O29" s="64">
        <v>0</v>
      </c>
      <c r="P29" s="64">
        <v>0.45</v>
      </c>
      <c r="Q29" s="64">
        <v>9.26</v>
      </c>
      <c r="R29" s="198"/>
      <c r="S29" s="198"/>
      <c r="T29" s="198"/>
      <c r="U29" s="198"/>
    </row>
    <row r="30" spans="1:21" s="12" customFormat="1" x14ac:dyDescent="0.25">
      <c r="A30" s="248" t="s">
        <v>938</v>
      </c>
      <c r="B30" s="64">
        <v>7.95</v>
      </c>
      <c r="C30" s="64">
        <v>2.98</v>
      </c>
      <c r="D30" s="64">
        <v>11.7</v>
      </c>
      <c r="E30" s="64">
        <v>4.58</v>
      </c>
      <c r="F30" s="64">
        <v>4.1100000000000003</v>
      </c>
      <c r="G30" s="64">
        <v>28.89</v>
      </c>
      <c r="H30" s="64">
        <v>4.87</v>
      </c>
      <c r="I30" s="64">
        <v>3.38</v>
      </c>
      <c r="J30" s="64">
        <v>0.22</v>
      </c>
      <c r="K30" s="64">
        <v>334.65</v>
      </c>
      <c r="L30" s="64">
        <v>24.44</v>
      </c>
      <c r="M30" s="64">
        <v>102.85</v>
      </c>
      <c r="N30" s="64">
        <v>62.1</v>
      </c>
      <c r="O30" s="64">
        <v>0</v>
      </c>
      <c r="P30" s="64">
        <v>0.45</v>
      </c>
      <c r="Q30" s="64">
        <v>9.24</v>
      </c>
      <c r="R30" s="198"/>
      <c r="S30" s="198"/>
      <c r="T30" s="198"/>
      <c r="U30" s="198"/>
    </row>
    <row r="31" spans="1:21" s="12" customFormat="1" x14ac:dyDescent="0.25">
      <c r="A31" s="248" t="s">
        <v>939</v>
      </c>
      <c r="B31" s="64">
        <v>7.96</v>
      </c>
      <c r="C31" s="64">
        <v>2.97</v>
      </c>
      <c r="D31" s="64">
        <v>11.71</v>
      </c>
      <c r="E31" s="64">
        <v>4.38</v>
      </c>
      <c r="F31" s="64">
        <v>3.23</v>
      </c>
      <c r="G31" s="64">
        <v>27.44</v>
      </c>
      <c r="H31" s="64">
        <v>13.95</v>
      </c>
      <c r="I31" s="64">
        <v>3.34</v>
      </c>
      <c r="J31" s="64">
        <v>0.18</v>
      </c>
      <c r="K31" s="64">
        <v>357.25</v>
      </c>
      <c r="L31" s="64">
        <v>24.48</v>
      </c>
      <c r="M31" s="64">
        <v>102.91</v>
      </c>
      <c r="N31" s="64">
        <v>62.8</v>
      </c>
      <c r="O31" s="64">
        <v>0</v>
      </c>
      <c r="P31" s="64">
        <v>0.45</v>
      </c>
      <c r="Q31" s="64">
        <v>9.3000000000000007</v>
      </c>
      <c r="R31" s="198"/>
      <c r="S31" s="198"/>
      <c r="T31" s="198"/>
      <c r="U31" s="198"/>
    </row>
    <row r="32" spans="1:21" s="12" customFormat="1" x14ac:dyDescent="0.25">
      <c r="A32" s="248" t="s">
        <v>940</v>
      </c>
      <c r="B32" s="64">
        <v>8.16</v>
      </c>
      <c r="C32" s="64">
        <v>3.3</v>
      </c>
      <c r="D32" s="64">
        <v>12.04</v>
      </c>
      <c r="E32" s="64">
        <v>4.38</v>
      </c>
      <c r="F32" s="64">
        <v>3.06</v>
      </c>
      <c r="G32" s="64">
        <v>27.08</v>
      </c>
      <c r="H32" s="64">
        <v>16.21</v>
      </c>
      <c r="I32" s="64">
        <v>3.41</v>
      </c>
      <c r="J32" s="64">
        <v>0.2</v>
      </c>
      <c r="K32" s="64">
        <v>335.39</v>
      </c>
      <c r="L32" s="64">
        <v>24.6</v>
      </c>
      <c r="M32" s="64">
        <v>102.93</v>
      </c>
      <c r="N32" s="64">
        <v>67</v>
      </c>
      <c r="O32" s="64">
        <v>0</v>
      </c>
      <c r="P32" s="64">
        <v>0.45</v>
      </c>
      <c r="Q32" s="64">
        <v>9.2899999999999991</v>
      </c>
      <c r="R32" s="198"/>
      <c r="S32" s="198"/>
      <c r="T32" s="198"/>
      <c r="U32" s="198"/>
    </row>
    <row r="33" spans="1:21" s="12" customFormat="1" x14ac:dyDescent="0.25">
      <c r="A33" s="248" t="s">
        <v>941</v>
      </c>
      <c r="B33" s="64">
        <v>8.41</v>
      </c>
      <c r="C33" s="64">
        <v>3.72</v>
      </c>
      <c r="D33" s="64">
        <v>12.46</v>
      </c>
      <c r="E33" s="64">
        <v>4.26</v>
      </c>
      <c r="F33" s="64">
        <v>3.91</v>
      </c>
      <c r="G33" s="64">
        <v>27.08</v>
      </c>
      <c r="H33" s="64">
        <v>16.21</v>
      </c>
      <c r="I33" s="64">
        <v>3.51</v>
      </c>
      <c r="J33" s="64">
        <v>0.17</v>
      </c>
      <c r="K33" s="64">
        <v>325.72000000000003</v>
      </c>
      <c r="L33" s="64">
        <v>24.71</v>
      </c>
      <c r="M33" s="64">
        <v>102.36</v>
      </c>
      <c r="N33" s="64">
        <v>73</v>
      </c>
      <c r="O33" s="64">
        <v>0</v>
      </c>
      <c r="P33" s="64">
        <v>0.49</v>
      </c>
      <c r="Q33" s="64">
        <v>9.31</v>
      </c>
      <c r="R33" s="198"/>
      <c r="S33" s="198"/>
      <c r="T33" s="198"/>
      <c r="U33" s="198"/>
    </row>
    <row r="34" spans="1:21" s="12" customFormat="1" x14ac:dyDescent="0.25">
      <c r="A34" s="248" t="s">
        <v>942</v>
      </c>
      <c r="B34" s="64">
        <v>8.11</v>
      </c>
      <c r="C34" s="64">
        <v>3.18</v>
      </c>
      <c r="D34" s="64">
        <v>11.94</v>
      </c>
      <c r="E34" s="64">
        <v>4.0999999999999996</v>
      </c>
      <c r="F34" s="64">
        <v>3.36</v>
      </c>
      <c r="G34" s="64">
        <v>27.08</v>
      </c>
      <c r="H34" s="64">
        <v>16.21</v>
      </c>
      <c r="I34" s="64">
        <v>3.68</v>
      </c>
      <c r="J34" s="64">
        <v>0.21</v>
      </c>
      <c r="K34" s="64">
        <v>324.66000000000003</v>
      </c>
      <c r="L34" s="64">
        <v>24.83</v>
      </c>
      <c r="M34" s="64">
        <v>102.19</v>
      </c>
      <c r="N34" s="64">
        <v>92.6</v>
      </c>
      <c r="O34" s="64">
        <v>0</v>
      </c>
      <c r="P34" s="64">
        <v>0.53</v>
      </c>
      <c r="Q34" s="64">
        <v>9.31</v>
      </c>
      <c r="R34" s="198"/>
      <c r="S34" s="198"/>
      <c r="T34" s="198"/>
      <c r="U34" s="198"/>
    </row>
    <row r="35" spans="1:21" s="12" customFormat="1" x14ac:dyDescent="0.25">
      <c r="A35" s="248" t="s">
        <v>943</v>
      </c>
      <c r="B35" s="64">
        <v>8.0299999999999994</v>
      </c>
      <c r="C35" s="64">
        <v>3.05</v>
      </c>
      <c r="D35" s="64">
        <v>11.81</v>
      </c>
      <c r="E35" s="64">
        <v>4.3899999999999997</v>
      </c>
      <c r="F35" s="64">
        <v>3.25</v>
      </c>
      <c r="G35" s="64">
        <v>25.48</v>
      </c>
      <c r="H35" s="64">
        <v>24.16</v>
      </c>
      <c r="I35" s="64">
        <v>3.91</v>
      </c>
      <c r="J35" s="64">
        <v>0.2</v>
      </c>
      <c r="K35" s="64">
        <v>315.83999999999997</v>
      </c>
      <c r="L35" s="64">
        <v>25.09</v>
      </c>
      <c r="M35" s="64">
        <v>102.13</v>
      </c>
      <c r="N35" s="64">
        <v>102.1</v>
      </c>
      <c r="O35" s="64">
        <v>0</v>
      </c>
      <c r="P35" s="64">
        <v>0.55000000000000004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48" t="s">
        <v>944</v>
      </c>
      <c r="B36" s="64">
        <v>8.08</v>
      </c>
      <c r="C36" s="64">
        <v>3.09</v>
      </c>
      <c r="D36" s="64">
        <v>11.86</v>
      </c>
      <c r="E36" s="64">
        <v>3.95</v>
      </c>
      <c r="F36" s="64">
        <v>3.32</v>
      </c>
      <c r="G36" s="64">
        <v>25.08</v>
      </c>
      <c r="H36" s="64">
        <v>26.15</v>
      </c>
      <c r="I36" s="64">
        <v>4.16</v>
      </c>
      <c r="J36" s="64">
        <v>0.32</v>
      </c>
      <c r="K36" s="64">
        <v>318.91000000000003</v>
      </c>
      <c r="L36" s="64">
        <v>25.26</v>
      </c>
      <c r="M36" s="64">
        <v>102.19</v>
      </c>
      <c r="N36" s="64">
        <v>126.2</v>
      </c>
      <c r="O36" s="64">
        <v>0</v>
      </c>
      <c r="P36" s="64">
        <v>0.55000000000000004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48" t="s">
        <v>945</v>
      </c>
      <c r="B37" s="64">
        <v>8.09</v>
      </c>
      <c r="C37" s="64">
        <v>3.13</v>
      </c>
      <c r="D37" s="64">
        <v>11.9</v>
      </c>
      <c r="E37" s="64">
        <v>3.49</v>
      </c>
      <c r="F37" s="64">
        <v>3.26</v>
      </c>
      <c r="G37" s="64">
        <v>25.08</v>
      </c>
      <c r="H37" s="64">
        <v>26.15</v>
      </c>
      <c r="I37" s="64">
        <v>4.33</v>
      </c>
      <c r="J37" s="64">
        <v>0.33</v>
      </c>
      <c r="K37" s="64">
        <v>316.08999999999997</v>
      </c>
      <c r="L37" s="64">
        <v>25.49</v>
      </c>
      <c r="M37" s="64">
        <v>102.13</v>
      </c>
      <c r="N37" s="64">
        <v>131.80000000000001</v>
      </c>
      <c r="O37" s="64">
        <v>0</v>
      </c>
      <c r="P37" s="64">
        <v>0.54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48" t="s">
        <v>946</v>
      </c>
      <c r="B38" s="64">
        <v>8.0299999999999994</v>
      </c>
      <c r="C38" s="64">
        <v>3.05</v>
      </c>
      <c r="D38" s="64">
        <v>11.8</v>
      </c>
      <c r="E38" s="64">
        <v>3.66</v>
      </c>
      <c r="F38" s="64">
        <v>3.34</v>
      </c>
      <c r="G38" s="64">
        <v>25.08</v>
      </c>
      <c r="H38" s="64">
        <v>26.15</v>
      </c>
      <c r="I38" s="64">
        <v>4.3499999999999996</v>
      </c>
      <c r="J38" s="64">
        <v>0.44</v>
      </c>
      <c r="K38" s="64">
        <v>316.70999999999998</v>
      </c>
      <c r="L38" s="64">
        <v>25.71</v>
      </c>
      <c r="M38" s="64">
        <v>102.02</v>
      </c>
      <c r="N38" s="64">
        <v>147.80000000000001</v>
      </c>
      <c r="O38" s="64">
        <v>0</v>
      </c>
      <c r="P38" s="64">
        <v>0.53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48" t="s">
        <v>947</v>
      </c>
      <c r="B39" s="64">
        <v>8.0500000000000007</v>
      </c>
      <c r="C39" s="64">
        <v>3.1</v>
      </c>
      <c r="D39" s="64">
        <v>11.85</v>
      </c>
      <c r="E39" s="64">
        <v>3.81</v>
      </c>
      <c r="F39" s="64">
        <v>3.73</v>
      </c>
      <c r="G39" s="64">
        <v>29.98</v>
      </c>
      <c r="H39" s="64">
        <v>22.82</v>
      </c>
      <c r="I39" s="64">
        <v>4.18</v>
      </c>
      <c r="J39" s="64">
        <v>0.52</v>
      </c>
      <c r="K39" s="64">
        <v>324.13</v>
      </c>
      <c r="L39" s="64">
        <v>25.81</v>
      </c>
      <c r="M39" s="64">
        <v>102.04</v>
      </c>
      <c r="N39" s="64">
        <v>114.4</v>
      </c>
      <c r="O39" s="64">
        <v>0</v>
      </c>
      <c r="P39" s="64">
        <v>0.53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48" t="s">
        <v>948</v>
      </c>
      <c r="B40" s="64">
        <v>8.07</v>
      </c>
      <c r="C40" s="64">
        <v>3.16</v>
      </c>
      <c r="D40" s="64">
        <v>11.9</v>
      </c>
      <c r="E40" s="64">
        <v>4.05</v>
      </c>
      <c r="F40" s="64">
        <v>4.37</v>
      </c>
      <c r="G40" s="64">
        <v>31.2</v>
      </c>
      <c r="H40" s="64">
        <v>21.98</v>
      </c>
      <c r="I40" s="64">
        <v>4.0999999999999996</v>
      </c>
      <c r="J40" s="64">
        <v>0.56000000000000005</v>
      </c>
      <c r="K40" s="64">
        <v>326.12</v>
      </c>
      <c r="L40" s="64">
        <v>25.56</v>
      </c>
      <c r="M40" s="64">
        <v>101.79</v>
      </c>
      <c r="N40" s="64">
        <v>99.1</v>
      </c>
      <c r="O40" s="64">
        <v>0.2</v>
      </c>
      <c r="P40" s="64">
        <v>0.53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48" t="s">
        <v>949</v>
      </c>
      <c r="B41" s="64">
        <v>8.0500000000000007</v>
      </c>
      <c r="C41" s="64">
        <v>3.14</v>
      </c>
      <c r="D41" s="64">
        <v>11.87</v>
      </c>
      <c r="E41" s="64">
        <v>4.1500000000000004</v>
      </c>
      <c r="F41" s="64">
        <v>3.17</v>
      </c>
      <c r="G41" s="64">
        <v>31.2</v>
      </c>
      <c r="H41" s="64">
        <v>21.98</v>
      </c>
      <c r="I41" s="64">
        <v>4.04</v>
      </c>
      <c r="J41" s="64">
        <v>0.48</v>
      </c>
      <c r="K41" s="64">
        <v>324.72000000000003</v>
      </c>
      <c r="L41" s="64">
        <v>25.24</v>
      </c>
      <c r="M41" s="64">
        <v>101.98</v>
      </c>
      <c r="N41" s="64">
        <v>109.4</v>
      </c>
      <c r="O41" s="64">
        <v>0.4</v>
      </c>
      <c r="P41" s="64">
        <v>0.53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48" t="s">
        <v>950</v>
      </c>
      <c r="B42" s="64">
        <v>8.0399999999999991</v>
      </c>
      <c r="C42" s="64">
        <v>3.12</v>
      </c>
      <c r="D42" s="64">
        <v>11.85</v>
      </c>
      <c r="E42" s="64">
        <v>4.05</v>
      </c>
      <c r="F42" s="64">
        <v>3.72</v>
      </c>
      <c r="G42" s="64">
        <v>31.2</v>
      </c>
      <c r="H42" s="64">
        <v>21.98</v>
      </c>
      <c r="I42" s="64">
        <v>4</v>
      </c>
      <c r="J42" s="64">
        <v>1.02</v>
      </c>
      <c r="K42" s="64">
        <v>321.22000000000003</v>
      </c>
      <c r="L42" s="64">
        <v>24.89</v>
      </c>
      <c r="M42" s="64">
        <v>102.07</v>
      </c>
      <c r="N42" s="64">
        <v>109.8</v>
      </c>
      <c r="O42" s="64">
        <v>1</v>
      </c>
      <c r="P42" s="64">
        <v>0.51</v>
      </c>
      <c r="Q42" s="64">
        <v>9.35</v>
      </c>
      <c r="R42" s="198"/>
      <c r="S42" s="198"/>
      <c r="T42" s="198"/>
      <c r="U42" s="198"/>
    </row>
    <row r="43" spans="1:21" s="12" customFormat="1" x14ac:dyDescent="0.25">
      <c r="A43" s="248" t="s">
        <v>951</v>
      </c>
      <c r="B43" s="64">
        <v>8.0500000000000007</v>
      </c>
      <c r="C43" s="64">
        <v>3.05</v>
      </c>
      <c r="D43" s="64">
        <v>11.82</v>
      </c>
      <c r="E43" s="64">
        <v>3.73</v>
      </c>
      <c r="F43" s="64">
        <v>3.55</v>
      </c>
      <c r="G43" s="64">
        <v>26.73</v>
      </c>
      <c r="H43" s="64">
        <v>11.33</v>
      </c>
      <c r="I43" s="64">
        <v>3.99</v>
      </c>
      <c r="J43" s="64">
        <v>0.95</v>
      </c>
      <c r="K43" s="64">
        <v>323.62</v>
      </c>
      <c r="L43" s="64">
        <v>24.49</v>
      </c>
      <c r="M43" s="64">
        <v>102.35</v>
      </c>
      <c r="N43" s="64">
        <v>119.7</v>
      </c>
      <c r="O43" s="64">
        <v>0.4</v>
      </c>
      <c r="P43" s="64">
        <v>0.51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48" t="s">
        <v>952</v>
      </c>
      <c r="B44" s="64">
        <v>8.61</v>
      </c>
      <c r="C44" s="64">
        <v>4.04</v>
      </c>
      <c r="D44" s="64">
        <v>12.79</v>
      </c>
      <c r="E44" s="64">
        <v>4.0199999999999996</v>
      </c>
      <c r="F44" s="64">
        <v>3.2</v>
      </c>
      <c r="G44" s="64">
        <v>25.61</v>
      </c>
      <c r="H44" s="64">
        <v>8.67</v>
      </c>
      <c r="I44" s="64">
        <v>3.81</v>
      </c>
      <c r="J44" s="64">
        <v>0.81</v>
      </c>
      <c r="K44" s="64">
        <v>323.66000000000003</v>
      </c>
      <c r="L44" s="64">
        <v>24.31</v>
      </c>
      <c r="M44" s="64">
        <v>102.44</v>
      </c>
      <c r="N44" s="64">
        <v>145</v>
      </c>
      <c r="O44" s="64">
        <v>0</v>
      </c>
      <c r="P44" s="64">
        <v>0.48</v>
      </c>
      <c r="Q44" s="64">
        <v>9.3699999999999992</v>
      </c>
      <c r="R44" s="198"/>
      <c r="S44" s="198"/>
      <c r="T44" s="198"/>
      <c r="U44" s="198"/>
    </row>
    <row r="45" spans="1:21" s="12" customFormat="1" x14ac:dyDescent="0.25">
      <c r="A45" s="248" t="s">
        <v>953</v>
      </c>
      <c r="B45" s="64">
        <v>8.2799999999999994</v>
      </c>
      <c r="C45" s="64">
        <v>3.57</v>
      </c>
      <c r="D45" s="64">
        <v>12.28</v>
      </c>
      <c r="E45" s="64">
        <v>3.77</v>
      </c>
      <c r="F45" s="64">
        <v>3.87</v>
      </c>
      <c r="G45" s="64">
        <v>25.61</v>
      </c>
      <c r="H45" s="64">
        <v>8.67</v>
      </c>
      <c r="I45" s="64">
        <v>3.55</v>
      </c>
      <c r="J45" s="64">
        <v>0.34</v>
      </c>
      <c r="K45" s="64">
        <v>320.66000000000003</v>
      </c>
      <c r="L45" s="64">
        <v>24.47</v>
      </c>
      <c r="M45" s="64">
        <v>102.39</v>
      </c>
      <c r="N45" s="64">
        <v>160.4</v>
      </c>
      <c r="O45" s="64">
        <v>0</v>
      </c>
      <c r="P45" s="64">
        <v>0.49</v>
      </c>
      <c r="Q45" s="64">
        <v>9.42</v>
      </c>
      <c r="R45" s="198"/>
      <c r="S45" s="198"/>
      <c r="T45" s="198"/>
      <c r="U45" s="198"/>
    </row>
    <row r="46" spans="1:21" s="12" customFormat="1" x14ac:dyDescent="0.25">
      <c r="A46" s="248" t="s">
        <v>954</v>
      </c>
      <c r="B46" s="64">
        <v>8.48</v>
      </c>
      <c r="C46" s="64">
        <v>3.94</v>
      </c>
      <c r="D46" s="64">
        <v>12.64</v>
      </c>
      <c r="E46" s="64">
        <v>3.66</v>
      </c>
      <c r="F46" s="64">
        <v>2.8</v>
      </c>
      <c r="G46" s="64">
        <v>25.61</v>
      </c>
      <c r="H46" s="64">
        <v>8.67</v>
      </c>
      <c r="I46" s="64">
        <v>3.32</v>
      </c>
      <c r="J46" s="64">
        <v>0.5</v>
      </c>
      <c r="K46" s="64">
        <v>320.64</v>
      </c>
      <c r="L46" s="64">
        <v>24.55</v>
      </c>
      <c r="M46" s="64">
        <v>102.61</v>
      </c>
      <c r="N46" s="64">
        <v>179</v>
      </c>
      <c r="O46" s="64">
        <v>0</v>
      </c>
      <c r="P46" s="64">
        <v>0.47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48" t="s">
        <v>955</v>
      </c>
      <c r="B47" s="64">
        <v>8.0399999999999991</v>
      </c>
      <c r="C47" s="64">
        <v>3.17</v>
      </c>
      <c r="D47" s="64">
        <v>11.88</v>
      </c>
      <c r="E47" s="64">
        <v>3.57</v>
      </c>
      <c r="F47" s="64">
        <v>4.43</v>
      </c>
      <c r="G47" s="64">
        <v>24.96</v>
      </c>
      <c r="H47" s="64">
        <v>15.97</v>
      </c>
      <c r="I47" s="64">
        <v>3.24</v>
      </c>
      <c r="J47" s="64">
        <v>0.4</v>
      </c>
      <c r="K47" s="64">
        <v>320.02</v>
      </c>
      <c r="L47" s="64">
        <v>24.61</v>
      </c>
      <c r="M47" s="64">
        <v>102.91</v>
      </c>
      <c r="N47" s="64">
        <v>186.4</v>
      </c>
      <c r="O47" s="64">
        <v>0</v>
      </c>
      <c r="P47" s="64">
        <v>0.48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48" t="s">
        <v>956</v>
      </c>
      <c r="B48" s="64">
        <v>7.96</v>
      </c>
      <c r="C48" s="64">
        <v>3.03</v>
      </c>
      <c r="D48" s="64">
        <v>11.74</v>
      </c>
      <c r="E48" s="64">
        <v>4.09</v>
      </c>
      <c r="F48" s="64">
        <v>2.2799999999999998</v>
      </c>
      <c r="G48" s="64">
        <v>24.79</v>
      </c>
      <c r="H48" s="64">
        <v>17.8</v>
      </c>
      <c r="I48" s="64">
        <v>3.08</v>
      </c>
      <c r="J48" s="64">
        <v>0.14000000000000001</v>
      </c>
      <c r="K48" s="64">
        <v>328.1</v>
      </c>
      <c r="L48" s="64">
        <v>24.88</v>
      </c>
      <c r="M48" s="64">
        <v>102.52</v>
      </c>
      <c r="N48" s="64">
        <v>182.8</v>
      </c>
      <c r="O48" s="64">
        <v>0</v>
      </c>
      <c r="P48" s="64">
        <v>0.47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48" t="s">
        <v>957</v>
      </c>
      <c r="B49" s="64">
        <v>7.96</v>
      </c>
      <c r="C49" s="64">
        <v>3.03</v>
      </c>
      <c r="D49" s="64">
        <v>11.74</v>
      </c>
      <c r="E49" s="64">
        <v>3.77</v>
      </c>
      <c r="F49" s="64">
        <v>4.09</v>
      </c>
      <c r="G49" s="64">
        <v>24.79</v>
      </c>
      <c r="H49" s="64">
        <v>17.8</v>
      </c>
      <c r="I49" s="64">
        <v>3.04</v>
      </c>
      <c r="J49" s="64">
        <v>0.23</v>
      </c>
      <c r="K49" s="64">
        <v>328.61</v>
      </c>
      <c r="L49" s="64">
        <v>25.13</v>
      </c>
      <c r="M49" s="64">
        <v>102.58</v>
      </c>
      <c r="N49" s="64">
        <v>167.5</v>
      </c>
      <c r="O49" s="64">
        <v>0</v>
      </c>
      <c r="P49" s="64">
        <v>0.49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48" t="s">
        <v>958</v>
      </c>
      <c r="B50" s="64">
        <v>7.95</v>
      </c>
      <c r="C50" s="64">
        <v>2.97</v>
      </c>
      <c r="D50" s="64">
        <v>11.7</v>
      </c>
      <c r="E50" s="64">
        <v>4</v>
      </c>
      <c r="F50" s="64">
        <v>2.59</v>
      </c>
      <c r="G50" s="64">
        <v>24.79</v>
      </c>
      <c r="H50" s="64">
        <v>17.8</v>
      </c>
      <c r="I50" s="64">
        <v>2.96</v>
      </c>
      <c r="J50" s="64">
        <v>0.14000000000000001</v>
      </c>
      <c r="K50" s="64">
        <v>312</v>
      </c>
      <c r="L50" s="64">
        <v>25.17</v>
      </c>
      <c r="M50" s="64">
        <v>102.68</v>
      </c>
      <c r="N50" s="64">
        <v>163.80000000000001</v>
      </c>
      <c r="O50" s="64">
        <v>0.2</v>
      </c>
      <c r="P50" s="64">
        <v>0.5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48" t="s">
        <v>959</v>
      </c>
      <c r="B51" s="64">
        <v>8.0299999999999994</v>
      </c>
      <c r="C51" s="64">
        <v>3.06</v>
      </c>
      <c r="D51" s="64">
        <v>11.81</v>
      </c>
      <c r="E51" s="64">
        <v>3.93</v>
      </c>
      <c r="F51" s="64">
        <v>3.35</v>
      </c>
      <c r="G51" s="64">
        <v>26.72</v>
      </c>
      <c r="H51" s="212" t="s">
        <v>42</v>
      </c>
      <c r="I51" s="64">
        <v>3.06</v>
      </c>
      <c r="J51" s="64">
        <v>0.13</v>
      </c>
      <c r="K51" s="64">
        <v>326.33</v>
      </c>
      <c r="L51" s="64">
        <v>25.16</v>
      </c>
      <c r="M51" s="64">
        <v>102.78</v>
      </c>
      <c r="N51" s="64">
        <v>182.6</v>
      </c>
      <c r="O51" s="64">
        <v>0</v>
      </c>
      <c r="P51" s="64">
        <v>0.51</v>
      </c>
      <c r="Q51" s="64">
        <v>9.4600000000000009</v>
      </c>
      <c r="R51" s="198"/>
      <c r="S51" s="198"/>
      <c r="T51" s="198"/>
      <c r="U51" s="198"/>
    </row>
    <row r="52" spans="1:21" s="12" customFormat="1" x14ac:dyDescent="0.25">
      <c r="A52" s="248" t="s">
        <v>960</v>
      </c>
      <c r="B52" s="64">
        <v>8.0299999999999994</v>
      </c>
      <c r="C52" s="64">
        <v>3.06</v>
      </c>
      <c r="D52" s="64">
        <v>11.81</v>
      </c>
      <c r="E52" s="64">
        <v>4.49</v>
      </c>
      <c r="F52" s="64">
        <v>3.57</v>
      </c>
      <c r="G52" s="64">
        <v>27.2</v>
      </c>
      <c r="H52" s="212" t="s">
        <v>42</v>
      </c>
      <c r="I52" s="64">
        <v>3.09</v>
      </c>
      <c r="J52" s="64">
        <v>0.17</v>
      </c>
      <c r="K52" s="64">
        <v>341.49</v>
      </c>
      <c r="L52" s="64">
        <v>25.1</v>
      </c>
      <c r="M52" s="64">
        <v>102.81</v>
      </c>
      <c r="N52" s="64">
        <v>214</v>
      </c>
      <c r="O52" s="64">
        <v>0</v>
      </c>
      <c r="P52" s="64">
        <v>0.51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48" t="s">
        <v>961</v>
      </c>
      <c r="B53" s="64">
        <v>8.0500000000000007</v>
      </c>
      <c r="C53" s="64">
        <v>3.11</v>
      </c>
      <c r="D53" s="64">
        <v>11.85</v>
      </c>
      <c r="E53" s="64">
        <v>3.94</v>
      </c>
      <c r="F53" s="64">
        <v>3.3</v>
      </c>
      <c r="G53" s="64">
        <v>27.2</v>
      </c>
      <c r="H53" s="212" t="s">
        <v>42</v>
      </c>
      <c r="I53" s="64">
        <v>3.16</v>
      </c>
      <c r="J53" s="64">
        <v>0.2</v>
      </c>
      <c r="K53" s="64">
        <v>307.62</v>
      </c>
      <c r="L53" s="64">
        <v>25.44</v>
      </c>
      <c r="M53" s="64">
        <v>102.5</v>
      </c>
      <c r="N53" s="64">
        <v>255.1</v>
      </c>
      <c r="O53" s="64">
        <v>0</v>
      </c>
      <c r="P53" s="64">
        <v>0.52</v>
      </c>
      <c r="Q53" s="64">
        <v>9.5</v>
      </c>
      <c r="R53" s="198"/>
      <c r="S53" s="198"/>
      <c r="T53" s="198"/>
      <c r="U53" s="198"/>
    </row>
    <row r="54" spans="1:21" s="12" customFormat="1" x14ac:dyDescent="0.25">
      <c r="A54" s="248" t="s">
        <v>962</v>
      </c>
      <c r="B54" s="64">
        <v>8.08</v>
      </c>
      <c r="C54" s="64">
        <v>3.14</v>
      </c>
      <c r="D54" s="64">
        <v>11.89</v>
      </c>
      <c r="E54" s="64">
        <v>3.97</v>
      </c>
      <c r="F54" s="64">
        <v>3.43</v>
      </c>
      <c r="G54" s="64">
        <v>27.2</v>
      </c>
      <c r="H54" s="212" t="s">
        <v>42</v>
      </c>
      <c r="I54" s="64">
        <v>2.98</v>
      </c>
      <c r="J54" s="64">
        <v>0.17</v>
      </c>
      <c r="K54" s="64">
        <v>328.59</v>
      </c>
      <c r="L54" s="64">
        <v>25.85</v>
      </c>
      <c r="M54" s="64">
        <v>102.55</v>
      </c>
      <c r="N54" s="64">
        <v>326.39999999999998</v>
      </c>
      <c r="O54" s="64">
        <v>0</v>
      </c>
      <c r="P54" s="64">
        <v>0.52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48" t="s">
        <v>963</v>
      </c>
      <c r="B55" s="64">
        <v>8.18</v>
      </c>
      <c r="C55" s="64">
        <v>3.32</v>
      </c>
      <c r="D55" s="64">
        <v>12.07</v>
      </c>
      <c r="E55" s="64">
        <v>3.99</v>
      </c>
      <c r="F55" s="64">
        <v>3.54</v>
      </c>
      <c r="G55" s="64">
        <v>30.63</v>
      </c>
      <c r="H55" s="212" t="s">
        <v>42</v>
      </c>
      <c r="I55" s="64">
        <v>3.04</v>
      </c>
      <c r="J55" s="64">
        <v>0.14000000000000001</v>
      </c>
      <c r="K55" s="64">
        <v>324.99</v>
      </c>
      <c r="L55" s="64">
        <v>26.35</v>
      </c>
      <c r="M55" s="64">
        <v>102.82</v>
      </c>
      <c r="N55" s="64">
        <v>337.6</v>
      </c>
      <c r="O55" s="64">
        <v>0</v>
      </c>
      <c r="P55" s="64">
        <v>0.52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48" t="s">
        <v>964</v>
      </c>
      <c r="B56" s="64">
        <v>8.19</v>
      </c>
      <c r="C56" s="64">
        <v>3.31</v>
      </c>
      <c r="D56" s="64">
        <v>12.07</v>
      </c>
      <c r="E56" s="64">
        <v>4.26</v>
      </c>
      <c r="F56" s="64">
        <v>3.64</v>
      </c>
      <c r="G56" s="64">
        <v>31.49</v>
      </c>
      <c r="H56" s="212" t="s">
        <v>42</v>
      </c>
      <c r="I56" s="64">
        <v>3.06</v>
      </c>
      <c r="J56" s="64">
        <v>0.21</v>
      </c>
      <c r="K56" s="64">
        <v>335.84</v>
      </c>
      <c r="L56" s="64">
        <v>26.58</v>
      </c>
      <c r="M56" s="64">
        <v>102.48</v>
      </c>
      <c r="N56" s="64">
        <v>344.6</v>
      </c>
      <c r="O56" s="64">
        <v>0</v>
      </c>
      <c r="P56" s="64">
        <v>0.53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48" t="s">
        <v>965</v>
      </c>
      <c r="B57" s="64">
        <v>8.11</v>
      </c>
      <c r="C57" s="64">
        <v>3.15</v>
      </c>
      <c r="D57" s="64">
        <v>11.92</v>
      </c>
      <c r="E57" s="64">
        <v>3.82</v>
      </c>
      <c r="F57" s="64">
        <v>3.2</v>
      </c>
      <c r="G57" s="64">
        <v>31.49</v>
      </c>
      <c r="H57" s="212" t="s">
        <v>42</v>
      </c>
      <c r="I57" s="64">
        <v>3.04</v>
      </c>
      <c r="J57" s="64">
        <v>0.05</v>
      </c>
      <c r="K57" s="64">
        <v>294.17</v>
      </c>
      <c r="L57" s="64">
        <v>27.18</v>
      </c>
      <c r="M57" s="64">
        <v>102.42</v>
      </c>
      <c r="N57" s="64">
        <v>382.1</v>
      </c>
      <c r="O57" s="64">
        <v>0</v>
      </c>
      <c r="P57" s="64">
        <v>0.54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48" t="s">
        <v>966</v>
      </c>
      <c r="B58" s="64">
        <v>8.07</v>
      </c>
      <c r="C58" s="64">
        <v>3.14</v>
      </c>
      <c r="D58" s="64">
        <v>11.88</v>
      </c>
      <c r="E58" s="64">
        <v>4.5599999999999996</v>
      </c>
      <c r="F58" s="64">
        <v>3.98</v>
      </c>
      <c r="G58" s="64">
        <v>31.49</v>
      </c>
      <c r="H58" s="212" t="s">
        <v>42</v>
      </c>
      <c r="I58" s="64">
        <v>3.04</v>
      </c>
      <c r="J58" s="64">
        <v>0.01</v>
      </c>
      <c r="K58" s="64">
        <v>25.21</v>
      </c>
      <c r="L58" s="64">
        <v>27.83</v>
      </c>
      <c r="M58" s="64">
        <v>102.72</v>
      </c>
      <c r="N58" s="64">
        <v>367.9</v>
      </c>
      <c r="O58" s="64">
        <v>0</v>
      </c>
      <c r="P58" s="64">
        <v>0.56000000000000005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48" t="s">
        <v>967</v>
      </c>
      <c r="B59" s="64">
        <v>8</v>
      </c>
      <c r="C59" s="64">
        <v>3.07</v>
      </c>
      <c r="D59" s="64">
        <v>11.79</v>
      </c>
      <c r="E59" s="64">
        <v>4.29</v>
      </c>
      <c r="F59" s="64">
        <v>4.0599999999999996</v>
      </c>
      <c r="G59" s="64">
        <v>35.630000000000003</v>
      </c>
      <c r="H59" s="64">
        <v>28.7</v>
      </c>
      <c r="I59" s="64">
        <v>3.16</v>
      </c>
      <c r="J59" s="64">
        <v>0.06</v>
      </c>
      <c r="K59" s="64">
        <v>287.97000000000003</v>
      </c>
      <c r="L59" s="64">
        <v>27.93</v>
      </c>
      <c r="M59" s="64">
        <v>102.58</v>
      </c>
      <c r="N59" s="64">
        <v>469.1</v>
      </c>
      <c r="O59" s="64">
        <v>0</v>
      </c>
      <c r="P59" s="64">
        <v>0.56000000000000005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48" t="s">
        <v>968</v>
      </c>
      <c r="B60" s="64">
        <v>8.01</v>
      </c>
      <c r="C60" s="64">
        <v>3.08</v>
      </c>
      <c r="D60" s="64">
        <v>11.81</v>
      </c>
      <c r="E60" s="64">
        <v>4.18</v>
      </c>
      <c r="F60" s="64">
        <v>2.54</v>
      </c>
      <c r="G60" s="64">
        <v>36.659999999999997</v>
      </c>
      <c r="H60" s="64">
        <v>24.02</v>
      </c>
      <c r="I60" s="64">
        <v>3.33</v>
      </c>
      <c r="J60" s="64">
        <v>0.15</v>
      </c>
      <c r="K60" s="64">
        <v>170.93</v>
      </c>
      <c r="L60" s="64">
        <v>28.36</v>
      </c>
      <c r="M60" s="64">
        <v>102.69</v>
      </c>
      <c r="N60" s="64">
        <v>508.4</v>
      </c>
      <c r="O60" s="64">
        <v>0</v>
      </c>
      <c r="P60" s="64">
        <v>0.54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48" t="s">
        <v>969</v>
      </c>
      <c r="B61" s="64">
        <v>8.06</v>
      </c>
      <c r="C61" s="64">
        <v>3.14</v>
      </c>
      <c r="D61" s="64">
        <v>11.88</v>
      </c>
      <c r="E61" s="64">
        <v>3.94</v>
      </c>
      <c r="F61" s="64">
        <v>4.18</v>
      </c>
      <c r="G61" s="64">
        <v>36.659999999999997</v>
      </c>
      <c r="H61" s="64">
        <v>24.02</v>
      </c>
      <c r="I61" s="64">
        <v>3.46</v>
      </c>
      <c r="J61" s="64">
        <v>0.13</v>
      </c>
      <c r="K61" s="64">
        <v>203.31</v>
      </c>
      <c r="L61" s="64">
        <v>28.41</v>
      </c>
      <c r="M61" s="64">
        <v>102.53</v>
      </c>
      <c r="N61" s="64">
        <v>326.3</v>
      </c>
      <c r="O61" s="64">
        <v>0</v>
      </c>
      <c r="P61" s="64">
        <v>0.55000000000000004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48" t="s">
        <v>970</v>
      </c>
      <c r="B62" s="64">
        <v>8.2200000000000006</v>
      </c>
      <c r="C62" s="64">
        <v>3.41</v>
      </c>
      <c r="D62" s="64">
        <v>12.15</v>
      </c>
      <c r="E62" s="64">
        <v>4.1399999999999997</v>
      </c>
      <c r="F62" s="64">
        <v>2.83</v>
      </c>
      <c r="G62" s="64">
        <v>36.659999999999997</v>
      </c>
      <c r="H62" s="64">
        <v>24.02</v>
      </c>
      <c r="I62" s="64">
        <v>3.54</v>
      </c>
      <c r="J62" s="64">
        <v>0.1</v>
      </c>
      <c r="K62" s="64">
        <v>174.37</v>
      </c>
      <c r="L62" s="64">
        <v>28.04</v>
      </c>
      <c r="M62" s="64">
        <v>102.12</v>
      </c>
      <c r="N62" s="64">
        <v>183.4</v>
      </c>
      <c r="O62" s="64">
        <v>0</v>
      </c>
      <c r="P62" s="64">
        <v>0.53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48" t="s">
        <v>971</v>
      </c>
      <c r="B63" s="64">
        <v>8.07</v>
      </c>
      <c r="C63" s="64">
        <v>3.17</v>
      </c>
      <c r="D63" s="64">
        <v>11.9</v>
      </c>
      <c r="E63" s="64">
        <v>4.3099999999999996</v>
      </c>
      <c r="F63" s="64">
        <v>3.85</v>
      </c>
      <c r="G63" s="64">
        <v>37.229999999999997</v>
      </c>
      <c r="H63" s="64">
        <v>11.22</v>
      </c>
      <c r="I63" s="64">
        <v>3.61</v>
      </c>
      <c r="J63" s="64">
        <v>0.43</v>
      </c>
      <c r="K63" s="64">
        <v>316.95</v>
      </c>
      <c r="L63" s="64">
        <v>28.71</v>
      </c>
      <c r="M63" s="64">
        <v>100.35</v>
      </c>
      <c r="N63" s="64">
        <v>540.9</v>
      </c>
      <c r="O63" s="64">
        <v>0</v>
      </c>
      <c r="P63" s="64">
        <v>0.53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48" t="s">
        <v>972</v>
      </c>
      <c r="B64" s="64">
        <v>8</v>
      </c>
      <c r="C64" s="64">
        <v>3.11</v>
      </c>
      <c r="D64" s="64">
        <v>11.81</v>
      </c>
      <c r="E64" s="64">
        <v>3.89</v>
      </c>
      <c r="F64" s="64">
        <v>3.3</v>
      </c>
      <c r="G64" s="64">
        <v>37.369999999999997</v>
      </c>
      <c r="H64" s="64">
        <v>8.02</v>
      </c>
      <c r="I64" s="64">
        <v>3.66</v>
      </c>
      <c r="J64" s="64">
        <v>0.53</v>
      </c>
      <c r="K64" s="64">
        <v>319.01</v>
      </c>
      <c r="L64" s="64">
        <v>31.28</v>
      </c>
      <c r="M64" s="64">
        <v>87.37</v>
      </c>
      <c r="N64" s="64">
        <v>719.2</v>
      </c>
      <c r="O64" s="64">
        <v>0</v>
      </c>
      <c r="P64" s="64">
        <v>0.53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48" t="s">
        <v>973</v>
      </c>
      <c r="B65" s="64">
        <v>8</v>
      </c>
      <c r="C65" s="64">
        <v>3.11</v>
      </c>
      <c r="D65" s="64">
        <v>11.82</v>
      </c>
      <c r="E65" s="64">
        <v>4.18</v>
      </c>
      <c r="F65" s="64">
        <v>3.05</v>
      </c>
      <c r="G65" s="64">
        <v>37.369999999999997</v>
      </c>
      <c r="H65" s="64">
        <v>8.02</v>
      </c>
      <c r="I65" s="64">
        <v>3.8</v>
      </c>
      <c r="J65" s="64">
        <v>0.54</v>
      </c>
      <c r="K65" s="64">
        <v>319.55</v>
      </c>
      <c r="L65" s="64">
        <v>31.82</v>
      </c>
      <c r="M65" s="64">
        <v>83.61</v>
      </c>
      <c r="N65" s="64">
        <v>423.7</v>
      </c>
      <c r="O65" s="64">
        <v>0</v>
      </c>
      <c r="P65" s="64">
        <v>0.51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48" t="s">
        <v>974</v>
      </c>
      <c r="B66" s="64">
        <v>8.01</v>
      </c>
      <c r="C66" s="64">
        <v>3.05</v>
      </c>
      <c r="D66" s="64">
        <v>11.8</v>
      </c>
      <c r="E66" s="64">
        <v>3.79</v>
      </c>
      <c r="F66" s="64">
        <v>4.28</v>
      </c>
      <c r="G66" s="64">
        <v>37.369999999999997</v>
      </c>
      <c r="H66" s="64">
        <v>8.02</v>
      </c>
      <c r="I66" s="64">
        <v>3.62</v>
      </c>
      <c r="J66" s="64">
        <v>0.52</v>
      </c>
      <c r="K66" s="64">
        <v>320.7</v>
      </c>
      <c r="L66" s="64">
        <v>31.25</v>
      </c>
      <c r="M66" s="64">
        <v>85.43</v>
      </c>
      <c r="N66" s="64">
        <v>351.2</v>
      </c>
      <c r="O66" s="64">
        <v>0</v>
      </c>
      <c r="P66" s="64">
        <v>0.5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48" t="s">
        <v>975</v>
      </c>
      <c r="B67" s="64">
        <v>7.97</v>
      </c>
      <c r="C67" s="64">
        <v>3.03</v>
      </c>
      <c r="D67" s="64">
        <v>11.75</v>
      </c>
      <c r="E67" s="64">
        <v>4.08</v>
      </c>
      <c r="F67" s="64">
        <v>3.6</v>
      </c>
      <c r="G67" s="64">
        <v>39.869999999999997</v>
      </c>
      <c r="H67" s="64">
        <v>3.53</v>
      </c>
      <c r="I67" s="64">
        <v>3.34</v>
      </c>
      <c r="J67" s="64">
        <v>0.37</v>
      </c>
      <c r="K67" s="64">
        <v>320.77</v>
      </c>
      <c r="L67" s="64">
        <v>31.1</v>
      </c>
      <c r="M67" s="64">
        <v>85.68</v>
      </c>
      <c r="N67" s="64">
        <v>382.9</v>
      </c>
      <c r="O67" s="64">
        <v>0</v>
      </c>
      <c r="P67" s="64">
        <v>0.5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48" t="s">
        <v>976</v>
      </c>
      <c r="B68" s="64">
        <v>8.2200000000000006</v>
      </c>
      <c r="C68" s="64">
        <v>3.59</v>
      </c>
      <c r="D68" s="64">
        <v>12.25</v>
      </c>
      <c r="E68" s="64">
        <v>3.96</v>
      </c>
      <c r="F68" s="64">
        <v>3.54</v>
      </c>
      <c r="G68" s="64">
        <v>40.49</v>
      </c>
      <c r="H68" s="64">
        <v>2.4</v>
      </c>
      <c r="I68" s="64">
        <v>3.18</v>
      </c>
      <c r="J68" s="64">
        <v>0.3</v>
      </c>
      <c r="K68" s="64">
        <v>321.8</v>
      </c>
      <c r="L68" s="64">
        <v>31.36</v>
      </c>
      <c r="M68" s="64">
        <v>83.72</v>
      </c>
      <c r="N68" s="64">
        <v>366.8</v>
      </c>
      <c r="O68" s="64">
        <v>0</v>
      </c>
      <c r="P68" s="64">
        <v>0.48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48" t="s">
        <v>977</v>
      </c>
      <c r="B69" s="64">
        <v>8.11</v>
      </c>
      <c r="C69" s="64">
        <v>3.32</v>
      </c>
      <c r="D69" s="64">
        <v>12.01</v>
      </c>
      <c r="E69" s="64">
        <v>3.55</v>
      </c>
      <c r="F69" s="64">
        <v>3.93</v>
      </c>
      <c r="G69" s="64">
        <v>40.49</v>
      </c>
      <c r="H69" s="64">
        <v>2.4</v>
      </c>
      <c r="I69" s="64">
        <v>3</v>
      </c>
      <c r="J69" s="64">
        <v>0.41</v>
      </c>
      <c r="K69" s="64">
        <v>314.75</v>
      </c>
      <c r="L69" s="64">
        <v>31.46</v>
      </c>
      <c r="M69" s="64">
        <v>82.66</v>
      </c>
      <c r="N69" s="64">
        <v>313.2</v>
      </c>
      <c r="O69" s="64">
        <v>0</v>
      </c>
      <c r="P69" s="64">
        <v>0.47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48" t="s">
        <v>978</v>
      </c>
      <c r="B70" s="64">
        <v>8.01</v>
      </c>
      <c r="C70" s="64">
        <v>3.06</v>
      </c>
      <c r="D70" s="64">
        <v>11.8</v>
      </c>
      <c r="E70" s="64">
        <v>3.54</v>
      </c>
      <c r="F70" s="64">
        <v>3.86</v>
      </c>
      <c r="G70" s="64">
        <v>40.49</v>
      </c>
      <c r="H70" s="64">
        <v>2.4</v>
      </c>
      <c r="I70" s="64">
        <v>2.84</v>
      </c>
      <c r="J70" s="64">
        <v>0.48</v>
      </c>
      <c r="K70" s="64">
        <v>316.83999999999997</v>
      </c>
      <c r="L70" s="64">
        <v>30.93</v>
      </c>
      <c r="M70" s="64">
        <v>84.31</v>
      </c>
      <c r="N70" s="64">
        <v>259</v>
      </c>
      <c r="O70" s="64">
        <v>0</v>
      </c>
      <c r="P70" s="64">
        <v>0.46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48" t="s">
        <v>979</v>
      </c>
      <c r="B71" s="64">
        <v>8.01</v>
      </c>
      <c r="C71" s="64">
        <v>2.99</v>
      </c>
      <c r="D71" s="64">
        <v>11.76</v>
      </c>
      <c r="E71" s="64">
        <v>4.04</v>
      </c>
      <c r="F71" s="64">
        <v>3.98</v>
      </c>
      <c r="G71" s="64">
        <v>36.92</v>
      </c>
      <c r="H71" s="212" t="s">
        <v>42</v>
      </c>
      <c r="I71" s="64">
        <v>2.67</v>
      </c>
      <c r="J71" s="64">
        <v>0.31</v>
      </c>
      <c r="K71" s="64">
        <v>323.17</v>
      </c>
      <c r="L71" s="64">
        <v>30.5</v>
      </c>
      <c r="M71" s="64">
        <v>86.4</v>
      </c>
      <c r="N71" s="64">
        <v>217.7</v>
      </c>
      <c r="O71" s="64">
        <v>0</v>
      </c>
      <c r="P71" s="64">
        <v>0.46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48" t="s">
        <v>980</v>
      </c>
      <c r="B72" s="64">
        <v>8</v>
      </c>
      <c r="C72" s="64">
        <v>3.02</v>
      </c>
      <c r="D72" s="64">
        <v>11.76</v>
      </c>
      <c r="E72" s="64">
        <v>3.26</v>
      </c>
      <c r="F72" s="64">
        <v>3.82</v>
      </c>
      <c r="G72" s="64">
        <v>36.03</v>
      </c>
      <c r="H72" s="212" t="s">
        <v>42</v>
      </c>
      <c r="I72" s="64">
        <v>2.4700000000000002</v>
      </c>
      <c r="J72" s="64">
        <v>0.2</v>
      </c>
      <c r="K72" s="64">
        <v>336.45</v>
      </c>
      <c r="L72" s="64">
        <v>29.01</v>
      </c>
      <c r="M72" s="64">
        <v>99.38</v>
      </c>
      <c r="N72" s="64">
        <v>231.5</v>
      </c>
      <c r="O72" s="64">
        <v>0</v>
      </c>
      <c r="P72" s="64">
        <v>0.45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48" t="s">
        <v>981</v>
      </c>
      <c r="B73" s="64">
        <v>8.0299999999999994</v>
      </c>
      <c r="C73" s="64">
        <v>3.11</v>
      </c>
      <c r="D73" s="64">
        <v>11.84</v>
      </c>
      <c r="E73" s="64">
        <v>3.36</v>
      </c>
      <c r="F73" s="64">
        <v>3.91</v>
      </c>
      <c r="G73" s="64">
        <v>36.03</v>
      </c>
      <c r="H73" s="212" t="s">
        <v>42</v>
      </c>
      <c r="I73" s="64">
        <v>2.42</v>
      </c>
      <c r="J73" s="64">
        <v>0.25</v>
      </c>
      <c r="K73" s="64">
        <v>336.57</v>
      </c>
      <c r="L73" s="64">
        <v>28.94</v>
      </c>
      <c r="M73" s="64">
        <v>99.23</v>
      </c>
      <c r="N73" s="64">
        <v>218.1</v>
      </c>
      <c r="O73" s="64">
        <v>0</v>
      </c>
      <c r="P73" s="64">
        <v>0.46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48" t="s">
        <v>982</v>
      </c>
      <c r="B74" s="64">
        <v>8.01</v>
      </c>
      <c r="C74" s="64">
        <v>3.05</v>
      </c>
      <c r="D74" s="64">
        <v>11.79</v>
      </c>
      <c r="E74" s="64">
        <v>3.82</v>
      </c>
      <c r="F74" s="64">
        <v>3.94</v>
      </c>
      <c r="G74" s="64">
        <v>36.03</v>
      </c>
      <c r="H74" s="212" t="s">
        <v>42</v>
      </c>
      <c r="I74" s="64">
        <v>2.4</v>
      </c>
      <c r="J74" s="64">
        <v>0.23</v>
      </c>
      <c r="K74" s="64">
        <v>350.12</v>
      </c>
      <c r="L74" s="64">
        <v>28.98</v>
      </c>
      <c r="M74" s="64">
        <v>99.63</v>
      </c>
      <c r="N74" s="64">
        <v>201</v>
      </c>
      <c r="O74" s="64">
        <v>0</v>
      </c>
      <c r="P74" s="64">
        <v>0.45</v>
      </c>
      <c r="Q74" s="64">
        <v>9.34</v>
      </c>
      <c r="R74" s="198"/>
      <c r="S74" s="198"/>
      <c r="T74" s="198"/>
      <c r="U74" s="198"/>
    </row>
    <row r="75" spans="1:21" s="12" customFormat="1" x14ac:dyDescent="0.25">
      <c r="A75" s="248" t="s">
        <v>983</v>
      </c>
      <c r="B75" s="64">
        <v>8.01</v>
      </c>
      <c r="C75" s="64">
        <v>3.02</v>
      </c>
      <c r="D75" s="64">
        <v>11.77</v>
      </c>
      <c r="E75" s="64">
        <v>3.57</v>
      </c>
      <c r="F75" s="64">
        <v>3.52</v>
      </c>
      <c r="G75" s="64">
        <v>39.86</v>
      </c>
      <c r="H75" s="212" t="s">
        <v>42</v>
      </c>
      <c r="I75" s="64">
        <v>2.63</v>
      </c>
      <c r="J75" s="64">
        <v>0.24</v>
      </c>
      <c r="K75" s="64">
        <v>356.51</v>
      </c>
      <c r="L75" s="64">
        <v>28.79</v>
      </c>
      <c r="M75" s="64">
        <v>100.33</v>
      </c>
      <c r="N75" s="64">
        <v>192.8</v>
      </c>
      <c r="O75" s="64">
        <v>0</v>
      </c>
      <c r="P75" s="64">
        <v>0.46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48" t="s">
        <v>984</v>
      </c>
      <c r="B76" s="64">
        <v>8.02</v>
      </c>
      <c r="C76" s="64">
        <v>3.02</v>
      </c>
      <c r="D76" s="64">
        <v>11.78</v>
      </c>
      <c r="E76" s="64">
        <v>3.57</v>
      </c>
      <c r="F76" s="64">
        <v>4</v>
      </c>
      <c r="G76" s="64">
        <v>40.82</v>
      </c>
      <c r="H76" s="212" t="s">
        <v>42</v>
      </c>
      <c r="I76" s="64">
        <v>2.42</v>
      </c>
      <c r="J76" s="64">
        <v>0.19</v>
      </c>
      <c r="K76" s="64">
        <v>356.01</v>
      </c>
      <c r="L76" s="64">
        <v>28.57</v>
      </c>
      <c r="M76" s="64">
        <v>100.47</v>
      </c>
      <c r="N76" s="64">
        <v>148.6</v>
      </c>
      <c r="O76" s="64">
        <v>0</v>
      </c>
      <c r="P76" s="64">
        <v>0.47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48" t="s">
        <v>985</v>
      </c>
      <c r="B77" s="64">
        <v>7.98</v>
      </c>
      <c r="C77" s="64">
        <v>2.98</v>
      </c>
      <c r="D77" s="64">
        <v>11.73</v>
      </c>
      <c r="E77" s="64">
        <v>3.8</v>
      </c>
      <c r="F77" s="64">
        <v>4.0199999999999996</v>
      </c>
      <c r="G77" s="64">
        <v>40.82</v>
      </c>
      <c r="H77" s="212" t="s">
        <v>42</v>
      </c>
      <c r="I77" s="64">
        <v>2.44</v>
      </c>
      <c r="J77" s="64">
        <v>0.22</v>
      </c>
      <c r="K77" s="64">
        <v>5.17</v>
      </c>
      <c r="L77" s="64">
        <v>28.49</v>
      </c>
      <c r="M77" s="64">
        <v>101.16</v>
      </c>
      <c r="N77" s="64">
        <v>149.4</v>
      </c>
      <c r="O77" s="64">
        <v>0</v>
      </c>
      <c r="P77" s="64">
        <v>0.48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48" t="s">
        <v>986</v>
      </c>
      <c r="B78" s="64">
        <v>8</v>
      </c>
      <c r="C78" s="64">
        <v>3.05</v>
      </c>
      <c r="D78" s="64">
        <v>11.78</v>
      </c>
      <c r="E78" s="64">
        <v>4.07</v>
      </c>
      <c r="F78" s="64">
        <v>2.4900000000000002</v>
      </c>
      <c r="G78" s="64">
        <v>40.82</v>
      </c>
      <c r="H78" s="212" t="s">
        <v>42</v>
      </c>
      <c r="I78" s="64">
        <v>2.4700000000000002</v>
      </c>
      <c r="J78" s="64">
        <v>0.26</v>
      </c>
      <c r="K78" s="64">
        <v>2.67</v>
      </c>
      <c r="L78" s="64">
        <v>28.6</v>
      </c>
      <c r="M78" s="64">
        <v>100.13</v>
      </c>
      <c r="N78" s="64">
        <v>157.1</v>
      </c>
      <c r="O78" s="64">
        <v>0</v>
      </c>
      <c r="P78" s="64">
        <v>0.49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48" t="s">
        <v>987</v>
      </c>
      <c r="B79" s="64">
        <v>8</v>
      </c>
      <c r="C79" s="64">
        <v>3.06</v>
      </c>
      <c r="D79" s="64">
        <v>11.79</v>
      </c>
      <c r="E79" s="64">
        <v>3.61</v>
      </c>
      <c r="F79" s="64">
        <v>4.46</v>
      </c>
      <c r="G79" s="64">
        <v>56.42</v>
      </c>
      <c r="H79" s="64">
        <v>33.17</v>
      </c>
      <c r="I79" s="64">
        <v>2.54</v>
      </c>
      <c r="J79" s="64">
        <v>0.35</v>
      </c>
      <c r="K79" s="64">
        <v>12.31</v>
      </c>
      <c r="L79" s="64">
        <v>28.24</v>
      </c>
      <c r="M79" s="64">
        <v>101.41</v>
      </c>
      <c r="N79" s="64">
        <v>107.9</v>
      </c>
      <c r="O79" s="64">
        <v>0</v>
      </c>
      <c r="P79" s="64">
        <v>0.5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48" t="s">
        <v>988</v>
      </c>
      <c r="B80" s="64">
        <v>7.97</v>
      </c>
      <c r="C80" s="64">
        <v>2.99</v>
      </c>
      <c r="D80" s="64">
        <v>11.73</v>
      </c>
      <c r="E80" s="64">
        <v>3.94</v>
      </c>
      <c r="F80" s="64">
        <v>2.98</v>
      </c>
      <c r="G80" s="64">
        <v>60.32</v>
      </c>
      <c r="H80" s="64">
        <v>25.45</v>
      </c>
      <c r="I80" s="64">
        <v>2.59</v>
      </c>
      <c r="J80" s="64">
        <v>0.24</v>
      </c>
      <c r="K80" s="64">
        <v>22.57</v>
      </c>
      <c r="L80" s="64">
        <v>27.92</v>
      </c>
      <c r="M80" s="64">
        <v>103.17</v>
      </c>
      <c r="N80" s="64">
        <v>90.3</v>
      </c>
      <c r="O80" s="64">
        <v>0</v>
      </c>
      <c r="P80" s="64">
        <v>0.51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48" t="s">
        <v>989</v>
      </c>
      <c r="B81" s="64">
        <v>8.0299999999999994</v>
      </c>
      <c r="C81" s="64">
        <v>3.19</v>
      </c>
      <c r="D81" s="64">
        <v>11.88</v>
      </c>
      <c r="E81" s="64">
        <v>3.74</v>
      </c>
      <c r="F81" s="64">
        <v>2.91</v>
      </c>
      <c r="G81" s="64">
        <v>60.32</v>
      </c>
      <c r="H81" s="64">
        <v>25.45</v>
      </c>
      <c r="I81" s="64">
        <v>2.63</v>
      </c>
      <c r="J81" s="64">
        <v>0.22</v>
      </c>
      <c r="K81" s="64">
        <v>13.14</v>
      </c>
      <c r="L81" s="64">
        <v>27.78</v>
      </c>
      <c r="M81" s="64">
        <v>102.13</v>
      </c>
      <c r="N81" s="64">
        <v>91.4</v>
      </c>
      <c r="O81" s="64">
        <v>0</v>
      </c>
      <c r="P81" s="64">
        <v>0.5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48" t="s">
        <v>990</v>
      </c>
      <c r="B82" s="64">
        <v>8.01</v>
      </c>
      <c r="C82" s="64">
        <v>3.13</v>
      </c>
      <c r="D82" s="64">
        <v>11.84</v>
      </c>
      <c r="E82" s="64">
        <v>3.47</v>
      </c>
      <c r="F82" s="64">
        <v>4.17</v>
      </c>
      <c r="G82" s="64">
        <v>60.32</v>
      </c>
      <c r="H82" s="64">
        <v>25.45</v>
      </c>
      <c r="I82" s="64">
        <v>2.61</v>
      </c>
      <c r="J82" s="64">
        <v>0.28000000000000003</v>
      </c>
      <c r="K82" s="64">
        <v>0.76</v>
      </c>
      <c r="L82" s="64">
        <v>27.68</v>
      </c>
      <c r="M82" s="64">
        <v>102.32</v>
      </c>
      <c r="N82" s="64">
        <v>88.6</v>
      </c>
      <c r="O82" s="64">
        <v>0</v>
      </c>
      <c r="P82" s="64">
        <v>0.53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48" t="s">
        <v>991</v>
      </c>
      <c r="B83" s="64">
        <v>8.08</v>
      </c>
      <c r="C83" s="64">
        <v>3.35</v>
      </c>
      <c r="D83" s="64">
        <v>12</v>
      </c>
      <c r="E83" s="64">
        <v>3.92</v>
      </c>
      <c r="F83" s="64">
        <v>2.62</v>
      </c>
      <c r="G83" s="64">
        <v>53.5</v>
      </c>
      <c r="H83" s="64">
        <v>12.82</v>
      </c>
      <c r="I83" s="64">
        <v>2.57</v>
      </c>
      <c r="J83" s="64">
        <v>0.25</v>
      </c>
      <c r="K83" s="64">
        <v>346.82</v>
      </c>
      <c r="L83" s="64">
        <v>27.54</v>
      </c>
      <c r="M83" s="64">
        <v>102.66</v>
      </c>
      <c r="N83" s="64">
        <v>83.5</v>
      </c>
      <c r="O83" s="64">
        <v>0</v>
      </c>
      <c r="P83" s="64">
        <v>0.53</v>
      </c>
      <c r="Q83" s="64">
        <v>9.3000000000000007</v>
      </c>
      <c r="R83" s="198"/>
      <c r="S83" s="198"/>
      <c r="T83" s="198"/>
      <c r="U83" s="198"/>
    </row>
    <row r="84" spans="1:26" s="12" customFormat="1" x14ac:dyDescent="0.25">
      <c r="A84" s="248" t="s">
        <v>992</v>
      </c>
      <c r="B84" s="64">
        <v>8.0399999999999991</v>
      </c>
      <c r="C84" s="64">
        <v>3.26</v>
      </c>
      <c r="D84" s="64">
        <v>11.93</v>
      </c>
      <c r="E84" s="64">
        <v>4.04</v>
      </c>
      <c r="F84" s="64">
        <v>3.94</v>
      </c>
      <c r="G84" s="64">
        <v>51.79</v>
      </c>
      <c r="H84" s="64">
        <v>9.67</v>
      </c>
      <c r="I84" s="64">
        <v>2.62</v>
      </c>
      <c r="J84" s="64">
        <v>0.22</v>
      </c>
      <c r="K84" s="64">
        <v>4.2699999999999996</v>
      </c>
      <c r="L84" s="64">
        <v>27.32</v>
      </c>
      <c r="M84" s="64">
        <v>102.84</v>
      </c>
      <c r="N84" s="64">
        <v>81.900000000000006</v>
      </c>
      <c r="O84" s="64">
        <v>0</v>
      </c>
      <c r="P84" s="64">
        <v>0.53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48" t="s">
        <v>993</v>
      </c>
      <c r="B85" s="64">
        <v>8.02</v>
      </c>
      <c r="C85" s="64">
        <v>3.12</v>
      </c>
      <c r="D85" s="64">
        <v>11.83</v>
      </c>
      <c r="E85" s="64">
        <v>4.97</v>
      </c>
      <c r="F85" s="64">
        <v>3.5</v>
      </c>
      <c r="G85" s="64">
        <v>51.79</v>
      </c>
      <c r="H85" s="64">
        <v>9.67</v>
      </c>
      <c r="I85" s="64">
        <v>2.64</v>
      </c>
      <c r="J85" s="64">
        <v>0.18</v>
      </c>
      <c r="K85" s="64">
        <v>345.85</v>
      </c>
      <c r="L85" s="64">
        <v>27.18</v>
      </c>
      <c r="M85" s="64">
        <v>102.43</v>
      </c>
      <c r="N85" s="64">
        <v>81.8</v>
      </c>
      <c r="O85" s="64">
        <v>0</v>
      </c>
      <c r="P85" s="64">
        <v>0.54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48" t="s">
        <v>994</v>
      </c>
      <c r="B86" s="64">
        <v>8.08</v>
      </c>
      <c r="C86" s="64">
        <v>3.23</v>
      </c>
      <c r="D86" s="64">
        <v>11.95</v>
      </c>
      <c r="E86" s="64">
        <v>4.8</v>
      </c>
      <c r="F86" s="64">
        <v>3.41</v>
      </c>
      <c r="G86" s="64">
        <v>51.79</v>
      </c>
      <c r="H86" s="64">
        <v>9.67</v>
      </c>
      <c r="I86" s="64">
        <v>2.7</v>
      </c>
      <c r="J86" s="64">
        <v>0.1</v>
      </c>
      <c r="K86" s="64">
        <v>2.63</v>
      </c>
      <c r="L86" s="64">
        <v>27.11</v>
      </c>
      <c r="M86" s="64">
        <v>103.37</v>
      </c>
      <c r="N86" s="64">
        <v>82.1</v>
      </c>
      <c r="O86" s="64">
        <v>0</v>
      </c>
      <c r="P86" s="64">
        <v>0.54</v>
      </c>
      <c r="Q86" s="64">
        <v>9.3000000000000007</v>
      </c>
      <c r="R86" s="198"/>
      <c r="S86" s="198"/>
      <c r="T86" s="198"/>
      <c r="U86" s="198"/>
    </row>
    <row r="87" spans="1:26" s="12" customFormat="1" x14ac:dyDescent="0.25">
      <c r="A87" s="248" t="s">
        <v>995</v>
      </c>
      <c r="B87" s="64">
        <v>8.01</v>
      </c>
      <c r="C87" s="64">
        <v>3.11</v>
      </c>
      <c r="D87" s="64">
        <v>11.82</v>
      </c>
      <c r="E87" s="64">
        <v>4.8600000000000003</v>
      </c>
      <c r="F87" s="64">
        <v>3.81</v>
      </c>
      <c r="G87" s="64">
        <v>56.82</v>
      </c>
      <c r="H87" s="64">
        <v>5.03</v>
      </c>
      <c r="I87" s="64">
        <v>2.81</v>
      </c>
      <c r="J87" s="64">
        <v>0.18</v>
      </c>
      <c r="K87" s="64">
        <v>348.04</v>
      </c>
      <c r="L87" s="64">
        <v>27.1</v>
      </c>
      <c r="M87" s="64">
        <v>102.67</v>
      </c>
      <c r="N87" s="64">
        <v>82.3</v>
      </c>
      <c r="O87" s="64">
        <v>0</v>
      </c>
      <c r="P87" s="64">
        <v>0.55000000000000004</v>
      </c>
      <c r="Q87" s="64">
        <v>9.33</v>
      </c>
      <c r="R87" s="198"/>
      <c r="S87" s="198"/>
      <c r="T87" s="198"/>
      <c r="U87" s="198"/>
    </row>
    <row r="88" spans="1:26" s="12" customFormat="1" x14ac:dyDescent="0.25">
      <c r="A88" s="248" t="s">
        <v>996</v>
      </c>
      <c r="B88" s="64">
        <v>8.0299999999999994</v>
      </c>
      <c r="C88" s="64">
        <v>3.09</v>
      </c>
      <c r="D88" s="64">
        <v>11.83</v>
      </c>
      <c r="E88" s="64">
        <v>5.05</v>
      </c>
      <c r="F88" s="64">
        <v>3.27</v>
      </c>
      <c r="G88" s="64">
        <v>58.07</v>
      </c>
      <c r="H88" s="64">
        <v>3.87</v>
      </c>
      <c r="I88" s="64">
        <v>2.91</v>
      </c>
      <c r="J88" s="64">
        <v>0.2</v>
      </c>
      <c r="K88" s="64">
        <v>8.7799999999999994</v>
      </c>
      <c r="L88" s="64">
        <v>27.09</v>
      </c>
      <c r="M88" s="64">
        <v>103.23</v>
      </c>
      <c r="N88" s="64">
        <v>82.2</v>
      </c>
      <c r="O88" s="64">
        <v>0</v>
      </c>
      <c r="P88" s="64">
        <v>0.57999999999999996</v>
      </c>
      <c r="Q88" s="64">
        <v>9.34</v>
      </c>
      <c r="R88" s="198"/>
      <c r="S88" s="198"/>
      <c r="T88" s="198"/>
      <c r="U88" s="198"/>
    </row>
    <row r="89" spans="1:26" s="12" customFormat="1" x14ac:dyDescent="0.25">
      <c r="A89" s="248" t="s">
        <v>997</v>
      </c>
      <c r="B89" s="64">
        <v>8.07</v>
      </c>
      <c r="C89" s="64">
        <v>3.11</v>
      </c>
      <c r="D89" s="64">
        <v>11.87</v>
      </c>
      <c r="E89" s="64">
        <v>4.7</v>
      </c>
      <c r="F89" s="64">
        <v>3.44</v>
      </c>
      <c r="G89" s="64">
        <v>58.07</v>
      </c>
      <c r="H89" s="64">
        <v>3.87</v>
      </c>
      <c r="I89" s="64">
        <v>3.05</v>
      </c>
      <c r="J89" s="64">
        <v>0.22</v>
      </c>
      <c r="K89" s="64">
        <v>359.27</v>
      </c>
      <c r="L89" s="64">
        <v>27.1</v>
      </c>
      <c r="M89" s="64">
        <v>102.79</v>
      </c>
      <c r="N89" s="64">
        <v>82.3</v>
      </c>
      <c r="O89" s="64">
        <v>0</v>
      </c>
      <c r="P89" s="64">
        <v>0.61</v>
      </c>
      <c r="Q89" s="64">
        <v>9.3699999999999992</v>
      </c>
      <c r="R89" s="198"/>
      <c r="S89" s="198"/>
      <c r="T89" s="198"/>
      <c r="U89" s="198"/>
    </row>
    <row r="90" spans="1:26" s="12" customFormat="1" x14ac:dyDescent="0.25">
      <c r="A90" s="248" t="s">
        <v>998</v>
      </c>
      <c r="B90" s="64">
        <v>8.0399999999999991</v>
      </c>
      <c r="C90" s="64">
        <v>3</v>
      </c>
      <c r="D90" s="64">
        <v>11.79</v>
      </c>
      <c r="E90" s="64">
        <v>4.9800000000000004</v>
      </c>
      <c r="F90" s="64">
        <v>3.34</v>
      </c>
      <c r="G90" s="64">
        <v>58.07</v>
      </c>
      <c r="H90" s="64">
        <v>3.87</v>
      </c>
      <c r="I90" s="64">
        <v>3.43</v>
      </c>
      <c r="J90" s="64">
        <v>0.28000000000000003</v>
      </c>
      <c r="K90" s="64">
        <v>12.06</v>
      </c>
      <c r="L90" s="64">
        <v>26.71</v>
      </c>
      <c r="M90" s="64">
        <v>102.57</v>
      </c>
      <c r="N90" s="64">
        <v>82.8</v>
      </c>
      <c r="O90" s="64">
        <v>0</v>
      </c>
      <c r="P90" s="64">
        <v>0.61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48" t="s">
        <v>999</v>
      </c>
      <c r="B91" s="64">
        <v>8.02</v>
      </c>
      <c r="C91" s="64">
        <v>2.99</v>
      </c>
      <c r="D91" s="64">
        <v>11.77</v>
      </c>
      <c r="E91" s="64">
        <v>5.2</v>
      </c>
      <c r="F91" s="64">
        <v>3.56</v>
      </c>
      <c r="G91" s="64">
        <v>63.68</v>
      </c>
      <c r="H91" s="64">
        <v>17.02</v>
      </c>
      <c r="I91" s="64">
        <v>3.29</v>
      </c>
      <c r="J91" s="64">
        <v>0.24</v>
      </c>
      <c r="K91" s="64">
        <v>19.57</v>
      </c>
      <c r="L91" s="64">
        <v>26.56</v>
      </c>
      <c r="M91" s="64">
        <v>103.31</v>
      </c>
      <c r="N91" s="64">
        <v>83.1</v>
      </c>
      <c r="O91" s="64">
        <v>0</v>
      </c>
      <c r="P91" s="64">
        <v>0.61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48" t="s">
        <v>1000</v>
      </c>
      <c r="B92" s="64">
        <v>8.0399999999999991</v>
      </c>
      <c r="C92" s="64">
        <v>3.02</v>
      </c>
      <c r="D92" s="64">
        <v>11.8</v>
      </c>
      <c r="E92" s="64">
        <v>4.7699999999999996</v>
      </c>
      <c r="F92" s="64">
        <v>3.62</v>
      </c>
      <c r="G92" s="64">
        <v>65.08</v>
      </c>
      <c r="H92" s="64">
        <v>20.309999999999999</v>
      </c>
      <c r="I92" s="64">
        <v>3.2</v>
      </c>
      <c r="J92" s="64">
        <v>0.18</v>
      </c>
      <c r="K92" s="64">
        <v>356.89</v>
      </c>
      <c r="L92" s="64">
        <v>26.37</v>
      </c>
      <c r="M92" s="64">
        <v>103.13</v>
      </c>
      <c r="N92" s="64">
        <v>83.1</v>
      </c>
      <c r="O92" s="64">
        <v>0</v>
      </c>
      <c r="P92" s="64">
        <v>0.64</v>
      </c>
      <c r="Q92" s="64">
        <v>9.4</v>
      </c>
      <c r="R92" s="198"/>
      <c r="S92" s="198"/>
      <c r="T92" s="198"/>
      <c r="U92" s="198"/>
    </row>
    <row r="93" spans="1:26" s="12" customFormat="1" x14ac:dyDescent="0.25">
      <c r="A93" s="248" t="s">
        <v>1001</v>
      </c>
      <c r="B93" s="64">
        <v>8.0299999999999994</v>
      </c>
      <c r="C93" s="64">
        <v>3.03</v>
      </c>
      <c r="D93" s="64">
        <v>11.8</v>
      </c>
      <c r="E93" s="64">
        <v>5.19</v>
      </c>
      <c r="F93" s="64">
        <v>3.56</v>
      </c>
      <c r="G93" s="64">
        <v>65.08</v>
      </c>
      <c r="H93" s="64">
        <v>20.309999999999999</v>
      </c>
      <c r="I93" s="64">
        <v>3.15</v>
      </c>
      <c r="J93" s="64">
        <v>0.21</v>
      </c>
      <c r="K93" s="64">
        <v>4.79</v>
      </c>
      <c r="L93" s="64">
        <v>26.18</v>
      </c>
      <c r="M93" s="64">
        <v>103.32</v>
      </c>
      <c r="N93" s="64">
        <v>83.1</v>
      </c>
      <c r="O93" s="64">
        <v>0</v>
      </c>
      <c r="P93" s="64">
        <v>0.65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48" t="s">
        <v>1002</v>
      </c>
      <c r="B94" s="64">
        <v>8.09</v>
      </c>
      <c r="C94" s="64">
        <v>3.12</v>
      </c>
      <c r="D94" s="64">
        <v>11.9</v>
      </c>
      <c r="E94" s="64">
        <v>5.0199999999999996</v>
      </c>
      <c r="F94" s="64">
        <v>3.68</v>
      </c>
      <c r="G94" s="64">
        <v>65.08</v>
      </c>
      <c r="H94" s="64">
        <v>20.309999999999999</v>
      </c>
      <c r="I94" s="64">
        <v>3.27</v>
      </c>
      <c r="J94" s="64">
        <v>0.31</v>
      </c>
      <c r="K94" s="64">
        <v>2.2400000000000002</v>
      </c>
      <c r="L94" s="64">
        <v>26.04</v>
      </c>
      <c r="M94" s="64">
        <v>102.35</v>
      </c>
      <c r="N94" s="64">
        <v>83.2</v>
      </c>
      <c r="O94" s="64">
        <v>0</v>
      </c>
      <c r="P94" s="64">
        <v>0.66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48" t="s">
        <v>1003</v>
      </c>
      <c r="B95" s="64">
        <v>8.11</v>
      </c>
      <c r="C95" s="64">
        <v>3.23</v>
      </c>
      <c r="D95" s="64">
        <v>11.97</v>
      </c>
      <c r="E95" s="64">
        <v>5</v>
      </c>
      <c r="F95" s="64">
        <v>4.66</v>
      </c>
      <c r="G95" s="64">
        <v>60.36</v>
      </c>
      <c r="H95" s="64">
        <v>17.62</v>
      </c>
      <c r="I95" s="64">
        <v>3.38</v>
      </c>
      <c r="J95" s="64">
        <v>0.26</v>
      </c>
      <c r="K95" s="64">
        <v>13.75</v>
      </c>
      <c r="L95" s="64">
        <v>25.83</v>
      </c>
      <c r="M95" s="64">
        <v>102.4</v>
      </c>
      <c r="N95" s="64">
        <v>83.5</v>
      </c>
      <c r="O95" s="64">
        <v>0</v>
      </c>
      <c r="P95" s="64">
        <v>0.66</v>
      </c>
      <c r="Q95" s="64">
        <v>9.43</v>
      </c>
      <c r="R95" s="198"/>
      <c r="S95" s="198"/>
      <c r="T95" s="198"/>
      <c r="U95" s="198"/>
    </row>
    <row r="96" spans="1:26" s="12" customFormat="1" x14ac:dyDescent="0.25">
      <c r="A96" s="248" t="s">
        <v>1004</v>
      </c>
      <c r="B96" s="64">
        <v>8.17</v>
      </c>
      <c r="C96" s="64">
        <v>3.35</v>
      </c>
      <c r="D96" s="64">
        <v>12.08</v>
      </c>
      <c r="E96" s="64">
        <v>5.29</v>
      </c>
      <c r="F96" s="64">
        <v>3.21</v>
      </c>
      <c r="G96" s="64">
        <v>59.18</v>
      </c>
      <c r="H96" s="64">
        <v>16.940000000000001</v>
      </c>
      <c r="I96" s="64">
        <v>3.39</v>
      </c>
      <c r="J96" s="64">
        <v>0.22</v>
      </c>
      <c r="K96" s="64">
        <v>2.59</v>
      </c>
      <c r="L96" s="64">
        <v>25.69</v>
      </c>
      <c r="M96" s="64">
        <v>102.56</v>
      </c>
      <c r="N96" s="64">
        <v>83.6</v>
      </c>
      <c r="O96" s="64">
        <v>0</v>
      </c>
      <c r="P96" s="64">
        <v>0.64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1005</v>
      </c>
      <c r="B97" s="64">
        <v>8.27</v>
      </c>
      <c r="C97" s="64">
        <v>3.53</v>
      </c>
      <c r="D97" s="64">
        <v>12.25</v>
      </c>
      <c r="E97" s="64">
        <v>5.29</v>
      </c>
      <c r="F97" s="64">
        <v>3.23</v>
      </c>
      <c r="G97" s="64">
        <v>59.18</v>
      </c>
      <c r="H97" s="64">
        <v>16.940000000000001</v>
      </c>
      <c r="I97" s="64">
        <v>3.32</v>
      </c>
      <c r="J97" s="64">
        <v>0.2</v>
      </c>
      <c r="K97" s="64">
        <v>358.45</v>
      </c>
      <c r="L97" s="64">
        <v>25.56</v>
      </c>
      <c r="M97" s="64">
        <v>102.68</v>
      </c>
      <c r="N97" s="64">
        <v>83.9</v>
      </c>
      <c r="O97" s="64">
        <v>0</v>
      </c>
      <c r="P97" s="64">
        <v>0.63</v>
      </c>
      <c r="Q97" s="64">
        <v>9.32</v>
      </c>
      <c r="R97" s="198"/>
      <c r="S97" s="198"/>
      <c r="T97" s="198"/>
      <c r="U97" s="198"/>
    </row>
    <row r="98" spans="1:33" s="12" customFormat="1" x14ac:dyDescent="0.25">
      <c r="A98" s="248" t="s">
        <v>1006</v>
      </c>
      <c r="B98" s="64">
        <v>8.0500000000000007</v>
      </c>
      <c r="C98" s="64">
        <v>3.09</v>
      </c>
      <c r="D98" s="64">
        <v>11.84</v>
      </c>
      <c r="E98" s="64">
        <v>5.01</v>
      </c>
      <c r="F98" s="64">
        <v>3.34</v>
      </c>
      <c r="G98" s="64">
        <v>59.18</v>
      </c>
      <c r="H98" s="64">
        <v>16.940000000000001</v>
      </c>
      <c r="I98" s="64">
        <v>3.25</v>
      </c>
      <c r="J98" s="64">
        <v>0.28000000000000003</v>
      </c>
      <c r="K98" s="64">
        <v>25.51</v>
      </c>
      <c r="L98" s="64">
        <v>25.51</v>
      </c>
      <c r="M98" s="64">
        <v>102.49</v>
      </c>
      <c r="N98" s="64">
        <v>84.1</v>
      </c>
      <c r="O98" s="64">
        <v>0</v>
      </c>
      <c r="P98" s="64">
        <v>0.62</v>
      </c>
      <c r="Q98" s="64">
        <v>9.3800000000000008</v>
      </c>
      <c r="R98" s="198"/>
      <c r="S98" s="198"/>
      <c r="T98" s="198"/>
      <c r="U98" s="198"/>
    </row>
    <row r="99" spans="1:33" s="12" customFormat="1" x14ac:dyDescent="0.25">
      <c r="A99" s="248" t="s">
        <v>1007</v>
      </c>
      <c r="B99" s="64">
        <v>8.02</v>
      </c>
      <c r="C99" s="64">
        <v>3.11</v>
      </c>
      <c r="D99" s="64">
        <v>11.83</v>
      </c>
      <c r="E99" s="64">
        <v>5.2</v>
      </c>
      <c r="F99" s="64">
        <v>3.34</v>
      </c>
      <c r="G99" s="64">
        <v>48.63</v>
      </c>
      <c r="H99" s="212" t="s">
        <v>42</v>
      </c>
      <c r="I99" s="64">
        <v>3.18</v>
      </c>
      <c r="J99" s="64">
        <v>0.24</v>
      </c>
      <c r="K99" s="64">
        <v>13.95</v>
      </c>
      <c r="L99" s="64">
        <v>25.44</v>
      </c>
      <c r="M99" s="64">
        <v>102.26</v>
      </c>
      <c r="N99" s="64">
        <v>84.3</v>
      </c>
      <c r="O99" s="64">
        <v>0</v>
      </c>
      <c r="P99" s="64">
        <v>0.61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48" t="s">
        <v>1008</v>
      </c>
      <c r="B100" s="64">
        <v>8.14</v>
      </c>
      <c r="C100" s="64">
        <v>3.32</v>
      </c>
      <c r="D100" s="64">
        <v>12.03</v>
      </c>
      <c r="E100" s="64">
        <v>5.47</v>
      </c>
      <c r="F100" s="64">
        <v>3.64</v>
      </c>
      <c r="G100" s="64">
        <v>45.99</v>
      </c>
      <c r="H100" s="212" t="s">
        <v>42</v>
      </c>
      <c r="I100" s="64">
        <v>3.16</v>
      </c>
      <c r="J100" s="64">
        <v>0.27</v>
      </c>
      <c r="K100" s="64">
        <v>4.76</v>
      </c>
      <c r="L100" s="64">
        <v>25.32</v>
      </c>
      <c r="M100" s="64">
        <v>102.02</v>
      </c>
      <c r="N100" s="64">
        <v>84.6</v>
      </c>
      <c r="O100" s="64">
        <v>0</v>
      </c>
      <c r="P100" s="64">
        <v>0.6</v>
      </c>
      <c r="Q100" s="64">
        <v>9.41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1009</v>
      </c>
      <c r="B101" s="64">
        <v>8.3699999999999992</v>
      </c>
      <c r="C101" s="64">
        <v>3.79</v>
      </c>
      <c r="D101" s="64">
        <v>12.47</v>
      </c>
      <c r="E101" s="64">
        <v>4.58</v>
      </c>
      <c r="F101" s="64">
        <v>3.45</v>
      </c>
      <c r="G101" s="64">
        <v>45.99</v>
      </c>
      <c r="H101" s="212" t="s">
        <v>42</v>
      </c>
      <c r="I101" s="64">
        <v>3.05</v>
      </c>
      <c r="J101" s="64">
        <v>0.28000000000000003</v>
      </c>
      <c r="K101" s="64">
        <v>357.44</v>
      </c>
      <c r="L101" s="64">
        <v>25.27</v>
      </c>
      <c r="M101" s="64">
        <v>101.97</v>
      </c>
      <c r="N101" s="64">
        <v>84.9</v>
      </c>
      <c r="O101" s="64">
        <v>0</v>
      </c>
      <c r="P101" s="64">
        <v>0.56999999999999995</v>
      </c>
      <c r="Q101" s="64">
        <v>9.39</v>
      </c>
      <c r="R101" s="198"/>
      <c r="S101" s="198"/>
      <c r="T101" s="198"/>
      <c r="U101" s="198"/>
    </row>
    <row r="102" spans="1:33" s="12" customFormat="1" x14ac:dyDescent="0.25">
      <c r="A102" s="248" t="s">
        <v>1010</v>
      </c>
      <c r="B102" s="64">
        <v>8.15</v>
      </c>
      <c r="C102" s="64">
        <v>3.37</v>
      </c>
      <c r="D102" s="64">
        <v>12.07</v>
      </c>
      <c r="E102" s="64">
        <v>4.4400000000000004</v>
      </c>
      <c r="F102" s="64">
        <v>3.34</v>
      </c>
      <c r="G102" s="64">
        <v>45.99</v>
      </c>
      <c r="H102" s="212" t="s">
        <v>42</v>
      </c>
      <c r="I102" s="64">
        <v>2.98</v>
      </c>
      <c r="J102" s="64">
        <v>0.19</v>
      </c>
      <c r="K102" s="64">
        <v>16.149999999999999</v>
      </c>
      <c r="L102" s="64">
        <v>25.18</v>
      </c>
      <c r="M102" s="64">
        <v>101.93</v>
      </c>
      <c r="N102" s="64">
        <v>85</v>
      </c>
      <c r="O102" s="64">
        <v>0</v>
      </c>
      <c r="P102" s="64">
        <v>0.56000000000000005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48" t="s">
        <v>1011</v>
      </c>
      <c r="B103" s="64">
        <v>8</v>
      </c>
      <c r="C103" s="64">
        <v>3.06</v>
      </c>
      <c r="D103" s="64">
        <v>11.79</v>
      </c>
      <c r="E103" s="64">
        <v>4.41</v>
      </c>
      <c r="F103" s="64">
        <v>3.6</v>
      </c>
      <c r="G103" s="64">
        <v>44.87</v>
      </c>
      <c r="H103" s="64">
        <v>30.84</v>
      </c>
      <c r="I103" s="64">
        <v>2.84</v>
      </c>
      <c r="J103" s="64">
        <v>0.23</v>
      </c>
      <c r="K103" s="64">
        <v>18.399999999999999</v>
      </c>
      <c r="L103" s="64">
        <v>25.09</v>
      </c>
      <c r="M103" s="64">
        <v>101.93</v>
      </c>
      <c r="N103" s="64">
        <v>85.7</v>
      </c>
      <c r="O103" s="64">
        <v>0</v>
      </c>
      <c r="P103" s="64">
        <v>0.54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48" t="s">
        <v>1012</v>
      </c>
      <c r="B104" s="64">
        <v>8</v>
      </c>
      <c r="C104" s="64">
        <v>3.07</v>
      </c>
      <c r="D104" s="64">
        <v>11.8</v>
      </c>
      <c r="E104" s="64">
        <v>4.3099999999999996</v>
      </c>
      <c r="F104" s="64">
        <v>3.51</v>
      </c>
      <c r="G104" s="64">
        <v>44.58</v>
      </c>
      <c r="H104" s="64">
        <v>25.35</v>
      </c>
      <c r="I104" s="64">
        <v>2.79</v>
      </c>
      <c r="J104" s="64">
        <v>0.27</v>
      </c>
      <c r="K104" s="64">
        <v>2.0699999999999998</v>
      </c>
      <c r="L104" s="64">
        <v>24.98</v>
      </c>
      <c r="M104" s="64">
        <v>101.95</v>
      </c>
      <c r="N104" s="64">
        <v>86.4</v>
      </c>
      <c r="O104" s="64">
        <v>0</v>
      </c>
      <c r="P104" s="64">
        <v>0.53</v>
      </c>
      <c r="Q104" s="64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7.95</v>
      </c>
      <c r="C106" s="67">
        <f>MIN(C9:C104)</f>
        <v>2.96</v>
      </c>
      <c r="D106" s="67">
        <f t="shared" ref="D106:Q106" si="0">MIN(D9:D104)</f>
        <v>11.7</v>
      </c>
      <c r="E106" s="67">
        <f t="shared" si="0"/>
        <v>3.26</v>
      </c>
      <c r="F106" s="67">
        <f t="shared" si="0"/>
        <v>2.2599999999999998</v>
      </c>
      <c r="G106" s="67">
        <f t="shared" si="0"/>
        <v>16.12</v>
      </c>
      <c r="H106" s="67">
        <f t="shared" si="0"/>
        <v>0.13</v>
      </c>
      <c r="I106" s="67">
        <f t="shared" si="0"/>
        <v>0.03</v>
      </c>
      <c r="J106" s="67">
        <f t="shared" si="0"/>
        <v>0.01</v>
      </c>
      <c r="K106" s="67">
        <f t="shared" si="0"/>
        <v>0.76</v>
      </c>
      <c r="L106" s="67">
        <f t="shared" si="0"/>
        <v>24.31</v>
      </c>
      <c r="M106" s="67">
        <f t="shared" si="0"/>
        <v>82.66</v>
      </c>
      <c r="N106" s="67">
        <f t="shared" si="0"/>
        <v>61.8</v>
      </c>
      <c r="O106" s="67">
        <f t="shared" si="0"/>
        <v>0</v>
      </c>
      <c r="P106" s="67">
        <f t="shared" si="0"/>
        <v>0.38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8.61</v>
      </c>
      <c r="C107" s="66">
        <f t="shared" ref="C107:Q107" si="1">MAX(C9:C104)</f>
        <v>4.04</v>
      </c>
      <c r="D107" s="66">
        <f t="shared" si="1"/>
        <v>12.79</v>
      </c>
      <c r="E107" s="66">
        <f t="shared" si="1"/>
        <v>5.47</v>
      </c>
      <c r="F107" s="66">
        <f t="shared" si="1"/>
        <v>4.68</v>
      </c>
      <c r="G107" s="66">
        <f t="shared" si="1"/>
        <v>65.08</v>
      </c>
      <c r="H107" s="66">
        <f t="shared" si="1"/>
        <v>35.450000000000003</v>
      </c>
      <c r="I107" s="66">
        <f t="shared" si="1"/>
        <v>4.3499999999999996</v>
      </c>
      <c r="J107" s="66">
        <f t="shared" si="1"/>
        <v>1.02</v>
      </c>
      <c r="K107" s="66">
        <f t="shared" si="1"/>
        <v>359.27</v>
      </c>
      <c r="L107" s="66">
        <f t="shared" si="1"/>
        <v>31.82</v>
      </c>
      <c r="M107" s="66">
        <f t="shared" si="1"/>
        <v>103.37</v>
      </c>
      <c r="N107" s="66">
        <f t="shared" si="1"/>
        <v>719.2</v>
      </c>
      <c r="O107" s="66">
        <f t="shared" si="1"/>
        <v>1</v>
      </c>
      <c r="P107" s="66">
        <f t="shared" si="1"/>
        <v>0.66</v>
      </c>
      <c r="Q107" s="66">
        <f t="shared" si="1"/>
        <v>9.5299999999999994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8.0678124999999987</v>
      </c>
      <c r="C108" s="67">
        <f t="shared" ref="C108:Q108" si="2">AVERAGE(C9:C104)</f>
        <v>3.1620833333333347</v>
      </c>
      <c r="D108" s="67">
        <f t="shared" si="2"/>
        <v>11.895833333333327</v>
      </c>
      <c r="E108" s="67">
        <f t="shared" si="2"/>
        <v>4.1464583333333342</v>
      </c>
      <c r="F108" s="67">
        <f t="shared" si="2"/>
        <v>3.5114583333333331</v>
      </c>
      <c r="G108" s="67">
        <f t="shared" si="2"/>
        <v>37.419895833333335</v>
      </c>
      <c r="H108" s="67">
        <f t="shared" si="2"/>
        <v>15.325479452054784</v>
      </c>
      <c r="I108" s="67">
        <f t="shared" si="2"/>
        <v>3.1112499999999996</v>
      </c>
      <c r="J108" s="67">
        <f t="shared" si="2"/>
        <v>0.2692708333333334</v>
      </c>
      <c r="K108" s="67">
        <f t="shared" si="2"/>
        <v>237.81531249999992</v>
      </c>
      <c r="L108" s="67">
        <f t="shared" si="2"/>
        <v>26.324479166666663</v>
      </c>
      <c r="M108" s="67">
        <f t="shared" si="2"/>
        <v>100.72229166666665</v>
      </c>
      <c r="N108" s="67">
        <f t="shared" si="2"/>
        <v>155.15937500000004</v>
      </c>
      <c r="O108" s="67">
        <f t="shared" si="2"/>
        <v>2.5000000000000005E-2</v>
      </c>
      <c r="P108" s="67">
        <f t="shared" si="2"/>
        <v>0.5149999999999999</v>
      </c>
      <c r="Q108" s="67">
        <f t="shared" si="2"/>
        <v>9.3576041666666647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0.11291546092448755</v>
      </c>
      <c r="C109" s="67">
        <f t="shared" ref="C109:Q109" si="3">STDEV(C9:C104)</f>
        <v>0.20713035136391844</v>
      </c>
      <c r="D109" s="67">
        <f t="shared" si="3"/>
        <v>0.19750904931522389</v>
      </c>
      <c r="E109" s="67">
        <f t="shared" si="3"/>
        <v>0.53263393011406646</v>
      </c>
      <c r="F109" s="67">
        <f t="shared" si="3"/>
        <v>0.52177627624888268</v>
      </c>
      <c r="G109" s="67">
        <f t="shared" si="3"/>
        <v>12.790845698125089</v>
      </c>
      <c r="H109" s="67">
        <f t="shared" si="3"/>
        <v>9.4957753824611739</v>
      </c>
      <c r="I109" s="67">
        <f t="shared" si="3"/>
        <v>0.66796351933163223</v>
      </c>
      <c r="J109" s="67">
        <f t="shared" si="3"/>
        <v>0.1623008563823867</v>
      </c>
      <c r="K109" s="67">
        <f t="shared" si="3"/>
        <v>146.33338954127373</v>
      </c>
      <c r="L109" s="67">
        <f t="shared" si="3"/>
        <v>2.0626431024252492</v>
      </c>
      <c r="M109" s="67">
        <f t="shared" si="3"/>
        <v>4.8769165148669966</v>
      </c>
      <c r="N109" s="67">
        <f t="shared" si="3"/>
        <v>127.82224711900749</v>
      </c>
      <c r="O109" s="67">
        <f t="shared" si="3"/>
        <v>0.12052516662288289</v>
      </c>
      <c r="P109" s="67">
        <f t="shared" si="3"/>
        <v>6.1848711853156629E-2</v>
      </c>
      <c r="Q109" s="67">
        <f t="shared" si="3"/>
        <v>7.8535875699770705E-2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1013</v>
      </c>
      <c r="B9" s="64">
        <v>7.98</v>
      </c>
      <c r="C9" s="64">
        <v>3.03</v>
      </c>
      <c r="D9" s="64">
        <v>11.76</v>
      </c>
      <c r="E9" s="64">
        <v>4.01</v>
      </c>
      <c r="F9" s="64">
        <v>3.34</v>
      </c>
      <c r="G9" s="64">
        <v>44.58</v>
      </c>
      <c r="H9" s="64">
        <v>25.35</v>
      </c>
      <c r="I9" s="64">
        <v>2.71</v>
      </c>
      <c r="J9" s="64">
        <v>0.24</v>
      </c>
      <c r="K9" s="64">
        <v>352.09</v>
      </c>
      <c r="L9" s="64">
        <v>24.86</v>
      </c>
      <c r="M9" s="64">
        <v>102</v>
      </c>
      <c r="N9" s="64">
        <v>86.7</v>
      </c>
      <c r="O9" s="64">
        <v>0</v>
      </c>
      <c r="P9" s="64">
        <v>0.48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48" t="s">
        <v>1014</v>
      </c>
      <c r="B10" s="64">
        <v>7.99</v>
      </c>
      <c r="C10" s="64">
        <v>3</v>
      </c>
      <c r="D10" s="64">
        <v>11.75</v>
      </c>
      <c r="E10" s="64">
        <v>3.92</v>
      </c>
      <c r="F10" s="64">
        <v>3.64</v>
      </c>
      <c r="G10" s="64">
        <v>44.58</v>
      </c>
      <c r="H10" s="64">
        <v>25.35</v>
      </c>
      <c r="I10" s="64">
        <v>2.64</v>
      </c>
      <c r="J10" s="64">
        <v>0.27</v>
      </c>
      <c r="K10" s="64">
        <v>358.87</v>
      </c>
      <c r="L10" s="64">
        <v>24.83</v>
      </c>
      <c r="M10" s="64">
        <v>102.02</v>
      </c>
      <c r="N10" s="64">
        <v>87.1</v>
      </c>
      <c r="O10" s="64">
        <v>0</v>
      </c>
      <c r="P10" s="64">
        <v>0.49</v>
      </c>
      <c r="Q10" s="64">
        <v>9.34</v>
      </c>
      <c r="R10" s="198"/>
      <c r="S10" s="198"/>
      <c r="T10" s="198"/>
      <c r="U10" s="198"/>
    </row>
    <row r="11" spans="1:21" s="12" customFormat="1" x14ac:dyDescent="0.25">
      <c r="A11" s="248" t="s">
        <v>1015</v>
      </c>
      <c r="B11" s="64">
        <v>8.02</v>
      </c>
      <c r="C11" s="64">
        <v>3.02</v>
      </c>
      <c r="D11" s="64">
        <v>11.78</v>
      </c>
      <c r="E11" s="64">
        <v>4</v>
      </c>
      <c r="F11" s="64">
        <v>3.46</v>
      </c>
      <c r="G11" s="64">
        <v>34.43</v>
      </c>
      <c r="H11" s="64">
        <v>19.059999999999999</v>
      </c>
      <c r="I11" s="64">
        <v>2.5499999999999998</v>
      </c>
      <c r="J11" s="64">
        <v>0.18</v>
      </c>
      <c r="K11" s="64">
        <v>349.44</v>
      </c>
      <c r="L11" s="64">
        <v>24.77</v>
      </c>
      <c r="M11" s="64">
        <v>101.98</v>
      </c>
      <c r="N11" s="64">
        <v>87.5</v>
      </c>
      <c r="O11" s="64">
        <v>0</v>
      </c>
      <c r="P11" s="64">
        <v>0.48</v>
      </c>
      <c r="Q11" s="64">
        <v>9.3699999999999992</v>
      </c>
      <c r="R11" s="198"/>
      <c r="S11" s="198"/>
      <c r="T11" s="198"/>
      <c r="U11" s="198"/>
    </row>
    <row r="12" spans="1:21" s="12" customFormat="1" x14ac:dyDescent="0.25">
      <c r="A12" s="248" t="s">
        <v>1016</v>
      </c>
      <c r="B12" s="64">
        <v>8.02</v>
      </c>
      <c r="C12" s="64">
        <v>2.98</v>
      </c>
      <c r="D12" s="64">
        <v>11.77</v>
      </c>
      <c r="E12" s="64">
        <v>4.1900000000000004</v>
      </c>
      <c r="F12" s="64">
        <v>3.5</v>
      </c>
      <c r="G12" s="64">
        <v>31.9</v>
      </c>
      <c r="H12" s="64">
        <v>17.59</v>
      </c>
      <c r="I12" s="64">
        <v>2.46</v>
      </c>
      <c r="J12" s="64">
        <v>0.22</v>
      </c>
      <c r="K12" s="64">
        <v>331.83</v>
      </c>
      <c r="L12" s="64">
        <v>24.69</v>
      </c>
      <c r="M12" s="64">
        <v>101.97</v>
      </c>
      <c r="N12" s="64">
        <v>87.8</v>
      </c>
      <c r="O12" s="64">
        <v>0</v>
      </c>
      <c r="P12" s="64">
        <v>0.47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48" t="s">
        <v>1017</v>
      </c>
      <c r="B13" s="64">
        <v>8.02</v>
      </c>
      <c r="C13" s="64">
        <v>2.99</v>
      </c>
      <c r="D13" s="64">
        <v>11.77</v>
      </c>
      <c r="E13" s="64">
        <v>4.1500000000000004</v>
      </c>
      <c r="F13" s="64">
        <v>3.54</v>
      </c>
      <c r="G13" s="64">
        <v>31.9</v>
      </c>
      <c r="H13" s="64">
        <v>17.59</v>
      </c>
      <c r="I13" s="64">
        <v>2.4900000000000002</v>
      </c>
      <c r="J13" s="64">
        <v>0.18</v>
      </c>
      <c r="K13" s="64">
        <v>335.56</v>
      </c>
      <c r="L13" s="64">
        <v>24.62</v>
      </c>
      <c r="M13" s="64">
        <v>101.99</v>
      </c>
      <c r="N13" s="64">
        <v>88.3</v>
      </c>
      <c r="O13" s="64">
        <v>0</v>
      </c>
      <c r="P13" s="64">
        <v>0.46</v>
      </c>
      <c r="Q13" s="64">
        <v>9.3699999999999992</v>
      </c>
      <c r="R13" s="198"/>
      <c r="S13" s="198"/>
      <c r="T13" s="198"/>
      <c r="U13" s="198"/>
    </row>
    <row r="14" spans="1:21" s="12" customFormat="1" x14ac:dyDescent="0.25">
      <c r="A14" s="248" t="s">
        <v>1018</v>
      </c>
      <c r="B14" s="64">
        <v>8.0500000000000007</v>
      </c>
      <c r="C14" s="64">
        <v>3.05</v>
      </c>
      <c r="D14" s="64">
        <v>11.83</v>
      </c>
      <c r="E14" s="64">
        <v>4.54</v>
      </c>
      <c r="F14" s="64">
        <v>3.48</v>
      </c>
      <c r="G14" s="64">
        <v>31.9</v>
      </c>
      <c r="H14" s="64">
        <v>17.59</v>
      </c>
      <c r="I14" s="64">
        <v>2.5299999999999998</v>
      </c>
      <c r="J14" s="64">
        <v>0.11</v>
      </c>
      <c r="K14" s="64">
        <v>355.66</v>
      </c>
      <c r="L14" s="64">
        <v>24.62</v>
      </c>
      <c r="M14" s="64">
        <v>101.99</v>
      </c>
      <c r="N14" s="64">
        <v>88.5</v>
      </c>
      <c r="O14" s="64">
        <v>0</v>
      </c>
      <c r="P14" s="64">
        <v>0.45</v>
      </c>
      <c r="Q14" s="64">
        <v>9.36</v>
      </c>
      <c r="R14" s="198"/>
      <c r="S14" s="198"/>
      <c r="T14" s="198"/>
      <c r="U14" s="198"/>
    </row>
    <row r="15" spans="1:21" s="12" customFormat="1" x14ac:dyDescent="0.25">
      <c r="A15" s="248" t="s">
        <v>1019</v>
      </c>
      <c r="B15" s="64">
        <v>8.02</v>
      </c>
      <c r="C15" s="64">
        <v>2.99</v>
      </c>
      <c r="D15" s="64">
        <v>11.77</v>
      </c>
      <c r="E15" s="64">
        <v>4.3</v>
      </c>
      <c r="F15" s="64">
        <v>3.67</v>
      </c>
      <c r="G15" s="64">
        <v>30.86</v>
      </c>
      <c r="H15" s="64">
        <v>10.84</v>
      </c>
      <c r="I15" s="64">
        <v>2.52</v>
      </c>
      <c r="J15" s="64">
        <v>0.11</v>
      </c>
      <c r="K15" s="64">
        <v>8.91</v>
      </c>
      <c r="L15" s="64">
        <v>24.58</v>
      </c>
      <c r="M15" s="64">
        <v>101.97</v>
      </c>
      <c r="N15" s="64">
        <v>89.7</v>
      </c>
      <c r="O15" s="64">
        <v>0</v>
      </c>
      <c r="P15" s="64">
        <v>0.43</v>
      </c>
      <c r="Q15" s="64">
        <v>9.35</v>
      </c>
      <c r="R15" s="198"/>
      <c r="S15" s="198"/>
      <c r="T15" s="198"/>
      <c r="U15" s="198"/>
    </row>
    <row r="16" spans="1:21" s="12" customFormat="1" x14ac:dyDescent="0.25">
      <c r="A16" s="248" t="s">
        <v>1020</v>
      </c>
      <c r="B16" s="64">
        <v>8</v>
      </c>
      <c r="C16" s="64">
        <v>2.99</v>
      </c>
      <c r="D16" s="64">
        <v>11.75</v>
      </c>
      <c r="E16" s="64">
        <v>4.3899999999999997</v>
      </c>
      <c r="F16" s="64">
        <v>3.28</v>
      </c>
      <c r="G16" s="64">
        <v>30.6</v>
      </c>
      <c r="H16" s="64">
        <v>9.15</v>
      </c>
      <c r="I16" s="64">
        <v>2.52</v>
      </c>
      <c r="J16" s="64">
        <v>0.13</v>
      </c>
      <c r="K16" s="64">
        <v>319.02999999999997</v>
      </c>
      <c r="L16" s="64">
        <v>24.61</v>
      </c>
      <c r="M16" s="64">
        <v>101.96</v>
      </c>
      <c r="N16" s="64">
        <v>90.4</v>
      </c>
      <c r="O16" s="64">
        <v>0</v>
      </c>
      <c r="P16" s="64">
        <v>0.42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48" t="s">
        <v>1021</v>
      </c>
      <c r="B17" s="64">
        <v>8</v>
      </c>
      <c r="C17" s="64">
        <v>3.01</v>
      </c>
      <c r="D17" s="64">
        <v>11.76</v>
      </c>
      <c r="E17" s="64">
        <v>4.3</v>
      </c>
      <c r="F17" s="64">
        <v>3.95</v>
      </c>
      <c r="G17" s="64">
        <v>30.6</v>
      </c>
      <c r="H17" s="64">
        <v>9.15</v>
      </c>
      <c r="I17" s="64">
        <v>2.52</v>
      </c>
      <c r="J17" s="64">
        <v>0.15</v>
      </c>
      <c r="K17" s="64">
        <v>347.59</v>
      </c>
      <c r="L17" s="64">
        <v>24.69</v>
      </c>
      <c r="M17" s="64">
        <v>101.96</v>
      </c>
      <c r="N17" s="64">
        <v>90.9</v>
      </c>
      <c r="O17" s="64">
        <v>0</v>
      </c>
      <c r="P17" s="64">
        <v>0.42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48" t="s">
        <v>1022</v>
      </c>
      <c r="B18" s="64">
        <v>7.97</v>
      </c>
      <c r="C18" s="64">
        <v>3.01</v>
      </c>
      <c r="D18" s="64">
        <v>11.74</v>
      </c>
      <c r="E18" s="64">
        <v>4.63</v>
      </c>
      <c r="F18" s="64">
        <v>4.2300000000000004</v>
      </c>
      <c r="G18" s="64">
        <v>30.6</v>
      </c>
      <c r="H18" s="64">
        <v>9.15</v>
      </c>
      <c r="I18" s="64">
        <v>2.56</v>
      </c>
      <c r="J18" s="64">
        <v>0.15</v>
      </c>
      <c r="K18" s="64">
        <v>347.92</v>
      </c>
      <c r="L18" s="64">
        <v>24.68</v>
      </c>
      <c r="M18" s="64">
        <v>101.93</v>
      </c>
      <c r="N18" s="64">
        <v>91.2</v>
      </c>
      <c r="O18" s="64">
        <v>0</v>
      </c>
      <c r="P18" s="64">
        <v>0.41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48" t="s">
        <v>1023</v>
      </c>
      <c r="B19" s="64">
        <v>7.96</v>
      </c>
      <c r="C19" s="64">
        <v>3</v>
      </c>
      <c r="D19" s="64">
        <v>11.73</v>
      </c>
      <c r="E19" s="64">
        <v>4.7</v>
      </c>
      <c r="F19" s="64">
        <v>2.72</v>
      </c>
      <c r="G19" s="64">
        <v>24.12</v>
      </c>
      <c r="H19" s="212" t="s">
        <v>42</v>
      </c>
      <c r="I19" s="64">
        <v>2.5</v>
      </c>
      <c r="J19" s="64">
        <v>0.19</v>
      </c>
      <c r="K19" s="64">
        <v>352.67</v>
      </c>
      <c r="L19" s="64">
        <v>24.68</v>
      </c>
      <c r="M19" s="64">
        <v>101.86</v>
      </c>
      <c r="N19" s="64">
        <v>92</v>
      </c>
      <c r="O19" s="64">
        <v>0</v>
      </c>
      <c r="P19" s="64">
        <v>0.39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48" t="s">
        <v>1024</v>
      </c>
      <c r="B20" s="64">
        <v>7.96</v>
      </c>
      <c r="C20" s="64">
        <v>2.96</v>
      </c>
      <c r="D20" s="64">
        <v>11.71</v>
      </c>
      <c r="E20" s="64">
        <v>3.84</v>
      </c>
      <c r="F20" s="64">
        <v>3.74</v>
      </c>
      <c r="G20" s="64">
        <v>22.5</v>
      </c>
      <c r="H20" s="212" t="s">
        <v>42</v>
      </c>
      <c r="I20" s="64">
        <v>2.44</v>
      </c>
      <c r="J20" s="64">
        <v>0.22</v>
      </c>
      <c r="K20" s="64">
        <v>345.32</v>
      </c>
      <c r="L20" s="64">
        <v>24.66</v>
      </c>
      <c r="M20" s="64">
        <v>101.87</v>
      </c>
      <c r="N20" s="64">
        <v>92.5</v>
      </c>
      <c r="O20" s="64">
        <v>0</v>
      </c>
      <c r="P20" s="64">
        <v>0.38</v>
      </c>
      <c r="Q20" s="64">
        <v>9.19</v>
      </c>
      <c r="R20" s="198"/>
      <c r="S20" s="198"/>
      <c r="T20" s="198"/>
      <c r="U20" s="198"/>
    </row>
    <row r="21" spans="1:21" s="12" customFormat="1" x14ac:dyDescent="0.25">
      <c r="A21" s="248" t="s">
        <v>1025</v>
      </c>
      <c r="B21" s="64">
        <v>8.01</v>
      </c>
      <c r="C21" s="64">
        <v>3.09</v>
      </c>
      <c r="D21" s="64">
        <v>11.81</v>
      </c>
      <c r="E21" s="64">
        <v>4.4000000000000004</v>
      </c>
      <c r="F21" s="64">
        <v>2.69</v>
      </c>
      <c r="G21" s="64">
        <v>22.5</v>
      </c>
      <c r="H21" s="212" t="s">
        <v>42</v>
      </c>
      <c r="I21" s="64">
        <v>2.4</v>
      </c>
      <c r="J21" s="64">
        <v>0.23</v>
      </c>
      <c r="K21" s="64">
        <v>358.04</v>
      </c>
      <c r="L21" s="64">
        <v>24.65</v>
      </c>
      <c r="M21" s="64">
        <v>101.87</v>
      </c>
      <c r="N21" s="64">
        <v>92.9</v>
      </c>
      <c r="O21" s="64">
        <v>0</v>
      </c>
      <c r="P21" s="64">
        <v>0.36</v>
      </c>
      <c r="Q21" s="64">
        <v>9.18</v>
      </c>
      <c r="R21" s="198"/>
      <c r="S21" s="198"/>
      <c r="T21" s="198"/>
      <c r="U21" s="198"/>
    </row>
    <row r="22" spans="1:21" s="12" customFormat="1" x14ac:dyDescent="0.25">
      <c r="A22" s="248" t="s">
        <v>1026</v>
      </c>
      <c r="B22" s="64">
        <v>8.01</v>
      </c>
      <c r="C22" s="64">
        <v>3.07</v>
      </c>
      <c r="D22" s="64">
        <v>11.8</v>
      </c>
      <c r="E22" s="64">
        <v>4.26</v>
      </c>
      <c r="F22" s="64">
        <v>4.1399999999999997</v>
      </c>
      <c r="G22" s="64">
        <v>22.5</v>
      </c>
      <c r="H22" s="212" t="s">
        <v>42</v>
      </c>
      <c r="I22" s="64">
        <v>2.38</v>
      </c>
      <c r="J22" s="64">
        <v>0.31</v>
      </c>
      <c r="K22" s="64">
        <v>356.33</v>
      </c>
      <c r="L22" s="64">
        <v>24.68</v>
      </c>
      <c r="M22" s="64">
        <v>101.88</v>
      </c>
      <c r="N22" s="64">
        <v>93.5</v>
      </c>
      <c r="O22" s="64">
        <v>0</v>
      </c>
      <c r="P22" s="64">
        <v>0.36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48" t="s">
        <v>1027</v>
      </c>
      <c r="B23" s="64">
        <v>7.95</v>
      </c>
      <c r="C23" s="64">
        <v>2.97</v>
      </c>
      <c r="D23" s="64">
        <v>11.7</v>
      </c>
      <c r="E23" s="64">
        <v>4.3099999999999996</v>
      </c>
      <c r="F23" s="64">
        <v>3.46</v>
      </c>
      <c r="G23" s="64">
        <v>17.18</v>
      </c>
      <c r="H23" s="212" t="s">
        <v>42</v>
      </c>
      <c r="I23" s="64">
        <v>2.25</v>
      </c>
      <c r="J23" s="64">
        <v>0.26</v>
      </c>
      <c r="K23" s="64">
        <v>1.93</v>
      </c>
      <c r="L23" s="64">
        <v>24.73</v>
      </c>
      <c r="M23" s="64">
        <v>101.91</v>
      </c>
      <c r="N23" s="64">
        <v>93.9</v>
      </c>
      <c r="O23" s="64">
        <v>0</v>
      </c>
      <c r="P23" s="64">
        <v>0.34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48" t="s">
        <v>1028</v>
      </c>
      <c r="B24" s="64">
        <v>7.96</v>
      </c>
      <c r="C24" s="64">
        <v>3.04</v>
      </c>
      <c r="D24" s="64">
        <v>11.75</v>
      </c>
      <c r="E24" s="64">
        <v>3.95</v>
      </c>
      <c r="F24" s="64">
        <v>3.52</v>
      </c>
      <c r="G24" s="64">
        <v>15.85</v>
      </c>
      <c r="H24" s="212" t="s">
        <v>42</v>
      </c>
      <c r="I24" s="64">
        <v>2.37</v>
      </c>
      <c r="J24" s="64">
        <v>0.27</v>
      </c>
      <c r="K24" s="64">
        <v>3.06</v>
      </c>
      <c r="L24" s="64">
        <v>24.75</v>
      </c>
      <c r="M24" s="64">
        <v>101.95</v>
      </c>
      <c r="N24" s="64">
        <v>94.8</v>
      </c>
      <c r="O24" s="64">
        <v>0</v>
      </c>
      <c r="P24" s="64">
        <v>0.33</v>
      </c>
      <c r="Q24" s="64">
        <v>9.2200000000000006</v>
      </c>
      <c r="R24" s="198"/>
      <c r="S24" s="198"/>
      <c r="T24" s="198"/>
      <c r="U24" s="198"/>
    </row>
    <row r="25" spans="1:21" s="12" customFormat="1" x14ac:dyDescent="0.25">
      <c r="A25" s="248" t="s">
        <v>1029</v>
      </c>
      <c r="B25" s="64">
        <v>7.98</v>
      </c>
      <c r="C25" s="64">
        <v>3.05</v>
      </c>
      <c r="D25" s="64">
        <v>11.76</v>
      </c>
      <c r="E25" s="64">
        <v>3.92</v>
      </c>
      <c r="F25" s="64">
        <v>3.62</v>
      </c>
      <c r="G25" s="64">
        <v>15.85</v>
      </c>
      <c r="H25" s="212" t="s">
        <v>42</v>
      </c>
      <c r="I25" s="64">
        <v>2.04</v>
      </c>
      <c r="J25" s="64">
        <v>0.32</v>
      </c>
      <c r="K25" s="64">
        <v>348.57</v>
      </c>
      <c r="L25" s="64">
        <v>24.71</v>
      </c>
      <c r="M25" s="64">
        <v>102</v>
      </c>
      <c r="N25" s="64">
        <v>96.8</v>
      </c>
      <c r="O25" s="64">
        <v>0</v>
      </c>
      <c r="P25" s="64">
        <v>0.31</v>
      </c>
      <c r="Q25" s="64">
        <v>9.1999999999999993</v>
      </c>
      <c r="R25" s="198"/>
      <c r="S25" s="198"/>
      <c r="T25" s="198"/>
      <c r="U25" s="198"/>
    </row>
    <row r="26" spans="1:21" s="12" customFormat="1" x14ac:dyDescent="0.25">
      <c r="A26" s="248" t="s">
        <v>1030</v>
      </c>
      <c r="B26" s="64">
        <v>7.96</v>
      </c>
      <c r="C26" s="64">
        <v>3.03</v>
      </c>
      <c r="D26" s="64">
        <v>11.74</v>
      </c>
      <c r="E26" s="64">
        <v>3.79</v>
      </c>
      <c r="F26" s="64">
        <v>4.04</v>
      </c>
      <c r="G26" s="64">
        <v>15.85</v>
      </c>
      <c r="H26" s="212" t="s">
        <v>42</v>
      </c>
      <c r="I26" s="64">
        <v>2.0499999999999998</v>
      </c>
      <c r="J26" s="64">
        <v>0.26</v>
      </c>
      <c r="K26" s="64">
        <v>358.85</v>
      </c>
      <c r="L26" s="64">
        <v>24.72</v>
      </c>
      <c r="M26" s="64">
        <v>102.02</v>
      </c>
      <c r="N26" s="64">
        <v>98</v>
      </c>
      <c r="O26" s="64">
        <v>0</v>
      </c>
      <c r="P26" s="64">
        <v>0.31</v>
      </c>
      <c r="Q26" s="64">
        <v>9.2200000000000006</v>
      </c>
      <c r="R26" s="198"/>
      <c r="S26" s="198"/>
      <c r="T26" s="198"/>
      <c r="U26" s="198"/>
    </row>
    <row r="27" spans="1:21" s="12" customFormat="1" x14ac:dyDescent="0.25">
      <c r="A27" s="248" t="s">
        <v>1031</v>
      </c>
      <c r="B27" s="64">
        <v>8.0500000000000007</v>
      </c>
      <c r="C27" s="64">
        <v>3.23</v>
      </c>
      <c r="D27" s="64">
        <v>11.92</v>
      </c>
      <c r="E27" s="64">
        <v>4.12</v>
      </c>
      <c r="F27" s="64">
        <v>3.88</v>
      </c>
      <c r="G27" s="64">
        <v>18.73</v>
      </c>
      <c r="H27" s="212" t="s">
        <v>42</v>
      </c>
      <c r="I27" s="64">
        <v>1.88</v>
      </c>
      <c r="J27" s="64">
        <v>0.27</v>
      </c>
      <c r="K27" s="64">
        <v>359.93</v>
      </c>
      <c r="L27" s="64">
        <v>24.59</v>
      </c>
      <c r="M27" s="64">
        <v>102.15</v>
      </c>
      <c r="N27" s="64">
        <v>107.3</v>
      </c>
      <c r="O27" s="64">
        <v>0</v>
      </c>
      <c r="P27" s="64">
        <v>0.28999999999999998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48" t="s">
        <v>1032</v>
      </c>
      <c r="B28" s="64">
        <v>8.0399999999999991</v>
      </c>
      <c r="C28" s="64">
        <v>3.22</v>
      </c>
      <c r="D28" s="64">
        <v>11.9</v>
      </c>
      <c r="E28" s="64">
        <v>3.9</v>
      </c>
      <c r="F28" s="64">
        <v>3.39</v>
      </c>
      <c r="G28" s="64">
        <v>19.45</v>
      </c>
      <c r="H28" s="64">
        <v>17.62</v>
      </c>
      <c r="I28" s="64">
        <v>1.74</v>
      </c>
      <c r="J28" s="64">
        <v>0.22</v>
      </c>
      <c r="K28" s="64">
        <v>5.4</v>
      </c>
      <c r="L28" s="64">
        <v>24.39</v>
      </c>
      <c r="M28" s="64">
        <v>102.17</v>
      </c>
      <c r="N28" s="64">
        <v>110.6</v>
      </c>
      <c r="O28" s="64">
        <v>0.2</v>
      </c>
      <c r="P28" s="64">
        <v>0.28999999999999998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48" t="s">
        <v>1033</v>
      </c>
      <c r="B29" s="64">
        <v>7.97</v>
      </c>
      <c r="C29" s="64">
        <v>3.03</v>
      </c>
      <c r="D29" s="64">
        <v>11.75</v>
      </c>
      <c r="E29" s="64">
        <v>3.84</v>
      </c>
      <c r="F29" s="64">
        <v>3.75</v>
      </c>
      <c r="G29" s="64">
        <v>19.45</v>
      </c>
      <c r="H29" s="64">
        <v>17.62</v>
      </c>
      <c r="I29" s="64">
        <v>1.62</v>
      </c>
      <c r="J29" s="64">
        <v>0.24</v>
      </c>
      <c r="K29" s="64">
        <v>333.86</v>
      </c>
      <c r="L29" s="64">
        <v>24.42</v>
      </c>
      <c r="M29" s="64">
        <v>102.09</v>
      </c>
      <c r="N29" s="64">
        <v>102.7</v>
      </c>
      <c r="O29" s="64">
        <v>0</v>
      </c>
      <c r="P29" s="64">
        <v>0.28000000000000003</v>
      </c>
      <c r="Q29" s="64">
        <v>9.1999999999999993</v>
      </c>
      <c r="R29" s="198"/>
      <c r="S29" s="198"/>
      <c r="T29" s="198"/>
      <c r="U29" s="198"/>
    </row>
    <row r="30" spans="1:21" s="12" customFormat="1" x14ac:dyDescent="0.25">
      <c r="A30" s="248" t="s">
        <v>1034</v>
      </c>
      <c r="B30" s="64">
        <v>7.98</v>
      </c>
      <c r="C30" s="64">
        <v>3</v>
      </c>
      <c r="D30" s="64">
        <v>11.74</v>
      </c>
      <c r="E30" s="64">
        <v>3.9</v>
      </c>
      <c r="F30" s="64">
        <v>3.47</v>
      </c>
      <c r="G30" s="64">
        <v>19.45</v>
      </c>
      <c r="H30" s="64">
        <v>17.62</v>
      </c>
      <c r="I30" s="64">
        <v>1.47</v>
      </c>
      <c r="J30" s="64">
        <v>0.25</v>
      </c>
      <c r="K30" s="64">
        <v>348.27</v>
      </c>
      <c r="L30" s="64">
        <v>24.34</v>
      </c>
      <c r="M30" s="64">
        <v>102.15</v>
      </c>
      <c r="N30" s="64">
        <v>99.8</v>
      </c>
      <c r="O30" s="64">
        <v>0</v>
      </c>
      <c r="P30" s="64">
        <v>0.28000000000000003</v>
      </c>
      <c r="Q30" s="64">
        <v>9.2100000000000009</v>
      </c>
      <c r="R30" s="198"/>
      <c r="S30" s="198"/>
      <c r="T30" s="198"/>
      <c r="U30" s="198"/>
    </row>
    <row r="31" spans="1:21" s="12" customFormat="1" x14ac:dyDescent="0.25">
      <c r="A31" s="248" t="s">
        <v>1035</v>
      </c>
      <c r="B31" s="64">
        <v>7.99</v>
      </c>
      <c r="C31" s="64">
        <v>3.01</v>
      </c>
      <c r="D31" s="64">
        <v>11.75</v>
      </c>
      <c r="E31" s="64">
        <v>3.69</v>
      </c>
      <c r="F31" s="64">
        <v>3.23</v>
      </c>
      <c r="G31" s="64">
        <v>18.21</v>
      </c>
      <c r="H31" s="64">
        <v>11.98</v>
      </c>
      <c r="I31" s="64">
        <v>1.41</v>
      </c>
      <c r="J31" s="64">
        <v>0.23</v>
      </c>
      <c r="K31" s="64">
        <v>358.22</v>
      </c>
      <c r="L31" s="64">
        <v>24.34</v>
      </c>
      <c r="M31" s="64">
        <v>102.16</v>
      </c>
      <c r="N31" s="64">
        <v>94.5</v>
      </c>
      <c r="O31" s="64">
        <v>0</v>
      </c>
      <c r="P31" s="64">
        <v>0.27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48" t="s">
        <v>1036</v>
      </c>
      <c r="B32" s="64">
        <v>7.99</v>
      </c>
      <c r="C32" s="64">
        <v>2.98</v>
      </c>
      <c r="D32" s="64">
        <v>11.74</v>
      </c>
      <c r="E32" s="64">
        <v>4.0599999999999996</v>
      </c>
      <c r="F32" s="64">
        <v>3.27</v>
      </c>
      <c r="G32" s="64">
        <v>17.899999999999999</v>
      </c>
      <c r="H32" s="64">
        <v>10.57</v>
      </c>
      <c r="I32" s="64">
        <v>1.34</v>
      </c>
      <c r="J32" s="64">
        <v>0.21</v>
      </c>
      <c r="K32" s="64">
        <v>353.37</v>
      </c>
      <c r="L32" s="64">
        <v>24.21</v>
      </c>
      <c r="M32" s="64">
        <v>102.18</v>
      </c>
      <c r="N32" s="64">
        <v>97.6</v>
      </c>
      <c r="O32" s="64">
        <v>1.2</v>
      </c>
      <c r="P32" s="64">
        <v>0.27</v>
      </c>
      <c r="Q32" s="64">
        <v>9.24</v>
      </c>
      <c r="R32" s="198"/>
      <c r="S32" s="198"/>
      <c r="T32" s="198"/>
      <c r="U32" s="198"/>
    </row>
    <row r="33" spans="1:21" s="12" customFormat="1" x14ac:dyDescent="0.25">
      <c r="A33" s="248" t="s">
        <v>1037</v>
      </c>
      <c r="B33" s="64">
        <v>8</v>
      </c>
      <c r="C33" s="64">
        <v>2.99</v>
      </c>
      <c r="D33" s="64">
        <v>11.75</v>
      </c>
      <c r="E33" s="64">
        <v>4.24</v>
      </c>
      <c r="F33" s="64">
        <v>3.2</v>
      </c>
      <c r="G33" s="64">
        <v>17.899999999999999</v>
      </c>
      <c r="H33" s="64">
        <v>10.57</v>
      </c>
      <c r="I33" s="64">
        <v>1.3</v>
      </c>
      <c r="J33" s="64">
        <v>0.24</v>
      </c>
      <c r="K33" s="64">
        <v>352.68</v>
      </c>
      <c r="L33" s="64">
        <v>23.89</v>
      </c>
      <c r="M33" s="64">
        <v>102.2</v>
      </c>
      <c r="N33" s="64">
        <v>98.4</v>
      </c>
      <c r="O33" s="64">
        <v>0.4</v>
      </c>
      <c r="P33" s="64">
        <v>0.27</v>
      </c>
      <c r="Q33" s="64">
        <v>9.24</v>
      </c>
      <c r="R33" s="198"/>
      <c r="S33" s="198"/>
      <c r="T33" s="198"/>
      <c r="U33" s="198"/>
    </row>
    <row r="34" spans="1:21" s="12" customFormat="1" x14ac:dyDescent="0.25">
      <c r="A34" s="248" t="s">
        <v>1038</v>
      </c>
      <c r="B34" s="64">
        <v>8.01</v>
      </c>
      <c r="C34" s="64">
        <v>2.98</v>
      </c>
      <c r="D34" s="64">
        <v>11.75</v>
      </c>
      <c r="E34" s="64">
        <v>4.29</v>
      </c>
      <c r="F34" s="64">
        <v>4.29</v>
      </c>
      <c r="G34" s="64">
        <v>17.899999999999999</v>
      </c>
      <c r="H34" s="64">
        <v>10.57</v>
      </c>
      <c r="I34" s="64">
        <v>1.26</v>
      </c>
      <c r="J34" s="64">
        <v>0.2</v>
      </c>
      <c r="K34" s="64">
        <v>352.7</v>
      </c>
      <c r="L34" s="64">
        <v>23.73</v>
      </c>
      <c r="M34" s="64">
        <v>102.17</v>
      </c>
      <c r="N34" s="64">
        <v>99.7</v>
      </c>
      <c r="O34" s="64">
        <v>2</v>
      </c>
      <c r="P34" s="64">
        <v>0.27</v>
      </c>
      <c r="Q34" s="64">
        <v>9.23</v>
      </c>
      <c r="R34" s="198"/>
      <c r="S34" s="198"/>
      <c r="T34" s="198"/>
      <c r="U34" s="198"/>
    </row>
    <row r="35" spans="1:21" s="12" customFormat="1" x14ac:dyDescent="0.25">
      <c r="A35" s="248" t="s">
        <v>1039</v>
      </c>
      <c r="B35" s="64">
        <v>8.02</v>
      </c>
      <c r="C35" s="64">
        <v>3.03</v>
      </c>
      <c r="D35" s="64">
        <v>11.79</v>
      </c>
      <c r="E35" s="64">
        <v>3.83</v>
      </c>
      <c r="F35" s="64">
        <v>12.16</v>
      </c>
      <c r="G35" s="64">
        <v>19.32</v>
      </c>
      <c r="H35" s="212" t="s">
        <v>42</v>
      </c>
      <c r="I35" s="64">
        <v>1.26</v>
      </c>
      <c r="J35" s="64">
        <v>0.28000000000000003</v>
      </c>
      <c r="K35" s="64">
        <v>356.39</v>
      </c>
      <c r="L35" s="64">
        <v>23.68</v>
      </c>
      <c r="M35" s="64">
        <v>102.18</v>
      </c>
      <c r="N35" s="64">
        <v>103</v>
      </c>
      <c r="O35" s="64">
        <v>1.2</v>
      </c>
      <c r="P35" s="64">
        <v>0.28000000000000003</v>
      </c>
      <c r="Q35" s="64">
        <v>9.24</v>
      </c>
      <c r="R35" s="198"/>
      <c r="S35" s="198"/>
      <c r="T35" s="198"/>
      <c r="U35" s="198"/>
    </row>
    <row r="36" spans="1:21" s="12" customFormat="1" x14ac:dyDescent="0.25">
      <c r="A36" s="248" t="s">
        <v>1040</v>
      </c>
      <c r="B36" s="64">
        <v>7.99</v>
      </c>
      <c r="C36" s="64">
        <v>3.04</v>
      </c>
      <c r="D36" s="64">
        <v>11.77</v>
      </c>
      <c r="E36" s="64">
        <v>4.21</v>
      </c>
      <c r="F36" s="64">
        <v>11.59</v>
      </c>
      <c r="G36" s="64">
        <v>19.68</v>
      </c>
      <c r="H36" s="212" t="s">
        <v>42</v>
      </c>
      <c r="I36" s="64">
        <v>1.22</v>
      </c>
      <c r="J36" s="64">
        <v>0.21</v>
      </c>
      <c r="K36" s="64">
        <v>346.09</v>
      </c>
      <c r="L36" s="64">
        <v>23.62</v>
      </c>
      <c r="M36" s="64">
        <v>102.23</v>
      </c>
      <c r="N36" s="64">
        <v>101.4</v>
      </c>
      <c r="O36" s="64">
        <v>1.2</v>
      </c>
      <c r="P36" s="64">
        <v>0.28999999999999998</v>
      </c>
      <c r="Q36" s="64">
        <v>9.2100000000000009</v>
      </c>
      <c r="R36" s="198"/>
      <c r="S36" s="198"/>
      <c r="T36" s="198"/>
      <c r="U36" s="198"/>
    </row>
    <row r="37" spans="1:21" s="12" customFormat="1" x14ac:dyDescent="0.25">
      <c r="A37" s="248" t="s">
        <v>1041</v>
      </c>
      <c r="B37" s="64">
        <v>7.99</v>
      </c>
      <c r="C37" s="64">
        <v>2.99</v>
      </c>
      <c r="D37" s="64">
        <v>11.75</v>
      </c>
      <c r="E37" s="64">
        <v>4.5599999999999996</v>
      </c>
      <c r="F37" s="64">
        <v>4.82</v>
      </c>
      <c r="G37" s="64">
        <v>19.68</v>
      </c>
      <c r="H37" s="212" t="s">
        <v>42</v>
      </c>
      <c r="I37" s="64">
        <v>1.27</v>
      </c>
      <c r="J37" s="64">
        <v>0.2</v>
      </c>
      <c r="K37" s="64">
        <v>350.71</v>
      </c>
      <c r="L37" s="64">
        <v>23.54</v>
      </c>
      <c r="M37" s="64">
        <v>102.29</v>
      </c>
      <c r="N37" s="64">
        <v>105.8</v>
      </c>
      <c r="O37" s="64">
        <v>0.8</v>
      </c>
      <c r="P37" s="64">
        <v>0.28000000000000003</v>
      </c>
      <c r="Q37" s="64">
        <v>9.11</v>
      </c>
      <c r="R37" s="198"/>
      <c r="S37" s="198"/>
      <c r="T37" s="198"/>
      <c r="U37" s="198"/>
    </row>
    <row r="38" spans="1:21" s="12" customFormat="1" x14ac:dyDescent="0.25">
      <c r="A38" s="248" t="s">
        <v>1042</v>
      </c>
      <c r="B38" s="64">
        <v>7.95</v>
      </c>
      <c r="C38" s="64">
        <v>2.98</v>
      </c>
      <c r="D38" s="64">
        <v>11.7</v>
      </c>
      <c r="E38" s="64">
        <v>4.3899999999999997</v>
      </c>
      <c r="F38" s="64">
        <v>5.45</v>
      </c>
      <c r="G38" s="64">
        <v>19.68</v>
      </c>
      <c r="H38" s="212" t="s">
        <v>42</v>
      </c>
      <c r="I38" s="64">
        <v>1.29</v>
      </c>
      <c r="J38" s="64">
        <v>0.22</v>
      </c>
      <c r="K38" s="64">
        <v>343.93</v>
      </c>
      <c r="L38" s="64">
        <v>23.45</v>
      </c>
      <c r="M38" s="64">
        <v>102.32</v>
      </c>
      <c r="N38" s="64">
        <v>109.9</v>
      </c>
      <c r="O38" s="64">
        <v>0.2</v>
      </c>
      <c r="P38" s="64">
        <v>0.27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48" t="s">
        <v>1043</v>
      </c>
      <c r="B39" s="64">
        <v>7.95</v>
      </c>
      <c r="C39" s="64">
        <v>2.99</v>
      </c>
      <c r="D39" s="64">
        <v>11.71</v>
      </c>
      <c r="E39" s="64">
        <v>4.4400000000000004</v>
      </c>
      <c r="F39" s="64">
        <v>2.41</v>
      </c>
      <c r="G39" s="64">
        <v>16.95</v>
      </c>
      <c r="H39" s="212" t="s">
        <v>42</v>
      </c>
      <c r="I39" s="64">
        <v>1.31</v>
      </c>
      <c r="J39" s="64">
        <v>0.09</v>
      </c>
      <c r="K39" s="64">
        <v>254.87</v>
      </c>
      <c r="L39" s="64">
        <v>23.49</v>
      </c>
      <c r="M39" s="64">
        <v>102.39</v>
      </c>
      <c r="N39" s="64">
        <v>117.1</v>
      </c>
      <c r="O39" s="64">
        <v>0.2</v>
      </c>
      <c r="P39" s="64">
        <v>0.27</v>
      </c>
      <c r="Q39" s="64">
        <v>9.15</v>
      </c>
      <c r="R39" s="198"/>
      <c r="S39" s="198"/>
      <c r="T39" s="198"/>
      <c r="U39" s="198"/>
    </row>
    <row r="40" spans="1:21" s="12" customFormat="1" x14ac:dyDescent="0.25">
      <c r="A40" s="248" t="s">
        <v>1044</v>
      </c>
      <c r="B40" s="64">
        <v>8</v>
      </c>
      <c r="C40" s="64">
        <v>3.07</v>
      </c>
      <c r="D40" s="64">
        <v>11.79</v>
      </c>
      <c r="E40" s="64">
        <v>4.45</v>
      </c>
      <c r="F40" s="64">
        <v>4.29</v>
      </c>
      <c r="G40" s="64">
        <v>16.27</v>
      </c>
      <c r="H40" s="212" t="s">
        <v>42</v>
      </c>
      <c r="I40" s="64">
        <v>1.37</v>
      </c>
      <c r="J40" s="64">
        <v>0.04</v>
      </c>
      <c r="K40" s="64">
        <v>132.06</v>
      </c>
      <c r="L40" s="64">
        <v>23.73</v>
      </c>
      <c r="M40" s="64">
        <v>102.45</v>
      </c>
      <c r="N40" s="64">
        <v>154</v>
      </c>
      <c r="O40" s="64">
        <v>0</v>
      </c>
      <c r="P40" s="64">
        <v>0.28000000000000003</v>
      </c>
      <c r="Q40" s="64">
        <v>9.19</v>
      </c>
      <c r="R40" s="198"/>
      <c r="S40" s="198"/>
      <c r="T40" s="198"/>
      <c r="U40" s="198"/>
    </row>
    <row r="41" spans="1:21" s="12" customFormat="1" x14ac:dyDescent="0.25">
      <c r="A41" s="248" t="s">
        <v>1045</v>
      </c>
      <c r="B41" s="64">
        <v>8.02</v>
      </c>
      <c r="C41" s="64">
        <v>3.07</v>
      </c>
      <c r="D41" s="64">
        <v>11.81</v>
      </c>
      <c r="E41" s="64">
        <v>4.53</v>
      </c>
      <c r="F41" s="64">
        <v>2.41</v>
      </c>
      <c r="G41" s="64">
        <v>16.27</v>
      </c>
      <c r="H41" s="212" t="s">
        <v>42</v>
      </c>
      <c r="I41" s="64">
        <v>1.44</v>
      </c>
      <c r="J41" s="64">
        <v>0.11</v>
      </c>
      <c r="K41" s="64">
        <v>349.03</v>
      </c>
      <c r="L41" s="64">
        <v>23.94</v>
      </c>
      <c r="M41" s="64">
        <v>102.51</v>
      </c>
      <c r="N41" s="64">
        <v>151.19999999999999</v>
      </c>
      <c r="O41" s="64">
        <v>0</v>
      </c>
      <c r="P41" s="64">
        <v>0.27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48" t="s">
        <v>1046</v>
      </c>
      <c r="B42" s="64">
        <v>7.98</v>
      </c>
      <c r="C42" s="64">
        <v>3.02</v>
      </c>
      <c r="D42" s="64">
        <v>11.75</v>
      </c>
      <c r="E42" s="64">
        <v>4.6399999999999997</v>
      </c>
      <c r="F42" s="64">
        <v>4.29</v>
      </c>
      <c r="G42" s="64">
        <v>16.27</v>
      </c>
      <c r="H42" s="212" t="s">
        <v>42</v>
      </c>
      <c r="I42" s="64">
        <v>1.61</v>
      </c>
      <c r="J42" s="64">
        <v>0.17</v>
      </c>
      <c r="K42" s="64">
        <v>330.6</v>
      </c>
      <c r="L42" s="64">
        <v>24.13</v>
      </c>
      <c r="M42" s="64">
        <v>102.54</v>
      </c>
      <c r="N42" s="64">
        <v>158.1</v>
      </c>
      <c r="O42" s="64">
        <v>0</v>
      </c>
      <c r="P42" s="64">
        <v>0.27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48" t="s">
        <v>1047</v>
      </c>
      <c r="B43" s="64">
        <v>8.01</v>
      </c>
      <c r="C43" s="64">
        <v>3.11</v>
      </c>
      <c r="D43" s="64">
        <v>11.82</v>
      </c>
      <c r="E43" s="64">
        <v>4.5599999999999996</v>
      </c>
      <c r="F43" s="64">
        <v>2.89</v>
      </c>
      <c r="G43" s="64">
        <v>20.57</v>
      </c>
      <c r="H43" s="212" t="s">
        <v>42</v>
      </c>
      <c r="I43" s="64">
        <v>1.72</v>
      </c>
      <c r="J43" s="64">
        <v>0.17</v>
      </c>
      <c r="K43" s="64">
        <v>340.64</v>
      </c>
      <c r="L43" s="64">
        <v>24.41</v>
      </c>
      <c r="M43" s="64">
        <v>102.79</v>
      </c>
      <c r="N43" s="64">
        <v>190.9</v>
      </c>
      <c r="O43" s="64">
        <v>0</v>
      </c>
      <c r="P43" s="64">
        <v>0.27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48" t="s">
        <v>1048</v>
      </c>
      <c r="B44" s="64">
        <v>8.02</v>
      </c>
      <c r="C44" s="64">
        <v>3.11</v>
      </c>
      <c r="D44" s="64">
        <v>11.83</v>
      </c>
      <c r="E44" s="64">
        <v>4.2699999999999996</v>
      </c>
      <c r="F44" s="64">
        <v>4.34</v>
      </c>
      <c r="G44" s="64">
        <v>21.64</v>
      </c>
      <c r="H44" s="212" t="s">
        <v>42</v>
      </c>
      <c r="I44" s="64">
        <v>1.83</v>
      </c>
      <c r="J44" s="64">
        <v>0.21</v>
      </c>
      <c r="K44" s="64">
        <v>352.29</v>
      </c>
      <c r="L44" s="64">
        <v>24.74</v>
      </c>
      <c r="M44" s="64">
        <v>102.88</v>
      </c>
      <c r="N44" s="64">
        <v>207.9</v>
      </c>
      <c r="O44" s="64">
        <v>0</v>
      </c>
      <c r="P44" s="64">
        <v>0.28000000000000003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48" t="s">
        <v>1049</v>
      </c>
      <c r="B45" s="64">
        <v>7.97</v>
      </c>
      <c r="C45" s="64">
        <v>3.01</v>
      </c>
      <c r="D45" s="64">
        <v>11.74</v>
      </c>
      <c r="E45" s="64">
        <v>4.2300000000000004</v>
      </c>
      <c r="F45" s="64">
        <v>2.71</v>
      </c>
      <c r="G45" s="64">
        <v>21.64</v>
      </c>
      <c r="H45" s="212" t="s">
        <v>42</v>
      </c>
      <c r="I45" s="64">
        <v>1.83</v>
      </c>
      <c r="J45" s="64">
        <v>0.16</v>
      </c>
      <c r="K45" s="64">
        <v>339.86</v>
      </c>
      <c r="L45" s="64">
        <v>24.82</v>
      </c>
      <c r="M45" s="64">
        <v>102.79</v>
      </c>
      <c r="N45" s="64">
        <v>183</v>
      </c>
      <c r="O45" s="64">
        <v>0</v>
      </c>
      <c r="P45" s="64">
        <v>0.28999999999999998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48" t="s">
        <v>1050</v>
      </c>
      <c r="B46" s="64">
        <v>7.97</v>
      </c>
      <c r="C46" s="64">
        <v>2.98</v>
      </c>
      <c r="D46" s="64">
        <v>11.73</v>
      </c>
      <c r="E46" s="64">
        <v>4.28</v>
      </c>
      <c r="F46" s="64">
        <v>3.29</v>
      </c>
      <c r="G46" s="64">
        <v>21.64</v>
      </c>
      <c r="H46" s="212" t="s">
        <v>42</v>
      </c>
      <c r="I46" s="64">
        <v>1.88</v>
      </c>
      <c r="J46" s="64">
        <v>0.18</v>
      </c>
      <c r="K46" s="64">
        <v>321.91000000000003</v>
      </c>
      <c r="L46" s="64">
        <v>25</v>
      </c>
      <c r="M46" s="64">
        <v>102.96</v>
      </c>
      <c r="N46" s="64">
        <v>181.5</v>
      </c>
      <c r="O46" s="64">
        <v>0</v>
      </c>
      <c r="P46" s="64">
        <v>0.3</v>
      </c>
      <c r="Q46" s="64">
        <v>9.26</v>
      </c>
      <c r="R46" s="198"/>
      <c r="S46" s="198"/>
      <c r="T46" s="198"/>
      <c r="U46" s="198"/>
    </row>
    <row r="47" spans="1:21" s="12" customFormat="1" x14ac:dyDescent="0.25">
      <c r="A47" s="248" t="s">
        <v>1051</v>
      </c>
      <c r="B47" s="64">
        <v>7.99</v>
      </c>
      <c r="C47" s="64">
        <v>3.02</v>
      </c>
      <c r="D47" s="64">
        <v>11.76</v>
      </c>
      <c r="E47" s="64">
        <v>4.3600000000000003</v>
      </c>
      <c r="F47" s="64">
        <v>3.38</v>
      </c>
      <c r="G47" s="64">
        <v>29.55</v>
      </c>
      <c r="H47" s="64">
        <v>26.2</v>
      </c>
      <c r="I47" s="64">
        <v>1.84</v>
      </c>
      <c r="J47" s="64">
        <v>0.16</v>
      </c>
      <c r="K47" s="64">
        <v>323.64</v>
      </c>
      <c r="L47" s="64">
        <v>25.02</v>
      </c>
      <c r="M47" s="64">
        <v>103.01</v>
      </c>
      <c r="N47" s="64">
        <v>206.8</v>
      </c>
      <c r="O47" s="64">
        <v>0</v>
      </c>
      <c r="P47" s="64">
        <v>0.32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48" t="s">
        <v>1052</v>
      </c>
      <c r="B48" s="64">
        <v>8.01</v>
      </c>
      <c r="C48" s="64">
        <v>3.05</v>
      </c>
      <c r="D48" s="64">
        <v>11.79</v>
      </c>
      <c r="E48" s="64">
        <v>4.38</v>
      </c>
      <c r="F48" s="64">
        <v>3.1</v>
      </c>
      <c r="G48" s="64">
        <v>31.53</v>
      </c>
      <c r="H48" s="64">
        <v>25.02</v>
      </c>
      <c r="I48" s="64">
        <v>1.86</v>
      </c>
      <c r="J48" s="64">
        <v>0.19</v>
      </c>
      <c r="K48" s="64">
        <v>356.09</v>
      </c>
      <c r="L48" s="64">
        <v>25.49</v>
      </c>
      <c r="M48" s="64">
        <v>103.02</v>
      </c>
      <c r="N48" s="64">
        <v>253.5</v>
      </c>
      <c r="O48" s="64">
        <v>0</v>
      </c>
      <c r="P48" s="64">
        <v>0.33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48" t="s">
        <v>1053</v>
      </c>
      <c r="B49" s="64">
        <v>8.0299999999999994</v>
      </c>
      <c r="C49" s="64">
        <v>3.02</v>
      </c>
      <c r="D49" s="64">
        <v>11.79</v>
      </c>
      <c r="E49" s="64">
        <v>4.7699999999999996</v>
      </c>
      <c r="F49" s="64">
        <v>3.42</v>
      </c>
      <c r="G49" s="64">
        <v>31.53</v>
      </c>
      <c r="H49" s="64">
        <v>25.02</v>
      </c>
      <c r="I49" s="64">
        <v>1.89</v>
      </c>
      <c r="J49" s="64">
        <v>0.24</v>
      </c>
      <c r="K49" s="64">
        <v>350.22</v>
      </c>
      <c r="L49" s="64">
        <v>25.85</v>
      </c>
      <c r="M49" s="64">
        <v>103.02</v>
      </c>
      <c r="N49" s="64">
        <v>358</v>
      </c>
      <c r="O49" s="64">
        <v>0</v>
      </c>
      <c r="P49" s="64">
        <v>0.35</v>
      </c>
      <c r="Q49" s="64">
        <v>9.33</v>
      </c>
      <c r="R49" s="198"/>
      <c r="S49" s="198"/>
      <c r="T49" s="198"/>
      <c r="U49" s="198"/>
    </row>
    <row r="50" spans="1:21" s="12" customFormat="1" x14ac:dyDescent="0.25">
      <c r="A50" s="248" t="s">
        <v>1054</v>
      </c>
      <c r="B50" s="64">
        <v>8.06</v>
      </c>
      <c r="C50" s="64">
        <v>3.08</v>
      </c>
      <c r="D50" s="64">
        <v>11.85</v>
      </c>
      <c r="E50" s="64">
        <v>4.58</v>
      </c>
      <c r="F50" s="64">
        <v>3.3</v>
      </c>
      <c r="G50" s="64">
        <v>31.53</v>
      </c>
      <c r="H50" s="64">
        <v>25.02</v>
      </c>
      <c r="I50" s="64">
        <v>1.79</v>
      </c>
      <c r="J50" s="64">
        <v>0.28000000000000003</v>
      </c>
      <c r="K50" s="64">
        <v>337.67</v>
      </c>
      <c r="L50" s="64">
        <v>26.49</v>
      </c>
      <c r="M50" s="64">
        <v>103.07</v>
      </c>
      <c r="N50" s="64">
        <v>347.8</v>
      </c>
      <c r="O50" s="64">
        <v>0</v>
      </c>
      <c r="P50" s="64">
        <v>0.37</v>
      </c>
      <c r="Q50" s="64">
        <v>9.33</v>
      </c>
      <c r="R50" s="198"/>
      <c r="S50" s="198"/>
      <c r="T50" s="198"/>
      <c r="U50" s="198"/>
    </row>
    <row r="51" spans="1:21" s="12" customFormat="1" x14ac:dyDescent="0.25">
      <c r="A51" s="248" t="s">
        <v>1055</v>
      </c>
      <c r="B51" s="64">
        <v>8.08</v>
      </c>
      <c r="C51" s="64">
        <v>3.13</v>
      </c>
      <c r="D51" s="64">
        <v>11.89</v>
      </c>
      <c r="E51" s="64">
        <v>4.37</v>
      </c>
      <c r="F51" s="64">
        <v>3.41</v>
      </c>
      <c r="G51" s="64">
        <v>36.92</v>
      </c>
      <c r="H51" s="64">
        <v>28.21</v>
      </c>
      <c r="I51" s="64">
        <v>1.81</v>
      </c>
      <c r="J51" s="64">
        <v>0.2</v>
      </c>
      <c r="K51" s="64">
        <v>335.91</v>
      </c>
      <c r="L51" s="64">
        <v>26.51</v>
      </c>
      <c r="M51" s="64">
        <v>103.11</v>
      </c>
      <c r="N51" s="64">
        <v>266.89999999999998</v>
      </c>
      <c r="O51" s="64">
        <v>0</v>
      </c>
      <c r="P51" s="64">
        <v>0.4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48" t="s">
        <v>1056</v>
      </c>
      <c r="B52" s="64">
        <v>8.0500000000000007</v>
      </c>
      <c r="C52" s="64">
        <v>3.11</v>
      </c>
      <c r="D52" s="64">
        <v>11.85</v>
      </c>
      <c r="E52" s="64">
        <v>2.2400000000000002</v>
      </c>
      <c r="F52" s="64">
        <v>3.64</v>
      </c>
      <c r="G52" s="64">
        <v>38.270000000000003</v>
      </c>
      <c r="H52" s="64">
        <v>29</v>
      </c>
      <c r="I52" s="64">
        <v>1.83</v>
      </c>
      <c r="J52" s="64">
        <v>0.25</v>
      </c>
      <c r="K52" s="64">
        <v>328.41</v>
      </c>
      <c r="L52" s="64">
        <v>27.05</v>
      </c>
      <c r="M52" s="64">
        <v>103.17</v>
      </c>
      <c r="N52" s="64">
        <v>409.4</v>
      </c>
      <c r="O52" s="64">
        <v>0</v>
      </c>
      <c r="P52" s="64">
        <v>0.54</v>
      </c>
      <c r="Q52" s="64">
        <v>9.2799999999999994</v>
      </c>
      <c r="R52" s="198"/>
      <c r="S52" s="198"/>
      <c r="T52" s="198"/>
      <c r="U52" s="198"/>
    </row>
    <row r="53" spans="1:21" s="12" customFormat="1" x14ac:dyDescent="0.25">
      <c r="A53" s="248" t="s">
        <v>1057</v>
      </c>
      <c r="B53" s="64">
        <v>8.02</v>
      </c>
      <c r="C53" s="64">
        <v>3.06</v>
      </c>
      <c r="D53" s="64">
        <v>11.81</v>
      </c>
      <c r="E53" s="64">
        <v>3.75</v>
      </c>
      <c r="F53" s="64">
        <v>3.7</v>
      </c>
      <c r="G53" s="64">
        <v>38.270000000000003</v>
      </c>
      <c r="H53" s="64">
        <v>29</v>
      </c>
      <c r="I53" s="64">
        <v>1.95</v>
      </c>
      <c r="J53" s="64">
        <v>0.28999999999999998</v>
      </c>
      <c r="K53" s="64">
        <v>328.79</v>
      </c>
      <c r="L53" s="64">
        <v>28.03</v>
      </c>
      <c r="M53" s="64">
        <v>101.45</v>
      </c>
      <c r="N53" s="64">
        <v>387.8</v>
      </c>
      <c r="O53" s="64">
        <v>0</v>
      </c>
      <c r="P53" s="64">
        <v>0.62</v>
      </c>
      <c r="Q53" s="64">
        <v>9.2899999999999991</v>
      </c>
      <c r="R53" s="198"/>
      <c r="S53" s="198"/>
      <c r="T53" s="198"/>
      <c r="U53" s="198"/>
    </row>
    <row r="54" spans="1:21" s="12" customFormat="1" x14ac:dyDescent="0.25">
      <c r="A54" s="248" t="s">
        <v>1058</v>
      </c>
      <c r="B54" s="64">
        <v>8.08</v>
      </c>
      <c r="C54" s="64">
        <v>3.19</v>
      </c>
      <c r="D54" s="64">
        <v>11.92</v>
      </c>
      <c r="E54" s="64">
        <v>4.21</v>
      </c>
      <c r="F54" s="64">
        <v>4.5199999999999996</v>
      </c>
      <c r="G54" s="64">
        <v>38.270000000000003</v>
      </c>
      <c r="H54" s="64">
        <v>29</v>
      </c>
      <c r="I54" s="64">
        <v>2.33</v>
      </c>
      <c r="J54" s="64">
        <v>0.32</v>
      </c>
      <c r="K54" s="64">
        <v>325.25</v>
      </c>
      <c r="L54" s="64">
        <v>27.42</v>
      </c>
      <c r="M54" s="64">
        <v>102.58</v>
      </c>
      <c r="N54" s="64">
        <v>318.60000000000002</v>
      </c>
      <c r="O54" s="64">
        <v>0</v>
      </c>
      <c r="P54" s="64">
        <v>0.65</v>
      </c>
      <c r="Q54" s="64">
        <v>9.41</v>
      </c>
      <c r="R54" s="198"/>
      <c r="S54" s="198"/>
      <c r="T54" s="198"/>
      <c r="U54" s="198"/>
    </row>
    <row r="55" spans="1:21" s="12" customFormat="1" x14ac:dyDescent="0.25">
      <c r="A55" s="248" t="s">
        <v>1059</v>
      </c>
      <c r="B55" s="64">
        <v>8.08</v>
      </c>
      <c r="C55" s="64">
        <v>3.24</v>
      </c>
      <c r="D55" s="64">
        <v>11.95</v>
      </c>
      <c r="E55" s="64">
        <v>4.13</v>
      </c>
      <c r="F55" s="64">
        <v>2.58</v>
      </c>
      <c r="G55" s="64">
        <v>48.79</v>
      </c>
      <c r="H55" s="64">
        <v>26.35</v>
      </c>
      <c r="I55" s="64">
        <v>2.85</v>
      </c>
      <c r="J55" s="64">
        <v>0.27</v>
      </c>
      <c r="K55" s="64">
        <v>315.70999999999998</v>
      </c>
      <c r="L55" s="64">
        <v>27.68</v>
      </c>
      <c r="M55" s="64">
        <v>102.48</v>
      </c>
      <c r="N55" s="64">
        <v>241.2</v>
      </c>
      <c r="O55" s="64">
        <v>0</v>
      </c>
      <c r="P55" s="64">
        <v>0.66</v>
      </c>
      <c r="Q55" s="64">
        <v>9.39</v>
      </c>
      <c r="R55" s="198"/>
      <c r="S55" s="198"/>
      <c r="T55" s="198"/>
      <c r="U55" s="198"/>
    </row>
    <row r="56" spans="1:21" s="12" customFormat="1" x14ac:dyDescent="0.25">
      <c r="A56" s="248" t="s">
        <v>1060</v>
      </c>
      <c r="B56" s="64">
        <v>8.11</v>
      </c>
      <c r="C56" s="64">
        <v>3.29</v>
      </c>
      <c r="D56" s="64">
        <v>12</v>
      </c>
      <c r="E56" s="64">
        <v>4.24</v>
      </c>
      <c r="F56" s="64">
        <v>2.99</v>
      </c>
      <c r="G56" s="64">
        <v>51.42</v>
      </c>
      <c r="H56" s="64">
        <v>25.68</v>
      </c>
      <c r="I56" s="64">
        <v>2.94</v>
      </c>
      <c r="J56" s="64">
        <v>0.21</v>
      </c>
      <c r="K56" s="64">
        <v>336.89</v>
      </c>
      <c r="L56" s="64">
        <v>27.35</v>
      </c>
      <c r="M56" s="64">
        <v>102.55</v>
      </c>
      <c r="N56" s="64">
        <v>186.4</v>
      </c>
      <c r="O56" s="64">
        <v>0</v>
      </c>
      <c r="P56" s="64">
        <v>0.66</v>
      </c>
      <c r="Q56" s="64">
        <v>9.3800000000000008</v>
      </c>
      <c r="R56" s="198"/>
      <c r="S56" s="198"/>
      <c r="T56" s="198"/>
      <c r="U56" s="198"/>
    </row>
    <row r="57" spans="1:21" s="12" customFormat="1" x14ac:dyDescent="0.25">
      <c r="A57" s="248" t="s">
        <v>1061</v>
      </c>
      <c r="B57" s="64">
        <v>8.0399999999999991</v>
      </c>
      <c r="C57" s="64">
        <v>3.18</v>
      </c>
      <c r="D57" s="64">
        <v>11.88</v>
      </c>
      <c r="E57" s="64">
        <v>4.1100000000000003</v>
      </c>
      <c r="F57" s="64">
        <v>4.7</v>
      </c>
      <c r="G57" s="64">
        <v>51.42</v>
      </c>
      <c r="H57" s="64">
        <v>25.68</v>
      </c>
      <c r="I57" s="64">
        <v>2.93</v>
      </c>
      <c r="J57" s="64">
        <v>0.22</v>
      </c>
      <c r="K57" s="64">
        <v>331.67</v>
      </c>
      <c r="L57" s="64">
        <v>27.07</v>
      </c>
      <c r="M57" s="64">
        <v>102.65</v>
      </c>
      <c r="N57" s="64">
        <v>259.8</v>
      </c>
      <c r="O57" s="64">
        <v>0</v>
      </c>
      <c r="P57" s="64">
        <v>0.64</v>
      </c>
      <c r="Q57" s="64">
        <v>9.49</v>
      </c>
      <c r="R57" s="198"/>
      <c r="S57" s="198"/>
      <c r="T57" s="198"/>
      <c r="U57" s="198"/>
    </row>
    <row r="58" spans="1:21" s="12" customFormat="1" x14ac:dyDescent="0.25">
      <c r="A58" s="248" t="s">
        <v>1062</v>
      </c>
      <c r="B58" s="64">
        <v>7.98</v>
      </c>
      <c r="C58" s="64">
        <v>3.1</v>
      </c>
      <c r="D58" s="64">
        <v>11.79</v>
      </c>
      <c r="E58" s="64">
        <v>3.91</v>
      </c>
      <c r="F58" s="64">
        <v>3.12</v>
      </c>
      <c r="G58" s="64">
        <v>51.42</v>
      </c>
      <c r="H58" s="64">
        <v>25.68</v>
      </c>
      <c r="I58" s="64">
        <v>2.89</v>
      </c>
      <c r="J58" s="64">
        <v>0.16</v>
      </c>
      <c r="K58" s="64">
        <v>310.33</v>
      </c>
      <c r="L58" s="64">
        <v>27.04</v>
      </c>
      <c r="M58" s="64">
        <v>102.65</v>
      </c>
      <c r="N58" s="64">
        <v>223.3</v>
      </c>
      <c r="O58" s="64">
        <v>0</v>
      </c>
      <c r="P58" s="64">
        <v>0.66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48" t="s">
        <v>1063</v>
      </c>
      <c r="B59" s="64">
        <v>8.09</v>
      </c>
      <c r="C59" s="64">
        <v>3.23</v>
      </c>
      <c r="D59" s="64">
        <v>11.95</v>
      </c>
      <c r="E59" s="64">
        <v>3.8</v>
      </c>
      <c r="F59" s="64">
        <v>3.41</v>
      </c>
      <c r="G59" s="64">
        <v>68.03</v>
      </c>
      <c r="H59" s="64">
        <v>27.3</v>
      </c>
      <c r="I59" s="64">
        <v>2.83</v>
      </c>
      <c r="J59" s="64">
        <v>0.26</v>
      </c>
      <c r="K59" s="64">
        <v>308.89</v>
      </c>
      <c r="L59" s="64">
        <v>27.24</v>
      </c>
      <c r="M59" s="64">
        <v>102.53</v>
      </c>
      <c r="N59" s="64">
        <v>227</v>
      </c>
      <c r="O59" s="64">
        <v>0</v>
      </c>
      <c r="P59" s="64">
        <v>0.65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8" t="s">
        <v>1064</v>
      </c>
      <c r="B60" s="64">
        <v>8.1199999999999992</v>
      </c>
      <c r="C60" s="64">
        <v>3.3</v>
      </c>
      <c r="D60" s="64">
        <v>12.01</v>
      </c>
      <c r="E60" s="64">
        <v>3.71</v>
      </c>
      <c r="F60" s="64">
        <v>4.62</v>
      </c>
      <c r="G60" s="64">
        <v>72.19</v>
      </c>
      <c r="H60" s="64">
        <v>27.7</v>
      </c>
      <c r="I60" s="64">
        <v>2.84</v>
      </c>
      <c r="J60" s="64">
        <v>0.26</v>
      </c>
      <c r="K60" s="64">
        <v>318.52999999999997</v>
      </c>
      <c r="L60" s="64">
        <v>27.83</v>
      </c>
      <c r="M60" s="64">
        <v>101.44</v>
      </c>
      <c r="N60" s="64">
        <v>271.8</v>
      </c>
      <c r="O60" s="64">
        <v>0</v>
      </c>
      <c r="P60" s="64">
        <v>0.64</v>
      </c>
      <c r="Q60" s="64">
        <v>9.5</v>
      </c>
      <c r="R60" s="198"/>
      <c r="S60" s="198"/>
      <c r="T60" s="198"/>
      <c r="U60" s="198"/>
    </row>
    <row r="61" spans="1:21" s="12" customFormat="1" x14ac:dyDescent="0.25">
      <c r="A61" s="248" t="s">
        <v>1065</v>
      </c>
      <c r="B61" s="64">
        <v>8.08</v>
      </c>
      <c r="C61" s="64">
        <v>3.28</v>
      </c>
      <c r="D61" s="64">
        <v>11.97</v>
      </c>
      <c r="E61" s="64">
        <v>4.17</v>
      </c>
      <c r="F61" s="64">
        <v>3.23</v>
      </c>
      <c r="G61" s="64">
        <v>72.19</v>
      </c>
      <c r="H61" s="64">
        <v>27.7</v>
      </c>
      <c r="I61" s="64">
        <v>2.83</v>
      </c>
      <c r="J61" s="64">
        <v>0.51</v>
      </c>
      <c r="K61" s="64">
        <v>315.27999999999997</v>
      </c>
      <c r="L61" s="64">
        <v>28.43</v>
      </c>
      <c r="M61" s="64">
        <v>96.38</v>
      </c>
      <c r="N61" s="64">
        <v>231.8</v>
      </c>
      <c r="O61" s="64">
        <v>0</v>
      </c>
      <c r="P61" s="64">
        <v>0.64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48" t="s">
        <v>1066</v>
      </c>
      <c r="B62" s="64">
        <v>8.08</v>
      </c>
      <c r="C62" s="64">
        <v>3.28</v>
      </c>
      <c r="D62" s="64">
        <v>11.96</v>
      </c>
      <c r="E62" s="64">
        <v>4.08</v>
      </c>
      <c r="F62" s="64">
        <v>3.61</v>
      </c>
      <c r="G62" s="64">
        <v>72.19</v>
      </c>
      <c r="H62" s="64">
        <v>27.7</v>
      </c>
      <c r="I62" s="64">
        <v>2.81</v>
      </c>
      <c r="J62" s="64">
        <v>0.25</v>
      </c>
      <c r="K62" s="64">
        <v>317.5</v>
      </c>
      <c r="L62" s="64">
        <v>28.57</v>
      </c>
      <c r="M62" s="64">
        <v>96.51</v>
      </c>
      <c r="N62" s="64">
        <v>261.60000000000002</v>
      </c>
      <c r="O62" s="64">
        <v>0</v>
      </c>
      <c r="P62" s="64">
        <v>0.63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48" t="s">
        <v>1067</v>
      </c>
      <c r="B63" s="64">
        <v>7.99</v>
      </c>
      <c r="C63" s="64">
        <v>3.12</v>
      </c>
      <c r="D63" s="64">
        <v>11.81</v>
      </c>
      <c r="E63" s="64">
        <v>4.2699999999999996</v>
      </c>
      <c r="F63" s="64">
        <v>5.89</v>
      </c>
      <c r="G63" s="64">
        <v>75.8</v>
      </c>
      <c r="H63" s="64">
        <v>24.39</v>
      </c>
      <c r="I63" s="64">
        <v>2.75</v>
      </c>
      <c r="J63" s="64">
        <v>0.32</v>
      </c>
      <c r="K63" s="64">
        <v>322.12</v>
      </c>
      <c r="L63" s="64">
        <v>28.76</v>
      </c>
      <c r="M63" s="64">
        <v>95.97</v>
      </c>
      <c r="N63" s="64">
        <v>281.10000000000002</v>
      </c>
      <c r="O63" s="64">
        <v>0</v>
      </c>
      <c r="P63" s="64">
        <v>0.62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48" t="s">
        <v>1068</v>
      </c>
      <c r="B64" s="64">
        <v>7.99</v>
      </c>
      <c r="C64" s="64">
        <v>3.21</v>
      </c>
      <c r="D64" s="64">
        <v>11.86</v>
      </c>
      <c r="E64" s="64">
        <v>3.91</v>
      </c>
      <c r="F64" s="64">
        <v>5.28</v>
      </c>
      <c r="G64" s="64">
        <v>76.709999999999994</v>
      </c>
      <c r="H64" s="64">
        <v>23.56</v>
      </c>
      <c r="I64" s="64">
        <v>2.62</v>
      </c>
      <c r="J64" s="64">
        <v>0.42</v>
      </c>
      <c r="K64" s="64">
        <v>314.48</v>
      </c>
      <c r="L64" s="64">
        <v>29.18</v>
      </c>
      <c r="M64" s="64">
        <v>93.87</v>
      </c>
      <c r="N64" s="64">
        <v>363.4</v>
      </c>
      <c r="O64" s="64">
        <v>0</v>
      </c>
      <c r="P64" s="64">
        <v>0.63</v>
      </c>
      <c r="Q64" s="64">
        <v>9.48</v>
      </c>
      <c r="R64" s="198"/>
      <c r="S64" s="198"/>
      <c r="T64" s="198"/>
      <c r="U64" s="198"/>
    </row>
    <row r="65" spans="1:21" s="12" customFormat="1" x14ac:dyDescent="0.25">
      <c r="A65" s="248" t="s">
        <v>1069</v>
      </c>
      <c r="B65" s="64">
        <v>8.09</v>
      </c>
      <c r="C65" s="64">
        <v>3.38</v>
      </c>
      <c r="D65" s="64">
        <v>12.02</v>
      </c>
      <c r="E65" s="64">
        <v>4.1500000000000004</v>
      </c>
      <c r="F65" s="64">
        <v>3.78</v>
      </c>
      <c r="G65" s="64">
        <v>76.709999999999994</v>
      </c>
      <c r="H65" s="64">
        <v>23.56</v>
      </c>
      <c r="I65" s="64">
        <v>2.4700000000000002</v>
      </c>
      <c r="J65" s="64">
        <v>0.43</v>
      </c>
      <c r="K65" s="64">
        <v>317.08999999999997</v>
      </c>
      <c r="L65" s="64">
        <v>29.77</v>
      </c>
      <c r="M65" s="64">
        <v>90.14</v>
      </c>
      <c r="N65" s="64">
        <v>423.7</v>
      </c>
      <c r="O65" s="64">
        <v>0</v>
      </c>
      <c r="P65" s="64">
        <v>0.6</v>
      </c>
      <c r="Q65" s="64">
        <v>9.3000000000000007</v>
      </c>
      <c r="R65" s="198"/>
      <c r="S65" s="198"/>
      <c r="T65" s="198"/>
      <c r="U65" s="198"/>
    </row>
    <row r="66" spans="1:21" s="12" customFormat="1" x14ac:dyDescent="0.25">
      <c r="A66" s="248" t="s">
        <v>1070</v>
      </c>
      <c r="B66" s="64">
        <v>8.01</v>
      </c>
      <c r="C66" s="64">
        <v>3.06</v>
      </c>
      <c r="D66" s="64">
        <v>11.8</v>
      </c>
      <c r="E66" s="64">
        <v>4.24</v>
      </c>
      <c r="F66" s="64">
        <v>3.16</v>
      </c>
      <c r="G66" s="64">
        <v>76.709999999999994</v>
      </c>
      <c r="H66" s="64">
        <v>23.56</v>
      </c>
      <c r="I66" s="64">
        <v>2.46</v>
      </c>
      <c r="J66" s="64">
        <v>0.37</v>
      </c>
      <c r="K66" s="64">
        <v>325.05</v>
      </c>
      <c r="L66" s="64">
        <v>30.37</v>
      </c>
      <c r="M66" s="64">
        <v>88.01</v>
      </c>
      <c r="N66" s="64">
        <v>374.1</v>
      </c>
      <c r="O66" s="64">
        <v>0</v>
      </c>
      <c r="P66" s="64">
        <v>0.57999999999999996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48" t="s">
        <v>1071</v>
      </c>
      <c r="B67" s="64">
        <v>7.99</v>
      </c>
      <c r="C67" s="64">
        <v>3.05</v>
      </c>
      <c r="D67" s="64">
        <v>11.78</v>
      </c>
      <c r="E67" s="64">
        <v>4.17</v>
      </c>
      <c r="F67" s="64">
        <v>3.54</v>
      </c>
      <c r="G67" s="64">
        <v>75.25</v>
      </c>
      <c r="H67" s="64">
        <v>30.33</v>
      </c>
      <c r="I67" s="64">
        <v>2.36</v>
      </c>
      <c r="J67" s="64">
        <v>0.36</v>
      </c>
      <c r="K67" s="64">
        <v>316.56</v>
      </c>
      <c r="L67" s="64">
        <v>30.53</v>
      </c>
      <c r="M67" s="64">
        <v>87.04</v>
      </c>
      <c r="N67" s="64">
        <v>347.3</v>
      </c>
      <c r="O67" s="64">
        <v>0</v>
      </c>
      <c r="P67" s="64">
        <v>0.55000000000000004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48" t="s">
        <v>1072</v>
      </c>
      <c r="B68" s="64">
        <v>8.0399999999999991</v>
      </c>
      <c r="C68" s="64">
        <v>3.03</v>
      </c>
      <c r="D68" s="64">
        <v>11.8</v>
      </c>
      <c r="E68" s="64">
        <v>3.53</v>
      </c>
      <c r="F68" s="64">
        <v>3.88</v>
      </c>
      <c r="G68" s="64">
        <v>74.89</v>
      </c>
      <c r="H68" s="64">
        <v>32.020000000000003</v>
      </c>
      <c r="I68" s="64">
        <v>2.21</v>
      </c>
      <c r="J68" s="64">
        <v>0.79</v>
      </c>
      <c r="K68" s="64">
        <v>321.81</v>
      </c>
      <c r="L68" s="64">
        <v>30.31</v>
      </c>
      <c r="M68" s="64">
        <v>87.09</v>
      </c>
      <c r="N68" s="64">
        <v>324.89999999999998</v>
      </c>
      <c r="O68" s="64">
        <v>0</v>
      </c>
      <c r="P68" s="64">
        <v>0.53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48" t="s">
        <v>1073</v>
      </c>
      <c r="B69" s="64">
        <v>8.01</v>
      </c>
      <c r="C69" s="64">
        <v>3.02</v>
      </c>
      <c r="D69" s="64">
        <v>11.78</v>
      </c>
      <c r="E69" s="64">
        <v>3.54</v>
      </c>
      <c r="F69" s="64">
        <v>3.81</v>
      </c>
      <c r="G69" s="64">
        <v>74.89</v>
      </c>
      <c r="H69" s="64">
        <v>32.020000000000003</v>
      </c>
      <c r="I69" s="64">
        <v>2.14</v>
      </c>
      <c r="J69" s="64">
        <v>0.42</v>
      </c>
      <c r="K69" s="64">
        <v>314.88</v>
      </c>
      <c r="L69" s="64">
        <v>30.46</v>
      </c>
      <c r="M69" s="64">
        <v>87.86</v>
      </c>
      <c r="N69" s="64">
        <v>311.5</v>
      </c>
      <c r="O69" s="64">
        <v>0</v>
      </c>
      <c r="P69" s="64">
        <v>0.51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48" t="s">
        <v>1074</v>
      </c>
      <c r="B70" s="64">
        <v>8.02</v>
      </c>
      <c r="C70" s="64">
        <v>3.04</v>
      </c>
      <c r="D70" s="64">
        <v>11.8</v>
      </c>
      <c r="E70" s="64">
        <v>3.5</v>
      </c>
      <c r="F70" s="64">
        <v>3.77</v>
      </c>
      <c r="G70" s="64">
        <v>74.89</v>
      </c>
      <c r="H70" s="64">
        <v>32.020000000000003</v>
      </c>
      <c r="I70" s="64">
        <v>1.98</v>
      </c>
      <c r="J70" s="64">
        <v>0.38</v>
      </c>
      <c r="K70" s="64">
        <v>313.42</v>
      </c>
      <c r="L70" s="64">
        <v>30.57</v>
      </c>
      <c r="M70" s="64">
        <v>86.79</v>
      </c>
      <c r="N70" s="64">
        <v>287.3</v>
      </c>
      <c r="O70" s="64">
        <v>0</v>
      </c>
      <c r="P70" s="64">
        <v>0.51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48" t="s">
        <v>1075</v>
      </c>
      <c r="B71" s="64">
        <v>8.01</v>
      </c>
      <c r="C71" s="64">
        <v>2.98</v>
      </c>
      <c r="D71" s="64">
        <v>11.75</v>
      </c>
      <c r="E71" s="64">
        <v>3.71</v>
      </c>
      <c r="F71" s="64">
        <v>3.61</v>
      </c>
      <c r="G71" s="64">
        <v>53.32</v>
      </c>
      <c r="H71" s="64">
        <v>24.33</v>
      </c>
      <c r="I71" s="64">
        <v>1.96</v>
      </c>
      <c r="J71" s="64">
        <v>0.34</v>
      </c>
      <c r="K71" s="64">
        <v>319.76</v>
      </c>
      <c r="L71" s="64">
        <v>29.83</v>
      </c>
      <c r="M71" s="64">
        <v>90.88</v>
      </c>
      <c r="N71" s="64">
        <v>251.8</v>
      </c>
      <c r="O71" s="64">
        <v>0</v>
      </c>
      <c r="P71" s="64">
        <v>0.51</v>
      </c>
      <c r="Q71" s="64">
        <v>9.36</v>
      </c>
      <c r="R71" s="198"/>
      <c r="S71" s="198"/>
      <c r="T71" s="198"/>
      <c r="U71" s="198"/>
    </row>
    <row r="72" spans="1:21" s="12" customFormat="1" x14ac:dyDescent="0.25">
      <c r="A72" s="248" t="s">
        <v>1076</v>
      </c>
      <c r="B72" s="64">
        <v>8.01</v>
      </c>
      <c r="C72" s="64">
        <v>3.02</v>
      </c>
      <c r="D72" s="64">
        <v>11.77</v>
      </c>
      <c r="E72" s="64">
        <v>3.51</v>
      </c>
      <c r="F72" s="64">
        <v>4.1399999999999997</v>
      </c>
      <c r="G72" s="64">
        <v>47.93</v>
      </c>
      <c r="H72" s="64">
        <v>22.41</v>
      </c>
      <c r="I72" s="64">
        <v>1.96</v>
      </c>
      <c r="J72" s="64">
        <v>0.74</v>
      </c>
      <c r="K72" s="64">
        <v>326.12</v>
      </c>
      <c r="L72" s="64">
        <v>29.67</v>
      </c>
      <c r="M72" s="64">
        <v>91.2</v>
      </c>
      <c r="N72" s="64">
        <v>230.8</v>
      </c>
      <c r="O72" s="64">
        <v>0</v>
      </c>
      <c r="P72" s="64">
        <v>0.51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48" t="s">
        <v>1077</v>
      </c>
      <c r="B73" s="64">
        <v>7.97</v>
      </c>
      <c r="C73" s="64">
        <v>3</v>
      </c>
      <c r="D73" s="64">
        <v>11.74</v>
      </c>
      <c r="E73" s="64">
        <v>3.74</v>
      </c>
      <c r="F73" s="64">
        <v>2.95</v>
      </c>
      <c r="G73" s="64">
        <v>47.93</v>
      </c>
      <c r="H73" s="64">
        <v>22.41</v>
      </c>
      <c r="I73" s="64">
        <v>1.97</v>
      </c>
      <c r="J73" s="64">
        <v>0.38</v>
      </c>
      <c r="K73" s="64">
        <v>315.27999999999997</v>
      </c>
      <c r="L73" s="64">
        <v>29.71</v>
      </c>
      <c r="M73" s="64">
        <v>90.57</v>
      </c>
      <c r="N73" s="64">
        <v>225.6</v>
      </c>
      <c r="O73" s="64">
        <v>0</v>
      </c>
      <c r="P73" s="64">
        <v>0.5</v>
      </c>
      <c r="Q73" s="64">
        <v>9.43</v>
      </c>
      <c r="R73" s="198"/>
      <c r="S73" s="198"/>
      <c r="T73" s="198"/>
      <c r="U73" s="198"/>
    </row>
    <row r="74" spans="1:21" s="12" customFormat="1" x14ac:dyDescent="0.25">
      <c r="A74" s="248" t="s">
        <v>1078</v>
      </c>
      <c r="B74" s="64">
        <v>7.98</v>
      </c>
      <c r="C74" s="64">
        <v>2.99</v>
      </c>
      <c r="D74" s="64">
        <v>11.74</v>
      </c>
      <c r="E74" s="64">
        <v>3.79</v>
      </c>
      <c r="F74" s="64">
        <v>3.2</v>
      </c>
      <c r="G74" s="64">
        <v>47.93</v>
      </c>
      <c r="H74" s="64">
        <v>22.41</v>
      </c>
      <c r="I74" s="64">
        <v>1.97</v>
      </c>
      <c r="J74" s="64">
        <v>0.37</v>
      </c>
      <c r="K74" s="64">
        <v>322.45</v>
      </c>
      <c r="L74" s="64">
        <v>29.63</v>
      </c>
      <c r="M74" s="64">
        <v>90.5</v>
      </c>
      <c r="N74" s="64">
        <v>193</v>
      </c>
      <c r="O74" s="64">
        <v>0</v>
      </c>
      <c r="P74" s="64">
        <v>0.49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48" t="s">
        <v>1079</v>
      </c>
      <c r="B75" s="64">
        <v>7.98</v>
      </c>
      <c r="C75" s="64">
        <v>3.05</v>
      </c>
      <c r="D75" s="64">
        <v>11.77</v>
      </c>
      <c r="E75" s="64">
        <v>3.62</v>
      </c>
      <c r="F75" s="64">
        <v>3.96</v>
      </c>
      <c r="G75" s="64">
        <v>65.709999999999994</v>
      </c>
      <c r="H75" s="64">
        <v>26.21</v>
      </c>
      <c r="I75" s="64">
        <v>1.99</v>
      </c>
      <c r="J75" s="64">
        <v>0.41</v>
      </c>
      <c r="K75" s="64">
        <v>317.25</v>
      </c>
      <c r="L75" s="64">
        <v>29.32</v>
      </c>
      <c r="M75" s="64">
        <v>92.19</v>
      </c>
      <c r="N75" s="64">
        <v>159.6</v>
      </c>
      <c r="O75" s="64">
        <v>0</v>
      </c>
      <c r="P75" s="64">
        <v>0.49</v>
      </c>
      <c r="Q75" s="64">
        <v>9.43</v>
      </c>
      <c r="R75" s="198"/>
      <c r="S75" s="198"/>
      <c r="T75" s="198"/>
      <c r="U75" s="198"/>
    </row>
    <row r="76" spans="1:21" s="12" customFormat="1" x14ac:dyDescent="0.25">
      <c r="A76" s="248" t="s">
        <v>1080</v>
      </c>
      <c r="B76" s="64">
        <v>7.99</v>
      </c>
      <c r="C76" s="64">
        <v>3.05</v>
      </c>
      <c r="D76" s="64">
        <v>11.77</v>
      </c>
      <c r="E76" s="64">
        <v>3.61</v>
      </c>
      <c r="F76" s="64">
        <v>3.37</v>
      </c>
      <c r="G76" s="64">
        <v>70.150000000000006</v>
      </c>
      <c r="H76" s="64">
        <v>27.16</v>
      </c>
      <c r="I76" s="64">
        <v>1.94</v>
      </c>
      <c r="J76" s="64">
        <v>0.32</v>
      </c>
      <c r="K76" s="64">
        <v>314.89999999999998</v>
      </c>
      <c r="L76" s="64">
        <v>29.2</v>
      </c>
      <c r="M76" s="64">
        <v>94.05</v>
      </c>
      <c r="N76" s="64">
        <v>140.5</v>
      </c>
      <c r="O76" s="64">
        <v>0</v>
      </c>
      <c r="P76" s="64">
        <v>0.51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48" t="s">
        <v>1081</v>
      </c>
      <c r="B77" s="64">
        <v>8.0500000000000007</v>
      </c>
      <c r="C77" s="64">
        <v>3.15</v>
      </c>
      <c r="D77" s="64">
        <v>11.87</v>
      </c>
      <c r="E77" s="64">
        <v>3.92</v>
      </c>
      <c r="F77" s="64">
        <v>3.2</v>
      </c>
      <c r="G77" s="64">
        <v>70.150000000000006</v>
      </c>
      <c r="H77" s="64">
        <v>27.16</v>
      </c>
      <c r="I77" s="64">
        <v>1.95</v>
      </c>
      <c r="J77" s="64">
        <v>0.28999999999999998</v>
      </c>
      <c r="K77" s="64">
        <v>317.02</v>
      </c>
      <c r="L77" s="64">
        <v>28.92</v>
      </c>
      <c r="M77" s="64">
        <v>95.48</v>
      </c>
      <c r="N77" s="64">
        <v>122</v>
      </c>
      <c r="O77" s="64">
        <v>0</v>
      </c>
      <c r="P77" s="64">
        <v>0.52</v>
      </c>
      <c r="Q77" s="64">
        <v>9.43</v>
      </c>
      <c r="R77" s="198"/>
      <c r="S77" s="198"/>
      <c r="T77" s="198"/>
      <c r="U77" s="198"/>
    </row>
    <row r="78" spans="1:21" s="12" customFormat="1" x14ac:dyDescent="0.25">
      <c r="A78" s="248" t="s">
        <v>1082</v>
      </c>
      <c r="B78" s="64">
        <v>8.0399999999999991</v>
      </c>
      <c r="C78" s="64">
        <v>3.24</v>
      </c>
      <c r="D78" s="64">
        <v>11.92</v>
      </c>
      <c r="E78" s="64">
        <v>4.0199999999999996</v>
      </c>
      <c r="F78" s="64">
        <v>3.88</v>
      </c>
      <c r="G78" s="64">
        <v>70.150000000000006</v>
      </c>
      <c r="H78" s="64">
        <v>27.16</v>
      </c>
      <c r="I78" s="64">
        <v>2.0299999999999998</v>
      </c>
      <c r="J78" s="64">
        <v>0.11</v>
      </c>
      <c r="K78" s="64">
        <v>345.1</v>
      </c>
      <c r="L78" s="64">
        <v>28.53</v>
      </c>
      <c r="M78" s="64">
        <v>98.49</v>
      </c>
      <c r="N78" s="64">
        <v>106.9</v>
      </c>
      <c r="O78" s="64">
        <v>0</v>
      </c>
      <c r="P78" s="64">
        <v>0.53</v>
      </c>
      <c r="Q78" s="64">
        <v>9.43</v>
      </c>
      <c r="R78" s="198"/>
      <c r="S78" s="198"/>
      <c r="T78" s="198"/>
      <c r="U78" s="198"/>
    </row>
    <row r="79" spans="1:21" s="12" customFormat="1" x14ac:dyDescent="0.25">
      <c r="A79" s="248" t="s">
        <v>1083</v>
      </c>
      <c r="B79" s="64">
        <v>8.16</v>
      </c>
      <c r="C79" s="64">
        <v>3.42</v>
      </c>
      <c r="D79" s="64">
        <v>12.11</v>
      </c>
      <c r="E79" s="64">
        <v>3.44</v>
      </c>
      <c r="F79" s="64">
        <v>4.47</v>
      </c>
      <c r="G79" s="64">
        <v>75.31</v>
      </c>
      <c r="H79" s="64">
        <v>25.71</v>
      </c>
      <c r="I79" s="64">
        <v>2.0499999999999998</v>
      </c>
      <c r="J79" s="64">
        <v>0.18</v>
      </c>
      <c r="K79" s="64">
        <v>350.49</v>
      </c>
      <c r="L79" s="64">
        <v>28.18</v>
      </c>
      <c r="M79" s="64">
        <v>100.61</v>
      </c>
      <c r="N79" s="64">
        <v>91.2</v>
      </c>
      <c r="O79" s="64">
        <v>0</v>
      </c>
      <c r="P79" s="64">
        <v>0.55000000000000004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48" t="s">
        <v>1084</v>
      </c>
      <c r="B80" s="64">
        <v>8.09</v>
      </c>
      <c r="C80" s="64">
        <v>3.32</v>
      </c>
      <c r="D80" s="64">
        <v>12</v>
      </c>
      <c r="E80" s="64">
        <v>3.92</v>
      </c>
      <c r="F80" s="64">
        <v>2.73</v>
      </c>
      <c r="G80" s="64">
        <v>76.599999999999994</v>
      </c>
      <c r="H80" s="64">
        <v>25.34</v>
      </c>
      <c r="I80" s="64">
        <v>2.14</v>
      </c>
      <c r="J80" s="64">
        <v>0.08</v>
      </c>
      <c r="K80" s="64">
        <v>287.8</v>
      </c>
      <c r="L80" s="64">
        <v>27.87</v>
      </c>
      <c r="M80" s="64">
        <v>101.23</v>
      </c>
      <c r="N80" s="64">
        <v>79.5</v>
      </c>
      <c r="O80" s="64">
        <v>0</v>
      </c>
      <c r="P80" s="64">
        <v>0.56000000000000005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48" t="s">
        <v>1085</v>
      </c>
      <c r="B81" s="64">
        <v>8.01</v>
      </c>
      <c r="C81" s="64">
        <v>3.17</v>
      </c>
      <c r="D81" s="64">
        <v>11.86</v>
      </c>
      <c r="E81" s="64">
        <v>3.47</v>
      </c>
      <c r="F81" s="64">
        <v>3.64</v>
      </c>
      <c r="G81" s="64">
        <v>76.599999999999994</v>
      </c>
      <c r="H81" s="64">
        <v>25.34</v>
      </c>
      <c r="I81" s="64">
        <v>2.2799999999999998</v>
      </c>
      <c r="J81" s="64">
        <v>0.15</v>
      </c>
      <c r="K81" s="64">
        <v>337.9</v>
      </c>
      <c r="L81" s="64">
        <v>27.63</v>
      </c>
      <c r="M81" s="64">
        <v>102.65</v>
      </c>
      <c r="N81" s="64">
        <v>74.099999999999994</v>
      </c>
      <c r="O81" s="64">
        <v>0</v>
      </c>
      <c r="P81" s="64">
        <v>0.56999999999999995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48" t="s">
        <v>1086</v>
      </c>
      <c r="B82" s="64">
        <v>8.0299999999999994</v>
      </c>
      <c r="C82" s="64">
        <v>3.14</v>
      </c>
      <c r="D82" s="64">
        <v>11.85</v>
      </c>
      <c r="E82" s="64">
        <v>3.51</v>
      </c>
      <c r="F82" s="64">
        <v>3.68</v>
      </c>
      <c r="G82" s="64">
        <v>76.599999999999994</v>
      </c>
      <c r="H82" s="64">
        <v>25.34</v>
      </c>
      <c r="I82" s="64">
        <v>2.44</v>
      </c>
      <c r="J82" s="64">
        <v>0.22</v>
      </c>
      <c r="K82" s="64">
        <v>305.97000000000003</v>
      </c>
      <c r="L82" s="64">
        <v>27.4</v>
      </c>
      <c r="M82" s="64">
        <v>102.71</v>
      </c>
      <c r="N82" s="64">
        <v>68.900000000000006</v>
      </c>
      <c r="O82" s="64">
        <v>0</v>
      </c>
      <c r="P82" s="64">
        <v>0.6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48" t="s">
        <v>1087</v>
      </c>
      <c r="B83" s="64">
        <v>8.07</v>
      </c>
      <c r="C83" s="64">
        <v>3.16</v>
      </c>
      <c r="D83" s="64">
        <v>11.89</v>
      </c>
      <c r="E83" s="64">
        <v>3.63</v>
      </c>
      <c r="F83" s="64">
        <v>2.85</v>
      </c>
      <c r="G83" s="64">
        <v>94.37</v>
      </c>
      <c r="H83" s="64">
        <v>31.46</v>
      </c>
      <c r="I83" s="64">
        <v>2.56</v>
      </c>
      <c r="J83" s="64">
        <v>0.18</v>
      </c>
      <c r="K83" s="64">
        <v>305.8</v>
      </c>
      <c r="L83" s="64">
        <v>27.09</v>
      </c>
      <c r="M83" s="64">
        <v>102.84</v>
      </c>
      <c r="N83" s="64">
        <v>65.2</v>
      </c>
      <c r="O83" s="64">
        <v>0</v>
      </c>
      <c r="P83" s="64">
        <v>0.63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48" t="s">
        <v>1088</v>
      </c>
      <c r="B84" s="64">
        <v>8.09</v>
      </c>
      <c r="C84" s="64">
        <v>3.16</v>
      </c>
      <c r="D84" s="64">
        <v>11.91</v>
      </c>
      <c r="E84" s="64">
        <v>3.12</v>
      </c>
      <c r="F84" s="64">
        <v>3.27</v>
      </c>
      <c r="G84" s="64">
        <v>98.82</v>
      </c>
      <c r="H84" s="64">
        <v>32.99</v>
      </c>
      <c r="I84" s="64">
        <v>2.72</v>
      </c>
      <c r="J84" s="64">
        <v>0.11</v>
      </c>
      <c r="K84" s="64">
        <v>288.66000000000003</v>
      </c>
      <c r="L84" s="64">
        <v>27.01</v>
      </c>
      <c r="M84" s="64">
        <v>102.97</v>
      </c>
      <c r="N84" s="64">
        <v>64</v>
      </c>
      <c r="O84" s="64">
        <v>0</v>
      </c>
      <c r="P84" s="64">
        <v>0.66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48" t="s">
        <v>1089</v>
      </c>
      <c r="B85" s="64">
        <v>8.11</v>
      </c>
      <c r="C85" s="64">
        <v>3.19</v>
      </c>
      <c r="D85" s="64">
        <v>11.95</v>
      </c>
      <c r="E85" s="64">
        <v>3.46</v>
      </c>
      <c r="F85" s="64">
        <v>3.46</v>
      </c>
      <c r="G85" s="64">
        <v>98.82</v>
      </c>
      <c r="H85" s="64">
        <v>32.99</v>
      </c>
      <c r="I85" s="64">
        <v>2.97</v>
      </c>
      <c r="J85" s="64">
        <v>0.16</v>
      </c>
      <c r="K85" s="64">
        <v>314.54000000000002</v>
      </c>
      <c r="L85" s="64">
        <v>26.79</v>
      </c>
      <c r="M85" s="64">
        <v>103.06</v>
      </c>
      <c r="N85" s="64">
        <v>63.8</v>
      </c>
      <c r="O85" s="64">
        <v>0</v>
      </c>
      <c r="P85" s="64">
        <v>0.69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48" t="s">
        <v>1090</v>
      </c>
      <c r="B86" s="64">
        <v>8.09</v>
      </c>
      <c r="C86" s="64">
        <v>3.13</v>
      </c>
      <c r="D86" s="64">
        <v>11.9</v>
      </c>
      <c r="E86" s="64">
        <v>3.98</v>
      </c>
      <c r="F86" s="64">
        <v>3.46</v>
      </c>
      <c r="G86" s="64">
        <v>98.82</v>
      </c>
      <c r="H86" s="64">
        <v>32.99</v>
      </c>
      <c r="I86" s="64">
        <v>3.26</v>
      </c>
      <c r="J86" s="64">
        <v>7.0000000000000007E-2</v>
      </c>
      <c r="K86" s="64">
        <v>272.95999999999998</v>
      </c>
      <c r="L86" s="64">
        <v>26.65</v>
      </c>
      <c r="M86" s="64">
        <v>103.27</v>
      </c>
      <c r="N86" s="64">
        <v>63.6</v>
      </c>
      <c r="O86" s="64">
        <v>0</v>
      </c>
      <c r="P86" s="64">
        <v>0.71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48" t="s">
        <v>1091</v>
      </c>
      <c r="B87" s="64">
        <v>8.1</v>
      </c>
      <c r="C87" s="64">
        <v>3.17</v>
      </c>
      <c r="D87" s="64">
        <v>11.92</v>
      </c>
      <c r="E87" s="64">
        <v>3.62</v>
      </c>
      <c r="F87" s="64">
        <v>3.17</v>
      </c>
      <c r="G87" s="64">
        <v>101.23</v>
      </c>
      <c r="H87" s="64">
        <v>31.5</v>
      </c>
      <c r="I87" s="64">
        <v>3.78</v>
      </c>
      <c r="J87" s="64">
        <v>0.13</v>
      </c>
      <c r="K87" s="64">
        <v>339.31</v>
      </c>
      <c r="L87" s="64">
        <v>26.57</v>
      </c>
      <c r="M87" s="64">
        <v>103.21</v>
      </c>
      <c r="N87" s="64">
        <v>63.4</v>
      </c>
      <c r="O87" s="64">
        <v>0</v>
      </c>
      <c r="P87" s="64">
        <v>0.72</v>
      </c>
      <c r="Q87" s="64">
        <v>9.69</v>
      </c>
      <c r="R87" s="198"/>
      <c r="S87" s="198"/>
      <c r="T87" s="198"/>
      <c r="U87" s="198"/>
    </row>
    <row r="88" spans="1:26" s="12" customFormat="1" x14ac:dyDescent="0.25">
      <c r="A88" s="248" t="s">
        <v>1092</v>
      </c>
      <c r="B88" s="64">
        <v>8.1199999999999992</v>
      </c>
      <c r="C88" s="64">
        <v>3.19</v>
      </c>
      <c r="D88" s="64">
        <v>11.95</v>
      </c>
      <c r="E88" s="64">
        <v>3.86</v>
      </c>
      <c r="F88" s="64">
        <v>2.97</v>
      </c>
      <c r="G88" s="64">
        <v>101.84</v>
      </c>
      <c r="H88" s="64">
        <v>31.13</v>
      </c>
      <c r="I88" s="64">
        <v>3.97</v>
      </c>
      <c r="J88" s="64">
        <v>0.09</v>
      </c>
      <c r="K88" s="64">
        <v>328.02</v>
      </c>
      <c r="L88" s="64">
        <v>26.64</v>
      </c>
      <c r="M88" s="64">
        <v>103.32</v>
      </c>
      <c r="N88" s="64">
        <v>64</v>
      </c>
      <c r="O88" s="64">
        <v>0</v>
      </c>
      <c r="P88" s="64">
        <v>0.75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48" t="s">
        <v>1093</v>
      </c>
      <c r="B89" s="64">
        <v>8.1300000000000008</v>
      </c>
      <c r="C89" s="64">
        <v>3.16</v>
      </c>
      <c r="D89" s="64">
        <v>11.94</v>
      </c>
      <c r="E89" s="64">
        <v>4</v>
      </c>
      <c r="F89" s="64">
        <v>3.32</v>
      </c>
      <c r="G89" s="64">
        <v>101.84</v>
      </c>
      <c r="H89" s="64">
        <v>31.13</v>
      </c>
      <c r="I89" s="64">
        <v>4.2</v>
      </c>
      <c r="J89" s="64">
        <v>0.1</v>
      </c>
      <c r="K89" s="64">
        <v>297.99</v>
      </c>
      <c r="L89" s="64">
        <v>26.54</v>
      </c>
      <c r="M89" s="64">
        <v>103.25</v>
      </c>
      <c r="N89" s="64">
        <v>64</v>
      </c>
      <c r="O89" s="64">
        <v>0</v>
      </c>
      <c r="P89" s="64">
        <v>0.77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48" t="s">
        <v>1094</v>
      </c>
      <c r="B90" s="64">
        <v>8.08</v>
      </c>
      <c r="C90" s="64">
        <v>3.07</v>
      </c>
      <c r="D90" s="64">
        <v>11.86</v>
      </c>
      <c r="E90" s="64">
        <v>4.01</v>
      </c>
      <c r="F90" s="64">
        <v>3.71</v>
      </c>
      <c r="G90" s="64">
        <v>101.84</v>
      </c>
      <c r="H90" s="64">
        <v>31.13</v>
      </c>
      <c r="I90" s="64">
        <v>4.4000000000000004</v>
      </c>
      <c r="J90" s="64">
        <v>0.15</v>
      </c>
      <c r="K90" s="64">
        <v>283.14</v>
      </c>
      <c r="L90" s="64">
        <v>26.52</v>
      </c>
      <c r="M90" s="64">
        <v>103.2</v>
      </c>
      <c r="N90" s="64">
        <v>63.9</v>
      </c>
      <c r="O90" s="64">
        <v>0</v>
      </c>
      <c r="P90" s="64">
        <v>0.78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48" t="s">
        <v>1095</v>
      </c>
      <c r="B91" s="64">
        <v>8.1300000000000008</v>
      </c>
      <c r="C91" s="64">
        <v>3.17</v>
      </c>
      <c r="D91" s="64">
        <v>11.95</v>
      </c>
      <c r="E91" s="64">
        <v>3.99</v>
      </c>
      <c r="F91" s="64">
        <v>4.16</v>
      </c>
      <c r="G91" s="64">
        <v>106.9</v>
      </c>
      <c r="H91" s="64">
        <v>37.44</v>
      </c>
      <c r="I91" s="64">
        <v>4.57</v>
      </c>
      <c r="J91" s="64">
        <v>0.1</v>
      </c>
      <c r="K91" s="64">
        <v>335.29</v>
      </c>
      <c r="L91" s="64">
        <v>26.39</v>
      </c>
      <c r="M91" s="64">
        <v>103.22</v>
      </c>
      <c r="N91" s="64">
        <v>63.9</v>
      </c>
      <c r="O91" s="64">
        <v>0</v>
      </c>
      <c r="P91" s="64">
        <v>0.81</v>
      </c>
      <c r="Q91" s="64">
        <v>9.75</v>
      </c>
      <c r="R91" s="198"/>
      <c r="S91" s="198"/>
      <c r="T91" s="198"/>
      <c r="U91" s="198"/>
    </row>
    <row r="92" spans="1:26" s="12" customFormat="1" x14ac:dyDescent="0.25">
      <c r="A92" s="248" t="s">
        <v>1096</v>
      </c>
      <c r="B92" s="64">
        <v>8.1300000000000008</v>
      </c>
      <c r="C92" s="64">
        <v>3.23</v>
      </c>
      <c r="D92" s="64">
        <v>11.98</v>
      </c>
      <c r="E92" s="64">
        <v>4.1900000000000004</v>
      </c>
      <c r="F92" s="64">
        <v>2.36</v>
      </c>
      <c r="G92" s="64">
        <v>108.16</v>
      </c>
      <c r="H92" s="64">
        <v>39.020000000000003</v>
      </c>
      <c r="I92" s="64">
        <v>4.66</v>
      </c>
      <c r="J92" s="64">
        <v>0.03</v>
      </c>
      <c r="K92" s="64">
        <v>204.65</v>
      </c>
      <c r="L92" s="64">
        <v>26.35</v>
      </c>
      <c r="M92" s="64">
        <v>103</v>
      </c>
      <c r="N92" s="64">
        <v>63.6</v>
      </c>
      <c r="O92" s="64">
        <v>0</v>
      </c>
      <c r="P92" s="64">
        <v>0.84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48" t="s">
        <v>1097</v>
      </c>
      <c r="B93" s="64">
        <v>8.2200000000000006</v>
      </c>
      <c r="C93" s="64">
        <v>3.34</v>
      </c>
      <c r="D93" s="64">
        <v>12.11</v>
      </c>
      <c r="E93" s="64">
        <v>4.0999999999999996</v>
      </c>
      <c r="F93" s="64">
        <v>3.85</v>
      </c>
      <c r="G93" s="64">
        <v>108.16</v>
      </c>
      <c r="H93" s="64">
        <v>39.020000000000003</v>
      </c>
      <c r="I93" s="64">
        <v>4.71</v>
      </c>
      <c r="J93" s="64">
        <v>0.06</v>
      </c>
      <c r="K93" s="64">
        <v>158.18</v>
      </c>
      <c r="L93" s="64">
        <v>26.26</v>
      </c>
      <c r="M93" s="64">
        <v>103.07</v>
      </c>
      <c r="N93" s="64">
        <v>63.6</v>
      </c>
      <c r="O93" s="64">
        <v>0</v>
      </c>
      <c r="P93" s="64">
        <v>0.87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48" t="s">
        <v>1098</v>
      </c>
      <c r="B94" s="64">
        <v>8.5299999999999994</v>
      </c>
      <c r="C94" s="64">
        <v>3.82</v>
      </c>
      <c r="D94" s="64">
        <v>12.61</v>
      </c>
      <c r="E94" s="64">
        <v>4.3899999999999997</v>
      </c>
      <c r="F94" s="64">
        <v>3.32</v>
      </c>
      <c r="G94" s="64">
        <v>108.16</v>
      </c>
      <c r="H94" s="64">
        <v>39.020000000000003</v>
      </c>
      <c r="I94" s="64">
        <v>4.74</v>
      </c>
      <c r="J94" s="64">
        <v>0.18</v>
      </c>
      <c r="K94" s="64">
        <v>261.12</v>
      </c>
      <c r="L94" s="64">
        <v>26.11</v>
      </c>
      <c r="M94" s="64">
        <v>102.73</v>
      </c>
      <c r="N94" s="64">
        <v>63.6</v>
      </c>
      <c r="O94" s="64">
        <v>0</v>
      </c>
      <c r="P94" s="64">
        <v>0.89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48" t="s">
        <v>1099</v>
      </c>
      <c r="B95" s="64">
        <v>8.34</v>
      </c>
      <c r="C95" s="64">
        <v>3.51</v>
      </c>
      <c r="D95" s="64">
        <v>12.3</v>
      </c>
      <c r="E95" s="64">
        <v>3.73</v>
      </c>
      <c r="F95" s="64">
        <v>3.13</v>
      </c>
      <c r="G95" s="64">
        <v>113.12</v>
      </c>
      <c r="H95" s="64">
        <v>35.51</v>
      </c>
      <c r="I95" s="64">
        <v>4.8899999999999997</v>
      </c>
      <c r="J95" s="64">
        <v>0.15</v>
      </c>
      <c r="K95" s="64">
        <v>229.72</v>
      </c>
      <c r="L95" s="64">
        <v>26.1</v>
      </c>
      <c r="M95" s="64">
        <v>102.63</v>
      </c>
      <c r="N95" s="64">
        <v>63.4</v>
      </c>
      <c r="O95" s="64">
        <v>0</v>
      </c>
      <c r="P95" s="64">
        <v>0.9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48" t="s">
        <v>1100</v>
      </c>
      <c r="B96" s="64">
        <v>8.25</v>
      </c>
      <c r="C96" s="64">
        <v>3.3</v>
      </c>
      <c r="D96" s="64">
        <v>12.11</v>
      </c>
      <c r="E96" s="64">
        <v>4.26</v>
      </c>
      <c r="F96" s="64">
        <v>4.09</v>
      </c>
      <c r="G96" s="64">
        <v>114.36</v>
      </c>
      <c r="H96" s="64">
        <v>34.64</v>
      </c>
      <c r="I96" s="64">
        <v>5</v>
      </c>
      <c r="J96" s="64">
        <v>0.19</v>
      </c>
      <c r="K96" s="64">
        <v>208.58</v>
      </c>
      <c r="L96" s="64">
        <v>26.16</v>
      </c>
      <c r="M96" s="64">
        <v>102.94</v>
      </c>
      <c r="N96" s="64">
        <v>63.6</v>
      </c>
      <c r="O96" s="64">
        <v>0</v>
      </c>
      <c r="P96" s="64">
        <v>0.94</v>
      </c>
      <c r="Q96" s="64">
        <v>9.77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1101</v>
      </c>
      <c r="B97" s="64">
        <v>8.2799999999999994</v>
      </c>
      <c r="C97" s="64">
        <v>3.33</v>
      </c>
      <c r="D97" s="64">
        <v>12.16</v>
      </c>
      <c r="E97" s="64">
        <v>4.1100000000000003</v>
      </c>
      <c r="F97" s="64">
        <v>2.5099999999999998</v>
      </c>
      <c r="G97" s="64">
        <v>114.36</v>
      </c>
      <c r="H97" s="64">
        <v>34.64</v>
      </c>
      <c r="I97" s="64">
        <v>5.18</v>
      </c>
      <c r="J97" s="64">
        <v>0.28000000000000003</v>
      </c>
      <c r="K97" s="64">
        <v>7.21</v>
      </c>
      <c r="L97" s="64">
        <v>26.31</v>
      </c>
      <c r="M97" s="64">
        <v>103.28</v>
      </c>
      <c r="N97" s="64">
        <v>63.5</v>
      </c>
      <c r="O97" s="64">
        <v>0</v>
      </c>
      <c r="P97" s="64">
        <v>0.95</v>
      </c>
      <c r="Q97" s="64">
        <v>9.75</v>
      </c>
      <c r="R97" s="198"/>
      <c r="S97" s="198"/>
      <c r="T97" s="198"/>
      <c r="U97" s="198"/>
    </row>
    <row r="98" spans="1:33" s="12" customFormat="1" x14ac:dyDescent="0.25">
      <c r="A98" s="248" t="s">
        <v>1102</v>
      </c>
      <c r="B98" s="64">
        <v>8.59</v>
      </c>
      <c r="C98" s="64">
        <v>3.84</v>
      </c>
      <c r="D98" s="64">
        <v>12.67</v>
      </c>
      <c r="E98" s="64">
        <v>3.81</v>
      </c>
      <c r="F98" s="64">
        <v>3.38</v>
      </c>
      <c r="G98" s="64">
        <v>114.36</v>
      </c>
      <c r="H98" s="64">
        <v>34.64</v>
      </c>
      <c r="I98" s="64">
        <v>5.3</v>
      </c>
      <c r="J98" s="64">
        <v>0.2</v>
      </c>
      <c r="K98" s="64">
        <v>34.29</v>
      </c>
      <c r="L98" s="64">
        <v>26.32</v>
      </c>
      <c r="M98" s="64">
        <v>103.39</v>
      </c>
      <c r="N98" s="64">
        <v>63.6</v>
      </c>
      <c r="O98" s="64">
        <v>0</v>
      </c>
      <c r="P98" s="64">
        <v>0.97</v>
      </c>
      <c r="Q98" s="64">
        <v>9.8000000000000007</v>
      </c>
      <c r="R98" s="198"/>
      <c r="S98" s="198"/>
      <c r="T98" s="198"/>
      <c r="U98" s="198"/>
    </row>
    <row r="99" spans="1:33" s="12" customFormat="1" x14ac:dyDescent="0.25">
      <c r="A99" s="248" t="s">
        <v>1103</v>
      </c>
      <c r="B99" s="64">
        <v>8.35</v>
      </c>
      <c r="C99" s="64">
        <v>3.52</v>
      </c>
      <c r="D99" s="64">
        <v>12.31</v>
      </c>
      <c r="E99" s="64">
        <v>4.01</v>
      </c>
      <c r="F99" s="64">
        <v>3.57</v>
      </c>
      <c r="G99" s="64">
        <v>120.44</v>
      </c>
      <c r="H99" s="64">
        <v>31.39</v>
      </c>
      <c r="I99" s="64">
        <v>5.42</v>
      </c>
      <c r="J99" s="64">
        <v>0.11</v>
      </c>
      <c r="K99" s="64">
        <v>174.09</v>
      </c>
      <c r="L99" s="64">
        <v>26.26</v>
      </c>
      <c r="M99" s="64">
        <v>103.3</v>
      </c>
      <c r="N99" s="64">
        <v>63.6</v>
      </c>
      <c r="O99" s="64">
        <v>0</v>
      </c>
      <c r="P99" s="64">
        <v>0.97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48" t="s">
        <v>1104</v>
      </c>
      <c r="B100" s="64">
        <v>8.18</v>
      </c>
      <c r="C100" s="64">
        <v>3.26</v>
      </c>
      <c r="D100" s="64">
        <v>12.04</v>
      </c>
      <c r="E100" s="64">
        <v>4.55</v>
      </c>
      <c r="F100" s="64">
        <v>3.45</v>
      </c>
      <c r="G100" s="64">
        <v>121.96</v>
      </c>
      <c r="H100" s="64">
        <v>30.58</v>
      </c>
      <c r="I100" s="64">
        <v>5.49</v>
      </c>
      <c r="J100" s="64">
        <v>0.19</v>
      </c>
      <c r="K100" s="64">
        <v>221.85</v>
      </c>
      <c r="L100" s="64">
        <v>26.25</v>
      </c>
      <c r="M100" s="64">
        <v>103.03</v>
      </c>
      <c r="N100" s="64">
        <v>63.6</v>
      </c>
      <c r="O100" s="64">
        <v>0</v>
      </c>
      <c r="P100" s="64">
        <v>0.96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1105</v>
      </c>
      <c r="B101" s="64">
        <v>8.15</v>
      </c>
      <c r="C101" s="64">
        <v>3.24</v>
      </c>
      <c r="D101" s="64">
        <v>12</v>
      </c>
      <c r="E101" s="64">
        <v>4.1100000000000003</v>
      </c>
      <c r="F101" s="64">
        <v>3.29</v>
      </c>
      <c r="G101" s="64">
        <v>121.96</v>
      </c>
      <c r="H101" s="64">
        <v>30.58</v>
      </c>
      <c r="I101" s="64">
        <v>5.56</v>
      </c>
      <c r="J101" s="64">
        <v>0.11</v>
      </c>
      <c r="K101" s="64">
        <v>233.95</v>
      </c>
      <c r="L101" s="64">
        <v>26.24</v>
      </c>
      <c r="M101" s="64">
        <v>103.23</v>
      </c>
      <c r="N101" s="64">
        <v>63.6</v>
      </c>
      <c r="O101" s="64">
        <v>0</v>
      </c>
      <c r="P101" s="64">
        <v>0.97</v>
      </c>
      <c r="Q101" s="64">
        <v>9.89</v>
      </c>
      <c r="R101" s="198"/>
      <c r="S101" s="198"/>
      <c r="T101" s="198"/>
      <c r="U101" s="198"/>
    </row>
    <row r="102" spans="1:33" s="12" customFormat="1" x14ac:dyDescent="0.25">
      <c r="A102" s="248" t="s">
        <v>1106</v>
      </c>
      <c r="B102" s="64">
        <v>8.19</v>
      </c>
      <c r="C102" s="64">
        <v>3.24</v>
      </c>
      <c r="D102" s="64">
        <v>12.04</v>
      </c>
      <c r="E102" s="64">
        <v>4.42</v>
      </c>
      <c r="F102" s="64">
        <v>3.41</v>
      </c>
      <c r="G102" s="64">
        <v>121.96</v>
      </c>
      <c r="H102" s="64">
        <v>30.58</v>
      </c>
      <c r="I102" s="64">
        <v>5.55</v>
      </c>
      <c r="J102" s="64">
        <v>0.17</v>
      </c>
      <c r="K102" s="64">
        <v>202.94</v>
      </c>
      <c r="L102" s="64">
        <v>26.23</v>
      </c>
      <c r="M102" s="64">
        <v>103.62</v>
      </c>
      <c r="N102" s="64">
        <v>63.6</v>
      </c>
      <c r="O102" s="64">
        <v>0</v>
      </c>
      <c r="P102" s="64">
        <v>0.95</v>
      </c>
      <c r="Q102" s="64">
        <v>9.8800000000000008</v>
      </c>
      <c r="R102" s="198"/>
      <c r="S102" s="198"/>
      <c r="T102" s="198"/>
      <c r="U102" s="198"/>
    </row>
    <row r="103" spans="1:33" s="12" customFormat="1" x14ac:dyDescent="0.25">
      <c r="A103" s="248" t="s">
        <v>1107</v>
      </c>
      <c r="B103" s="64">
        <v>8.2200000000000006</v>
      </c>
      <c r="C103" s="64">
        <v>3.22</v>
      </c>
      <c r="D103" s="64">
        <v>12.04</v>
      </c>
      <c r="E103" s="64">
        <v>4.6399999999999997</v>
      </c>
      <c r="F103" s="64">
        <v>3.5</v>
      </c>
      <c r="G103" s="64">
        <v>122.3</v>
      </c>
      <c r="H103" s="64">
        <v>39.47</v>
      </c>
      <c r="I103" s="64">
        <v>5.71</v>
      </c>
      <c r="J103" s="64">
        <v>0.15</v>
      </c>
      <c r="K103" s="64">
        <v>171.21</v>
      </c>
      <c r="L103" s="64">
        <v>26.16</v>
      </c>
      <c r="M103" s="64">
        <v>103.46</v>
      </c>
      <c r="N103" s="64">
        <v>63.9</v>
      </c>
      <c r="O103" s="64">
        <v>0</v>
      </c>
      <c r="P103" s="64">
        <v>0.95</v>
      </c>
      <c r="Q103" s="64">
        <v>9.89</v>
      </c>
      <c r="R103" s="198"/>
      <c r="S103" s="198"/>
      <c r="T103" s="198"/>
      <c r="U103" s="198"/>
    </row>
    <row r="104" spans="1:33" s="12" customFormat="1" x14ac:dyDescent="0.25">
      <c r="A104" s="248" t="s">
        <v>1108</v>
      </c>
      <c r="B104" s="64">
        <v>8.16</v>
      </c>
      <c r="C104" s="64">
        <v>3.14</v>
      </c>
      <c r="D104" s="64">
        <v>11.96</v>
      </c>
      <c r="E104" s="64">
        <v>4.8600000000000003</v>
      </c>
      <c r="F104" s="64">
        <v>3.4</v>
      </c>
      <c r="G104" s="64">
        <v>122.38</v>
      </c>
      <c r="H104" s="64">
        <v>41.7</v>
      </c>
      <c r="I104" s="64">
        <v>5.8</v>
      </c>
      <c r="J104" s="64">
        <v>0.04</v>
      </c>
      <c r="K104" s="64">
        <v>170.57</v>
      </c>
      <c r="L104" s="64">
        <v>26.09</v>
      </c>
      <c r="M104" s="64">
        <v>103.61</v>
      </c>
      <c r="N104" s="64">
        <v>63.7</v>
      </c>
      <c r="O104" s="64">
        <v>0</v>
      </c>
      <c r="P104" s="64">
        <v>0.93</v>
      </c>
      <c r="Q104" s="64">
        <v>9.8699999999999992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7.95</v>
      </c>
      <c r="C106" s="67">
        <f>MIN(C9:C104)</f>
        <v>2.96</v>
      </c>
      <c r="D106" s="67">
        <f t="shared" ref="D106:Q106" si="0">MIN(D9:D104)</f>
        <v>11.7</v>
      </c>
      <c r="E106" s="67">
        <f t="shared" si="0"/>
        <v>2.2400000000000002</v>
      </c>
      <c r="F106" s="67">
        <f t="shared" si="0"/>
        <v>2.36</v>
      </c>
      <c r="G106" s="67">
        <f t="shared" si="0"/>
        <v>15.85</v>
      </c>
      <c r="H106" s="67">
        <f t="shared" si="0"/>
        <v>9.15</v>
      </c>
      <c r="I106" s="67">
        <f t="shared" si="0"/>
        <v>1.22</v>
      </c>
      <c r="J106" s="67">
        <f t="shared" si="0"/>
        <v>0.03</v>
      </c>
      <c r="K106" s="67">
        <f t="shared" si="0"/>
        <v>1.93</v>
      </c>
      <c r="L106" s="67">
        <f t="shared" si="0"/>
        <v>23.45</v>
      </c>
      <c r="M106" s="67">
        <f t="shared" si="0"/>
        <v>86.79</v>
      </c>
      <c r="N106" s="67">
        <f t="shared" si="0"/>
        <v>63.4</v>
      </c>
      <c r="O106" s="67">
        <f t="shared" si="0"/>
        <v>0</v>
      </c>
      <c r="P106" s="67">
        <f t="shared" si="0"/>
        <v>0.27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8.59</v>
      </c>
      <c r="C107" s="66">
        <f t="shared" ref="C107:Q107" si="1">MAX(C9:C104)</f>
        <v>3.84</v>
      </c>
      <c r="D107" s="66">
        <f t="shared" si="1"/>
        <v>12.67</v>
      </c>
      <c r="E107" s="66">
        <f t="shared" si="1"/>
        <v>4.8600000000000003</v>
      </c>
      <c r="F107" s="66">
        <f t="shared" si="1"/>
        <v>12.16</v>
      </c>
      <c r="G107" s="66">
        <f t="shared" si="1"/>
        <v>122.38</v>
      </c>
      <c r="H107" s="66">
        <f t="shared" si="1"/>
        <v>41.7</v>
      </c>
      <c r="I107" s="66">
        <f t="shared" si="1"/>
        <v>5.8</v>
      </c>
      <c r="J107" s="66">
        <f t="shared" si="1"/>
        <v>0.79</v>
      </c>
      <c r="K107" s="66">
        <f t="shared" si="1"/>
        <v>359.93</v>
      </c>
      <c r="L107" s="66">
        <f t="shared" si="1"/>
        <v>30.57</v>
      </c>
      <c r="M107" s="66">
        <f t="shared" si="1"/>
        <v>103.62</v>
      </c>
      <c r="N107" s="66">
        <f t="shared" si="1"/>
        <v>423.7</v>
      </c>
      <c r="O107" s="66">
        <f t="shared" si="1"/>
        <v>2</v>
      </c>
      <c r="P107" s="66">
        <f t="shared" si="1"/>
        <v>0.97</v>
      </c>
      <c r="Q107" s="66">
        <f t="shared" si="1"/>
        <v>9.89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8.0586458333333351</v>
      </c>
      <c r="C108" s="67">
        <f t="shared" ref="C108:Q108" si="2">AVERAGE(C9:C104)</f>
        <v>3.1303124999999992</v>
      </c>
      <c r="D108" s="67">
        <f t="shared" si="2"/>
        <v>11.872291666666664</v>
      </c>
      <c r="E108" s="67">
        <f t="shared" si="2"/>
        <v>4.0547916666666692</v>
      </c>
      <c r="F108" s="67">
        <f t="shared" si="2"/>
        <v>3.7442708333333332</v>
      </c>
      <c r="G108" s="67">
        <f t="shared" si="2"/>
        <v>56.675104166666664</v>
      </c>
      <c r="H108" s="67">
        <f t="shared" si="2"/>
        <v>26.181600000000003</v>
      </c>
      <c r="I108" s="67">
        <f t="shared" si="2"/>
        <v>2.6698958333333334</v>
      </c>
      <c r="J108" s="67">
        <f t="shared" si="2"/>
        <v>0.22708333333333322</v>
      </c>
      <c r="K108" s="67">
        <f t="shared" si="2"/>
        <v>293.79979166666675</v>
      </c>
      <c r="L108" s="67">
        <f t="shared" si="2"/>
        <v>26.322291666666668</v>
      </c>
      <c r="M108" s="67">
        <f t="shared" si="2"/>
        <v>100.51364583333329</v>
      </c>
      <c r="N108" s="67">
        <f t="shared" si="2"/>
        <v>151.33854166666669</v>
      </c>
      <c r="O108" s="67">
        <f t="shared" si="2"/>
        <v>7.7083333333333337E-2</v>
      </c>
      <c r="P108" s="67">
        <f t="shared" si="2"/>
        <v>0.53229166666666672</v>
      </c>
      <c r="Q108" s="67">
        <f t="shared" si="2"/>
        <v>9.417812499999993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0.11064043033431041</v>
      </c>
      <c r="C109" s="67">
        <f t="shared" ref="C109:Q109" si="3">STDEV(C9:C104)</f>
        <v>0.16153509069646693</v>
      </c>
      <c r="D109" s="67">
        <f t="shared" si="3"/>
        <v>0.16914322281593605</v>
      </c>
      <c r="E109" s="67">
        <f t="shared" si="3"/>
        <v>0.39443758539460938</v>
      </c>
      <c r="F109" s="67">
        <f t="shared" si="3"/>
        <v>1.3439750505137771</v>
      </c>
      <c r="G109" s="67">
        <f t="shared" si="3"/>
        <v>35.44203754374449</v>
      </c>
      <c r="H109" s="67">
        <f t="shared" si="3"/>
        <v>7.7647613631731804</v>
      </c>
      <c r="I109" s="67">
        <f t="shared" si="3"/>
        <v>1.2155479550969397</v>
      </c>
      <c r="J109" s="67">
        <f t="shared" si="3"/>
        <v>0.12367969383317019</v>
      </c>
      <c r="K109" s="67">
        <f t="shared" si="3"/>
        <v>88.884313931728087</v>
      </c>
      <c r="L109" s="67">
        <f t="shared" si="3"/>
        <v>1.9711991964106075</v>
      </c>
      <c r="M109" s="67">
        <f t="shared" si="3"/>
        <v>4.5094959736542073</v>
      </c>
      <c r="N109" s="67">
        <f t="shared" si="3"/>
        <v>99.521112671254585</v>
      </c>
      <c r="O109" s="67">
        <f t="shared" si="3"/>
        <v>0.30209066839249527</v>
      </c>
      <c r="P109" s="67">
        <f t="shared" si="3"/>
        <v>0.21548222135317385</v>
      </c>
      <c r="Q109" s="67">
        <f t="shared" si="3"/>
        <v>0.20483216814080538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1109</v>
      </c>
      <c r="B9" s="64">
        <v>8.16</v>
      </c>
      <c r="C9" s="64">
        <v>3.14</v>
      </c>
      <c r="D9" s="64">
        <v>11.95</v>
      </c>
      <c r="E9" s="64">
        <v>4.7300000000000004</v>
      </c>
      <c r="F9" s="64">
        <v>3.2</v>
      </c>
      <c r="G9" s="64">
        <v>122.38</v>
      </c>
      <c r="H9" s="64">
        <v>41.7</v>
      </c>
      <c r="I9" s="64">
        <v>5.82</v>
      </c>
      <c r="J9" s="64">
        <v>0.17</v>
      </c>
      <c r="K9" s="64">
        <v>247.22</v>
      </c>
      <c r="L9" s="64">
        <v>25.95</v>
      </c>
      <c r="M9" s="64">
        <v>103.6</v>
      </c>
      <c r="N9" s="64">
        <v>63.7</v>
      </c>
      <c r="O9" s="64">
        <v>0</v>
      </c>
      <c r="P9" s="64">
        <v>0.81</v>
      </c>
      <c r="Q9" s="64">
        <v>9.86</v>
      </c>
      <c r="R9" s="198"/>
      <c r="S9" s="198"/>
      <c r="T9" s="198"/>
      <c r="U9" s="198"/>
    </row>
    <row r="10" spans="1:21" s="12" customFormat="1" x14ac:dyDescent="0.25">
      <c r="A10" s="248" t="s">
        <v>1110</v>
      </c>
      <c r="B10" s="64">
        <v>8.15</v>
      </c>
      <c r="C10" s="64">
        <v>3.17</v>
      </c>
      <c r="D10" s="64">
        <v>11.96</v>
      </c>
      <c r="E10" s="64">
        <v>4.54</v>
      </c>
      <c r="F10" s="64">
        <v>3.32</v>
      </c>
      <c r="G10" s="64">
        <v>122.38</v>
      </c>
      <c r="H10" s="64">
        <v>41.7</v>
      </c>
      <c r="I10" s="64">
        <v>5.91</v>
      </c>
      <c r="J10" s="64">
        <v>0.19</v>
      </c>
      <c r="K10" s="64">
        <v>247.03</v>
      </c>
      <c r="L10" s="64">
        <v>25.9</v>
      </c>
      <c r="M10" s="64">
        <v>103.29</v>
      </c>
      <c r="N10" s="64">
        <v>63.6</v>
      </c>
      <c r="O10" s="64">
        <v>0</v>
      </c>
      <c r="P10" s="64">
        <v>0.84</v>
      </c>
      <c r="Q10" s="64">
        <v>9.84</v>
      </c>
      <c r="R10" s="198"/>
      <c r="S10" s="198"/>
      <c r="T10" s="198"/>
      <c r="U10" s="198"/>
    </row>
    <row r="11" spans="1:21" s="12" customFormat="1" x14ac:dyDescent="0.25">
      <c r="A11" s="248" t="s">
        <v>1111</v>
      </c>
      <c r="B11" s="64">
        <v>8.16</v>
      </c>
      <c r="C11" s="64">
        <v>3.11</v>
      </c>
      <c r="D11" s="64">
        <v>11.95</v>
      </c>
      <c r="E11" s="64">
        <v>4.21</v>
      </c>
      <c r="F11" s="64">
        <v>3.16</v>
      </c>
      <c r="G11" s="64">
        <v>116.38</v>
      </c>
      <c r="H11" s="64">
        <v>33.83</v>
      </c>
      <c r="I11" s="64">
        <v>6.03</v>
      </c>
      <c r="J11" s="64">
        <v>0.11</v>
      </c>
      <c r="K11" s="64">
        <v>203.72</v>
      </c>
      <c r="L11" s="64">
        <v>25.93</v>
      </c>
      <c r="M11" s="64">
        <v>103.3</v>
      </c>
      <c r="N11" s="64">
        <v>63.3</v>
      </c>
      <c r="O11" s="64">
        <v>0</v>
      </c>
      <c r="P11" s="64">
        <v>0.82</v>
      </c>
      <c r="Q11" s="64">
        <v>9.81</v>
      </c>
      <c r="R11" s="198"/>
      <c r="S11" s="198"/>
      <c r="T11" s="198"/>
      <c r="U11" s="198"/>
    </row>
    <row r="12" spans="1:21" s="12" customFormat="1" x14ac:dyDescent="0.25">
      <c r="A12" s="248" t="s">
        <v>1112</v>
      </c>
      <c r="B12" s="64">
        <v>8.11</v>
      </c>
      <c r="C12" s="64">
        <v>3.08</v>
      </c>
      <c r="D12" s="64">
        <v>11.89</v>
      </c>
      <c r="E12" s="64">
        <v>4.5199999999999996</v>
      </c>
      <c r="F12" s="64">
        <v>2.81</v>
      </c>
      <c r="G12" s="64">
        <v>114.88</v>
      </c>
      <c r="H12" s="64">
        <v>31.86</v>
      </c>
      <c r="I12" s="64">
        <v>6.04</v>
      </c>
      <c r="J12" s="64">
        <v>0.17</v>
      </c>
      <c r="K12" s="64">
        <v>234.69</v>
      </c>
      <c r="L12" s="64">
        <v>25.89</v>
      </c>
      <c r="M12" s="64">
        <v>103.53</v>
      </c>
      <c r="N12" s="64">
        <v>63.6</v>
      </c>
      <c r="O12" s="64">
        <v>0</v>
      </c>
      <c r="P12" s="64">
        <v>0.8</v>
      </c>
      <c r="Q12" s="64">
        <v>9.7899999999999991</v>
      </c>
      <c r="R12" s="198"/>
      <c r="S12" s="198"/>
      <c r="T12" s="198"/>
      <c r="U12" s="198"/>
    </row>
    <row r="13" spans="1:21" s="12" customFormat="1" x14ac:dyDescent="0.25">
      <c r="A13" s="248" t="s">
        <v>1113</v>
      </c>
      <c r="B13" s="64">
        <v>8.1199999999999992</v>
      </c>
      <c r="C13" s="64">
        <v>3.16</v>
      </c>
      <c r="D13" s="64">
        <v>11.94</v>
      </c>
      <c r="E13" s="64">
        <v>4.78</v>
      </c>
      <c r="F13" s="64">
        <v>4.17</v>
      </c>
      <c r="G13" s="64">
        <v>114.88</v>
      </c>
      <c r="H13" s="64">
        <v>31.86</v>
      </c>
      <c r="I13" s="64">
        <v>6.07</v>
      </c>
      <c r="J13" s="64">
        <v>0.06</v>
      </c>
      <c r="K13" s="64">
        <v>342.01</v>
      </c>
      <c r="L13" s="64">
        <v>25.82</v>
      </c>
      <c r="M13" s="64">
        <v>103.44</v>
      </c>
      <c r="N13" s="64">
        <v>63.5</v>
      </c>
      <c r="O13" s="64">
        <v>0</v>
      </c>
      <c r="P13" s="64">
        <v>0.79</v>
      </c>
      <c r="Q13" s="64">
        <v>9.7899999999999991</v>
      </c>
      <c r="R13" s="198"/>
      <c r="S13" s="198"/>
      <c r="T13" s="198"/>
      <c r="U13" s="198"/>
    </row>
    <row r="14" spans="1:21" s="12" customFormat="1" x14ac:dyDescent="0.25">
      <c r="A14" s="248" t="s">
        <v>1114</v>
      </c>
      <c r="B14" s="64">
        <v>8.06</v>
      </c>
      <c r="C14" s="64">
        <v>3.16</v>
      </c>
      <c r="D14" s="64">
        <v>11.88</v>
      </c>
      <c r="E14" s="64">
        <v>4.83</v>
      </c>
      <c r="F14" s="64">
        <v>3.09</v>
      </c>
      <c r="G14" s="64">
        <v>114.88</v>
      </c>
      <c r="H14" s="64">
        <v>31.86</v>
      </c>
      <c r="I14" s="64">
        <v>6.11</v>
      </c>
      <c r="J14" s="64">
        <v>0.17</v>
      </c>
      <c r="K14" s="64">
        <v>233.5</v>
      </c>
      <c r="L14" s="64">
        <v>25.78</v>
      </c>
      <c r="M14" s="64">
        <v>103.53</v>
      </c>
      <c r="N14" s="64">
        <v>63.3</v>
      </c>
      <c r="O14" s="64">
        <v>0</v>
      </c>
      <c r="P14" s="64">
        <v>0.76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48" t="s">
        <v>1115</v>
      </c>
      <c r="B15" s="64">
        <v>8.5</v>
      </c>
      <c r="C15" s="64">
        <v>3.8</v>
      </c>
      <c r="D15" s="64">
        <v>12.57</v>
      </c>
      <c r="E15" s="64">
        <v>5.07</v>
      </c>
      <c r="F15" s="64">
        <v>3.53</v>
      </c>
      <c r="G15" s="64">
        <v>108.03</v>
      </c>
      <c r="H15" s="64">
        <v>33.39</v>
      </c>
      <c r="I15" s="64">
        <v>6.01</v>
      </c>
      <c r="J15" s="64">
        <v>0.18</v>
      </c>
      <c r="K15" s="64">
        <v>233.49</v>
      </c>
      <c r="L15" s="64">
        <v>25.79</v>
      </c>
      <c r="M15" s="64">
        <v>103.67</v>
      </c>
      <c r="N15" s="64">
        <v>63.3</v>
      </c>
      <c r="O15" s="64">
        <v>0</v>
      </c>
      <c r="P15" s="64">
        <v>0.75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48" t="s">
        <v>1116</v>
      </c>
      <c r="B16" s="64">
        <v>8.5500000000000007</v>
      </c>
      <c r="C16" s="64">
        <v>3.87</v>
      </c>
      <c r="D16" s="64">
        <v>12.65</v>
      </c>
      <c r="E16" s="64">
        <v>4.8499999999999996</v>
      </c>
      <c r="F16" s="64">
        <v>3.26</v>
      </c>
      <c r="G16" s="64">
        <v>106.32</v>
      </c>
      <c r="H16" s="64">
        <v>33.770000000000003</v>
      </c>
      <c r="I16" s="64">
        <v>5.91</v>
      </c>
      <c r="J16" s="64">
        <v>7.0000000000000007E-2</v>
      </c>
      <c r="K16" s="64">
        <v>271.19</v>
      </c>
      <c r="L16" s="64">
        <v>25.9</v>
      </c>
      <c r="M16" s="64">
        <v>103.85</v>
      </c>
      <c r="N16" s="64">
        <v>63.3</v>
      </c>
      <c r="O16" s="64">
        <v>0</v>
      </c>
      <c r="P16" s="64">
        <v>0.72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48" t="s">
        <v>1117</v>
      </c>
      <c r="B17" s="64">
        <v>8.18</v>
      </c>
      <c r="C17" s="64">
        <v>3.3</v>
      </c>
      <c r="D17" s="64">
        <v>12.06</v>
      </c>
      <c r="E17" s="64">
        <v>4.71</v>
      </c>
      <c r="F17" s="64">
        <v>3.28</v>
      </c>
      <c r="G17" s="64">
        <v>106.32</v>
      </c>
      <c r="H17" s="64">
        <v>33.770000000000003</v>
      </c>
      <c r="I17" s="64">
        <v>5.85</v>
      </c>
      <c r="J17" s="64">
        <v>0.02</v>
      </c>
      <c r="K17" s="64">
        <v>98.03</v>
      </c>
      <c r="L17" s="64">
        <v>25.96</v>
      </c>
      <c r="M17" s="64">
        <v>102.92</v>
      </c>
      <c r="N17" s="64">
        <v>63.3</v>
      </c>
      <c r="O17" s="64">
        <v>0</v>
      </c>
      <c r="P17" s="64">
        <v>0.7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48" t="s">
        <v>1118</v>
      </c>
      <c r="B18" s="64">
        <v>8.15</v>
      </c>
      <c r="C18" s="64">
        <v>3.21</v>
      </c>
      <c r="D18" s="64">
        <v>11.99</v>
      </c>
      <c r="E18" s="64">
        <v>4.68</v>
      </c>
      <c r="F18" s="64">
        <v>3.89</v>
      </c>
      <c r="G18" s="64">
        <v>106.32</v>
      </c>
      <c r="H18" s="64">
        <v>33.770000000000003</v>
      </c>
      <c r="I18" s="64">
        <v>5.71</v>
      </c>
      <c r="J18" s="64">
        <v>0.02</v>
      </c>
      <c r="K18" s="64">
        <v>141.38</v>
      </c>
      <c r="L18" s="64">
        <v>25.87</v>
      </c>
      <c r="M18" s="64">
        <v>103.5</v>
      </c>
      <c r="N18" s="64">
        <v>63.3</v>
      </c>
      <c r="O18" s="64">
        <v>0</v>
      </c>
      <c r="P18" s="64">
        <v>0.67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48" t="s">
        <v>1119</v>
      </c>
      <c r="B19" s="64">
        <v>8.0500000000000007</v>
      </c>
      <c r="C19" s="64">
        <v>3.07</v>
      </c>
      <c r="D19" s="64">
        <v>11.83</v>
      </c>
      <c r="E19" s="64">
        <v>4.5</v>
      </c>
      <c r="F19" s="64">
        <v>3.45</v>
      </c>
      <c r="G19" s="64">
        <v>90.94</v>
      </c>
      <c r="H19" s="212" t="s">
        <v>42</v>
      </c>
      <c r="I19" s="64">
        <v>5.53</v>
      </c>
      <c r="J19" s="64">
        <v>0.16</v>
      </c>
      <c r="K19" s="64">
        <v>306.81</v>
      </c>
      <c r="L19" s="64">
        <v>25.86</v>
      </c>
      <c r="M19" s="64">
        <v>103.15</v>
      </c>
      <c r="N19" s="64">
        <v>63.3</v>
      </c>
      <c r="O19" s="64">
        <v>0</v>
      </c>
      <c r="P19" s="64">
        <v>0.66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48" t="s">
        <v>1120</v>
      </c>
      <c r="B20" s="64">
        <v>8.02</v>
      </c>
      <c r="C20" s="64">
        <v>3.06</v>
      </c>
      <c r="D20" s="64">
        <v>11.8</v>
      </c>
      <c r="E20" s="64">
        <v>2.6</v>
      </c>
      <c r="F20" s="64">
        <v>3.32</v>
      </c>
      <c r="G20" s="64">
        <v>87.09</v>
      </c>
      <c r="H20" s="212" t="s">
        <v>42</v>
      </c>
      <c r="I20" s="64">
        <v>5.49</v>
      </c>
      <c r="J20" s="64">
        <v>0.19</v>
      </c>
      <c r="K20" s="64">
        <v>306.81</v>
      </c>
      <c r="L20" s="64">
        <v>25.87</v>
      </c>
      <c r="M20" s="64">
        <v>103.43</v>
      </c>
      <c r="N20" s="64">
        <v>63.3</v>
      </c>
      <c r="O20" s="64">
        <v>0</v>
      </c>
      <c r="P20" s="64">
        <v>0.64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48" t="s">
        <v>1121</v>
      </c>
      <c r="B21" s="64">
        <v>8.02</v>
      </c>
      <c r="C21" s="64">
        <v>3.09</v>
      </c>
      <c r="D21" s="64">
        <v>11.82</v>
      </c>
      <c r="E21" s="64">
        <v>2.9</v>
      </c>
      <c r="F21" s="64">
        <v>3.8</v>
      </c>
      <c r="G21" s="64">
        <v>87.09</v>
      </c>
      <c r="H21" s="212" t="s">
        <v>42</v>
      </c>
      <c r="I21" s="64">
        <v>5.47</v>
      </c>
      <c r="J21" s="64">
        <v>0.09</v>
      </c>
      <c r="K21" s="64">
        <v>311.93</v>
      </c>
      <c r="L21" s="64">
        <v>25.86</v>
      </c>
      <c r="M21" s="64">
        <v>103.64</v>
      </c>
      <c r="N21" s="64">
        <v>63.3</v>
      </c>
      <c r="O21" s="64">
        <v>0</v>
      </c>
      <c r="P21" s="64">
        <v>0.63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48" t="s">
        <v>1122</v>
      </c>
      <c r="B22" s="64">
        <v>8.0399999999999991</v>
      </c>
      <c r="C22" s="64">
        <v>3.08</v>
      </c>
      <c r="D22" s="64">
        <v>11.83</v>
      </c>
      <c r="E22" s="64">
        <v>2.63</v>
      </c>
      <c r="F22" s="64">
        <v>3.23</v>
      </c>
      <c r="G22" s="64">
        <v>87.09</v>
      </c>
      <c r="H22" s="212" t="s">
        <v>42</v>
      </c>
      <c r="I22" s="64">
        <v>5.43</v>
      </c>
      <c r="J22" s="64">
        <v>0.12</v>
      </c>
      <c r="K22" s="64">
        <v>68.16</v>
      </c>
      <c r="L22" s="64">
        <v>25.89</v>
      </c>
      <c r="M22" s="64">
        <v>103.43</v>
      </c>
      <c r="N22" s="64">
        <v>63.3</v>
      </c>
      <c r="O22" s="64">
        <v>0</v>
      </c>
      <c r="P22" s="64">
        <v>0.61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48" t="s">
        <v>1123</v>
      </c>
      <c r="B23" s="64">
        <v>8.0399999999999991</v>
      </c>
      <c r="C23" s="64">
        <v>3.05</v>
      </c>
      <c r="D23" s="64">
        <v>11.82</v>
      </c>
      <c r="E23" s="64">
        <v>2.48</v>
      </c>
      <c r="F23" s="64">
        <v>3.36</v>
      </c>
      <c r="G23" s="64">
        <v>81.47</v>
      </c>
      <c r="H23" s="212" t="s">
        <v>42</v>
      </c>
      <c r="I23" s="64">
        <v>5.37</v>
      </c>
      <c r="J23" s="64">
        <v>0.08</v>
      </c>
      <c r="K23" s="64">
        <v>310.75</v>
      </c>
      <c r="L23" s="64">
        <v>25.92</v>
      </c>
      <c r="M23" s="64">
        <v>103.6</v>
      </c>
      <c r="N23" s="64">
        <v>63.3</v>
      </c>
      <c r="O23" s="64">
        <v>0</v>
      </c>
      <c r="P23" s="64">
        <v>0.57999999999999996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48" t="s">
        <v>1124</v>
      </c>
      <c r="B24" s="64">
        <v>8.09</v>
      </c>
      <c r="C24" s="64">
        <v>3.13</v>
      </c>
      <c r="D24" s="64">
        <v>11.89</v>
      </c>
      <c r="E24" s="64">
        <v>2.5099999999999998</v>
      </c>
      <c r="F24" s="64">
        <v>3.62</v>
      </c>
      <c r="G24" s="64">
        <v>80.06</v>
      </c>
      <c r="H24" s="64">
        <v>26.86</v>
      </c>
      <c r="I24" s="64">
        <v>5.25</v>
      </c>
      <c r="J24" s="64">
        <v>0.11</v>
      </c>
      <c r="K24" s="64">
        <v>331.38</v>
      </c>
      <c r="L24" s="64">
        <v>26</v>
      </c>
      <c r="M24" s="64">
        <v>103.62</v>
      </c>
      <c r="N24" s="64">
        <v>63.5</v>
      </c>
      <c r="O24" s="64">
        <v>0</v>
      </c>
      <c r="P24" s="64">
        <v>0.56999999999999995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48" t="s">
        <v>1125</v>
      </c>
      <c r="B25" s="64">
        <v>8.14</v>
      </c>
      <c r="C25" s="64">
        <v>3.15</v>
      </c>
      <c r="D25" s="64">
        <v>11.95</v>
      </c>
      <c r="E25" s="64">
        <v>2.65</v>
      </c>
      <c r="F25" s="64">
        <v>3.45</v>
      </c>
      <c r="G25" s="64">
        <v>80.06</v>
      </c>
      <c r="H25" s="64">
        <v>26.86</v>
      </c>
      <c r="I25" s="64">
        <v>5.24</v>
      </c>
      <c r="J25" s="64">
        <v>0.14000000000000001</v>
      </c>
      <c r="K25" s="64">
        <v>348.58</v>
      </c>
      <c r="L25" s="64">
        <v>26</v>
      </c>
      <c r="M25" s="64">
        <v>103.84</v>
      </c>
      <c r="N25" s="64">
        <v>63.6</v>
      </c>
      <c r="O25" s="64">
        <v>0</v>
      </c>
      <c r="P25" s="64">
        <v>0.55000000000000004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48" t="s">
        <v>1126</v>
      </c>
      <c r="B26" s="64">
        <v>8.09</v>
      </c>
      <c r="C26" s="64">
        <v>3.08</v>
      </c>
      <c r="D26" s="64">
        <v>11.87</v>
      </c>
      <c r="E26" s="64">
        <v>2.73</v>
      </c>
      <c r="F26" s="64">
        <v>3.48</v>
      </c>
      <c r="G26" s="64">
        <v>80.06</v>
      </c>
      <c r="H26" s="64">
        <v>26.86</v>
      </c>
      <c r="I26" s="64">
        <v>5.15</v>
      </c>
      <c r="J26" s="64">
        <v>0.18</v>
      </c>
      <c r="K26" s="64">
        <v>314.52999999999997</v>
      </c>
      <c r="L26" s="64">
        <v>25.92</v>
      </c>
      <c r="M26" s="64">
        <v>104.11</v>
      </c>
      <c r="N26" s="64">
        <v>63.6</v>
      </c>
      <c r="O26" s="64">
        <v>0</v>
      </c>
      <c r="P26" s="64">
        <v>0.53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48" t="s">
        <v>1127</v>
      </c>
      <c r="B27" s="64">
        <v>8.0399999999999991</v>
      </c>
      <c r="C27" s="64">
        <v>3</v>
      </c>
      <c r="D27" s="64">
        <v>11.79</v>
      </c>
      <c r="E27" s="64">
        <v>2.86</v>
      </c>
      <c r="F27" s="64">
        <v>3.4</v>
      </c>
      <c r="G27" s="64">
        <v>76.180000000000007</v>
      </c>
      <c r="H27" s="64">
        <v>23.42</v>
      </c>
      <c r="I27" s="64">
        <v>5.08</v>
      </c>
      <c r="J27" s="64">
        <v>0.19</v>
      </c>
      <c r="K27" s="64">
        <v>329.92</v>
      </c>
      <c r="L27" s="64">
        <v>25.85</v>
      </c>
      <c r="M27" s="64">
        <v>103.79</v>
      </c>
      <c r="N27" s="64">
        <v>63.7</v>
      </c>
      <c r="O27" s="64">
        <v>0</v>
      </c>
      <c r="P27" s="64">
        <v>0.52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48" t="s">
        <v>1128</v>
      </c>
      <c r="B28" s="64">
        <v>8.0500000000000007</v>
      </c>
      <c r="C28" s="64">
        <v>3.01</v>
      </c>
      <c r="D28" s="64">
        <v>11.8</v>
      </c>
      <c r="E28" s="64">
        <v>2.77</v>
      </c>
      <c r="F28" s="64">
        <v>3.38</v>
      </c>
      <c r="G28" s="64">
        <v>75.209999999999994</v>
      </c>
      <c r="H28" s="64">
        <v>22.56</v>
      </c>
      <c r="I28" s="64">
        <v>4.99</v>
      </c>
      <c r="J28" s="64">
        <v>0.17</v>
      </c>
      <c r="K28" s="64">
        <v>341.55</v>
      </c>
      <c r="L28" s="64">
        <v>25.86</v>
      </c>
      <c r="M28" s="64">
        <v>103.34</v>
      </c>
      <c r="N28" s="64">
        <v>63.6</v>
      </c>
      <c r="O28" s="64">
        <v>0</v>
      </c>
      <c r="P28" s="64">
        <v>0.49</v>
      </c>
      <c r="Q28" s="64">
        <v>9.5500000000000007</v>
      </c>
      <c r="R28" s="198"/>
      <c r="S28" s="198"/>
      <c r="T28" s="198"/>
      <c r="U28" s="198"/>
    </row>
    <row r="29" spans="1:21" s="12" customFormat="1" x14ac:dyDescent="0.25">
      <c r="A29" s="248" t="s">
        <v>1129</v>
      </c>
      <c r="B29" s="64">
        <v>8.1</v>
      </c>
      <c r="C29" s="64">
        <v>3.08</v>
      </c>
      <c r="D29" s="64">
        <v>11.88</v>
      </c>
      <c r="E29" s="64">
        <v>2.68</v>
      </c>
      <c r="F29" s="64">
        <v>3.43</v>
      </c>
      <c r="G29" s="64">
        <v>75.209999999999994</v>
      </c>
      <c r="H29" s="64">
        <v>22.56</v>
      </c>
      <c r="I29" s="64">
        <v>4.88</v>
      </c>
      <c r="J29" s="64">
        <v>0.2</v>
      </c>
      <c r="K29" s="64">
        <v>346.8</v>
      </c>
      <c r="L29" s="64">
        <v>25.78</v>
      </c>
      <c r="M29" s="64">
        <v>103.02</v>
      </c>
      <c r="N29" s="64">
        <v>63.8</v>
      </c>
      <c r="O29" s="64">
        <v>0</v>
      </c>
      <c r="P29" s="64">
        <v>0.47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48" t="s">
        <v>1130</v>
      </c>
      <c r="B30" s="64">
        <v>8.07</v>
      </c>
      <c r="C30" s="64">
        <v>3.04</v>
      </c>
      <c r="D30" s="64">
        <v>11.83</v>
      </c>
      <c r="E30" s="64">
        <v>2.89</v>
      </c>
      <c r="F30" s="64">
        <v>3.31</v>
      </c>
      <c r="G30" s="64">
        <v>75.209999999999994</v>
      </c>
      <c r="H30" s="64">
        <v>22.56</v>
      </c>
      <c r="I30" s="64">
        <v>4.6100000000000003</v>
      </c>
      <c r="J30" s="64">
        <v>0.21</v>
      </c>
      <c r="K30" s="64">
        <v>338.05</v>
      </c>
      <c r="L30" s="64">
        <v>25.7</v>
      </c>
      <c r="M30" s="64">
        <v>103.05</v>
      </c>
      <c r="N30" s="64">
        <v>63.8</v>
      </c>
      <c r="O30" s="64">
        <v>0</v>
      </c>
      <c r="P30" s="64">
        <v>0.46</v>
      </c>
      <c r="Q30" s="64">
        <v>9.48</v>
      </c>
      <c r="R30" s="198"/>
      <c r="S30" s="198"/>
      <c r="T30" s="198"/>
      <c r="U30" s="198"/>
    </row>
    <row r="31" spans="1:21" s="12" customFormat="1" x14ac:dyDescent="0.25">
      <c r="A31" s="248" t="s">
        <v>1131</v>
      </c>
      <c r="B31" s="64">
        <v>8.0299999999999994</v>
      </c>
      <c r="C31" s="64">
        <v>3.03</v>
      </c>
      <c r="D31" s="64">
        <v>11.79</v>
      </c>
      <c r="E31" s="64">
        <v>2.67</v>
      </c>
      <c r="F31" s="64">
        <v>4.1100000000000003</v>
      </c>
      <c r="G31" s="64">
        <v>67.55</v>
      </c>
      <c r="H31" s="64">
        <v>17.18</v>
      </c>
      <c r="I31" s="64">
        <v>4.3499999999999996</v>
      </c>
      <c r="J31" s="64">
        <v>0.21</v>
      </c>
      <c r="K31" s="64">
        <v>347.66</v>
      </c>
      <c r="L31" s="64">
        <v>25.54</v>
      </c>
      <c r="M31" s="64">
        <v>103.84</v>
      </c>
      <c r="N31" s="64">
        <v>64.900000000000006</v>
      </c>
      <c r="O31" s="64">
        <v>0</v>
      </c>
      <c r="P31" s="64">
        <v>0.45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48" t="s">
        <v>1132</v>
      </c>
      <c r="B32" s="64">
        <v>8.02</v>
      </c>
      <c r="C32" s="64">
        <v>3.03</v>
      </c>
      <c r="D32" s="64">
        <v>11.79</v>
      </c>
      <c r="E32" s="64">
        <v>3.08</v>
      </c>
      <c r="F32" s="64">
        <v>3.86</v>
      </c>
      <c r="G32" s="64">
        <v>65.63</v>
      </c>
      <c r="H32" s="64">
        <v>15.84</v>
      </c>
      <c r="I32" s="64">
        <v>4.2</v>
      </c>
      <c r="J32" s="64">
        <v>0.18</v>
      </c>
      <c r="K32" s="64">
        <v>342.44</v>
      </c>
      <c r="L32" s="64">
        <v>25.49</v>
      </c>
      <c r="M32" s="64">
        <v>102.59</v>
      </c>
      <c r="N32" s="64">
        <v>67.8</v>
      </c>
      <c r="O32" s="64">
        <v>0</v>
      </c>
      <c r="P32" s="64">
        <v>0.44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48" t="s">
        <v>1133</v>
      </c>
      <c r="B33" s="64">
        <v>8.01</v>
      </c>
      <c r="C33" s="64">
        <v>3.06</v>
      </c>
      <c r="D33" s="64">
        <v>11.79</v>
      </c>
      <c r="E33" s="64">
        <v>3.09</v>
      </c>
      <c r="F33" s="64">
        <v>2.44</v>
      </c>
      <c r="G33" s="64">
        <v>65.63</v>
      </c>
      <c r="H33" s="64">
        <v>15.84</v>
      </c>
      <c r="I33" s="64">
        <v>4.07</v>
      </c>
      <c r="J33" s="64">
        <v>0.13</v>
      </c>
      <c r="K33" s="64">
        <v>332.55</v>
      </c>
      <c r="L33" s="64">
        <v>25.43</v>
      </c>
      <c r="M33" s="64">
        <v>102.76</v>
      </c>
      <c r="N33" s="64">
        <v>73</v>
      </c>
      <c r="O33" s="64">
        <v>0</v>
      </c>
      <c r="P33" s="64">
        <v>0.43</v>
      </c>
      <c r="Q33" s="64">
        <v>9.33</v>
      </c>
      <c r="R33" s="198"/>
      <c r="S33" s="198"/>
      <c r="T33" s="198"/>
      <c r="U33" s="198"/>
    </row>
    <row r="34" spans="1:21" s="12" customFormat="1" x14ac:dyDescent="0.25">
      <c r="A34" s="248" t="s">
        <v>1134</v>
      </c>
      <c r="B34" s="64">
        <v>8.0500000000000007</v>
      </c>
      <c r="C34" s="64">
        <v>3.12</v>
      </c>
      <c r="D34" s="64">
        <v>11.86</v>
      </c>
      <c r="E34" s="64">
        <v>2.5499999999999998</v>
      </c>
      <c r="F34" s="64">
        <v>4.58</v>
      </c>
      <c r="G34" s="64">
        <v>65.63</v>
      </c>
      <c r="H34" s="64">
        <v>15.84</v>
      </c>
      <c r="I34" s="64">
        <v>3.94</v>
      </c>
      <c r="J34" s="64">
        <v>0.17</v>
      </c>
      <c r="K34" s="64">
        <v>344.4</v>
      </c>
      <c r="L34" s="64">
        <v>25.47</v>
      </c>
      <c r="M34" s="64">
        <v>102.99</v>
      </c>
      <c r="N34" s="64">
        <v>91.4</v>
      </c>
      <c r="O34" s="64">
        <v>0</v>
      </c>
      <c r="P34" s="64">
        <v>0.46</v>
      </c>
      <c r="Q34" s="64">
        <v>9.3800000000000008</v>
      </c>
      <c r="R34" s="198"/>
      <c r="S34" s="198"/>
      <c r="T34" s="198"/>
      <c r="U34" s="198"/>
    </row>
    <row r="35" spans="1:21" s="12" customFormat="1" x14ac:dyDescent="0.25">
      <c r="A35" s="248" t="s">
        <v>1135</v>
      </c>
      <c r="B35" s="64">
        <v>8.1199999999999992</v>
      </c>
      <c r="C35" s="64">
        <v>3.26</v>
      </c>
      <c r="D35" s="64">
        <v>11.99</v>
      </c>
      <c r="E35" s="64">
        <v>2.33</v>
      </c>
      <c r="F35" s="64">
        <v>2.15</v>
      </c>
      <c r="G35" s="64">
        <v>62.22</v>
      </c>
      <c r="H35" s="64">
        <v>20.29</v>
      </c>
      <c r="I35" s="64">
        <v>3.69</v>
      </c>
      <c r="J35" s="64">
        <v>0.21</v>
      </c>
      <c r="K35" s="64">
        <v>340.86</v>
      </c>
      <c r="L35" s="64">
        <v>25.59</v>
      </c>
      <c r="M35" s="64">
        <v>102.88</v>
      </c>
      <c r="N35" s="64">
        <v>134.4</v>
      </c>
      <c r="O35" s="64">
        <v>0</v>
      </c>
      <c r="P35" s="64">
        <v>0.44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48" t="s">
        <v>1136</v>
      </c>
      <c r="B36" s="64">
        <v>8.06</v>
      </c>
      <c r="C36" s="64">
        <v>3.18</v>
      </c>
      <c r="D36" s="64">
        <v>11.9</v>
      </c>
      <c r="E36" s="64">
        <v>4.42</v>
      </c>
      <c r="F36" s="64">
        <v>3.6</v>
      </c>
      <c r="G36" s="64">
        <v>61.36</v>
      </c>
      <c r="H36" s="64">
        <v>21.4</v>
      </c>
      <c r="I36" s="64">
        <v>3.66</v>
      </c>
      <c r="J36" s="64">
        <v>0.12</v>
      </c>
      <c r="K36" s="64">
        <v>18.899999999999999</v>
      </c>
      <c r="L36" s="64">
        <v>26.28</v>
      </c>
      <c r="M36" s="64">
        <v>102.39</v>
      </c>
      <c r="N36" s="64">
        <v>213.7</v>
      </c>
      <c r="O36" s="64">
        <v>0</v>
      </c>
      <c r="P36" s="64">
        <v>0.43</v>
      </c>
      <c r="Q36" s="64">
        <v>9.35</v>
      </c>
      <c r="R36" s="198"/>
      <c r="S36" s="198"/>
      <c r="T36" s="198"/>
      <c r="U36" s="198"/>
    </row>
    <row r="37" spans="1:21" s="12" customFormat="1" x14ac:dyDescent="0.25">
      <c r="A37" s="248" t="s">
        <v>1137</v>
      </c>
      <c r="B37" s="64">
        <v>8.01</v>
      </c>
      <c r="C37" s="64">
        <v>3.07</v>
      </c>
      <c r="D37" s="64">
        <v>11.8</v>
      </c>
      <c r="E37" s="64">
        <v>4.12</v>
      </c>
      <c r="F37" s="64">
        <v>3.55</v>
      </c>
      <c r="G37" s="64">
        <v>61.36</v>
      </c>
      <c r="H37" s="64">
        <v>21.4</v>
      </c>
      <c r="I37" s="64">
        <v>3.52</v>
      </c>
      <c r="J37" s="64">
        <v>0.19</v>
      </c>
      <c r="K37" s="64">
        <v>359.11</v>
      </c>
      <c r="L37" s="64">
        <v>27.17</v>
      </c>
      <c r="M37" s="64">
        <v>102.28</v>
      </c>
      <c r="N37" s="64">
        <v>258.5</v>
      </c>
      <c r="O37" s="64">
        <v>0</v>
      </c>
      <c r="P37" s="64">
        <v>0.44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48" t="s">
        <v>1138</v>
      </c>
      <c r="B38" s="64">
        <v>8</v>
      </c>
      <c r="C38" s="64">
        <v>3.03</v>
      </c>
      <c r="D38" s="64">
        <v>11.77</v>
      </c>
      <c r="E38" s="64">
        <v>4.09</v>
      </c>
      <c r="F38" s="64">
        <v>2.48</v>
      </c>
      <c r="G38" s="64">
        <v>61.36</v>
      </c>
      <c r="H38" s="64">
        <v>21.4</v>
      </c>
      <c r="I38" s="64">
        <v>3.48</v>
      </c>
      <c r="J38" s="64">
        <v>0.24</v>
      </c>
      <c r="K38" s="64">
        <v>3.6</v>
      </c>
      <c r="L38" s="64">
        <v>28.27</v>
      </c>
      <c r="M38" s="64">
        <v>100.54</v>
      </c>
      <c r="N38" s="64">
        <v>312.89999999999998</v>
      </c>
      <c r="O38" s="64">
        <v>0</v>
      </c>
      <c r="P38" s="64">
        <v>0.42</v>
      </c>
      <c r="Q38" s="64">
        <v>9.34</v>
      </c>
      <c r="R38" s="198"/>
      <c r="S38" s="198"/>
      <c r="T38" s="198"/>
      <c r="U38" s="198"/>
    </row>
    <row r="39" spans="1:21" s="12" customFormat="1" x14ac:dyDescent="0.25">
      <c r="A39" s="248" t="s">
        <v>1139</v>
      </c>
      <c r="B39" s="64">
        <v>8</v>
      </c>
      <c r="C39" s="64">
        <v>3.09</v>
      </c>
      <c r="D39" s="64">
        <v>11.81</v>
      </c>
      <c r="E39" s="64">
        <v>3.92</v>
      </c>
      <c r="F39" s="64">
        <v>3.76</v>
      </c>
      <c r="G39" s="64">
        <v>63.48</v>
      </c>
      <c r="H39" s="64">
        <v>47.41</v>
      </c>
      <c r="I39" s="64">
        <v>3.37</v>
      </c>
      <c r="J39" s="64">
        <v>0.3</v>
      </c>
      <c r="K39" s="64">
        <v>355.69</v>
      </c>
      <c r="L39" s="64">
        <v>29.16</v>
      </c>
      <c r="M39" s="64">
        <v>94.5</v>
      </c>
      <c r="N39" s="64">
        <v>391.9</v>
      </c>
      <c r="O39" s="64">
        <v>0</v>
      </c>
      <c r="P39" s="64">
        <v>0.43</v>
      </c>
      <c r="Q39" s="64">
        <v>9.36</v>
      </c>
      <c r="R39" s="198"/>
      <c r="S39" s="198"/>
      <c r="T39" s="198"/>
      <c r="U39" s="198"/>
    </row>
    <row r="40" spans="1:21" s="12" customFormat="1" x14ac:dyDescent="0.25">
      <c r="A40" s="248" t="s">
        <v>1140</v>
      </c>
      <c r="B40" s="64">
        <v>8.01</v>
      </c>
      <c r="C40" s="64">
        <v>3.11</v>
      </c>
      <c r="D40" s="64">
        <v>11.83</v>
      </c>
      <c r="E40" s="64">
        <v>4.21</v>
      </c>
      <c r="F40" s="64">
        <v>3.04</v>
      </c>
      <c r="G40" s="64">
        <v>64</v>
      </c>
      <c r="H40" s="64">
        <v>53.92</v>
      </c>
      <c r="I40" s="64">
        <v>3.12</v>
      </c>
      <c r="J40" s="64">
        <v>0.28999999999999998</v>
      </c>
      <c r="K40" s="64">
        <v>344</v>
      </c>
      <c r="L40" s="64">
        <v>29.21</v>
      </c>
      <c r="M40" s="64">
        <v>94.3</v>
      </c>
      <c r="N40" s="64">
        <v>458.1</v>
      </c>
      <c r="O40" s="64">
        <v>0</v>
      </c>
      <c r="P40" s="64">
        <v>0.45</v>
      </c>
      <c r="Q40" s="64">
        <v>9.42</v>
      </c>
      <c r="R40" s="198"/>
      <c r="S40" s="198"/>
      <c r="T40" s="198"/>
      <c r="U40" s="198"/>
    </row>
    <row r="41" spans="1:21" s="12" customFormat="1" x14ac:dyDescent="0.25">
      <c r="A41" s="248" t="s">
        <v>1141</v>
      </c>
      <c r="B41" s="64">
        <v>8.0399999999999991</v>
      </c>
      <c r="C41" s="64">
        <v>3.15</v>
      </c>
      <c r="D41" s="64">
        <v>11.87</v>
      </c>
      <c r="E41" s="64">
        <v>3.79</v>
      </c>
      <c r="F41" s="64">
        <v>2.81</v>
      </c>
      <c r="G41" s="64">
        <v>64</v>
      </c>
      <c r="H41" s="64">
        <v>53.92</v>
      </c>
      <c r="I41" s="64">
        <v>3.11</v>
      </c>
      <c r="J41" s="64">
        <v>0.25</v>
      </c>
      <c r="K41" s="64">
        <v>344.26</v>
      </c>
      <c r="L41" s="64">
        <v>31.4</v>
      </c>
      <c r="M41" s="64">
        <v>82.84</v>
      </c>
      <c r="N41" s="64">
        <v>520.5</v>
      </c>
      <c r="O41" s="64">
        <v>0</v>
      </c>
      <c r="P41" s="64">
        <v>0.45</v>
      </c>
      <c r="Q41" s="64">
        <v>9.35</v>
      </c>
      <c r="R41" s="198"/>
      <c r="S41" s="198"/>
      <c r="T41" s="198"/>
      <c r="U41" s="198"/>
    </row>
    <row r="42" spans="1:21" s="12" customFormat="1" x14ac:dyDescent="0.25">
      <c r="A42" s="248" t="s">
        <v>1142</v>
      </c>
      <c r="B42" s="64">
        <v>8.09</v>
      </c>
      <c r="C42" s="64">
        <v>3.24</v>
      </c>
      <c r="D42" s="64">
        <v>11.96</v>
      </c>
      <c r="E42" s="64">
        <v>3.62</v>
      </c>
      <c r="F42" s="64">
        <v>3.65</v>
      </c>
      <c r="G42" s="64">
        <v>64</v>
      </c>
      <c r="H42" s="64">
        <v>53.92</v>
      </c>
      <c r="I42" s="64">
        <v>3.09</v>
      </c>
      <c r="J42" s="64">
        <v>0.23</v>
      </c>
      <c r="K42" s="64">
        <v>353.37</v>
      </c>
      <c r="L42" s="64">
        <v>30.29</v>
      </c>
      <c r="M42" s="64">
        <v>87.42</v>
      </c>
      <c r="N42" s="64">
        <v>578.6</v>
      </c>
      <c r="O42" s="64">
        <v>0</v>
      </c>
      <c r="P42" s="64">
        <v>0.49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48" t="s">
        <v>1143</v>
      </c>
      <c r="B43" s="64">
        <v>8.0399999999999991</v>
      </c>
      <c r="C43" s="64">
        <v>3.12</v>
      </c>
      <c r="D43" s="64">
        <v>11.85</v>
      </c>
      <c r="E43" s="64">
        <v>4.16</v>
      </c>
      <c r="F43" s="64">
        <v>3.22</v>
      </c>
      <c r="G43" s="64">
        <v>71.11</v>
      </c>
      <c r="H43" s="64">
        <v>45.03</v>
      </c>
      <c r="I43" s="64">
        <v>3.07</v>
      </c>
      <c r="J43" s="64">
        <v>0.28999999999999998</v>
      </c>
      <c r="K43" s="64">
        <v>355.29</v>
      </c>
      <c r="L43" s="64">
        <v>30.5</v>
      </c>
      <c r="M43" s="64">
        <v>86.09</v>
      </c>
      <c r="N43" s="64">
        <v>615.79999999999995</v>
      </c>
      <c r="O43" s="64">
        <v>0</v>
      </c>
      <c r="P43" s="64">
        <v>0.52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48" t="s">
        <v>1144</v>
      </c>
      <c r="B44" s="64">
        <v>8.0299999999999994</v>
      </c>
      <c r="C44" s="64">
        <v>3.02</v>
      </c>
      <c r="D44" s="64">
        <v>11.79</v>
      </c>
      <c r="E44" s="64">
        <v>3.84</v>
      </c>
      <c r="F44" s="64">
        <v>3.36</v>
      </c>
      <c r="G44" s="64">
        <v>72.89</v>
      </c>
      <c r="H44" s="64">
        <v>42.81</v>
      </c>
      <c r="I44" s="64">
        <v>3.07</v>
      </c>
      <c r="J44" s="64">
        <v>0.28000000000000003</v>
      </c>
      <c r="K44" s="64">
        <v>1.37</v>
      </c>
      <c r="L44" s="64">
        <v>30.48</v>
      </c>
      <c r="M44" s="64">
        <v>84.77</v>
      </c>
      <c r="N44" s="64">
        <v>684.3</v>
      </c>
      <c r="O44" s="64">
        <v>0</v>
      </c>
      <c r="P44" s="64">
        <v>0.54</v>
      </c>
      <c r="Q44" s="64">
        <v>9.42</v>
      </c>
      <c r="R44" s="198"/>
      <c r="S44" s="198"/>
      <c r="T44" s="198"/>
      <c r="U44" s="198"/>
    </row>
    <row r="45" spans="1:21" s="12" customFormat="1" x14ac:dyDescent="0.25">
      <c r="A45" s="248" t="s">
        <v>1145</v>
      </c>
      <c r="B45" s="64">
        <v>8.06</v>
      </c>
      <c r="C45" s="64">
        <v>3.07</v>
      </c>
      <c r="D45" s="64">
        <v>11.84</v>
      </c>
      <c r="E45" s="64">
        <v>3.71</v>
      </c>
      <c r="F45" s="64">
        <v>3.48</v>
      </c>
      <c r="G45" s="64">
        <v>72.89</v>
      </c>
      <c r="H45" s="64">
        <v>42.81</v>
      </c>
      <c r="I45" s="64">
        <v>3.2</v>
      </c>
      <c r="J45" s="64">
        <v>0.26</v>
      </c>
      <c r="K45" s="64">
        <v>348.98</v>
      </c>
      <c r="L45" s="64">
        <v>30.3</v>
      </c>
      <c r="M45" s="64">
        <v>85.3</v>
      </c>
      <c r="N45" s="64">
        <v>732.2</v>
      </c>
      <c r="O45" s="64">
        <v>0</v>
      </c>
      <c r="P45" s="64">
        <v>0.56000000000000005</v>
      </c>
      <c r="Q45" s="64">
        <v>9.4499999999999993</v>
      </c>
      <c r="R45" s="198"/>
      <c r="S45" s="198"/>
      <c r="T45" s="198"/>
      <c r="U45" s="198"/>
    </row>
    <row r="46" spans="1:21" s="12" customFormat="1" x14ac:dyDescent="0.25">
      <c r="A46" s="248" t="s">
        <v>1146</v>
      </c>
      <c r="B46" s="64">
        <v>8.0299999999999994</v>
      </c>
      <c r="C46" s="64">
        <v>3.09</v>
      </c>
      <c r="D46" s="64">
        <v>11.83</v>
      </c>
      <c r="E46" s="64">
        <v>4.16</v>
      </c>
      <c r="F46" s="64">
        <v>3.68</v>
      </c>
      <c r="G46" s="64">
        <v>72.89</v>
      </c>
      <c r="H46" s="64">
        <v>42.81</v>
      </c>
      <c r="I46" s="64">
        <v>3.23</v>
      </c>
      <c r="J46" s="64">
        <v>0.19</v>
      </c>
      <c r="K46" s="64">
        <v>353.59</v>
      </c>
      <c r="L46" s="64">
        <v>30.37</v>
      </c>
      <c r="M46" s="64">
        <v>85.49</v>
      </c>
      <c r="N46" s="64">
        <v>596.20000000000005</v>
      </c>
      <c r="O46" s="64">
        <v>0</v>
      </c>
      <c r="P46" s="64">
        <v>0.57999999999999996</v>
      </c>
      <c r="Q46" s="64">
        <v>9.44</v>
      </c>
      <c r="R46" s="198"/>
      <c r="S46" s="198"/>
      <c r="T46" s="198"/>
      <c r="U46" s="198"/>
    </row>
    <row r="47" spans="1:21" s="12" customFormat="1" x14ac:dyDescent="0.25">
      <c r="A47" s="248" t="s">
        <v>1147</v>
      </c>
      <c r="B47" s="64">
        <v>8.02</v>
      </c>
      <c r="C47" s="64">
        <v>3.08</v>
      </c>
      <c r="D47" s="64">
        <v>11.81</v>
      </c>
      <c r="E47" s="64">
        <v>4.12</v>
      </c>
      <c r="F47" s="64">
        <v>3.74</v>
      </c>
      <c r="G47" s="64">
        <v>77.45</v>
      </c>
      <c r="H47" s="64">
        <v>12.67</v>
      </c>
      <c r="I47" s="64">
        <v>3.27</v>
      </c>
      <c r="J47" s="64">
        <v>0.16</v>
      </c>
      <c r="K47" s="64">
        <v>358.47</v>
      </c>
      <c r="L47" s="64">
        <v>29.89</v>
      </c>
      <c r="M47" s="64">
        <v>84.6</v>
      </c>
      <c r="N47" s="64">
        <v>599.6</v>
      </c>
      <c r="O47" s="64">
        <v>0</v>
      </c>
      <c r="P47" s="64">
        <v>0.57999999999999996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48" t="s">
        <v>1148</v>
      </c>
      <c r="B48" s="64">
        <v>8.0399999999999991</v>
      </c>
      <c r="C48" s="64">
        <v>3.09</v>
      </c>
      <c r="D48" s="64">
        <v>11.84</v>
      </c>
      <c r="E48" s="64">
        <v>3.95</v>
      </c>
      <c r="F48" s="64">
        <v>3.63</v>
      </c>
      <c r="G48" s="64">
        <v>78.59</v>
      </c>
      <c r="H48" s="64">
        <v>5.14</v>
      </c>
      <c r="I48" s="64">
        <v>3.39</v>
      </c>
      <c r="J48" s="64">
        <v>0.13</v>
      </c>
      <c r="K48" s="64">
        <v>46.51</v>
      </c>
      <c r="L48" s="64">
        <v>30.06</v>
      </c>
      <c r="M48" s="64">
        <v>84.78</v>
      </c>
      <c r="N48" s="64">
        <v>718.8</v>
      </c>
      <c r="O48" s="64">
        <v>0</v>
      </c>
      <c r="P48" s="64">
        <v>0.56999999999999995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48" t="s">
        <v>1149</v>
      </c>
      <c r="B49" s="64">
        <v>8.0500000000000007</v>
      </c>
      <c r="C49" s="64">
        <v>3.06</v>
      </c>
      <c r="D49" s="64">
        <v>11.83</v>
      </c>
      <c r="E49" s="64">
        <v>4.05</v>
      </c>
      <c r="F49" s="64">
        <v>4.33</v>
      </c>
      <c r="G49" s="64">
        <v>78.59</v>
      </c>
      <c r="H49" s="64">
        <v>5.14</v>
      </c>
      <c r="I49" s="64">
        <v>3.49</v>
      </c>
      <c r="J49" s="64">
        <v>0.16</v>
      </c>
      <c r="K49" s="64">
        <v>352.55</v>
      </c>
      <c r="L49" s="64">
        <v>30.88</v>
      </c>
      <c r="M49" s="64">
        <v>79.52</v>
      </c>
      <c r="N49" s="64">
        <v>879.4</v>
      </c>
      <c r="O49" s="64">
        <v>0</v>
      </c>
      <c r="P49" s="64">
        <v>0.56000000000000005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48" t="s">
        <v>1150</v>
      </c>
      <c r="B50" s="64">
        <v>8</v>
      </c>
      <c r="C50" s="64">
        <v>2.98</v>
      </c>
      <c r="D50" s="64">
        <v>11.74</v>
      </c>
      <c r="E50" s="64">
        <v>3.89</v>
      </c>
      <c r="F50" s="64">
        <v>4.78</v>
      </c>
      <c r="G50" s="64">
        <v>78.59</v>
      </c>
      <c r="H50" s="64">
        <v>5.14</v>
      </c>
      <c r="I50" s="64">
        <v>3.63</v>
      </c>
      <c r="J50" s="64">
        <v>0.01</v>
      </c>
      <c r="K50" s="64">
        <v>286.88</v>
      </c>
      <c r="L50" s="64">
        <v>30.58</v>
      </c>
      <c r="M50" s="64">
        <v>80.540000000000006</v>
      </c>
      <c r="N50" s="64">
        <v>949.8</v>
      </c>
      <c r="O50" s="64">
        <v>0</v>
      </c>
      <c r="P50" s="64">
        <v>0.55000000000000004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48" t="s">
        <v>1151</v>
      </c>
      <c r="B51" s="64">
        <v>7.97</v>
      </c>
      <c r="C51" s="64">
        <v>3</v>
      </c>
      <c r="D51" s="64">
        <v>11.73</v>
      </c>
      <c r="E51" s="64">
        <v>4.1399999999999997</v>
      </c>
      <c r="F51" s="64">
        <v>2.87</v>
      </c>
      <c r="G51" s="64">
        <v>74.89</v>
      </c>
      <c r="H51" s="64">
        <v>9.14</v>
      </c>
      <c r="I51" s="64">
        <v>3.57</v>
      </c>
      <c r="J51" s="64">
        <v>0.23</v>
      </c>
      <c r="K51" s="64">
        <v>344.18</v>
      </c>
      <c r="L51" s="64">
        <v>30.52</v>
      </c>
      <c r="M51" s="64">
        <v>79.87</v>
      </c>
      <c r="N51" s="64">
        <v>956.4</v>
      </c>
      <c r="O51" s="64">
        <v>0</v>
      </c>
      <c r="P51" s="64">
        <v>0.51</v>
      </c>
      <c r="Q51" s="64">
        <v>9.24</v>
      </c>
      <c r="R51" s="198"/>
      <c r="S51" s="198"/>
      <c r="T51" s="198"/>
      <c r="U51" s="198"/>
    </row>
    <row r="52" spans="1:21" s="12" customFormat="1" x14ac:dyDescent="0.25">
      <c r="A52" s="248" t="s">
        <v>1152</v>
      </c>
      <c r="B52" s="64">
        <v>7.97</v>
      </c>
      <c r="C52" s="64">
        <v>3.07</v>
      </c>
      <c r="D52" s="64">
        <v>11.77</v>
      </c>
      <c r="E52" s="64">
        <v>3.54</v>
      </c>
      <c r="F52" s="64">
        <v>4.21</v>
      </c>
      <c r="G52" s="64">
        <v>73.97</v>
      </c>
      <c r="H52" s="64">
        <v>14.14</v>
      </c>
      <c r="I52" s="64">
        <v>3.35</v>
      </c>
      <c r="J52" s="64">
        <v>0.2</v>
      </c>
      <c r="K52" s="64">
        <v>338.93</v>
      </c>
      <c r="L52" s="64">
        <v>31.01</v>
      </c>
      <c r="M52" s="64">
        <v>78.64</v>
      </c>
      <c r="N52" s="64">
        <v>1004.2</v>
      </c>
      <c r="O52" s="64">
        <v>0</v>
      </c>
      <c r="P52" s="64">
        <v>0.48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48" t="s">
        <v>1153</v>
      </c>
      <c r="B53" s="64">
        <v>7.95</v>
      </c>
      <c r="C53" s="64">
        <v>2.97</v>
      </c>
      <c r="D53" s="64">
        <v>11.7</v>
      </c>
      <c r="E53" s="64">
        <v>4.0599999999999996</v>
      </c>
      <c r="F53" s="64">
        <v>5.79</v>
      </c>
      <c r="G53" s="64">
        <v>73.97</v>
      </c>
      <c r="H53" s="64">
        <v>11.14</v>
      </c>
      <c r="I53" s="64">
        <v>3.08</v>
      </c>
      <c r="J53" s="64">
        <v>0.28999999999999998</v>
      </c>
      <c r="K53" s="64">
        <v>351.7</v>
      </c>
      <c r="L53" s="64">
        <v>31.05</v>
      </c>
      <c r="M53" s="64">
        <v>78.05</v>
      </c>
      <c r="N53" s="64">
        <v>1046.0999999999999</v>
      </c>
      <c r="O53" s="64">
        <v>0</v>
      </c>
      <c r="P53" s="64">
        <v>0.46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48" t="s">
        <v>1154</v>
      </c>
      <c r="B54" s="64">
        <v>7.97</v>
      </c>
      <c r="C54" s="64">
        <v>3.04</v>
      </c>
      <c r="D54" s="64">
        <v>11.76</v>
      </c>
      <c r="E54" s="64">
        <v>4.29</v>
      </c>
      <c r="F54" s="64">
        <v>3.68</v>
      </c>
      <c r="G54" s="64">
        <v>73.97</v>
      </c>
      <c r="H54" s="64">
        <v>20.14</v>
      </c>
      <c r="I54" s="64">
        <v>2.81</v>
      </c>
      <c r="J54" s="64">
        <v>0.14000000000000001</v>
      </c>
      <c r="K54" s="64">
        <v>332.65</v>
      </c>
      <c r="L54" s="64">
        <v>31.66</v>
      </c>
      <c r="M54" s="64">
        <v>74.760000000000005</v>
      </c>
      <c r="N54" s="64">
        <v>1013.1</v>
      </c>
      <c r="O54" s="64">
        <v>0</v>
      </c>
      <c r="P54" s="64">
        <v>0.45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48" t="s">
        <v>1155</v>
      </c>
      <c r="B55" s="64">
        <v>7.96</v>
      </c>
      <c r="C55" s="64">
        <v>3.03</v>
      </c>
      <c r="D55" s="64">
        <v>11.74</v>
      </c>
      <c r="E55" s="64">
        <v>3.87</v>
      </c>
      <c r="F55" s="64">
        <v>4.6100000000000003</v>
      </c>
      <c r="G55" s="64">
        <v>68.67</v>
      </c>
      <c r="H55" s="64">
        <v>15.14</v>
      </c>
      <c r="I55" s="64">
        <v>2.69</v>
      </c>
      <c r="J55" s="64">
        <v>0.3</v>
      </c>
      <c r="K55" s="64">
        <v>340.63</v>
      </c>
      <c r="L55" s="64">
        <v>31.58</v>
      </c>
      <c r="M55" s="64">
        <v>76.36</v>
      </c>
      <c r="N55" s="64">
        <v>886.4</v>
      </c>
      <c r="O55" s="64">
        <v>0</v>
      </c>
      <c r="P55" s="64">
        <v>0.42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48" t="s">
        <v>1156</v>
      </c>
      <c r="B56" s="64">
        <v>7.95</v>
      </c>
      <c r="C56" s="64">
        <v>3</v>
      </c>
      <c r="D56" s="64">
        <v>11.72</v>
      </c>
      <c r="E56" s="64">
        <v>3.73</v>
      </c>
      <c r="F56" s="64">
        <v>5.75</v>
      </c>
      <c r="G56" s="64">
        <v>67.34</v>
      </c>
      <c r="H56" s="64">
        <v>24.14</v>
      </c>
      <c r="I56" s="64">
        <v>2.39</v>
      </c>
      <c r="J56" s="64">
        <v>0.27</v>
      </c>
      <c r="K56" s="64">
        <v>351.73</v>
      </c>
      <c r="L56" s="64">
        <v>31.97</v>
      </c>
      <c r="M56" s="64">
        <v>73.69</v>
      </c>
      <c r="N56" s="64">
        <v>924.7</v>
      </c>
      <c r="O56" s="64">
        <v>0</v>
      </c>
      <c r="P56" s="64">
        <v>0.42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48" t="s">
        <v>1157</v>
      </c>
      <c r="B57" s="64">
        <v>7.95</v>
      </c>
      <c r="C57" s="64">
        <v>3</v>
      </c>
      <c r="D57" s="64">
        <v>11.72</v>
      </c>
      <c r="E57" s="64">
        <v>3.85</v>
      </c>
      <c r="F57" s="64">
        <v>5.23</v>
      </c>
      <c r="G57" s="64">
        <v>67.34</v>
      </c>
      <c r="H57" s="64">
        <v>10.14</v>
      </c>
      <c r="I57" s="64">
        <v>2.29</v>
      </c>
      <c r="J57" s="64">
        <v>0.28000000000000003</v>
      </c>
      <c r="K57" s="64">
        <v>329.9</v>
      </c>
      <c r="L57" s="64">
        <v>31.45</v>
      </c>
      <c r="M57" s="64">
        <v>75.64</v>
      </c>
      <c r="N57" s="64">
        <v>784.1</v>
      </c>
      <c r="O57" s="64">
        <v>0</v>
      </c>
      <c r="P57" s="64">
        <v>0.39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48" t="s">
        <v>1158</v>
      </c>
      <c r="B58" s="64">
        <v>7.95</v>
      </c>
      <c r="C58" s="64">
        <v>3.14</v>
      </c>
      <c r="D58" s="64">
        <v>11.79</v>
      </c>
      <c r="E58" s="64">
        <v>3.84</v>
      </c>
      <c r="F58" s="64">
        <v>5.16</v>
      </c>
      <c r="G58" s="64">
        <v>67.34</v>
      </c>
      <c r="H58" s="64">
        <v>5.14</v>
      </c>
      <c r="I58" s="64">
        <v>2.25</v>
      </c>
      <c r="J58" s="64">
        <v>7.0000000000000007E-2</v>
      </c>
      <c r="K58" s="64">
        <v>317.86</v>
      </c>
      <c r="L58" s="64">
        <v>31.66</v>
      </c>
      <c r="M58" s="64">
        <v>75.17</v>
      </c>
      <c r="N58" s="64">
        <v>702.3</v>
      </c>
      <c r="O58" s="64">
        <v>0</v>
      </c>
      <c r="P58" s="64">
        <v>0.4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48" t="s">
        <v>1159</v>
      </c>
      <c r="B59" s="64">
        <v>7.95</v>
      </c>
      <c r="C59" s="64">
        <v>3.17</v>
      </c>
      <c r="D59" s="64">
        <v>11.8</v>
      </c>
      <c r="E59" s="64">
        <v>3.8</v>
      </c>
      <c r="F59" s="64">
        <v>5.5</v>
      </c>
      <c r="G59" s="64">
        <v>67.62</v>
      </c>
      <c r="H59" s="64">
        <v>5.14</v>
      </c>
      <c r="I59" s="64">
        <v>2.0699999999999998</v>
      </c>
      <c r="J59" s="64">
        <v>0.39</v>
      </c>
      <c r="K59" s="64">
        <v>331.02</v>
      </c>
      <c r="L59" s="64">
        <v>31.69</v>
      </c>
      <c r="M59" s="64">
        <v>76.28</v>
      </c>
      <c r="N59" s="64">
        <v>672.6</v>
      </c>
      <c r="O59" s="64">
        <v>0</v>
      </c>
      <c r="P59" s="64">
        <v>0.38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48" t="s">
        <v>1160</v>
      </c>
      <c r="B60" s="64">
        <v>7.94</v>
      </c>
      <c r="C60" s="64">
        <v>3.11</v>
      </c>
      <c r="D60" s="64">
        <v>11.77</v>
      </c>
      <c r="E60" s="64">
        <v>4.08</v>
      </c>
      <c r="F60" s="64">
        <v>5.74</v>
      </c>
      <c r="G60" s="64">
        <v>67.69</v>
      </c>
      <c r="H60" s="64">
        <v>42.31</v>
      </c>
      <c r="I60" s="64">
        <v>1.95</v>
      </c>
      <c r="J60" s="64">
        <v>0.32</v>
      </c>
      <c r="K60" s="64">
        <v>344.12</v>
      </c>
      <c r="L60" s="64">
        <v>31.51</v>
      </c>
      <c r="M60" s="64">
        <v>75.319999999999993</v>
      </c>
      <c r="N60" s="64">
        <v>707</v>
      </c>
      <c r="O60" s="64">
        <v>0</v>
      </c>
      <c r="P60" s="64">
        <v>0.37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48" t="s">
        <v>1161</v>
      </c>
      <c r="B61" s="64">
        <v>7.97</v>
      </c>
      <c r="C61" s="64">
        <v>3.06</v>
      </c>
      <c r="D61" s="64">
        <v>11.76</v>
      </c>
      <c r="E61" s="64">
        <v>4.07</v>
      </c>
      <c r="F61" s="64">
        <v>6.29</v>
      </c>
      <c r="G61" s="64">
        <v>67.69</v>
      </c>
      <c r="H61" s="64">
        <v>42.31</v>
      </c>
      <c r="I61" s="64">
        <v>1.85</v>
      </c>
      <c r="J61" s="64">
        <v>0.32</v>
      </c>
      <c r="K61" s="64">
        <v>340.06</v>
      </c>
      <c r="L61" s="64">
        <v>32.299999999999997</v>
      </c>
      <c r="M61" s="64">
        <v>73.03</v>
      </c>
      <c r="N61" s="64">
        <v>900.7</v>
      </c>
      <c r="O61" s="64">
        <v>0</v>
      </c>
      <c r="P61" s="64">
        <v>0.36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48" t="s">
        <v>1162</v>
      </c>
      <c r="B62" s="64">
        <v>7.98</v>
      </c>
      <c r="C62" s="64">
        <v>3.01</v>
      </c>
      <c r="D62" s="64">
        <v>11.75</v>
      </c>
      <c r="E62" s="64">
        <v>3.98</v>
      </c>
      <c r="F62" s="64">
        <v>5.95</v>
      </c>
      <c r="G62" s="64">
        <v>67.69</v>
      </c>
      <c r="H62" s="64">
        <v>42.31</v>
      </c>
      <c r="I62" s="64">
        <v>1.68</v>
      </c>
      <c r="J62" s="64">
        <v>0.26</v>
      </c>
      <c r="K62" s="64">
        <v>334.29</v>
      </c>
      <c r="L62" s="64">
        <v>32.65</v>
      </c>
      <c r="M62" s="64">
        <v>72.94</v>
      </c>
      <c r="N62" s="64">
        <v>902.3</v>
      </c>
      <c r="O62" s="64">
        <v>0</v>
      </c>
      <c r="P62" s="64">
        <v>0.35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48" t="s">
        <v>1163</v>
      </c>
      <c r="B63" s="64">
        <v>8.01</v>
      </c>
      <c r="C63" s="64">
        <v>3.06</v>
      </c>
      <c r="D63" s="64">
        <v>11.79</v>
      </c>
      <c r="E63" s="64">
        <v>4.3899999999999997</v>
      </c>
      <c r="F63" s="64">
        <v>5.19</v>
      </c>
      <c r="G63" s="64">
        <v>69.62</v>
      </c>
      <c r="H63" s="64">
        <v>9.9700000000000006</v>
      </c>
      <c r="I63" s="64">
        <v>1.55</v>
      </c>
      <c r="J63" s="64">
        <v>0.22</v>
      </c>
      <c r="K63" s="64">
        <v>330.98</v>
      </c>
      <c r="L63" s="64">
        <v>33.04</v>
      </c>
      <c r="M63" s="64">
        <v>71.38</v>
      </c>
      <c r="N63" s="64">
        <v>733.9</v>
      </c>
      <c r="O63" s="64">
        <v>0</v>
      </c>
      <c r="P63" s="64">
        <v>0.35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48" t="s">
        <v>1164</v>
      </c>
      <c r="B64" s="64">
        <v>7.99</v>
      </c>
      <c r="C64" s="64">
        <v>3.05</v>
      </c>
      <c r="D64" s="64">
        <v>11.78</v>
      </c>
      <c r="E64" s="64">
        <v>4.12</v>
      </c>
      <c r="F64" s="64">
        <v>5.49</v>
      </c>
      <c r="G64" s="64">
        <v>70.11</v>
      </c>
      <c r="H64" s="64">
        <v>1.88</v>
      </c>
      <c r="I64" s="64">
        <v>1.45</v>
      </c>
      <c r="J64" s="64">
        <v>0.22</v>
      </c>
      <c r="K64" s="64">
        <v>326.83</v>
      </c>
      <c r="L64" s="64">
        <v>31.64</v>
      </c>
      <c r="M64" s="64">
        <v>73.88</v>
      </c>
      <c r="N64" s="64">
        <v>471</v>
      </c>
      <c r="O64" s="64">
        <v>0</v>
      </c>
      <c r="P64" s="64">
        <v>0.35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48" t="s">
        <v>1165</v>
      </c>
      <c r="B65" s="64">
        <v>7.99</v>
      </c>
      <c r="C65" s="64">
        <v>3.06</v>
      </c>
      <c r="D65" s="64">
        <v>11.78</v>
      </c>
      <c r="E65" s="64">
        <v>4</v>
      </c>
      <c r="F65" s="64">
        <v>6.09</v>
      </c>
      <c r="G65" s="64">
        <v>70.11</v>
      </c>
      <c r="H65" s="64">
        <v>1.88</v>
      </c>
      <c r="I65" s="64">
        <v>1.42</v>
      </c>
      <c r="J65" s="64">
        <v>0.24</v>
      </c>
      <c r="K65" s="64">
        <v>318.81</v>
      </c>
      <c r="L65" s="64">
        <v>32.21</v>
      </c>
      <c r="M65" s="64">
        <v>73.73</v>
      </c>
      <c r="N65" s="64">
        <v>482</v>
      </c>
      <c r="O65" s="64">
        <v>0</v>
      </c>
      <c r="P65" s="64">
        <v>0.34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48" t="s">
        <v>1166</v>
      </c>
      <c r="B66" s="64">
        <v>8.01</v>
      </c>
      <c r="C66" s="64">
        <v>3.08</v>
      </c>
      <c r="D66" s="64">
        <v>11.8</v>
      </c>
      <c r="E66" s="64">
        <v>3.92</v>
      </c>
      <c r="F66" s="64">
        <v>5.71</v>
      </c>
      <c r="G66" s="64">
        <v>70.11</v>
      </c>
      <c r="H66" s="64">
        <v>1.88</v>
      </c>
      <c r="I66" s="64">
        <v>1.37</v>
      </c>
      <c r="J66" s="64">
        <v>0.3</v>
      </c>
      <c r="K66" s="64">
        <v>325.10000000000002</v>
      </c>
      <c r="L66" s="64">
        <v>31.92</v>
      </c>
      <c r="M66" s="64">
        <v>74.89</v>
      </c>
      <c r="N66" s="64">
        <v>313.89999999999998</v>
      </c>
      <c r="O66" s="64">
        <v>0</v>
      </c>
      <c r="P66" s="64">
        <v>0.34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48" t="s">
        <v>1167</v>
      </c>
      <c r="B67" s="64">
        <v>8.02</v>
      </c>
      <c r="C67" s="64">
        <v>3.09</v>
      </c>
      <c r="D67" s="64">
        <v>11.82</v>
      </c>
      <c r="E67" s="64">
        <v>4.0999999999999996</v>
      </c>
      <c r="F67" s="64">
        <v>5.83</v>
      </c>
      <c r="G67" s="64">
        <v>69.38</v>
      </c>
      <c r="H67" s="64">
        <v>19.46</v>
      </c>
      <c r="I67" s="64">
        <v>1.33</v>
      </c>
      <c r="J67" s="64">
        <v>0.26</v>
      </c>
      <c r="K67" s="64">
        <v>324.58999999999997</v>
      </c>
      <c r="L67" s="64">
        <v>32.01</v>
      </c>
      <c r="M67" s="64">
        <v>75.38</v>
      </c>
      <c r="N67" s="64">
        <v>290.3</v>
      </c>
      <c r="O67" s="64">
        <v>0</v>
      </c>
      <c r="P67" s="64">
        <v>0.34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48" t="s">
        <v>1168</v>
      </c>
      <c r="B68" s="64">
        <v>7.98</v>
      </c>
      <c r="C68" s="64">
        <v>2.99</v>
      </c>
      <c r="D68" s="64">
        <v>11.74</v>
      </c>
      <c r="E68" s="64">
        <v>4.5199999999999996</v>
      </c>
      <c r="F68" s="64">
        <v>5.73</v>
      </c>
      <c r="G68" s="64">
        <v>69.2</v>
      </c>
      <c r="H68" s="64">
        <v>13.1</v>
      </c>
      <c r="I68" s="64">
        <v>1.3</v>
      </c>
      <c r="J68" s="64">
        <v>0.19</v>
      </c>
      <c r="K68" s="64">
        <v>352.28</v>
      </c>
      <c r="L68" s="64">
        <v>31.83</v>
      </c>
      <c r="M68" s="64">
        <v>74.709999999999994</v>
      </c>
      <c r="N68" s="64">
        <v>288.3</v>
      </c>
      <c r="O68" s="64">
        <v>0</v>
      </c>
      <c r="P68" s="64">
        <v>0.34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48" t="s">
        <v>1169</v>
      </c>
      <c r="B69" s="64">
        <v>7.95</v>
      </c>
      <c r="C69" s="64">
        <v>2.99</v>
      </c>
      <c r="D69" s="64">
        <v>11.71</v>
      </c>
      <c r="E69" s="64">
        <v>3.49</v>
      </c>
      <c r="F69" s="64">
        <v>4.0999999999999996</v>
      </c>
      <c r="G69" s="64">
        <v>69.2</v>
      </c>
      <c r="H69" s="64">
        <v>13.1</v>
      </c>
      <c r="I69" s="64">
        <v>1.3</v>
      </c>
      <c r="J69" s="64">
        <v>0.21</v>
      </c>
      <c r="K69" s="64">
        <v>337.12</v>
      </c>
      <c r="L69" s="64">
        <v>31.41</v>
      </c>
      <c r="M69" s="64">
        <v>76.7</v>
      </c>
      <c r="N69" s="64">
        <v>257.10000000000002</v>
      </c>
      <c r="O69" s="64">
        <v>0</v>
      </c>
      <c r="P69" s="64">
        <v>0.32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48" t="s">
        <v>1170</v>
      </c>
      <c r="B70" s="64">
        <v>7.94</v>
      </c>
      <c r="C70" s="64">
        <v>3</v>
      </c>
      <c r="D70" s="64">
        <v>11.71</v>
      </c>
      <c r="E70" s="64">
        <v>3.27</v>
      </c>
      <c r="F70" s="64">
        <v>5.31</v>
      </c>
      <c r="G70" s="64">
        <v>69.2</v>
      </c>
      <c r="H70" s="64">
        <v>18.100000000000001</v>
      </c>
      <c r="I70" s="64">
        <v>1.38</v>
      </c>
      <c r="J70" s="64">
        <v>0.12</v>
      </c>
      <c r="K70" s="64">
        <v>13.67</v>
      </c>
      <c r="L70" s="64">
        <v>31.09</v>
      </c>
      <c r="M70" s="64">
        <v>78.09</v>
      </c>
      <c r="N70" s="64">
        <v>247.9</v>
      </c>
      <c r="O70" s="64">
        <v>0</v>
      </c>
      <c r="P70" s="64">
        <v>0.32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48" t="s">
        <v>1171</v>
      </c>
      <c r="B71" s="64">
        <v>7.99</v>
      </c>
      <c r="C71" s="64">
        <v>3.18</v>
      </c>
      <c r="D71" s="64">
        <v>11.84</v>
      </c>
      <c r="E71" s="64">
        <v>2.98</v>
      </c>
      <c r="F71" s="64">
        <v>4.7</v>
      </c>
      <c r="G71" s="64">
        <v>65.56</v>
      </c>
      <c r="H71" s="64">
        <v>58.15</v>
      </c>
      <c r="I71" s="64">
        <v>1.38</v>
      </c>
      <c r="J71" s="64">
        <v>0.2</v>
      </c>
      <c r="K71" s="64">
        <v>353.86</v>
      </c>
      <c r="L71" s="64">
        <v>31.46</v>
      </c>
      <c r="M71" s="64">
        <v>76.400000000000006</v>
      </c>
      <c r="N71" s="64">
        <v>207.3</v>
      </c>
      <c r="O71" s="64">
        <v>0</v>
      </c>
      <c r="P71" s="64">
        <v>0.31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48" t="s">
        <v>1172</v>
      </c>
      <c r="B72" s="64">
        <v>7.97</v>
      </c>
      <c r="C72" s="64">
        <v>3.17</v>
      </c>
      <c r="D72" s="64">
        <v>11.82</v>
      </c>
      <c r="E72" s="64">
        <v>3.41</v>
      </c>
      <c r="F72" s="64">
        <v>4.84</v>
      </c>
      <c r="G72" s="64">
        <v>64.650000000000006</v>
      </c>
      <c r="H72" s="64">
        <v>40.159999999999997</v>
      </c>
      <c r="I72" s="64">
        <v>1.37</v>
      </c>
      <c r="J72" s="64">
        <v>0.3</v>
      </c>
      <c r="K72" s="64">
        <v>345.85</v>
      </c>
      <c r="L72" s="64">
        <v>31.41</v>
      </c>
      <c r="M72" s="64">
        <v>76.099999999999994</v>
      </c>
      <c r="N72" s="64">
        <v>148.6</v>
      </c>
      <c r="O72" s="64">
        <v>0</v>
      </c>
      <c r="P72" s="64">
        <v>0.31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48" t="s">
        <v>1173</v>
      </c>
      <c r="B73" s="64">
        <v>7.96</v>
      </c>
      <c r="C73" s="64">
        <v>3.04</v>
      </c>
      <c r="D73" s="64">
        <v>11.74</v>
      </c>
      <c r="E73" s="64">
        <v>2.9</v>
      </c>
      <c r="F73" s="64">
        <v>5.25</v>
      </c>
      <c r="G73" s="64">
        <v>64.650000000000006</v>
      </c>
      <c r="H73" s="64">
        <v>40.159999999999997</v>
      </c>
      <c r="I73" s="64">
        <v>1.42</v>
      </c>
      <c r="J73" s="64">
        <v>0.34</v>
      </c>
      <c r="K73" s="64">
        <v>358.3</v>
      </c>
      <c r="L73" s="64">
        <v>31.09</v>
      </c>
      <c r="M73" s="64">
        <v>78.09</v>
      </c>
      <c r="N73" s="64">
        <v>136.30000000000001</v>
      </c>
      <c r="O73" s="64">
        <v>0</v>
      </c>
      <c r="P73" s="64">
        <v>0.3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48" t="s">
        <v>1174</v>
      </c>
      <c r="B74" s="64">
        <v>7.95</v>
      </c>
      <c r="C74" s="64">
        <v>3.03</v>
      </c>
      <c r="D74" s="64">
        <v>11.73</v>
      </c>
      <c r="E74" s="64">
        <v>2.88</v>
      </c>
      <c r="F74" s="64">
        <v>5.01</v>
      </c>
      <c r="G74" s="64">
        <v>64.650000000000006</v>
      </c>
      <c r="H74" s="64">
        <v>40.159999999999997</v>
      </c>
      <c r="I74" s="64">
        <v>1.46</v>
      </c>
      <c r="J74" s="64">
        <v>0.33</v>
      </c>
      <c r="K74" s="64">
        <v>346.58</v>
      </c>
      <c r="L74" s="64">
        <v>31.08</v>
      </c>
      <c r="M74" s="64">
        <v>78.78</v>
      </c>
      <c r="N74" s="64">
        <v>147.9</v>
      </c>
      <c r="O74" s="64">
        <v>0</v>
      </c>
      <c r="P74" s="64">
        <v>0.31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48" t="s">
        <v>1175</v>
      </c>
      <c r="B75" s="64">
        <v>7.95</v>
      </c>
      <c r="C75" s="64">
        <v>3.01</v>
      </c>
      <c r="D75" s="64">
        <v>11.72</v>
      </c>
      <c r="E75" s="64">
        <v>2.99</v>
      </c>
      <c r="F75" s="64">
        <v>4.8099999999999996</v>
      </c>
      <c r="G75" s="64">
        <v>69.599999999999994</v>
      </c>
      <c r="H75" s="64">
        <v>29.94</v>
      </c>
      <c r="I75" s="64">
        <v>1.32</v>
      </c>
      <c r="J75" s="64">
        <v>0.32</v>
      </c>
      <c r="K75" s="64">
        <v>0.85</v>
      </c>
      <c r="L75" s="64">
        <v>31.11</v>
      </c>
      <c r="M75" s="64">
        <v>78.47</v>
      </c>
      <c r="N75" s="64">
        <v>146.1</v>
      </c>
      <c r="O75" s="64">
        <v>0</v>
      </c>
      <c r="P75" s="64">
        <v>0.31</v>
      </c>
      <c r="Q75" s="64">
        <v>9.19</v>
      </c>
      <c r="R75" s="198"/>
      <c r="S75" s="198"/>
      <c r="T75" s="198"/>
      <c r="U75" s="198"/>
    </row>
    <row r="76" spans="1:21" s="12" customFormat="1" x14ac:dyDescent="0.25">
      <c r="A76" s="248" t="s">
        <v>1176</v>
      </c>
      <c r="B76" s="64">
        <v>7.92</v>
      </c>
      <c r="C76" s="64">
        <v>2.93</v>
      </c>
      <c r="D76" s="64">
        <v>11.66</v>
      </c>
      <c r="E76" s="64">
        <v>2.82</v>
      </c>
      <c r="F76" s="64">
        <v>4.84</v>
      </c>
      <c r="G76" s="64">
        <v>70.84</v>
      </c>
      <c r="H76" s="64">
        <v>27.39</v>
      </c>
      <c r="I76" s="64">
        <v>1.3</v>
      </c>
      <c r="J76" s="64">
        <v>0.32</v>
      </c>
      <c r="K76" s="64">
        <v>0.67</v>
      </c>
      <c r="L76" s="64">
        <v>31.24</v>
      </c>
      <c r="M76" s="64">
        <v>80.209999999999994</v>
      </c>
      <c r="N76" s="64">
        <v>131.6</v>
      </c>
      <c r="O76" s="64">
        <v>0</v>
      </c>
      <c r="P76" s="64">
        <v>0.32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48" t="s">
        <v>1177</v>
      </c>
      <c r="B77" s="64">
        <v>7.92</v>
      </c>
      <c r="C77" s="64">
        <v>2.96</v>
      </c>
      <c r="D77" s="64">
        <v>11.67</v>
      </c>
      <c r="E77" s="64">
        <v>2.88</v>
      </c>
      <c r="F77" s="64">
        <v>4.45</v>
      </c>
      <c r="G77" s="64">
        <v>70.84</v>
      </c>
      <c r="H77" s="64">
        <v>27.39</v>
      </c>
      <c r="I77" s="64">
        <v>1.35</v>
      </c>
      <c r="J77" s="64">
        <v>0.26</v>
      </c>
      <c r="K77" s="64">
        <v>18.48</v>
      </c>
      <c r="L77" s="64">
        <v>31.25</v>
      </c>
      <c r="M77" s="64">
        <v>80.08</v>
      </c>
      <c r="N77" s="64">
        <v>131</v>
      </c>
      <c r="O77" s="64">
        <v>0</v>
      </c>
      <c r="P77" s="64">
        <v>0.32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48" t="s">
        <v>1178</v>
      </c>
      <c r="B78" s="64">
        <v>7.93</v>
      </c>
      <c r="C78" s="64">
        <v>2.96</v>
      </c>
      <c r="D78" s="64">
        <v>11.68</v>
      </c>
      <c r="E78" s="64">
        <v>2.8</v>
      </c>
      <c r="F78" s="64">
        <v>5.09</v>
      </c>
      <c r="G78" s="64">
        <v>70.84</v>
      </c>
      <c r="H78" s="64">
        <v>27.39</v>
      </c>
      <c r="I78" s="64">
        <v>1.24</v>
      </c>
      <c r="J78" s="64">
        <v>0.28000000000000003</v>
      </c>
      <c r="K78" s="64">
        <v>359.13</v>
      </c>
      <c r="L78" s="64">
        <v>30.98</v>
      </c>
      <c r="M78" s="64">
        <v>80.989999999999995</v>
      </c>
      <c r="N78" s="64">
        <v>109.6</v>
      </c>
      <c r="O78" s="64">
        <v>0</v>
      </c>
      <c r="P78" s="64">
        <v>0.33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48" t="s">
        <v>1179</v>
      </c>
      <c r="B79" s="64">
        <v>7.96</v>
      </c>
      <c r="C79" s="64">
        <v>3</v>
      </c>
      <c r="D79" s="64">
        <v>11.72</v>
      </c>
      <c r="E79" s="64">
        <v>2.9</v>
      </c>
      <c r="F79" s="64">
        <v>4.8099999999999996</v>
      </c>
      <c r="G79" s="64">
        <v>74.53</v>
      </c>
      <c r="H79" s="64">
        <v>27.78</v>
      </c>
      <c r="I79" s="64">
        <v>1.24</v>
      </c>
      <c r="J79" s="64">
        <v>0.36</v>
      </c>
      <c r="K79" s="64">
        <v>6.81</v>
      </c>
      <c r="L79" s="64">
        <v>30.56</v>
      </c>
      <c r="M79" s="64">
        <v>82.09</v>
      </c>
      <c r="N79" s="64">
        <v>86.2</v>
      </c>
      <c r="O79" s="64">
        <v>0</v>
      </c>
      <c r="P79" s="64">
        <v>0.34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48" t="s">
        <v>1180</v>
      </c>
      <c r="B80" s="64">
        <v>7.98</v>
      </c>
      <c r="C80" s="64">
        <v>2.98</v>
      </c>
      <c r="D80" s="64">
        <v>11.73</v>
      </c>
      <c r="E80" s="64">
        <v>2.76</v>
      </c>
      <c r="F80" s="64">
        <v>4.8499999999999996</v>
      </c>
      <c r="G80" s="64">
        <v>75.459999999999994</v>
      </c>
      <c r="H80" s="64">
        <v>27.87</v>
      </c>
      <c r="I80" s="64">
        <v>1.23</v>
      </c>
      <c r="J80" s="64">
        <v>0.45</v>
      </c>
      <c r="K80" s="64">
        <v>9.27</v>
      </c>
      <c r="L80" s="64">
        <v>29.85</v>
      </c>
      <c r="M80" s="64">
        <v>83.91</v>
      </c>
      <c r="N80" s="64">
        <v>84.1</v>
      </c>
      <c r="O80" s="64">
        <v>0</v>
      </c>
      <c r="P80" s="64">
        <v>0.35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48" t="s">
        <v>1181</v>
      </c>
      <c r="B81" s="64">
        <v>7.99</v>
      </c>
      <c r="C81" s="64">
        <v>3.04</v>
      </c>
      <c r="D81" s="64">
        <v>11.77</v>
      </c>
      <c r="E81" s="64">
        <v>3.2</v>
      </c>
      <c r="F81" s="64">
        <v>5.36</v>
      </c>
      <c r="G81" s="64">
        <v>75.459999999999994</v>
      </c>
      <c r="H81" s="64">
        <v>27.87</v>
      </c>
      <c r="I81" s="64">
        <v>1.32</v>
      </c>
      <c r="J81" s="64">
        <v>0.49</v>
      </c>
      <c r="K81" s="64">
        <v>10.95</v>
      </c>
      <c r="L81" s="64">
        <v>28.84</v>
      </c>
      <c r="M81" s="64">
        <v>87.89</v>
      </c>
      <c r="N81" s="64">
        <v>66.099999999999994</v>
      </c>
      <c r="O81" s="64">
        <v>0</v>
      </c>
      <c r="P81" s="64">
        <v>0.37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48" t="s">
        <v>1182</v>
      </c>
      <c r="B82" s="64">
        <v>8.01</v>
      </c>
      <c r="C82" s="64">
        <v>3.07</v>
      </c>
      <c r="D82" s="64">
        <v>11.8</v>
      </c>
      <c r="E82" s="64">
        <v>2.66</v>
      </c>
      <c r="F82" s="64">
        <v>5.36</v>
      </c>
      <c r="G82" s="64">
        <v>75.459999999999994</v>
      </c>
      <c r="H82" s="64">
        <v>27.87</v>
      </c>
      <c r="I82" s="64">
        <v>1.27</v>
      </c>
      <c r="J82" s="64">
        <v>0.42</v>
      </c>
      <c r="K82" s="64">
        <v>11.89</v>
      </c>
      <c r="L82" s="64">
        <v>28.46</v>
      </c>
      <c r="M82" s="64">
        <v>89.69</v>
      </c>
      <c r="N82" s="64">
        <v>49.1</v>
      </c>
      <c r="O82" s="64">
        <v>0</v>
      </c>
      <c r="P82" s="64">
        <v>0.39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48" t="s">
        <v>1183</v>
      </c>
      <c r="B83" s="64">
        <v>8.01</v>
      </c>
      <c r="C83" s="64">
        <v>3.08</v>
      </c>
      <c r="D83" s="64">
        <v>11.81</v>
      </c>
      <c r="E83" s="64">
        <v>2.99</v>
      </c>
      <c r="F83" s="64">
        <v>4.38</v>
      </c>
      <c r="G83" s="64">
        <v>65.16</v>
      </c>
      <c r="H83" s="64">
        <v>33.39</v>
      </c>
      <c r="I83" s="64">
        <v>1.18</v>
      </c>
      <c r="J83" s="64">
        <v>0.37</v>
      </c>
      <c r="K83" s="64">
        <v>16.809999999999999</v>
      </c>
      <c r="L83" s="64">
        <v>28.18</v>
      </c>
      <c r="M83" s="64">
        <v>92.47</v>
      </c>
      <c r="N83" s="64">
        <v>40.6</v>
      </c>
      <c r="O83" s="64">
        <v>0</v>
      </c>
      <c r="P83" s="64">
        <v>0.41</v>
      </c>
      <c r="Q83" s="64">
        <v>9.17</v>
      </c>
      <c r="R83" s="198"/>
      <c r="S83" s="198"/>
      <c r="T83" s="198"/>
      <c r="U83" s="198"/>
    </row>
    <row r="84" spans="1:26" s="12" customFormat="1" x14ac:dyDescent="0.25">
      <c r="A84" s="248" t="s">
        <v>1184</v>
      </c>
      <c r="B84" s="64">
        <v>7.99</v>
      </c>
      <c r="C84" s="64">
        <v>3.01</v>
      </c>
      <c r="D84" s="64">
        <v>11.76</v>
      </c>
      <c r="E84" s="64">
        <v>4.25</v>
      </c>
      <c r="F84" s="64">
        <v>3.89</v>
      </c>
      <c r="G84" s="64">
        <v>62.59</v>
      </c>
      <c r="H84" s="64">
        <v>34.770000000000003</v>
      </c>
      <c r="I84" s="64">
        <v>1.1299999999999999</v>
      </c>
      <c r="J84" s="64">
        <v>0.31</v>
      </c>
      <c r="K84" s="64">
        <v>9.07</v>
      </c>
      <c r="L84" s="64">
        <v>28.18</v>
      </c>
      <c r="M84" s="64">
        <v>93.32</v>
      </c>
      <c r="N84" s="64">
        <v>37.799999999999997</v>
      </c>
      <c r="O84" s="64">
        <v>0</v>
      </c>
      <c r="P84" s="64">
        <v>0.44</v>
      </c>
      <c r="Q84" s="64">
        <v>9.15</v>
      </c>
      <c r="R84" s="198"/>
      <c r="S84" s="198"/>
      <c r="T84" s="198"/>
      <c r="U84" s="198"/>
    </row>
    <row r="85" spans="1:26" s="12" customFormat="1" x14ac:dyDescent="0.25">
      <c r="A85" s="248" t="s">
        <v>1185</v>
      </c>
      <c r="B85" s="64">
        <v>8.01</v>
      </c>
      <c r="C85" s="64">
        <v>2.98</v>
      </c>
      <c r="D85" s="64">
        <v>11.75</v>
      </c>
      <c r="E85" s="64">
        <v>3.78</v>
      </c>
      <c r="F85" s="64">
        <v>3.54</v>
      </c>
      <c r="G85" s="64">
        <v>62.59</v>
      </c>
      <c r="H85" s="64">
        <v>34.770000000000003</v>
      </c>
      <c r="I85" s="64">
        <v>1.28</v>
      </c>
      <c r="J85" s="64">
        <v>0.38</v>
      </c>
      <c r="K85" s="64">
        <v>351.87</v>
      </c>
      <c r="L85" s="64">
        <v>28.11</v>
      </c>
      <c r="M85" s="64">
        <v>94.25</v>
      </c>
      <c r="N85" s="64">
        <v>37.700000000000003</v>
      </c>
      <c r="O85" s="64">
        <v>0</v>
      </c>
      <c r="P85" s="64">
        <v>0.49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48" t="s">
        <v>1186</v>
      </c>
      <c r="B86" s="64">
        <v>8.01</v>
      </c>
      <c r="C86" s="64">
        <v>3.05</v>
      </c>
      <c r="D86" s="64">
        <v>11.79</v>
      </c>
      <c r="E86" s="64">
        <v>4.04</v>
      </c>
      <c r="F86" s="64">
        <v>4.4400000000000004</v>
      </c>
      <c r="G86" s="64">
        <v>62.59</v>
      </c>
      <c r="H86" s="64">
        <v>34.770000000000003</v>
      </c>
      <c r="I86" s="64">
        <v>1.32</v>
      </c>
      <c r="J86" s="64">
        <v>0.32</v>
      </c>
      <c r="K86" s="64">
        <v>3.07</v>
      </c>
      <c r="L86" s="64">
        <v>27.92</v>
      </c>
      <c r="M86" s="64">
        <v>95.46</v>
      </c>
      <c r="N86" s="64">
        <v>37.6</v>
      </c>
      <c r="O86" s="64">
        <v>0</v>
      </c>
      <c r="P86" s="64">
        <v>0.51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48" t="s">
        <v>1187</v>
      </c>
      <c r="B87" s="64">
        <v>7.98</v>
      </c>
      <c r="C87" s="64">
        <v>3.05</v>
      </c>
      <c r="D87" s="64">
        <v>11.77</v>
      </c>
      <c r="E87" s="64">
        <v>4.45</v>
      </c>
      <c r="F87" s="64">
        <v>3.82</v>
      </c>
      <c r="G87" s="64">
        <v>70.069999999999993</v>
      </c>
      <c r="H87" s="64">
        <v>49.13</v>
      </c>
      <c r="I87" s="64">
        <v>1.61</v>
      </c>
      <c r="J87" s="64">
        <v>0.37</v>
      </c>
      <c r="K87" s="64">
        <v>13.07</v>
      </c>
      <c r="L87" s="64">
        <v>27.7</v>
      </c>
      <c r="M87" s="64">
        <v>94.21</v>
      </c>
      <c r="N87" s="64">
        <v>37.700000000000003</v>
      </c>
      <c r="O87" s="64">
        <v>0</v>
      </c>
      <c r="P87" s="64">
        <v>0.54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48" t="s">
        <v>1188</v>
      </c>
      <c r="B88" s="64">
        <v>7.98</v>
      </c>
      <c r="C88" s="64">
        <v>3.05</v>
      </c>
      <c r="D88" s="64">
        <v>11.76</v>
      </c>
      <c r="E88" s="64">
        <v>4.3</v>
      </c>
      <c r="F88" s="64">
        <v>2.93</v>
      </c>
      <c r="G88" s="64">
        <v>71.94</v>
      </c>
      <c r="H88" s="64">
        <v>52.72</v>
      </c>
      <c r="I88" s="64">
        <v>1.68</v>
      </c>
      <c r="J88" s="64">
        <v>0.4</v>
      </c>
      <c r="K88" s="64">
        <v>14.11</v>
      </c>
      <c r="L88" s="64">
        <v>27.44</v>
      </c>
      <c r="M88" s="64">
        <v>89.33</v>
      </c>
      <c r="N88" s="64">
        <v>37.799999999999997</v>
      </c>
      <c r="O88" s="64">
        <v>0</v>
      </c>
      <c r="P88" s="64">
        <v>0.55000000000000004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48" t="s">
        <v>1189</v>
      </c>
      <c r="B89" s="64">
        <v>7.99</v>
      </c>
      <c r="C89" s="64">
        <v>3.12</v>
      </c>
      <c r="D89" s="64">
        <v>11.81</v>
      </c>
      <c r="E89" s="64">
        <v>3.86</v>
      </c>
      <c r="F89" s="64">
        <v>5.26</v>
      </c>
      <c r="G89" s="64">
        <v>71.94</v>
      </c>
      <c r="H89" s="64">
        <v>52.72</v>
      </c>
      <c r="I89" s="64">
        <v>1.8</v>
      </c>
      <c r="J89" s="64">
        <v>0.27</v>
      </c>
      <c r="K89" s="64">
        <v>9.6</v>
      </c>
      <c r="L89" s="64">
        <v>27.09</v>
      </c>
      <c r="M89" s="64">
        <v>91.37</v>
      </c>
      <c r="N89" s="64">
        <v>37.799999999999997</v>
      </c>
      <c r="O89" s="64">
        <v>0</v>
      </c>
      <c r="P89" s="64">
        <v>0.55000000000000004</v>
      </c>
      <c r="Q89" s="64">
        <v>9.17</v>
      </c>
      <c r="R89" s="198"/>
      <c r="S89" s="198"/>
      <c r="T89" s="198"/>
      <c r="U89" s="198"/>
    </row>
    <row r="90" spans="1:26" s="12" customFormat="1" x14ac:dyDescent="0.25">
      <c r="A90" s="248" t="s">
        <v>1190</v>
      </c>
      <c r="B90" s="64">
        <v>7.98</v>
      </c>
      <c r="C90" s="64">
        <v>3.07</v>
      </c>
      <c r="D90" s="64">
        <v>11.78</v>
      </c>
      <c r="E90" s="64">
        <v>4.54</v>
      </c>
      <c r="F90" s="64">
        <v>2.31</v>
      </c>
      <c r="G90" s="64">
        <v>71.94</v>
      </c>
      <c r="H90" s="64">
        <v>52.72</v>
      </c>
      <c r="I90" s="64">
        <v>1.8</v>
      </c>
      <c r="J90" s="64">
        <v>0.31</v>
      </c>
      <c r="K90" s="64">
        <v>12.6</v>
      </c>
      <c r="L90" s="64">
        <v>26.87</v>
      </c>
      <c r="M90" s="64">
        <v>93.8</v>
      </c>
      <c r="N90" s="64">
        <v>37.700000000000003</v>
      </c>
      <c r="O90" s="64">
        <v>0</v>
      </c>
      <c r="P90" s="64">
        <v>0.56000000000000005</v>
      </c>
      <c r="Q90" s="64">
        <v>9.19</v>
      </c>
      <c r="R90" s="198"/>
      <c r="S90" s="198"/>
      <c r="T90" s="198"/>
      <c r="U90" s="198"/>
    </row>
    <row r="91" spans="1:26" s="12" customFormat="1" x14ac:dyDescent="0.25">
      <c r="A91" s="248" t="s">
        <v>1191</v>
      </c>
      <c r="B91" s="64">
        <v>8.01</v>
      </c>
      <c r="C91" s="64">
        <v>3.21</v>
      </c>
      <c r="D91" s="64">
        <v>11.88</v>
      </c>
      <c r="E91" s="64">
        <v>4.08</v>
      </c>
      <c r="F91" s="64">
        <v>3.69</v>
      </c>
      <c r="G91" s="64">
        <v>69.89</v>
      </c>
      <c r="H91" s="64">
        <v>48.36</v>
      </c>
      <c r="I91" s="64">
        <v>1.79</v>
      </c>
      <c r="J91" s="64">
        <v>0.28999999999999998</v>
      </c>
      <c r="K91" s="64">
        <v>8.25</v>
      </c>
      <c r="L91" s="64">
        <v>26.72</v>
      </c>
      <c r="M91" s="64">
        <v>95.53</v>
      </c>
      <c r="N91" s="64">
        <v>37.700000000000003</v>
      </c>
      <c r="O91" s="64">
        <v>0</v>
      </c>
      <c r="P91" s="64">
        <v>0.56999999999999995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48" t="s">
        <v>1192</v>
      </c>
      <c r="B92" s="64">
        <v>7.96</v>
      </c>
      <c r="C92" s="64">
        <v>3.06</v>
      </c>
      <c r="D92" s="64">
        <v>11.76</v>
      </c>
      <c r="E92" s="64">
        <v>3.45</v>
      </c>
      <c r="F92" s="64">
        <v>4.1399999999999997</v>
      </c>
      <c r="G92" s="64">
        <v>69.37</v>
      </c>
      <c r="H92" s="64">
        <v>47.27</v>
      </c>
      <c r="I92" s="64">
        <v>1.84</v>
      </c>
      <c r="J92" s="64">
        <v>0.25</v>
      </c>
      <c r="K92" s="64">
        <v>13.3</v>
      </c>
      <c r="L92" s="64">
        <v>26.63</v>
      </c>
      <c r="M92" s="64">
        <v>96.73</v>
      </c>
      <c r="N92" s="64">
        <v>37.6</v>
      </c>
      <c r="O92" s="64">
        <v>0</v>
      </c>
      <c r="P92" s="64">
        <v>0.57999999999999996</v>
      </c>
      <c r="Q92" s="64">
        <v>9.26</v>
      </c>
      <c r="R92" s="198"/>
      <c r="S92" s="198"/>
      <c r="T92" s="198"/>
      <c r="U92" s="198"/>
    </row>
    <row r="93" spans="1:26" s="12" customFormat="1" x14ac:dyDescent="0.25">
      <c r="A93" s="248" t="s">
        <v>1193</v>
      </c>
      <c r="B93" s="64">
        <v>7.98</v>
      </c>
      <c r="C93" s="64">
        <v>3.06</v>
      </c>
      <c r="D93" s="64">
        <v>11.77</v>
      </c>
      <c r="E93" s="64">
        <v>3.88</v>
      </c>
      <c r="F93" s="64">
        <v>2.84</v>
      </c>
      <c r="G93" s="64">
        <v>69.37</v>
      </c>
      <c r="H93" s="64">
        <v>47.27</v>
      </c>
      <c r="I93" s="64">
        <v>1.93</v>
      </c>
      <c r="J93" s="64">
        <v>0.15</v>
      </c>
      <c r="K93" s="64">
        <v>336.03</v>
      </c>
      <c r="L93" s="64">
        <v>26.44</v>
      </c>
      <c r="M93" s="64">
        <v>98.41</v>
      </c>
      <c r="N93" s="64">
        <v>37.700000000000003</v>
      </c>
      <c r="O93" s="64">
        <v>0</v>
      </c>
      <c r="P93" s="64">
        <v>0.56999999999999995</v>
      </c>
      <c r="Q93" s="64">
        <v>9.2200000000000006</v>
      </c>
      <c r="R93" s="198"/>
      <c r="S93" s="198"/>
      <c r="T93" s="198"/>
      <c r="U93" s="198"/>
    </row>
    <row r="94" spans="1:26" s="12" customFormat="1" x14ac:dyDescent="0.25">
      <c r="A94" s="248" t="s">
        <v>1194</v>
      </c>
      <c r="B94" s="64">
        <v>8.0399999999999991</v>
      </c>
      <c r="C94" s="64">
        <v>3.18</v>
      </c>
      <c r="D94" s="64">
        <v>11.88</v>
      </c>
      <c r="E94" s="64">
        <v>3.46</v>
      </c>
      <c r="F94" s="64">
        <v>3.53</v>
      </c>
      <c r="G94" s="64">
        <v>69.37</v>
      </c>
      <c r="H94" s="64">
        <v>47.27</v>
      </c>
      <c r="I94" s="64">
        <v>1.94</v>
      </c>
      <c r="J94" s="64">
        <v>0.23</v>
      </c>
      <c r="K94" s="64">
        <v>348.63</v>
      </c>
      <c r="L94" s="64">
        <v>26.32</v>
      </c>
      <c r="M94" s="64">
        <v>100.05</v>
      </c>
      <c r="N94" s="64">
        <v>37.700000000000003</v>
      </c>
      <c r="O94" s="64">
        <v>0</v>
      </c>
      <c r="P94" s="64">
        <v>0.55000000000000004</v>
      </c>
      <c r="Q94" s="64">
        <v>9.2200000000000006</v>
      </c>
      <c r="R94" s="198"/>
      <c r="S94" s="198"/>
      <c r="T94" s="198"/>
      <c r="U94" s="198"/>
    </row>
    <row r="95" spans="1:26" s="12" customFormat="1" x14ac:dyDescent="0.25">
      <c r="A95" s="248" t="s">
        <v>1195</v>
      </c>
      <c r="B95" s="64">
        <v>8</v>
      </c>
      <c r="C95" s="64">
        <v>3.04</v>
      </c>
      <c r="D95" s="64">
        <v>11.77</v>
      </c>
      <c r="E95" s="64">
        <v>3.39</v>
      </c>
      <c r="F95" s="64">
        <v>4.58</v>
      </c>
      <c r="G95" s="64">
        <v>75.819999999999993</v>
      </c>
      <c r="H95" s="64">
        <v>26.13</v>
      </c>
      <c r="I95" s="64">
        <v>1.93</v>
      </c>
      <c r="J95" s="64">
        <v>0.2</v>
      </c>
      <c r="K95" s="64">
        <v>4.55</v>
      </c>
      <c r="L95" s="64">
        <v>26.19</v>
      </c>
      <c r="M95" s="64">
        <v>101.74</v>
      </c>
      <c r="N95" s="64">
        <v>37.6</v>
      </c>
      <c r="O95" s="64">
        <v>0</v>
      </c>
      <c r="P95" s="64">
        <v>0.55000000000000004</v>
      </c>
      <c r="Q95" s="64">
        <v>9.2899999999999991</v>
      </c>
      <c r="R95" s="198"/>
      <c r="S95" s="198"/>
      <c r="T95" s="198"/>
      <c r="U95" s="198"/>
    </row>
    <row r="96" spans="1:26" s="12" customFormat="1" x14ac:dyDescent="0.25">
      <c r="A96" s="248" t="s">
        <v>1196</v>
      </c>
      <c r="B96" s="64">
        <v>7.94</v>
      </c>
      <c r="C96" s="64">
        <v>2.95</v>
      </c>
      <c r="D96" s="64">
        <v>11.68</v>
      </c>
      <c r="E96" s="64">
        <v>3.79</v>
      </c>
      <c r="F96" s="64">
        <v>2.87</v>
      </c>
      <c r="G96" s="64">
        <v>77.44</v>
      </c>
      <c r="H96" s="64">
        <v>20.85</v>
      </c>
      <c r="I96" s="64">
        <v>1.91</v>
      </c>
      <c r="J96" s="64">
        <v>0.19</v>
      </c>
      <c r="K96" s="64">
        <v>356.65</v>
      </c>
      <c r="L96" s="64">
        <v>26.2</v>
      </c>
      <c r="M96" s="64">
        <v>102.36</v>
      </c>
      <c r="N96" s="64">
        <v>37.4</v>
      </c>
      <c r="O96" s="64">
        <v>0</v>
      </c>
      <c r="P96" s="64">
        <v>0.54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1197</v>
      </c>
      <c r="B97" s="64">
        <v>7.96</v>
      </c>
      <c r="C97" s="64">
        <v>3.04</v>
      </c>
      <c r="D97" s="64">
        <v>11.74</v>
      </c>
      <c r="E97" s="64">
        <v>3.82</v>
      </c>
      <c r="F97" s="64">
        <v>3.36</v>
      </c>
      <c r="G97" s="64">
        <v>77.44</v>
      </c>
      <c r="H97" s="64">
        <v>20.85</v>
      </c>
      <c r="I97" s="64">
        <v>1.94</v>
      </c>
      <c r="J97" s="64">
        <v>0.15</v>
      </c>
      <c r="K97" s="64">
        <v>328.13</v>
      </c>
      <c r="L97" s="64">
        <v>26.12</v>
      </c>
      <c r="M97" s="64">
        <v>102.55</v>
      </c>
      <c r="N97" s="64">
        <v>37.4</v>
      </c>
      <c r="O97" s="64">
        <v>0</v>
      </c>
      <c r="P97" s="64">
        <v>0.53</v>
      </c>
      <c r="Q97" s="64">
        <v>9.2799999999999994</v>
      </c>
      <c r="R97" s="198"/>
      <c r="S97" s="198"/>
      <c r="T97" s="198"/>
      <c r="U97" s="198"/>
    </row>
    <row r="98" spans="1:33" s="12" customFormat="1" x14ac:dyDescent="0.25">
      <c r="A98" s="248" t="s">
        <v>1198</v>
      </c>
      <c r="B98" s="64">
        <v>8</v>
      </c>
      <c r="C98" s="64">
        <v>3.04</v>
      </c>
      <c r="D98" s="64">
        <v>11.78</v>
      </c>
      <c r="E98" s="64">
        <v>3.53</v>
      </c>
      <c r="F98" s="64">
        <v>3.56</v>
      </c>
      <c r="G98" s="64">
        <v>77.44</v>
      </c>
      <c r="H98" s="64">
        <v>20.85</v>
      </c>
      <c r="I98" s="64">
        <v>1.97</v>
      </c>
      <c r="J98" s="64">
        <v>0.26</v>
      </c>
      <c r="K98" s="64">
        <v>350.75</v>
      </c>
      <c r="L98" s="64">
        <v>26.07</v>
      </c>
      <c r="M98" s="64">
        <v>102.52</v>
      </c>
      <c r="N98" s="64">
        <v>37.4</v>
      </c>
      <c r="O98" s="64">
        <v>0</v>
      </c>
      <c r="P98" s="64">
        <v>0.52</v>
      </c>
      <c r="Q98" s="64">
        <v>9.27</v>
      </c>
      <c r="R98" s="198"/>
      <c r="S98" s="198"/>
      <c r="T98" s="198"/>
      <c r="U98" s="198"/>
    </row>
    <row r="99" spans="1:33" s="12" customFormat="1" x14ac:dyDescent="0.25">
      <c r="A99" s="248" t="s">
        <v>1199</v>
      </c>
      <c r="B99" s="64">
        <v>8.02</v>
      </c>
      <c r="C99" s="64">
        <v>3.04</v>
      </c>
      <c r="D99" s="64">
        <v>11.8</v>
      </c>
      <c r="E99" s="64">
        <v>3.71</v>
      </c>
      <c r="F99" s="64">
        <v>3.87</v>
      </c>
      <c r="G99" s="64">
        <v>77.400000000000006</v>
      </c>
      <c r="H99" s="64">
        <v>11.45</v>
      </c>
      <c r="I99" s="64">
        <v>1.97</v>
      </c>
      <c r="J99" s="64">
        <v>0.27</v>
      </c>
      <c r="K99" s="64">
        <v>352.1</v>
      </c>
      <c r="L99" s="64">
        <v>26.03</v>
      </c>
      <c r="M99" s="64">
        <v>102.63</v>
      </c>
      <c r="N99" s="64">
        <v>37.4</v>
      </c>
      <c r="O99" s="64">
        <v>0</v>
      </c>
      <c r="P99" s="64">
        <v>0.52</v>
      </c>
      <c r="Q99" s="64">
        <v>9.2799999999999994</v>
      </c>
      <c r="R99" s="198"/>
      <c r="S99" s="198"/>
      <c r="T99" s="198"/>
      <c r="U99" s="198"/>
    </row>
    <row r="100" spans="1:33" s="12" customFormat="1" x14ac:dyDescent="0.25">
      <c r="A100" s="248" t="s">
        <v>1200</v>
      </c>
      <c r="B100" s="64">
        <v>8.0399999999999991</v>
      </c>
      <c r="C100" s="64">
        <v>3.09</v>
      </c>
      <c r="D100" s="64">
        <v>11.84</v>
      </c>
      <c r="E100" s="64">
        <v>4.6399999999999997</v>
      </c>
      <c r="F100" s="64">
        <v>3.74</v>
      </c>
      <c r="G100" s="64">
        <v>77.400000000000006</v>
      </c>
      <c r="H100" s="64">
        <v>13.1</v>
      </c>
      <c r="I100" s="64">
        <v>1.94</v>
      </c>
      <c r="J100" s="64">
        <v>0.2</v>
      </c>
      <c r="K100" s="64">
        <v>356.96</v>
      </c>
      <c r="L100" s="64">
        <v>25.94</v>
      </c>
      <c r="M100" s="64">
        <v>102.74</v>
      </c>
      <c r="N100" s="64">
        <v>37.4</v>
      </c>
      <c r="O100" s="64">
        <v>0</v>
      </c>
      <c r="P100" s="64">
        <v>0.5</v>
      </c>
      <c r="Q100" s="64">
        <v>9.2799999999999994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1201</v>
      </c>
      <c r="B101" s="64">
        <v>8.0299999999999994</v>
      </c>
      <c r="C101" s="64">
        <v>3.05</v>
      </c>
      <c r="D101" s="64">
        <v>11.81</v>
      </c>
      <c r="E101" s="64">
        <v>4.51</v>
      </c>
      <c r="F101" s="64">
        <v>3.72</v>
      </c>
      <c r="G101" s="64">
        <v>77.400000000000006</v>
      </c>
      <c r="H101" s="64">
        <v>18.100000000000001</v>
      </c>
      <c r="I101" s="64">
        <v>1.9</v>
      </c>
      <c r="J101" s="64">
        <v>0.18</v>
      </c>
      <c r="K101" s="64">
        <v>352.97</v>
      </c>
      <c r="L101" s="64">
        <v>25.86</v>
      </c>
      <c r="M101" s="64">
        <v>102.98</v>
      </c>
      <c r="N101" s="64">
        <v>37.4</v>
      </c>
      <c r="O101" s="64">
        <v>0</v>
      </c>
      <c r="P101" s="64">
        <v>0.48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48" t="s">
        <v>1202</v>
      </c>
      <c r="B102" s="64">
        <v>8.02</v>
      </c>
      <c r="C102" s="64">
        <v>3.02</v>
      </c>
      <c r="D102" s="64">
        <v>11.78</v>
      </c>
      <c r="E102" s="64">
        <v>4.43</v>
      </c>
      <c r="F102" s="64">
        <v>3.41</v>
      </c>
      <c r="G102" s="64">
        <v>77.400000000000006</v>
      </c>
      <c r="H102" s="64">
        <v>15.1</v>
      </c>
      <c r="I102" s="64">
        <v>1.85</v>
      </c>
      <c r="J102" s="64">
        <v>0.22</v>
      </c>
      <c r="K102" s="64">
        <v>344.35</v>
      </c>
      <c r="L102" s="64">
        <v>25.84</v>
      </c>
      <c r="M102" s="64">
        <v>103.13</v>
      </c>
      <c r="N102" s="64">
        <v>37.4</v>
      </c>
      <c r="O102" s="64">
        <v>0</v>
      </c>
      <c r="P102" s="64">
        <v>0.47</v>
      </c>
      <c r="Q102" s="64">
        <v>9.27</v>
      </c>
      <c r="R102" s="198"/>
      <c r="S102" s="198"/>
      <c r="T102" s="198"/>
      <c r="U102" s="198"/>
    </row>
    <row r="103" spans="1:33" s="12" customFormat="1" x14ac:dyDescent="0.25">
      <c r="A103" s="248" t="s">
        <v>1203</v>
      </c>
      <c r="B103" s="64">
        <v>8.02</v>
      </c>
      <c r="C103" s="64">
        <v>2.93</v>
      </c>
      <c r="D103" s="64">
        <v>11.73</v>
      </c>
      <c r="E103" s="64">
        <v>4.59</v>
      </c>
      <c r="F103" s="64">
        <v>3.3</v>
      </c>
      <c r="G103" s="64">
        <v>70.209999999999994</v>
      </c>
      <c r="H103" s="64">
        <v>66.61</v>
      </c>
      <c r="I103" s="64">
        <v>1.82</v>
      </c>
      <c r="J103" s="64">
        <v>7.0000000000000007E-2</v>
      </c>
      <c r="K103" s="64">
        <v>358.07</v>
      </c>
      <c r="L103" s="64">
        <v>25.83</v>
      </c>
      <c r="M103" s="64">
        <v>102.92</v>
      </c>
      <c r="N103" s="64">
        <v>37.4</v>
      </c>
      <c r="O103" s="64">
        <v>0</v>
      </c>
      <c r="P103" s="64">
        <v>0.45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48" t="s">
        <v>1204</v>
      </c>
      <c r="B104" s="64">
        <v>8.02</v>
      </c>
      <c r="C104" s="64">
        <v>2.97</v>
      </c>
      <c r="D104" s="64">
        <v>11.75</v>
      </c>
      <c r="E104" s="64">
        <v>4.72</v>
      </c>
      <c r="F104" s="64">
        <v>4.12</v>
      </c>
      <c r="G104" s="64">
        <v>68.41</v>
      </c>
      <c r="H104" s="64">
        <v>49.74</v>
      </c>
      <c r="I104" s="64">
        <v>1.82</v>
      </c>
      <c r="J104" s="64">
        <v>0.23</v>
      </c>
      <c r="K104" s="64">
        <v>352.71</v>
      </c>
      <c r="L104" s="64">
        <v>25.83</v>
      </c>
      <c r="M104" s="64">
        <v>102.93</v>
      </c>
      <c r="N104" s="64">
        <v>37.6</v>
      </c>
      <c r="O104" s="64">
        <v>0</v>
      </c>
      <c r="P104" s="64">
        <v>0.45</v>
      </c>
      <c r="Q104" s="64">
        <v>9.26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2.93</v>
      </c>
      <c r="D106" s="67">
        <f t="shared" ref="D106:Q106" si="0">MIN(D9:D104)</f>
        <v>11.66</v>
      </c>
      <c r="E106" s="67">
        <f t="shared" si="0"/>
        <v>2.33</v>
      </c>
      <c r="F106" s="67">
        <f t="shared" si="0"/>
        <v>2.15</v>
      </c>
      <c r="G106" s="67">
        <f t="shared" si="0"/>
        <v>61.36</v>
      </c>
      <c r="H106" s="67">
        <f t="shared" si="0"/>
        <v>1.88</v>
      </c>
      <c r="I106" s="67">
        <f t="shared" si="0"/>
        <v>1.1299999999999999</v>
      </c>
      <c r="J106" s="67">
        <f t="shared" si="0"/>
        <v>0.01</v>
      </c>
      <c r="K106" s="67">
        <f t="shared" si="0"/>
        <v>0.67</v>
      </c>
      <c r="L106" s="67">
        <f t="shared" si="0"/>
        <v>25.43</v>
      </c>
      <c r="M106" s="67">
        <f t="shared" si="0"/>
        <v>71.38</v>
      </c>
      <c r="N106" s="67">
        <f t="shared" si="0"/>
        <v>37.4</v>
      </c>
      <c r="O106" s="67">
        <f t="shared" si="0"/>
        <v>0</v>
      </c>
      <c r="P106" s="67">
        <f t="shared" si="0"/>
        <v>0.3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8.5500000000000007</v>
      </c>
      <c r="C107" s="66">
        <f t="shared" ref="C107:Q107" si="1">MAX(C9:C104)</f>
        <v>3.87</v>
      </c>
      <c r="D107" s="66">
        <f t="shared" si="1"/>
        <v>12.65</v>
      </c>
      <c r="E107" s="66">
        <f t="shared" si="1"/>
        <v>5.07</v>
      </c>
      <c r="F107" s="66">
        <f t="shared" si="1"/>
        <v>6.29</v>
      </c>
      <c r="G107" s="66">
        <f t="shared" si="1"/>
        <v>122.38</v>
      </c>
      <c r="H107" s="66">
        <f t="shared" si="1"/>
        <v>66.61</v>
      </c>
      <c r="I107" s="66">
        <f t="shared" si="1"/>
        <v>6.11</v>
      </c>
      <c r="J107" s="66">
        <f t="shared" si="1"/>
        <v>0.49</v>
      </c>
      <c r="K107" s="66">
        <f t="shared" si="1"/>
        <v>359.13</v>
      </c>
      <c r="L107" s="66">
        <f t="shared" si="1"/>
        <v>33.04</v>
      </c>
      <c r="M107" s="66">
        <f t="shared" si="1"/>
        <v>104.11</v>
      </c>
      <c r="N107" s="66">
        <f t="shared" si="1"/>
        <v>1046.0999999999999</v>
      </c>
      <c r="O107" s="66">
        <f t="shared" si="1"/>
        <v>0</v>
      </c>
      <c r="P107" s="66">
        <f t="shared" si="1"/>
        <v>0.84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8.026250000000001</v>
      </c>
      <c r="C108" s="67">
        <f t="shared" ref="C108:Q108" si="2">AVERAGE(C9:C104)</f>
        <v>3.084375000000001</v>
      </c>
      <c r="D108" s="67">
        <f t="shared" si="2"/>
        <v>11.821458333333331</v>
      </c>
      <c r="E108" s="67">
        <f t="shared" si="2"/>
        <v>3.7222916666666652</v>
      </c>
      <c r="F108" s="67">
        <f t="shared" si="2"/>
        <v>4.0634375</v>
      </c>
      <c r="G108" s="67">
        <f t="shared" si="2"/>
        <v>75.921770833333269</v>
      </c>
      <c r="H108" s="67">
        <f t="shared" si="2"/>
        <v>28.568461538461545</v>
      </c>
      <c r="I108" s="67">
        <f t="shared" si="2"/>
        <v>2.9919791666666669</v>
      </c>
      <c r="J108" s="67">
        <f t="shared" si="2"/>
        <v>0.22416666666666663</v>
      </c>
      <c r="K108" s="67">
        <f t="shared" si="2"/>
        <v>250.00781249999989</v>
      </c>
      <c r="L108" s="67">
        <f t="shared" si="2"/>
        <v>28.444791666666671</v>
      </c>
      <c r="M108" s="67">
        <f t="shared" si="2"/>
        <v>91.35114583333332</v>
      </c>
      <c r="N108" s="67">
        <f t="shared" si="2"/>
        <v>272.87604166666659</v>
      </c>
      <c r="O108" s="67">
        <f t="shared" si="2"/>
        <v>0</v>
      </c>
      <c r="P108" s="67">
        <f t="shared" si="2"/>
        <v>0.49104166666666665</v>
      </c>
      <c r="Q108" s="67">
        <f t="shared" si="2"/>
        <v>9.3412499999999969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9.2954431394040998E-2</v>
      </c>
      <c r="C109" s="67">
        <f t="shared" ref="C109:Q109" si="3">STDEV(C9:C104)</f>
        <v>0.13124354620724263</v>
      </c>
      <c r="D109" s="67">
        <f t="shared" si="3"/>
        <v>0.13803873725319341</v>
      </c>
      <c r="E109" s="67">
        <f t="shared" si="3"/>
        <v>0.70041413188224566</v>
      </c>
      <c r="F109" s="67">
        <f t="shared" si="3"/>
        <v>0.97190840820901025</v>
      </c>
      <c r="G109" s="67">
        <f t="shared" si="3"/>
        <v>14.270910050632859</v>
      </c>
      <c r="H109" s="67">
        <f t="shared" si="3"/>
        <v>15.207250458111291</v>
      </c>
      <c r="I109" s="67">
        <f t="shared" si="3"/>
        <v>1.6286446543330833</v>
      </c>
      <c r="J109" s="67">
        <f t="shared" si="3"/>
        <v>9.5583159347644511E-2</v>
      </c>
      <c r="K109" s="67">
        <f t="shared" si="3"/>
        <v>140.04796755099494</v>
      </c>
      <c r="L109" s="67">
        <f t="shared" si="3"/>
        <v>2.5289710739710833</v>
      </c>
      <c r="M109" s="67">
        <f t="shared" si="3"/>
        <v>11.683430450612397</v>
      </c>
      <c r="N109" s="67">
        <f t="shared" si="3"/>
        <v>315.12056598096962</v>
      </c>
      <c r="O109" s="67">
        <f t="shared" si="3"/>
        <v>0</v>
      </c>
      <c r="P109" s="67">
        <f t="shared" si="3"/>
        <v>0.13072654598267824</v>
      </c>
      <c r="Q109" s="67">
        <f t="shared" si="3"/>
        <v>0.19520704258218796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1205</v>
      </c>
      <c r="B9" s="64">
        <v>8.0299999999999994</v>
      </c>
      <c r="C9" s="64">
        <v>3.07</v>
      </c>
      <c r="D9" s="64">
        <v>11.82</v>
      </c>
      <c r="E9" s="64">
        <v>4.63</v>
      </c>
      <c r="F9" s="64">
        <v>4.38</v>
      </c>
      <c r="G9" s="64">
        <v>68.41</v>
      </c>
      <c r="H9" s="64">
        <v>49.74</v>
      </c>
      <c r="I9" s="64">
        <v>1.81</v>
      </c>
      <c r="J9" s="64">
        <v>0.14000000000000001</v>
      </c>
      <c r="K9" s="64">
        <v>0.78</v>
      </c>
      <c r="L9" s="64">
        <v>25.84</v>
      </c>
      <c r="M9" s="64">
        <v>102.94</v>
      </c>
      <c r="N9" s="64">
        <v>37.5</v>
      </c>
      <c r="O9" s="64">
        <v>0</v>
      </c>
      <c r="P9" s="64">
        <v>0.42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48" t="s">
        <v>1206</v>
      </c>
      <c r="B10" s="64">
        <v>8.0299999999999994</v>
      </c>
      <c r="C10" s="64">
        <v>3.12</v>
      </c>
      <c r="D10" s="64">
        <v>11.85</v>
      </c>
      <c r="E10" s="64">
        <v>4.71</v>
      </c>
      <c r="F10" s="64">
        <v>2.5499999999999998</v>
      </c>
      <c r="G10" s="64">
        <v>68.41</v>
      </c>
      <c r="H10" s="64">
        <v>49.74</v>
      </c>
      <c r="I10" s="64">
        <v>1.83</v>
      </c>
      <c r="J10" s="64">
        <v>0.21</v>
      </c>
      <c r="K10" s="64">
        <v>338.03</v>
      </c>
      <c r="L10" s="64">
        <v>25.76</v>
      </c>
      <c r="M10" s="64">
        <v>102.93</v>
      </c>
      <c r="N10" s="64">
        <v>37.4</v>
      </c>
      <c r="O10" s="64">
        <v>0</v>
      </c>
      <c r="P10" s="64">
        <v>0.41</v>
      </c>
      <c r="Q10" s="64">
        <v>9.15</v>
      </c>
      <c r="R10" s="198"/>
      <c r="S10" s="198"/>
      <c r="T10" s="198"/>
      <c r="U10" s="198"/>
    </row>
    <row r="11" spans="1:21" s="12" customFormat="1" x14ac:dyDescent="0.25">
      <c r="A11" s="248" t="s">
        <v>1207</v>
      </c>
      <c r="B11" s="64">
        <v>8.01</v>
      </c>
      <c r="C11" s="64">
        <v>3.01</v>
      </c>
      <c r="D11" s="64">
        <v>11.77</v>
      </c>
      <c r="E11" s="64">
        <v>4.4400000000000004</v>
      </c>
      <c r="F11" s="64">
        <v>4.7</v>
      </c>
      <c r="G11" s="64">
        <v>60.34</v>
      </c>
      <c r="H11" s="64">
        <v>40.53</v>
      </c>
      <c r="I11" s="64">
        <v>1.81</v>
      </c>
      <c r="J11" s="64">
        <v>0.25</v>
      </c>
      <c r="K11" s="64">
        <v>15.6</v>
      </c>
      <c r="L11" s="64">
        <v>25.78</v>
      </c>
      <c r="M11" s="64">
        <v>102.96</v>
      </c>
      <c r="N11" s="64">
        <v>37.4</v>
      </c>
      <c r="O11" s="64">
        <v>0</v>
      </c>
      <c r="P11" s="64">
        <v>0.4</v>
      </c>
      <c r="Q11" s="64">
        <v>9.18</v>
      </c>
      <c r="R11" s="198"/>
      <c r="S11" s="198"/>
      <c r="T11" s="198"/>
      <c r="U11" s="198"/>
    </row>
    <row r="12" spans="1:21" s="12" customFormat="1" x14ac:dyDescent="0.25">
      <c r="A12" s="248" t="s">
        <v>1208</v>
      </c>
      <c r="B12" s="64">
        <v>7.96</v>
      </c>
      <c r="C12" s="64">
        <v>2.97</v>
      </c>
      <c r="D12" s="64">
        <v>11.71</v>
      </c>
      <c r="E12" s="64">
        <v>4.08</v>
      </c>
      <c r="F12" s="64">
        <v>3.48</v>
      </c>
      <c r="G12" s="64">
        <v>58.33</v>
      </c>
      <c r="H12" s="64">
        <v>38.229999999999997</v>
      </c>
      <c r="I12" s="64">
        <v>1.73</v>
      </c>
      <c r="J12" s="64">
        <v>0.25</v>
      </c>
      <c r="K12" s="64">
        <v>3.82</v>
      </c>
      <c r="L12" s="64">
        <v>25.85</v>
      </c>
      <c r="M12" s="64">
        <v>102.96</v>
      </c>
      <c r="N12" s="64">
        <v>37.5</v>
      </c>
      <c r="O12" s="64">
        <v>0</v>
      </c>
      <c r="P12" s="64">
        <v>0.39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48" t="s">
        <v>1209</v>
      </c>
      <c r="B13" s="64">
        <v>7.92</v>
      </c>
      <c r="C13" s="64">
        <v>2.96</v>
      </c>
      <c r="D13" s="64">
        <v>11.67</v>
      </c>
      <c r="E13" s="64">
        <v>4.2699999999999996</v>
      </c>
      <c r="F13" s="64">
        <v>3.37</v>
      </c>
      <c r="G13" s="64">
        <v>58.33</v>
      </c>
      <c r="H13" s="64">
        <v>38.229999999999997</v>
      </c>
      <c r="I13" s="64">
        <v>1.65</v>
      </c>
      <c r="J13" s="64">
        <v>0.19</v>
      </c>
      <c r="K13" s="64">
        <v>359.8</v>
      </c>
      <c r="L13" s="64">
        <v>25.86</v>
      </c>
      <c r="M13" s="64">
        <v>102.89</v>
      </c>
      <c r="N13" s="64">
        <v>37.700000000000003</v>
      </c>
      <c r="O13" s="64">
        <v>0</v>
      </c>
      <c r="P13" s="64">
        <v>0.36</v>
      </c>
      <c r="Q13" s="64">
        <v>9.17</v>
      </c>
      <c r="R13" s="198"/>
      <c r="S13" s="198"/>
      <c r="T13" s="198"/>
      <c r="U13" s="198"/>
    </row>
    <row r="14" spans="1:21" s="12" customFormat="1" x14ac:dyDescent="0.25">
      <c r="A14" s="248" t="s">
        <v>1210</v>
      </c>
      <c r="B14" s="64">
        <v>7.94</v>
      </c>
      <c r="C14" s="64">
        <v>2.97</v>
      </c>
      <c r="D14" s="64">
        <v>11.69</v>
      </c>
      <c r="E14" s="64">
        <v>4.28</v>
      </c>
      <c r="F14" s="64">
        <v>4.6500000000000004</v>
      </c>
      <c r="G14" s="64">
        <v>58.33</v>
      </c>
      <c r="H14" s="64">
        <v>38.229999999999997</v>
      </c>
      <c r="I14" s="64">
        <v>1.56</v>
      </c>
      <c r="J14" s="64">
        <v>0.25</v>
      </c>
      <c r="K14" s="64">
        <v>357.71</v>
      </c>
      <c r="L14" s="64">
        <v>25.82</v>
      </c>
      <c r="M14" s="64">
        <v>102.95</v>
      </c>
      <c r="N14" s="64">
        <v>37.700000000000003</v>
      </c>
      <c r="O14" s="64">
        <v>0</v>
      </c>
      <c r="P14" s="64">
        <v>0.35</v>
      </c>
      <c r="Q14" s="64">
        <v>9.17</v>
      </c>
      <c r="R14" s="198"/>
      <c r="S14" s="198"/>
      <c r="T14" s="198"/>
      <c r="U14" s="198"/>
    </row>
    <row r="15" spans="1:21" s="12" customFormat="1" x14ac:dyDescent="0.25">
      <c r="A15" s="248" t="s">
        <v>1211</v>
      </c>
      <c r="B15" s="64">
        <v>7.93</v>
      </c>
      <c r="C15" s="64">
        <v>2.98</v>
      </c>
      <c r="D15" s="64">
        <v>11.69</v>
      </c>
      <c r="E15" s="64">
        <v>4.47</v>
      </c>
      <c r="F15" s="64">
        <v>4.57</v>
      </c>
      <c r="G15" s="64">
        <v>48.95</v>
      </c>
      <c r="H15" s="64">
        <v>21.44</v>
      </c>
      <c r="I15" s="64">
        <v>1.4</v>
      </c>
      <c r="J15" s="64">
        <v>0.25</v>
      </c>
      <c r="K15" s="64">
        <v>2.93</v>
      </c>
      <c r="L15" s="64">
        <v>25.78</v>
      </c>
      <c r="M15" s="64">
        <v>102.97</v>
      </c>
      <c r="N15" s="64">
        <v>37.799999999999997</v>
      </c>
      <c r="O15" s="64">
        <v>0</v>
      </c>
      <c r="P15" s="64">
        <v>0.36</v>
      </c>
      <c r="Q15" s="64">
        <v>9.24</v>
      </c>
      <c r="R15" s="198"/>
      <c r="S15" s="198"/>
      <c r="T15" s="198"/>
      <c r="U15" s="198"/>
    </row>
    <row r="16" spans="1:21" s="12" customFormat="1" x14ac:dyDescent="0.25">
      <c r="A16" s="248" t="s">
        <v>1212</v>
      </c>
      <c r="B16" s="64">
        <v>7.94</v>
      </c>
      <c r="C16" s="64">
        <v>2.98</v>
      </c>
      <c r="D16" s="64">
        <v>11.7</v>
      </c>
      <c r="E16" s="64">
        <v>4.24</v>
      </c>
      <c r="F16" s="64">
        <v>2.66</v>
      </c>
      <c r="G16" s="64">
        <v>46.61</v>
      </c>
      <c r="H16" s="64">
        <v>17.25</v>
      </c>
      <c r="I16" s="64">
        <v>1.37</v>
      </c>
      <c r="J16" s="64">
        <v>0.26</v>
      </c>
      <c r="K16" s="64">
        <v>357.62</v>
      </c>
      <c r="L16" s="64">
        <v>25.76</v>
      </c>
      <c r="M16" s="64">
        <v>102.92</v>
      </c>
      <c r="N16" s="64">
        <v>37.799999999999997</v>
      </c>
      <c r="O16" s="64">
        <v>0</v>
      </c>
      <c r="P16" s="64">
        <v>0.33</v>
      </c>
      <c r="Q16" s="64">
        <v>9.17</v>
      </c>
      <c r="R16" s="198"/>
      <c r="S16" s="198"/>
      <c r="T16" s="198"/>
      <c r="U16" s="198"/>
    </row>
    <row r="17" spans="1:21" s="12" customFormat="1" x14ac:dyDescent="0.25">
      <c r="A17" s="248" t="s">
        <v>1213</v>
      </c>
      <c r="B17" s="64">
        <v>7.95</v>
      </c>
      <c r="C17" s="64">
        <v>3.05</v>
      </c>
      <c r="D17" s="64">
        <v>11.74</v>
      </c>
      <c r="E17" s="64">
        <v>4.3</v>
      </c>
      <c r="F17" s="64">
        <v>3.93</v>
      </c>
      <c r="G17" s="64">
        <v>46.61</v>
      </c>
      <c r="H17" s="64">
        <v>17.25</v>
      </c>
      <c r="I17" s="64">
        <v>1.48</v>
      </c>
      <c r="J17" s="64">
        <v>0.26</v>
      </c>
      <c r="K17" s="64">
        <v>358.61</v>
      </c>
      <c r="L17" s="64">
        <v>25.76</v>
      </c>
      <c r="M17" s="64">
        <v>102.88</v>
      </c>
      <c r="N17" s="64">
        <v>37.799999999999997</v>
      </c>
      <c r="O17" s="64">
        <v>0</v>
      </c>
      <c r="P17" s="64">
        <v>0.31</v>
      </c>
      <c r="Q17" s="64">
        <v>9.16</v>
      </c>
      <c r="R17" s="198"/>
      <c r="S17" s="198"/>
      <c r="T17" s="198"/>
      <c r="U17" s="198"/>
    </row>
    <row r="18" spans="1:21" s="12" customFormat="1" x14ac:dyDescent="0.25">
      <c r="A18" s="248" t="s">
        <v>1214</v>
      </c>
      <c r="B18" s="64">
        <v>7.96</v>
      </c>
      <c r="C18" s="64">
        <v>3</v>
      </c>
      <c r="D18" s="64">
        <v>11.72</v>
      </c>
      <c r="E18" s="64">
        <v>4.04</v>
      </c>
      <c r="F18" s="64">
        <v>5.22</v>
      </c>
      <c r="G18" s="64">
        <v>46.61</v>
      </c>
      <c r="H18" s="64">
        <v>17.25</v>
      </c>
      <c r="I18" s="64">
        <v>1.23</v>
      </c>
      <c r="J18" s="64">
        <v>0.21</v>
      </c>
      <c r="K18" s="64">
        <v>1.03</v>
      </c>
      <c r="L18" s="64">
        <v>25.67</v>
      </c>
      <c r="M18" s="64">
        <v>102.89</v>
      </c>
      <c r="N18" s="64">
        <v>37.799999999999997</v>
      </c>
      <c r="O18" s="64">
        <v>0</v>
      </c>
      <c r="P18" s="64">
        <v>0.32</v>
      </c>
      <c r="Q18" s="64">
        <v>9.2100000000000009</v>
      </c>
      <c r="R18" s="198"/>
      <c r="S18" s="198"/>
      <c r="T18" s="198"/>
      <c r="U18" s="198"/>
    </row>
    <row r="19" spans="1:21" s="12" customFormat="1" x14ac:dyDescent="0.25">
      <c r="A19" s="248" t="s">
        <v>1215</v>
      </c>
      <c r="B19" s="64">
        <v>7.97</v>
      </c>
      <c r="C19" s="64">
        <v>2.98</v>
      </c>
      <c r="D19" s="64">
        <v>11.72</v>
      </c>
      <c r="E19" s="64">
        <v>4.58</v>
      </c>
      <c r="F19" s="64">
        <v>3.1</v>
      </c>
      <c r="G19" s="64">
        <v>45.29</v>
      </c>
      <c r="H19" s="64">
        <v>8.23</v>
      </c>
      <c r="I19" s="64">
        <v>1.25</v>
      </c>
      <c r="J19" s="64">
        <v>0.22</v>
      </c>
      <c r="K19" s="64">
        <v>346.39</v>
      </c>
      <c r="L19" s="64">
        <v>25.66</v>
      </c>
      <c r="M19" s="64">
        <v>102.9</v>
      </c>
      <c r="N19" s="64">
        <v>37.700000000000003</v>
      </c>
      <c r="O19" s="64">
        <v>0</v>
      </c>
      <c r="P19" s="64">
        <v>0.31</v>
      </c>
      <c r="Q19" s="64">
        <v>9.2200000000000006</v>
      </c>
      <c r="R19" s="198"/>
      <c r="S19" s="198"/>
      <c r="T19" s="198"/>
      <c r="U19" s="198"/>
    </row>
    <row r="20" spans="1:21" s="12" customFormat="1" x14ac:dyDescent="0.25">
      <c r="A20" s="248" t="s">
        <v>1216</v>
      </c>
      <c r="B20" s="64">
        <v>7.98</v>
      </c>
      <c r="C20" s="64">
        <v>3.02</v>
      </c>
      <c r="D20" s="64">
        <v>11.75</v>
      </c>
      <c r="E20" s="64">
        <v>3.51</v>
      </c>
      <c r="F20" s="64">
        <v>4.46</v>
      </c>
      <c r="G20" s="64">
        <v>44.96</v>
      </c>
      <c r="H20" s="64">
        <v>5.98</v>
      </c>
      <c r="I20" s="64">
        <v>1.24</v>
      </c>
      <c r="J20" s="64">
        <v>0.2</v>
      </c>
      <c r="K20" s="64">
        <v>348.56</v>
      </c>
      <c r="L20" s="64">
        <v>25.64</v>
      </c>
      <c r="M20" s="64">
        <v>102.84</v>
      </c>
      <c r="N20" s="64">
        <v>37.700000000000003</v>
      </c>
      <c r="O20" s="64">
        <v>0</v>
      </c>
      <c r="P20" s="64">
        <v>0.28999999999999998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48" t="s">
        <v>1217</v>
      </c>
      <c r="B21" s="64">
        <v>7.98</v>
      </c>
      <c r="C21" s="64">
        <v>3.01</v>
      </c>
      <c r="D21" s="64">
        <v>11.74</v>
      </c>
      <c r="E21" s="64">
        <v>3.59</v>
      </c>
      <c r="F21" s="64">
        <v>4.12</v>
      </c>
      <c r="G21" s="64">
        <v>44.96</v>
      </c>
      <c r="H21" s="64">
        <v>5.98</v>
      </c>
      <c r="I21" s="64">
        <v>1.2</v>
      </c>
      <c r="J21" s="64">
        <v>0.2</v>
      </c>
      <c r="K21" s="64">
        <v>356.65</v>
      </c>
      <c r="L21" s="64">
        <v>25.65</v>
      </c>
      <c r="M21" s="64">
        <v>102.86</v>
      </c>
      <c r="N21" s="64">
        <v>37.799999999999997</v>
      </c>
      <c r="O21" s="64">
        <v>0</v>
      </c>
      <c r="P21" s="64">
        <v>0.28999999999999998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48" t="s">
        <v>1218</v>
      </c>
      <c r="B22" s="64">
        <v>7.99</v>
      </c>
      <c r="C22" s="64">
        <v>2.97</v>
      </c>
      <c r="D22" s="64">
        <v>11.74</v>
      </c>
      <c r="E22" s="64">
        <v>4.05</v>
      </c>
      <c r="F22" s="64">
        <v>4.0199999999999996</v>
      </c>
      <c r="G22" s="64">
        <v>44.96</v>
      </c>
      <c r="H22" s="64">
        <v>5.98</v>
      </c>
      <c r="I22" s="64">
        <v>1.07</v>
      </c>
      <c r="J22" s="64">
        <v>0.16</v>
      </c>
      <c r="K22" s="64">
        <v>312.22000000000003</v>
      </c>
      <c r="L22" s="64">
        <v>25.56</v>
      </c>
      <c r="M22" s="64">
        <v>102.86</v>
      </c>
      <c r="N22" s="64">
        <v>37.799999999999997</v>
      </c>
      <c r="O22" s="64">
        <v>0</v>
      </c>
      <c r="P22" s="64">
        <v>0.28000000000000003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48" t="s">
        <v>1219</v>
      </c>
      <c r="B23" s="64">
        <v>7.99</v>
      </c>
      <c r="C23" s="64">
        <v>3</v>
      </c>
      <c r="D23" s="64">
        <v>11.75</v>
      </c>
      <c r="E23" s="64">
        <v>4.13</v>
      </c>
      <c r="F23" s="64">
        <v>3.96</v>
      </c>
      <c r="G23" s="64">
        <v>40.06</v>
      </c>
      <c r="H23" s="64">
        <v>2.5299999999999998</v>
      </c>
      <c r="I23" s="64">
        <v>0.99</v>
      </c>
      <c r="J23" s="64">
        <v>0.16</v>
      </c>
      <c r="K23" s="64">
        <v>317.77</v>
      </c>
      <c r="L23" s="64">
        <v>25.49</v>
      </c>
      <c r="M23" s="64">
        <v>102.86</v>
      </c>
      <c r="N23" s="64">
        <v>38</v>
      </c>
      <c r="O23" s="64">
        <v>0</v>
      </c>
      <c r="P23" s="64">
        <v>0.27</v>
      </c>
      <c r="Q23" s="64">
        <v>9.2100000000000009</v>
      </c>
      <c r="R23" s="198"/>
      <c r="S23" s="198"/>
      <c r="T23" s="198"/>
      <c r="U23" s="198"/>
    </row>
    <row r="24" spans="1:21" s="12" customFormat="1" x14ac:dyDescent="0.25">
      <c r="A24" s="248" t="s">
        <v>1220</v>
      </c>
      <c r="B24" s="64">
        <v>8</v>
      </c>
      <c r="C24" s="64">
        <v>2.99</v>
      </c>
      <c r="D24" s="64">
        <v>11.75</v>
      </c>
      <c r="E24" s="64">
        <v>3.95</v>
      </c>
      <c r="F24" s="64">
        <v>3.84</v>
      </c>
      <c r="G24" s="64">
        <v>38.83</v>
      </c>
      <c r="H24" s="64">
        <v>1.67</v>
      </c>
      <c r="I24" s="64">
        <v>0.97</v>
      </c>
      <c r="J24" s="64">
        <v>0.2</v>
      </c>
      <c r="K24" s="64">
        <v>329.21</v>
      </c>
      <c r="L24" s="64">
        <v>25.37</v>
      </c>
      <c r="M24" s="64">
        <v>102.3</v>
      </c>
      <c r="N24" s="64">
        <v>37.9</v>
      </c>
      <c r="O24" s="64">
        <v>0</v>
      </c>
      <c r="P24" s="64">
        <v>0.27</v>
      </c>
      <c r="Q24" s="64">
        <v>9.2100000000000009</v>
      </c>
      <c r="R24" s="198"/>
      <c r="S24" s="198"/>
      <c r="T24" s="198"/>
      <c r="U24" s="198"/>
    </row>
    <row r="25" spans="1:21" s="12" customFormat="1" x14ac:dyDescent="0.25">
      <c r="A25" s="248" t="s">
        <v>1221</v>
      </c>
      <c r="B25" s="64">
        <v>8.01</v>
      </c>
      <c r="C25" s="64">
        <v>3.02</v>
      </c>
      <c r="D25" s="64">
        <v>11.78</v>
      </c>
      <c r="E25" s="64">
        <v>4.21</v>
      </c>
      <c r="F25" s="64">
        <v>3.73</v>
      </c>
      <c r="G25" s="64">
        <v>38.83</v>
      </c>
      <c r="H25" s="64">
        <v>1.67</v>
      </c>
      <c r="I25" s="64">
        <v>0.99</v>
      </c>
      <c r="J25" s="64">
        <v>0.21</v>
      </c>
      <c r="K25" s="64">
        <v>339.32</v>
      </c>
      <c r="L25" s="64">
        <v>25.21</v>
      </c>
      <c r="M25" s="64">
        <v>102.35</v>
      </c>
      <c r="N25" s="64">
        <v>37.799999999999997</v>
      </c>
      <c r="O25" s="64">
        <v>0</v>
      </c>
      <c r="P25" s="64">
        <v>0.26</v>
      </c>
      <c r="Q25" s="64">
        <v>9.19</v>
      </c>
      <c r="R25" s="198"/>
      <c r="S25" s="198"/>
      <c r="T25" s="198"/>
      <c r="U25" s="198"/>
    </row>
    <row r="26" spans="1:21" s="12" customFormat="1" x14ac:dyDescent="0.25">
      <c r="A26" s="248" t="s">
        <v>1222</v>
      </c>
      <c r="B26" s="64">
        <v>7.99</v>
      </c>
      <c r="C26" s="64">
        <v>2.99</v>
      </c>
      <c r="D26" s="64">
        <v>11.74</v>
      </c>
      <c r="E26" s="64">
        <v>4.0599999999999996</v>
      </c>
      <c r="F26" s="64">
        <v>3.38</v>
      </c>
      <c r="G26" s="64">
        <v>38.83</v>
      </c>
      <c r="H26" s="64">
        <v>1.67</v>
      </c>
      <c r="I26" s="64">
        <v>0.98</v>
      </c>
      <c r="J26" s="64">
        <v>0.2</v>
      </c>
      <c r="K26" s="64">
        <v>336.55</v>
      </c>
      <c r="L26" s="64">
        <v>25.1</v>
      </c>
      <c r="M26" s="64">
        <v>102.71</v>
      </c>
      <c r="N26" s="64">
        <v>37.799999999999997</v>
      </c>
      <c r="O26" s="64">
        <v>0</v>
      </c>
      <c r="P26" s="64">
        <v>0.25</v>
      </c>
      <c r="Q26" s="64">
        <v>9.18</v>
      </c>
      <c r="R26" s="198"/>
      <c r="S26" s="198"/>
      <c r="T26" s="198"/>
      <c r="U26" s="198"/>
    </row>
    <row r="27" spans="1:21" s="12" customFormat="1" x14ac:dyDescent="0.25">
      <c r="A27" s="248" t="s">
        <v>1223</v>
      </c>
      <c r="B27" s="64">
        <v>7.96</v>
      </c>
      <c r="C27" s="64">
        <v>2.96</v>
      </c>
      <c r="D27" s="64">
        <v>11.71</v>
      </c>
      <c r="E27" s="64">
        <v>4.09</v>
      </c>
      <c r="F27" s="64">
        <v>4.67</v>
      </c>
      <c r="G27" s="64">
        <v>31.4</v>
      </c>
      <c r="H27" s="64">
        <v>8.86</v>
      </c>
      <c r="I27" s="64">
        <v>1</v>
      </c>
      <c r="J27" s="64">
        <v>0.16</v>
      </c>
      <c r="K27" s="64">
        <v>15.02</v>
      </c>
      <c r="L27" s="64">
        <v>24.95</v>
      </c>
      <c r="M27" s="64">
        <v>102.12</v>
      </c>
      <c r="N27" s="64">
        <v>37.700000000000003</v>
      </c>
      <c r="O27" s="64">
        <v>0</v>
      </c>
      <c r="P27" s="64">
        <v>0.26</v>
      </c>
      <c r="Q27" s="64">
        <v>9.17</v>
      </c>
      <c r="R27" s="198"/>
      <c r="S27" s="198"/>
      <c r="T27" s="198"/>
      <c r="U27" s="198"/>
    </row>
    <row r="28" spans="1:21" s="12" customFormat="1" x14ac:dyDescent="0.25">
      <c r="A28" s="248" t="s">
        <v>1224</v>
      </c>
      <c r="B28" s="64">
        <v>7.94</v>
      </c>
      <c r="C28" s="64">
        <v>2.89</v>
      </c>
      <c r="D28" s="64">
        <v>11.65</v>
      </c>
      <c r="E28" s="64">
        <v>4.0999999999999996</v>
      </c>
      <c r="F28" s="64">
        <v>3.55</v>
      </c>
      <c r="G28" s="64">
        <v>29.55</v>
      </c>
      <c r="H28" s="64">
        <v>10.65</v>
      </c>
      <c r="I28" s="64">
        <v>1</v>
      </c>
      <c r="J28" s="64">
        <v>0.14000000000000001</v>
      </c>
      <c r="K28" s="64">
        <v>342.1</v>
      </c>
      <c r="L28" s="64">
        <v>24.92</v>
      </c>
      <c r="M28" s="64">
        <v>102.14</v>
      </c>
      <c r="N28" s="64">
        <v>37.700000000000003</v>
      </c>
      <c r="O28" s="64">
        <v>0</v>
      </c>
      <c r="P28" s="64">
        <v>0.26</v>
      </c>
      <c r="Q28" s="64">
        <v>9.16</v>
      </c>
      <c r="R28" s="198"/>
      <c r="S28" s="198"/>
      <c r="T28" s="198"/>
      <c r="U28" s="198"/>
    </row>
    <row r="29" spans="1:21" s="12" customFormat="1" x14ac:dyDescent="0.25">
      <c r="A29" s="248" t="s">
        <v>1225</v>
      </c>
      <c r="B29" s="64">
        <v>7.93</v>
      </c>
      <c r="C29" s="64">
        <v>2.96</v>
      </c>
      <c r="D29" s="64">
        <v>11.68</v>
      </c>
      <c r="E29" s="64">
        <v>4.13</v>
      </c>
      <c r="F29" s="64">
        <v>3.14</v>
      </c>
      <c r="G29" s="64">
        <v>29.55</v>
      </c>
      <c r="H29" s="64">
        <v>10.65</v>
      </c>
      <c r="I29" s="64">
        <v>1.01</v>
      </c>
      <c r="J29" s="64">
        <v>0.13</v>
      </c>
      <c r="K29" s="64">
        <v>348.99</v>
      </c>
      <c r="L29" s="64">
        <v>24.86</v>
      </c>
      <c r="M29" s="64">
        <v>102.19</v>
      </c>
      <c r="N29" s="64">
        <v>37.6</v>
      </c>
      <c r="O29" s="64">
        <v>0</v>
      </c>
      <c r="P29" s="64">
        <v>0.24</v>
      </c>
      <c r="Q29" s="64">
        <v>9.11</v>
      </c>
      <c r="R29" s="198"/>
      <c r="S29" s="198"/>
      <c r="T29" s="198"/>
      <c r="U29" s="198"/>
    </row>
    <row r="30" spans="1:21" s="12" customFormat="1" x14ac:dyDescent="0.25">
      <c r="A30" s="248" t="s">
        <v>1226</v>
      </c>
      <c r="B30" s="64">
        <v>7.94</v>
      </c>
      <c r="C30" s="64">
        <v>2.95</v>
      </c>
      <c r="D30" s="64">
        <v>11.68</v>
      </c>
      <c r="E30" s="64">
        <v>4.2300000000000004</v>
      </c>
      <c r="F30" s="64">
        <v>4.74</v>
      </c>
      <c r="G30" s="64">
        <v>29.55</v>
      </c>
      <c r="H30" s="64">
        <v>10.65</v>
      </c>
      <c r="I30" s="64">
        <v>1.06</v>
      </c>
      <c r="J30" s="64">
        <v>0.26</v>
      </c>
      <c r="K30" s="64">
        <v>2.79</v>
      </c>
      <c r="L30" s="64">
        <v>24.69</v>
      </c>
      <c r="M30" s="64">
        <v>102.71</v>
      </c>
      <c r="N30" s="64">
        <v>37.700000000000003</v>
      </c>
      <c r="O30" s="64">
        <v>0</v>
      </c>
      <c r="P30" s="64">
        <v>0.26</v>
      </c>
      <c r="Q30" s="64">
        <v>9.14</v>
      </c>
      <c r="R30" s="198"/>
      <c r="S30" s="198"/>
      <c r="T30" s="198"/>
      <c r="U30" s="198"/>
    </row>
    <row r="31" spans="1:21" s="12" customFormat="1" x14ac:dyDescent="0.25">
      <c r="A31" s="248" t="s">
        <v>1227</v>
      </c>
      <c r="B31" s="64">
        <v>7.98</v>
      </c>
      <c r="C31" s="64">
        <v>3.02</v>
      </c>
      <c r="D31" s="64">
        <v>11.75</v>
      </c>
      <c r="E31" s="64">
        <v>4.1100000000000003</v>
      </c>
      <c r="F31" s="64">
        <v>2.2799999999999998</v>
      </c>
      <c r="G31" s="64">
        <v>31.75</v>
      </c>
      <c r="H31" s="64">
        <v>14.94</v>
      </c>
      <c r="I31" s="64">
        <v>1.0900000000000001</v>
      </c>
      <c r="J31" s="64">
        <v>0.18</v>
      </c>
      <c r="K31" s="64">
        <v>343.13</v>
      </c>
      <c r="L31" s="64">
        <v>24.67</v>
      </c>
      <c r="M31" s="64">
        <v>102.1</v>
      </c>
      <c r="N31" s="64">
        <v>38.700000000000003</v>
      </c>
      <c r="O31" s="64">
        <v>0</v>
      </c>
      <c r="P31" s="64">
        <v>0.25</v>
      </c>
      <c r="Q31" s="64">
        <v>9.11</v>
      </c>
      <c r="R31" s="198"/>
      <c r="S31" s="198"/>
      <c r="T31" s="198"/>
      <c r="U31" s="198"/>
    </row>
    <row r="32" spans="1:21" s="12" customFormat="1" x14ac:dyDescent="0.25">
      <c r="A32" s="248" t="s">
        <v>1228</v>
      </c>
      <c r="B32" s="64">
        <v>7.96</v>
      </c>
      <c r="C32" s="64">
        <v>2.97</v>
      </c>
      <c r="D32" s="64">
        <v>11.71</v>
      </c>
      <c r="E32" s="64">
        <v>4.2</v>
      </c>
      <c r="F32" s="64">
        <v>4.41</v>
      </c>
      <c r="G32" s="64">
        <v>32.299999999999997</v>
      </c>
      <c r="H32" s="64">
        <v>16.010000000000002</v>
      </c>
      <c r="I32" s="64">
        <v>1.07</v>
      </c>
      <c r="J32" s="64">
        <v>0.21</v>
      </c>
      <c r="K32" s="64">
        <v>337.94</v>
      </c>
      <c r="L32" s="64">
        <v>24.67</v>
      </c>
      <c r="M32" s="64">
        <v>102.06</v>
      </c>
      <c r="N32" s="64">
        <v>45</v>
      </c>
      <c r="O32" s="64">
        <v>0</v>
      </c>
      <c r="P32" s="64">
        <v>0.25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48" t="s">
        <v>1229</v>
      </c>
      <c r="B33" s="64">
        <v>7.93</v>
      </c>
      <c r="C33" s="64">
        <v>2.95</v>
      </c>
      <c r="D33" s="64">
        <v>11.67</v>
      </c>
      <c r="E33" s="64">
        <v>4.34</v>
      </c>
      <c r="F33" s="64">
        <v>2.79</v>
      </c>
      <c r="G33" s="64">
        <v>32.299999999999997</v>
      </c>
      <c r="H33" s="64">
        <v>16.010000000000002</v>
      </c>
      <c r="I33" s="64">
        <v>1.03</v>
      </c>
      <c r="J33" s="64">
        <v>0.24</v>
      </c>
      <c r="K33" s="64">
        <v>337.88</v>
      </c>
      <c r="L33" s="64">
        <v>24.83</v>
      </c>
      <c r="M33" s="64">
        <v>102.02</v>
      </c>
      <c r="N33" s="64">
        <v>49.6</v>
      </c>
      <c r="O33" s="64">
        <v>0</v>
      </c>
      <c r="P33" s="64">
        <v>0.2</v>
      </c>
      <c r="Q33" s="64">
        <v>9.16</v>
      </c>
      <c r="R33" s="198"/>
      <c r="S33" s="198"/>
      <c r="T33" s="198"/>
      <c r="U33" s="198"/>
    </row>
    <row r="34" spans="1:21" s="12" customFormat="1" x14ac:dyDescent="0.25">
      <c r="A34" s="248" t="s">
        <v>1230</v>
      </c>
      <c r="B34" s="64">
        <v>7.95</v>
      </c>
      <c r="C34" s="64">
        <v>2.99</v>
      </c>
      <c r="D34" s="64">
        <v>11.71</v>
      </c>
      <c r="E34" s="64">
        <v>4.1399999999999997</v>
      </c>
      <c r="F34" s="64">
        <v>3.78</v>
      </c>
      <c r="G34" s="64">
        <v>32.299999999999997</v>
      </c>
      <c r="H34" s="64">
        <v>16.010000000000002</v>
      </c>
      <c r="I34" s="64">
        <v>1.08</v>
      </c>
      <c r="J34" s="64">
        <v>0.24</v>
      </c>
      <c r="K34" s="64">
        <v>352.1</v>
      </c>
      <c r="L34" s="64">
        <v>24.91</v>
      </c>
      <c r="M34" s="64">
        <v>102.56</v>
      </c>
      <c r="N34" s="64">
        <v>52.4</v>
      </c>
      <c r="O34" s="64">
        <v>0</v>
      </c>
      <c r="P34" s="64">
        <v>0.21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48" t="s">
        <v>1231</v>
      </c>
      <c r="B35" s="64">
        <v>7.95</v>
      </c>
      <c r="C35" s="64">
        <v>3</v>
      </c>
      <c r="D35" s="64">
        <v>11.72</v>
      </c>
      <c r="E35" s="64">
        <v>4.09</v>
      </c>
      <c r="F35" s="64">
        <v>4.2300000000000004</v>
      </c>
      <c r="G35" s="64">
        <v>32.68</v>
      </c>
      <c r="H35" s="64">
        <v>7.56</v>
      </c>
      <c r="I35" s="64">
        <v>1.07</v>
      </c>
      <c r="J35" s="64">
        <v>0.23</v>
      </c>
      <c r="K35" s="64">
        <v>339.2</v>
      </c>
      <c r="L35" s="64">
        <v>24.97</v>
      </c>
      <c r="M35" s="64">
        <v>102.17</v>
      </c>
      <c r="N35" s="64">
        <v>48.9</v>
      </c>
      <c r="O35" s="64">
        <v>0</v>
      </c>
      <c r="P35" s="64">
        <v>0.23</v>
      </c>
      <c r="Q35" s="64">
        <v>9.1999999999999993</v>
      </c>
      <c r="R35" s="198"/>
      <c r="S35" s="198"/>
      <c r="T35" s="198"/>
      <c r="U35" s="198"/>
    </row>
    <row r="36" spans="1:21" s="12" customFormat="1" x14ac:dyDescent="0.25">
      <c r="A36" s="248" t="s">
        <v>1232</v>
      </c>
      <c r="B36" s="64">
        <v>7.99</v>
      </c>
      <c r="C36" s="64">
        <v>3.08</v>
      </c>
      <c r="D36" s="64">
        <v>11.79</v>
      </c>
      <c r="E36" s="64">
        <v>4.53</v>
      </c>
      <c r="F36" s="64">
        <v>2.4</v>
      </c>
      <c r="G36" s="64">
        <v>32.770000000000003</v>
      </c>
      <c r="H36" s="64">
        <v>5.44</v>
      </c>
      <c r="I36" s="64">
        <v>1.04</v>
      </c>
      <c r="J36" s="64">
        <v>0.17</v>
      </c>
      <c r="K36" s="64">
        <v>329.53</v>
      </c>
      <c r="L36" s="64">
        <v>25</v>
      </c>
      <c r="M36" s="64">
        <v>102.2</v>
      </c>
      <c r="N36" s="64">
        <v>56.9</v>
      </c>
      <c r="O36" s="64">
        <v>0</v>
      </c>
      <c r="P36" s="64">
        <v>0.23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48" t="s">
        <v>1233</v>
      </c>
      <c r="B37" s="64">
        <v>8.01</v>
      </c>
      <c r="C37" s="64">
        <v>3.1</v>
      </c>
      <c r="D37" s="64">
        <v>11.82</v>
      </c>
      <c r="E37" s="64">
        <v>4.01</v>
      </c>
      <c r="F37" s="64">
        <v>4.08</v>
      </c>
      <c r="G37" s="64">
        <v>32.770000000000003</v>
      </c>
      <c r="H37" s="64">
        <v>5.44</v>
      </c>
      <c r="I37" s="64">
        <v>1.0900000000000001</v>
      </c>
      <c r="J37" s="64">
        <v>0.17</v>
      </c>
      <c r="K37" s="64">
        <v>333.13</v>
      </c>
      <c r="L37" s="64">
        <v>25.22</v>
      </c>
      <c r="M37" s="64">
        <v>102.58</v>
      </c>
      <c r="N37" s="64">
        <v>77.7</v>
      </c>
      <c r="O37" s="64">
        <v>0</v>
      </c>
      <c r="P37" s="64">
        <v>0.23</v>
      </c>
      <c r="Q37" s="64">
        <v>9.17</v>
      </c>
      <c r="R37" s="198"/>
      <c r="S37" s="198"/>
      <c r="T37" s="198"/>
      <c r="U37" s="198"/>
    </row>
    <row r="38" spans="1:21" s="12" customFormat="1" x14ac:dyDescent="0.25">
      <c r="A38" s="248" t="s">
        <v>1234</v>
      </c>
      <c r="B38" s="64">
        <v>8.01</v>
      </c>
      <c r="C38" s="64">
        <v>3.06</v>
      </c>
      <c r="D38" s="64">
        <v>11.8</v>
      </c>
      <c r="E38" s="64">
        <v>4.08</v>
      </c>
      <c r="F38" s="64">
        <v>3.69</v>
      </c>
      <c r="G38" s="64">
        <v>32.770000000000003</v>
      </c>
      <c r="H38" s="64">
        <v>5.44</v>
      </c>
      <c r="I38" s="64">
        <v>1.08</v>
      </c>
      <c r="J38" s="64">
        <v>0.15</v>
      </c>
      <c r="K38" s="64">
        <v>347.45</v>
      </c>
      <c r="L38" s="64">
        <v>25.35</v>
      </c>
      <c r="M38" s="64">
        <v>103.16</v>
      </c>
      <c r="N38" s="64">
        <v>99</v>
      </c>
      <c r="O38" s="64">
        <v>0</v>
      </c>
      <c r="P38" s="64">
        <v>0.23</v>
      </c>
      <c r="Q38" s="64">
        <v>9.19</v>
      </c>
      <c r="R38" s="198"/>
      <c r="S38" s="198"/>
      <c r="T38" s="198"/>
      <c r="U38" s="198"/>
    </row>
    <row r="39" spans="1:21" s="12" customFormat="1" x14ac:dyDescent="0.25">
      <c r="A39" s="248" t="s">
        <v>1235</v>
      </c>
      <c r="B39" s="64">
        <v>8.01</v>
      </c>
      <c r="C39" s="64">
        <v>2.98</v>
      </c>
      <c r="D39" s="64">
        <v>11.75</v>
      </c>
      <c r="E39" s="64">
        <v>4.38</v>
      </c>
      <c r="F39" s="64">
        <v>3.58</v>
      </c>
      <c r="G39" s="64">
        <v>35.22</v>
      </c>
      <c r="H39" s="64">
        <v>13.11</v>
      </c>
      <c r="I39" s="64">
        <v>1.1200000000000001</v>
      </c>
      <c r="J39" s="64">
        <v>0.22</v>
      </c>
      <c r="K39" s="64">
        <v>333.88</v>
      </c>
      <c r="L39" s="64">
        <v>25.61</v>
      </c>
      <c r="M39" s="64">
        <v>102.91</v>
      </c>
      <c r="N39" s="64">
        <v>139.1</v>
      </c>
      <c r="O39" s="64">
        <v>0</v>
      </c>
      <c r="P39" s="64">
        <v>0.24</v>
      </c>
      <c r="Q39" s="64">
        <v>9.2100000000000009</v>
      </c>
      <c r="R39" s="198"/>
      <c r="S39" s="198"/>
      <c r="T39" s="198"/>
      <c r="U39" s="198"/>
    </row>
    <row r="40" spans="1:21" s="12" customFormat="1" x14ac:dyDescent="0.25">
      <c r="A40" s="248" t="s">
        <v>1236</v>
      </c>
      <c r="B40" s="64">
        <v>8.02</v>
      </c>
      <c r="C40" s="64">
        <v>3.03</v>
      </c>
      <c r="D40" s="64">
        <v>11.79</v>
      </c>
      <c r="E40" s="64">
        <v>4.07</v>
      </c>
      <c r="F40" s="64">
        <v>3.56</v>
      </c>
      <c r="G40" s="64">
        <v>35.83</v>
      </c>
      <c r="H40" s="64">
        <v>15.03</v>
      </c>
      <c r="I40" s="64">
        <v>1.17</v>
      </c>
      <c r="J40" s="64">
        <v>0.24</v>
      </c>
      <c r="K40" s="64">
        <v>333.03</v>
      </c>
      <c r="L40" s="64">
        <v>25.89</v>
      </c>
      <c r="M40" s="64">
        <v>102.39</v>
      </c>
      <c r="N40" s="64">
        <v>192</v>
      </c>
      <c r="O40" s="64">
        <v>0</v>
      </c>
      <c r="P40" s="64">
        <v>0.25</v>
      </c>
      <c r="Q40" s="64">
        <v>9.2200000000000006</v>
      </c>
      <c r="R40" s="198"/>
      <c r="S40" s="198"/>
      <c r="T40" s="198"/>
      <c r="U40" s="198"/>
    </row>
    <row r="41" spans="1:21" s="12" customFormat="1" x14ac:dyDescent="0.25">
      <c r="A41" s="248" t="s">
        <v>1237</v>
      </c>
      <c r="B41" s="64">
        <v>8.02</v>
      </c>
      <c r="C41" s="64">
        <v>3.02</v>
      </c>
      <c r="D41" s="64">
        <v>11.78</v>
      </c>
      <c r="E41" s="64">
        <v>4.05</v>
      </c>
      <c r="F41" s="64">
        <v>3.61</v>
      </c>
      <c r="G41" s="64">
        <v>35.83</v>
      </c>
      <c r="H41" s="64">
        <v>15.03</v>
      </c>
      <c r="I41" s="64">
        <v>1.26</v>
      </c>
      <c r="J41" s="64">
        <v>0.33</v>
      </c>
      <c r="K41" s="64">
        <v>347.88</v>
      </c>
      <c r="L41" s="64">
        <v>26.55</v>
      </c>
      <c r="M41" s="64">
        <v>102.44</v>
      </c>
      <c r="N41" s="64">
        <v>241.3</v>
      </c>
      <c r="O41" s="64">
        <v>0</v>
      </c>
      <c r="P41" s="64">
        <v>0.25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48" t="s">
        <v>1238</v>
      </c>
      <c r="B42" s="64">
        <v>8.02</v>
      </c>
      <c r="C42" s="64">
        <v>2.99</v>
      </c>
      <c r="D42" s="64">
        <v>11.77</v>
      </c>
      <c r="E42" s="64">
        <v>4.16</v>
      </c>
      <c r="F42" s="64">
        <v>3.64</v>
      </c>
      <c r="G42" s="64">
        <v>35.83</v>
      </c>
      <c r="H42" s="64">
        <v>15.03</v>
      </c>
      <c r="I42" s="64">
        <v>1.24</v>
      </c>
      <c r="J42" s="64">
        <v>0.21</v>
      </c>
      <c r="K42" s="64">
        <v>327.29000000000002</v>
      </c>
      <c r="L42" s="64">
        <v>26.78</v>
      </c>
      <c r="M42" s="64">
        <v>102.11</v>
      </c>
      <c r="N42" s="64">
        <v>188.9</v>
      </c>
      <c r="O42" s="64">
        <v>0</v>
      </c>
      <c r="P42" s="64">
        <v>0.26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48" t="s">
        <v>1239</v>
      </c>
      <c r="B43" s="64">
        <v>8.0299999999999994</v>
      </c>
      <c r="C43" s="64">
        <v>3</v>
      </c>
      <c r="D43" s="64">
        <v>11.78</v>
      </c>
      <c r="E43" s="64">
        <v>4.59</v>
      </c>
      <c r="F43" s="64">
        <v>3.68</v>
      </c>
      <c r="G43" s="64">
        <v>41.74</v>
      </c>
      <c r="H43" s="64">
        <v>9.84</v>
      </c>
      <c r="I43" s="64">
        <v>1.19</v>
      </c>
      <c r="J43" s="64">
        <v>0.3</v>
      </c>
      <c r="K43" s="64">
        <v>344.32</v>
      </c>
      <c r="L43" s="64">
        <v>26.48</v>
      </c>
      <c r="M43" s="64">
        <v>102.53</v>
      </c>
      <c r="N43" s="64">
        <v>190.4</v>
      </c>
      <c r="O43" s="64">
        <v>0</v>
      </c>
      <c r="P43" s="64">
        <v>0.27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48" t="s">
        <v>1240</v>
      </c>
      <c r="B44" s="64">
        <v>8.01</v>
      </c>
      <c r="C44" s="64">
        <v>2.97</v>
      </c>
      <c r="D44" s="64">
        <v>11.75</v>
      </c>
      <c r="E44" s="64">
        <v>4.3499999999999996</v>
      </c>
      <c r="F44" s="64">
        <v>4.0999999999999996</v>
      </c>
      <c r="G44" s="64">
        <v>43.22</v>
      </c>
      <c r="H44" s="64">
        <v>8.5399999999999991</v>
      </c>
      <c r="I44" s="64">
        <v>1.19</v>
      </c>
      <c r="J44" s="64">
        <v>0.27</v>
      </c>
      <c r="K44" s="64">
        <v>348.15</v>
      </c>
      <c r="L44" s="64">
        <v>26.81</v>
      </c>
      <c r="M44" s="64">
        <v>101.7</v>
      </c>
      <c r="N44" s="64">
        <v>207.8</v>
      </c>
      <c r="O44" s="64">
        <v>0</v>
      </c>
      <c r="P44" s="64">
        <v>0.27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48" t="s">
        <v>1241</v>
      </c>
      <c r="B45" s="64">
        <v>8.02</v>
      </c>
      <c r="C45" s="64">
        <v>2.98</v>
      </c>
      <c r="D45" s="64">
        <v>11.76</v>
      </c>
      <c r="E45" s="64">
        <v>4.42</v>
      </c>
      <c r="F45" s="64">
        <v>4.41</v>
      </c>
      <c r="G45" s="64">
        <v>43.22</v>
      </c>
      <c r="H45" s="64">
        <v>8.5399999999999991</v>
      </c>
      <c r="I45" s="64">
        <v>1.1399999999999999</v>
      </c>
      <c r="J45" s="64">
        <v>0.23</v>
      </c>
      <c r="K45" s="64">
        <v>346.95</v>
      </c>
      <c r="L45" s="64">
        <v>27.22</v>
      </c>
      <c r="M45" s="64">
        <v>100.47</v>
      </c>
      <c r="N45" s="64">
        <v>195.2</v>
      </c>
      <c r="O45" s="64">
        <v>0</v>
      </c>
      <c r="P45" s="64">
        <v>0.28999999999999998</v>
      </c>
      <c r="Q45" s="64">
        <v>9.23</v>
      </c>
      <c r="R45" s="198"/>
      <c r="S45" s="198"/>
      <c r="T45" s="198"/>
      <c r="U45" s="198"/>
    </row>
    <row r="46" spans="1:21" s="12" customFormat="1" x14ac:dyDescent="0.25">
      <c r="A46" s="248" t="s">
        <v>1242</v>
      </c>
      <c r="B46" s="64">
        <v>7.97</v>
      </c>
      <c r="C46" s="64">
        <v>2.95</v>
      </c>
      <c r="D46" s="64">
        <v>11.7</v>
      </c>
      <c r="E46" s="64">
        <v>4.1900000000000004</v>
      </c>
      <c r="F46" s="64">
        <v>3.38</v>
      </c>
      <c r="G46" s="64">
        <v>43.22</v>
      </c>
      <c r="H46" s="64">
        <v>8.5399999999999991</v>
      </c>
      <c r="I46" s="64">
        <v>1.03</v>
      </c>
      <c r="J46" s="64">
        <v>0.2</v>
      </c>
      <c r="K46" s="64">
        <v>340.01</v>
      </c>
      <c r="L46" s="64">
        <v>27.34</v>
      </c>
      <c r="M46" s="64">
        <v>99.95</v>
      </c>
      <c r="N46" s="64">
        <v>239.9</v>
      </c>
      <c r="O46" s="64">
        <v>0</v>
      </c>
      <c r="P46" s="64">
        <v>0.3</v>
      </c>
      <c r="Q46" s="64">
        <v>9.2200000000000006</v>
      </c>
      <c r="R46" s="198"/>
      <c r="S46" s="198"/>
      <c r="T46" s="198"/>
      <c r="U46" s="198"/>
    </row>
    <row r="47" spans="1:21" s="12" customFormat="1" x14ac:dyDescent="0.25">
      <c r="A47" s="248" t="s">
        <v>1243</v>
      </c>
      <c r="B47" s="64">
        <v>7.95</v>
      </c>
      <c r="C47" s="64">
        <v>2.94</v>
      </c>
      <c r="D47" s="64">
        <v>11.68</v>
      </c>
      <c r="E47" s="64">
        <v>4.3600000000000003</v>
      </c>
      <c r="F47" s="64">
        <v>3.76</v>
      </c>
      <c r="G47" s="64">
        <v>44.18</v>
      </c>
      <c r="H47" s="64">
        <v>14.2</v>
      </c>
      <c r="I47" s="64">
        <v>1.18</v>
      </c>
      <c r="J47" s="64">
        <v>0.25</v>
      </c>
      <c r="K47" s="64">
        <v>351.18</v>
      </c>
      <c r="L47" s="64">
        <v>27.82</v>
      </c>
      <c r="M47" s="64">
        <v>97.45</v>
      </c>
      <c r="N47" s="64">
        <v>293.60000000000002</v>
      </c>
      <c r="O47" s="64">
        <v>0</v>
      </c>
      <c r="P47" s="64">
        <v>0.28999999999999998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48" t="s">
        <v>1244</v>
      </c>
      <c r="B48" s="64">
        <v>7.96</v>
      </c>
      <c r="C48" s="64">
        <v>2.96</v>
      </c>
      <c r="D48" s="64">
        <v>11.71</v>
      </c>
      <c r="E48" s="64">
        <v>4.2300000000000004</v>
      </c>
      <c r="F48" s="64">
        <v>3.52</v>
      </c>
      <c r="G48" s="64">
        <v>44.42</v>
      </c>
      <c r="H48" s="64">
        <v>15.61</v>
      </c>
      <c r="I48" s="64">
        <v>1.08</v>
      </c>
      <c r="J48" s="64">
        <v>0.36</v>
      </c>
      <c r="K48" s="64">
        <v>349.16</v>
      </c>
      <c r="L48" s="64">
        <v>27.57</v>
      </c>
      <c r="M48" s="64">
        <v>97.81</v>
      </c>
      <c r="N48" s="64">
        <v>253.6</v>
      </c>
      <c r="O48" s="64">
        <v>0</v>
      </c>
      <c r="P48" s="64">
        <v>0.31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48" t="s">
        <v>1245</v>
      </c>
      <c r="B49" s="64">
        <v>7.95</v>
      </c>
      <c r="C49" s="64">
        <v>2.98</v>
      </c>
      <c r="D49" s="64">
        <v>11.71</v>
      </c>
      <c r="E49" s="64">
        <v>4.33</v>
      </c>
      <c r="F49" s="64">
        <v>2.71</v>
      </c>
      <c r="G49" s="64">
        <v>44.42</v>
      </c>
      <c r="H49" s="64">
        <v>15.61</v>
      </c>
      <c r="I49" s="64">
        <v>1.06</v>
      </c>
      <c r="J49" s="64">
        <v>0.28999999999999998</v>
      </c>
      <c r="K49" s="64">
        <v>349.38</v>
      </c>
      <c r="L49" s="64">
        <v>27.56</v>
      </c>
      <c r="M49" s="64">
        <v>99.1</v>
      </c>
      <c r="N49" s="64">
        <v>182.9</v>
      </c>
      <c r="O49" s="64">
        <v>0</v>
      </c>
      <c r="P49" s="64">
        <v>0.31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48" t="s">
        <v>1246</v>
      </c>
      <c r="B50" s="64">
        <v>8</v>
      </c>
      <c r="C50" s="64">
        <v>3.05</v>
      </c>
      <c r="D50" s="64">
        <v>11.78</v>
      </c>
      <c r="E50" s="64">
        <v>3.69</v>
      </c>
      <c r="F50" s="64">
        <v>4.01</v>
      </c>
      <c r="G50" s="64">
        <v>44.42</v>
      </c>
      <c r="H50" s="64">
        <v>15.61</v>
      </c>
      <c r="I50" s="64">
        <v>1.1000000000000001</v>
      </c>
      <c r="J50" s="64">
        <v>0.27</v>
      </c>
      <c r="K50" s="64">
        <v>347.53</v>
      </c>
      <c r="L50" s="64">
        <v>27.8</v>
      </c>
      <c r="M50" s="64">
        <v>97.78</v>
      </c>
      <c r="N50" s="64">
        <v>156.5</v>
      </c>
      <c r="O50" s="64">
        <v>0</v>
      </c>
      <c r="P50" s="64">
        <v>0.32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48" t="s">
        <v>1247</v>
      </c>
      <c r="B51" s="64">
        <v>7.98</v>
      </c>
      <c r="C51" s="64">
        <v>3.02</v>
      </c>
      <c r="D51" s="64">
        <v>11.75</v>
      </c>
      <c r="E51" s="64">
        <v>3.6</v>
      </c>
      <c r="F51" s="64">
        <v>3.86</v>
      </c>
      <c r="G51" s="64">
        <v>48.95</v>
      </c>
      <c r="H51" s="64">
        <v>14.61</v>
      </c>
      <c r="I51" s="64">
        <v>1.1000000000000001</v>
      </c>
      <c r="J51" s="64">
        <v>0.17</v>
      </c>
      <c r="K51" s="64">
        <v>342.24</v>
      </c>
      <c r="L51" s="64">
        <v>27.64</v>
      </c>
      <c r="M51" s="64">
        <v>98.67</v>
      </c>
      <c r="N51" s="64">
        <v>149</v>
      </c>
      <c r="O51" s="64">
        <v>0</v>
      </c>
      <c r="P51" s="64">
        <v>0.35</v>
      </c>
      <c r="Q51" s="64">
        <v>9.2899999999999991</v>
      </c>
      <c r="R51" s="198"/>
      <c r="S51" s="198"/>
      <c r="T51" s="198"/>
      <c r="U51" s="198"/>
    </row>
    <row r="52" spans="1:21" s="12" customFormat="1" x14ac:dyDescent="0.25">
      <c r="A52" s="248" t="s">
        <v>1248</v>
      </c>
      <c r="B52" s="64">
        <v>8</v>
      </c>
      <c r="C52" s="64">
        <v>3.08</v>
      </c>
      <c r="D52" s="64">
        <v>11.8</v>
      </c>
      <c r="E52" s="64">
        <v>3.26</v>
      </c>
      <c r="F52" s="64">
        <v>2.74</v>
      </c>
      <c r="G52" s="64">
        <v>50.08</v>
      </c>
      <c r="H52" s="64">
        <v>18.61</v>
      </c>
      <c r="I52" s="64">
        <v>1.1200000000000001</v>
      </c>
      <c r="J52" s="64">
        <v>0.24</v>
      </c>
      <c r="K52" s="64">
        <v>346.38</v>
      </c>
      <c r="L52" s="64">
        <v>27.65</v>
      </c>
      <c r="M52" s="64">
        <v>98.36</v>
      </c>
      <c r="N52" s="64">
        <v>133.4</v>
      </c>
      <c r="O52" s="64">
        <v>0</v>
      </c>
      <c r="P52" s="64">
        <v>0.34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48" t="s">
        <v>1249</v>
      </c>
      <c r="B53" s="64">
        <v>8.02</v>
      </c>
      <c r="C53" s="64">
        <v>3.12</v>
      </c>
      <c r="D53" s="64">
        <v>11.83</v>
      </c>
      <c r="E53" s="64">
        <v>3.37</v>
      </c>
      <c r="F53" s="64">
        <v>3.76</v>
      </c>
      <c r="G53" s="64">
        <v>50.08</v>
      </c>
      <c r="H53" s="64">
        <v>16.61</v>
      </c>
      <c r="I53" s="64">
        <v>1.21</v>
      </c>
      <c r="J53" s="64">
        <v>0.24</v>
      </c>
      <c r="K53" s="64">
        <v>343.22</v>
      </c>
      <c r="L53" s="64">
        <v>27.27</v>
      </c>
      <c r="M53" s="64">
        <v>101.64</v>
      </c>
      <c r="N53" s="64">
        <v>96.7</v>
      </c>
      <c r="O53" s="64">
        <v>0</v>
      </c>
      <c r="P53" s="64">
        <v>0.35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48" t="s">
        <v>1250</v>
      </c>
      <c r="B54" s="64">
        <v>8.01</v>
      </c>
      <c r="C54" s="64">
        <v>3.08</v>
      </c>
      <c r="D54" s="64">
        <v>11.8</v>
      </c>
      <c r="E54" s="64">
        <v>3.24</v>
      </c>
      <c r="F54" s="64">
        <v>4.45</v>
      </c>
      <c r="G54" s="64">
        <v>50.08</v>
      </c>
      <c r="H54" s="64">
        <v>16.61</v>
      </c>
      <c r="I54" s="64">
        <v>1.23</v>
      </c>
      <c r="J54" s="64">
        <v>0.27</v>
      </c>
      <c r="K54" s="64">
        <v>346.68</v>
      </c>
      <c r="L54" s="64">
        <v>27.02</v>
      </c>
      <c r="M54" s="64">
        <v>102.43</v>
      </c>
      <c r="N54" s="64">
        <v>98.7</v>
      </c>
      <c r="O54" s="64">
        <v>0</v>
      </c>
      <c r="P54" s="64">
        <v>0.37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48" t="s">
        <v>1251</v>
      </c>
      <c r="B55" s="64">
        <v>7.99</v>
      </c>
      <c r="C55" s="64">
        <v>3</v>
      </c>
      <c r="D55" s="64">
        <v>11.75</v>
      </c>
      <c r="E55" s="64">
        <v>3.93</v>
      </c>
      <c r="F55" s="64">
        <v>2.59</v>
      </c>
      <c r="G55" s="64">
        <v>51.15</v>
      </c>
      <c r="H55" s="64">
        <v>6.39</v>
      </c>
      <c r="I55" s="64">
        <v>1.23</v>
      </c>
      <c r="J55" s="64">
        <v>0.26</v>
      </c>
      <c r="K55" s="64">
        <v>350.14</v>
      </c>
      <c r="L55" s="64">
        <v>27.08</v>
      </c>
      <c r="M55" s="64">
        <v>101.12</v>
      </c>
      <c r="N55" s="64">
        <v>172.5</v>
      </c>
      <c r="O55" s="64">
        <v>0</v>
      </c>
      <c r="P55" s="64">
        <v>0.36</v>
      </c>
      <c r="Q55" s="64">
        <v>9.2899999999999991</v>
      </c>
      <c r="R55" s="198"/>
      <c r="S55" s="198"/>
      <c r="T55" s="198"/>
      <c r="U55" s="198"/>
    </row>
    <row r="56" spans="1:21" s="12" customFormat="1" x14ac:dyDescent="0.25">
      <c r="A56" s="248" t="s">
        <v>1252</v>
      </c>
      <c r="B56" s="64">
        <v>7.99</v>
      </c>
      <c r="C56" s="64">
        <v>3.04</v>
      </c>
      <c r="D56" s="64">
        <v>11.77</v>
      </c>
      <c r="E56" s="64">
        <v>3.38</v>
      </c>
      <c r="F56" s="64">
        <v>3.78</v>
      </c>
      <c r="G56" s="64">
        <v>51.41</v>
      </c>
      <c r="H56" s="64">
        <v>15.88</v>
      </c>
      <c r="I56" s="64">
        <v>1.27</v>
      </c>
      <c r="J56" s="64">
        <v>0.24</v>
      </c>
      <c r="K56" s="64">
        <v>329.74</v>
      </c>
      <c r="L56" s="64">
        <v>27.81</v>
      </c>
      <c r="M56" s="64">
        <v>97.72</v>
      </c>
      <c r="N56" s="64">
        <v>455.5</v>
      </c>
      <c r="O56" s="64">
        <v>0</v>
      </c>
      <c r="P56" s="64">
        <v>0.35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48" t="s">
        <v>1253</v>
      </c>
      <c r="B57" s="64">
        <v>8.02</v>
      </c>
      <c r="C57" s="64">
        <v>3.11</v>
      </c>
      <c r="D57" s="64">
        <v>11.83</v>
      </c>
      <c r="E57" s="64">
        <v>3.61</v>
      </c>
      <c r="F57" s="64">
        <v>3.91</v>
      </c>
      <c r="G57" s="64">
        <v>51.41</v>
      </c>
      <c r="H57" s="64">
        <v>15.88</v>
      </c>
      <c r="I57" s="64">
        <v>1.28</v>
      </c>
      <c r="J57" s="64">
        <v>0.31</v>
      </c>
      <c r="K57" s="64">
        <v>327.23</v>
      </c>
      <c r="L57" s="64">
        <v>28.76</v>
      </c>
      <c r="M57" s="64">
        <v>93.12</v>
      </c>
      <c r="N57" s="64">
        <v>361.8</v>
      </c>
      <c r="O57" s="64">
        <v>0</v>
      </c>
      <c r="P57" s="64">
        <v>0.38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48" t="s">
        <v>1254</v>
      </c>
      <c r="B58" s="64">
        <v>8</v>
      </c>
      <c r="C58" s="64">
        <v>3.05</v>
      </c>
      <c r="D58" s="64">
        <v>11.79</v>
      </c>
      <c r="E58" s="64">
        <v>3.86</v>
      </c>
      <c r="F58" s="64">
        <v>3.5</v>
      </c>
      <c r="G58" s="64">
        <v>51.41</v>
      </c>
      <c r="H58" s="64">
        <v>15.88</v>
      </c>
      <c r="I58" s="64">
        <v>1.25</v>
      </c>
      <c r="J58" s="64">
        <v>0.46</v>
      </c>
      <c r="K58" s="64">
        <v>313.44</v>
      </c>
      <c r="L58" s="64">
        <v>29.63</v>
      </c>
      <c r="M58" s="64">
        <v>90.59</v>
      </c>
      <c r="N58" s="64">
        <v>313.89999999999998</v>
      </c>
      <c r="O58" s="64">
        <v>0</v>
      </c>
      <c r="P58" s="64">
        <v>0.42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48" t="s">
        <v>1255</v>
      </c>
      <c r="B59" s="64">
        <v>8.0299999999999994</v>
      </c>
      <c r="C59" s="64">
        <v>3.01</v>
      </c>
      <c r="D59" s="64">
        <v>11.78</v>
      </c>
      <c r="E59" s="64">
        <v>3.52</v>
      </c>
      <c r="F59" s="64">
        <v>3.56</v>
      </c>
      <c r="G59" s="64">
        <v>52.54</v>
      </c>
      <c r="H59" s="64">
        <v>38.25</v>
      </c>
      <c r="I59" s="64">
        <v>1.2</v>
      </c>
      <c r="J59" s="64">
        <v>0.26</v>
      </c>
      <c r="K59" s="64">
        <v>315.91000000000003</v>
      </c>
      <c r="L59" s="64">
        <v>29.66</v>
      </c>
      <c r="M59" s="64">
        <v>90.79</v>
      </c>
      <c r="N59" s="64">
        <v>325.5</v>
      </c>
      <c r="O59" s="64">
        <v>0</v>
      </c>
      <c r="P59" s="64">
        <v>0.45</v>
      </c>
      <c r="Q59" s="64">
        <v>9.26</v>
      </c>
      <c r="R59" s="198"/>
      <c r="S59" s="198"/>
      <c r="T59" s="198"/>
      <c r="U59" s="198"/>
    </row>
    <row r="60" spans="1:21" s="12" customFormat="1" x14ac:dyDescent="0.25">
      <c r="A60" s="248" t="s">
        <v>1256</v>
      </c>
      <c r="B60" s="64">
        <v>8.07</v>
      </c>
      <c r="C60" s="64">
        <v>3.05</v>
      </c>
      <c r="D60" s="64">
        <v>11.84</v>
      </c>
      <c r="E60" s="64">
        <v>3.64</v>
      </c>
      <c r="F60" s="64">
        <v>3.53</v>
      </c>
      <c r="G60" s="64">
        <v>52.82</v>
      </c>
      <c r="H60" s="64">
        <v>43.84</v>
      </c>
      <c r="I60" s="64">
        <v>1.23</v>
      </c>
      <c r="J60" s="64">
        <v>0.28000000000000003</v>
      </c>
      <c r="K60" s="64">
        <v>323.98</v>
      </c>
      <c r="L60" s="64">
        <v>30.13</v>
      </c>
      <c r="M60" s="64">
        <v>88.24</v>
      </c>
      <c r="N60" s="64">
        <v>357.6</v>
      </c>
      <c r="O60" s="64">
        <v>0</v>
      </c>
      <c r="P60" s="64">
        <v>0.49</v>
      </c>
      <c r="Q60" s="64">
        <v>9.26</v>
      </c>
      <c r="R60" s="198"/>
      <c r="S60" s="198"/>
      <c r="T60" s="198"/>
      <c r="U60" s="198"/>
    </row>
    <row r="61" spans="1:21" s="12" customFormat="1" x14ac:dyDescent="0.25">
      <c r="A61" s="248" t="s">
        <v>1257</v>
      </c>
      <c r="B61" s="64">
        <v>8.0299999999999994</v>
      </c>
      <c r="C61" s="64">
        <v>3.05</v>
      </c>
      <c r="D61" s="64">
        <v>11.81</v>
      </c>
      <c r="E61" s="64">
        <v>3.52</v>
      </c>
      <c r="F61" s="64">
        <v>3.83</v>
      </c>
      <c r="G61" s="64">
        <v>52.82</v>
      </c>
      <c r="H61" s="64">
        <v>43.84</v>
      </c>
      <c r="I61" s="64">
        <v>1.38</v>
      </c>
      <c r="J61" s="64">
        <v>0.2</v>
      </c>
      <c r="K61" s="64">
        <v>320.95</v>
      </c>
      <c r="L61" s="64">
        <v>29.59</v>
      </c>
      <c r="M61" s="64">
        <v>90.43</v>
      </c>
      <c r="N61" s="64">
        <v>231.6</v>
      </c>
      <c r="O61" s="64">
        <v>0</v>
      </c>
      <c r="P61" s="64">
        <v>0.52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48" t="s">
        <v>1258</v>
      </c>
      <c r="B62" s="64">
        <v>8.0299999999999994</v>
      </c>
      <c r="C62" s="64">
        <v>3.06</v>
      </c>
      <c r="D62" s="64">
        <v>11.81</v>
      </c>
      <c r="E62" s="64">
        <v>3.42</v>
      </c>
      <c r="F62" s="64">
        <v>3.72</v>
      </c>
      <c r="G62" s="64">
        <v>52.82</v>
      </c>
      <c r="H62" s="64">
        <v>43.84</v>
      </c>
      <c r="I62" s="64">
        <v>1.55</v>
      </c>
      <c r="J62" s="64">
        <v>0.34</v>
      </c>
      <c r="K62" s="64">
        <v>321.83</v>
      </c>
      <c r="L62" s="64">
        <v>29.99</v>
      </c>
      <c r="M62" s="64">
        <v>88.49</v>
      </c>
      <c r="N62" s="64">
        <v>359.7</v>
      </c>
      <c r="O62" s="64">
        <v>0</v>
      </c>
      <c r="P62" s="64">
        <v>0.54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48" t="s">
        <v>1259</v>
      </c>
      <c r="B63" s="64">
        <v>8.0299999999999994</v>
      </c>
      <c r="C63" s="64">
        <v>3.07</v>
      </c>
      <c r="D63" s="64">
        <v>11.82</v>
      </c>
      <c r="E63" s="64">
        <v>4.29</v>
      </c>
      <c r="F63" s="64">
        <v>4.59</v>
      </c>
      <c r="G63" s="64">
        <v>57.59</v>
      </c>
      <c r="H63" s="64">
        <v>35.06</v>
      </c>
      <c r="I63" s="64">
        <v>1.69</v>
      </c>
      <c r="J63" s="64">
        <v>0.25</v>
      </c>
      <c r="K63" s="64">
        <v>317.88</v>
      </c>
      <c r="L63" s="64">
        <v>30.7</v>
      </c>
      <c r="M63" s="64">
        <v>84.18</v>
      </c>
      <c r="N63" s="64">
        <v>506.1</v>
      </c>
      <c r="O63" s="64">
        <v>0</v>
      </c>
      <c r="P63" s="64">
        <v>0.55000000000000004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48" t="s">
        <v>1260</v>
      </c>
      <c r="B64" s="64">
        <v>8</v>
      </c>
      <c r="C64" s="64">
        <v>3.04</v>
      </c>
      <c r="D64" s="64">
        <v>11.78</v>
      </c>
      <c r="E64" s="64">
        <v>3.98</v>
      </c>
      <c r="F64" s="64">
        <v>4.7699999999999996</v>
      </c>
      <c r="G64" s="64">
        <v>58.78</v>
      </c>
      <c r="H64" s="64">
        <v>32.869999999999997</v>
      </c>
      <c r="I64" s="64">
        <v>1.74</v>
      </c>
      <c r="J64" s="64">
        <v>0.32</v>
      </c>
      <c r="K64" s="64">
        <v>325.33999999999997</v>
      </c>
      <c r="L64" s="64">
        <v>30.98</v>
      </c>
      <c r="M64" s="64">
        <v>84.05</v>
      </c>
      <c r="N64" s="64">
        <v>463.8</v>
      </c>
      <c r="O64" s="64">
        <v>0</v>
      </c>
      <c r="P64" s="64">
        <v>0.56000000000000005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48" t="s">
        <v>1261</v>
      </c>
      <c r="B65" s="64">
        <v>7.98</v>
      </c>
      <c r="C65" s="64">
        <v>3.03</v>
      </c>
      <c r="D65" s="64">
        <v>11.76</v>
      </c>
      <c r="E65" s="64">
        <v>4.01</v>
      </c>
      <c r="F65" s="64">
        <v>2.85</v>
      </c>
      <c r="G65" s="64">
        <v>58.78</v>
      </c>
      <c r="H65" s="64">
        <v>32.869999999999997</v>
      </c>
      <c r="I65" s="64">
        <v>1.73</v>
      </c>
      <c r="J65" s="64">
        <v>0.28000000000000003</v>
      </c>
      <c r="K65" s="64">
        <v>334.69</v>
      </c>
      <c r="L65" s="64">
        <v>30.29</v>
      </c>
      <c r="M65" s="64">
        <v>87.08</v>
      </c>
      <c r="N65" s="64">
        <v>342.8</v>
      </c>
      <c r="O65" s="64">
        <v>0</v>
      </c>
      <c r="P65" s="64">
        <v>0.55000000000000004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48" t="s">
        <v>1262</v>
      </c>
      <c r="B66" s="64">
        <v>7.95</v>
      </c>
      <c r="C66" s="64">
        <v>3</v>
      </c>
      <c r="D66" s="64">
        <v>11.72</v>
      </c>
      <c r="E66" s="64">
        <v>3.59</v>
      </c>
      <c r="F66" s="64">
        <v>4.54</v>
      </c>
      <c r="G66" s="64">
        <v>58.78</v>
      </c>
      <c r="H66" s="64">
        <v>32.869999999999997</v>
      </c>
      <c r="I66" s="64">
        <v>1.72</v>
      </c>
      <c r="J66" s="64">
        <v>0.28999999999999998</v>
      </c>
      <c r="K66" s="64">
        <v>324.89999999999998</v>
      </c>
      <c r="L66" s="64">
        <v>29.91</v>
      </c>
      <c r="M66" s="64">
        <v>88.43</v>
      </c>
      <c r="N66" s="64">
        <v>328.3</v>
      </c>
      <c r="O66" s="64">
        <v>0</v>
      </c>
      <c r="P66" s="64">
        <v>0.55000000000000004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48" t="s">
        <v>1263</v>
      </c>
      <c r="B67" s="64">
        <v>7.92</v>
      </c>
      <c r="C67" s="64">
        <v>2.95</v>
      </c>
      <c r="D67" s="64">
        <v>11.67</v>
      </c>
      <c r="E67" s="64">
        <v>3.56</v>
      </c>
      <c r="F67" s="64">
        <v>4.5599999999999996</v>
      </c>
      <c r="G67" s="64">
        <v>61.71</v>
      </c>
      <c r="H67" s="64">
        <v>32.869999999999997</v>
      </c>
      <c r="I67" s="64">
        <v>1.73</v>
      </c>
      <c r="J67" s="64">
        <v>0.28999999999999998</v>
      </c>
      <c r="K67" s="64">
        <v>341.91</v>
      </c>
      <c r="L67" s="64">
        <v>29.68</v>
      </c>
      <c r="M67" s="64">
        <v>89.44</v>
      </c>
      <c r="N67" s="64">
        <v>218.5</v>
      </c>
      <c r="O67" s="64">
        <v>0</v>
      </c>
      <c r="P67" s="64">
        <v>0.55000000000000004</v>
      </c>
      <c r="Q67" s="64">
        <v>9.19</v>
      </c>
      <c r="R67" s="198"/>
      <c r="S67" s="198"/>
      <c r="T67" s="198"/>
      <c r="U67" s="198"/>
    </row>
    <row r="68" spans="1:21" s="12" customFormat="1" x14ac:dyDescent="0.25">
      <c r="A68" s="248" t="s">
        <v>1264</v>
      </c>
      <c r="B68" s="64">
        <v>7.94</v>
      </c>
      <c r="C68" s="64">
        <v>3.02</v>
      </c>
      <c r="D68" s="64">
        <v>11.72</v>
      </c>
      <c r="E68" s="64">
        <v>3.22</v>
      </c>
      <c r="F68" s="64">
        <v>4.55</v>
      </c>
      <c r="G68" s="64">
        <v>62.44</v>
      </c>
      <c r="H68" s="64">
        <v>31.87</v>
      </c>
      <c r="I68" s="64">
        <v>1.77</v>
      </c>
      <c r="J68" s="64">
        <v>0.36</v>
      </c>
      <c r="K68" s="64">
        <v>325.77999999999997</v>
      </c>
      <c r="L68" s="64">
        <v>30.49</v>
      </c>
      <c r="M68" s="64">
        <v>84.5</v>
      </c>
      <c r="N68" s="64">
        <v>296.2</v>
      </c>
      <c r="O68" s="64">
        <v>0</v>
      </c>
      <c r="P68" s="64">
        <v>0.53</v>
      </c>
      <c r="Q68" s="64">
        <v>9.1999999999999993</v>
      </c>
      <c r="R68" s="198"/>
      <c r="S68" s="198"/>
      <c r="T68" s="198"/>
      <c r="U68" s="198"/>
    </row>
    <row r="69" spans="1:21" s="12" customFormat="1" x14ac:dyDescent="0.25">
      <c r="A69" s="248" t="s">
        <v>1265</v>
      </c>
      <c r="B69" s="64">
        <v>7.93</v>
      </c>
      <c r="C69" s="64">
        <v>3.01</v>
      </c>
      <c r="D69" s="64">
        <v>11.71</v>
      </c>
      <c r="E69" s="64">
        <v>3.88</v>
      </c>
      <c r="F69" s="64">
        <v>4.33</v>
      </c>
      <c r="G69" s="64">
        <v>62.44</v>
      </c>
      <c r="H69" s="64">
        <v>32.869999999999997</v>
      </c>
      <c r="I69" s="64">
        <v>1.81</v>
      </c>
      <c r="J69" s="64">
        <v>0.33</v>
      </c>
      <c r="K69" s="64">
        <v>335.83</v>
      </c>
      <c r="L69" s="64">
        <v>31.28</v>
      </c>
      <c r="M69" s="64">
        <v>76.48</v>
      </c>
      <c r="N69" s="64">
        <v>304.2</v>
      </c>
      <c r="O69" s="64">
        <v>0</v>
      </c>
      <c r="P69" s="64">
        <v>0.52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48" t="s">
        <v>1266</v>
      </c>
      <c r="B70" s="64">
        <v>7.92</v>
      </c>
      <c r="C70" s="64">
        <v>2.99</v>
      </c>
      <c r="D70" s="64">
        <v>11.69</v>
      </c>
      <c r="E70" s="64">
        <v>4.2</v>
      </c>
      <c r="F70" s="64">
        <v>4.2699999999999996</v>
      </c>
      <c r="G70" s="64">
        <v>62.44</v>
      </c>
      <c r="H70" s="64">
        <v>32.869999999999997</v>
      </c>
      <c r="I70" s="64">
        <v>1.78</v>
      </c>
      <c r="J70" s="64">
        <v>0.25</v>
      </c>
      <c r="K70" s="64">
        <v>324.58999999999997</v>
      </c>
      <c r="L70" s="64">
        <v>30.75</v>
      </c>
      <c r="M70" s="64">
        <v>79.040000000000006</v>
      </c>
      <c r="N70" s="64">
        <v>194.9</v>
      </c>
      <c r="O70" s="64">
        <v>0</v>
      </c>
      <c r="P70" s="64">
        <v>0.5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48" t="s">
        <v>1267</v>
      </c>
      <c r="B71" s="64">
        <v>7.93</v>
      </c>
      <c r="C71" s="64">
        <v>2.99</v>
      </c>
      <c r="D71" s="64">
        <v>11.7</v>
      </c>
      <c r="E71" s="64">
        <v>3.84</v>
      </c>
      <c r="F71" s="64">
        <v>4.49</v>
      </c>
      <c r="G71" s="64">
        <v>53.74</v>
      </c>
      <c r="H71" s="64">
        <v>52.37</v>
      </c>
      <c r="I71" s="64">
        <v>1.74</v>
      </c>
      <c r="J71" s="64">
        <v>0.28000000000000003</v>
      </c>
      <c r="K71" s="64">
        <v>351.44</v>
      </c>
      <c r="L71" s="64">
        <v>29.44</v>
      </c>
      <c r="M71" s="64">
        <v>84.48</v>
      </c>
      <c r="N71" s="64">
        <v>193.4</v>
      </c>
      <c r="O71" s="64">
        <v>0</v>
      </c>
      <c r="P71" s="64">
        <v>0.49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48" t="s">
        <v>1268</v>
      </c>
      <c r="B72" s="64">
        <v>7.94</v>
      </c>
      <c r="C72" s="64">
        <v>3</v>
      </c>
      <c r="D72" s="64">
        <v>11.71</v>
      </c>
      <c r="E72" s="64">
        <v>3.67</v>
      </c>
      <c r="F72" s="64">
        <v>5.77</v>
      </c>
      <c r="G72" s="64">
        <v>51.56</v>
      </c>
      <c r="H72" s="64">
        <v>28.33</v>
      </c>
      <c r="I72" s="64">
        <v>1.7</v>
      </c>
      <c r="J72" s="64">
        <v>0.26</v>
      </c>
      <c r="K72" s="64">
        <v>340.1</v>
      </c>
      <c r="L72" s="64">
        <v>29.48</v>
      </c>
      <c r="M72" s="64">
        <v>87.08</v>
      </c>
      <c r="N72" s="64">
        <v>134.80000000000001</v>
      </c>
      <c r="O72" s="64">
        <v>0</v>
      </c>
      <c r="P72" s="64">
        <v>0.49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48" t="s">
        <v>1269</v>
      </c>
      <c r="B73" s="64">
        <v>7.93</v>
      </c>
      <c r="C73" s="64">
        <v>3.04</v>
      </c>
      <c r="D73" s="64">
        <v>11.72</v>
      </c>
      <c r="E73" s="64">
        <v>3.92</v>
      </c>
      <c r="F73" s="64">
        <v>5.85</v>
      </c>
      <c r="G73" s="64">
        <v>51.56</v>
      </c>
      <c r="H73" s="64">
        <v>28.33</v>
      </c>
      <c r="I73" s="64">
        <v>1.69</v>
      </c>
      <c r="J73" s="64">
        <v>0.33</v>
      </c>
      <c r="K73" s="64">
        <v>317.31</v>
      </c>
      <c r="L73" s="64">
        <v>29.82</v>
      </c>
      <c r="M73" s="64">
        <v>86.31</v>
      </c>
      <c r="N73" s="64">
        <v>108.4</v>
      </c>
      <c r="O73" s="64">
        <v>0</v>
      </c>
      <c r="P73" s="64">
        <v>0.5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48" t="s">
        <v>1270</v>
      </c>
      <c r="B74" s="64">
        <v>7.94</v>
      </c>
      <c r="C74" s="64">
        <v>3.09</v>
      </c>
      <c r="D74" s="64">
        <v>11.76</v>
      </c>
      <c r="E74" s="64">
        <v>4.0999999999999996</v>
      </c>
      <c r="F74" s="64">
        <v>3.97</v>
      </c>
      <c r="G74" s="64">
        <v>51.56</v>
      </c>
      <c r="H74" s="64">
        <v>28.33</v>
      </c>
      <c r="I74" s="64">
        <v>1.73</v>
      </c>
      <c r="J74" s="64">
        <v>0.35</v>
      </c>
      <c r="K74" s="64">
        <v>322.27</v>
      </c>
      <c r="L74" s="64">
        <v>30.09</v>
      </c>
      <c r="M74" s="64">
        <v>86.15</v>
      </c>
      <c r="N74" s="64">
        <v>150.19999999999999</v>
      </c>
      <c r="O74" s="64">
        <v>0</v>
      </c>
      <c r="P74" s="64">
        <v>0.52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48" t="s">
        <v>1271</v>
      </c>
      <c r="B75" s="64">
        <v>8</v>
      </c>
      <c r="C75" s="64">
        <v>3.13</v>
      </c>
      <c r="D75" s="64">
        <v>11.83</v>
      </c>
      <c r="E75" s="64">
        <v>4.3899999999999997</v>
      </c>
      <c r="F75" s="64">
        <v>3.4</v>
      </c>
      <c r="G75" s="64">
        <v>58.44</v>
      </c>
      <c r="H75" s="64">
        <v>30</v>
      </c>
      <c r="I75" s="64">
        <v>1.79</v>
      </c>
      <c r="J75" s="64">
        <v>0.28999999999999998</v>
      </c>
      <c r="K75" s="64">
        <v>316.01</v>
      </c>
      <c r="L75" s="64">
        <v>30.2</v>
      </c>
      <c r="M75" s="64">
        <v>85.87</v>
      </c>
      <c r="N75" s="64">
        <v>111.8</v>
      </c>
      <c r="O75" s="64">
        <v>0</v>
      </c>
      <c r="P75" s="64">
        <v>0.51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48" t="s">
        <v>1272</v>
      </c>
      <c r="B76" s="64">
        <v>8</v>
      </c>
      <c r="C76" s="64">
        <v>3.04</v>
      </c>
      <c r="D76" s="64">
        <v>11.78</v>
      </c>
      <c r="E76" s="64">
        <v>4.21</v>
      </c>
      <c r="F76" s="64">
        <v>3.44</v>
      </c>
      <c r="G76" s="64">
        <v>60.15</v>
      </c>
      <c r="H76" s="64">
        <v>30.42</v>
      </c>
      <c r="I76" s="64">
        <v>1.95</v>
      </c>
      <c r="J76" s="64">
        <v>0.28999999999999998</v>
      </c>
      <c r="K76" s="64">
        <v>323.41000000000003</v>
      </c>
      <c r="L76" s="64">
        <v>30.05</v>
      </c>
      <c r="M76" s="64">
        <v>87.36</v>
      </c>
      <c r="N76" s="64">
        <v>134.19999999999999</v>
      </c>
      <c r="O76" s="64">
        <v>0</v>
      </c>
      <c r="P76" s="64">
        <v>0.52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48" t="s">
        <v>1273</v>
      </c>
      <c r="B77" s="64">
        <v>8.02</v>
      </c>
      <c r="C77" s="64">
        <v>3.08</v>
      </c>
      <c r="D77" s="64">
        <v>11.81</v>
      </c>
      <c r="E77" s="64">
        <v>4.1399999999999997</v>
      </c>
      <c r="F77" s="64">
        <v>3.77</v>
      </c>
      <c r="G77" s="64">
        <v>60.15</v>
      </c>
      <c r="H77" s="64">
        <v>30.42</v>
      </c>
      <c r="I77" s="64">
        <v>2.08</v>
      </c>
      <c r="J77" s="64">
        <v>0.26</v>
      </c>
      <c r="K77" s="64">
        <v>319.26</v>
      </c>
      <c r="L77" s="64">
        <v>30.22</v>
      </c>
      <c r="M77" s="64">
        <v>86.75</v>
      </c>
      <c r="N77" s="64">
        <v>111.7</v>
      </c>
      <c r="O77" s="64">
        <v>0</v>
      </c>
      <c r="P77" s="64">
        <v>0.53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48" t="s">
        <v>1274</v>
      </c>
      <c r="B78" s="64">
        <v>8.0500000000000007</v>
      </c>
      <c r="C78" s="64">
        <v>3.13</v>
      </c>
      <c r="D78" s="64">
        <v>11.87</v>
      </c>
      <c r="E78" s="64">
        <v>3.97</v>
      </c>
      <c r="F78" s="64">
        <v>3.59</v>
      </c>
      <c r="G78" s="64">
        <v>60.15</v>
      </c>
      <c r="H78" s="64">
        <v>30.42</v>
      </c>
      <c r="I78" s="64">
        <v>2.2400000000000002</v>
      </c>
      <c r="J78" s="64">
        <v>0.26</v>
      </c>
      <c r="K78" s="64">
        <v>328.55</v>
      </c>
      <c r="L78" s="64">
        <v>30.25</v>
      </c>
      <c r="M78" s="64">
        <v>87.11</v>
      </c>
      <c r="N78" s="64">
        <v>108.5</v>
      </c>
      <c r="O78" s="64">
        <v>0</v>
      </c>
      <c r="P78" s="64">
        <v>0.55000000000000004</v>
      </c>
      <c r="Q78" s="64">
        <v>9.24</v>
      </c>
      <c r="R78" s="198"/>
      <c r="S78" s="198"/>
      <c r="T78" s="198"/>
      <c r="U78" s="198"/>
    </row>
    <row r="79" spans="1:21" s="12" customFormat="1" x14ac:dyDescent="0.25">
      <c r="A79" s="248" t="s">
        <v>1275</v>
      </c>
      <c r="B79" s="64">
        <v>8.0500000000000007</v>
      </c>
      <c r="C79" s="64">
        <v>3.08</v>
      </c>
      <c r="D79" s="64">
        <v>11.84</v>
      </c>
      <c r="E79" s="64">
        <v>4.2</v>
      </c>
      <c r="F79" s="64">
        <v>3.41</v>
      </c>
      <c r="G79" s="64">
        <v>68.64</v>
      </c>
      <c r="H79" s="64">
        <v>25.56</v>
      </c>
      <c r="I79" s="64">
        <v>2.5099999999999998</v>
      </c>
      <c r="J79" s="64">
        <v>0.15</v>
      </c>
      <c r="K79" s="64">
        <v>332.63</v>
      </c>
      <c r="L79" s="64">
        <v>30.04</v>
      </c>
      <c r="M79" s="64">
        <v>88.33</v>
      </c>
      <c r="N79" s="64">
        <v>97.2</v>
      </c>
      <c r="O79" s="64">
        <v>0</v>
      </c>
      <c r="P79" s="64">
        <v>0.57999999999999996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48" t="s">
        <v>1276</v>
      </c>
      <c r="B80" s="64">
        <v>8.0399999999999991</v>
      </c>
      <c r="C80" s="64">
        <v>3.04</v>
      </c>
      <c r="D80" s="64">
        <v>11.81</v>
      </c>
      <c r="E80" s="64">
        <v>4.0999999999999996</v>
      </c>
      <c r="F80" s="64">
        <v>3.48</v>
      </c>
      <c r="G80" s="64">
        <v>70.760000000000005</v>
      </c>
      <c r="H80" s="64">
        <v>24.34</v>
      </c>
      <c r="I80" s="64">
        <v>2.78</v>
      </c>
      <c r="J80" s="64">
        <v>0.14000000000000001</v>
      </c>
      <c r="K80" s="64">
        <v>331.31</v>
      </c>
      <c r="L80" s="64">
        <v>29.14</v>
      </c>
      <c r="M80" s="64">
        <v>92.06</v>
      </c>
      <c r="N80" s="64">
        <v>84.5</v>
      </c>
      <c r="O80" s="64">
        <v>0</v>
      </c>
      <c r="P80" s="64">
        <v>0.57999999999999996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48" t="s">
        <v>1277</v>
      </c>
      <c r="B81" s="64">
        <v>8.0399999999999991</v>
      </c>
      <c r="C81" s="64">
        <v>3.04</v>
      </c>
      <c r="D81" s="64">
        <v>11.81</v>
      </c>
      <c r="E81" s="64">
        <v>4.1900000000000004</v>
      </c>
      <c r="F81" s="64">
        <v>4.13</v>
      </c>
      <c r="G81" s="64">
        <v>70.760000000000005</v>
      </c>
      <c r="H81" s="64">
        <v>24.34</v>
      </c>
      <c r="I81" s="64">
        <v>3.27</v>
      </c>
      <c r="J81" s="64">
        <v>0.2</v>
      </c>
      <c r="K81" s="64">
        <v>6.52</v>
      </c>
      <c r="L81" s="64">
        <v>29.05</v>
      </c>
      <c r="M81" s="64">
        <v>91.97</v>
      </c>
      <c r="N81" s="64">
        <v>67.3</v>
      </c>
      <c r="O81" s="64">
        <v>0</v>
      </c>
      <c r="P81" s="64">
        <v>0.52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48" t="s">
        <v>1278</v>
      </c>
      <c r="B82" s="64">
        <v>7.99</v>
      </c>
      <c r="C82" s="64">
        <v>3</v>
      </c>
      <c r="D82" s="64">
        <v>11.75</v>
      </c>
      <c r="E82" s="64">
        <v>3.95</v>
      </c>
      <c r="F82" s="64">
        <v>3.84</v>
      </c>
      <c r="G82" s="64">
        <v>70.760000000000005</v>
      </c>
      <c r="H82" s="64">
        <v>24.34</v>
      </c>
      <c r="I82" s="64">
        <v>3.38</v>
      </c>
      <c r="J82" s="64">
        <v>0.14000000000000001</v>
      </c>
      <c r="K82" s="64">
        <v>330.24</v>
      </c>
      <c r="L82" s="64">
        <v>28.92</v>
      </c>
      <c r="M82" s="64">
        <v>94.1</v>
      </c>
      <c r="N82" s="64">
        <v>48.1</v>
      </c>
      <c r="O82" s="64">
        <v>0</v>
      </c>
      <c r="P82" s="64">
        <v>0.55000000000000004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48" t="s">
        <v>1279</v>
      </c>
      <c r="B83" s="64">
        <v>7.96</v>
      </c>
      <c r="C83" s="64">
        <v>3</v>
      </c>
      <c r="D83" s="64">
        <v>11.73</v>
      </c>
      <c r="E83" s="64">
        <v>4.17</v>
      </c>
      <c r="F83" s="64">
        <v>3.47</v>
      </c>
      <c r="G83" s="64">
        <v>79.87</v>
      </c>
      <c r="H83" s="64">
        <v>29.48</v>
      </c>
      <c r="I83" s="64">
        <v>3.37</v>
      </c>
      <c r="J83" s="64">
        <v>0.13</v>
      </c>
      <c r="K83" s="64">
        <v>105.87</v>
      </c>
      <c r="L83" s="64">
        <v>28.74</v>
      </c>
      <c r="M83" s="64">
        <v>95.61</v>
      </c>
      <c r="N83" s="64">
        <v>39.299999999999997</v>
      </c>
      <c r="O83" s="64">
        <v>0</v>
      </c>
      <c r="P83" s="64">
        <v>0.56000000000000005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48" t="s">
        <v>1280</v>
      </c>
      <c r="B84" s="64">
        <v>8.0399999999999991</v>
      </c>
      <c r="C84" s="64">
        <v>3.15</v>
      </c>
      <c r="D84" s="64">
        <v>11.86</v>
      </c>
      <c r="E84" s="64">
        <v>4.66</v>
      </c>
      <c r="F84" s="64">
        <v>4.24</v>
      </c>
      <c r="G84" s="64">
        <v>82.15</v>
      </c>
      <c r="H84" s="64">
        <v>30.77</v>
      </c>
      <c r="I84" s="64">
        <v>3.38</v>
      </c>
      <c r="J84" s="64">
        <v>0.02</v>
      </c>
      <c r="K84" s="64">
        <v>179.77</v>
      </c>
      <c r="L84" s="64">
        <v>28.45</v>
      </c>
      <c r="M84" s="64">
        <v>96.91</v>
      </c>
      <c r="N84" s="64">
        <v>38.1</v>
      </c>
      <c r="O84" s="64">
        <v>0</v>
      </c>
      <c r="P84" s="64">
        <v>0.6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48" t="s">
        <v>1281</v>
      </c>
      <c r="B85" s="64">
        <v>8.0299999999999994</v>
      </c>
      <c r="C85" s="64">
        <v>3.11</v>
      </c>
      <c r="D85" s="64">
        <v>11.84</v>
      </c>
      <c r="E85" s="64">
        <v>4.45</v>
      </c>
      <c r="F85" s="64">
        <v>3.36</v>
      </c>
      <c r="G85" s="64">
        <v>82.15</v>
      </c>
      <c r="H85" s="64">
        <v>30.77</v>
      </c>
      <c r="I85" s="64">
        <v>3.58</v>
      </c>
      <c r="J85" s="64">
        <v>0.17</v>
      </c>
      <c r="K85" s="64">
        <v>329.21</v>
      </c>
      <c r="L85" s="64">
        <v>28.19</v>
      </c>
      <c r="M85" s="64">
        <v>101.06</v>
      </c>
      <c r="N85" s="64">
        <v>38</v>
      </c>
      <c r="O85" s="64">
        <v>0</v>
      </c>
      <c r="P85" s="64">
        <v>0.6</v>
      </c>
      <c r="Q85" s="64">
        <v>9.39</v>
      </c>
      <c r="R85" s="198"/>
      <c r="S85" s="198"/>
      <c r="T85" s="198"/>
      <c r="U85" s="198"/>
    </row>
    <row r="86" spans="1:26" s="12" customFormat="1" x14ac:dyDescent="0.25">
      <c r="A86" s="248" t="s">
        <v>1282</v>
      </c>
      <c r="B86" s="64">
        <v>7.99</v>
      </c>
      <c r="C86" s="64">
        <v>3.06</v>
      </c>
      <c r="D86" s="64">
        <v>11.78</v>
      </c>
      <c r="E86" s="64">
        <v>4.3899999999999997</v>
      </c>
      <c r="F86" s="64">
        <v>4.4800000000000004</v>
      </c>
      <c r="G86" s="64">
        <v>82.15</v>
      </c>
      <c r="H86" s="64">
        <v>30.77</v>
      </c>
      <c r="I86" s="64">
        <v>3.67</v>
      </c>
      <c r="J86" s="64">
        <v>0.43</v>
      </c>
      <c r="K86" s="64">
        <v>7.57</v>
      </c>
      <c r="L86" s="64">
        <v>26.66</v>
      </c>
      <c r="M86" s="64">
        <v>101.78</v>
      </c>
      <c r="N86" s="64">
        <v>42.1</v>
      </c>
      <c r="O86" s="64">
        <v>3.2</v>
      </c>
      <c r="P86" s="64">
        <v>0.59</v>
      </c>
      <c r="Q86" s="64">
        <v>9.3699999999999992</v>
      </c>
      <c r="R86" s="198"/>
      <c r="S86" s="198"/>
      <c r="T86" s="198"/>
      <c r="U86" s="198"/>
    </row>
    <row r="87" spans="1:26" s="12" customFormat="1" x14ac:dyDescent="0.25">
      <c r="A87" s="248" t="s">
        <v>1283</v>
      </c>
      <c r="B87" s="64">
        <v>7.99</v>
      </c>
      <c r="C87" s="64">
        <v>3.09</v>
      </c>
      <c r="D87" s="64">
        <v>11.8</v>
      </c>
      <c r="E87" s="64">
        <v>4.46</v>
      </c>
      <c r="F87" s="64">
        <v>4.8099999999999996</v>
      </c>
      <c r="G87" s="64">
        <v>73.290000000000006</v>
      </c>
      <c r="H87" s="64">
        <v>36.979999999999997</v>
      </c>
      <c r="I87" s="64">
        <v>3.82</v>
      </c>
      <c r="J87" s="64">
        <v>0.32</v>
      </c>
      <c r="K87" s="64">
        <v>19.989999999999998</v>
      </c>
      <c r="L87" s="64">
        <v>24.68</v>
      </c>
      <c r="M87" s="64">
        <v>102.58</v>
      </c>
      <c r="N87" s="64">
        <v>38.9</v>
      </c>
      <c r="O87" s="64">
        <v>4.4000000000000004</v>
      </c>
      <c r="P87" s="64">
        <v>0.55000000000000004</v>
      </c>
      <c r="Q87" s="64">
        <v>9.4</v>
      </c>
      <c r="R87" s="198"/>
      <c r="S87" s="198"/>
      <c r="T87" s="198"/>
      <c r="U87" s="198"/>
    </row>
    <row r="88" spans="1:26" s="12" customFormat="1" x14ac:dyDescent="0.25">
      <c r="A88" s="248" t="s">
        <v>1284</v>
      </c>
      <c r="B88" s="64">
        <v>7.96</v>
      </c>
      <c r="C88" s="64">
        <v>3.07</v>
      </c>
      <c r="D88" s="64">
        <v>11.76</v>
      </c>
      <c r="E88" s="64">
        <v>4.54</v>
      </c>
      <c r="F88" s="64">
        <v>3.76</v>
      </c>
      <c r="G88" s="64">
        <v>71.069999999999993</v>
      </c>
      <c r="H88" s="64">
        <v>38.53</v>
      </c>
      <c r="I88" s="64">
        <v>3.65</v>
      </c>
      <c r="J88" s="64">
        <v>0.22</v>
      </c>
      <c r="K88" s="64">
        <v>12.69</v>
      </c>
      <c r="L88" s="64">
        <v>24.36</v>
      </c>
      <c r="M88" s="64">
        <v>102.56</v>
      </c>
      <c r="N88" s="64">
        <v>38.4</v>
      </c>
      <c r="O88" s="64">
        <v>0.8</v>
      </c>
      <c r="P88" s="64">
        <v>0.51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48" t="s">
        <v>1285</v>
      </c>
      <c r="B89" s="64">
        <v>8</v>
      </c>
      <c r="C89" s="64">
        <v>3.09</v>
      </c>
      <c r="D89" s="64">
        <v>11.8</v>
      </c>
      <c r="E89" s="64">
        <v>4.47</v>
      </c>
      <c r="F89" s="64">
        <v>5.14</v>
      </c>
      <c r="G89" s="64">
        <v>71.069999999999993</v>
      </c>
      <c r="H89" s="64">
        <v>38.53</v>
      </c>
      <c r="I89" s="64">
        <v>3.15</v>
      </c>
      <c r="J89" s="64">
        <v>0.19</v>
      </c>
      <c r="K89" s="64">
        <v>305.62</v>
      </c>
      <c r="L89" s="64">
        <v>24.39</v>
      </c>
      <c r="M89" s="64">
        <v>102.62</v>
      </c>
      <c r="N89" s="64">
        <v>37.9</v>
      </c>
      <c r="O89" s="64">
        <v>0</v>
      </c>
      <c r="P89" s="64">
        <v>0.51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48" t="s">
        <v>1286</v>
      </c>
      <c r="B90" s="64">
        <v>8.01</v>
      </c>
      <c r="C90" s="64">
        <v>3.13</v>
      </c>
      <c r="D90" s="64">
        <v>11.83</v>
      </c>
      <c r="E90" s="64">
        <v>4.49</v>
      </c>
      <c r="F90" s="64">
        <v>2.2999999999999998</v>
      </c>
      <c r="G90" s="64">
        <v>71.069999999999993</v>
      </c>
      <c r="H90" s="64">
        <v>38.53</v>
      </c>
      <c r="I90" s="64">
        <v>2.85</v>
      </c>
      <c r="J90" s="64">
        <v>0.19</v>
      </c>
      <c r="K90" s="64">
        <v>67.02</v>
      </c>
      <c r="L90" s="64">
        <v>24.54</v>
      </c>
      <c r="M90" s="64">
        <v>102.64</v>
      </c>
      <c r="N90" s="64">
        <v>37.799999999999997</v>
      </c>
      <c r="O90" s="64">
        <v>0</v>
      </c>
      <c r="P90" s="64">
        <v>0.54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48" t="s">
        <v>1287</v>
      </c>
      <c r="B91" s="64">
        <v>8.02</v>
      </c>
      <c r="C91" s="64">
        <v>3.1</v>
      </c>
      <c r="D91" s="64">
        <v>11.82</v>
      </c>
      <c r="E91" s="64">
        <v>4.2699999999999996</v>
      </c>
      <c r="F91" s="64">
        <v>3.9</v>
      </c>
      <c r="G91" s="64">
        <v>59.06</v>
      </c>
      <c r="H91" s="64">
        <v>35.1</v>
      </c>
      <c r="I91" s="64">
        <v>2.86</v>
      </c>
      <c r="J91" s="64">
        <v>0.16</v>
      </c>
      <c r="K91" s="64">
        <v>176.82</v>
      </c>
      <c r="L91" s="64">
        <v>24.5</v>
      </c>
      <c r="M91" s="64">
        <v>102.56</v>
      </c>
      <c r="N91" s="64">
        <v>38</v>
      </c>
      <c r="O91" s="64">
        <v>0</v>
      </c>
      <c r="P91" s="64">
        <v>0.56999999999999995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48" t="s">
        <v>1288</v>
      </c>
      <c r="B92" s="64">
        <v>8.07</v>
      </c>
      <c r="C92" s="64">
        <v>3.19</v>
      </c>
      <c r="D92" s="64">
        <v>11.91</v>
      </c>
      <c r="E92" s="64">
        <v>4.0999999999999996</v>
      </c>
      <c r="F92" s="64">
        <v>3.18</v>
      </c>
      <c r="G92" s="64">
        <v>56.06</v>
      </c>
      <c r="H92" s="64">
        <v>34.24</v>
      </c>
      <c r="I92" s="64">
        <v>3.08</v>
      </c>
      <c r="J92" s="64">
        <v>0.23</v>
      </c>
      <c r="K92" s="64">
        <v>115.34</v>
      </c>
      <c r="L92" s="64">
        <v>24.72</v>
      </c>
      <c r="M92" s="64">
        <v>102.45</v>
      </c>
      <c r="N92" s="64">
        <v>37.9</v>
      </c>
      <c r="O92" s="64">
        <v>0</v>
      </c>
      <c r="P92" s="64">
        <v>0.59</v>
      </c>
      <c r="Q92" s="64">
        <v>9.3800000000000008</v>
      </c>
      <c r="R92" s="198"/>
      <c r="S92" s="198"/>
      <c r="T92" s="198"/>
      <c r="U92" s="198"/>
    </row>
    <row r="93" spans="1:26" s="12" customFormat="1" x14ac:dyDescent="0.25">
      <c r="A93" s="248" t="s">
        <v>1289</v>
      </c>
      <c r="B93" s="64">
        <v>8.0500000000000007</v>
      </c>
      <c r="C93" s="64">
        <v>3.14</v>
      </c>
      <c r="D93" s="64">
        <v>11.87</v>
      </c>
      <c r="E93" s="64">
        <v>4.5999999999999996</v>
      </c>
      <c r="F93" s="64">
        <v>2.9</v>
      </c>
      <c r="G93" s="64">
        <v>56.06</v>
      </c>
      <c r="H93" s="64">
        <v>34.24</v>
      </c>
      <c r="I93" s="64">
        <v>3.29</v>
      </c>
      <c r="J93" s="64">
        <v>0.2</v>
      </c>
      <c r="K93" s="64">
        <v>243.85</v>
      </c>
      <c r="L93" s="64">
        <v>24.88</v>
      </c>
      <c r="M93" s="64">
        <v>102.45</v>
      </c>
      <c r="N93" s="64">
        <v>38</v>
      </c>
      <c r="O93" s="64">
        <v>0</v>
      </c>
      <c r="P93" s="64">
        <v>0.62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48" t="s">
        <v>1290</v>
      </c>
      <c r="B94" s="64">
        <v>8.0299999999999994</v>
      </c>
      <c r="C94" s="64">
        <v>3.06</v>
      </c>
      <c r="D94" s="64">
        <v>11.81</v>
      </c>
      <c r="E94" s="64">
        <v>4.16</v>
      </c>
      <c r="F94" s="64">
        <v>3.65</v>
      </c>
      <c r="G94" s="64">
        <v>56.06</v>
      </c>
      <c r="H94" s="64">
        <v>34.24</v>
      </c>
      <c r="I94" s="64">
        <v>3.45</v>
      </c>
      <c r="J94" s="64">
        <v>0.18</v>
      </c>
      <c r="K94" s="64">
        <v>224.62</v>
      </c>
      <c r="L94" s="64">
        <v>24.92</v>
      </c>
      <c r="M94" s="64">
        <v>102.44</v>
      </c>
      <c r="N94" s="64">
        <v>37.9</v>
      </c>
      <c r="O94" s="64">
        <v>0</v>
      </c>
      <c r="P94" s="64">
        <v>0.68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48" t="s">
        <v>1291</v>
      </c>
      <c r="B95" s="64">
        <v>8.02</v>
      </c>
      <c r="C95" s="64">
        <v>2.95</v>
      </c>
      <c r="D95" s="64">
        <v>11.75</v>
      </c>
      <c r="E95" s="64">
        <v>4.24</v>
      </c>
      <c r="F95" s="64">
        <v>3.38</v>
      </c>
      <c r="G95" s="64">
        <v>56.97</v>
      </c>
      <c r="H95" s="64">
        <v>31.75</v>
      </c>
      <c r="I95" s="64">
        <v>3.81</v>
      </c>
      <c r="J95" s="64">
        <v>7.0000000000000007E-2</v>
      </c>
      <c r="K95" s="64">
        <v>299.45</v>
      </c>
      <c r="L95" s="64">
        <v>24.88</v>
      </c>
      <c r="M95" s="64">
        <v>102.43</v>
      </c>
      <c r="N95" s="64">
        <v>38.200000000000003</v>
      </c>
      <c r="O95" s="64">
        <v>0</v>
      </c>
      <c r="P95" s="64">
        <v>0.72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48" t="s">
        <v>1292</v>
      </c>
      <c r="B96" s="64">
        <v>8.08</v>
      </c>
      <c r="C96" s="64">
        <v>3.13</v>
      </c>
      <c r="D96" s="64">
        <v>11.89</v>
      </c>
      <c r="E96" s="64">
        <v>4.37</v>
      </c>
      <c r="F96" s="64">
        <v>3.01</v>
      </c>
      <c r="G96" s="64">
        <v>57.2</v>
      </c>
      <c r="H96" s="64">
        <v>31.13</v>
      </c>
      <c r="I96" s="64">
        <v>4.2</v>
      </c>
      <c r="J96" s="64">
        <v>7.0000000000000007E-2</v>
      </c>
      <c r="K96" s="64">
        <v>273.85000000000002</v>
      </c>
      <c r="L96" s="64">
        <v>24.94</v>
      </c>
      <c r="M96" s="64">
        <v>102.4</v>
      </c>
      <c r="N96" s="64">
        <v>38.1</v>
      </c>
      <c r="O96" s="64">
        <v>0</v>
      </c>
      <c r="P96" s="64">
        <v>0.75</v>
      </c>
      <c r="Q96" s="64">
        <v>9.44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1293</v>
      </c>
      <c r="B97" s="64">
        <v>8.0399999999999991</v>
      </c>
      <c r="C97" s="64">
        <v>3.05</v>
      </c>
      <c r="D97" s="64">
        <v>11.82</v>
      </c>
      <c r="E97" s="64">
        <v>4.62</v>
      </c>
      <c r="F97" s="64">
        <v>3.49</v>
      </c>
      <c r="G97" s="64">
        <v>57.2</v>
      </c>
      <c r="H97" s="64">
        <v>31.13</v>
      </c>
      <c r="I97" s="64">
        <v>4.42</v>
      </c>
      <c r="J97" s="64">
        <v>0.17</v>
      </c>
      <c r="K97" s="64">
        <v>244.49</v>
      </c>
      <c r="L97" s="64">
        <v>25.14</v>
      </c>
      <c r="M97" s="64">
        <v>102.41</v>
      </c>
      <c r="N97" s="64">
        <v>37.700000000000003</v>
      </c>
      <c r="O97" s="64">
        <v>0</v>
      </c>
      <c r="P97" s="64">
        <v>0.77</v>
      </c>
      <c r="Q97" s="64">
        <v>9.48</v>
      </c>
      <c r="R97" s="198"/>
      <c r="S97" s="198"/>
      <c r="T97" s="198"/>
      <c r="U97" s="198"/>
    </row>
    <row r="98" spans="1:33" s="12" customFormat="1" x14ac:dyDescent="0.25">
      <c r="A98" s="248" t="s">
        <v>1294</v>
      </c>
      <c r="B98" s="64">
        <v>8.06</v>
      </c>
      <c r="C98" s="64">
        <v>3.05</v>
      </c>
      <c r="D98" s="64">
        <v>11.83</v>
      </c>
      <c r="E98" s="64">
        <v>4.33</v>
      </c>
      <c r="F98" s="64">
        <v>3.75</v>
      </c>
      <c r="G98" s="64">
        <v>57.2</v>
      </c>
      <c r="H98" s="64">
        <v>31.13</v>
      </c>
      <c r="I98" s="64">
        <v>4.6399999999999997</v>
      </c>
      <c r="J98" s="64">
        <v>7.0000000000000007E-2</v>
      </c>
      <c r="K98" s="64">
        <v>339.36</v>
      </c>
      <c r="L98" s="64">
        <v>25.28</v>
      </c>
      <c r="M98" s="64">
        <v>102.44</v>
      </c>
      <c r="N98" s="64">
        <v>37.6</v>
      </c>
      <c r="O98" s="64">
        <v>0</v>
      </c>
      <c r="P98" s="64">
        <v>0.79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48" t="s">
        <v>1295</v>
      </c>
      <c r="B99" s="64">
        <v>8.11</v>
      </c>
      <c r="C99" s="64">
        <v>3.1</v>
      </c>
      <c r="D99" s="64">
        <v>11.9</v>
      </c>
      <c r="E99" s="64">
        <v>4.37</v>
      </c>
      <c r="F99" s="64">
        <v>3.53</v>
      </c>
      <c r="G99" s="64">
        <v>60.03</v>
      </c>
      <c r="H99" s="64">
        <v>48.42</v>
      </c>
      <c r="I99" s="64">
        <v>4.8499999999999996</v>
      </c>
      <c r="J99" s="64">
        <v>0.13</v>
      </c>
      <c r="K99" s="64">
        <v>359.76</v>
      </c>
      <c r="L99" s="64">
        <v>25.41</v>
      </c>
      <c r="M99" s="64">
        <v>102.44</v>
      </c>
      <c r="N99" s="64">
        <v>37.5</v>
      </c>
      <c r="O99" s="64">
        <v>0</v>
      </c>
      <c r="P99" s="64">
        <v>0.79</v>
      </c>
      <c r="Q99" s="64">
        <v>9.5</v>
      </c>
      <c r="R99" s="198"/>
      <c r="S99" s="198"/>
      <c r="T99" s="198"/>
      <c r="U99" s="198"/>
    </row>
    <row r="100" spans="1:33" s="12" customFormat="1" x14ac:dyDescent="0.25">
      <c r="A100" s="248" t="s">
        <v>1296</v>
      </c>
      <c r="B100" s="64">
        <v>8.0500000000000007</v>
      </c>
      <c r="C100" s="64">
        <v>3.04</v>
      </c>
      <c r="D100" s="64">
        <v>11.82</v>
      </c>
      <c r="E100" s="64">
        <v>3.66</v>
      </c>
      <c r="F100" s="64">
        <v>4.2300000000000004</v>
      </c>
      <c r="G100" s="64">
        <v>60.74</v>
      </c>
      <c r="H100" s="64">
        <v>52.75</v>
      </c>
      <c r="I100" s="64">
        <v>5</v>
      </c>
      <c r="J100" s="64">
        <v>7.0000000000000007E-2</v>
      </c>
      <c r="K100" s="64">
        <v>237.6</v>
      </c>
      <c r="L100" s="64">
        <v>25.4</v>
      </c>
      <c r="M100" s="64">
        <v>102.47</v>
      </c>
      <c r="N100" s="64">
        <v>37.6</v>
      </c>
      <c r="O100" s="64">
        <v>0</v>
      </c>
      <c r="P100" s="64">
        <v>0.8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1297</v>
      </c>
      <c r="B101" s="64">
        <v>8</v>
      </c>
      <c r="C101" s="64">
        <v>3.06</v>
      </c>
      <c r="D101" s="64">
        <v>11.79</v>
      </c>
      <c r="E101" s="64">
        <v>4.1399999999999997</v>
      </c>
      <c r="F101" s="64">
        <v>2.83</v>
      </c>
      <c r="G101" s="64">
        <v>60.74</v>
      </c>
      <c r="H101" s="64">
        <v>52.75</v>
      </c>
      <c r="I101" s="64">
        <v>5.09</v>
      </c>
      <c r="J101" s="64">
        <v>0.09</v>
      </c>
      <c r="K101" s="64">
        <v>45.94</v>
      </c>
      <c r="L101" s="64">
        <v>25.45</v>
      </c>
      <c r="M101" s="64">
        <v>102.47</v>
      </c>
      <c r="N101" s="64">
        <v>37.5</v>
      </c>
      <c r="O101" s="64">
        <v>0</v>
      </c>
      <c r="P101" s="64">
        <v>0.79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48" t="s">
        <v>1298</v>
      </c>
      <c r="B102" s="64">
        <v>8.0399999999999991</v>
      </c>
      <c r="C102" s="64">
        <v>3.07</v>
      </c>
      <c r="D102" s="64">
        <v>11.82</v>
      </c>
      <c r="E102" s="64">
        <v>4.22</v>
      </c>
      <c r="F102" s="64">
        <v>4.25</v>
      </c>
      <c r="G102" s="64">
        <v>60.74</v>
      </c>
      <c r="H102" s="64">
        <v>52.75</v>
      </c>
      <c r="I102" s="64">
        <v>5.14</v>
      </c>
      <c r="J102" s="64">
        <v>0.04</v>
      </c>
      <c r="K102" s="64">
        <v>25.37</v>
      </c>
      <c r="L102" s="64">
        <v>25.53</v>
      </c>
      <c r="M102" s="64">
        <v>102.5</v>
      </c>
      <c r="N102" s="64">
        <v>37.700000000000003</v>
      </c>
      <c r="O102" s="64">
        <v>0</v>
      </c>
      <c r="P102" s="64">
        <v>0.76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48" t="s">
        <v>1299</v>
      </c>
      <c r="B103" s="64">
        <v>8.02</v>
      </c>
      <c r="C103" s="64">
        <v>3.05</v>
      </c>
      <c r="D103" s="64">
        <v>11.8</v>
      </c>
      <c r="E103" s="64">
        <v>4.2</v>
      </c>
      <c r="F103" s="64">
        <v>3.17</v>
      </c>
      <c r="G103" s="64">
        <v>52.44</v>
      </c>
      <c r="H103" s="64">
        <v>39.979999999999997</v>
      </c>
      <c r="I103" s="64">
        <v>5.1100000000000003</v>
      </c>
      <c r="J103" s="64">
        <v>7.0000000000000007E-2</v>
      </c>
      <c r="K103" s="64">
        <v>32.61</v>
      </c>
      <c r="L103" s="64">
        <v>25.58</v>
      </c>
      <c r="M103" s="64">
        <v>102.41</v>
      </c>
      <c r="N103" s="64">
        <v>37.700000000000003</v>
      </c>
      <c r="O103" s="64">
        <v>0</v>
      </c>
      <c r="P103" s="64">
        <v>0.75</v>
      </c>
      <c r="Q103" s="64">
        <v>9.49</v>
      </c>
      <c r="R103" s="198"/>
      <c r="S103" s="198"/>
      <c r="T103" s="198"/>
      <c r="U103" s="198"/>
    </row>
    <row r="104" spans="1:33" s="12" customFormat="1" x14ac:dyDescent="0.25">
      <c r="A104" s="248" t="s">
        <v>1300</v>
      </c>
      <c r="B104" s="64">
        <v>8.0500000000000007</v>
      </c>
      <c r="C104" s="64">
        <v>3.11</v>
      </c>
      <c r="D104" s="64">
        <v>11.86</v>
      </c>
      <c r="E104" s="64">
        <v>4.0999999999999996</v>
      </c>
      <c r="F104" s="64">
        <v>3.14</v>
      </c>
      <c r="G104" s="64">
        <v>50.37</v>
      </c>
      <c r="H104" s="64">
        <v>36.78</v>
      </c>
      <c r="I104" s="64">
        <v>5.04</v>
      </c>
      <c r="J104" s="64">
        <v>0.13</v>
      </c>
      <c r="K104" s="64">
        <v>328.01</v>
      </c>
      <c r="L104" s="64">
        <v>25.57</v>
      </c>
      <c r="M104" s="64">
        <v>102.44</v>
      </c>
      <c r="N104" s="64">
        <v>37.799999999999997</v>
      </c>
      <c r="O104" s="64">
        <v>0</v>
      </c>
      <c r="P104" s="64">
        <v>0.71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2.89</v>
      </c>
      <c r="D106" s="67">
        <f t="shared" ref="D106:Q106" si="0">MIN(D9:D104)</f>
        <v>11.65</v>
      </c>
      <c r="E106" s="67">
        <f t="shared" si="0"/>
        <v>3.22</v>
      </c>
      <c r="F106" s="67">
        <f t="shared" si="0"/>
        <v>2.2799999999999998</v>
      </c>
      <c r="G106" s="67">
        <f t="shared" si="0"/>
        <v>29.55</v>
      </c>
      <c r="H106" s="67">
        <f t="shared" si="0"/>
        <v>1.67</v>
      </c>
      <c r="I106" s="67">
        <f t="shared" si="0"/>
        <v>0.97</v>
      </c>
      <c r="J106" s="67">
        <f t="shared" si="0"/>
        <v>0.02</v>
      </c>
      <c r="K106" s="67">
        <f t="shared" si="0"/>
        <v>0.78</v>
      </c>
      <c r="L106" s="67">
        <f t="shared" si="0"/>
        <v>24.36</v>
      </c>
      <c r="M106" s="67">
        <f t="shared" si="0"/>
        <v>76.48</v>
      </c>
      <c r="N106" s="67">
        <f t="shared" si="0"/>
        <v>37.4</v>
      </c>
      <c r="O106" s="67">
        <f t="shared" si="0"/>
        <v>0</v>
      </c>
      <c r="P106" s="67">
        <f t="shared" si="0"/>
        <v>0.2</v>
      </c>
      <c r="Q106" s="67">
        <f t="shared" si="0"/>
        <v>9.02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8.11</v>
      </c>
      <c r="C107" s="66">
        <f t="shared" ref="C107:Q107" si="1">MAX(C9:C104)</f>
        <v>3.19</v>
      </c>
      <c r="D107" s="66">
        <f t="shared" si="1"/>
        <v>11.91</v>
      </c>
      <c r="E107" s="66">
        <f t="shared" si="1"/>
        <v>4.71</v>
      </c>
      <c r="F107" s="66">
        <f t="shared" si="1"/>
        <v>5.85</v>
      </c>
      <c r="G107" s="66">
        <f t="shared" si="1"/>
        <v>82.15</v>
      </c>
      <c r="H107" s="66">
        <f t="shared" si="1"/>
        <v>52.75</v>
      </c>
      <c r="I107" s="66">
        <f t="shared" si="1"/>
        <v>5.14</v>
      </c>
      <c r="J107" s="66">
        <f t="shared" si="1"/>
        <v>0.46</v>
      </c>
      <c r="K107" s="66">
        <f t="shared" si="1"/>
        <v>359.8</v>
      </c>
      <c r="L107" s="66">
        <f t="shared" si="1"/>
        <v>31.28</v>
      </c>
      <c r="M107" s="66">
        <f t="shared" si="1"/>
        <v>103.16</v>
      </c>
      <c r="N107" s="66">
        <f t="shared" si="1"/>
        <v>506.1</v>
      </c>
      <c r="O107" s="66">
        <f t="shared" si="1"/>
        <v>4.4000000000000004</v>
      </c>
      <c r="P107" s="66">
        <f t="shared" si="1"/>
        <v>0.8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7.9945833333333276</v>
      </c>
      <c r="C108" s="67">
        <f t="shared" ref="C108:Q108" si="2">AVERAGE(C9:C104)</f>
        <v>3.0323958333333345</v>
      </c>
      <c r="D108" s="67">
        <f t="shared" si="2"/>
        <v>11.769687499999996</v>
      </c>
      <c r="E108" s="67">
        <f t="shared" si="2"/>
        <v>4.0956250000000018</v>
      </c>
      <c r="F108" s="67">
        <f t="shared" si="2"/>
        <v>3.7983333333333333</v>
      </c>
      <c r="G108" s="67">
        <f t="shared" si="2"/>
        <v>52.180625000000013</v>
      </c>
      <c r="H108" s="67">
        <f t="shared" si="2"/>
        <v>24.753020833333327</v>
      </c>
      <c r="I108" s="67">
        <f t="shared" si="2"/>
        <v>2.0236458333333327</v>
      </c>
      <c r="J108" s="67">
        <f t="shared" si="2"/>
        <v>0.22093749999999998</v>
      </c>
      <c r="K108" s="67">
        <f t="shared" si="2"/>
        <v>273.30354166666655</v>
      </c>
      <c r="L108" s="67">
        <f t="shared" si="2"/>
        <v>26.971354166666668</v>
      </c>
      <c r="M108" s="67">
        <f t="shared" si="2"/>
        <v>97.896458333333328</v>
      </c>
      <c r="N108" s="67">
        <f t="shared" si="2"/>
        <v>121.66145833333337</v>
      </c>
      <c r="O108" s="67">
        <f t="shared" si="2"/>
        <v>8.7500000000000008E-2</v>
      </c>
      <c r="P108" s="67">
        <f t="shared" si="2"/>
        <v>0.43958333333333327</v>
      </c>
      <c r="Q108" s="67">
        <f t="shared" si="2"/>
        <v>9.2510416666666675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4.1950262947966124E-2</v>
      </c>
      <c r="C109" s="67">
        <f t="shared" ref="C109:Q109" si="3">STDEV(C9:C104)</f>
        <v>5.7303344104982473E-2</v>
      </c>
      <c r="D109" s="67">
        <f t="shared" si="3"/>
        <v>5.7773662274704159E-2</v>
      </c>
      <c r="E109" s="67">
        <f t="shared" si="3"/>
        <v>0.34675582945807543</v>
      </c>
      <c r="F109" s="67">
        <f t="shared" si="3"/>
        <v>0.70131555577495053</v>
      </c>
      <c r="G109" s="67">
        <f t="shared" si="3"/>
        <v>12.997665848143553</v>
      </c>
      <c r="H109" s="67">
        <f t="shared" si="3"/>
        <v>13.884045225766897</v>
      </c>
      <c r="I109" s="67">
        <f t="shared" si="3"/>
        <v>1.2131864262447722</v>
      </c>
      <c r="J109" s="67">
        <f t="shared" si="3"/>
        <v>8.0368599851591602E-2</v>
      </c>
      <c r="K109" s="67">
        <f t="shared" si="3"/>
        <v>119.58645115105467</v>
      </c>
      <c r="L109" s="67">
        <f t="shared" si="3"/>
        <v>2.0765166276301672</v>
      </c>
      <c r="M109" s="67">
        <f t="shared" si="3"/>
        <v>6.8987341293689006</v>
      </c>
      <c r="N109" s="67">
        <f t="shared" si="3"/>
        <v>116.05337281186088</v>
      </c>
      <c r="O109" s="67">
        <f t="shared" si="3"/>
        <v>0.55729610385182227</v>
      </c>
      <c r="P109" s="67">
        <f t="shared" si="3"/>
        <v>0.16701665007869362</v>
      </c>
      <c r="Q109" s="67">
        <f t="shared" si="3"/>
        <v>0.10973153043646944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1301</v>
      </c>
      <c r="B9" s="64">
        <v>8.1300000000000008</v>
      </c>
      <c r="C9" s="64">
        <v>3.26</v>
      </c>
      <c r="D9" s="64">
        <v>11.99</v>
      </c>
      <c r="E9" s="64">
        <v>3.82</v>
      </c>
      <c r="F9" s="64">
        <v>4.2</v>
      </c>
      <c r="G9" s="64">
        <v>50.37</v>
      </c>
      <c r="H9" s="64">
        <v>36.78</v>
      </c>
      <c r="I9" s="64">
        <v>4.95</v>
      </c>
      <c r="J9" s="64">
        <v>0.21</v>
      </c>
      <c r="K9" s="64">
        <v>354.33</v>
      </c>
      <c r="L9" s="64">
        <v>25.53</v>
      </c>
      <c r="M9" s="64">
        <v>102.45</v>
      </c>
      <c r="N9" s="64">
        <v>37.799999999999997</v>
      </c>
      <c r="O9" s="64">
        <v>0</v>
      </c>
      <c r="P9" s="64">
        <v>0.7</v>
      </c>
      <c r="Q9" s="64">
        <v>9.5</v>
      </c>
      <c r="R9" s="198"/>
      <c r="S9" s="198"/>
      <c r="T9" s="198"/>
      <c r="U9" s="198"/>
    </row>
    <row r="10" spans="1:21" s="12" customFormat="1" x14ac:dyDescent="0.25">
      <c r="A10" s="248" t="s">
        <v>1302</v>
      </c>
      <c r="B10" s="64">
        <v>8.01</v>
      </c>
      <c r="C10" s="64">
        <v>3.04</v>
      </c>
      <c r="D10" s="64">
        <v>11.79</v>
      </c>
      <c r="E10" s="64">
        <v>4.05</v>
      </c>
      <c r="F10" s="64">
        <v>2.61</v>
      </c>
      <c r="G10" s="64">
        <v>50.37</v>
      </c>
      <c r="H10" s="64">
        <v>36.78</v>
      </c>
      <c r="I10" s="64">
        <v>4.8099999999999996</v>
      </c>
      <c r="J10" s="64">
        <v>0.19</v>
      </c>
      <c r="K10" s="64">
        <v>342.85</v>
      </c>
      <c r="L10" s="64">
        <v>25.5</v>
      </c>
      <c r="M10" s="64">
        <v>102.45</v>
      </c>
      <c r="N10" s="64">
        <v>37.799999999999997</v>
      </c>
      <c r="O10" s="64">
        <v>0</v>
      </c>
      <c r="P10" s="64">
        <v>0.67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48" t="s">
        <v>1303</v>
      </c>
      <c r="B11" s="64">
        <v>8.01</v>
      </c>
      <c r="C11" s="64">
        <v>3.03</v>
      </c>
      <c r="D11" s="64">
        <v>11.78</v>
      </c>
      <c r="E11" s="64">
        <v>3.57</v>
      </c>
      <c r="F11" s="64">
        <v>4.0199999999999996</v>
      </c>
      <c r="G11" s="64">
        <v>44.98</v>
      </c>
      <c r="H11" s="64">
        <v>26.41</v>
      </c>
      <c r="I11" s="64">
        <v>4.7</v>
      </c>
      <c r="J11" s="64">
        <v>0.23</v>
      </c>
      <c r="K11" s="64">
        <v>10.83</v>
      </c>
      <c r="L11" s="64">
        <v>25.39</v>
      </c>
      <c r="M11" s="64">
        <v>102.5</v>
      </c>
      <c r="N11" s="64">
        <v>37.9</v>
      </c>
      <c r="O11" s="64">
        <v>0</v>
      </c>
      <c r="P11" s="64">
        <v>0.64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48" t="s">
        <v>1304</v>
      </c>
      <c r="B12" s="64">
        <v>8.0299999999999994</v>
      </c>
      <c r="C12" s="64">
        <v>3.11</v>
      </c>
      <c r="D12" s="64">
        <v>11.84</v>
      </c>
      <c r="E12" s="64">
        <v>3.97</v>
      </c>
      <c r="F12" s="64">
        <v>3.34</v>
      </c>
      <c r="G12" s="64">
        <v>43.63</v>
      </c>
      <c r="H12" s="64">
        <v>23.82</v>
      </c>
      <c r="I12" s="64">
        <v>4.41</v>
      </c>
      <c r="J12" s="64">
        <v>0.24</v>
      </c>
      <c r="K12" s="64">
        <v>0.85</v>
      </c>
      <c r="L12" s="64">
        <v>25.32</v>
      </c>
      <c r="M12" s="64">
        <v>102.53</v>
      </c>
      <c r="N12" s="64">
        <v>37.799999999999997</v>
      </c>
      <c r="O12" s="64">
        <v>0</v>
      </c>
      <c r="P12" s="64">
        <v>0.63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48" t="s">
        <v>1305</v>
      </c>
      <c r="B13" s="64">
        <v>8.01</v>
      </c>
      <c r="C13" s="64">
        <v>3.07</v>
      </c>
      <c r="D13" s="64">
        <v>11.8</v>
      </c>
      <c r="E13" s="64">
        <v>4.12</v>
      </c>
      <c r="F13" s="64">
        <v>2.83</v>
      </c>
      <c r="G13" s="64">
        <v>43.63</v>
      </c>
      <c r="H13" s="64">
        <v>23.82</v>
      </c>
      <c r="I13" s="64">
        <v>4.33</v>
      </c>
      <c r="J13" s="64">
        <v>0.08</v>
      </c>
      <c r="K13" s="64">
        <v>330.72</v>
      </c>
      <c r="L13" s="64">
        <v>25.19</v>
      </c>
      <c r="M13" s="64">
        <v>102.59</v>
      </c>
      <c r="N13" s="64">
        <v>38</v>
      </c>
      <c r="O13" s="64">
        <v>0</v>
      </c>
      <c r="P13" s="64">
        <v>0.6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48" t="s">
        <v>1306</v>
      </c>
      <c r="B14" s="64">
        <v>8.02</v>
      </c>
      <c r="C14" s="64">
        <v>3.05</v>
      </c>
      <c r="D14" s="64">
        <v>11.8</v>
      </c>
      <c r="E14" s="64">
        <v>3.37</v>
      </c>
      <c r="F14" s="64">
        <v>4.2699999999999996</v>
      </c>
      <c r="G14" s="64">
        <v>43.63</v>
      </c>
      <c r="H14" s="64">
        <v>23.82</v>
      </c>
      <c r="I14" s="64">
        <v>4.21</v>
      </c>
      <c r="J14" s="64">
        <v>0.16</v>
      </c>
      <c r="K14" s="64">
        <v>1.43</v>
      </c>
      <c r="L14" s="64">
        <v>25.14</v>
      </c>
      <c r="M14" s="64">
        <v>102.54</v>
      </c>
      <c r="N14" s="64">
        <v>37.9</v>
      </c>
      <c r="O14" s="64">
        <v>0</v>
      </c>
      <c r="P14" s="64">
        <v>0.57999999999999996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48" t="s">
        <v>1307</v>
      </c>
      <c r="B15" s="64">
        <v>8.01</v>
      </c>
      <c r="C15" s="64">
        <v>3.02</v>
      </c>
      <c r="D15" s="64">
        <v>11.78</v>
      </c>
      <c r="E15" s="64">
        <v>3.79</v>
      </c>
      <c r="F15" s="64">
        <v>2.73</v>
      </c>
      <c r="G15" s="64">
        <v>39.72</v>
      </c>
      <c r="H15" s="64">
        <v>10.43</v>
      </c>
      <c r="I15" s="64">
        <v>3.99</v>
      </c>
      <c r="J15" s="64">
        <v>0.1</v>
      </c>
      <c r="K15" s="64">
        <v>135.44</v>
      </c>
      <c r="L15" s="64">
        <v>25.07</v>
      </c>
      <c r="M15" s="64">
        <v>102.48</v>
      </c>
      <c r="N15" s="64">
        <v>37.700000000000003</v>
      </c>
      <c r="O15" s="64">
        <v>0</v>
      </c>
      <c r="P15" s="64">
        <v>0.56999999999999995</v>
      </c>
      <c r="Q15" s="64">
        <v>9.44</v>
      </c>
      <c r="R15" s="198"/>
      <c r="S15" s="198"/>
      <c r="T15" s="198"/>
      <c r="U15" s="198"/>
    </row>
    <row r="16" spans="1:21" s="12" customFormat="1" x14ac:dyDescent="0.25">
      <c r="A16" s="248" t="s">
        <v>1308</v>
      </c>
      <c r="B16" s="64">
        <v>8.0399999999999991</v>
      </c>
      <c r="C16" s="64">
        <v>3.03</v>
      </c>
      <c r="D16" s="64">
        <v>11.8</v>
      </c>
      <c r="E16" s="64">
        <v>3.69</v>
      </c>
      <c r="F16" s="64">
        <v>3.42</v>
      </c>
      <c r="G16" s="64">
        <v>38.74</v>
      </c>
      <c r="H16" s="64">
        <v>7.08</v>
      </c>
      <c r="I16" s="64">
        <v>3.94</v>
      </c>
      <c r="J16" s="64">
        <v>0.08</v>
      </c>
      <c r="K16" s="64">
        <v>205.64</v>
      </c>
      <c r="L16" s="64">
        <v>24.98</v>
      </c>
      <c r="M16" s="64">
        <v>102.49</v>
      </c>
      <c r="N16" s="64">
        <v>37.799999999999997</v>
      </c>
      <c r="O16" s="64">
        <v>0</v>
      </c>
      <c r="P16" s="64">
        <v>0.55000000000000004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48" t="s">
        <v>1309</v>
      </c>
      <c r="B17" s="64">
        <v>8.07</v>
      </c>
      <c r="C17" s="64">
        <v>3.13</v>
      </c>
      <c r="D17" s="64">
        <v>11.88</v>
      </c>
      <c r="E17" s="64">
        <v>3.63</v>
      </c>
      <c r="F17" s="64">
        <v>3.59</v>
      </c>
      <c r="G17" s="64">
        <v>38.74</v>
      </c>
      <c r="H17" s="64">
        <v>7.08</v>
      </c>
      <c r="I17" s="64">
        <v>3.91</v>
      </c>
      <c r="J17" s="64">
        <v>0.1</v>
      </c>
      <c r="K17" s="64">
        <v>300.73</v>
      </c>
      <c r="L17" s="64">
        <v>24.92</v>
      </c>
      <c r="M17" s="64">
        <v>102.36</v>
      </c>
      <c r="N17" s="64">
        <v>37.700000000000003</v>
      </c>
      <c r="O17" s="64">
        <v>0</v>
      </c>
      <c r="P17" s="64">
        <v>0.53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48" t="s">
        <v>1310</v>
      </c>
      <c r="B18" s="64">
        <v>8.09</v>
      </c>
      <c r="C18" s="64">
        <v>3.12</v>
      </c>
      <c r="D18" s="64">
        <v>11.89</v>
      </c>
      <c r="E18" s="64">
        <v>3.85</v>
      </c>
      <c r="F18" s="64">
        <v>3.36</v>
      </c>
      <c r="G18" s="64">
        <v>38.74</v>
      </c>
      <c r="H18" s="64">
        <v>7.08</v>
      </c>
      <c r="I18" s="64">
        <v>4.0599999999999996</v>
      </c>
      <c r="J18" s="64">
        <v>0.17</v>
      </c>
      <c r="K18" s="64">
        <v>354.47</v>
      </c>
      <c r="L18" s="64">
        <v>24.89</v>
      </c>
      <c r="M18" s="64">
        <v>102.32</v>
      </c>
      <c r="N18" s="64">
        <v>37.700000000000003</v>
      </c>
      <c r="O18" s="64">
        <v>0</v>
      </c>
      <c r="P18" s="64">
        <v>0.52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48" t="s">
        <v>1311</v>
      </c>
      <c r="B19" s="64">
        <v>8.06</v>
      </c>
      <c r="C19" s="64">
        <v>3.06</v>
      </c>
      <c r="D19" s="64">
        <v>11.84</v>
      </c>
      <c r="E19" s="64">
        <v>4.12</v>
      </c>
      <c r="F19" s="64">
        <v>3.15</v>
      </c>
      <c r="G19" s="64">
        <v>30.39</v>
      </c>
      <c r="H19" s="64">
        <v>32.479999999999997</v>
      </c>
      <c r="I19" s="64">
        <v>4.12</v>
      </c>
      <c r="J19" s="64">
        <v>0.06</v>
      </c>
      <c r="K19" s="64">
        <v>310.19</v>
      </c>
      <c r="L19" s="64">
        <v>24.95</v>
      </c>
      <c r="M19" s="64">
        <v>102.3</v>
      </c>
      <c r="N19" s="64">
        <v>37.799999999999997</v>
      </c>
      <c r="O19" s="64">
        <v>0</v>
      </c>
      <c r="P19" s="64">
        <v>0.51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48" t="s">
        <v>1312</v>
      </c>
      <c r="B20" s="64">
        <v>8.02</v>
      </c>
      <c r="C20" s="64">
        <v>2.98</v>
      </c>
      <c r="D20" s="64">
        <v>11.76</v>
      </c>
      <c r="E20" s="64">
        <v>3.9</v>
      </c>
      <c r="F20" s="64">
        <v>2.91</v>
      </c>
      <c r="G20" s="64">
        <v>28.3</v>
      </c>
      <c r="H20" s="64">
        <v>38.83</v>
      </c>
      <c r="I20" s="64">
        <v>4.1500000000000004</v>
      </c>
      <c r="J20" s="64">
        <v>0.09</v>
      </c>
      <c r="K20" s="64">
        <v>305.13</v>
      </c>
      <c r="L20" s="64">
        <v>24.92</v>
      </c>
      <c r="M20" s="64">
        <v>102.28</v>
      </c>
      <c r="N20" s="64">
        <v>37.700000000000003</v>
      </c>
      <c r="O20" s="64">
        <v>0</v>
      </c>
      <c r="P20" s="64">
        <v>0.49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48" t="s">
        <v>1313</v>
      </c>
      <c r="B21" s="64">
        <v>8.01</v>
      </c>
      <c r="C21" s="64">
        <v>3.03</v>
      </c>
      <c r="D21" s="64">
        <v>11.78</v>
      </c>
      <c r="E21" s="64">
        <v>3.92</v>
      </c>
      <c r="F21" s="64">
        <v>3.21</v>
      </c>
      <c r="G21" s="64">
        <v>28.3</v>
      </c>
      <c r="H21" s="64">
        <v>38.83</v>
      </c>
      <c r="I21" s="64">
        <v>4.1500000000000004</v>
      </c>
      <c r="J21" s="64">
        <v>0.16</v>
      </c>
      <c r="K21" s="64">
        <v>314.52999999999997</v>
      </c>
      <c r="L21" s="64">
        <v>24.88</v>
      </c>
      <c r="M21" s="64">
        <v>102.3</v>
      </c>
      <c r="N21" s="64">
        <v>37.700000000000003</v>
      </c>
      <c r="O21" s="64">
        <v>0</v>
      </c>
      <c r="P21" s="64">
        <v>0.48</v>
      </c>
      <c r="Q21" s="64">
        <v>9.3800000000000008</v>
      </c>
      <c r="R21" s="198"/>
      <c r="S21" s="198"/>
      <c r="T21" s="198"/>
      <c r="U21" s="198"/>
    </row>
    <row r="22" spans="1:21" s="12" customFormat="1" x14ac:dyDescent="0.25">
      <c r="A22" s="248" t="s">
        <v>1314</v>
      </c>
      <c r="B22" s="64">
        <v>8</v>
      </c>
      <c r="C22" s="64">
        <v>2.96</v>
      </c>
      <c r="D22" s="64">
        <v>11.74</v>
      </c>
      <c r="E22" s="64">
        <v>4.38</v>
      </c>
      <c r="F22" s="64">
        <v>3.54</v>
      </c>
      <c r="G22" s="64">
        <v>28.3</v>
      </c>
      <c r="H22" s="64">
        <v>38.83</v>
      </c>
      <c r="I22" s="64">
        <v>4.16</v>
      </c>
      <c r="J22" s="64">
        <v>0.15</v>
      </c>
      <c r="K22" s="64">
        <v>300</v>
      </c>
      <c r="L22" s="64">
        <v>24.92</v>
      </c>
      <c r="M22" s="64">
        <v>102.33</v>
      </c>
      <c r="N22" s="64">
        <v>37.799999999999997</v>
      </c>
      <c r="O22" s="64">
        <v>0</v>
      </c>
      <c r="P22" s="64">
        <v>0.47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48" t="s">
        <v>1315</v>
      </c>
      <c r="B23" s="64">
        <v>8.01</v>
      </c>
      <c r="C23" s="64">
        <v>3.02</v>
      </c>
      <c r="D23" s="64">
        <v>11.77</v>
      </c>
      <c r="E23" s="64">
        <v>4.41</v>
      </c>
      <c r="F23" s="64">
        <v>3.88</v>
      </c>
      <c r="G23" s="64">
        <v>28.46</v>
      </c>
      <c r="H23" s="64">
        <v>23.83</v>
      </c>
      <c r="I23" s="64">
        <v>4.01</v>
      </c>
      <c r="J23" s="64">
        <v>0.1</v>
      </c>
      <c r="K23" s="64">
        <v>19.149999999999999</v>
      </c>
      <c r="L23" s="64">
        <v>24.83</v>
      </c>
      <c r="M23" s="64">
        <v>102.35</v>
      </c>
      <c r="N23" s="64">
        <v>37.799999999999997</v>
      </c>
      <c r="O23" s="64">
        <v>0</v>
      </c>
      <c r="P23" s="64">
        <v>0.46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48" t="s">
        <v>1316</v>
      </c>
      <c r="B24" s="64">
        <v>7.98</v>
      </c>
      <c r="C24" s="64">
        <v>2.99</v>
      </c>
      <c r="D24" s="64">
        <v>11.73</v>
      </c>
      <c r="E24" s="64">
        <v>4.4000000000000004</v>
      </c>
      <c r="F24" s="64">
        <v>2.79</v>
      </c>
      <c r="G24" s="64">
        <v>28.5</v>
      </c>
      <c r="H24" s="64">
        <v>20.079999999999998</v>
      </c>
      <c r="I24" s="64">
        <v>3.98</v>
      </c>
      <c r="J24" s="64">
        <v>7.0000000000000007E-2</v>
      </c>
      <c r="K24" s="64">
        <v>320.51</v>
      </c>
      <c r="L24" s="64">
        <v>24.85</v>
      </c>
      <c r="M24" s="64">
        <v>102.35</v>
      </c>
      <c r="N24" s="64">
        <v>37.700000000000003</v>
      </c>
      <c r="O24" s="64">
        <v>0</v>
      </c>
      <c r="P24" s="64">
        <v>0.44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48" t="s">
        <v>1317</v>
      </c>
      <c r="B25" s="64">
        <v>7.97</v>
      </c>
      <c r="C25" s="64">
        <v>2.99</v>
      </c>
      <c r="D25" s="64">
        <v>11.73</v>
      </c>
      <c r="E25" s="64">
        <v>4.2699999999999996</v>
      </c>
      <c r="F25" s="64">
        <v>3.92</v>
      </c>
      <c r="G25" s="64">
        <v>28.5</v>
      </c>
      <c r="H25" s="64">
        <v>20.079999999999998</v>
      </c>
      <c r="I25" s="64">
        <v>3.94</v>
      </c>
      <c r="J25" s="64">
        <v>0.1</v>
      </c>
      <c r="K25" s="64">
        <v>59.52</v>
      </c>
      <c r="L25" s="64">
        <v>24.82</v>
      </c>
      <c r="M25" s="64">
        <v>102.35</v>
      </c>
      <c r="N25" s="64">
        <v>37.700000000000003</v>
      </c>
      <c r="O25" s="64">
        <v>0</v>
      </c>
      <c r="P25" s="64">
        <v>0.44</v>
      </c>
      <c r="Q25" s="64">
        <v>9.34</v>
      </c>
      <c r="R25" s="198"/>
      <c r="S25" s="198"/>
      <c r="T25" s="198"/>
      <c r="U25" s="198"/>
    </row>
    <row r="26" spans="1:21" s="12" customFormat="1" x14ac:dyDescent="0.25">
      <c r="A26" s="248" t="s">
        <v>1318</v>
      </c>
      <c r="B26" s="64">
        <v>7.96</v>
      </c>
      <c r="C26" s="64">
        <v>2.96</v>
      </c>
      <c r="D26" s="64">
        <v>11.7</v>
      </c>
      <c r="E26" s="64">
        <v>4.37</v>
      </c>
      <c r="F26" s="64">
        <v>2.75</v>
      </c>
      <c r="G26" s="64">
        <v>28.5</v>
      </c>
      <c r="H26" s="64">
        <v>20.079999999999998</v>
      </c>
      <c r="I26" s="64">
        <v>3.85</v>
      </c>
      <c r="J26" s="64">
        <v>0.1</v>
      </c>
      <c r="K26" s="64">
        <v>188.77</v>
      </c>
      <c r="L26" s="64">
        <v>24.86</v>
      </c>
      <c r="M26" s="64">
        <v>102.36</v>
      </c>
      <c r="N26" s="64">
        <v>37.6</v>
      </c>
      <c r="O26" s="64">
        <v>0</v>
      </c>
      <c r="P26" s="64">
        <v>0.41</v>
      </c>
      <c r="Q26" s="64">
        <v>9.31</v>
      </c>
      <c r="R26" s="198"/>
      <c r="S26" s="198"/>
      <c r="T26" s="198"/>
      <c r="U26" s="198"/>
    </row>
    <row r="27" spans="1:21" s="12" customFormat="1" x14ac:dyDescent="0.25">
      <c r="A27" s="248" t="s">
        <v>1319</v>
      </c>
      <c r="B27" s="64">
        <v>7.97</v>
      </c>
      <c r="C27" s="64">
        <v>2.97</v>
      </c>
      <c r="D27" s="64">
        <v>11.72</v>
      </c>
      <c r="E27" s="64">
        <v>4.33</v>
      </c>
      <c r="F27" s="64">
        <v>4.3499999999999996</v>
      </c>
      <c r="G27" s="64">
        <v>23.89</v>
      </c>
      <c r="H27" s="64">
        <v>9.76</v>
      </c>
      <c r="I27" s="64">
        <v>3.83</v>
      </c>
      <c r="J27" s="64">
        <v>0.17</v>
      </c>
      <c r="K27" s="64">
        <v>162.03</v>
      </c>
      <c r="L27" s="64">
        <v>24.85</v>
      </c>
      <c r="M27" s="64">
        <v>102.32</v>
      </c>
      <c r="N27" s="64">
        <v>37.700000000000003</v>
      </c>
      <c r="O27" s="64">
        <v>0</v>
      </c>
      <c r="P27" s="64">
        <v>0.42</v>
      </c>
      <c r="Q27" s="64">
        <v>9.31</v>
      </c>
      <c r="R27" s="198"/>
      <c r="S27" s="198"/>
      <c r="T27" s="198"/>
      <c r="U27" s="198"/>
    </row>
    <row r="28" spans="1:21" s="12" customFormat="1" x14ac:dyDescent="0.25">
      <c r="A28" s="248" t="s">
        <v>1320</v>
      </c>
      <c r="B28" s="64">
        <v>7.97</v>
      </c>
      <c r="C28" s="64">
        <v>2.97</v>
      </c>
      <c r="D28" s="64">
        <v>11.72</v>
      </c>
      <c r="E28" s="64">
        <v>4.45</v>
      </c>
      <c r="F28" s="64">
        <v>2.42</v>
      </c>
      <c r="G28" s="64">
        <v>22.74</v>
      </c>
      <c r="H28" s="64">
        <v>7.19</v>
      </c>
      <c r="I28" s="64">
        <v>3.76</v>
      </c>
      <c r="J28" s="64">
        <v>0.25</v>
      </c>
      <c r="K28" s="64">
        <v>131.56</v>
      </c>
      <c r="L28" s="64">
        <v>24.81</v>
      </c>
      <c r="M28" s="64">
        <v>102.35</v>
      </c>
      <c r="N28" s="64">
        <v>37.700000000000003</v>
      </c>
      <c r="O28" s="64">
        <v>0</v>
      </c>
      <c r="P28" s="64">
        <v>0.4</v>
      </c>
      <c r="Q28" s="64">
        <v>9.3000000000000007</v>
      </c>
      <c r="R28" s="198"/>
      <c r="S28" s="198"/>
      <c r="T28" s="198"/>
      <c r="U28" s="198"/>
    </row>
    <row r="29" spans="1:21" s="12" customFormat="1" x14ac:dyDescent="0.25">
      <c r="A29" s="248" t="s">
        <v>1321</v>
      </c>
      <c r="B29" s="64">
        <v>7.99</v>
      </c>
      <c r="C29" s="64">
        <v>3.03</v>
      </c>
      <c r="D29" s="64">
        <v>11.76</v>
      </c>
      <c r="E29" s="64">
        <v>4.22</v>
      </c>
      <c r="F29" s="64">
        <v>4.83</v>
      </c>
      <c r="G29" s="64">
        <v>22.74</v>
      </c>
      <c r="H29" s="64">
        <v>7.19</v>
      </c>
      <c r="I29" s="64">
        <v>3.85</v>
      </c>
      <c r="J29" s="64">
        <v>0.09</v>
      </c>
      <c r="K29" s="64">
        <v>131.78</v>
      </c>
      <c r="L29" s="64">
        <v>24.8</v>
      </c>
      <c r="M29" s="64">
        <v>102.36</v>
      </c>
      <c r="N29" s="64">
        <v>37.6</v>
      </c>
      <c r="O29" s="64">
        <v>0</v>
      </c>
      <c r="P29" s="64">
        <v>0.39</v>
      </c>
      <c r="Q29" s="64">
        <v>9.31</v>
      </c>
      <c r="R29" s="198"/>
      <c r="S29" s="198"/>
      <c r="T29" s="198"/>
      <c r="U29" s="198"/>
    </row>
    <row r="30" spans="1:21" s="12" customFormat="1" x14ac:dyDescent="0.25">
      <c r="A30" s="248" t="s">
        <v>1322</v>
      </c>
      <c r="B30" s="64">
        <v>8.01</v>
      </c>
      <c r="C30" s="64">
        <v>3.05</v>
      </c>
      <c r="D30" s="64">
        <v>11.79</v>
      </c>
      <c r="E30" s="64">
        <v>4</v>
      </c>
      <c r="F30" s="64">
        <v>2.27</v>
      </c>
      <c r="G30" s="64">
        <v>22.74</v>
      </c>
      <c r="H30" s="64">
        <v>7.19</v>
      </c>
      <c r="I30" s="64">
        <v>3.82</v>
      </c>
      <c r="J30" s="64">
        <v>0.13</v>
      </c>
      <c r="K30" s="64">
        <v>143.24</v>
      </c>
      <c r="L30" s="64">
        <v>24.76</v>
      </c>
      <c r="M30" s="64">
        <v>102.2</v>
      </c>
      <c r="N30" s="64">
        <v>37.700000000000003</v>
      </c>
      <c r="O30" s="64">
        <v>0</v>
      </c>
      <c r="P30" s="64">
        <v>0.39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48" t="s">
        <v>1323</v>
      </c>
      <c r="B31" s="64">
        <v>8.09</v>
      </c>
      <c r="C31" s="64">
        <v>3.21</v>
      </c>
      <c r="D31" s="64">
        <v>11.94</v>
      </c>
      <c r="E31" s="64">
        <v>3.97</v>
      </c>
      <c r="F31" s="64">
        <v>3.29</v>
      </c>
      <c r="G31" s="64">
        <v>21.93</v>
      </c>
      <c r="H31" s="64">
        <v>6.08</v>
      </c>
      <c r="I31" s="64">
        <v>3.87</v>
      </c>
      <c r="J31" s="64">
        <v>0.1</v>
      </c>
      <c r="K31" s="64">
        <v>174.39</v>
      </c>
      <c r="L31" s="64">
        <v>24.8</v>
      </c>
      <c r="M31" s="64">
        <v>102.2</v>
      </c>
      <c r="N31" s="64">
        <v>39.200000000000003</v>
      </c>
      <c r="O31" s="64">
        <v>0</v>
      </c>
      <c r="P31" s="64">
        <v>0.38</v>
      </c>
      <c r="Q31" s="64">
        <v>9.32</v>
      </c>
      <c r="R31" s="198"/>
      <c r="S31" s="198"/>
      <c r="T31" s="198"/>
      <c r="U31" s="198"/>
    </row>
    <row r="32" spans="1:21" s="12" customFormat="1" x14ac:dyDescent="0.25">
      <c r="A32" s="248" t="s">
        <v>1324</v>
      </c>
      <c r="B32" s="64">
        <v>8.15</v>
      </c>
      <c r="C32" s="64">
        <v>3.31</v>
      </c>
      <c r="D32" s="64">
        <v>12.04</v>
      </c>
      <c r="E32" s="64">
        <v>4.43</v>
      </c>
      <c r="F32" s="64">
        <v>3.11</v>
      </c>
      <c r="G32" s="64">
        <v>21.72</v>
      </c>
      <c r="H32" s="64">
        <v>5.8</v>
      </c>
      <c r="I32" s="64">
        <v>3.85</v>
      </c>
      <c r="J32" s="64">
        <v>0.1</v>
      </c>
      <c r="K32" s="64">
        <v>75.930000000000007</v>
      </c>
      <c r="L32" s="64">
        <v>24.84</v>
      </c>
      <c r="M32" s="64">
        <v>102.18</v>
      </c>
      <c r="N32" s="64">
        <v>50</v>
      </c>
      <c r="O32" s="64">
        <v>0</v>
      </c>
      <c r="P32" s="64">
        <v>0.38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48" t="s">
        <v>1325</v>
      </c>
      <c r="B33" s="64">
        <v>8.0299999999999994</v>
      </c>
      <c r="C33" s="64">
        <v>3.09</v>
      </c>
      <c r="D33" s="64">
        <v>11.83</v>
      </c>
      <c r="E33" s="64">
        <v>4.5199999999999996</v>
      </c>
      <c r="F33" s="64">
        <v>2.79</v>
      </c>
      <c r="G33" s="64">
        <v>21.72</v>
      </c>
      <c r="H33" s="64">
        <v>5.8</v>
      </c>
      <c r="I33" s="64">
        <v>3.89</v>
      </c>
      <c r="J33" s="64">
        <v>0.05</v>
      </c>
      <c r="K33" s="64">
        <v>274</v>
      </c>
      <c r="L33" s="64">
        <v>25.01</v>
      </c>
      <c r="M33" s="64">
        <v>102.29</v>
      </c>
      <c r="N33" s="64">
        <v>70.3</v>
      </c>
      <c r="O33" s="64">
        <v>0</v>
      </c>
      <c r="P33" s="64">
        <v>0.34</v>
      </c>
      <c r="Q33" s="64">
        <v>9.35</v>
      </c>
      <c r="R33" s="198"/>
      <c r="S33" s="198"/>
      <c r="T33" s="198"/>
      <c r="U33" s="198"/>
    </row>
    <row r="34" spans="1:21" s="12" customFormat="1" x14ac:dyDescent="0.25">
      <c r="A34" s="248" t="s">
        <v>1326</v>
      </c>
      <c r="B34" s="64">
        <v>8.01</v>
      </c>
      <c r="C34" s="64">
        <v>3.05</v>
      </c>
      <c r="D34" s="64">
        <v>11.79</v>
      </c>
      <c r="E34" s="64">
        <v>4.26</v>
      </c>
      <c r="F34" s="64">
        <v>3.79</v>
      </c>
      <c r="G34" s="64">
        <v>21.72</v>
      </c>
      <c r="H34" s="64">
        <v>5.8</v>
      </c>
      <c r="I34" s="64">
        <v>3.83</v>
      </c>
      <c r="J34" s="64">
        <v>7.0000000000000007E-2</v>
      </c>
      <c r="K34" s="64">
        <v>13.48</v>
      </c>
      <c r="L34" s="64">
        <v>25.46</v>
      </c>
      <c r="M34" s="64">
        <v>102.26</v>
      </c>
      <c r="N34" s="64">
        <v>101.2</v>
      </c>
      <c r="O34" s="64">
        <v>0</v>
      </c>
      <c r="P34" s="64">
        <v>0.35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48" t="s">
        <v>1327</v>
      </c>
      <c r="B35" s="64">
        <v>8.0299999999999994</v>
      </c>
      <c r="C35" s="64">
        <v>3.01</v>
      </c>
      <c r="D35" s="64">
        <v>11.79</v>
      </c>
      <c r="E35" s="64">
        <v>4.0599999999999996</v>
      </c>
      <c r="F35" s="64">
        <v>3.51</v>
      </c>
      <c r="G35" s="64">
        <v>23.56</v>
      </c>
      <c r="H35" s="64">
        <v>3.77</v>
      </c>
      <c r="I35" s="64">
        <v>4.0199999999999996</v>
      </c>
      <c r="J35" s="64">
        <v>0.13</v>
      </c>
      <c r="K35" s="64">
        <v>0.06</v>
      </c>
      <c r="L35" s="64">
        <v>26.01</v>
      </c>
      <c r="M35" s="64">
        <v>102.18</v>
      </c>
      <c r="N35" s="64">
        <v>135</v>
      </c>
      <c r="O35" s="64">
        <v>0</v>
      </c>
      <c r="P35" s="64">
        <v>0.36</v>
      </c>
      <c r="Q35" s="64">
        <v>9.36</v>
      </c>
      <c r="R35" s="198"/>
      <c r="S35" s="198"/>
      <c r="T35" s="198"/>
      <c r="U35" s="198"/>
    </row>
    <row r="36" spans="1:21" s="12" customFormat="1" x14ac:dyDescent="0.25">
      <c r="A36" s="248" t="s">
        <v>1328</v>
      </c>
      <c r="B36" s="64">
        <v>8.06</v>
      </c>
      <c r="C36" s="64">
        <v>3.04</v>
      </c>
      <c r="D36" s="64">
        <v>11.82</v>
      </c>
      <c r="E36" s="64">
        <v>4.03</v>
      </c>
      <c r="F36" s="64">
        <v>3.07</v>
      </c>
      <c r="G36" s="64">
        <v>24.02</v>
      </c>
      <c r="H36" s="64">
        <v>3.27</v>
      </c>
      <c r="I36" s="64">
        <v>3.8</v>
      </c>
      <c r="J36" s="64">
        <v>0.08</v>
      </c>
      <c r="K36" s="64">
        <v>303.93</v>
      </c>
      <c r="L36" s="64">
        <v>26.69</v>
      </c>
      <c r="M36" s="64">
        <v>102.09</v>
      </c>
      <c r="N36" s="64">
        <v>181</v>
      </c>
      <c r="O36" s="64">
        <v>0</v>
      </c>
      <c r="P36" s="64">
        <v>0.35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48" t="s">
        <v>1329</v>
      </c>
      <c r="B37" s="64">
        <v>8.02</v>
      </c>
      <c r="C37" s="64">
        <v>2.95</v>
      </c>
      <c r="D37" s="64">
        <v>11.75</v>
      </c>
      <c r="E37" s="64">
        <v>4.21</v>
      </c>
      <c r="F37" s="64">
        <v>3.1</v>
      </c>
      <c r="G37" s="64">
        <v>24.02</v>
      </c>
      <c r="H37" s="64">
        <v>3.27</v>
      </c>
      <c r="I37" s="64">
        <v>3.75</v>
      </c>
      <c r="J37" s="64">
        <v>0.11</v>
      </c>
      <c r="K37" s="64">
        <v>345.47</v>
      </c>
      <c r="L37" s="64">
        <v>26.6</v>
      </c>
      <c r="M37" s="64">
        <v>102.18</v>
      </c>
      <c r="N37" s="64">
        <v>167.8</v>
      </c>
      <c r="O37" s="64">
        <v>0</v>
      </c>
      <c r="P37" s="64">
        <v>0.36</v>
      </c>
      <c r="Q37" s="64">
        <v>9.36</v>
      </c>
      <c r="R37" s="198"/>
      <c r="S37" s="198"/>
      <c r="T37" s="198"/>
      <c r="U37" s="198"/>
    </row>
    <row r="38" spans="1:21" s="12" customFormat="1" x14ac:dyDescent="0.25">
      <c r="A38" s="248" t="s">
        <v>1330</v>
      </c>
      <c r="B38" s="64">
        <v>8.0399999999999991</v>
      </c>
      <c r="C38" s="64">
        <v>2.99</v>
      </c>
      <c r="D38" s="64">
        <v>11.78</v>
      </c>
      <c r="E38" s="64">
        <v>4.2</v>
      </c>
      <c r="F38" s="64">
        <v>3.27</v>
      </c>
      <c r="G38" s="64">
        <v>24.02</v>
      </c>
      <c r="H38" s="64">
        <v>3.27</v>
      </c>
      <c r="I38" s="64">
        <v>3.71</v>
      </c>
      <c r="J38" s="64">
        <v>0.13</v>
      </c>
      <c r="K38" s="64">
        <v>347.85</v>
      </c>
      <c r="L38" s="64">
        <v>26.38</v>
      </c>
      <c r="M38" s="64">
        <v>102.36</v>
      </c>
      <c r="N38" s="64">
        <v>139.6</v>
      </c>
      <c r="O38" s="64">
        <v>0</v>
      </c>
      <c r="P38" s="64">
        <v>0.35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48" t="s">
        <v>1331</v>
      </c>
      <c r="B39" s="64">
        <v>8.0399999999999991</v>
      </c>
      <c r="C39" s="64">
        <v>3.04</v>
      </c>
      <c r="D39" s="64">
        <v>11.81</v>
      </c>
      <c r="E39" s="64">
        <v>4.59</v>
      </c>
      <c r="F39" s="64">
        <v>2.98</v>
      </c>
      <c r="G39" s="64">
        <v>19.329999999999998</v>
      </c>
      <c r="H39" s="64">
        <v>2.65</v>
      </c>
      <c r="I39" s="64">
        <v>3.55</v>
      </c>
      <c r="J39" s="64">
        <v>0.23</v>
      </c>
      <c r="K39" s="64">
        <v>359.51</v>
      </c>
      <c r="L39" s="64">
        <v>26.78</v>
      </c>
      <c r="M39" s="64">
        <v>102.29</v>
      </c>
      <c r="N39" s="64">
        <v>291.7</v>
      </c>
      <c r="O39" s="64">
        <v>0</v>
      </c>
      <c r="P39" s="64">
        <v>0.35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48" t="s">
        <v>1332</v>
      </c>
      <c r="B40" s="64">
        <v>8.0299999999999994</v>
      </c>
      <c r="C40" s="64">
        <v>2.98</v>
      </c>
      <c r="D40" s="64">
        <v>11.77</v>
      </c>
      <c r="E40" s="64">
        <v>4.55</v>
      </c>
      <c r="F40" s="64">
        <v>3.12</v>
      </c>
      <c r="G40" s="64">
        <v>18.16</v>
      </c>
      <c r="H40" s="64">
        <v>2.4900000000000002</v>
      </c>
      <c r="I40" s="64">
        <v>3.5</v>
      </c>
      <c r="J40" s="64">
        <v>0.23</v>
      </c>
      <c r="K40" s="64">
        <v>343.63</v>
      </c>
      <c r="L40" s="64">
        <v>28.43</v>
      </c>
      <c r="M40" s="64">
        <v>101.24</v>
      </c>
      <c r="N40" s="64">
        <v>334.6</v>
      </c>
      <c r="O40" s="64">
        <v>0</v>
      </c>
      <c r="P40" s="64">
        <v>0.35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48" t="s">
        <v>1333</v>
      </c>
      <c r="B41" s="64">
        <v>8.0299999999999994</v>
      </c>
      <c r="C41" s="64">
        <v>3.03</v>
      </c>
      <c r="D41" s="64">
        <v>11.8</v>
      </c>
      <c r="E41" s="64">
        <v>4.34</v>
      </c>
      <c r="F41" s="64">
        <v>4.49</v>
      </c>
      <c r="G41" s="64">
        <v>18.16</v>
      </c>
      <c r="H41" s="64">
        <v>2.4900000000000002</v>
      </c>
      <c r="I41" s="64">
        <v>3.14</v>
      </c>
      <c r="J41" s="64">
        <v>0.25</v>
      </c>
      <c r="K41" s="64">
        <v>0.83</v>
      </c>
      <c r="L41" s="64">
        <v>29.62</v>
      </c>
      <c r="M41" s="64">
        <v>94.97</v>
      </c>
      <c r="N41" s="64">
        <v>446.8</v>
      </c>
      <c r="O41" s="64">
        <v>0</v>
      </c>
      <c r="P41" s="64">
        <v>0.37</v>
      </c>
      <c r="Q41" s="64">
        <v>9.36</v>
      </c>
      <c r="R41" s="198"/>
      <c r="S41" s="198"/>
      <c r="T41" s="198"/>
      <c r="U41" s="198"/>
    </row>
    <row r="42" spans="1:21" s="12" customFormat="1" x14ac:dyDescent="0.25">
      <c r="A42" s="248" t="s">
        <v>1334</v>
      </c>
      <c r="B42" s="64">
        <v>8.01</v>
      </c>
      <c r="C42" s="64">
        <v>3.04</v>
      </c>
      <c r="D42" s="64">
        <v>11.79</v>
      </c>
      <c r="E42" s="64">
        <v>4.0599999999999996</v>
      </c>
      <c r="F42" s="64">
        <v>2.61</v>
      </c>
      <c r="G42" s="64">
        <v>18.16</v>
      </c>
      <c r="H42" s="64">
        <v>2.4900000000000002</v>
      </c>
      <c r="I42" s="64">
        <v>3.01</v>
      </c>
      <c r="J42" s="64">
        <v>0.27</v>
      </c>
      <c r="K42" s="64">
        <v>349.59</v>
      </c>
      <c r="L42" s="64">
        <v>29.25</v>
      </c>
      <c r="M42" s="64">
        <v>96.3</v>
      </c>
      <c r="N42" s="64">
        <v>465.4</v>
      </c>
      <c r="O42" s="64">
        <v>0</v>
      </c>
      <c r="P42" s="64">
        <v>0.37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48" t="s">
        <v>1335</v>
      </c>
      <c r="B43" s="64">
        <v>7.97</v>
      </c>
      <c r="C43" s="64">
        <v>2.94</v>
      </c>
      <c r="D43" s="64">
        <v>11.7</v>
      </c>
      <c r="E43" s="64">
        <v>4.01</v>
      </c>
      <c r="F43" s="64">
        <v>4.18</v>
      </c>
      <c r="G43" s="64">
        <v>26.87</v>
      </c>
      <c r="H43" s="64">
        <v>8.69</v>
      </c>
      <c r="I43" s="64">
        <v>2.95</v>
      </c>
      <c r="J43" s="64">
        <v>0.27</v>
      </c>
      <c r="K43" s="64">
        <v>0.84</v>
      </c>
      <c r="L43" s="64">
        <v>29.91</v>
      </c>
      <c r="M43" s="64">
        <v>93.39</v>
      </c>
      <c r="N43" s="64">
        <v>504.9</v>
      </c>
      <c r="O43" s="64">
        <v>0</v>
      </c>
      <c r="P43" s="64">
        <v>0.38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48" t="s">
        <v>1336</v>
      </c>
      <c r="B44" s="64">
        <v>7.97</v>
      </c>
      <c r="C44" s="64">
        <v>2.98</v>
      </c>
      <c r="D44" s="64">
        <v>11.72</v>
      </c>
      <c r="E44" s="64">
        <v>4.26</v>
      </c>
      <c r="F44" s="64">
        <v>2.82</v>
      </c>
      <c r="G44" s="64">
        <v>29.05</v>
      </c>
      <c r="H44" s="64">
        <v>10.24</v>
      </c>
      <c r="I44" s="64">
        <v>2.83</v>
      </c>
      <c r="J44" s="64">
        <v>0.34</v>
      </c>
      <c r="K44" s="64">
        <v>1.06</v>
      </c>
      <c r="L44" s="64">
        <v>29.79</v>
      </c>
      <c r="M44" s="64">
        <v>93.56</v>
      </c>
      <c r="N44" s="64">
        <v>501.8</v>
      </c>
      <c r="O44" s="64">
        <v>0</v>
      </c>
      <c r="P44" s="64">
        <v>0.4</v>
      </c>
      <c r="Q44" s="64">
        <v>9.2899999999999991</v>
      </c>
      <c r="R44" s="198"/>
      <c r="S44" s="198"/>
      <c r="T44" s="198"/>
      <c r="U44" s="198"/>
    </row>
    <row r="45" spans="1:21" s="12" customFormat="1" x14ac:dyDescent="0.25">
      <c r="A45" s="248" t="s">
        <v>1337</v>
      </c>
      <c r="B45" s="64">
        <v>7.96</v>
      </c>
      <c r="C45" s="64">
        <v>2.96</v>
      </c>
      <c r="D45" s="64">
        <v>11.7</v>
      </c>
      <c r="E45" s="64">
        <v>4.04</v>
      </c>
      <c r="F45" s="64">
        <v>3.31</v>
      </c>
      <c r="G45" s="64">
        <v>29.05</v>
      </c>
      <c r="H45" s="64">
        <v>10.24</v>
      </c>
      <c r="I45" s="64">
        <v>2.86</v>
      </c>
      <c r="J45" s="64">
        <v>0.21</v>
      </c>
      <c r="K45" s="64">
        <v>352.19</v>
      </c>
      <c r="L45" s="64">
        <v>30.12</v>
      </c>
      <c r="M45" s="64">
        <v>91.12</v>
      </c>
      <c r="N45" s="64">
        <v>431.9</v>
      </c>
      <c r="O45" s="64">
        <v>0</v>
      </c>
      <c r="P45" s="64">
        <v>0.41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48" t="s">
        <v>1338</v>
      </c>
      <c r="B46" s="64">
        <v>8.0500000000000007</v>
      </c>
      <c r="C46" s="64">
        <v>3.24</v>
      </c>
      <c r="D46" s="64">
        <v>11.92</v>
      </c>
      <c r="E46" s="64">
        <v>4.28</v>
      </c>
      <c r="F46" s="64">
        <v>4.3099999999999996</v>
      </c>
      <c r="G46" s="64">
        <v>29.05</v>
      </c>
      <c r="H46" s="64">
        <v>10.24</v>
      </c>
      <c r="I46" s="64">
        <v>2.85</v>
      </c>
      <c r="J46" s="64">
        <v>0.32</v>
      </c>
      <c r="K46" s="64">
        <v>348.51</v>
      </c>
      <c r="L46" s="64">
        <v>29.33</v>
      </c>
      <c r="M46" s="64">
        <v>92.53</v>
      </c>
      <c r="N46" s="64">
        <v>414.6</v>
      </c>
      <c r="O46" s="64">
        <v>0</v>
      </c>
      <c r="P46" s="64">
        <v>0.44</v>
      </c>
      <c r="Q46" s="64">
        <v>9.32</v>
      </c>
      <c r="R46" s="198"/>
      <c r="S46" s="198"/>
      <c r="T46" s="198"/>
      <c r="U46" s="198"/>
    </row>
    <row r="47" spans="1:21" s="12" customFormat="1" x14ac:dyDescent="0.25">
      <c r="A47" s="248" t="s">
        <v>1339</v>
      </c>
      <c r="B47" s="64">
        <v>8.1300000000000008</v>
      </c>
      <c r="C47" s="64">
        <v>3.41</v>
      </c>
      <c r="D47" s="64">
        <v>12.08</v>
      </c>
      <c r="E47" s="64">
        <v>4.4000000000000004</v>
      </c>
      <c r="F47" s="64">
        <v>2.4300000000000002</v>
      </c>
      <c r="G47" s="64">
        <v>38.6</v>
      </c>
      <c r="H47" s="64">
        <v>10.75</v>
      </c>
      <c r="I47" s="64">
        <v>3.07</v>
      </c>
      <c r="J47" s="64">
        <v>0.3</v>
      </c>
      <c r="K47" s="64">
        <v>346.46</v>
      </c>
      <c r="L47" s="64">
        <v>29.57</v>
      </c>
      <c r="M47" s="64">
        <v>91.42</v>
      </c>
      <c r="N47" s="64">
        <v>491.4</v>
      </c>
      <c r="O47" s="64">
        <v>0</v>
      </c>
      <c r="P47" s="64">
        <v>0.42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48" t="s">
        <v>1340</v>
      </c>
      <c r="B48" s="64">
        <v>7.98</v>
      </c>
      <c r="C48" s="64">
        <v>3.03</v>
      </c>
      <c r="D48" s="64">
        <v>11.76</v>
      </c>
      <c r="E48" s="64">
        <v>4.09</v>
      </c>
      <c r="F48" s="64">
        <v>4.03</v>
      </c>
      <c r="G48" s="64">
        <v>40.99</v>
      </c>
      <c r="H48" s="64">
        <v>10.88</v>
      </c>
      <c r="I48" s="64">
        <v>3.07</v>
      </c>
      <c r="J48" s="64">
        <v>0.36</v>
      </c>
      <c r="K48" s="64">
        <v>357.85</v>
      </c>
      <c r="L48" s="64">
        <v>29.86</v>
      </c>
      <c r="M48" s="64">
        <v>90.94</v>
      </c>
      <c r="N48" s="64">
        <v>487.8</v>
      </c>
      <c r="O48" s="64">
        <v>0</v>
      </c>
      <c r="P48" s="64">
        <v>0.42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48" t="s">
        <v>1341</v>
      </c>
      <c r="B49" s="64">
        <v>7.96</v>
      </c>
      <c r="C49" s="64">
        <v>2.99</v>
      </c>
      <c r="D49" s="64">
        <v>11.72</v>
      </c>
      <c r="E49" s="64">
        <v>3.83</v>
      </c>
      <c r="F49" s="64">
        <v>3.91</v>
      </c>
      <c r="G49" s="64">
        <v>40.99</v>
      </c>
      <c r="H49" s="64">
        <v>10.88</v>
      </c>
      <c r="I49" s="64">
        <v>2.63</v>
      </c>
      <c r="J49" s="64">
        <v>0.33</v>
      </c>
      <c r="K49" s="64">
        <v>343</v>
      </c>
      <c r="L49" s="64">
        <v>30.42</v>
      </c>
      <c r="M49" s="64">
        <v>88.1</v>
      </c>
      <c r="N49" s="64">
        <v>556.79999999999995</v>
      </c>
      <c r="O49" s="64">
        <v>0</v>
      </c>
      <c r="P49" s="64">
        <v>0.43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48" t="s">
        <v>1342</v>
      </c>
      <c r="B50" s="64">
        <v>7.99</v>
      </c>
      <c r="C50" s="64">
        <v>2.98</v>
      </c>
      <c r="D50" s="64">
        <v>11.74</v>
      </c>
      <c r="E50" s="64">
        <v>4.1399999999999997</v>
      </c>
      <c r="F50" s="64">
        <v>3.27</v>
      </c>
      <c r="G50" s="64">
        <v>40.99</v>
      </c>
      <c r="H50" s="64">
        <v>10.88</v>
      </c>
      <c r="I50" s="64">
        <v>2.44</v>
      </c>
      <c r="J50" s="64">
        <v>0.31</v>
      </c>
      <c r="K50" s="64">
        <v>346.23</v>
      </c>
      <c r="L50" s="64">
        <v>30.88</v>
      </c>
      <c r="M50" s="64">
        <v>87.09</v>
      </c>
      <c r="N50" s="64">
        <v>530.29999999999995</v>
      </c>
      <c r="O50" s="64">
        <v>0</v>
      </c>
      <c r="P50" s="64">
        <v>0.42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48" t="s">
        <v>1343</v>
      </c>
      <c r="B51" s="64">
        <v>7.99</v>
      </c>
      <c r="C51" s="64">
        <v>2.96</v>
      </c>
      <c r="D51" s="64">
        <v>11.73</v>
      </c>
      <c r="E51" s="64">
        <v>4.04</v>
      </c>
      <c r="F51" s="64">
        <v>4.1399999999999997</v>
      </c>
      <c r="G51" s="64">
        <v>49.55</v>
      </c>
      <c r="H51" s="64">
        <v>20.96</v>
      </c>
      <c r="I51" s="64">
        <v>2.2999999999999998</v>
      </c>
      <c r="J51" s="64">
        <v>0.33</v>
      </c>
      <c r="K51" s="64">
        <v>353.66</v>
      </c>
      <c r="L51" s="64">
        <v>30.19</v>
      </c>
      <c r="M51" s="64">
        <v>88.46</v>
      </c>
      <c r="N51" s="64">
        <v>474</v>
      </c>
      <c r="O51" s="64">
        <v>0</v>
      </c>
      <c r="P51" s="64">
        <v>0.43</v>
      </c>
      <c r="Q51" s="64">
        <v>9.24</v>
      </c>
      <c r="R51" s="198"/>
      <c r="S51" s="198"/>
      <c r="T51" s="198"/>
      <c r="U51" s="198"/>
    </row>
    <row r="52" spans="1:21" s="12" customFormat="1" x14ac:dyDescent="0.25">
      <c r="A52" s="248" t="s">
        <v>1344</v>
      </c>
      <c r="B52" s="64">
        <v>7.99</v>
      </c>
      <c r="C52" s="64">
        <v>3.05</v>
      </c>
      <c r="D52" s="64">
        <v>11.77</v>
      </c>
      <c r="E52" s="64">
        <v>4.26</v>
      </c>
      <c r="F52" s="64">
        <v>4.59</v>
      </c>
      <c r="G52" s="64">
        <v>51.69</v>
      </c>
      <c r="H52" s="64">
        <v>23.47</v>
      </c>
      <c r="I52" s="64">
        <v>2.12</v>
      </c>
      <c r="J52" s="64">
        <v>0.31</v>
      </c>
      <c r="K52" s="64">
        <v>337.95</v>
      </c>
      <c r="L52" s="64">
        <v>30.61</v>
      </c>
      <c r="M52" s="64">
        <v>87.02</v>
      </c>
      <c r="N52" s="64">
        <v>464.1</v>
      </c>
      <c r="O52" s="64">
        <v>0</v>
      </c>
      <c r="P52" s="64">
        <v>0.43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48" t="s">
        <v>1345</v>
      </c>
      <c r="B53" s="64">
        <v>8.01</v>
      </c>
      <c r="C53" s="64">
        <v>3.09</v>
      </c>
      <c r="D53" s="64">
        <v>11.81</v>
      </c>
      <c r="E53" s="64">
        <v>3.94</v>
      </c>
      <c r="F53" s="64">
        <v>4.68</v>
      </c>
      <c r="G53" s="64">
        <v>51.69</v>
      </c>
      <c r="H53" s="64">
        <v>23.47</v>
      </c>
      <c r="I53" s="64">
        <v>2.02</v>
      </c>
      <c r="J53" s="64">
        <v>0.28000000000000003</v>
      </c>
      <c r="K53" s="64">
        <v>337.38</v>
      </c>
      <c r="L53" s="64">
        <v>31.2</v>
      </c>
      <c r="M53" s="64">
        <v>84.04</v>
      </c>
      <c r="N53" s="64">
        <v>623.29999999999995</v>
      </c>
      <c r="O53" s="64">
        <v>0</v>
      </c>
      <c r="P53" s="64">
        <v>0.44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48" t="s">
        <v>1346</v>
      </c>
      <c r="B54" s="64">
        <v>7.99</v>
      </c>
      <c r="C54" s="64">
        <v>3.13</v>
      </c>
      <c r="D54" s="64">
        <v>11.81</v>
      </c>
      <c r="E54" s="64">
        <v>4.1900000000000004</v>
      </c>
      <c r="F54" s="64">
        <v>4.3499999999999996</v>
      </c>
      <c r="G54" s="64">
        <v>51.69</v>
      </c>
      <c r="H54" s="64">
        <v>23.47</v>
      </c>
      <c r="I54" s="64">
        <v>1.87</v>
      </c>
      <c r="J54" s="64">
        <v>0.3</v>
      </c>
      <c r="K54" s="64">
        <v>330.93</v>
      </c>
      <c r="L54" s="64">
        <v>31.12</v>
      </c>
      <c r="M54" s="64">
        <v>84.17</v>
      </c>
      <c r="N54" s="64">
        <v>388.2</v>
      </c>
      <c r="O54" s="64">
        <v>0</v>
      </c>
      <c r="P54" s="64">
        <v>0.44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48" t="s">
        <v>1347</v>
      </c>
      <c r="B55" s="64">
        <v>7.99</v>
      </c>
      <c r="C55" s="64">
        <v>3.1</v>
      </c>
      <c r="D55" s="64">
        <v>11.8</v>
      </c>
      <c r="E55" s="64">
        <v>3.85</v>
      </c>
      <c r="F55" s="64">
        <v>4.2</v>
      </c>
      <c r="G55" s="64">
        <v>51.69</v>
      </c>
      <c r="H55" s="64">
        <v>23.47</v>
      </c>
      <c r="I55" s="64">
        <v>1.92</v>
      </c>
      <c r="J55" s="64">
        <v>0.14000000000000001</v>
      </c>
      <c r="K55" s="64">
        <v>313.79000000000002</v>
      </c>
      <c r="L55" s="64">
        <v>29.72</v>
      </c>
      <c r="M55" s="64">
        <v>90.9</v>
      </c>
      <c r="N55" s="64">
        <v>317.3</v>
      </c>
      <c r="O55" s="64">
        <v>0</v>
      </c>
      <c r="P55" s="64">
        <v>0.42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48" t="s">
        <v>1348</v>
      </c>
      <c r="B56" s="64">
        <v>7.98</v>
      </c>
      <c r="C56" s="64">
        <v>3.1</v>
      </c>
      <c r="D56" s="64">
        <v>11.79</v>
      </c>
      <c r="E56" s="64">
        <v>3.21</v>
      </c>
      <c r="F56" s="64">
        <v>4.74</v>
      </c>
      <c r="G56" s="64">
        <v>51.69</v>
      </c>
      <c r="H56" s="64">
        <v>23.47</v>
      </c>
      <c r="I56" s="64">
        <v>1.96</v>
      </c>
      <c r="J56" s="64">
        <v>0.28000000000000003</v>
      </c>
      <c r="K56" s="64">
        <v>347.25</v>
      </c>
      <c r="L56" s="64">
        <v>30.37</v>
      </c>
      <c r="M56" s="64">
        <v>86.14</v>
      </c>
      <c r="N56" s="64">
        <v>715.6</v>
      </c>
      <c r="O56" s="64">
        <v>0</v>
      </c>
      <c r="P56" s="64">
        <v>0.41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48" t="s">
        <v>1349</v>
      </c>
      <c r="B57" s="64">
        <v>7.97</v>
      </c>
      <c r="C57" s="64">
        <v>3.02</v>
      </c>
      <c r="D57" s="64">
        <v>11.75</v>
      </c>
      <c r="E57" s="64">
        <v>4.88</v>
      </c>
      <c r="F57" s="64">
        <v>7.79</v>
      </c>
      <c r="G57" s="64">
        <v>51.69</v>
      </c>
      <c r="H57" s="64">
        <v>23.47</v>
      </c>
      <c r="I57" s="64">
        <v>1.9</v>
      </c>
      <c r="J57" s="64">
        <v>0.33</v>
      </c>
      <c r="K57" s="64">
        <v>326.83999999999997</v>
      </c>
      <c r="L57" s="64">
        <v>31.43</v>
      </c>
      <c r="M57" s="64">
        <v>82.31</v>
      </c>
      <c r="N57" s="64">
        <v>740.3</v>
      </c>
      <c r="O57" s="64">
        <v>0</v>
      </c>
      <c r="P57" s="64">
        <v>0.4</v>
      </c>
      <c r="Q57" s="64">
        <v>9.1999999999999993</v>
      </c>
      <c r="R57" s="198"/>
      <c r="S57" s="198"/>
      <c r="T57" s="198"/>
      <c r="U57" s="198"/>
    </row>
    <row r="58" spans="1:21" s="12" customFormat="1" x14ac:dyDescent="0.25">
      <c r="A58" s="248" t="s">
        <v>1350</v>
      </c>
      <c r="B58" s="64">
        <v>7.95</v>
      </c>
      <c r="C58" s="64">
        <v>3.06</v>
      </c>
      <c r="D58" s="64">
        <v>11.75</v>
      </c>
      <c r="E58" s="64">
        <v>4.2699999999999996</v>
      </c>
      <c r="F58" s="64">
        <v>6.75</v>
      </c>
      <c r="G58" s="64">
        <v>51.69</v>
      </c>
      <c r="H58" s="64">
        <v>23.47</v>
      </c>
      <c r="I58" s="64">
        <v>1.85</v>
      </c>
      <c r="J58" s="64">
        <v>0.3</v>
      </c>
      <c r="K58" s="64">
        <v>338.12</v>
      </c>
      <c r="L58" s="64">
        <v>31.58</v>
      </c>
      <c r="M58" s="64">
        <v>81.73</v>
      </c>
      <c r="N58" s="64">
        <v>537.1</v>
      </c>
      <c r="O58" s="64">
        <v>0</v>
      </c>
      <c r="P58" s="64">
        <v>0.43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48" t="s">
        <v>1351</v>
      </c>
      <c r="B59" s="64">
        <v>7.97</v>
      </c>
      <c r="C59" s="64">
        <v>3.16</v>
      </c>
      <c r="D59" s="64">
        <v>11.82</v>
      </c>
      <c r="E59" s="64">
        <v>408.15</v>
      </c>
      <c r="F59" s="64">
        <v>5.67</v>
      </c>
      <c r="G59" s="64">
        <v>51.69</v>
      </c>
      <c r="H59" s="64">
        <v>23.47</v>
      </c>
      <c r="I59" s="64">
        <v>1.84</v>
      </c>
      <c r="J59" s="64">
        <v>0.33</v>
      </c>
      <c r="K59" s="64">
        <v>322.77999999999997</v>
      </c>
      <c r="L59" s="64">
        <v>31.96</v>
      </c>
      <c r="M59" s="64">
        <v>81.45</v>
      </c>
      <c r="N59" s="64">
        <v>922.4</v>
      </c>
      <c r="O59" s="64">
        <v>0</v>
      </c>
      <c r="P59" s="64">
        <v>0.42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48" t="s">
        <v>1352</v>
      </c>
      <c r="B60" s="64">
        <v>7.91</v>
      </c>
      <c r="C60" s="64">
        <v>3.09</v>
      </c>
      <c r="D60" s="64">
        <v>11.73</v>
      </c>
      <c r="E60" s="64">
        <v>5.87</v>
      </c>
      <c r="F60" s="64">
        <v>4.43</v>
      </c>
      <c r="G60" s="64">
        <v>51.69</v>
      </c>
      <c r="H60" s="64">
        <v>23.47</v>
      </c>
      <c r="I60" s="64">
        <v>2.94</v>
      </c>
      <c r="J60" s="64">
        <v>0.27</v>
      </c>
      <c r="K60" s="64">
        <v>341.42</v>
      </c>
      <c r="L60" s="64">
        <v>31.84</v>
      </c>
      <c r="M60" s="64">
        <v>79.349999999999994</v>
      </c>
      <c r="N60" s="64">
        <v>672.9</v>
      </c>
      <c r="O60" s="64">
        <v>0</v>
      </c>
      <c r="P60" s="64">
        <v>3.33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48" t="s">
        <v>1353</v>
      </c>
      <c r="B61" s="64">
        <v>7.9</v>
      </c>
      <c r="C61" s="64">
        <v>3</v>
      </c>
      <c r="D61" s="64">
        <v>11.67</v>
      </c>
      <c r="E61" s="64">
        <v>4.33</v>
      </c>
      <c r="F61" s="64">
        <v>5.99</v>
      </c>
      <c r="G61" s="64">
        <v>51.69</v>
      </c>
      <c r="H61" s="64">
        <v>12.26</v>
      </c>
      <c r="I61" s="64">
        <v>4.7</v>
      </c>
      <c r="J61" s="64">
        <v>0.26</v>
      </c>
      <c r="K61" s="64">
        <v>335.98</v>
      </c>
      <c r="L61" s="64">
        <v>31.34</v>
      </c>
      <c r="M61" s="64">
        <v>81.93</v>
      </c>
      <c r="N61" s="64">
        <v>717.8</v>
      </c>
      <c r="O61" s="64">
        <v>0</v>
      </c>
      <c r="P61" s="64">
        <v>0.48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48" t="s">
        <v>1354</v>
      </c>
      <c r="B62" s="64">
        <v>7.93</v>
      </c>
      <c r="C62" s="64">
        <v>3</v>
      </c>
      <c r="D62" s="64">
        <v>11.7</v>
      </c>
      <c r="E62" s="64">
        <v>3.83</v>
      </c>
      <c r="F62" s="64">
        <v>6.44</v>
      </c>
      <c r="G62" s="64">
        <v>51.69</v>
      </c>
      <c r="H62" s="64">
        <v>13.26</v>
      </c>
      <c r="I62" s="64">
        <v>5.63</v>
      </c>
      <c r="J62" s="64">
        <v>0.16</v>
      </c>
      <c r="K62" s="64">
        <v>327.79</v>
      </c>
      <c r="L62" s="64">
        <v>31.44</v>
      </c>
      <c r="M62" s="64">
        <v>81.650000000000006</v>
      </c>
      <c r="N62" s="64">
        <v>787.5</v>
      </c>
      <c r="O62" s="64">
        <v>0</v>
      </c>
      <c r="P62" s="64">
        <v>0.48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48" t="s">
        <v>1355</v>
      </c>
      <c r="B63" s="64">
        <v>7.9</v>
      </c>
      <c r="C63" s="64">
        <v>3.05</v>
      </c>
      <c r="D63" s="64">
        <v>11.7</v>
      </c>
      <c r="E63" s="64">
        <v>5.28</v>
      </c>
      <c r="F63" s="64">
        <v>7.78</v>
      </c>
      <c r="G63" s="64">
        <v>51.69</v>
      </c>
      <c r="H63" s="64">
        <v>13.26</v>
      </c>
      <c r="I63" s="64">
        <v>5.86</v>
      </c>
      <c r="J63" s="64">
        <v>0.27</v>
      </c>
      <c r="K63" s="64">
        <v>329.8</v>
      </c>
      <c r="L63" s="64">
        <v>32.11</v>
      </c>
      <c r="M63" s="64">
        <v>79.66</v>
      </c>
      <c r="N63" s="64">
        <v>667.7</v>
      </c>
      <c r="O63" s="64">
        <v>0</v>
      </c>
      <c r="P63" s="64">
        <v>0.5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48" t="s">
        <v>1356</v>
      </c>
      <c r="B64" s="64">
        <v>7.93</v>
      </c>
      <c r="C64" s="64">
        <v>3.11</v>
      </c>
      <c r="D64" s="64">
        <v>11.76</v>
      </c>
      <c r="E64" s="64">
        <v>4.29</v>
      </c>
      <c r="F64" s="64">
        <v>12.17</v>
      </c>
      <c r="G64" s="64">
        <v>16.079999999999998</v>
      </c>
      <c r="H64" s="64">
        <v>12.26</v>
      </c>
      <c r="I64" s="64">
        <v>6.37</v>
      </c>
      <c r="J64" s="64">
        <v>0.21</v>
      </c>
      <c r="K64" s="64">
        <v>337.05</v>
      </c>
      <c r="L64" s="64">
        <v>31.5</v>
      </c>
      <c r="M64" s="64">
        <v>80.489999999999995</v>
      </c>
      <c r="N64" s="64">
        <v>541.79999999999995</v>
      </c>
      <c r="O64" s="64">
        <v>0</v>
      </c>
      <c r="P64" s="64">
        <v>0.53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48" t="s">
        <v>1357</v>
      </c>
      <c r="B65" s="64">
        <v>7.91</v>
      </c>
      <c r="C65" s="64">
        <v>3.09</v>
      </c>
      <c r="D65" s="64">
        <v>11.73</v>
      </c>
      <c r="E65" s="64">
        <v>4.37</v>
      </c>
      <c r="F65" s="64">
        <v>10.17</v>
      </c>
      <c r="G65" s="211" t="s">
        <v>40</v>
      </c>
      <c r="H65" s="211" t="s">
        <v>40</v>
      </c>
      <c r="I65" s="64">
        <v>5.69</v>
      </c>
      <c r="J65" s="64">
        <v>0.22</v>
      </c>
      <c r="K65" s="64">
        <v>324.02999999999997</v>
      </c>
      <c r="L65" s="64">
        <v>31.45</v>
      </c>
      <c r="M65" s="64">
        <v>81.900000000000006</v>
      </c>
      <c r="N65" s="64">
        <v>366.5</v>
      </c>
      <c r="O65" s="64">
        <v>0</v>
      </c>
      <c r="P65" s="64">
        <v>0.52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48" t="s">
        <v>1358</v>
      </c>
      <c r="B66" s="64">
        <v>7.88</v>
      </c>
      <c r="C66" s="64">
        <v>3</v>
      </c>
      <c r="D66" s="64">
        <v>11.66</v>
      </c>
      <c r="E66" s="64">
        <v>4.26</v>
      </c>
      <c r="F66" s="64">
        <v>6.87</v>
      </c>
      <c r="G66" s="211" t="s">
        <v>40</v>
      </c>
      <c r="H66" s="211" t="s">
        <v>40</v>
      </c>
      <c r="I66" s="64">
        <v>4.5</v>
      </c>
      <c r="J66" s="64">
        <v>0.28000000000000003</v>
      </c>
      <c r="K66" s="64">
        <v>326.43</v>
      </c>
      <c r="L66" s="64">
        <v>32.130000000000003</v>
      </c>
      <c r="M66" s="64">
        <v>79.27</v>
      </c>
      <c r="N66" s="64">
        <v>265.2</v>
      </c>
      <c r="O66" s="64">
        <v>0</v>
      </c>
      <c r="P66" s="64">
        <v>0.52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48" t="s">
        <v>1359</v>
      </c>
      <c r="B67" s="64">
        <v>7.89</v>
      </c>
      <c r="C67" s="64">
        <v>2.95</v>
      </c>
      <c r="D67" s="64">
        <v>11.64</v>
      </c>
      <c r="E67" s="64">
        <v>3.99</v>
      </c>
      <c r="F67" s="64">
        <v>5.65</v>
      </c>
      <c r="G67" s="211" t="s">
        <v>40</v>
      </c>
      <c r="H67" s="211" t="s">
        <v>40</v>
      </c>
      <c r="I67" s="64">
        <v>3.83</v>
      </c>
      <c r="J67" s="64">
        <v>0.23</v>
      </c>
      <c r="K67" s="64">
        <v>310.70999999999998</v>
      </c>
      <c r="L67" s="64">
        <v>31.83</v>
      </c>
      <c r="M67" s="64">
        <v>78.45</v>
      </c>
      <c r="N67" s="64">
        <v>217</v>
      </c>
      <c r="O67" s="64">
        <v>0</v>
      </c>
      <c r="P67" s="64">
        <v>0.51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48" t="s">
        <v>1360</v>
      </c>
      <c r="B68" s="64">
        <v>7.91</v>
      </c>
      <c r="C68" s="64">
        <v>2.96</v>
      </c>
      <c r="D68" s="64">
        <v>11.66</v>
      </c>
      <c r="E68" s="64">
        <v>4.62</v>
      </c>
      <c r="F68" s="64">
        <v>6.07</v>
      </c>
      <c r="G68" s="64">
        <v>136.55000000000001</v>
      </c>
      <c r="H68" s="64">
        <v>95.25</v>
      </c>
      <c r="I68" s="64">
        <v>3.76</v>
      </c>
      <c r="J68" s="64">
        <v>0.28999999999999998</v>
      </c>
      <c r="K68" s="64">
        <v>335.69</v>
      </c>
      <c r="L68" s="64">
        <v>31.4</v>
      </c>
      <c r="M68" s="64">
        <v>78.790000000000006</v>
      </c>
      <c r="N68" s="64">
        <v>196.7</v>
      </c>
      <c r="O68" s="64">
        <v>0</v>
      </c>
      <c r="P68" s="64">
        <v>0.51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48" t="s">
        <v>1361</v>
      </c>
      <c r="B69" s="64">
        <v>7.93</v>
      </c>
      <c r="C69" s="64">
        <v>3.02</v>
      </c>
      <c r="D69" s="64">
        <v>11.71</v>
      </c>
      <c r="E69" s="64">
        <v>4.62</v>
      </c>
      <c r="F69" s="64">
        <v>4.96</v>
      </c>
      <c r="G69" s="64">
        <v>195.07</v>
      </c>
      <c r="H69" s="64">
        <v>136.07</v>
      </c>
      <c r="I69" s="64">
        <v>3.66</v>
      </c>
      <c r="J69" s="64">
        <v>0.26</v>
      </c>
      <c r="K69" s="64">
        <v>333.26</v>
      </c>
      <c r="L69" s="64">
        <v>31.55</v>
      </c>
      <c r="M69" s="64">
        <v>79.150000000000006</v>
      </c>
      <c r="N69" s="64">
        <v>193.9</v>
      </c>
      <c r="O69" s="64">
        <v>0</v>
      </c>
      <c r="P69" s="64">
        <v>0.51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48" t="s">
        <v>1362</v>
      </c>
      <c r="B70" s="64">
        <v>7.95</v>
      </c>
      <c r="C70" s="64">
        <v>3.05</v>
      </c>
      <c r="D70" s="64">
        <v>11.74</v>
      </c>
      <c r="E70" s="64">
        <v>4.99</v>
      </c>
      <c r="F70" s="64">
        <v>5.21</v>
      </c>
      <c r="G70" s="64">
        <v>195.07</v>
      </c>
      <c r="H70" s="64">
        <v>136.07</v>
      </c>
      <c r="I70" s="64">
        <v>3.62</v>
      </c>
      <c r="J70" s="64">
        <v>0.25</v>
      </c>
      <c r="K70" s="64">
        <v>329.12</v>
      </c>
      <c r="L70" s="64">
        <v>31.98</v>
      </c>
      <c r="M70" s="64">
        <v>78.650000000000006</v>
      </c>
      <c r="N70" s="64">
        <v>188.3</v>
      </c>
      <c r="O70" s="64">
        <v>0</v>
      </c>
      <c r="P70" s="64">
        <v>0.51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48" t="s">
        <v>1363</v>
      </c>
      <c r="B71" s="64">
        <v>7.93</v>
      </c>
      <c r="C71" s="64">
        <v>3.03</v>
      </c>
      <c r="D71" s="64">
        <v>11.71</v>
      </c>
      <c r="E71" s="64">
        <v>4.96</v>
      </c>
      <c r="F71" s="64">
        <v>5.3</v>
      </c>
      <c r="G71" s="64">
        <v>195.07</v>
      </c>
      <c r="H71" s="64">
        <v>136.07</v>
      </c>
      <c r="I71" s="64">
        <v>3.54</v>
      </c>
      <c r="J71" s="64">
        <v>0.14000000000000001</v>
      </c>
      <c r="K71" s="64">
        <v>319.86</v>
      </c>
      <c r="L71" s="64">
        <v>31.77</v>
      </c>
      <c r="M71" s="64">
        <v>79.63</v>
      </c>
      <c r="N71" s="64">
        <v>206.4</v>
      </c>
      <c r="O71" s="64">
        <v>0</v>
      </c>
      <c r="P71" s="64">
        <v>0.51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48" t="s">
        <v>1364</v>
      </c>
      <c r="B72" s="64">
        <v>7.99</v>
      </c>
      <c r="C72" s="64">
        <v>3.07</v>
      </c>
      <c r="D72" s="64">
        <v>11.79</v>
      </c>
      <c r="E72" s="64">
        <v>4.9000000000000004</v>
      </c>
      <c r="F72" s="64">
        <v>4.55</v>
      </c>
      <c r="G72" s="64">
        <v>167.33</v>
      </c>
      <c r="H72" s="64">
        <v>113.29</v>
      </c>
      <c r="I72" s="64">
        <v>3.44</v>
      </c>
      <c r="J72" s="64">
        <v>0.28000000000000003</v>
      </c>
      <c r="K72" s="64">
        <v>336.78</v>
      </c>
      <c r="L72" s="64">
        <v>32.26</v>
      </c>
      <c r="M72" s="64">
        <v>77.27</v>
      </c>
      <c r="N72" s="64">
        <v>192.8</v>
      </c>
      <c r="O72" s="64">
        <v>0</v>
      </c>
      <c r="P72" s="64">
        <v>0.5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48" t="s">
        <v>1365</v>
      </c>
      <c r="B73" s="64">
        <v>7.96</v>
      </c>
      <c r="C73" s="64">
        <v>3.04</v>
      </c>
      <c r="D73" s="64">
        <v>11.75</v>
      </c>
      <c r="E73" s="64">
        <v>4.6500000000000004</v>
      </c>
      <c r="F73" s="64">
        <v>4.78</v>
      </c>
      <c r="G73" s="64">
        <v>156.06</v>
      </c>
      <c r="H73" s="64">
        <v>104.03</v>
      </c>
      <c r="I73" s="64">
        <v>3.36</v>
      </c>
      <c r="J73" s="64">
        <v>0.32</v>
      </c>
      <c r="K73" s="64">
        <v>338.61</v>
      </c>
      <c r="L73" s="64">
        <v>31.84</v>
      </c>
      <c r="M73" s="64">
        <v>79.12</v>
      </c>
      <c r="N73" s="64">
        <v>209</v>
      </c>
      <c r="O73" s="64">
        <v>0</v>
      </c>
      <c r="P73" s="64">
        <v>0.49</v>
      </c>
      <c r="Q73" s="64">
        <v>9.19</v>
      </c>
      <c r="R73" s="198"/>
      <c r="S73" s="198"/>
      <c r="T73" s="198"/>
      <c r="U73" s="198"/>
    </row>
    <row r="74" spans="1:21" s="12" customFormat="1" x14ac:dyDescent="0.25">
      <c r="A74" s="248" t="s">
        <v>1366</v>
      </c>
      <c r="B74" s="64">
        <v>7.95</v>
      </c>
      <c r="C74" s="64">
        <v>2.98</v>
      </c>
      <c r="D74" s="64">
        <v>11.71</v>
      </c>
      <c r="E74" s="64">
        <v>4.97</v>
      </c>
      <c r="F74" s="64">
        <v>5.0999999999999996</v>
      </c>
      <c r="G74" s="64">
        <v>156.06</v>
      </c>
      <c r="H74" s="64">
        <v>104.03</v>
      </c>
      <c r="I74" s="64">
        <v>3.34</v>
      </c>
      <c r="J74" s="64">
        <v>0.33</v>
      </c>
      <c r="K74" s="64">
        <v>346.35</v>
      </c>
      <c r="L74" s="64">
        <v>31.62</v>
      </c>
      <c r="M74" s="64">
        <v>79.62</v>
      </c>
      <c r="N74" s="64">
        <v>172.2</v>
      </c>
      <c r="O74" s="64">
        <v>0</v>
      </c>
      <c r="P74" s="64">
        <v>0.48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48" t="s">
        <v>1367</v>
      </c>
      <c r="B75" s="64">
        <v>7.93</v>
      </c>
      <c r="C75" s="64">
        <v>2.91</v>
      </c>
      <c r="D75" s="64">
        <v>11.65</v>
      </c>
      <c r="E75" s="64">
        <v>4.4800000000000004</v>
      </c>
      <c r="F75" s="64">
        <v>4.6900000000000004</v>
      </c>
      <c r="G75" s="64">
        <v>156.06</v>
      </c>
      <c r="H75" s="64">
        <v>104.03</v>
      </c>
      <c r="I75" s="64">
        <v>3.23</v>
      </c>
      <c r="J75" s="64">
        <v>0.28000000000000003</v>
      </c>
      <c r="K75" s="64">
        <v>3.66</v>
      </c>
      <c r="L75" s="64">
        <v>31.49</v>
      </c>
      <c r="M75" s="64">
        <v>80.03</v>
      </c>
      <c r="N75" s="64">
        <v>122</v>
      </c>
      <c r="O75" s="64">
        <v>0</v>
      </c>
      <c r="P75" s="64">
        <v>0.48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48" t="s">
        <v>1368</v>
      </c>
      <c r="B76" s="64">
        <v>7.96</v>
      </c>
      <c r="C76" s="64">
        <v>3.04</v>
      </c>
      <c r="D76" s="64">
        <v>11.74</v>
      </c>
      <c r="E76" s="64">
        <v>4.3899999999999997</v>
      </c>
      <c r="F76" s="64">
        <v>4.12</v>
      </c>
      <c r="G76" s="64">
        <v>129.72</v>
      </c>
      <c r="H76" s="64">
        <v>78.69</v>
      </c>
      <c r="I76" s="64">
        <v>3.01</v>
      </c>
      <c r="J76" s="64">
        <v>0.53</v>
      </c>
      <c r="K76" s="64">
        <v>335.98</v>
      </c>
      <c r="L76" s="64">
        <v>31.27</v>
      </c>
      <c r="M76" s="64">
        <v>82.35</v>
      </c>
      <c r="N76" s="64">
        <v>121.8</v>
      </c>
      <c r="O76" s="64">
        <v>0</v>
      </c>
      <c r="P76" s="64">
        <v>0.47</v>
      </c>
      <c r="Q76" s="64">
        <v>9.23</v>
      </c>
      <c r="R76" s="198"/>
      <c r="S76" s="198"/>
      <c r="T76" s="198"/>
      <c r="U76" s="198"/>
    </row>
    <row r="77" spans="1:21" s="12" customFormat="1" x14ac:dyDescent="0.25">
      <c r="A77" s="248" t="s">
        <v>1369</v>
      </c>
      <c r="B77" s="64">
        <v>7.96</v>
      </c>
      <c r="C77" s="64">
        <v>3.07</v>
      </c>
      <c r="D77" s="64">
        <v>11.76</v>
      </c>
      <c r="E77" s="64">
        <v>4.3499999999999996</v>
      </c>
      <c r="F77" s="64">
        <v>4.82</v>
      </c>
      <c r="G77" s="64">
        <v>119.03</v>
      </c>
      <c r="H77" s="64">
        <v>67.83</v>
      </c>
      <c r="I77" s="64">
        <v>2.85</v>
      </c>
      <c r="J77" s="64">
        <v>0.42</v>
      </c>
      <c r="K77" s="64">
        <v>342.42</v>
      </c>
      <c r="L77" s="64">
        <v>30.67</v>
      </c>
      <c r="M77" s="64">
        <v>89.53</v>
      </c>
      <c r="N77" s="64">
        <v>105.1</v>
      </c>
      <c r="O77" s="64">
        <v>0</v>
      </c>
      <c r="P77" s="64">
        <v>0.47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48" t="s">
        <v>1370</v>
      </c>
      <c r="B78" s="64">
        <v>7.93</v>
      </c>
      <c r="C78" s="64">
        <v>3.02</v>
      </c>
      <c r="D78" s="64">
        <v>11.71</v>
      </c>
      <c r="E78" s="64">
        <v>4.84</v>
      </c>
      <c r="F78" s="64">
        <v>4.59</v>
      </c>
      <c r="G78" s="64">
        <v>119.03</v>
      </c>
      <c r="H78" s="64">
        <v>67.83</v>
      </c>
      <c r="I78" s="64">
        <v>2.57</v>
      </c>
      <c r="J78" s="64">
        <v>0.56999999999999995</v>
      </c>
      <c r="K78" s="64">
        <v>333.15</v>
      </c>
      <c r="L78" s="64">
        <v>30.17</v>
      </c>
      <c r="M78" s="64">
        <v>90.45</v>
      </c>
      <c r="N78" s="64">
        <v>85.3</v>
      </c>
      <c r="O78" s="64">
        <v>0</v>
      </c>
      <c r="P78" s="64">
        <v>0.48</v>
      </c>
      <c r="Q78" s="64">
        <v>9.36</v>
      </c>
      <c r="R78" s="198"/>
      <c r="S78" s="198"/>
      <c r="T78" s="198"/>
      <c r="U78" s="198"/>
    </row>
    <row r="79" spans="1:21" s="12" customFormat="1" x14ac:dyDescent="0.25">
      <c r="A79" s="248" t="s">
        <v>1371</v>
      </c>
      <c r="B79" s="64">
        <v>7.91</v>
      </c>
      <c r="C79" s="64">
        <v>2.98</v>
      </c>
      <c r="D79" s="64">
        <v>11.68</v>
      </c>
      <c r="E79" s="64">
        <v>5.19</v>
      </c>
      <c r="F79" s="64">
        <v>2.4</v>
      </c>
      <c r="G79" s="64">
        <v>119.03</v>
      </c>
      <c r="H79" s="64">
        <v>67.83</v>
      </c>
      <c r="I79" s="64">
        <v>2.48</v>
      </c>
      <c r="J79" s="64">
        <v>0.33</v>
      </c>
      <c r="K79" s="64">
        <v>345.76</v>
      </c>
      <c r="L79" s="64">
        <v>29.83</v>
      </c>
      <c r="M79" s="64">
        <v>91.78</v>
      </c>
      <c r="N79" s="64">
        <v>84.4</v>
      </c>
      <c r="O79" s="64">
        <v>0</v>
      </c>
      <c r="P79" s="64">
        <v>0.48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48" t="s">
        <v>1372</v>
      </c>
      <c r="B80" s="64">
        <v>8.0399999999999991</v>
      </c>
      <c r="C80" s="64">
        <v>3.31</v>
      </c>
      <c r="D80" s="64">
        <v>11.95</v>
      </c>
      <c r="E80" s="64">
        <v>4.9800000000000004</v>
      </c>
      <c r="F80" s="64">
        <v>3.43</v>
      </c>
      <c r="G80" s="64">
        <v>110.6</v>
      </c>
      <c r="H80" s="64">
        <v>64.040000000000006</v>
      </c>
      <c r="I80" s="64">
        <v>2.48</v>
      </c>
      <c r="J80" s="64">
        <v>0.24</v>
      </c>
      <c r="K80" s="64">
        <v>345.43</v>
      </c>
      <c r="L80" s="64">
        <v>29.92</v>
      </c>
      <c r="M80" s="64">
        <v>90.74</v>
      </c>
      <c r="N80" s="64">
        <v>78.599999999999994</v>
      </c>
      <c r="O80" s="64">
        <v>0</v>
      </c>
      <c r="P80" s="64">
        <v>0.49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48" t="s">
        <v>1373</v>
      </c>
      <c r="B81" s="64">
        <v>8.0299999999999994</v>
      </c>
      <c r="C81" s="64">
        <v>3.3</v>
      </c>
      <c r="D81" s="64">
        <v>11.94</v>
      </c>
      <c r="E81" s="64">
        <v>4.78</v>
      </c>
      <c r="F81" s="64">
        <v>4.6900000000000004</v>
      </c>
      <c r="G81" s="64">
        <v>107</v>
      </c>
      <c r="H81" s="64">
        <v>62.49</v>
      </c>
      <c r="I81" s="64">
        <v>2.42</v>
      </c>
      <c r="J81" s="64">
        <v>0.32</v>
      </c>
      <c r="K81" s="64">
        <v>335.38</v>
      </c>
      <c r="L81" s="64">
        <v>29.93</v>
      </c>
      <c r="M81" s="64">
        <v>90.8</v>
      </c>
      <c r="N81" s="64">
        <v>61.9</v>
      </c>
      <c r="O81" s="64">
        <v>0</v>
      </c>
      <c r="P81" s="64">
        <v>0.5</v>
      </c>
      <c r="Q81" s="64">
        <v>9.31</v>
      </c>
      <c r="R81" s="198"/>
      <c r="S81" s="198"/>
      <c r="T81" s="198"/>
      <c r="U81" s="198"/>
    </row>
    <row r="82" spans="1:26" s="12" customFormat="1" x14ac:dyDescent="0.25">
      <c r="A82" s="248" t="s">
        <v>1374</v>
      </c>
      <c r="B82" s="64">
        <v>7.98</v>
      </c>
      <c r="C82" s="64">
        <v>3.1</v>
      </c>
      <c r="D82" s="64">
        <v>11.79</v>
      </c>
      <c r="E82" s="64">
        <v>4.97</v>
      </c>
      <c r="F82" s="64">
        <v>2.93</v>
      </c>
      <c r="G82" s="64">
        <v>107</v>
      </c>
      <c r="H82" s="64">
        <v>62.49</v>
      </c>
      <c r="I82" s="64">
        <v>2.48</v>
      </c>
      <c r="J82" s="64">
        <v>0.25</v>
      </c>
      <c r="K82" s="64">
        <v>349.81</v>
      </c>
      <c r="L82" s="64">
        <v>29.66</v>
      </c>
      <c r="M82" s="64">
        <v>92.48</v>
      </c>
      <c r="N82" s="64">
        <v>48.3</v>
      </c>
      <c r="O82" s="64">
        <v>0</v>
      </c>
      <c r="P82" s="64">
        <v>0.53</v>
      </c>
      <c r="Q82" s="64">
        <v>9.35</v>
      </c>
      <c r="R82" s="198"/>
      <c r="S82" s="198"/>
      <c r="T82" s="198"/>
      <c r="U82" s="198"/>
    </row>
    <row r="83" spans="1:26" s="12" customFormat="1" x14ac:dyDescent="0.25">
      <c r="A83" s="248" t="s">
        <v>1375</v>
      </c>
      <c r="B83" s="64">
        <v>7.99</v>
      </c>
      <c r="C83" s="64">
        <v>3.11</v>
      </c>
      <c r="D83" s="64">
        <v>11.8</v>
      </c>
      <c r="E83" s="64">
        <v>4.84</v>
      </c>
      <c r="F83" s="64">
        <v>3.35</v>
      </c>
      <c r="G83" s="64">
        <v>107</v>
      </c>
      <c r="H83" s="64">
        <v>62.49</v>
      </c>
      <c r="I83" s="64">
        <v>2.66</v>
      </c>
      <c r="J83" s="64">
        <v>0.12</v>
      </c>
      <c r="K83" s="64">
        <v>355.39</v>
      </c>
      <c r="L83" s="64">
        <v>29.43</v>
      </c>
      <c r="M83" s="64">
        <v>91.29</v>
      </c>
      <c r="N83" s="64">
        <v>40.299999999999997</v>
      </c>
      <c r="O83" s="64">
        <v>0</v>
      </c>
      <c r="P83" s="64">
        <v>0.53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48" t="s">
        <v>1376</v>
      </c>
      <c r="B84" s="64">
        <v>7.93</v>
      </c>
      <c r="C84" s="64">
        <v>3.01</v>
      </c>
      <c r="D84" s="64">
        <v>11.71</v>
      </c>
      <c r="E84" s="64">
        <v>4.41</v>
      </c>
      <c r="F84" s="64">
        <v>4.4400000000000004</v>
      </c>
      <c r="G84" s="64">
        <v>104.89</v>
      </c>
      <c r="H84" s="64">
        <v>68.260000000000005</v>
      </c>
      <c r="I84" s="64">
        <v>2.8</v>
      </c>
      <c r="J84" s="64">
        <v>0.19</v>
      </c>
      <c r="K84" s="64">
        <v>10.29</v>
      </c>
      <c r="L84" s="64">
        <v>29.34</v>
      </c>
      <c r="M84" s="64">
        <v>90.73</v>
      </c>
      <c r="N84" s="64">
        <v>38.200000000000003</v>
      </c>
      <c r="O84" s="64">
        <v>0</v>
      </c>
      <c r="P84" s="64">
        <v>0.56000000000000005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48" t="s">
        <v>1377</v>
      </c>
      <c r="B85" s="64">
        <v>7.93</v>
      </c>
      <c r="C85" s="64">
        <v>3</v>
      </c>
      <c r="D85" s="64">
        <v>11.7</v>
      </c>
      <c r="E85" s="64">
        <v>4.22</v>
      </c>
      <c r="F85" s="64">
        <v>3.83</v>
      </c>
      <c r="G85" s="64">
        <v>104.04</v>
      </c>
      <c r="H85" s="64">
        <v>70.61</v>
      </c>
      <c r="I85" s="64">
        <v>2.92</v>
      </c>
      <c r="J85" s="64">
        <v>0.02</v>
      </c>
      <c r="K85" s="64">
        <v>214.91</v>
      </c>
      <c r="L85" s="64">
        <v>29.16</v>
      </c>
      <c r="M85" s="64">
        <v>92.07</v>
      </c>
      <c r="N85" s="64">
        <v>38.1</v>
      </c>
      <c r="O85" s="64">
        <v>0</v>
      </c>
      <c r="P85" s="64">
        <v>0.59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48" t="s">
        <v>1378</v>
      </c>
      <c r="B86" s="64">
        <v>7.95</v>
      </c>
      <c r="C86" s="64">
        <v>3.01</v>
      </c>
      <c r="D86" s="64">
        <v>11.72</v>
      </c>
      <c r="E86" s="64">
        <v>4.16</v>
      </c>
      <c r="F86" s="64">
        <v>2.88</v>
      </c>
      <c r="G86" s="64">
        <v>104.04</v>
      </c>
      <c r="H86" s="64">
        <v>70.61</v>
      </c>
      <c r="I86" s="64">
        <v>3.08</v>
      </c>
      <c r="J86" s="64">
        <v>0.14000000000000001</v>
      </c>
      <c r="K86" s="64">
        <v>313.76</v>
      </c>
      <c r="L86" s="64">
        <v>29.09</v>
      </c>
      <c r="M86" s="64">
        <v>93.08</v>
      </c>
      <c r="N86" s="64">
        <v>38.1</v>
      </c>
      <c r="O86" s="64">
        <v>0</v>
      </c>
      <c r="P86" s="64">
        <v>0.61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48" t="s">
        <v>1379</v>
      </c>
      <c r="B87" s="64">
        <v>7.92</v>
      </c>
      <c r="C87" s="64">
        <v>2.97</v>
      </c>
      <c r="D87" s="64">
        <v>11.67</v>
      </c>
      <c r="E87" s="64">
        <v>3.65</v>
      </c>
      <c r="F87" s="64">
        <v>3.3</v>
      </c>
      <c r="G87" s="64">
        <v>104.04</v>
      </c>
      <c r="H87" s="64">
        <v>70.61</v>
      </c>
      <c r="I87" s="64">
        <v>3.28</v>
      </c>
      <c r="J87" s="64">
        <v>0.19</v>
      </c>
      <c r="K87" s="64">
        <v>4.1900000000000004</v>
      </c>
      <c r="L87" s="64">
        <v>29.06</v>
      </c>
      <c r="M87" s="64">
        <v>94.59</v>
      </c>
      <c r="N87" s="64">
        <v>38</v>
      </c>
      <c r="O87" s="64">
        <v>0</v>
      </c>
      <c r="P87" s="64">
        <v>0.62</v>
      </c>
      <c r="Q87" s="64">
        <v>9.34</v>
      </c>
      <c r="R87" s="198"/>
      <c r="S87" s="198"/>
      <c r="T87" s="198"/>
      <c r="U87" s="198"/>
    </row>
    <row r="88" spans="1:26" s="12" customFormat="1" x14ac:dyDescent="0.25">
      <c r="A88" s="248" t="s">
        <v>1380</v>
      </c>
      <c r="B88" s="64">
        <v>8.01</v>
      </c>
      <c r="C88" s="64">
        <v>3.06</v>
      </c>
      <c r="D88" s="64">
        <v>11.79</v>
      </c>
      <c r="E88" s="64">
        <v>3.64</v>
      </c>
      <c r="F88" s="64">
        <v>3.43</v>
      </c>
      <c r="G88" s="64">
        <v>101.16</v>
      </c>
      <c r="H88" s="64">
        <v>59.05</v>
      </c>
      <c r="I88" s="64">
        <v>3.48</v>
      </c>
      <c r="J88" s="64">
        <v>0.04</v>
      </c>
      <c r="K88" s="64">
        <v>317.57</v>
      </c>
      <c r="L88" s="64">
        <v>28.95</v>
      </c>
      <c r="M88" s="64">
        <v>96.68</v>
      </c>
      <c r="N88" s="64">
        <v>38</v>
      </c>
      <c r="O88" s="64">
        <v>0</v>
      </c>
      <c r="P88" s="64">
        <v>0.63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48" t="s">
        <v>1381</v>
      </c>
      <c r="B89" s="64">
        <v>8.09</v>
      </c>
      <c r="C89" s="64">
        <v>3.22</v>
      </c>
      <c r="D89" s="64">
        <v>11.95</v>
      </c>
      <c r="E89" s="64">
        <v>3.88</v>
      </c>
      <c r="F89" s="64">
        <v>3.7</v>
      </c>
      <c r="G89" s="64">
        <v>99.99</v>
      </c>
      <c r="H89" s="64">
        <v>54.35</v>
      </c>
      <c r="I89" s="64">
        <v>3.57</v>
      </c>
      <c r="J89" s="64">
        <v>0.04</v>
      </c>
      <c r="K89" s="64">
        <v>217.81</v>
      </c>
      <c r="L89" s="64">
        <v>28.75</v>
      </c>
      <c r="M89" s="64">
        <v>99.19</v>
      </c>
      <c r="N89" s="64">
        <v>38.1</v>
      </c>
      <c r="O89" s="64">
        <v>0</v>
      </c>
      <c r="P89" s="64">
        <v>0.64</v>
      </c>
      <c r="Q89" s="64">
        <v>9.36</v>
      </c>
      <c r="R89" s="198"/>
      <c r="S89" s="198"/>
      <c r="T89" s="198"/>
      <c r="U89" s="198"/>
    </row>
    <row r="90" spans="1:26" s="12" customFormat="1" x14ac:dyDescent="0.25">
      <c r="A90" s="248" t="s">
        <v>1382</v>
      </c>
      <c r="B90" s="64">
        <v>8.0500000000000007</v>
      </c>
      <c r="C90" s="64">
        <v>3.17</v>
      </c>
      <c r="D90" s="64">
        <v>11.88</v>
      </c>
      <c r="E90" s="64">
        <v>4.26</v>
      </c>
      <c r="F90" s="64">
        <v>3.54</v>
      </c>
      <c r="G90" s="64">
        <v>99.99</v>
      </c>
      <c r="H90" s="64">
        <v>54.35</v>
      </c>
      <c r="I90" s="64">
        <v>3.71</v>
      </c>
      <c r="J90" s="64">
        <v>0.05</v>
      </c>
      <c r="K90" s="64">
        <v>315.57</v>
      </c>
      <c r="L90" s="64">
        <v>28.7</v>
      </c>
      <c r="M90" s="64">
        <v>99.47</v>
      </c>
      <c r="N90" s="64">
        <v>38.1</v>
      </c>
      <c r="O90" s="64">
        <v>0</v>
      </c>
      <c r="P90" s="64">
        <v>0.65</v>
      </c>
      <c r="Q90" s="64">
        <v>9.4</v>
      </c>
      <c r="R90" s="198"/>
      <c r="S90" s="198"/>
      <c r="T90" s="198"/>
      <c r="U90" s="198"/>
    </row>
    <row r="91" spans="1:26" s="12" customFormat="1" x14ac:dyDescent="0.25">
      <c r="A91" s="248" t="s">
        <v>1383</v>
      </c>
      <c r="B91" s="64">
        <v>8.02</v>
      </c>
      <c r="C91" s="64">
        <v>3.06</v>
      </c>
      <c r="D91" s="64">
        <v>11.81</v>
      </c>
      <c r="E91" s="64">
        <v>4.01</v>
      </c>
      <c r="F91" s="64">
        <v>3.51</v>
      </c>
      <c r="G91" s="64">
        <v>99.99</v>
      </c>
      <c r="H91" s="64">
        <v>54.35</v>
      </c>
      <c r="I91" s="64">
        <v>4.1399999999999997</v>
      </c>
      <c r="J91" s="64">
        <v>0.11</v>
      </c>
      <c r="K91" s="64">
        <v>298.08</v>
      </c>
      <c r="L91" s="64">
        <v>28.66</v>
      </c>
      <c r="M91" s="64">
        <v>99.69</v>
      </c>
      <c r="N91" s="64">
        <v>38.1</v>
      </c>
      <c r="O91" s="64">
        <v>0</v>
      </c>
      <c r="P91" s="64">
        <v>0.65</v>
      </c>
      <c r="Q91" s="64">
        <v>9.44</v>
      </c>
      <c r="R91" s="198"/>
      <c r="S91" s="198"/>
      <c r="T91" s="198"/>
      <c r="U91" s="198"/>
    </row>
    <row r="92" spans="1:26" s="12" customFormat="1" x14ac:dyDescent="0.25">
      <c r="A92" s="248" t="s">
        <v>1384</v>
      </c>
      <c r="B92" s="64">
        <v>8.01</v>
      </c>
      <c r="C92" s="64">
        <v>3.04</v>
      </c>
      <c r="D92" s="64">
        <v>11.78</v>
      </c>
      <c r="E92" s="64">
        <v>4.1399999999999997</v>
      </c>
      <c r="F92" s="64">
        <v>3.73</v>
      </c>
      <c r="G92" s="64">
        <v>101.71</v>
      </c>
      <c r="H92" s="64">
        <v>50.39</v>
      </c>
      <c r="I92" s="64">
        <v>4.25</v>
      </c>
      <c r="J92" s="64">
        <v>0.08</v>
      </c>
      <c r="K92" s="64">
        <v>281.56</v>
      </c>
      <c r="L92" s="64">
        <v>28.6</v>
      </c>
      <c r="M92" s="64">
        <v>100.08</v>
      </c>
      <c r="N92" s="64">
        <v>38.1</v>
      </c>
      <c r="O92" s="64">
        <v>0</v>
      </c>
      <c r="P92" s="64">
        <v>0.67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48" t="s">
        <v>1385</v>
      </c>
      <c r="B93" s="64">
        <v>8.01</v>
      </c>
      <c r="C93" s="64">
        <v>3.06</v>
      </c>
      <c r="D93" s="64">
        <v>11.8</v>
      </c>
      <c r="E93" s="64">
        <v>3.92</v>
      </c>
      <c r="F93" s="64">
        <v>3.46</v>
      </c>
      <c r="G93" s="64">
        <v>102.45</v>
      </c>
      <c r="H93" s="64">
        <v>48.78</v>
      </c>
      <c r="I93" s="64">
        <v>4.41</v>
      </c>
      <c r="J93" s="64">
        <v>0.12</v>
      </c>
      <c r="K93" s="64">
        <v>30.08</v>
      </c>
      <c r="L93" s="64">
        <v>28.57</v>
      </c>
      <c r="M93" s="64">
        <v>99.61</v>
      </c>
      <c r="N93" s="64">
        <v>37.9</v>
      </c>
      <c r="O93" s="64">
        <v>0</v>
      </c>
      <c r="P93" s="64">
        <v>0.68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48" t="s">
        <v>1386</v>
      </c>
      <c r="B94" s="64">
        <v>8.01</v>
      </c>
      <c r="C94" s="64">
        <v>3.08</v>
      </c>
      <c r="D94" s="64">
        <v>11.81</v>
      </c>
      <c r="E94" s="64">
        <v>4.08</v>
      </c>
      <c r="F94" s="64">
        <v>3.6</v>
      </c>
      <c r="G94" s="64">
        <v>102.45</v>
      </c>
      <c r="H94" s="64">
        <v>48.78</v>
      </c>
      <c r="I94" s="64">
        <v>4.6100000000000003</v>
      </c>
      <c r="J94" s="64">
        <v>7.0000000000000007E-2</v>
      </c>
      <c r="K94" s="64">
        <v>278.60000000000002</v>
      </c>
      <c r="L94" s="64">
        <v>28.49</v>
      </c>
      <c r="M94" s="64">
        <v>98.56</v>
      </c>
      <c r="N94" s="64">
        <v>38.1</v>
      </c>
      <c r="O94" s="64">
        <v>0</v>
      </c>
      <c r="P94" s="64">
        <v>0.69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48" t="s">
        <v>1387</v>
      </c>
      <c r="B95" s="64">
        <v>8.0299999999999994</v>
      </c>
      <c r="C95" s="64">
        <v>3.07</v>
      </c>
      <c r="D95" s="64">
        <v>11.81</v>
      </c>
      <c r="E95" s="64">
        <v>4.6500000000000004</v>
      </c>
      <c r="F95" s="64">
        <v>3.52</v>
      </c>
      <c r="G95" s="64">
        <v>102.45</v>
      </c>
      <c r="H95" s="64">
        <v>48.78</v>
      </c>
      <c r="I95" s="64">
        <v>4.71</v>
      </c>
      <c r="J95" s="64">
        <v>0.08</v>
      </c>
      <c r="K95" s="64">
        <v>113.85</v>
      </c>
      <c r="L95" s="64">
        <v>28.48</v>
      </c>
      <c r="M95" s="64">
        <v>97.8</v>
      </c>
      <c r="N95" s="64">
        <v>38.1</v>
      </c>
      <c r="O95" s="64">
        <v>0</v>
      </c>
      <c r="P95" s="64">
        <v>0.7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48" t="s">
        <v>1388</v>
      </c>
      <c r="B96" s="64">
        <v>8.0299999999999994</v>
      </c>
      <c r="C96" s="64">
        <v>3.11</v>
      </c>
      <c r="D96" s="64">
        <v>11.84</v>
      </c>
      <c r="E96" s="64">
        <v>4.47</v>
      </c>
      <c r="F96" s="64">
        <v>4.63</v>
      </c>
      <c r="G96" s="64">
        <v>103.63</v>
      </c>
      <c r="H96" s="64">
        <v>44.7</v>
      </c>
      <c r="I96" s="64">
        <v>4.8600000000000003</v>
      </c>
      <c r="J96" s="64">
        <v>0.15</v>
      </c>
      <c r="K96" s="64">
        <v>356.99</v>
      </c>
      <c r="L96" s="64">
        <v>28.37</v>
      </c>
      <c r="M96" s="64">
        <v>98.61</v>
      </c>
      <c r="N96" s="64">
        <v>38</v>
      </c>
      <c r="O96" s="64">
        <v>0</v>
      </c>
      <c r="P96" s="64">
        <v>0.71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1389</v>
      </c>
      <c r="B97" s="64">
        <v>8.02</v>
      </c>
      <c r="C97" s="64">
        <v>3.09</v>
      </c>
      <c r="D97" s="64">
        <v>11.82</v>
      </c>
      <c r="E97" s="64">
        <v>4.1500000000000004</v>
      </c>
      <c r="F97" s="64">
        <v>3.87</v>
      </c>
      <c r="G97" s="64">
        <v>104.13</v>
      </c>
      <c r="H97" s="64">
        <v>43.04</v>
      </c>
      <c r="I97" s="64">
        <v>4.93</v>
      </c>
      <c r="J97" s="64">
        <v>0.16</v>
      </c>
      <c r="K97" s="64">
        <v>3.2</v>
      </c>
      <c r="L97" s="64">
        <v>28.24</v>
      </c>
      <c r="M97" s="64">
        <v>100.35</v>
      </c>
      <c r="N97" s="64">
        <v>38.1</v>
      </c>
      <c r="O97" s="64">
        <v>0</v>
      </c>
      <c r="P97" s="64">
        <v>0.71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48" t="s">
        <v>1390</v>
      </c>
      <c r="B98" s="64">
        <v>8.1</v>
      </c>
      <c r="C98" s="64">
        <v>3.24</v>
      </c>
      <c r="D98" s="64">
        <v>11.96</v>
      </c>
      <c r="E98" s="64">
        <v>4.32</v>
      </c>
      <c r="F98" s="64">
        <v>2.33</v>
      </c>
      <c r="G98" s="64">
        <v>104.13</v>
      </c>
      <c r="H98" s="64">
        <v>43.04</v>
      </c>
      <c r="I98" s="64">
        <v>5.04</v>
      </c>
      <c r="J98" s="64">
        <v>0.08</v>
      </c>
      <c r="K98" s="64">
        <v>281.83999999999997</v>
      </c>
      <c r="L98" s="64">
        <v>28.14</v>
      </c>
      <c r="M98" s="64">
        <v>101.75</v>
      </c>
      <c r="N98" s="64">
        <v>38.1</v>
      </c>
      <c r="O98" s="64">
        <v>0</v>
      </c>
      <c r="P98" s="64">
        <v>0.7</v>
      </c>
      <c r="Q98" s="64">
        <v>9.4499999999999993</v>
      </c>
      <c r="R98" s="198"/>
      <c r="S98" s="198"/>
      <c r="T98" s="198"/>
      <c r="U98" s="198"/>
    </row>
    <row r="99" spans="1:33" s="12" customFormat="1" x14ac:dyDescent="0.25">
      <c r="A99" s="248" t="s">
        <v>1391</v>
      </c>
      <c r="B99" s="64">
        <v>8.0500000000000007</v>
      </c>
      <c r="C99" s="64">
        <v>3.15</v>
      </c>
      <c r="D99" s="64">
        <v>11.88</v>
      </c>
      <c r="E99" s="64">
        <v>4.12</v>
      </c>
      <c r="F99" s="64">
        <v>3.54</v>
      </c>
      <c r="G99" s="64">
        <v>104.13</v>
      </c>
      <c r="H99" s="64">
        <v>41.04</v>
      </c>
      <c r="I99" s="64">
        <v>5.08</v>
      </c>
      <c r="J99" s="64">
        <v>0.05</v>
      </c>
      <c r="K99" s="64">
        <v>125.36</v>
      </c>
      <c r="L99" s="64">
        <v>28.02</v>
      </c>
      <c r="M99" s="64">
        <v>102.68</v>
      </c>
      <c r="N99" s="64">
        <v>38.1</v>
      </c>
      <c r="O99" s="64">
        <v>0</v>
      </c>
      <c r="P99" s="64">
        <v>0.69</v>
      </c>
      <c r="Q99" s="64">
        <v>9.43</v>
      </c>
      <c r="R99" s="198"/>
      <c r="S99" s="198"/>
      <c r="T99" s="198"/>
      <c r="U99" s="198"/>
    </row>
    <row r="100" spans="1:33" s="12" customFormat="1" x14ac:dyDescent="0.25">
      <c r="A100" s="248" t="s">
        <v>1392</v>
      </c>
      <c r="B100" s="64">
        <v>7.99</v>
      </c>
      <c r="C100" s="64">
        <v>3.06</v>
      </c>
      <c r="D100" s="64">
        <v>11.78</v>
      </c>
      <c r="E100" s="64">
        <v>4.5599999999999996</v>
      </c>
      <c r="F100" s="64">
        <v>4.74</v>
      </c>
      <c r="G100" s="64">
        <v>103.03</v>
      </c>
      <c r="H100" s="64">
        <v>40.04</v>
      </c>
      <c r="I100" s="64">
        <v>5.05</v>
      </c>
      <c r="J100" s="64">
        <v>0.18</v>
      </c>
      <c r="K100" s="64">
        <v>244.34</v>
      </c>
      <c r="L100" s="64">
        <v>27.9</v>
      </c>
      <c r="M100" s="64">
        <v>102.4</v>
      </c>
      <c r="N100" s="64">
        <v>38.1</v>
      </c>
      <c r="O100" s="64">
        <v>0</v>
      </c>
      <c r="P100" s="64">
        <v>0.7</v>
      </c>
      <c r="Q100" s="64">
        <v>9.4700000000000006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1393</v>
      </c>
      <c r="B101" s="64">
        <v>7.99</v>
      </c>
      <c r="C101" s="64">
        <v>3.06</v>
      </c>
      <c r="D101" s="64">
        <v>11.78</v>
      </c>
      <c r="E101" s="64">
        <v>4.72</v>
      </c>
      <c r="F101" s="64">
        <v>2.27</v>
      </c>
      <c r="G101" s="64">
        <v>102.56</v>
      </c>
      <c r="H101" s="64">
        <v>41.04</v>
      </c>
      <c r="I101" s="64">
        <v>5.0599999999999996</v>
      </c>
      <c r="J101" s="64">
        <v>0.2</v>
      </c>
      <c r="K101" s="64">
        <v>224.74</v>
      </c>
      <c r="L101" s="64">
        <v>27.74</v>
      </c>
      <c r="M101" s="64">
        <v>102.5</v>
      </c>
      <c r="N101" s="64">
        <v>38.1</v>
      </c>
      <c r="O101" s="64">
        <v>0</v>
      </c>
      <c r="P101" s="64">
        <v>0.69</v>
      </c>
      <c r="Q101" s="64">
        <v>9.48</v>
      </c>
      <c r="R101" s="198"/>
      <c r="S101" s="198"/>
      <c r="T101" s="198"/>
      <c r="U101" s="198"/>
    </row>
    <row r="102" spans="1:33" s="12" customFormat="1" x14ac:dyDescent="0.25">
      <c r="A102" s="248" t="s">
        <v>1394</v>
      </c>
      <c r="B102" s="64">
        <v>7.95</v>
      </c>
      <c r="C102" s="64">
        <v>3</v>
      </c>
      <c r="D102" s="64">
        <v>11.72</v>
      </c>
      <c r="E102" s="64">
        <v>4.3099999999999996</v>
      </c>
      <c r="F102" s="64">
        <v>3.01</v>
      </c>
      <c r="G102" s="64">
        <v>102.56</v>
      </c>
      <c r="H102" s="64">
        <v>43.04</v>
      </c>
      <c r="I102" s="64">
        <v>5.0599999999999996</v>
      </c>
      <c r="J102" s="64">
        <v>0.19</v>
      </c>
      <c r="K102" s="64">
        <v>241.48</v>
      </c>
      <c r="L102" s="64">
        <v>27.66</v>
      </c>
      <c r="M102" s="64">
        <v>102.72</v>
      </c>
      <c r="N102" s="64">
        <v>38.1</v>
      </c>
      <c r="O102" s="64">
        <v>0</v>
      </c>
      <c r="P102" s="64">
        <v>0.67</v>
      </c>
      <c r="Q102" s="64">
        <v>9.42</v>
      </c>
      <c r="R102" s="198"/>
      <c r="S102" s="198"/>
      <c r="T102" s="198"/>
      <c r="U102" s="198"/>
    </row>
    <row r="103" spans="1:33" s="12" customFormat="1" x14ac:dyDescent="0.25">
      <c r="A103" s="248" t="s">
        <v>1395</v>
      </c>
      <c r="B103" s="64">
        <v>7.96</v>
      </c>
      <c r="C103" s="64">
        <v>3</v>
      </c>
      <c r="D103" s="64">
        <v>11.73</v>
      </c>
      <c r="E103" s="64">
        <v>4.01</v>
      </c>
      <c r="F103" s="64">
        <v>4.26</v>
      </c>
      <c r="G103" s="64">
        <v>102.56</v>
      </c>
      <c r="H103" s="64">
        <v>43.04</v>
      </c>
      <c r="I103" s="64">
        <v>5.0999999999999996</v>
      </c>
      <c r="J103" s="64">
        <v>0.18</v>
      </c>
      <c r="K103" s="64">
        <v>270.93</v>
      </c>
      <c r="L103" s="64">
        <v>27.51</v>
      </c>
      <c r="M103" s="64">
        <v>102.8</v>
      </c>
      <c r="N103" s="64">
        <v>38.1</v>
      </c>
      <c r="O103" s="64">
        <v>0</v>
      </c>
      <c r="P103" s="64">
        <v>0.67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48" t="s">
        <v>1396</v>
      </c>
      <c r="B104" s="64">
        <v>7.97</v>
      </c>
      <c r="C104" s="64">
        <v>3.03</v>
      </c>
      <c r="D104" s="64">
        <v>11.76</v>
      </c>
      <c r="E104" s="64">
        <v>4.7</v>
      </c>
      <c r="F104" s="64">
        <v>4.54</v>
      </c>
      <c r="G104" s="64">
        <v>101.74</v>
      </c>
      <c r="H104" s="64">
        <v>43.04</v>
      </c>
      <c r="I104" s="64">
        <v>5.08</v>
      </c>
      <c r="J104" s="64">
        <v>0.09</v>
      </c>
      <c r="K104" s="64">
        <v>300.5</v>
      </c>
      <c r="L104" s="64">
        <v>27.54</v>
      </c>
      <c r="M104" s="64">
        <v>102.73</v>
      </c>
      <c r="N104" s="64">
        <v>38.1</v>
      </c>
      <c r="O104" s="64">
        <v>0</v>
      </c>
      <c r="P104" s="64">
        <v>0.68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2.91</v>
      </c>
      <c r="D106" s="67">
        <f t="shared" ref="D106:Q106" si="0">MIN(D9:D104)</f>
        <v>11.64</v>
      </c>
      <c r="E106" s="67">
        <f t="shared" si="0"/>
        <v>3.21</v>
      </c>
      <c r="F106" s="67">
        <f t="shared" si="0"/>
        <v>2.27</v>
      </c>
      <c r="G106" s="67">
        <f t="shared" si="0"/>
        <v>16.079999999999998</v>
      </c>
      <c r="H106" s="67">
        <f t="shared" si="0"/>
        <v>2.4900000000000002</v>
      </c>
      <c r="I106" s="67">
        <f t="shared" si="0"/>
        <v>1.84</v>
      </c>
      <c r="J106" s="67">
        <f t="shared" si="0"/>
        <v>0.02</v>
      </c>
      <c r="K106" s="67">
        <f t="shared" si="0"/>
        <v>0.06</v>
      </c>
      <c r="L106" s="67">
        <f t="shared" si="0"/>
        <v>24.76</v>
      </c>
      <c r="M106" s="67">
        <f t="shared" si="0"/>
        <v>77.27</v>
      </c>
      <c r="N106" s="67">
        <f t="shared" si="0"/>
        <v>37.6</v>
      </c>
      <c r="O106" s="67">
        <f t="shared" si="0"/>
        <v>0</v>
      </c>
      <c r="P106" s="67">
        <f t="shared" si="0"/>
        <v>0.34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8.15</v>
      </c>
      <c r="C107" s="66">
        <f t="shared" ref="C107:Q107" si="1">MAX(C9:C104)</f>
        <v>3.41</v>
      </c>
      <c r="D107" s="66">
        <f t="shared" si="1"/>
        <v>12.08</v>
      </c>
      <c r="E107" s="66">
        <f t="shared" si="1"/>
        <v>408.15</v>
      </c>
      <c r="F107" s="66">
        <f t="shared" si="1"/>
        <v>12.17</v>
      </c>
      <c r="G107" s="66">
        <f t="shared" si="1"/>
        <v>195.07</v>
      </c>
      <c r="H107" s="66">
        <f t="shared" si="1"/>
        <v>136.07</v>
      </c>
      <c r="I107" s="66">
        <f t="shared" si="1"/>
        <v>6.37</v>
      </c>
      <c r="J107" s="66">
        <f t="shared" si="1"/>
        <v>0.56999999999999995</v>
      </c>
      <c r="K107" s="66">
        <f t="shared" si="1"/>
        <v>359.51</v>
      </c>
      <c r="L107" s="66">
        <f t="shared" si="1"/>
        <v>32.26</v>
      </c>
      <c r="M107" s="66">
        <f t="shared" si="1"/>
        <v>102.8</v>
      </c>
      <c r="N107" s="66">
        <f t="shared" si="1"/>
        <v>922.4</v>
      </c>
      <c r="O107" s="66">
        <f t="shared" si="1"/>
        <v>0</v>
      </c>
      <c r="P107" s="66">
        <f t="shared" si="1"/>
        <v>3.33</v>
      </c>
      <c r="Q107" s="66">
        <f t="shared" si="1"/>
        <v>9.5299999999999994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7.9935416666666663</v>
      </c>
      <c r="C108" s="67">
        <f t="shared" ref="C108:Q108" si="2">AVERAGE(C9:C104)</f>
        <v>3.058125</v>
      </c>
      <c r="D108" s="67">
        <f t="shared" si="2"/>
        <v>11.781770833333333</v>
      </c>
      <c r="E108" s="67">
        <f t="shared" si="2"/>
        <v>8.4877083333333339</v>
      </c>
      <c r="F108" s="67">
        <f t="shared" si="2"/>
        <v>4.1178124999999994</v>
      </c>
      <c r="G108" s="67">
        <f t="shared" si="2"/>
        <v>68.852473118279576</v>
      </c>
      <c r="H108" s="67">
        <f t="shared" si="2"/>
        <v>36.81881720430107</v>
      </c>
      <c r="I108" s="67">
        <f t="shared" si="2"/>
        <v>3.6871875000000003</v>
      </c>
      <c r="J108" s="67">
        <f t="shared" si="2"/>
        <v>0.19854166666666662</v>
      </c>
      <c r="K108" s="67">
        <f t="shared" si="2"/>
        <v>252.94500000000008</v>
      </c>
      <c r="L108" s="67">
        <f t="shared" si="2"/>
        <v>28.474062499999985</v>
      </c>
      <c r="M108" s="67">
        <f t="shared" si="2"/>
        <v>94.082708333333287</v>
      </c>
      <c r="N108" s="67">
        <f t="shared" si="2"/>
        <v>203.10520833333314</v>
      </c>
      <c r="O108" s="67">
        <f t="shared" si="2"/>
        <v>0</v>
      </c>
      <c r="P108" s="67">
        <f t="shared" si="2"/>
        <v>0.53604166666666686</v>
      </c>
      <c r="Q108" s="67">
        <f t="shared" si="2"/>
        <v>9.3220833333333371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5.4405478955256673E-2</v>
      </c>
      <c r="C109" s="67">
        <f t="shared" ref="C109:Q109" si="3">STDEV(C9:C104)</f>
        <v>8.9587505002827167E-2</v>
      </c>
      <c r="D109" s="67">
        <f t="shared" si="3"/>
        <v>8.2295933156110931E-2</v>
      </c>
      <c r="E109" s="67">
        <f t="shared" si="3"/>
        <v>41.22189493535447</v>
      </c>
      <c r="F109" s="67">
        <f t="shared" si="3"/>
        <v>1.5444475783814828</v>
      </c>
      <c r="G109" s="67">
        <f t="shared" si="3"/>
        <v>46.380952955691541</v>
      </c>
      <c r="H109" s="67">
        <f t="shared" si="3"/>
        <v>32.57468718690815</v>
      </c>
      <c r="I109" s="67">
        <f t="shared" si="3"/>
        <v>0.99172757626593944</v>
      </c>
      <c r="J109" s="67">
        <f t="shared" si="3"/>
        <v>0.10786911334592091</v>
      </c>
      <c r="K109" s="67">
        <f t="shared" si="3"/>
        <v>123.07089910419828</v>
      </c>
      <c r="L109" s="67">
        <f t="shared" si="3"/>
        <v>2.5395766651467508</v>
      </c>
      <c r="M109" s="67">
        <f t="shared" si="3"/>
        <v>8.8310271774449838</v>
      </c>
      <c r="N109" s="67">
        <f t="shared" si="3"/>
        <v>228.52505764705043</v>
      </c>
      <c r="O109" s="67">
        <f t="shared" si="3"/>
        <v>0</v>
      </c>
      <c r="P109" s="67">
        <f t="shared" si="3"/>
        <v>0.30818135182719109</v>
      </c>
      <c r="Q109" s="67">
        <f t="shared" si="3"/>
        <v>0.10458858412764066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1397</v>
      </c>
      <c r="B9" s="64">
        <v>8.39</v>
      </c>
      <c r="C9" s="64">
        <v>3.82</v>
      </c>
      <c r="D9" s="64">
        <v>12.5</v>
      </c>
      <c r="E9" s="64">
        <v>4.9400000000000004</v>
      </c>
      <c r="F9" s="64">
        <v>2.68</v>
      </c>
      <c r="G9" s="64">
        <v>101.41</v>
      </c>
      <c r="H9" s="64">
        <v>10.63</v>
      </c>
      <c r="I9" s="64">
        <v>5.15</v>
      </c>
      <c r="J9" s="64">
        <v>0.17</v>
      </c>
      <c r="K9" s="64">
        <v>20.97</v>
      </c>
      <c r="L9" s="64">
        <v>27.61</v>
      </c>
      <c r="M9" s="64">
        <v>102.57</v>
      </c>
      <c r="N9" s="64">
        <v>37.9</v>
      </c>
      <c r="O9" s="64">
        <v>0</v>
      </c>
      <c r="P9" s="64">
        <v>0.64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48" t="s">
        <v>1398</v>
      </c>
      <c r="B10" s="64">
        <v>8.08</v>
      </c>
      <c r="C10" s="64">
        <v>3.27</v>
      </c>
      <c r="D10" s="64">
        <v>11.96</v>
      </c>
      <c r="E10" s="64">
        <v>4.4400000000000004</v>
      </c>
      <c r="F10" s="64">
        <v>3.21</v>
      </c>
      <c r="G10" s="64">
        <v>101.41</v>
      </c>
      <c r="H10" s="64">
        <v>10.63</v>
      </c>
      <c r="I10" s="64">
        <v>5.22</v>
      </c>
      <c r="J10" s="64">
        <v>0.14000000000000001</v>
      </c>
      <c r="K10" s="64">
        <v>342.94</v>
      </c>
      <c r="L10" s="64">
        <v>27.44</v>
      </c>
      <c r="M10" s="64">
        <v>102.61</v>
      </c>
      <c r="N10" s="64">
        <v>38.1</v>
      </c>
      <c r="O10" s="64">
        <v>0</v>
      </c>
      <c r="P10" s="64">
        <v>0.66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48" t="s">
        <v>1399</v>
      </c>
      <c r="B11" s="64">
        <v>7.98</v>
      </c>
      <c r="C11" s="64">
        <v>3.02</v>
      </c>
      <c r="D11" s="64">
        <v>11.75</v>
      </c>
      <c r="E11" s="64">
        <v>4.4800000000000004</v>
      </c>
      <c r="F11" s="64">
        <v>3.06</v>
      </c>
      <c r="G11" s="64">
        <v>101.41</v>
      </c>
      <c r="H11" s="64">
        <v>10.63</v>
      </c>
      <c r="I11" s="64">
        <v>5.19</v>
      </c>
      <c r="J11" s="64">
        <v>0.15</v>
      </c>
      <c r="K11" s="64">
        <v>262.06</v>
      </c>
      <c r="L11" s="64">
        <v>27.26</v>
      </c>
      <c r="M11" s="64">
        <v>102.7</v>
      </c>
      <c r="N11" s="64">
        <v>38.1</v>
      </c>
      <c r="O11" s="64">
        <v>0</v>
      </c>
      <c r="P11" s="64">
        <v>0.63</v>
      </c>
      <c r="Q11" s="64">
        <v>9.42</v>
      </c>
      <c r="R11" s="198"/>
      <c r="S11" s="198"/>
      <c r="T11" s="198"/>
      <c r="U11" s="198"/>
    </row>
    <row r="12" spans="1:21" s="12" customFormat="1" x14ac:dyDescent="0.25">
      <c r="A12" s="248" t="s">
        <v>1400</v>
      </c>
      <c r="B12" s="64">
        <v>8.15</v>
      </c>
      <c r="C12" s="64">
        <v>3.06</v>
      </c>
      <c r="D12" s="64">
        <v>11.91</v>
      </c>
      <c r="E12" s="64">
        <v>4.3499999999999996</v>
      </c>
      <c r="F12" s="64">
        <v>3.74</v>
      </c>
      <c r="G12" s="64">
        <v>91.95</v>
      </c>
      <c r="H12" s="64">
        <v>3.58</v>
      </c>
      <c r="I12" s="64">
        <v>5.18</v>
      </c>
      <c r="J12" s="64">
        <v>0.13</v>
      </c>
      <c r="K12" s="64">
        <v>307.45999999999998</v>
      </c>
      <c r="L12" s="64">
        <v>27.32</v>
      </c>
      <c r="M12" s="64">
        <v>102.88</v>
      </c>
      <c r="N12" s="64">
        <v>38.1</v>
      </c>
      <c r="O12" s="64">
        <v>0</v>
      </c>
      <c r="P12" s="64">
        <v>0.61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48" t="s">
        <v>1401</v>
      </c>
      <c r="B13" s="64">
        <v>9</v>
      </c>
      <c r="C13" s="64">
        <v>3.56</v>
      </c>
      <c r="D13" s="64">
        <v>12.85</v>
      </c>
      <c r="E13" s="64">
        <v>4.16</v>
      </c>
      <c r="F13" s="64">
        <v>3.65</v>
      </c>
      <c r="G13" s="64">
        <v>88.11</v>
      </c>
      <c r="H13" s="64">
        <v>0.72</v>
      </c>
      <c r="I13" s="64">
        <v>5.14</v>
      </c>
      <c r="J13" s="64">
        <v>0.14000000000000001</v>
      </c>
      <c r="K13" s="64">
        <v>269.67</v>
      </c>
      <c r="L13" s="64">
        <v>27.21</v>
      </c>
      <c r="M13" s="64">
        <v>102.83</v>
      </c>
      <c r="N13" s="64">
        <v>38</v>
      </c>
      <c r="O13" s="64">
        <v>0</v>
      </c>
      <c r="P13" s="64">
        <v>0.6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48" t="s">
        <v>1402</v>
      </c>
      <c r="B14" s="64">
        <v>9.6300000000000008</v>
      </c>
      <c r="C14" s="64">
        <v>3.86</v>
      </c>
      <c r="D14" s="64">
        <v>13.51</v>
      </c>
      <c r="E14" s="64">
        <v>4.37</v>
      </c>
      <c r="F14" s="64">
        <v>3.45</v>
      </c>
      <c r="G14" s="64">
        <v>88.11</v>
      </c>
      <c r="H14" s="64">
        <v>0.72</v>
      </c>
      <c r="I14" s="64">
        <v>5.09</v>
      </c>
      <c r="J14" s="64">
        <v>0.14000000000000001</v>
      </c>
      <c r="K14" s="64">
        <v>339.69</v>
      </c>
      <c r="L14" s="64">
        <v>27.09</v>
      </c>
      <c r="M14" s="64">
        <v>103.08</v>
      </c>
      <c r="N14" s="64">
        <v>38.1</v>
      </c>
      <c r="O14" s="64">
        <v>0</v>
      </c>
      <c r="P14" s="64">
        <v>0.59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48" t="s">
        <v>1403</v>
      </c>
      <c r="B15" s="64">
        <v>10.1</v>
      </c>
      <c r="C15" s="64">
        <v>3.98</v>
      </c>
      <c r="D15" s="64">
        <v>13.95</v>
      </c>
      <c r="E15" s="64">
        <v>4.47</v>
      </c>
      <c r="F15" s="64">
        <v>3.47</v>
      </c>
      <c r="G15" s="64">
        <v>88.11</v>
      </c>
      <c r="H15" s="64">
        <v>0.72</v>
      </c>
      <c r="I15" s="64">
        <v>5.16</v>
      </c>
      <c r="J15" s="64">
        <v>0.34</v>
      </c>
      <c r="K15" s="64">
        <v>147.16999999999999</v>
      </c>
      <c r="L15" s="64">
        <v>27.02</v>
      </c>
      <c r="M15" s="64">
        <v>102.95</v>
      </c>
      <c r="N15" s="64">
        <v>37.799999999999997</v>
      </c>
      <c r="O15" s="64">
        <v>0</v>
      </c>
      <c r="P15" s="64">
        <v>0.57999999999999996</v>
      </c>
      <c r="Q15" s="64">
        <v>9.44</v>
      </c>
      <c r="R15" s="198"/>
      <c r="S15" s="198"/>
      <c r="T15" s="198"/>
      <c r="U15" s="198"/>
    </row>
    <row r="16" spans="1:21" s="12" customFormat="1" x14ac:dyDescent="0.25">
      <c r="A16" s="248" t="s">
        <v>1404</v>
      </c>
      <c r="B16" s="64">
        <v>10.32</v>
      </c>
      <c r="C16" s="64">
        <v>4.1100000000000003</v>
      </c>
      <c r="D16" s="64">
        <v>14.2</v>
      </c>
      <c r="E16" s="64">
        <v>4.6500000000000004</v>
      </c>
      <c r="F16" s="64">
        <v>3.22</v>
      </c>
      <c r="G16" s="64">
        <v>82.41</v>
      </c>
      <c r="H16" s="64">
        <v>0.74</v>
      </c>
      <c r="I16" s="64">
        <v>4.7</v>
      </c>
      <c r="J16" s="64">
        <v>0.12</v>
      </c>
      <c r="K16" s="64">
        <v>174.67</v>
      </c>
      <c r="L16" s="64">
        <v>26.98</v>
      </c>
      <c r="M16" s="64">
        <v>102.48</v>
      </c>
      <c r="N16" s="64">
        <v>37.9</v>
      </c>
      <c r="O16" s="64">
        <v>0</v>
      </c>
      <c r="P16" s="64">
        <v>0.56000000000000005</v>
      </c>
      <c r="Q16" s="64">
        <v>9.4700000000000006</v>
      </c>
      <c r="R16" s="198"/>
      <c r="S16" s="198"/>
      <c r="T16" s="198"/>
      <c r="U16" s="198"/>
    </row>
    <row r="17" spans="1:21" s="12" customFormat="1" x14ac:dyDescent="0.25">
      <c r="A17" s="248" t="s">
        <v>1405</v>
      </c>
      <c r="B17" s="64">
        <v>10.1</v>
      </c>
      <c r="C17" s="64">
        <v>4.4800000000000004</v>
      </c>
      <c r="D17" s="64">
        <v>14.22</v>
      </c>
      <c r="E17" s="64">
        <v>4.4800000000000004</v>
      </c>
      <c r="F17" s="64">
        <v>3.26</v>
      </c>
      <c r="G17" s="64">
        <v>79.959999999999994</v>
      </c>
      <c r="H17" s="64">
        <v>0.75</v>
      </c>
      <c r="I17" s="64">
        <v>5.23</v>
      </c>
      <c r="J17" s="64">
        <v>0.28999999999999998</v>
      </c>
      <c r="K17" s="64">
        <v>135.31</v>
      </c>
      <c r="L17" s="64">
        <v>26.94</v>
      </c>
      <c r="M17" s="64">
        <v>102.48</v>
      </c>
      <c r="N17" s="64">
        <v>37.9</v>
      </c>
      <c r="O17" s="64">
        <v>0</v>
      </c>
      <c r="P17" s="64">
        <v>0.55000000000000004</v>
      </c>
      <c r="Q17" s="64">
        <v>9.44</v>
      </c>
      <c r="R17" s="198"/>
      <c r="S17" s="198"/>
      <c r="T17" s="198"/>
      <c r="U17" s="198"/>
    </row>
    <row r="18" spans="1:21" s="12" customFormat="1" x14ac:dyDescent="0.25">
      <c r="A18" s="248" t="s">
        <v>1406</v>
      </c>
      <c r="B18" s="64">
        <v>9.83</v>
      </c>
      <c r="C18" s="64">
        <v>4.9400000000000004</v>
      </c>
      <c r="D18" s="64">
        <v>14.24</v>
      </c>
      <c r="E18" s="64">
        <v>4.47</v>
      </c>
      <c r="F18" s="64">
        <v>3.79</v>
      </c>
      <c r="G18" s="64">
        <v>79.959999999999994</v>
      </c>
      <c r="H18" s="64">
        <v>0.75</v>
      </c>
      <c r="I18" s="64">
        <v>5.12</v>
      </c>
      <c r="J18" s="64">
        <v>0.03</v>
      </c>
      <c r="K18" s="64">
        <v>263.52999999999997</v>
      </c>
      <c r="L18" s="64">
        <v>26.92</v>
      </c>
      <c r="M18" s="64">
        <v>102.5</v>
      </c>
      <c r="N18" s="64">
        <v>38</v>
      </c>
      <c r="O18" s="64">
        <v>0</v>
      </c>
      <c r="P18" s="64">
        <v>0.54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48" t="s">
        <v>1407</v>
      </c>
      <c r="B19" s="64">
        <v>9.69</v>
      </c>
      <c r="C19" s="64">
        <v>5.36</v>
      </c>
      <c r="D19" s="64">
        <v>14.34</v>
      </c>
      <c r="E19" s="64">
        <v>4.7699999999999996</v>
      </c>
      <c r="F19" s="64">
        <v>4.1100000000000003</v>
      </c>
      <c r="G19" s="64">
        <v>79.959999999999994</v>
      </c>
      <c r="H19" s="64">
        <v>0.75</v>
      </c>
      <c r="I19" s="64">
        <v>5.4</v>
      </c>
      <c r="J19" s="64">
        <v>7.0000000000000007E-2</v>
      </c>
      <c r="K19" s="64">
        <v>226.1</v>
      </c>
      <c r="L19" s="64">
        <v>26.85</v>
      </c>
      <c r="M19" s="64">
        <v>102.52</v>
      </c>
      <c r="N19" s="64">
        <v>38.1</v>
      </c>
      <c r="O19" s="64">
        <v>0</v>
      </c>
      <c r="P19" s="64">
        <v>0.54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48" t="s">
        <v>1408</v>
      </c>
      <c r="B20" s="64">
        <v>9.6</v>
      </c>
      <c r="C20" s="64">
        <v>5.4</v>
      </c>
      <c r="D20" s="64">
        <v>14.29</v>
      </c>
      <c r="E20" s="64">
        <v>3.19</v>
      </c>
      <c r="F20" s="64">
        <v>2.2599999999999998</v>
      </c>
      <c r="G20" s="64">
        <v>75.739999999999995</v>
      </c>
      <c r="H20" s="64">
        <v>69.099999999999994</v>
      </c>
      <c r="I20" s="64">
        <v>5.45</v>
      </c>
      <c r="J20" s="64">
        <v>0.1</v>
      </c>
      <c r="K20" s="64">
        <v>30.4</v>
      </c>
      <c r="L20" s="64">
        <v>26.77</v>
      </c>
      <c r="M20" s="64">
        <v>102.53</v>
      </c>
      <c r="N20" s="64">
        <v>38</v>
      </c>
      <c r="O20" s="64">
        <v>0</v>
      </c>
      <c r="P20" s="64">
        <v>0.51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48" t="s">
        <v>1409</v>
      </c>
      <c r="B21" s="64">
        <v>9.5299999999999994</v>
      </c>
      <c r="C21" s="64">
        <v>5.32</v>
      </c>
      <c r="D21" s="64">
        <v>14.19</v>
      </c>
      <c r="E21" s="64">
        <v>3.51</v>
      </c>
      <c r="F21" s="64">
        <v>4.04</v>
      </c>
      <c r="G21" s="64">
        <v>73.92</v>
      </c>
      <c r="H21" s="64">
        <v>98.4</v>
      </c>
      <c r="I21" s="64">
        <v>5.38</v>
      </c>
      <c r="J21" s="64">
        <v>0.05</v>
      </c>
      <c r="K21" s="64">
        <v>129.93</v>
      </c>
      <c r="L21" s="64">
        <v>26.7</v>
      </c>
      <c r="M21" s="64">
        <v>102.56</v>
      </c>
      <c r="N21" s="64">
        <v>38</v>
      </c>
      <c r="O21" s="64">
        <v>0</v>
      </c>
      <c r="P21" s="64">
        <v>0.5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48" t="s">
        <v>1410</v>
      </c>
      <c r="B22" s="64">
        <v>9.48</v>
      </c>
      <c r="C22" s="64">
        <v>5.29</v>
      </c>
      <c r="D22" s="64">
        <v>14.14</v>
      </c>
      <c r="E22" s="64">
        <v>3.33</v>
      </c>
      <c r="F22" s="64">
        <v>3.31</v>
      </c>
      <c r="G22" s="64">
        <v>73.92</v>
      </c>
      <c r="H22" s="64">
        <v>98.4</v>
      </c>
      <c r="I22" s="64">
        <v>5.32</v>
      </c>
      <c r="J22" s="64">
        <v>0.17</v>
      </c>
      <c r="K22" s="64">
        <v>338.06</v>
      </c>
      <c r="L22" s="64">
        <v>26.67</v>
      </c>
      <c r="M22" s="64">
        <v>102.58</v>
      </c>
      <c r="N22" s="64">
        <v>38.1</v>
      </c>
      <c r="O22" s="64">
        <v>0</v>
      </c>
      <c r="P22" s="64">
        <v>0.5</v>
      </c>
      <c r="Q22" s="64">
        <v>9.4</v>
      </c>
      <c r="R22" s="198"/>
      <c r="S22" s="198"/>
      <c r="T22" s="198"/>
      <c r="U22" s="198"/>
    </row>
    <row r="23" spans="1:21" s="12" customFormat="1" x14ac:dyDescent="0.25">
      <c r="A23" s="248" t="s">
        <v>1411</v>
      </c>
      <c r="B23" s="64">
        <v>9.4499999999999993</v>
      </c>
      <c r="C23" s="64">
        <v>5.24</v>
      </c>
      <c r="D23" s="64">
        <v>14.09</v>
      </c>
      <c r="E23" s="64">
        <v>3.33</v>
      </c>
      <c r="F23" s="64">
        <v>2.6</v>
      </c>
      <c r="G23" s="64">
        <v>73.92</v>
      </c>
      <c r="H23" s="64">
        <v>98.4</v>
      </c>
      <c r="I23" s="64">
        <v>5.28</v>
      </c>
      <c r="J23" s="64">
        <v>0.06</v>
      </c>
      <c r="K23" s="64">
        <v>330.55</v>
      </c>
      <c r="L23" s="64">
        <v>26.68</v>
      </c>
      <c r="M23" s="64">
        <v>102.58</v>
      </c>
      <c r="N23" s="64">
        <v>37.9</v>
      </c>
      <c r="O23" s="64">
        <v>0</v>
      </c>
      <c r="P23" s="64">
        <v>0.47</v>
      </c>
      <c r="Q23" s="64">
        <v>9.35</v>
      </c>
      <c r="R23" s="198"/>
      <c r="S23" s="198"/>
      <c r="T23" s="198"/>
      <c r="U23" s="198"/>
    </row>
    <row r="24" spans="1:21" s="12" customFormat="1" x14ac:dyDescent="0.25">
      <c r="A24" s="248" t="s">
        <v>1412</v>
      </c>
      <c r="B24" s="64">
        <v>9.33</v>
      </c>
      <c r="C24" s="64">
        <v>5.13</v>
      </c>
      <c r="D24" s="64">
        <v>13.93</v>
      </c>
      <c r="E24" s="64">
        <v>2.97</v>
      </c>
      <c r="F24" s="64">
        <v>3.92</v>
      </c>
      <c r="G24" s="64">
        <v>63.92</v>
      </c>
      <c r="H24" s="64">
        <v>47.52</v>
      </c>
      <c r="I24" s="64">
        <v>5.21</v>
      </c>
      <c r="J24" s="64">
        <v>0.03</v>
      </c>
      <c r="K24" s="64">
        <v>167.49</v>
      </c>
      <c r="L24" s="64">
        <v>26.68</v>
      </c>
      <c r="M24" s="64">
        <v>102.56</v>
      </c>
      <c r="N24" s="64">
        <v>37.9</v>
      </c>
      <c r="O24" s="64">
        <v>0</v>
      </c>
      <c r="P24" s="64">
        <v>0.46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48" t="s">
        <v>1413</v>
      </c>
      <c r="B25" s="64">
        <v>9.26</v>
      </c>
      <c r="C25" s="64">
        <v>5.1100000000000003</v>
      </c>
      <c r="D25" s="64">
        <v>13.87</v>
      </c>
      <c r="E25" s="64">
        <v>3.12</v>
      </c>
      <c r="F25" s="64">
        <v>3.48</v>
      </c>
      <c r="G25" s="64">
        <v>59.63</v>
      </c>
      <c r="H25" s="64">
        <v>25.72</v>
      </c>
      <c r="I25" s="64">
        <v>4.8</v>
      </c>
      <c r="J25" s="64">
        <v>0.13</v>
      </c>
      <c r="K25" s="64">
        <v>314.22000000000003</v>
      </c>
      <c r="L25" s="64">
        <v>26.67</v>
      </c>
      <c r="M25" s="64">
        <v>102.57</v>
      </c>
      <c r="N25" s="64">
        <v>37.9</v>
      </c>
      <c r="O25" s="64">
        <v>0</v>
      </c>
      <c r="P25" s="64">
        <v>0.46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48" t="s">
        <v>1414</v>
      </c>
      <c r="B26" s="64">
        <v>9.23</v>
      </c>
      <c r="C26" s="64">
        <v>5.05</v>
      </c>
      <c r="D26" s="64">
        <v>13.82</v>
      </c>
      <c r="E26" s="64">
        <v>3.14</v>
      </c>
      <c r="F26" s="64">
        <v>2.79</v>
      </c>
      <c r="G26" s="64">
        <v>59.63</v>
      </c>
      <c r="H26" s="64">
        <v>25.72</v>
      </c>
      <c r="I26" s="64">
        <v>5.0599999999999996</v>
      </c>
      <c r="J26" s="64">
        <v>0.04</v>
      </c>
      <c r="K26" s="64">
        <v>346.29</v>
      </c>
      <c r="L26" s="64">
        <v>26.64</v>
      </c>
      <c r="M26" s="64">
        <v>102.55</v>
      </c>
      <c r="N26" s="64">
        <v>37.9</v>
      </c>
      <c r="O26" s="64">
        <v>0</v>
      </c>
      <c r="P26" s="64">
        <v>0.44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48" t="s">
        <v>1415</v>
      </c>
      <c r="B27" s="64">
        <v>9.19</v>
      </c>
      <c r="C27" s="64">
        <v>5.03</v>
      </c>
      <c r="D27" s="64">
        <v>13.78</v>
      </c>
      <c r="E27" s="64">
        <v>3.04</v>
      </c>
      <c r="F27" s="64">
        <v>3.48</v>
      </c>
      <c r="G27" s="64">
        <v>59.63</v>
      </c>
      <c r="H27" s="64">
        <v>25.72</v>
      </c>
      <c r="I27" s="64">
        <v>4.99</v>
      </c>
      <c r="J27" s="64">
        <v>0.14000000000000001</v>
      </c>
      <c r="K27" s="64">
        <v>17.63</v>
      </c>
      <c r="L27" s="64">
        <v>26.68</v>
      </c>
      <c r="M27" s="64">
        <v>102.57</v>
      </c>
      <c r="N27" s="64">
        <v>37.9</v>
      </c>
      <c r="O27" s="64">
        <v>0</v>
      </c>
      <c r="P27" s="64">
        <v>0.43</v>
      </c>
      <c r="Q27" s="64">
        <v>9.33</v>
      </c>
      <c r="R27" s="198"/>
      <c r="S27" s="198"/>
      <c r="T27" s="198"/>
      <c r="U27" s="198"/>
    </row>
    <row r="28" spans="1:21" s="12" customFormat="1" x14ac:dyDescent="0.25">
      <c r="A28" s="248" t="s">
        <v>1416</v>
      </c>
      <c r="B28" s="64">
        <v>9.08</v>
      </c>
      <c r="C28" s="64">
        <v>4.93</v>
      </c>
      <c r="D28" s="64">
        <v>13.64</v>
      </c>
      <c r="E28" s="64">
        <v>2.89</v>
      </c>
      <c r="F28" s="64">
        <v>4.54</v>
      </c>
      <c r="G28" s="64">
        <v>57</v>
      </c>
      <c r="H28" s="64">
        <v>39.93</v>
      </c>
      <c r="I28" s="64">
        <v>4.8899999999999997</v>
      </c>
      <c r="J28" s="64">
        <v>0.16</v>
      </c>
      <c r="K28" s="64">
        <v>348.26</v>
      </c>
      <c r="L28" s="64">
        <v>26.65</v>
      </c>
      <c r="M28" s="64">
        <v>102.6</v>
      </c>
      <c r="N28" s="64">
        <v>37.9</v>
      </c>
      <c r="O28" s="64">
        <v>0</v>
      </c>
      <c r="P28" s="64">
        <v>0.43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48" t="s">
        <v>1417</v>
      </c>
      <c r="B29" s="64">
        <v>9.07</v>
      </c>
      <c r="C29" s="64">
        <v>4.82</v>
      </c>
      <c r="D29" s="64">
        <v>13.57</v>
      </c>
      <c r="E29" s="64">
        <v>3.32</v>
      </c>
      <c r="F29" s="64">
        <v>3.23</v>
      </c>
      <c r="G29" s="64">
        <v>55.87</v>
      </c>
      <c r="H29" s="64">
        <v>46.02</v>
      </c>
      <c r="I29" s="64">
        <v>4.79</v>
      </c>
      <c r="J29" s="64">
        <v>0.18</v>
      </c>
      <c r="K29" s="64">
        <v>256.94</v>
      </c>
      <c r="L29" s="64">
        <v>26.55</v>
      </c>
      <c r="M29" s="64">
        <v>102.59</v>
      </c>
      <c r="N29" s="64">
        <v>38.1</v>
      </c>
      <c r="O29" s="64">
        <v>0</v>
      </c>
      <c r="P29" s="64">
        <v>0.42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48" t="s">
        <v>1418</v>
      </c>
      <c r="B30" s="64">
        <v>9.1</v>
      </c>
      <c r="C30" s="64">
        <v>4.7699999999999996</v>
      </c>
      <c r="D30" s="64">
        <v>13.56</v>
      </c>
      <c r="E30" s="64">
        <v>3.16</v>
      </c>
      <c r="F30" s="64">
        <v>3.57</v>
      </c>
      <c r="G30" s="64">
        <v>55.87</v>
      </c>
      <c r="H30" s="64">
        <v>46.02</v>
      </c>
      <c r="I30" s="64">
        <v>4.82</v>
      </c>
      <c r="J30" s="64">
        <v>0.14000000000000001</v>
      </c>
      <c r="K30" s="64">
        <v>142.69999999999999</v>
      </c>
      <c r="L30" s="64">
        <v>26.52</v>
      </c>
      <c r="M30" s="64">
        <v>102.62</v>
      </c>
      <c r="N30" s="64">
        <v>38</v>
      </c>
      <c r="O30" s="64">
        <v>0</v>
      </c>
      <c r="P30" s="64">
        <v>0.4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48" t="s">
        <v>1419</v>
      </c>
      <c r="B31" s="64">
        <v>9.02</v>
      </c>
      <c r="C31" s="64">
        <v>4.66</v>
      </c>
      <c r="D31" s="64">
        <v>13.44</v>
      </c>
      <c r="E31" s="64">
        <v>2.87</v>
      </c>
      <c r="F31" s="64">
        <v>3.42</v>
      </c>
      <c r="G31" s="64">
        <v>55.87</v>
      </c>
      <c r="H31" s="64">
        <v>46.02</v>
      </c>
      <c r="I31" s="64">
        <v>4.78</v>
      </c>
      <c r="J31" s="64">
        <v>0.08</v>
      </c>
      <c r="K31" s="64">
        <v>246.94</v>
      </c>
      <c r="L31" s="64">
        <v>26.44</v>
      </c>
      <c r="M31" s="64">
        <v>102.62</v>
      </c>
      <c r="N31" s="64">
        <v>39.6</v>
      </c>
      <c r="O31" s="64">
        <v>0</v>
      </c>
      <c r="P31" s="64">
        <v>0.4</v>
      </c>
      <c r="Q31" s="64">
        <v>9.32</v>
      </c>
      <c r="R31" s="198"/>
      <c r="S31" s="198"/>
      <c r="T31" s="198"/>
      <c r="U31" s="198"/>
    </row>
    <row r="32" spans="1:21" s="12" customFormat="1" x14ac:dyDescent="0.25">
      <c r="A32" s="248" t="s">
        <v>1420</v>
      </c>
      <c r="B32" s="64">
        <v>9.01</v>
      </c>
      <c r="C32" s="64">
        <v>4.6500000000000004</v>
      </c>
      <c r="D32" s="64">
        <v>13.44</v>
      </c>
      <c r="E32" s="64">
        <v>3.12</v>
      </c>
      <c r="F32" s="64">
        <v>3.34</v>
      </c>
      <c r="G32" s="64">
        <v>56.39</v>
      </c>
      <c r="H32" s="64">
        <v>39.369999999999997</v>
      </c>
      <c r="I32" s="64">
        <v>4.62</v>
      </c>
      <c r="J32" s="64">
        <v>0.1</v>
      </c>
      <c r="K32" s="64">
        <v>264.7</v>
      </c>
      <c r="L32" s="64">
        <v>26.46</v>
      </c>
      <c r="M32" s="64">
        <v>102.56</v>
      </c>
      <c r="N32" s="64">
        <v>49.2</v>
      </c>
      <c r="O32" s="64">
        <v>0</v>
      </c>
      <c r="P32" s="64">
        <v>0.39</v>
      </c>
      <c r="Q32" s="64">
        <v>9.35</v>
      </c>
      <c r="R32" s="198"/>
      <c r="S32" s="198"/>
      <c r="T32" s="198"/>
      <c r="U32" s="198"/>
    </row>
    <row r="33" spans="1:21" s="12" customFormat="1" x14ac:dyDescent="0.25">
      <c r="A33" s="248" t="s">
        <v>1421</v>
      </c>
      <c r="B33" s="64">
        <v>8.9700000000000006</v>
      </c>
      <c r="C33" s="64">
        <v>4.59</v>
      </c>
      <c r="D33" s="64">
        <v>13.36</v>
      </c>
      <c r="E33" s="64">
        <v>3.06</v>
      </c>
      <c r="F33" s="64">
        <v>3.51</v>
      </c>
      <c r="G33" s="64">
        <v>56.62</v>
      </c>
      <c r="H33" s="64">
        <v>36.520000000000003</v>
      </c>
      <c r="I33" s="64">
        <v>4.6900000000000004</v>
      </c>
      <c r="J33" s="64">
        <v>7.0000000000000007E-2</v>
      </c>
      <c r="K33" s="64">
        <v>292.14</v>
      </c>
      <c r="L33" s="64">
        <v>26.6</v>
      </c>
      <c r="M33" s="64">
        <v>102.56</v>
      </c>
      <c r="N33" s="64">
        <v>66</v>
      </c>
      <c r="O33" s="64">
        <v>0</v>
      </c>
      <c r="P33" s="64">
        <v>0.38</v>
      </c>
      <c r="Q33" s="64">
        <v>9.36</v>
      </c>
      <c r="R33" s="198"/>
      <c r="S33" s="198"/>
      <c r="T33" s="198"/>
      <c r="U33" s="198"/>
    </row>
    <row r="34" spans="1:21" s="12" customFormat="1" x14ac:dyDescent="0.25">
      <c r="A34" s="248" t="s">
        <v>1422</v>
      </c>
      <c r="B34" s="64">
        <v>8.86</v>
      </c>
      <c r="C34" s="64">
        <v>4.5</v>
      </c>
      <c r="D34" s="64">
        <v>13.23</v>
      </c>
      <c r="E34" s="64">
        <v>3.55</v>
      </c>
      <c r="F34" s="64">
        <v>3.42</v>
      </c>
      <c r="G34" s="64">
        <v>56.62</v>
      </c>
      <c r="H34" s="64">
        <v>36.520000000000003</v>
      </c>
      <c r="I34" s="64">
        <v>4.74</v>
      </c>
      <c r="J34" s="64">
        <v>0.06</v>
      </c>
      <c r="K34" s="64">
        <v>277.14</v>
      </c>
      <c r="L34" s="64">
        <v>26.8</v>
      </c>
      <c r="M34" s="64">
        <v>102.61</v>
      </c>
      <c r="N34" s="64">
        <v>82</v>
      </c>
      <c r="O34" s="64">
        <v>0</v>
      </c>
      <c r="P34" s="64">
        <v>0.39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48" t="s">
        <v>1423</v>
      </c>
      <c r="B35" s="64">
        <v>8.7100000000000009</v>
      </c>
      <c r="C35" s="64">
        <v>4.17</v>
      </c>
      <c r="D35" s="64">
        <v>12.94</v>
      </c>
      <c r="E35" s="64">
        <v>3.41</v>
      </c>
      <c r="F35" s="64">
        <v>3.24</v>
      </c>
      <c r="G35" s="64">
        <v>56.62</v>
      </c>
      <c r="H35" s="64">
        <v>36.520000000000003</v>
      </c>
      <c r="I35" s="64">
        <v>4.83</v>
      </c>
      <c r="J35" s="64">
        <v>0.09</v>
      </c>
      <c r="K35" s="64">
        <v>291.89</v>
      </c>
      <c r="L35" s="64">
        <v>27.22</v>
      </c>
      <c r="M35" s="64">
        <v>102.61</v>
      </c>
      <c r="N35" s="64">
        <v>110.4</v>
      </c>
      <c r="O35" s="64">
        <v>0</v>
      </c>
      <c r="P35" s="64">
        <v>0.38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48" t="s">
        <v>1424</v>
      </c>
      <c r="B36" s="64">
        <v>8.7100000000000009</v>
      </c>
      <c r="C36" s="64">
        <v>4.16</v>
      </c>
      <c r="D36" s="64">
        <v>12.93</v>
      </c>
      <c r="E36" s="64">
        <v>4.57</v>
      </c>
      <c r="F36" s="64">
        <v>3.05</v>
      </c>
      <c r="G36" s="64">
        <v>52.23</v>
      </c>
      <c r="H36" s="64">
        <v>55.82</v>
      </c>
      <c r="I36" s="64">
        <v>4.83</v>
      </c>
      <c r="J36" s="64">
        <v>0.18</v>
      </c>
      <c r="K36" s="64">
        <v>340.17</v>
      </c>
      <c r="L36" s="64">
        <v>27.74</v>
      </c>
      <c r="M36" s="64">
        <v>102.58</v>
      </c>
      <c r="N36" s="64">
        <v>163</v>
      </c>
      <c r="O36" s="64">
        <v>0</v>
      </c>
      <c r="P36" s="64">
        <v>0.38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48" t="s">
        <v>1425</v>
      </c>
      <c r="B37" s="64">
        <v>8.9</v>
      </c>
      <c r="C37" s="64">
        <v>4.6100000000000003</v>
      </c>
      <c r="D37" s="64">
        <v>13.32</v>
      </c>
      <c r="E37" s="64">
        <v>3.38</v>
      </c>
      <c r="F37" s="64">
        <v>3.96</v>
      </c>
      <c r="G37" s="64">
        <v>50.35</v>
      </c>
      <c r="H37" s="64">
        <v>63.66</v>
      </c>
      <c r="I37" s="64">
        <v>4.8</v>
      </c>
      <c r="J37" s="64">
        <v>0.25</v>
      </c>
      <c r="K37" s="64">
        <v>1.97</v>
      </c>
      <c r="L37" s="64">
        <v>28.76</v>
      </c>
      <c r="M37" s="64">
        <v>101.76</v>
      </c>
      <c r="N37" s="64">
        <v>259.89999999999998</v>
      </c>
      <c r="O37" s="64">
        <v>0</v>
      </c>
      <c r="P37" s="64">
        <v>0.4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48" t="s">
        <v>1426</v>
      </c>
      <c r="B38" s="64">
        <v>8.9600000000000009</v>
      </c>
      <c r="C38" s="64">
        <v>4.74</v>
      </c>
      <c r="D38" s="64">
        <v>13.44</v>
      </c>
      <c r="E38" s="64">
        <v>3.67</v>
      </c>
      <c r="F38" s="64">
        <v>2.88</v>
      </c>
      <c r="G38" s="64">
        <v>50.35</v>
      </c>
      <c r="H38" s="64">
        <v>63.66</v>
      </c>
      <c r="I38" s="64">
        <v>4.76</v>
      </c>
      <c r="J38" s="64">
        <v>0.2</v>
      </c>
      <c r="K38" s="64">
        <v>0.65</v>
      </c>
      <c r="L38" s="64">
        <v>29.58</v>
      </c>
      <c r="M38" s="64">
        <v>98.64</v>
      </c>
      <c r="N38" s="64">
        <v>297.8</v>
      </c>
      <c r="O38" s="64">
        <v>0</v>
      </c>
      <c r="P38" s="64">
        <v>0.38</v>
      </c>
      <c r="Q38" s="64">
        <v>9.3800000000000008</v>
      </c>
      <c r="R38" s="198"/>
      <c r="S38" s="198"/>
      <c r="T38" s="198"/>
      <c r="U38" s="198"/>
    </row>
    <row r="39" spans="1:21" s="12" customFormat="1" x14ac:dyDescent="0.25">
      <c r="A39" s="248" t="s">
        <v>1427</v>
      </c>
      <c r="B39" s="64">
        <v>8.64</v>
      </c>
      <c r="C39" s="64">
        <v>4.24</v>
      </c>
      <c r="D39" s="64">
        <v>12.92</v>
      </c>
      <c r="E39" s="64">
        <v>3.97</v>
      </c>
      <c r="F39" s="64">
        <v>4.3099999999999996</v>
      </c>
      <c r="G39" s="64">
        <v>50.35</v>
      </c>
      <c r="H39" s="64">
        <v>63.66</v>
      </c>
      <c r="I39" s="64">
        <v>4.6500000000000004</v>
      </c>
      <c r="J39" s="64">
        <v>0.26</v>
      </c>
      <c r="K39" s="64">
        <v>7.21</v>
      </c>
      <c r="L39" s="64">
        <v>29.83</v>
      </c>
      <c r="M39" s="64">
        <v>96.76</v>
      </c>
      <c r="N39" s="64">
        <v>388.1</v>
      </c>
      <c r="O39" s="64">
        <v>0</v>
      </c>
      <c r="P39" s="64">
        <v>0.39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48" t="s">
        <v>1428</v>
      </c>
      <c r="B40" s="64">
        <v>8.7899999999999991</v>
      </c>
      <c r="C40" s="64">
        <v>4.66</v>
      </c>
      <c r="D40" s="64">
        <v>13.26</v>
      </c>
      <c r="E40" s="64">
        <v>3.64</v>
      </c>
      <c r="F40" s="64">
        <v>3.08</v>
      </c>
      <c r="G40" s="64">
        <v>57.56</v>
      </c>
      <c r="H40" s="64">
        <v>26.08</v>
      </c>
      <c r="I40" s="64">
        <v>4.42</v>
      </c>
      <c r="J40" s="64">
        <v>0.28999999999999998</v>
      </c>
      <c r="K40" s="64">
        <v>350.77</v>
      </c>
      <c r="L40" s="64">
        <v>30.46</v>
      </c>
      <c r="M40" s="64">
        <v>93.06</v>
      </c>
      <c r="N40" s="64">
        <v>441.3</v>
      </c>
      <c r="O40" s="64">
        <v>0</v>
      </c>
      <c r="P40" s="64">
        <v>0.39</v>
      </c>
      <c r="Q40" s="64">
        <v>9.35</v>
      </c>
      <c r="R40" s="198"/>
      <c r="S40" s="198"/>
      <c r="T40" s="198"/>
      <c r="U40" s="198"/>
    </row>
    <row r="41" spans="1:21" s="12" customFormat="1" x14ac:dyDescent="0.25">
      <c r="A41" s="248" t="s">
        <v>1429</v>
      </c>
      <c r="B41" s="64">
        <v>8.86</v>
      </c>
      <c r="C41" s="64">
        <v>4.93</v>
      </c>
      <c r="D41" s="64">
        <v>13.45</v>
      </c>
      <c r="E41" s="64">
        <v>3.82</v>
      </c>
      <c r="F41" s="64">
        <v>2.77</v>
      </c>
      <c r="G41" s="64">
        <v>60.65</v>
      </c>
      <c r="H41" s="64">
        <v>10.82</v>
      </c>
      <c r="I41" s="64">
        <v>4.18</v>
      </c>
      <c r="J41" s="64">
        <v>0.28999999999999998</v>
      </c>
      <c r="K41" s="64">
        <v>356.14</v>
      </c>
      <c r="L41" s="64">
        <v>30.27</v>
      </c>
      <c r="M41" s="64">
        <v>94.39</v>
      </c>
      <c r="N41" s="64">
        <v>505</v>
      </c>
      <c r="O41" s="64">
        <v>0</v>
      </c>
      <c r="P41" s="64">
        <v>0.39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48" t="s">
        <v>1430</v>
      </c>
      <c r="B42" s="64">
        <v>8.39</v>
      </c>
      <c r="C42" s="64">
        <v>3.95</v>
      </c>
      <c r="D42" s="64">
        <v>12.56</v>
      </c>
      <c r="E42" s="64">
        <v>3.74</v>
      </c>
      <c r="F42" s="64">
        <v>4.3899999999999997</v>
      </c>
      <c r="G42" s="64">
        <v>60.65</v>
      </c>
      <c r="H42" s="64">
        <v>10.82</v>
      </c>
      <c r="I42" s="64">
        <v>3.89</v>
      </c>
      <c r="J42" s="64">
        <v>0.32</v>
      </c>
      <c r="K42" s="64">
        <v>5.69</v>
      </c>
      <c r="L42" s="64">
        <v>31.13</v>
      </c>
      <c r="M42" s="64">
        <v>90.12</v>
      </c>
      <c r="N42" s="64">
        <v>548.70000000000005</v>
      </c>
      <c r="O42" s="64">
        <v>0</v>
      </c>
      <c r="P42" s="64">
        <v>0.41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48" t="s">
        <v>1431</v>
      </c>
      <c r="B43" s="64">
        <v>8.19</v>
      </c>
      <c r="C43" s="64">
        <v>3.58</v>
      </c>
      <c r="D43" s="64">
        <v>12.21</v>
      </c>
      <c r="E43" s="64">
        <v>4.05</v>
      </c>
      <c r="F43" s="64">
        <v>3.46</v>
      </c>
      <c r="G43" s="64">
        <v>60.65</v>
      </c>
      <c r="H43" s="64">
        <v>10.82</v>
      </c>
      <c r="I43" s="64">
        <v>3.59</v>
      </c>
      <c r="J43" s="64">
        <v>0.31</v>
      </c>
      <c r="K43" s="64">
        <v>358.61</v>
      </c>
      <c r="L43" s="64">
        <v>32.24</v>
      </c>
      <c r="M43" s="64">
        <v>83.82</v>
      </c>
      <c r="N43" s="64">
        <v>610</v>
      </c>
      <c r="O43" s="64">
        <v>0</v>
      </c>
      <c r="P43" s="64">
        <v>0.48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48" t="s">
        <v>1432</v>
      </c>
      <c r="B44" s="64">
        <v>8.43</v>
      </c>
      <c r="C44" s="64">
        <v>4.2300000000000004</v>
      </c>
      <c r="D44" s="64">
        <v>12.75</v>
      </c>
      <c r="E44" s="64">
        <v>3.6</v>
      </c>
      <c r="F44" s="64">
        <v>2.52</v>
      </c>
      <c r="G44" s="64">
        <v>66.53</v>
      </c>
      <c r="H44" s="64">
        <v>24.39</v>
      </c>
      <c r="I44" s="64">
        <v>3.52</v>
      </c>
      <c r="J44" s="64">
        <v>0.33</v>
      </c>
      <c r="K44" s="64">
        <v>4</v>
      </c>
      <c r="L44" s="64">
        <v>32.67</v>
      </c>
      <c r="M44" s="64">
        <v>81.430000000000007</v>
      </c>
      <c r="N44" s="64">
        <v>657.6</v>
      </c>
      <c r="O44" s="64">
        <v>0</v>
      </c>
      <c r="P44" s="64">
        <v>0.52</v>
      </c>
      <c r="Q44" s="64">
        <v>9.2899999999999991</v>
      </c>
      <c r="R44" s="198"/>
      <c r="S44" s="198"/>
      <c r="T44" s="198"/>
      <c r="U44" s="198"/>
    </row>
    <row r="45" spans="1:21" s="12" customFormat="1" x14ac:dyDescent="0.25">
      <c r="A45" s="248" t="s">
        <v>1433</v>
      </c>
      <c r="B45" s="64">
        <v>8.1</v>
      </c>
      <c r="C45" s="64">
        <v>3.37</v>
      </c>
      <c r="D45" s="64">
        <v>12.03</v>
      </c>
      <c r="E45" s="64">
        <v>3.4</v>
      </c>
      <c r="F45" s="64">
        <v>3.83</v>
      </c>
      <c r="G45" s="64">
        <v>69.06</v>
      </c>
      <c r="H45" s="64">
        <v>29.9</v>
      </c>
      <c r="I45" s="64">
        <v>3.52</v>
      </c>
      <c r="J45" s="64">
        <v>0.35</v>
      </c>
      <c r="K45" s="64">
        <v>343.4</v>
      </c>
      <c r="L45" s="64">
        <v>32.83</v>
      </c>
      <c r="M45" s="64">
        <v>79.53</v>
      </c>
      <c r="N45" s="64">
        <v>694.6</v>
      </c>
      <c r="O45" s="64">
        <v>0</v>
      </c>
      <c r="P45" s="64">
        <v>0.55000000000000004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48" t="s">
        <v>1434</v>
      </c>
      <c r="B46" s="64">
        <v>8.39</v>
      </c>
      <c r="C46" s="64">
        <v>4.17</v>
      </c>
      <c r="D46" s="64">
        <v>12.68</v>
      </c>
      <c r="E46" s="64">
        <v>3.35</v>
      </c>
      <c r="F46" s="64">
        <v>4.04</v>
      </c>
      <c r="G46" s="64">
        <v>69.06</v>
      </c>
      <c r="H46" s="64">
        <v>29.9</v>
      </c>
      <c r="I46" s="64">
        <v>3.75</v>
      </c>
      <c r="J46" s="64">
        <v>0.33</v>
      </c>
      <c r="K46" s="64">
        <v>332.53</v>
      </c>
      <c r="L46" s="64">
        <v>34.57</v>
      </c>
      <c r="M46" s="64">
        <v>73.83</v>
      </c>
      <c r="N46" s="64">
        <v>602.79999999999995</v>
      </c>
      <c r="O46" s="64">
        <v>0</v>
      </c>
      <c r="P46" s="64">
        <v>0.57999999999999996</v>
      </c>
      <c r="Q46" s="64">
        <v>9.32</v>
      </c>
      <c r="R46" s="198"/>
      <c r="S46" s="198"/>
      <c r="T46" s="198"/>
      <c r="U46" s="198"/>
    </row>
    <row r="47" spans="1:21" s="12" customFormat="1" x14ac:dyDescent="0.25">
      <c r="A47" s="248" t="s">
        <v>1435</v>
      </c>
      <c r="B47" s="64">
        <v>8.1300000000000008</v>
      </c>
      <c r="C47" s="64">
        <v>3.48</v>
      </c>
      <c r="D47" s="64">
        <v>12.11</v>
      </c>
      <c r="E47" s="64">
        <v>3.9</v>
      </c>
      <c r="F47" s="64">
        <v>2.77</v>
      </c>
      <c r="G47" s="64">
        <v>69.06</v>
      </c>
      <c r="H47" s="64">
        <v>29.9</v>
      </c>
      <c r="I47" s="64">
        <v>3.79</v>
      </c>
      <c r="J47" s="64">
        <v>0.26</v>
      </c>
      <c r="K47" s="64">
        <v>334.96</v>
      </c>
      <c r="L47" s="64">
        <v>33.520000000000003</v>
      </c>
      <c r="M47" s="64">
        <v>78.22</v>
      </c>
      <c r="N47" s="64">
        <v>699.5</v>
      </c>
      <c r="O47" s="64">
        <v>0</v>
      </c>
      <c r="P47" s="64">
        <v>0.6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48" t="s">
        <v>1436</v>
      </c>
      <c r="B48" s="64">
        <v>8.2899999999999991</v>
      </c>
      <c r="C48" s="64">
        <v>3.86</v>
      </c>
      <c r="D48" s="64">
        <v>12.44</v>
      </c>
      <c r="E48" s="64">
        <v>3.65</v>
      </c>
      <c r="F48" s="64">
        <v>3.57</v>
      </c>
      <c r="G48" s="64">
        <v>79.180000000000007</v>
      </c>
      <c r="H48" s="64">
        <v>33.86</v>
      </c>
      <c r="I48" s="64">
        <v>3.8</v>
      </c>
      <c r="J48" s="64">
        <v>0.27</v>
      </c>
      <c r="K48" s="64">
        <v>326.83</v>
      </c>
      <c r="L48" s="64">
        <v>31.3</v>
      </c>
      <c r="M48" s="64">
        <v>87.15</v>
      </c>
      <c r="N48" s="64">
        <v>227.4</v>
      </c>
      <c r="O48" s="64">
        <v>0</v>
      </c>
      <c r="P48" s="64">
        <v>0.63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48" t="s">
        <v>1437</v>
      </c>
      <c r="B49" s="64">
        <v>8.14</v>
      </c>
      <c r="C49" s="64">
        <v>3.45</v>
      </c>
      <c r="D49" s="64">
        <v>12.11</v>
      </c>
      <c r="E49" s="64">
        <v>3.92</v>
      </c>
      <c r="F49" s="64">
        <v>3.72</v>
      </c>
      <c r="G49" s="64">
        <v>83.51</v>
      </c>
      <c r="H49" s="64">
        <v>35.47</v>
      </c>
      <c r="I49" s="64">
        <v>3.78</v>
      </c>
      <c r="J49" s="64">
        <v>0.35</v>
      </c>
      <c r="K49" s="64">
        <v>314.60000000000002</v>
      </c>
      <c r="L49" s="64">
        <v>31.89</v>
      </c>
      <c r="M49" s="64">
        <v>83.12</v>
      </c>
      <c r="N49" s="64">
        <v>224.7</v>
      </c>
      <c r="O49" s="64">
        <v>0</v>
      </c>
      <c r="P49" s="64">
        <v>0.66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48" t="s">
        <v>1438</v>
      </c>
      <c r="B50" s="64">
        <v>8.01</v>
      </c>
      <c r="C50" s="64">
        <v>3.06</v>
      </c>
      <c r="D50" s="64">
        <v>11.8</v>
      </c>
      <c r="E50" s="64">
        <v>3.45</v>
      </c>
      <c r="F50" s="64">
        <v>3.64</v>
      </c>
      <c r="G50" s="64">
        <v>83.51</v>
      </c>
      <c r="H50" s="64">
        <v>35.47</v>
      </c>
      <c r="I50" s="64">
        <v>3.86</v>
      </c>
      <c r="J50" s="64">
        <v>0.32</v>
      </c>
      <c r="K50" s="64">
        <v>306</v>
      </c>
      <c r="L50" s="64">
        <v>32.43</v>
      </c>
      <c r="M50" s="64">
        <v>81.59</v>
      </c>
      <c r="N50" s="64">
        <v>508.9</v>
      </c>
      <c r="O50" s="64">
        <v>0</v>
      </c>
      <c r="P50" s="64">
        <v>0.68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48" t="s">
        <v>1439</v>
      </c>
      <c r="B51" s="64">
        <v>7.97</v>
      </c>
      <c r="C51" s="64">
        <v>2.98</v>
      </c>
      <c r="D51" s="64">
        <v>11.73</v>
      </c>
      <c r="E51" s="64">
        <v>3.89</v>
      </c>
      <c r="F51" s="64">
        <v>3.8</v>
      </c>
      <c r="G51" s="64">
        <v>83.51</v>
      </c>
      <c r="H51" s="64">
        <v>35.47</v>
      </c>
      <c r="I51" s="64">
        <v>3.69</v>
      </c>
      <c r="J51" s="64">
        <v>0.26</v>
      </c>
      <c r="K51" s="64">
        <v>332.98</v>
      </c>
      <c r="L51" s="64">
        <v>32.93</v>
      </c>
      <c r="M51" s="64">
        <v>78.3</v>
      </c>
      <c r="N51" s="64">
        <v>734.4</v>
      </c>
      <c r="O51" s="64">
        <v>0</v>
      </c>
      <c r="P51" s="64">
        <v>0.69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48" t="s">
        <v>1440</v>
      </c>
      <c r="B52" s="64">
        <v>7.96</v>
      </c>
      <c r="C52" s="64">
        <v>3</v>
      </c>
      <c r="D52" s="64">
        <v>11.73</v>
      </c>
      <c r="E52" s="64">
        <v>4.71</v>
      </c>
      <c r="F52" s="64">
        <v>5.9</v>
      </c>
      <c r="G52" s="64">
        <v>87.23</v>
      </c>
      <c r="H52" s="64">
        <v>56.64</v>
      </c>
      <c r="I52" s="64">
        <v>3.88</v>
      </c>
      <c r="J52" s="64">
        <v>0.4</v>
      </c>
      <c r="K52" s="64">
        <v>317.07</v>
      </c>
      <c r="L52" s="64">
        <v>34.64</v>
      </c>
      <c r="M52" s="64">
        <v>71.010000000000005</v>
      </c>
      <c r="N52" s="64">
        <v>650.5</v>
      </c>
      <c r="O52" s="64">
        <v>0</v>
      </c>
      <c r="P52" s="64">
        <v>0.67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48" t="s">
        <v>1441</v>
      </c>
      <c r="B53" s="64">
        <v>7.97</v>
      </c>
      <c r="C53" s="64">
        <v>3.04</v>
      </c>
      <c r="D53" s="64">
        <v>11.75</v>
      </c>
      <c r="E53" s="64">
        <v>4.6399999999999997</v>
      </c>
      <c r="F53" s="64">
        <v>5.24</v>
      </c>
      <c r="G53" s="64">
        <v>88.83</v>
      </c>
      <c r="H53" s="64">
        <v>65.239999999999995</v>
      </c>
      <c r="I53" s="64">
        <v>3.65</v>
      </c>
      <c r="J53" s="64">
        <v>0.25</v>
      </c>
      <c r="K53" s="64">
        <v>336.3</v>
      </c>
      <c r="L53" s="64">
        <v>34.32</v>
      </c>
      <c r="M53" s="64">
        <v>69.69</v>
      </c>
      <c r="N53" s="64">
        <v>908.1</v>
      </c>
      <c r="O53" s="64">
        <v>0</v>
      </c>
      <c r="P53" s="64">
        <v>0.66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48" t="s">
        <v>1442</v>
      </c>
      <c r="B54" s="64">
        <v>7.97</v>
      </c>
      <c r="C54" s="64">
        <v>3.05</v>
      </c>
      <c r="D54" s="64">
        <v>11.76</v>
      </c>
      <c r="E54" s="64">
        <v>4.68</v>
      </c>
      <c r="F54" s="64">
        <v>4.6900000000000004</v>
      </c>
      <c r="G54" s="64">
        <v>88.83</v>
      </c>
      <c r="H54" s="64">
        <v>65.239999999999995</v>
      </c>
      <c r="I54" s="64">
        <v>3.36</v>
      </c>
      <c r="J54" s="64">
        <v>0.28000000000000003</v>
      </c>
      <c r="K54" s="64">
        <v>333.82</v>
      </c>
      <c r="L54" s="64">
        <v>33.880000000000003</v>
      </c>
      <c r="M54" s="64">
        <v>70.709999999999994</v>
      </c>
      <c r="N54" s="64">
        <v>875.7</v>
      </c>
      <c r="O54" s="64">
        <v>0</v>
      </c>
      <c r="P54" s="64">
        <v>0.67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48" t="s">
        <v>1443</v>
      </c>
      <c r="B55" s="64">
        <v>7.93</v>
      </c>
      <c r="C55" s="64">
        <v>3.01</v>
      </c>
      <c r="D55" s="64">
        <v>11.7</v>
      </c>
      <c r="E55" s="64">
        <v>4.67</v>
      </c>
      <c r="F55" s="64">
        <v>5.12</v>
      </c>
      <c r="G55" s="64">
        <v>88.83</v>
      </c>
      <c r="H55" s="64">
        <v>65.239999999999995</v>
      </c>
      <c r="I55" s="64">
        <v>3.2</v>
      </c>
      <c r="J55" s="64">
        <v>0.33</v>
      </c>
      <c r="K55" s="64">
        <v>349.94</v>
      </c>
      <c r="L55" s="64">
        <v>34.909999999999997</v>
      </c>
      <c r="M55" s="64">
        <v>66.94</v>
      </c>
      <c r="N55" s="64">
        <v>937.7</v>
      </c>
      <c r="O55" s="64">
        <v>0</v>
      </c>
      <c r="P55" s="64">
        <v>0.68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48" t="s">
        <v>1444</v>
      </c>
      <c r="B56" s="64">
        <v>7.92</v>
      </c>
      <c r="C56" s="64">
        <v>3.02</v>
      </c>
      <c r="D56" s="64">
        <v>11.7</v>
      </c>
      <c r="E56" s="64">
        <v>4.91</v>
      </c>
      <c r="F56" s="64">
        <v>4.0599999999999996</v>
      </c>
      <c r="G56" s="64">
        <v>80.94</v>
      </c>
      <c r="H56" s="64">
        <v>30.36</v>
      </c>
      <c r="I56" s="64">
        <v>3.37</v>
      </c>
      <c r="J56" s="64">
        <v>0.21</v>
      </c>
      <c r="K56" s="64">
        <v>342.83</v>
      </c>
      <c r="L56" s="64">
        <v>34.28</v>
      </c>
      <c r="M56" s="64">
        <v>67.02</v>
      </c>
      <c r="N56" s="64">
        <v>1018.8</v>
      </c>
      <c r="O56" s="64">
        <v>0</v>
      </c>
      <c r="P56" s="64">
        <v>0.66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48" t="s">
        <v>1445</v>
      </c>
      <c r="B57" s="64">
        <v>7.91</v>
      </c>
      <c r="C57" s="64">
        <v>3</v>
      </c>
      <c r="D57" s="64">
        <v>11.69</v>
      </c>
      <c r="E57" s="64">
        <v>4.57</v>
      </c>
      <c r="F57" s="64">
        <v>4.75</v>
      </c>
      <c r="G57" s="64">
        <v>77.569999999999993</v>
      </c>
      <c r="H57" s="64">
        <v>16.190000000000001</v>
      </c>
      <c r="I57" s="64">
        <v>3.43</v>
      </c>
      <c r="J57" s="64">
        <v>0.19</v>
      </c>
      <c r="K57" s="64">
        <v>331.61</v>
      </c>
      <c r="L57" s="64">
        <v>33.81</v>
      </c>
      <c r="M57" s="64">
        <v>69.11</v>
      </c>
      <c r="N57" s="64">
        <v>825.2</v>
      </c>
      <c r="O57" s="64">
        <v>0</v>
      </c>
      <c r="P57" s="64">
        <v>0.6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48" t="s">
        <v>1446</v>
      </c>
      <c r="B58" s="64">
        <v>7.92</v>
      </c>
      <c r="C58" s="64">
        <v>3.06</v>
      </c>
      <c r="D58" s="64">
        <v>11.72</v>
      </c>
      <c r="E58" s="64">
        <v>4.37</v>
      </c>
      <c r="F58" s="64">
        <v>5.52</v>
      </c>
      <c r="G58" s="64">
        <v>77.569999999999993</v>
      </c>
      <c r="H58" s="64">
        <v>16.190000000000001</v>
      </c>
      <c r="I58" s="64">
        <v>3.25</v>
      </c>
      <c r="J58" s="64">
        <v>0.2</v>
      </c>
      <c r="K58" s="64">
        <v>338.6</v>
      </c>
      <c r="L58" s="64">
        <v>34.21</v>
      </c>
      <c r="M58" s="64">
        <v>67.97</v>
      </c>
      <c r="N58" s="64">
        <v>616.79999999999995</v>
      </c>
      <c r="O58" s="64">
        <v>0</v>
      </c>
      <c r="P58" s="64">
        <v>0.61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48" t="s">
        <v>1447</v>
      </c>
      <c r="B59" s="64">
        <v>7.93</v>
      </c>
      <c r="C59" s="64">
        <v>3.14</v>
      </c>
      <c r="D59" s="64">
        <v>11.78</v>
      </c>
      <c r="E59" s="64">
        <v>4.08</v>
      </c>
      <c r="F59" s="64">
        <v>4.6100000000000003</v>
      </c>
      <c r="G59" s="64">
        <v>77.569999999999993</v>
      </c>
      <c r="H59" s="64">
        <v>16.190000000000001</v>
      </c>
      <c r="I59" s="64">
        <v>3.08</v>
      </c>
      <c r="J59" s="64">
        <v>0.28000000000000003</v>
      </c>
      <c r="K59" s="64">
        <v>335.04</v>
      </c>
      <c r="L59" s="64">
        <v>33.15</v>
      </c>
      <c r="M59" s="64">
        <v>70.77</v>
      </c>
      <c r="N59" s="64">
        <v>834.2</v>
      </c>
      <c r="O59" s="64">
        <v>0</v>
      </c>
      <c r="P59" s="64">
        <v>0.59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48" t="s">
        <v>1448</v>
      </c>
      <c r="B60" s="64">
        <v>7.92</v>
      </c>
      <c r="C60" s="64">
        <v>3.05</v>
      </c>
      <c r="D60" s="64">
        <v>11.72</v>
      </c>
      <c r="E60" s="64">
        <v>4.3099999999999996</v>
      </c>
      <c r="F60" s="64">
        <v>4.9800000000000004</v>
      </c>
      <c r="G60" s="64">
        <v>90.15</v>
      </c>
      <c r="H60" s="64">
        <v>27.23</v>
      </c>
      <c r="I60" s="64">
        <v>2.99</v>
      </c>
      <c r="J60" s="64">
        <v>0.27</v>
      </c>
      <c r="K60" s="64">
        <v>327.45999999999998</v>
      </c>
      <c r="L60" s="64">
        <v>34.020000000000003</v>
      </c>
      <c r="M60" s="64">
        <v>68.06</v>
      </c>
      <c r="N60" s="64">
        <v>740.2</v>
      </c>
      <c r="O60" s="64">
        <v>0</v>
      </c>
      <c r="P60" s="64">
        <v>0.56000000000000005</v>
      </c>
      <c r="Q60" s="64">
        <v>9.2200000000000006</v>
      </c>
      <c r="R60" s="198"/>
      <c r="S60" s="198"/>
      <c r="T60" s="198"/>
      <c r="U60" s="198"/>
    </row>
    <row r="61" spans="1:21" s="12" customFormat="1" x14ac:dyDescent="0.25">
      <c r="A61" s="248" t="s">
        <v>1449</v>
      </c>
      <c r="B61" s="64">
        <v>7.96</v>
      </c>
      <c r="C61" s="64">
        <v>3.26</v>
      </c>
      <c r="D61" s="64">
        <v>11.86</v>
      </c>
      <c r="E61" s="64">
        <v>4.3499999999999996</v>
      </c>
      <c r="F61" s="64">
        <v>8.3800000000000008</v>
      </c>
      <c r="G61" s="64">
        <v>95.54</v>
      </c>
      <c r="H61" s="64">
        <v>31.71</v>
      </c>
      <c r="I61" s="64">
        <v>2.8</v>
      </c>
      <c r="J61" s="64">
        <v>0.23</v>
      </c>
      <c r="K61" s="64">
        <v>331.5</v>
      </c>
      <c r="L61" s="64">
        <v>34.07</v>
      </c>
      <c r="M61" s="64">
        <v>66.819999999999993</v>
      </c>
      <c r="N61" s="64">
        <v>834.2</v>
      </c>
      <c r="O61" s="64">
        <v>0</v>
      </c>
      <c r="P61" s="64">
        <v>0.49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48" t="s">
        <v>1450</v>
      </c>
      <c r="B62" s="64">
        <v>7.95</v>
      </c>
      <c r="C62" s="64">
        <v>3.16</v>
      </c>
      <c r="D62" s="64">
        <v>11.8</v>
      </c>
      <c r="E62" s="64">
        <v>5.0199999999999996</v>
      </c>
      <c r="F62" s="64">
        <v>7.34</v>
      </c>
      <c r="G62" s="64">
        <v>95.54</v>
      </c>
      <c r="H62" s="64">
        <v>31.71</v>
      </c>
      <c r="I62" s="64">
        <v>2.6</v>
      </c>
      <c r="J62" s="64">
        <v>0.31</v>
      </c>
      <c r="K62" s="64">
        <v>335.12</v>
      </c>
      <c r="L62" s="64">
        <v>34.22</v>
      </c>
      <c r="M62" s="64">
        <v>65.459999999999994</v>
      </c>
      <c r="N62" s="64">
        <v>806.3</v>
      </c>
      <c r="O62" s="64">
        <v>0</v>
      </c>
      <c r="P62" s="64">
        <v>0.45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48" t="s">
        <v>1451</v>
      </c>
      <c r="B63" s="64">
        <v>7.9</v>
      </c>
      <c r="C63" s="64">
        <v>3.01</v>
      </c>
      <c r="D63" s="64">
        <v>11.69</v>
      </c>
      <c r="E63" s="64">
        <v>4.93</v>
      </c>
      <c r="F63" s="64">
        <v>9.69</v>
      </c>
      <c r="G63" s="64">
        <v>95.54</v>
      </c>
      <c r="H63" s="64">
        <v>31.71</v>
      </c>
      <c r="I63" s="64">
        <v>2.11</v>
      </c>
      <c r="J63" s="64">
        <v>0.13</v>
      </c>
      <c r="K63" s="64">
        <v>341.13</v>
      </c>
      <c r="L63" s="64">
        <v>33.97</v>
      </c>
      <c r="M63" s="64">
        <v>66.16</v>
      </c>
      <c r="N63" s="64">
        <v>815.3</v>
      </c>
      <c r="O63" s="64">
        <v>0</v>
      </c>
      <c r="P63" s="64">
        <v>0.39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48" t="s">
        <v>1452</v>
      </c>
      <c r="B64" s="64">
        <v>7.91</v>
      </c>
      <c r="C64" s="64">
        <v>3</v>
      </c>
      <c r="D64" s="64">
        <v>11.69</v>
      </c>
      <c r="E64" s="64">
        <v>4.43</v>
      </c>
      <c r="F64" s="64">
        <v>7.96</v>
      </c>
      <c r="G64" s="64">
        <v>69.28</v>
      </c>
      <c r="H64" s="64">
        <v>42.19</v>
      </c>
      <c r="I64" s="64">
        <v>1.9</v>
      </c>
      <c r="J64" s="64">
        <v>0.09</v>
      </c>
      <c r="K64" s="64">
        <v>314.92</v>
      </c>
      <c r="L64" s="64">
        <v>33.06</v>
      </c>
      <c r="M64" s="64">
        <v>69.87</v>
      </c>
      <c r="N64" s="64">
        <v>612.5</v>
      </c>
      <c r="O64" s="64">
        <v>0</v>
      </c>
      <c r="P64" s="64">
        <v>0.37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48" t="s">
        <v>1453</v>
      </c>
      <c r="B65" s="64">
        <v>7.92</v>
      </c>
      <c r="C65" s="64">
        <v>2.97</v>
      </c>
      <c r="D65" s="64">
        <v>11.68</v>
      </c>
      <c r="E65" s="64">
        <v>4.1399999999999997</v>
      </c>
      <c r="F65" s="64">
        <v>7.31</v>
      </c>
      <c r="G65" s="64">
        <v>58.62</v>
      </c>
      <c r="H65" s="64">
        <v>46.45</v>
      </c>
      <c r="I65" s="64">
        <v>1.5</v>
      </c>
      <c r="J65" s="64">
        <v>0.03</v>
      </c>
      <c r="K65" s="64">
        <v>272.27</v>
      </c>
      <c r="L65" s="64">
        <v>33.17</v>
      </c>
      <c r="M65" s="64">
        <v>68.72</v>
      </c>
      <c r="N65" s="64">
        <v>307</v>
      </c>
      <c r="O65" s="64">
        <v>0</v>
      </c>
      <c r="P65" s="64">
        <v>0.34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48" t="s">
        <v>1454</v>
      </c>
      <c r="B66" s="64">
        <v>7.95</v>
      </c>
      <c r="C66" s="64">
        <v>2.99</v>
      </c>
      <c r="D66" s="64">
        <v>11.71</v>
      </c>
      <c r="E66" s="64">
        <v>3.9</v>
      </c>
      <c r="F66" s="64">
        <v>6.27</v>
      </c>
      <c r="G66" s="64">
        <v>58.62</v>
      </c>
      <c r="H66" s="64">
        <v>46.45</v>
      </c>
      <c r="I66" s="64">
        <v>1.42</v>
      </c>
      <c r="J66" s="64">
        <v>0.15</v>
      </c>
      <c r="K66" s="64">
        <v>313.39999999999998</v>
      </c>
      <c r="L66" s="64">
        <v>33.229999999999997</v>
      </c>
      <c r="M66" s="64">
        <v>68.180000000000007</v>
      </c>
      <c r="N66" s="64">
        <v>233.7</v>
      </c>
      <c r="O66" s="64">
        <v>0</v>
      </c>
      <c r="P66" s="64">
        <v>0.33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48" t="s">
        <v>1455</v>
      </c>
      <c r="B67" s="64">
        <v>7.96</v>
      </c>
      <c r="C67" s="64">
        <v>3.06</v>
      </c>
      <c r="D67" s="64">
        <v>11.76</v>
      </c>
      <c r="E67" s="64">
        <v>4.3</v>
      </c>
      <c r="F67" s="64">
        <v>5.91</v>
      </c>
      <c r="G67" s="64">
        <v>58.62</v>
      </c>
      <c r="H67" s="64">
        <v>46.45</v>
      </c>
      <c r="I67" s="64">
        <v>1.43</v>
      </c>
      <c r="J67" s="64">
        <v>0.11</v>
      </c>
      <c r="K67" s="64">
        <v>344.97</v>
      </c>
      <c r="L67" s="64">
        <v>33.22</v>
      </c>
      <c r="M67" s="64">
        <v>68.48</v>
      </c>
      <c r="N67" s="64">
        <v>213.5</v>
      </c>
      <c r="O67" s="64">
        <v>0</v>
      </c>
      <c r="P67" s="64">
        <v>0.32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48" t="s">
        <v>1456</v>
      </c>
      <c r="B68" s="64">
        <v>7.97</v>
      </c>
      <c r="C68" s="64">
        <v>3.01</v>
      </c>
      <c r="D68" s="64">
        <v>11.74</v>
      </c>
      <c r="E68" s="64">
        <v>5.53</v>
      </c>
      <c r="F68" s="64">
        <v>5.34</v>
      </c>
      <c r="G68" s="64">
        <v>45.31</v>
      </c>
      <c r="H68" s="64">
        <v>26.2</v>
      </c>
      <c r="I68" s="64">
        <v>1.46</v>
      </c>
      <c r="J68" s="64">
        <v>0.24</v>
      </c>
      <c r="K68" s="64">
        <v>350</v>
      </c>
      <c r="L68" s="64">
        <v>33.47</v>
      </c>
      <c r="M68" s="64">
        <v>67.87</v>
      </c>
      <c r="N68" s="64">
        <v>199.9</v>
      </c>
      <c r="O68" s="64">
        <v>0</v>
      </c>
      <c r="P68" s="64">
        <v>0.32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48" t="s">
        <v>1457</v>
      </c>
      <c r="B69" s="64">
        <v>7.97</v>
      </c>
      <c r="C69" s="64">
        <v>3.07</v>
      </c>
      <c r="D69" s="64">
        <v>11.77</v>
      </c>
      <c r="E69" s="64">
        <v>5.08</v>
      </c>
      <c r="F69" s="64">
        <v>6.89</v>
      </c>
      <c r="G69" s="64">
        <v>39.9</v>
      </c>
      <c r="H69" s="64">
        <v>17.97</v>
      </c>
      <c r="I69" s="64">
        <v>1.61</v>
      </c>
      <c r="J69" s="64">
        <v>0.15</v>
      </c>
      <c r="K69" s="64">
        <v>327.24</v>
      </c>
      <c r="L69" s="64">
        <v>33.130000000000003</v>
      </c>
      <c r="M69" s="64">
        <v>67.53</v>
      </c>
      <c r="N69" s="64">
        <v>180.6</v>
      </c>
      <c r="O69" s="64">
        <v>0</v>
      </c>
      <c r="P69" s="64">
        <v>0.31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48" t="s">
        <v>1458</v>
      </c>
      <c r="B70" s="64">
        <v>7.95</v>
      </c>
      <c r="C70" s="64">
        <v>3.08</v>
      </c>
      <c r="D70" s="64">
        <v>11.76</v>
      </c>
      <c r="E70" s="64">
        <v>4.95</v>
      </c>
      <c r="F70" s="64">
        <v>5.99</v>
      </c>
      <c r="G70" s="64">
        <v>39.9</v>
      </c>
      <c r="H70" s="64">
        <v>17.97</v>
      </c>
      <c r="I70" s="64">
        <v>1.48</v>
      </c>
      <c r="J70" s="64">
        <v>0.26</v>
      </c>
      <c r="K70" s="64">
        <v>338.39</v>
      </c>
      <c r="L70" s="64">
        <v>32.86</v>
      </c>
      <c r="M70" s="64">
        <v>70.36</v>
      </c>
      <c r="N70" s="64">
        <v>171.5</v>
      </c>
      <c r="O70" s="64">
        <v>0</v>
      </c>
      <c r="P70" s="64">
        <v>0.3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48" t="s">
        <v>1459</v>
      </c>
      <c r="B71" s="64">
        <v>7.96</v>
      </c>
      <c r="C71" s="64">
        <v>3.06</v>
      </c>
      <c r="D71" s="64">
        <v>11.75</v>
      </c>
      <c r="E71" s="64">
        <v>4.83</v>
      </c>
      <c r="F71" s="64">
        <v>5.32</v>
      </c>
      <c r="G71" s="64">
        <v>39.9</v>
      </c>
      <c r="H71" s="64">
        <v>17.97</v>
      </c>
      <c r="I71" s="64">
        <v>1.26</v>
      </c>
      <c r="J71" s="64">
        <v>0.33</v>
      </c>
      <c r="K71" s="64">
        <v>332.92</v>
      </c>
      <c r="L71" s="64">
        <v>32.65</v>
      </c>
      <c r="M71" s="64">
        <v>71.06</v>
      </c>
      <c r="N71" s="64">
        <v>168</v>
      </c>
      <c r="O71" s="64">
        <v>0</v>
      </c>
      <c r="P71" s="64">
        <v>0.28999999999999998</v>
      </c>
      <c r="Q71" s="64">
        <v>9.24</v>
      </c>
      <c r="R71" s="198"/>
      <c r="S71" s="198"/>
      <c r="T71" s="198"/>
      <c r="U71" s="198"/>
    </row>
    <row r="72" spans="1:21" s="12" customFormat="1" x14ac:dyDescent="0.25">
      <c r="A72" s="248" t="s">
        <v>1460</v>
      </c>
      <c r="B72" s="64">
        <v>7.95</v>
      </c>
      <c r="C72" s="64">
        <v>2.96</v>
      </c>
      <c r="D72" s="64">
        <v>11.7</v>
      </c>
      <c r="E72" s="64">
        <v>4.74</v>
      </c>
      <c r="F72" s="64">
        <v>4.7699999999999996</v>
      </c>
      <c r="G72" s="64">
        <v>73.87</v>
      </c>
      <c r="H72" s="64">
        <v>14.48</v>
      </c>
      <c r="I72" s="64">
        <v>1.24</v>
      </c>
      <c r="J72" s="64">
        <v>0.28999999999999998</v>
      </c>
      <c r="K72" s="64">
        <v>340.65</v>
      </c>
      <c r="L72" s="64">
        <v>32.85</v>
      </c>
      <c r="M72" s="64">
        <v>70.08</v>
      </c>
      <c r="N72" s="64">
        <v>146.80000000000001</v>
      </c>
      <c r="O72" s="64">
        <v>0</v>
      </c>
      <c r="P72" s="64">
        <v>0.28999999999999998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48" t="s">
        <v>1461</v>
      </c>
      <c r="B73" s="64">
        <v>7.96</v>
      </c>
      <c r="C73" s="64">
        <v>3.01</v>
      </c>
      <c r="D73" s="64">
        <v>11.73</v>
      </c>
      <c r="E73" s="64">
        <v>4.99</v>
      </c>
      <c r="F73" s="64">
        <v>4.75</v>
      </c>
      <c r="G73" s="64">
        <v>87.67</v>
      </c>
      <c r="H73" s="64">
        <v>13.07</v>
      </c>
      <c r="I73" s="64">
        <v>1.18</v>
      </c>
      <c r="J73" s="64">
        <v>0.32</v>
      </c>
      <c r="K73" s="64">
        <v>350.17</v>
      </c>
      <c r="L73" s="64">
        <v>32.65</v>
      </c>
      <c r="M73" s="64">
        <v>69.25</v>
      </c>
      <c r="N73" s="64">
        <v>163.5</v>
      </c>
      <c r="O73" s="64">
        <v>0</v>
      </c>
      <c r="P73" s="64">
        <v>0.3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48" t="s">
        <v>1462</v>
      </c>
      <c r="B74" s="64">
        <v>7.95</v>
      </c>
      <c r="C74" s="64">
        <v>3.04</v>
      </c>
      <c r="D74" s="64">
        <v>11.74</v>
      </c>
      <c r="E74" s="64">
        <v>4.93</v>
      </c>
      <c r="F74" s="64">
        <v>3.59</v>
      </c>
      <c r="G74" s="64">
        <v>87.67</v>
      </c>
      <c r="H74" s="64">
        <v>13.07</v>
      </c>
      <c r="I74" s="64">
        <v>1.1499999999999999</v>
      </c>
      <c r="J74" s="64">
        <v>0.37</v>
      </c>
      <c r="K74" s="64">
        <v>327.17</v>
      </c>
      <c r="L74" s="64">
        <v>32.82</v>
      </c>
      <c r="M74" s="64">
        <v>72.55</v>
      </c>
      <c r="N74" s="64">
        <v>175.8</v>
      </c>
      <c r="O74" s="64">
        <v>0</v>
      </c>
      <c r="P74" s="64">
        <v>0.3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48" t="s">
        <v>1463</v>
      </c>
      <c r="B75" s="64">
        <v>7.97</v>
      </c>
      <c r="C75" s="64">
        <v>3.13</v>
      </c>
      <c r="D75" s="64">
        <v>11.8</v>
      </c>
      <c r="E75" s="64">
        <v>4.87</v>
      </c>
      <c r="F75" s="64">
        <v>3.92</v>
      </c>
      <c r="G75" s="64">
        <v>87.67</v>
      </c>
      <c r="H75" s="64">
        <v>13.07</v>
      </c>
      <c r="I75" s="64">
        <v>1.24</v>
      </c>
      <c r="J75" s="64">
        <v>0.28000000000000003</v>
      </c>
      <c r="K75" s="64">
        <v>332.88</v>
      </c>
      <c r="L75" s="64">
        <v>32.68</v>
      </c>
      <c r="M75" s="64">
        <v>73</v>
      </c>
      <c r="N75" s="64">
        <v>138.4</v>
      </c>
      <c r="O75" s="64">
        <v>0</v>
      </c>
      <c r="P75" s="64">
        <v>0.32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48" t="s">
        <v>1464</v>
      </c>
      <c r="B76" s="64">
        <v>8.06</v>
      </c>
      <c r="C76" s="64">
        <v>3.36</v>
      </c>
      <c r="D76" s="64">
        <v>11.99</v>
      </c>
      <c r="E76" s="64">
        <v>4.91</v>
      </c>
      <c r="F76" s="64">
        <v>4.05</v>
      </c>
      <c r="G76" s="64">
        <v>77.53</v>
      </c>
      <c r="H76" s="64">
        <v>17.329999999999998</v>
      </c>
      <c r="I76" s="64">
        <v>1.18</v>
      </c>
      <c r="J76" s="64">
        <v>0.34</v>
      </c>
      <c r="K76" s="64">
        <v>340.12</v>
      </c>
      <c r="L76" s="64">
        <v>32.25</v>
      </c>
      <c r="M76" s="64">
        <v>75.19</v>
      </c>
      <c r="N76" s="64">
        <v>116.8</v>
      </c>
      <c r="O76" s="64">
        <v>0</v>
      </c>
      <c r="P76" s="64">
        <v>0.34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48" t="s">
        <v>1465</v>
      </c>
      <c r="B77" s="64">
        <v>7.96</v>
      </c>
      <c r="C77" s="64">
        <v>3.06</v>
      </c>
      <c r="D77" s="64">
        <v>11.75</v>
      </c>
      <c r="E77" s="64">
        <v>4.8499999999999996</v>
      </c>
      <c r="F77" s="64">
        <v>3.81</v>
      </c>
      <c r="G77" s="64">
        <v>73.42</v>
      </c>
      <c r="H77" s="64">
        <v>19.059999999999999</v>
      </c>
      <c r="I77" s="64">
        <v>1.27</v>
      </c>
      <c r="J77" s="64">
        <v>0.27</v>
      </c>
      <c r="K77" s="64">
        <v>332.28</v>
      </c>
      <c r="L77" s="64">
        <v>32.46</v>
      </c>
      <c r="M77" s="64">
        <v>76.5</v>
      </c>
      <c r="N77" s="64">
        <v>128.9</v>
      </c>
      <c r="O77" s="64">
        <v>0</v>
      </c>
      <c r="P77" s="64">
        <v>0.37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48" t="s">
        <v>1466</v>
      </c>
      <c r="B78" s="64">
        <v>7.94</v>
      </c>
      <c r="C78" s="64">
        <v>3.05</v>
      </c>
      <c r="D78" s="64">
        <v>11.74</v>
      </c>
      <c r="E78" s="64">
        <v>4.83</v>
      </c>
      <c r="F78" s="64">
        <v>5.86</v>
      </c>
      <c r="G78" s="64">
        <v>73.42</v>
      </c>
      <c r="H78" s="64">
        <v>19.059999999999999</v>
      </c>
      <c r="I78" s="64">
        <v>1.4</v>
      </c>
      <c r="J78" s="64">
        <v>0.75</v>
      </c>
      <c r="K78" s="64">
        <v>331.19</v>
      </c>
      <c r="L78" s="64">
        <v>32.53</v>
      </c>
      <c r="M78" s="64">
        <v>75.77</v>
      </c>
      <c r="N78" s="64">
        <v>117.9</v>
      </c>
      <c r="O78" s="64">
        <v>0</v>
      </c>
      <c r="P78" s="64">
        <v>0.4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48" t="s">
        <v>1467</v>
      </c>
      <c r="B79" s="64">
        <v>7.98</v>
      </c>
      <c r="C79" s="64">
        <v>3.26</v>
      </c>
      <c r="D79" s="64">
        <v>11.88</v>
      </c>
      <c r="E79" s="64">
        <v>5.15</v>
      </c>
      <c r="F79" s="64">
        <v>5.7</v>
      </c>
      <c r="G79" s="64">
        <v>73.42</v>
      </c>
      <c r="H79" s="64">
        <v>19.059999999999999</v>
      </c>
      <c r="I79" s="64">
        <v>1.52</v>
      </c>
      <c r="J79" s="64">
        <v>0.53</v>
      </c>
      <c r="K79" s="64">
        <v>327.97</v>
      </c>
      <c r="L79" s="64">
        <v>32.29</v>
      </c>
      <c r="M79" s="64">
        <v>75.930000000000007</v>
      </c>
      <c r="N79" s="64">
        <v>108.9</v>
      </c>
      <c r="O79" s="64">
        <v>0</v>
      </c>
      <c r="P79" s="64">
        <v>0.42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48" t="s">
        <v>1468</v>
      </c>
      <c r="B80" s="64">
        <v>8.0500000000000007</v>
      </c>
      <c r="C80" s="64">
        <v>3.53</v>
      </c>
      <c r="D80" s="64">
        <v>12.07</v>
      </c>
      <c r="E80" s="64">
        <v>4.87</v>
      </c>
      <c r="F80" s="64">
        <v>4.33</v>
      </c>
      <c r="G80" s="64">
        <v>79.599999999999994</v>
      </c>
      <c r="H80" s="64">
        <v>24.84</v>
      </c>
      <c r="I80" s="64">
        <v>1.71</v>
      </c>
      <c r="J80" s="64">
        <v>0.54</v>
      </c>
      <c r="K80" s="64">
        <v>329.22</v>
      </c>
      <c r="L80" s="64">
        <v>32.14</v>
      </c>
      <c r="M80" s="64">
        <v>76.5</v>
      </c>
      <c r="N80" s="64">
        <v>93.1</v>
      </c>
      <c r="O80" s="64">
        <v>0</v>
      </c>
      <c r="P80" s="64">
        <v>0.44</v>
      </c>
      <c r="Q80" s="64">
        <v>9.32</v>
      </c>
      <c r="R80" s="198"/>
      <c r="S80" s="198"/>
      <c r="T80" s="198"/>
      <c r="U80" s="198"/>
    </row>
    <row r="81" spans="1:26" s="12" customFormat="1" x14ac:dyDescent="0.25">
      <c r="A81" s="248" t="s">
        <v>1469</v>
      </c>
      <c r="B81" s="64">
        <v>7.97</v>
      </c>
      <c r="C81" s="64">
        <v>3.19</v>
      </c>
      <c r="D81" s="64">
        <v>11.83</v>
      </c>
      <c r="E81" s="64">
        <v>4.83</v>
      </c>
      <c r="F81" s="64">
        <v>3.58</v>
      </c>
      <c r="G81" s="64">
        <v>82.12</v>
      </c>
      <c r="H81" s="64">
        <v>27.19</v>
      </c>
      <c r="I81" s="64">
        <v>1.56</v>
      </c>
      <c r="J81" s="64">
        <v>0.52</v>
      </c>
      <c r="K81" s="64">
        <v>329.85</v>
      </c>
      <c r="L81" s="64">
        <v>31.33</v>
      </c>
      <c r="M81" s="64">
        <v>83.56</v>
      </c>
      <c r="N81" s="64">
        <v>72.8</v>
      </c>
      <c r="O81" s="64">
        <v>0</v>
      </c>
      <c r="P81" s="64">
        <v>0.43</v>
      </c>
      <c r="Q81" s="64">
        <v>9.33</v>
      </c>
      <c r="R81" s="198"/>
      <c r="S81" s="198"/>
      <c r="T81" s="198"/>
      <c r="U81" s="198"/>
    </row>
    <row r="82" spans="1:26" s="12" customFormat="1" x14ac:dyDescent="0.25">
      <c r="A82" s="248" t="s">
        <v>1470</v>
      </c>
      <c r="B82" s="64">
        <v>7.97</v>
      </c>
      <c r="C82" s="64">
        <v>3.08</v>
      </c>
      <c r="D82" s="64">
        <v>11.78</v>
      </c>
      <c r="E82" s="64">
        <v>5.17</v>
      </c>
      <c r="F82" s="64">
        <v>3.56</v>
      </c>
      <c r="G82" s="64">
        <v>82.12</v>
      </c>
      <c r="H82" s="64">
        <v>27.19</v>
      </c>
      <c r="I82" s="64">
        <v>1.74</v>
      </c>
      <c r="J82" s="64">
        <v>0.52</v>
      </c>
      <c r="K82" s="64">
        <v>338.88</v>
      </c>
      <c r="L82" s="64">
        <v>30.44</v>
      </c>
      <c r="M82" s="64">
        <v>89.65</v>
      </c>
      <c r="N82" s="64">
        <v>58.1</v>
      </c>
      <c r="O82" s="64">
        <v>0</v>
      </c>
      <c r="P82" s="64">
        <v>0.47</v>
      </c>
      <c r="Q82" s="64">
        <v>9.3000000000000007</v>
      </c>
      <c r="R82" s="198"/>
      <c r="S82" s="198"/>
      <c r="T82" s="198"/>
      <c r="U82" s="198"/>
    </row>
    <row r="83" spans="1:26" s="12" customFormat="1" x14ac:dyDescent="0.25">
      <c r="A83" s="248" t="s">
        <v>1471</v>
      </c>
      <c r="B83" s="64">
        <v>8.02</v>
      </c>
      <c r="C83" s="64">
        <v>3.17</v>
      </c>
      <c r="D83" s="64">
        <v>11.86</v>
      </c>
      <c r="E83" s="64">
        <v>4.8499999999999996</v>
      </c>
      <c r="F83" s="64">
        <v>3.6</v>
      </c>
      <c r="G83" s="64">
        <v>82.12</v>
      </c>
      <c r="H83" s="64">
        <v>27.19</v>
      </c>
      <c r="I83" s="64">
        <v>1.9</v>
      </c>
      <c r="J83" s="64">
        <v>0.41</v>
      </c>
      <c r="K83" s="64">
        <v>336.73</v>
      </c>
      <c r="L83" s="64">
        <v>30.1</v>
      </c>
      <c r="M83" s="64">
        <v>90.97</v>
      </c>
      <c r="N83" s="64">
        <v>50.9</v>
      </c>
      <c r="O83" s="64">
        <v>0</v>
      </c>
      <c r="P83" s="64">
        <v>0.49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48" t="s">
        <v>1472</v>
      </c>
      <c r="B84" s="64">
        <v>8</v>
      </c>
      <c r="C84" s="64">
        <v>3.09</v>
      </c>
      <c r="D84" s="64">
        <v>11.8</v>
      </c>
      <c r="E84" s="64">
        <v>5.45</v>
      </c>
      <c r="F84" s="64">
        <v>3.65</v>
      </c>
      <c r="G84" s="64">
        <v>81.99</v>
      </c>
      <c r="H84" s="64">
        <v>18.739999999999998</v>
      </c>
      <c r="I84" s="64">
        <v>2.17</v>
      </c>
      <c r="J84" s="64">
        <v>0.37</v>
      </c>
      <c r="K84" s="64">
        <v>330.68</v>
      </c>
      <c r="L84" s="64">
        <v>30.13</v>
      </c>
      <c r="M84" s="64">
        <v>89.87</v>
      </c>
      <c r="N84" s="64">
        <v>49</v>
      </c>
      <c r="O84" s="64">
        <v>0</v>
      </c>
      <c r="P84" s="64">
        <v>0.5</v>
      </c>
      <c r="Q84" s="64">
        <v>9.36</v>
      </c>
      <c r="R84" s="198"/>
      <c r="S84" s="198"/>
      <c r="T84" s="198"/>
      <c r="U84" s="198"/>
    </row>
    <row r="85" spans="1:26" s="12" customFormat="1" x14ac:dyDescent="0.25">
      <c r="A85" s="248" t="s">
        <v>1473</v>
      </c>
      <c r="B85" s="64">
        <v>8.06</v>
      </c>
      <c r="C85" s="64">
        <v>3.18</v>
      </c>
      <c r="D85" s="64">
        <v>11.9</v>
      </c>
      <c r="E85" s="64">
        <v>5.51</v>
      </c>
      <c r="F85" s="64">
        <v>3.59</v>
      </c>
      <c r="G85" s="64">
        <v>81.94</v>
      </c>
      <c r="H85" s="64">
        <v>15.31</v>
      </c>
      <c r="I85" s="64">
        <v>2.63</v>
      </c>
      <c r="J85" s="64">
        <v>0.27</v>
      </c>
      <c r="K85" s="64">
        <v>325.83999999999997</v>
      </c>
      <c r="L85" s="64">
        <v>30.11</v>
      </c>
      <c r="M85" s="64">
        <v>87.39</v>
      </c>
      <c r="N85" s="64">
        <v>48.8</v>
      </c>
      <c r="O85" s="64">
        <v>0</v>
      </c>
      <c r="P85" s="64">
        <v>0.52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48" t="s">
        <v>1474</v>
      </c>
      <c r="B86" s="64">
        <v>8.0500000000000007</v>
      </c>
      <c r="C86" s="64">
        <v>3.07</v>
      </c>
      <c r="D86" s="64">
        <v>11.83</v>
      </c>
      <c r="E86" s="64">
        <v>5.46</v>
      </c>
      <c r="F86" s="64">
        <v>3.38</v>
      </c>
      <c r="G86" s="64">
        <v>81.94</v>
      </c>
      <c r="H86" s="64">
        <v>15.31</v>
      </c>
      <c r="I86" s="64">
        <v>2.78</v>
      </c>
      <c r="J86" s="64">
        <v>0.27</v>
      </c>
      <c r="K86" s="64">
        <v>323.25</v>
      </c>
      <c r="L86" s="64">
        <v>30.24</v>
      </c>
      <c r="M86" s="64">
        <v>86.95</v>
      </c>
      <c r="N86" s="64">
        <v>48.6</v>
      </c>
      <c r="O86" s="64">
        <v>0</v>
      </c>
      <c r="P86" s="64">
        <v>0.55000000000000004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48" t="s">
        <v>1475</v>
      </c>
      <c r="B87" s="64">
        <v>8.02</v>
      </c>
      <c r="C87" s="64">
        <v>3.09</v>
      </c>
      <c r="D87" s="64">
        <v>11.82</v>
      </c>
      <c r="E87" s="64">
        <v>5.14</v>
      </c>
      <c r="F87" s="64">
        <v>3.52</v>
      </c>
      <c r="G87" s="64">
        <v>81.94</v>
      </c>
      <c r="H87" s="64">
        <v>15.31</v>
      </c>
      <c r="I87" s="64">
        <v>2.84</v>
      </c>
      <c r="J87" s="64">
        <v>0.2</v>
      </c>
      <c r="K87" s="64">
        <v>344.93</v>
      </c>
      <c r="L87" s="64">
        <v>30.3</v>
      </c>
      <c r="M87" s="64">
        <v>87.24</v>
      </c>
      <c r="N87" s="64">
        <v>48.5</v>
      </c>
      <c r="O87" s="64">
        <v>0</v>
      </c>
      <c r="P87" s="64">
        <v>0.56999999999999995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48" t="s">
        <v>1476</v>
      </c>
      <c r="B88" s="64">
        <v>8.08</v>
      </c>
      <c r="C88" s="64">
        <v>3.18</v>
      </c>
      <c r="D88" s="64">
        <v>11.92</v>
      </c>
      <c r="E88" s="64">
        <v>5.74</v>
      </c>
      <c r="F88" s="64">
        <v>3.56</v>
      </c>
      <c r="G88" s="64">
        <v>88.09</v>
      </c>
      <c r="H88" s="64">
        <v>18.48</v>
      </c>
      <c r="I88" s="64">
        <v>3.04</v>
      </c>
      <c r="J88" s="64">
        <v>0.33</v>
      </c>
      <c r="K88" s="64">
        <v>337.99</v>
      </c>
      <c r="L88" s="64">
        <v>30.15</v>
      </c>
      <c r="M88" s="64">
        <v>89.21</v>
      </c>
      <c r="N88" s="64">
        <v>48.5</v>
      </c>
      <c r="O88" s="64">
        <v>0</v>
      </c>
      <c r="P88" s="64">
        <v>0.6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48" t="s">
        <v>1477</v>
      </c>
      <c r="B89" s="64">
        <v>8.16</v>
      </c>
      <c r="C89" s="64">
        <v>3.33</v>
      </c>
      <c r="D89" s="64">
        <v>12.06</v>
      </c>
      <c r="E89" s="64">
        <v>5.5</v>
      </c>
      <c r="F89" s="64">
        <v>3.49</v>
      </c>
      <c r="G89" s="64">
        <v>90.59</v>
      </c>
      <c r="H89" s="64">
        <v>19.829999999999998</v>
      </c>
      <c r="I89" s="64">
        <v>3.21</v>
      </c>
      <c r="J89" s="64">
        <v>0.24</v>
      </c>
      <c r="K89" s="64">
        <v>323.79000000000002</v>
      </c>
      <c r="L89" s="64">
        <v>30.06</v>
      </c>
      <c r="M89" s="64">
        <v>88.71</v>
      </c>
      <c r="N89" s="64">
        <v>48.5</v>
      </c>
      <c r="O89" s="64">
        <v>0</v>
      </c>
      <c r="P89" s="64">
        <v>0.64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48" t="s">
        <v>1478</v>
      </c>
      <c r="B90" s="64">
        <v>8.1999999999999993</v>
      </c>
      <c r="C90" s="64">
        <v>3.43</v>
      </c>
      <c r="D90" s="64">
        <v>12.14</v>
      </c>
      <c r="E90" s="64">
        <v>5.58</v>
      </c>
      <c r="F90" s="64">
        <v>3.17</v>
      </c>
      <c r="G90" s="64">
        <v>90.59</v>
      </c>
      <c r="H90" s="64">
        <v>19.829999999999998</v>
      </c>
      <c r="I90" s="64">
        <v>3.47</v>
      </c>
      <c r="J90" s="64">
        <v>0.23</v>
      </c>
      <c r="K90" s="64">
        <v>326.16000000000003</v>
      </c>
      <c r="L90" s="64">
        <v>30.07</v>
      </c>
      <c r="M90" s="64">
        <v>87.47</v>
      </c>
      <c r="N90" s="64">
        <v>48.5</v>
      </c>
      <c r="O90" s="64">
        <v>0</v>
      </c>
      <c r="P90" s="64">
        <v>0.65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48" t="s">
        <v>1479</v>
      </c>
      <c r="B91" s="64">
        <v>8.09</v>
      </c>
      <c r="C91" s="64">
        <v>3.16</v>
      </c>
      <c r="D91" s="64">
        <v>11.92</v>
      </c>
      <c r="E91" s="64">
        <v>5.64</v>
      </c>
      <c r="F91" s="64">
        <v>3.51</v>
      </c>
      <c r="G91" s="64">
        <v>90.59</v>
      </c>
      <c r="H91" s="64">
        <v>19.829999999999998</v>
      </c>
      <c r="I91" s="64">
        <v>3.65</v>
      </c>
      <c r="J91" s="64">
        <v>0.16</v>
      </c>
      <c r="K91" s="64">
        <v>315.01</v>
      </c>
      <c r="L91" s="64">
        <v>29.99</v>
      </c>
      <c r="M91" s="64">
        <v>88.36</v>
      </c>
      <c r="N91" s="64">
        <v>48.6</v>
      </c>
      <c r="O91" s="64">
        <v>0</v>
      </c>
      <c r="P91" s="64">
        <v>0.68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48" t="s">
        <v>1480</v>
      </c>
      <c r="B92" s="64">
        <v>8.0399999999999991</v>
      </c>
      <c r="C92" s="64">
        <v>3.05</v>
      </c>
      <c r="D92" s="64">
        <v>11.82</v>
      </c>
      <c r="E92" s="64">
        <v>5.62</v>
      </c>
      <c r="F92" s="64">
        <v>4.45</v>
      </c>
      <c r="G92" s="64">
        <v>91.6</v>
      </c>
      <c r="H92" s="64">
        <v>25.56</v>
      </c>
      <c r="I92" s="64">
        <v>3.77</v>
      </c>
      <c r="J92" s="64">
        <v>0.15</v>
      </c>
      <c r="K92" s="64">
        <v>303.10000000000002</v>
      </c>
      <c r="L92" s="64">
        <v>29.86</v>
      </c>
      <c r="M92" s="64">
        <v>89.9</v>
      </c>
      <c r="N92" s="64">
        <v>48.6</v>
      </c>
      <c r="O92" s="64">
        <v>0</v>
      </c>
      <c r="P92" s="64">
        <v>0.72</v>
      </c>
      <c r="Q92" s="64">
        <v>9.7200000000000006</v>
      </c>
      <c r="R92" s="198"/>
      <c r="S92" s="198"/>
      <c r="T92" s="198"/>
      <c r="U92" s="198"/>
    </row>
    <row r="93" spans="1:26" s="12" customFormat="1" x14ac:dyDescent="0.25">
      <c r="A93" s="248" t="s">
        <v>1481</v>
      </c>
      <c r="B93" s="64">
        <v>8.27</v>
      </c>
      <c r="C93" s="64">
        <v>3.45</v>
      </c>
      <c r="D93" s="64">
        <v>12.21</v>
      </c>
      <c r="E93" s="64">
        <v>6.32</v>
      </c>
      <c r="F93" s="64">
        <v>2.21</v>
      </c>
      <c r="G93" s="64">
        <v>92.02</v>
      </c>
      <c r="H93" s="64">
        <v>27.88</v>
      </c>
      <c r="I93" s="64">
        <v>4</v>
      </c>
      <c r="J93" s="64">
        <v>0.15</v>
      </c>
      <c r="K93" s="64">
        <v>259.02</v>
      </c>
      <c r="L93" s="64">
        <v>29.72</v>
      </c>
      <c r="M93" s="64">
        <v>91.96</v>
      </c>
      <c r="N93" s="64">
        <v>48.6</v>
      </c>
      <c r="O93" s="64">
        <v>0</v>
      </c>
      <c r="P93" s="64">
        <v>0.76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48" t="s">
        <v>1482</v>
      </c>
      <c r="B94" s="64">
        <v>8.39</v>
      </c>
      <c r="C94" s="64">
        <v>3.63</v>
      </c>
      <c r="D94" s="64">
        <v>12.4</v>
      </c>
      <c r="E94" s="64">
        <v>6.18</v>
      </c>
      <c r="F94" s="64">
        <v>3.06</v>
      </c>
      <c r="G94" s="64">
        <v>92.02</v>
      </c>
      <c r="H94" s="64">
        <v>27.88</v>
      </c>
      <c r="I94" s="64">
        <v>4.1900000000000004</v>
      </c>
      <c r="J94" s="64">
        <v>0.08</v>
      </c>
      <c r="K94" s="64">
        <v>301.89999999999998</v>
      </c>
      <c r="L94" s="64">
        <v>29.71</v>
      </c>
      <c r="M94" s="64">
        <v>92.23</v>
      </c>
      <c r="N94" s="64">
        <v>48.5</v>
      </c>
      <c r="O94" s="64">
        <v>0</v>
      </c>
      <c r="P94" s="64">
        <v>0.79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48" t="s">
        <v>1483</v>
      </c>
      <c r="B95" s="64">
        <v>8.64</v>
      </c>
      <c r="C95" s="64">
        <v>4</v>
      </c>
      <c r="D95" s="64">
        <v>12.79</v>
      </c>
      <c r="E95" s="64">
        <v>5.95</v>
      </c>
      <c r="F95" s="64">
        <v>3.78</v>
      </c>
      <c r="G95" s="64">
        <v>92.02</v>
      </c>
      <c r="H95" s="64">
        <v>27.88</v>
      </c>
      <c r="I95" s="64">
        <v>4.42</v>
      </c>
      <c r="J95" s="64">
        <v>0.08</v>
      </c>
      <c r="K95" s="64">
        <v>226.45</v>
      </c>
      <c r="L95" s="64">
        <v>29.58</v>
      </c>
      <c r="M95" s="64">
        <v>92.92</v>
      </c>
      <c r="N95" s="64">
        <v>48.6</v>
      </c>
      <c r="O95" s="64">
        <v>0</v>
      </c>
      <c r="P95" s="64">
        <v>0.83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48" t="s">
        <v>1484</v>
      </c>
      <c r="B96" s="64">
        <v>8.8699999999999992</v>
      </c>
      <c r="C96" s="64">
        <v>4.38</v>
      </c>
      <c r="D96" s="64">
        <v>13.18</v>
      </c>
      <c r="E96" s="64">
        <v>6.02</v>
      </c>
      <c r="F96" s="64">
        <v>4.04</v>
      </c>
      <c r="G96" s="64">
        <v>106.99</v>
      </c>
      <c r="H96" s="64">
        <v>36.409999999999997</v>
      </c>
      <c r="I96" s="64">
        <v>4.63</v>
      </c>
      <c r="J96" s="64">
        <v>0.11</v>
      </c>
      <c r="K96" s="64">
        <v>297.99</v>
      </c>
      <c r="L96" s="64">
        <v>29.53</v>
      </c>
      <c r="M96" s="64">
        <v>92.65</v>
      </c>
      <c r="N96" s="64">
        <v>48.6</v>
      </c>
      <c r="O96" s="64">
        <v>0</v>
      </c>
      <c r="P96" s="64">
        <v>0.86</v>
      </c>
      <c r="Q96" s="64">
        <v>9.86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1485</v>
      </c>
      <c r="B97" s="64">
        <v>8.85</v>
      </c>
      <c r="C97" s="64">
        <v>4.3499999999999996</v>
      </c>
      <c r="D97" s="64">
        <v>13.14</v>
      </c>
      <c r="E97" s="64">
        <v>6.08</v>
      </c>
      <c r="F97" s="64">
        <v>3.48</v>
      </c>
      <c r="G97" s="64">
        <v>113.07</v>
      </c>
      <c r="H97" s="64">
        <v>39.869999999999997</v>
      </c>
      <c r="I97" s="64">
        <v>4.88</v>
      </c>
      <c r="J97" s="64">
        <v>0.03</v>
      </c>
      <c r="K97" s="64">
        <v>297.27999999999997</v>
      </c>
      <c r="L97" s="64">
        <v>29.58</v>
      </c>
      <c r="M97" s="64">
        <v>92.26</v>
      </c>
      <c r="N97" s="64">
        <v>48.5</v>
      </c>
      <c r="O97" s="64">
        <v>0</v>
      </c>
      <c r="P97" s="64">
        <v>0.88</v>
      </c>
      <c r="Q97" s="64">
        <v>9.9</v>
      </c>
      <c r="R97" s="198"/>
      <c r="S97" s="198"/>
      <c r="T97" s="198"/>
      <c r="U97" s="198"/>
    </row>
    <row r="98" spans="1:33" s="12" customFormat="1" x14ac:dyDescent="0.25">
      <c r="A98" s="248" t="s">
        <v>1486</v>
      </c>
      <c r="B98" s="64">
        <v>8.51</v>
      </c>
      <c r="C98" s="64">
        <v>3.79</v>
      </c>
      <c r="D98" s="64">
        <v>12.58</v>
      </c>
      <c r="E98" s="64">
        <v>6.13</v>
      </c>
      <c r="F98" s="64">
        <v>3.46</v>
      </c>
      <c r="G98" s="64">
        <v>113.07</v>
      </c>
      <c r="H98" s="64">
        <v>39.869999999999997</v>
      </c>
      <c r="I98" s="64">
        <v>5.07</v>
      </c>
      <c r="J98" s="64">
        <v>0.18</v>
      </c>
      <c r="K98" s="64">
        <v>264.64</v>
      </c>
      <c r="L98" s="64">
        <v>29.62</v>
      </c>
      <c r="M98" s="64">
        <v>92.03</v>
      </c>
      <c r="N98" s="64">
        <v>48.4</v>
      </c>
      <c r="O98" s="64">
        <v>0</v>
      </c>
      <c r="P98" s="64">
        <v>0.89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48" t="s">
        <v>1487</v>
      </c>
      <c r="B99" s="64">
        <v>8.3800000000000008</v>
      </c>
      <c r="C99" s="64">
        <v>3.61</v>
      </c>
      <c r="D99" s="64">
        <v>12.38</v>
      </c>
      <c r="E99" s="64">
        <v>6.06</v>
      </c>
      <c r="F99" s="64">
        <v>3.52</v>
      </c>
      <c r="G99" s="64">
        <v>113.07</v>
      </c>
      <c r="H99" s="64">
        <v>39.869999999999997</v>
      </c>
      <c r="I99" s="64">
        <v>5.26</v>
      </c>
      <c r="J99" s="64">
        <v>0.09</v>
      </c>
      <c r="K99" s="64">
        <v>311.75</v>
      </c>
      <c r="L99" s="64">
        <v>29.53</v>
      </c>
      <c r="M99" s="64">
        <v>93.33</v>
      </c>
      <c r="N99" s="64">
        <v>48.5</v>
      </c>
      <c r="O99" s="64">
        <v>0</v>
      </c>
      <c r="P99" s="64">
        <v>0.89</v>
      </c>
      <c r="Q99" s="64">
        <v>9.91</v>
      </c>
      <c r="R99" s="198"/>
      <c r="S99" s="198"/>
      <c r="T99" s="198"/>
      <c r="U99" s="198"/>
    </row>
    <row r="100" spans="1:33" s="12" customFormat="1" x14ac:dyDescent="0.25">
      <c r="A100" s="248" t="s">
        <v>1488</v>
      </c>
      <c r="B100" s="64">
        <v>8.11</v>
      </c>
      <c r="C100" s="64">
        <v>3.2</v>
      </c>
      <c r="D100" s="64">
        <v>11.95</v>
      </c>
      <c r="E100" s="64">
        <v>5.01</v>
      </c>
      <c r="F100" s="64">
        <v>3.18</v>
      </c>
      <c r="G100" s="64">
        <v>116.02</v>
      </c>
      <c r="H100" s="64">
        <v>38.1</v>
      </c>
      <c r="I100" s="64">
        <v>5.42</v>
      </c>
      <c r="J100" s="64">
        <v>0.09</v>
      </c>
      <c r="K100" s="64">
        <v>34.74</v>
      </c>
      <c r="L100" s="64">
        <v>29.45</v>
      </c>
      <c r="M100" s="64">
        <v>93.66</v>
      </c>
      <c r="N100" s="64">
        <v>48.6</v>
      </c>
      <c r="O100" s="64">
        <v>0</v>
      </c>
      <c r="P100" s="64">
        <v>0.89</v>
      </c>
      <c r="Q100" s="64">
        <v>9.93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1489</v>
      </c>
      <c r="B101" s="64">
        <v>8.11</v>
      </c>
      <c r="C101" s="64">
        <v>3.18</v>
      </c>
      <c r="D101" s="64">
        <v>11.94</v>
      </c>
      <c r="E101" s="64">
        <v>4.76</v>
      </c>
      <c r="F101" s="64">
        <v>3.48</v>
      </c>
      <c r="G101" s="64">
        <v>117.21</v>
      </c>
      <c r="H101" s="64">
        <v>37.369999999999997</v>
      </c>
      <c r="I101" s="64">
        <v>5.53</v>
      </c>
      <c r="J101" s="64">
        <v>7.0000000000000007E-2</v>
      </c>
      <c r="K101" s="64">
        <v>268.43</v>
      </c>
      <c r="L101" s="64">
        <v>29.35</v>
      </c>
      <c r="M101" s="64">
        <v>94.51</v>
      </c>
      <c r="N101" s="64">
        <v>48.6</v>
      </c>
      <c r="O101" s="64">
        <v>0</v>
      </c>
      <c r="P101" s="64">
        <v>0.87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48" t="s">
        <v>1490</v>
      </c>
      <c r="B102" s="64">
        <v>8.1</v>
      </c>
      <c r="C102" s="64">
        <v>3.22</v>
      </c>
      <c r="D102" s="64">
        <v>11.95</v>
      </c>
      <c r="E102" s="64">
        <v>4.97</v>
      </c>
      <c r="F102" s="64">
        <v>3.4</v>
      </c>
      <c r="G102" s="64">
        <v>117.21</v>
      </c>
      <c r="H102" s="64">
        <v>37.369999999999997</v>
      </c>
      <c r="I102" s="64">
        <v>5.62</v>
      </c>
      <c r="J102" s="64">
        <v>0.13</v>
      </c>
      <c r="K102" s="64">
        <v>8.49</v>
      </c>
      <c r="L102" s="64">
        <v>29.29</v>
      </c>
      <c r="M102" s="64">
        <v>95.41</v>
      </c>
      <c r="N102" s="64">
        <v>48.6</v>
      </c>
      <c r="O102" s="64">
        <v>0</v>
      </c>
      <c r="P102" s="64">
        <v>0.87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48" t="s">
        <v>1491</v>
      </c>
      <c r="B103" s="64">
        <v>8.2200000000000006</v>
      </c>
      <c r="C103" s="64">
        <v>3.47</v>
      </c>
      <c r="D103" s="64">
        <v>12.18</v>
      </c>
      <c r="E103" s="64">
        <v>4.93</v>
      </c>
      <c r="F103" s="64">
        <v>3.63</v>
      </c>
      <c r="G103" s="64">
        <v>117.21</v>
      </c>
      <c r="H103" s="64">
        <v>37.369999999999997</v>
      </c>
      <c r="I103" s="64">
        <v>5.68</v>
      </c>
      <c r="J103" s="64">
        <v>0.16</v>
      </c>
      <c r="K103" s="64">
        <v>337.47</v>
      </c>
      <c r="L103" s="64">
        <v>29.22</v>
      </c>
      <c r="M103" s="64">
        <v>96.54</v>
      </c>
      <c r="N103" s="64">
        <v>48.7</v>
      </c>
      <c r="O103" s="64">
        <v>0</v>
      </c>
      <c r="P103" s="64">
        <v>0.86</v>
      </c>
      <c r="Q103" s="64">
        <v>9.84</v>
      </c>
      <c r="R103" s="198"/>
      <c r="S103" s="198"/>
      <c r="T103" s="198"/>
      <c r="U103" s="198"/>
    </row>
    <row r="104" spans="1:33" s="12" customFormat="1" x14ac:dyDescent="0.25">
      <c r="A104" s="248" t="s">
        <v>1492</v>
      </c>
      <c r="B104" s="64">
        <v>8.6</v>
      </c>
      <c r="C104" s="64">
        <v>3.92</v>
      </c>
      <c r="D104" s="64">
        <v>12.72</v>
      </c>
      <c r="E104" s="64">
        <v>5.0199999999999996</v>
      </c>
      <c r="F104" s="64">
        <v>3.39</v>
      </c>
      <c r="G104" s="64">
        <v>117.54</v>
      </c>
      <c r="H104" s="64">
        <v>34.979999999999997</v>
      </c>
      <c r="I104" s="64">
        <v>5.77</v>
      </c>
      <c r="J104" s="64">
        <v>0.08</v>
      </c>
      <c r="K104" s="64">
        <v>286.24</v>
      </c>
      <c r="L104" s="64">
        <v>29.16</v>
      </c>
      <c r="M104" s="64">
        <v>98.15</v>
      </c>
      <c r="N104" s="64">
        <v>48.6</v>
      </c>
      <c r="O104" s="64">
        <v>0</v>
      </c>
      <c r="P104" s="64">
        <v>0.85</v>
      </c>
      <c r="Q104" s="64">
        <v>9.84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2.96</v>
      </c>
      <c r="D106" s="67">
        <f t="shared" ref="D106:Q106" si="0">MIN(D9:D104)</f>
        <v>11.68</v>
      </c>
      <c r="E106" s="67">
        <f t="shared" si="0"/>
        <v>2.87</v>
      </c>
      <c r="F106" s="67">
        <f t="shared" si="0"/>
        <v>2.21</v>
      </c>
      <c r="G106" s="67">
        <f t="shared" si="0"/>
        <v>39.9</v>
      </c>
      <c r="H106" s="67">
        <f t="shared" si="0"/>
        <v>0.72</v>
      </c>
      <c r="I106" s="67">
        <f t="shared" si="0"/>
        <v>1.1499999999999999</v>
      </c>
      <c r="J106" s="67">
        <f t="shared" si="0"/>
        <v>0.03</v>
      </c>
      <c r="K106" s="67">
        <f t="shared" si="0"/>
        <v>0.65</v>
      </c>
      <c r="L106" s="67">
        <f t="shared" si="0"/>
        <v>26.44</v>
      </c>
      <c r="M106" s="67">
        <f t="shared" si="0"/>
        <v>65.459999999999994</v>
      </c>
      <c r="N106" s="67">
        <f t="shared" si="0"/>
        <v>37.799999999999997</v>
      </c>
      <c r="O106" s="67">
        <f t="shared" si="0"/>
        <v>0</v>
      </c>
      <c r="P106" s="67">
        <f t="shared" si="0"/>
        <v>0.28999999999999998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10.32</v>
      </c>
      <c r="C107" s="66">
        <f t="shared" ref="C107:Q107" si="1">MAX(C9:C104)</f>
        <v>5.4</v>
      </c>
      <c r="D107" s="66">
        <f t="shared" si="1"/>
        <v>14.34</v>
      </c>
      <c r="E107" s="66">
        <f t="shared" si="1"/>
        <v>6.32</v>
      </c>
      <c r="F107" s="66">
        <f t="shared" si="1"/>
        <v>9.69</v>
      </c>
      <c r="G107" s="66">
        <f t="shared" si="1"/>
        <v>117.54</v>
      </c>
      <c r="H107" s="66">
        <f t="shared" si="1"/>
        <v>98.4</v>
      </c>
      <c r="I107" s="66">
        <f t="shared" si="1"/>
        <v>5.77</v>
      </c>
      <c r="J107" s="66">
        <f t="shared" si="1"/>
        <v>0.75</v>
      </c>
      <c r="K107" s="66">
        <f t="shared" si="1"/>
        <v>358.61</v>
      </c>
      <c r="L107" s="66">
        <f t="shared" si="1"/>
        <v>34.909999999999997</v>
      </c>
      <c r="M107" s="66">
        <f t="shared" si="1"/>
        <v>103.08</v>
      </c>
      <c r="N107" s="66">
        <f t="shared" si="1"/>
        <v>1018.8</v>
      </c>
      <c r="O107" s="66">
        <f t="shared" si="1"/>
        <v>0</v>
      </c>
      <c r="P107" s="66">
        <f t="shared" si="1"/>
        <v>0.89</v>
      </c>
      <c r="Q107" s="66">
        <f t="shared" si="1"/>
        <v>9.93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8.452291666666671</v>
      </c>
      <c r="C108" s="67">
        <f t="shared" ref="C108:Q108" si="2">AVERAGE(C9:C104)</f>
        <v>3.7213541666666674</v>
      </c>
      <c r="D108" s="67">
        <f t="shared" si="2"/>
        <v>12.497083333333343</v>
      </c>
      <c r="E108" s="67">
        <f t="shared" si="2"/>
        <v>4.469270833333332</v>
      </c>
      <c r="F108" s="67">
        <f t="shared" si="2"/>
        <v>4.0970833333333321</v>
      </c>
      <c r="G108" s="67">
        <f t="shared" si="2"/>
        <v>78.352291666666673</v>
      </c>
      <c r="H108" s="67">
        <f t="shared" si="2"/>
        <v>30.824791666666655</v>
      </c>
      <c r="I108" s="67">
        <f t="shared" si="2"/>
        <v>3.7079166666666663</v>
      </c>
      <c r="J108" s="67">
        <f t="shared" si="2"/>
        <v>0.21812499999999982</v>
      </c>
      <c r="K108" s="67">
        <f t="shared" si="2"/>
        <v>275.60572916666666</v>
      </c>
      <c r="L108" s="67">
        <f t="shared" si="2"/>
        <v>30.322708333333338</v>
      </c>
      <c r="M108" s="67">
        <f t="shared" si="2"/>
        <v>87.465208333333337</v>
      </c>
      <c r="N108" s="67">
        <f t="shared" si="2"/>
        <v>240.50520833333323</v>
      </c>
      <c r="O108" s="67">
        <f t="shared" si="2"/>
        <v>0</v>
      </c>
      <c r="P108" s="67">
        <f t="shared" si="2"/>
        <v>0.53583333333333327</v>
      </c>
      <c r="Q108" s="67">
        <f t="shared" si="2"/>
        <v>9.4029166666666679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0.61274615533448484</v>
      </c>
      <c r="C109" s="67">
        <f t="shared" ref="C109:Q109" si="3">STDEV(C9:C104)</f>
        <v>0.76179513725170711</v>
      </c>
      <c r="D109" s="67">
        <f t="shared" si="3"/>
        <v>0.85802333015351007</v>
      </c>
      <c r="E109" s="67">
        <f t="shared" si="3"/>
        <v>0.8773779654734073</v>
      </c>
      <c r="F109" s="67">
        <f t="shared" si="3"/>
        <v>1.3247004957758481</v>
      </c>
      <c r="G109" s="67">
        <f t="shared" si="3"/>
        <v>18.930343421644491</v>
      </c>
      <c r="H109" s="67">
        <f t="shared" si="3"/>
        <v>20.525939326113637</v>
      </c>
      <c r="I109" s="67">
        <f t="shared" si="3"/>
        <v>1.4329490508933436</v>
      </c>
      <c r="J109" s="67">
        <f t="shared" si="3"/>
        <v>0.13135177758098401</v>
      </c>
      <c r="K109" s="67">
        <f t="shared" si="3"/>
        <v>102.86334916561877</v>
      </c>
      <c r="L109" s="67">
        <f t="shared" si="3"/>
        <v>2.6876941708721898</v>
      </c>
      <c r="M109" s="67">
        <f t="shared" si="3"/>
        <v>13.353161973591973</v>
      </c>
      <c r="N109" s="67">
        <f t="shared" si="3"/>
        <v>286.57750797620361</v>
      </c>
      <c r="O109" s="67">
        <f t="shared" si="3"/>
        <v>0</v>
      </c>
      <c r="P109" s="67">
        <f t="shared" si="3"/>
        <v>0.16620638195782025</v>
      </c>
      <c r="Q109" s="67">
        <f t="shared" si="3"/>
        <v>0.19684841438430237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1493</v>
      </c>
      <c r="B9" s="64">
        <v>8.2200000000000006</v>
      </c>
      <c r="C9" s="64">
        <v>3.34</v>
      </c>
      <c r="D9" s="64">
        <v>12.11</v>
      </c>
      <c r="E9" s="64">
        <v>4.67</v>
      </c>
      <c r="F9" s="64">
        <v>3.49</v>
      </c>
      <c r="G9" s="64">
        <v>117.68</v>
      </c>
      <c r="H9" s="64">
        <v>34</v>
      </c>
      <c r="I9" s="64">
        <v>5.88</v>
      </c>
      <c r="J9" s="64">
        <v>0.1</v>
      </c>
      <c r="K9" s="64">
        <v>328.18</v>
      </c>
      <c r="L9" s="64">
        <v>29.1</v>
      </c>
      <c r="M9" s="64">
        <v>100.16</v>
      </c>
      <c r="N9" s="64">
        <v>48.6</v>
      </c>
      <c r="O9" s="64">
        <v>0</v>
      </c>
      <c r="P9" s="64">
        <v>0.71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48" t="s">
        <v>1494</v>
      </c>
      <c r="B10" s="64">
        <v>8.07</v>
      </c>
      <c r="C10" s="64">
        <v>3.13</v>
      </c>
      <c r="D10" s="64">
        <v>11.88</v>
      </c>
      <c r="E10" s="64">
        <v>4.55</v>
      </c>
      <c r="F10" s="64">
        <v>3.62</v>
      </c>
      <c r="G10" s="64">
        <v>117.68</v>
      </c>
      <c r="H10" s="64">
        <v>34</v>
      </c>
      <c r="I10" s="64">
        <v>5.93</v>
      </c>
      <c r="J10" s="64">
        <v>0.09</v>
      </c>
      <c r="K10" s="64">
        <v>277.02999999999997</v>
      </c>
      <c r="L10" s="64">
        <v>28.99</v>
      </c>
      <c r="M10" s="64">
        <v>101.57</v>
      </c>
      <c r="N10" s="64">
        <v>48.6</v>
      </c>
      <c r="O10" s="64">
        <v>0</v>
      </c>
      <c r="P10" s="64">
        <v>0.73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48" t="s">
        <v>1495</v>
      </c>
      <c r="B11" s="64">
        <v>8.09</v>
      </c>
      <c r="C11" s="64">
        <v>3.16</v>
      </c>
      <c r="D11" s="64">
        <v>11.92</v>
      </c>
      <c r="E11" s="64">
        <v>4.93</v>
      </c>
      <c r="F11" s="64">
        <v>3.56</v>
      </c>
      <c r="G11" s="64">
        <v>117.68</v>
      </c>
      <c r="H11" s="64">
        <v>34</v>
      </c>
      <c r="I11" s="64">
        <v>6.06</v>
      </c>
      <c r="J11" s="64">
        <v>0.16</v>
      </c>
      <c r="K11" s="64">
        <v>21.98</v>
      </c>
      <c r="L11" s="64">
        <v>28.88</v>
      </c>
      <c r="M11" s="64">
        <v>102.59</v>
      </c>
      <c r="N11" s="64">
        <v>48.6</v>
      </c>
      <c r="O11" s="64">
        <v>0</v>
      </c>
      <c r="P11" s="64">
        <v>0.72</v>
      </c>
      <c r="Q11" s="64">
        <v>9.89</v>
      </c>
      <c r="R11" s="198"/>
      <c r="S11" s="198"/>
      <c r="T11" s="198"/>
      <c r="U11" s="198"/>
    </row>
    <row r="12" spans="1:21" s="12" customFormat="1" x14ac:dyDescent="0.25">
      <c r="A12" s="248" t="s">
        <v>1496</v>
      </c>
      <c r="B12" s="64">
        <v>8.01</v>
      </c>
      <c r="C12" s="64">
        <v>3.07</v>
      </c>
      <c r="D12" s="64">
        <v>11.8</v>
      </c>
      <c r="E12" s="64">
        <v>5.01</v>
      </c>
      <c r="F12" s="64">
        <v>3.42</v>
      </c>
      <c r="G12" s="64">
        <v>112.42</v>
      </c>
      <c r="H12" s="64">
        <v>28.43</v>
      </c>
      <c r="I12" s="64">
        <v>6.05</v>
      </c>
      <c r="J12" s="64">
        <v>0.01</v>
      </c>
      <c r="K12" s="64">
        <v>20.04</v>
      </c>
      <c r="L12" s="64">
        <v>28.86</v>
      </c>
      <c r="M12" s="64">
        <v>102.6</v>
      </c>
      <c r="N12" s="64">
        <v>48.4</v>
      </c>
      <c r="O12" s="64">
        <v>0</v>
      </c>
      <c r="P12" s="64">
        <v>0.7</v>
      </c>
      <c r="Q12" s="64">
        <v>9.84</v>
      </c>
      <c r="R12" s="198"/>
      <c r="S12" s="198"/>
      <c r="T12" s="198"/>
      <c r="U12" s="198"/>
    </row>
    <row r="13" spans="1:21" s="12" customFormat="1" x14ac:dyDescent="0.25">
      <c r="A13" s="248" t="s">
        <v>1497</v>
      </c>
      <c r="B13" s="64">
        <v>8.08</v>
      </c>
      <c r="C13" s="64">
        <v>3.08</v>
      </c>
      <c r="D13" s="64">
        <v>11.87</v>
      </c>
      <c r="E13" s="64">
        <v>4.75</v>
      </c>
      <c r="F13" s="64">
        <v>3.46</v>
      </c>
      <c r="G13" s="64">
        <v>110.28</v>
      </c>
      <c r="H13" s="64">
        <v>26.17</v>
      </c>
      <c r="I13" s="64">
        <v>6.04</v>
      </c>
      <c r="J13" s="64">
        <v>0.11</v>
      </c>
      <c r="K13" s="64">
        <v>283.83</v>
      </c>
      <c r="L13" s="64">
        <v>28.74</v>
      </c>
      <c r="M13" s="64">
        <v>102.99</v>
      </c>
      <c r="N13" s="64">
        <v>48.6</v>
      </c>
      <c r="O13" s="64">
        <v>0</v>
      </c>
      <c r="P13" s="64">
        <v>0.68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48" t="s">
        <v>1498</v>
      </c>
      <c r="B14" s="64">
        <v>8.1</v>
      </c>
      <c r="C14" s="64">
        <v>3.12</v>
      </c>
      <c r="D14" s="64">
        <v>11.9</v>
      </c>
      <c r="E14" s="64">
        <v>4.99</v>
      </c>
      <c r="F14" s="64">
        <v>4.33</v>
      </c>
      <c r="G14" s="64">
        <v>110.28</v>
      </c>
      <c r="H14" s="64">
        <v>26.17</v>
      </c>
      <c r="I14" s="64">
        <v>6.22</v>
      </c>
      <c r="J14" s="64">
        <v>0.19</v>
      </c>
      <c r="K14" s="64">
        <v>339.57</v>
      </c>
      <c r="L14" s="64">
        <v>28.56</v>
      </c>
      <c r="M14" s="64">
        <v>103.04</v>
      </c>
      <c r="N14" s="64">
        <v>48.6</v>
      </c>
      <c r="O14" s="64">
        <v>0</v>
      </c>
      <c r="P14" s="64">
        <v>0.67</v>
      </c>
      <c r="Q14" s="64">
        <v>9.83</v>
      </c>
      <c r="R14" s="198"/>
      <c r="S14" s="198"/>
      <c r="T14" s="198"/>
      <c r="U14" s="198"/>
    </row>
    <row r="15" spans="1:21" s="12" customFormat="1" x14ac:dyDescent="0.25">
      <c r="A15" s="248" t="s">
        <v>1499</v>
      </c>
      <c r="B15" s="64">
        <v>8.25</v>
      </c>
      <c r="C15" s="64">
        <v>3.42</v>
      </c>
      <c r="D15" s="64">
        <v>12.18</v>
      </c>
      <c r="E15" s="64">
        <v>4.99</v>
      </c>
      <c r="F15" s="64">
        <v>2.23</v>
      </c>
      <c r="G15" s="64">
        <v>110.28</v>
      </c>
      <c r="H15" s="64">
        <v>26.17</v>
      </c>
      <c r="I15" s="64">
        <v>6.15</v>
      </c>
      <c r="J15" s="64">
        <v>0.08</v>
      </c>
      <c r="K15" s="64">
        <v>32.409999999999997</v>
      </c>
      <c r="L15" s="64">
        <v>28.56</v>
      </c>
      <c r="M15" s="64">
        <v>102.8</v>
      </c>
      <c r="N15" s="64">
        <v>48.5</v>
      </c>
      <c r="O15" s="64">
        <v>0</v>
      </c>
      <c r="P15" s="64">
        <v>0.64</v>
      </c>
      <c r="Q15" s="64">
        <v>9.77</v>
      </c>
      <c r="R15" s="198"/>
      <c r="S15" s="198"/>
      <c r="T15" s="198"/>
      <c r="U15" s="198"/>
    </row>
    <row r="16" spans="1:21" s="12" customFormat="1" x14ac:dyDescent="0.25">
      <c r="A16" s="248" t="s">
        <v>1500</v>
      </c>
      <c r="B16" s="64">
        <v>8.1</v>
      </c>
      <c r="C16" s="64">
        <v>3.18</v>
      </c>
      <c r="D16" s="64">
        <v>11.93</v>
      </c>
      <c r="E16" s="64">
        <v>4.83</v>
      </c>
      <c r="F16" s="64">
        <v>2.94</v>
      </c>
      <c r="G16" s="64">
        <v>95.07</v>
      </c>
      <c r="H16" s="64">
        <v>31.46</v>
      </c>
      <c r="I16" s="64">
        <v>6.09</v>
      </c>
      <c r="J16" s="64">
        <v>0.13</v>
      </c>
      <c r="K16" s="64">
        <v>299.33999999999997</v>
      </c>
      <c r="L16" s="64">
        <v>28.61</v>
      </c>
      <c r="M16" s="64">
        <v>102.76</v>
      </c>
      <c r="N16" s="64">
        <v>48.4</v>
      </c>
      <c r="O16" s="64">
        <v>0</v>
      </c>
      <c r="P16" s="64">
        <v>0.61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48" t="s">
        <v>1501</v>
      </c>
      <c r="B17" s="64">
        <v>8.01</v>
      </c>
      <c r="C17" s="64">
        <v>3.07</v>
      </c>
      <c r="D17" s="64">
        <v>11.8</v>
      </c>
      <c r="E17" s="64">
        <v>4.58</v>
      </c>
      <c r="F17" s="64">
        <v>4.5199999999999996</v>
      </c>
      <c r="G17" s="64">
        <v>88.55</v>
      </c>
      <c r="H17" s="64">
        <v>33.6</v>
      </c>
      <c r="I17" s="64">
        <v>5.96</v>
      </c>
      <c r="J17" s="64">
        <v>0.16</v>
      </c>
      <c r="K17" s="64">
        <v>354.3</v>
      </c>
      <c r="L17" s="64">
        <v>28.59</v>
      </c>
      <c r="M17" s="64">
        <v>101.9</v>
      </c>
      <c r="N17" s="64">
        <v>48.3</v>
      </c>
      <c r="O17" s="64">
        <v>0</v>
      </c>
      <c r="P17" s="64">
        <v>0.6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48" t="s">
        <v>1502</v>
      </c>
      <c r="B18" s="64">
        <v>8.0399999999999991</v>
      </c>
      <c r="C18" s="64">
        <v>3.09</v>
      </c>
      <c r="D18" s="64">
        <v>11.84</v>
      </c>
      <c r="E18" s="64">
        <v>5.0199999999999996</v>
      </c>
      <c r="F18" s="64">
        <v>2.7</v>
      </c>
      <c r="G18" s="64">
        <v>88.55</v>
      </c>
      <c r="H18" s="64">
        <v>33.6</v>
      </c>
      <c r="I18" s="64">
        <v>5.85</v>
      </c>
      <c r="J18" s="64">
        <v>0.08</v>
      </c>
      <c r="K18" s="64">
        <v>10.31</v>
      </c>
      <c r="L18" s="64">
        <v>28.52</v>
      </c>
      <c r="M18" s="64">
        <v>101.96</v>
      </c>
      <c r="N18" s="64">
        <v>48.4</v>
      </c>
      <c r="O18" s="64">
        <v>0</v>
      </c>
      <c r="P18" s="64">
        <v>0.57999999999999996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48" t="s">
        <v>1503</v>
      </c>
      <c r="B19" s="64">
        <v>8.11</v>
      </c>
      <c r="C19" s="64">
        <v>3.16</v>
      </c>
      <c r="D19" s="64">
        <v>11.93</v>
      </c>
      <c r="E19" s="64">
        <v>4.6500000000000004</v>
      </c>
      <c r="F19" s="64">
        <v>2.88</v>
      </c>
      <c r="G19" s="64">
        <v>88.55</v>
      </c>
      <c r="H19" s="64">
        <v>33.6</v>
      </c>
      <c r="I19" s="64">
        <v>5.8</v>
      </c>
      <c r="J19" s="64">
        <v>0.03</v>
      </c>
      <c r="K19" s="64">
        <v>355.25</v>
      </c>
      <c r="L19" s="64">
        <v>28.4</v>
      </c>
      <c r="M19" s="64">
        <v>102.18</v>
      </c>
      <c r="N19" s="64">
        <v>48.5</v>
      </c>
      <c r="O19" s="64">
        <v>0</v>
      </c>
      <c r="P19" s="64">
        <v>0.55000000000000004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48" t="s">
        <v>1504</v>
      </c>
      <c r="B20" s="64">
        <v>8.2100000000000009</v>
      </c>
      <c r="C20" s="64">
        <v>3.32</v>
      </c>
      <c r="D20" s="64">
        <v>12.1</v>
      </c>
      <c r="E20" s="64">
        <v>4.0599999999999996</v>
      </c>
      <c r="F20" s="64">
        <v>3.81</v>
      </c>
      <c r="G20" s="64">
        <v>78.650000000000006</v>
      </c>
      <c r="H20" s="64">
        <v>37.89</v>
      </c>
      <c r="I20" s="64">
        <v>5.68</v>
      </c>
      <c r="J20" s="64">
        <v>7.0000000000000007E-2</v>
      </c>
      <c r="K20" s="64">
        <v>331.46</v>
      </c>
      <c r="L20" s="64">
        <v>28.37</v>
      </c>
      <c r="M20" s="64">
        <v>102.23</v>
      </c>
      <c r="N20" s="64">
        <v>48.3</v>
      </c>
      <c r="O20" s="64">
        <v>0</v>
      </c>
      <c r="P20" s="64">
        <v>0.53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48" t="s">
        <v>1505</v>
      </c>
      <c r="B21" s="64">
        <v>8.08</v>
      </c>
      <c r="C21" s="64">
        <v>3.14</v>
      </c>
      <c r="D21" s="64">
        <v>11.89</v>
      </c>
      <c r="E21" s="64">
        <v>4.66</v>
      </c>
      <c r="F21" s="64">
        <v>3.55</v>
      </c>
      <c r="G21" s="64">
        <v>74.41</v>
      </c>
      <c r="H21" s="64">
        <v>39.64</v>
      </c>
      <c r="I21" s="64">
        <v>5.56</v>
      </c>
      <c r="J21" s="64">
        <v>0.09</v>
      </c>
      <c r="K21" s="64">
        <v>324.83</v>
      </c>
      <c r="L21" s="64">
        <v>28.35</v>
      </c>
      <c r="M21" s="64">
        <v>102.21</v>
      </c>
      <c r="N21" s="64">
        <v>48.3</v>
      </c>
      <c r="O21" s="64">
        <v>0</v>
      </c>
      <c r="P21" s="64">
        <v>0.52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48" t="s">
        <v>1506</v>
      </c>
      <c r="B22" s="64">
        <v>8.06</v>
      </c>
      <c r="C22" s="64">
        <v>3.13</v>
      </c>
      <c r="D22" s="64">
        <v>11.87</v>
      </c>
      <c r="E22" s="64">
        <v>5.13</v>
      </c>
      <c r="F22" s="64">
        <v>2.56</v>
      </c>
      <c r="G22" s="64">
        <v>74.41</v>
      </c>
      <c r="H22" s="64">
        <v>39.64</v>
      </c>
      <c r="I22" s="64">
        <v>5.47</v>
      </c>
      <c r="J22" s="64">
        <v>0.15</v>
      </c>
      <c r="K22" s="64">
        <v>340.9</v>
      </c>
      <c r="L22" s="64">
        <v>28.29</v>
      </c>
      <c r="M22" s="64">
        <v>102.13</v>
      </c>
      <c r="N22" s="64">
        <v>48.3</v>
      </c>
      <c r="O22" s="64">
        <v>0</v>
      </c>
      <c r="P22" s="64">
        <v>0.49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48" t="s">
        <v>1507</v>
      </c>
      <c r="B23" s="64">
        <v>8.0500000000000007</v>
      </c>
      <c r="C23" s="64">
        <v>3.13</v>
      </c>
      <c r="D23" s="64">
        <v>11.87</v>
      </c>
      <c r="E23" s="64">
        <v>4.47</v>
      </c>
      <c r="F23" s="64">
        <v>3.64</v>
      </c>
      <c r="G23" s="64">
        <v>74.41</v>
      </c>
      <c r="H23" s="64">
        <v>39.64</v>
      </c>
      <c r="I23" s="64">
        <v>5.43</v>
      </c>
      <c r="J23" s="64">
        <v>0.12</v>
      </c>
      <c r="K23" s="64">
        <v>307.02999999999997</v>
      </c>
      <c r="L23" s="64">
        <v>28.21</v>
      </c>
      <c r="M23" s="64">
        <v>102.18</v>
      </c>
      <c r="N23" s="64">
        <v>48.3</v>
      </c>
      <c r="O23" s="64">
        <v>0</v>
      </c>
      <c r="P23" s="64">
        <v>0.47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48" t="s">
        <v>1508</v>
      </c>
      <c r="B24" s="64">
        <v>8.0299999999999994</v>
      </c>
      <c r="C24" s="64">
        <v>3.1</v>
      </c>
      <c r="D24" s="64">
        <v>11.83</v>
      </c>
      <c r="E24" s="64">
        <v>4.33</v>
      </c>
      <c r="F24" s="64">
        <v>3.52</v>
      </c>
      <c r="G24" s="64">
        <v>65.260000000000005</v>
      </c>
      <c r="H24" s="64">
        <v>27.38</v>
      </c>
      <c r="I24" s="64">
        <v>5.26</v>
      </c>
      <c r="J24" s="64">
        <v>0.15</v>
      </c>
      <c r="K24" s="64">
        <v>323.52</v>
      </c>
      <c r="L24" s="64">
        <v>28.15</v>
      </c>
      <c r="M24" s="64">
        <v>102.23</v>
      </c>
      <c r="N24" s="64">
        <v>48.3</v>
      </c>
      <c r="O24" s="64">
        <v>0</v>
      </c>
      <c r="P24" s="64">
        <v>0.47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48" t="s">
        <v>1509</v>
      </c>
      <c r="B25" s="64">
        <v>8.01</v>
      </c>
      <c r="C25" s="64">
        <v>3.1</v>
      </c>
      <c r="D25" s="64">
        <v>11.82</v>
      </c>
      <c r="E25" s="64">
        <v>4.3499999999999996</v>
      </c>
      <c r="F25" s="64">
        <v>3.07</v>
      </c>
      <c r="G25" s="64">
        <v>61.35</v>
      </c>
      <c r="H25" s="64">
        <v>22.4</v>
      </c>
      <c r="I25" s="64">
        <v>5.13</v>
      </c>
      <c r="J25" s="64">
        <v>0.17</v>
      </c>
      <c r="K25" s="64">
        <v>286.93</v>
      </c>
      <c r="L25" s="64">
        <v>28.16</v>
      </c>
      <c r="M25" s="64">
        <v>102.25</v>
      </c>
      <c r="N25" s="64">
        <v>48.3</v>
      </c>
      <c r="O25" s="64">
        <v>0</v>
      </c>
      <c r="P25" s="64">
        <v>0.44</v>
      </c>
      <c r="Q25" s="64">
        <v>9.4700000000000006</v>
      </c>
      <c r="R25" s="198"/>
      <c r="S25" s="198"/>
      <c r="T25" s="198"/>
      <c r="U25" s="198"/>
    </row>
    <row r="26" spans="1:21" s="12" customFormat="1" x14ac:dyDescent="0.25">
      <c r="A26" s="248" t="s">
        <v>1510</v>
      </c>
      <c r="B26" s="64">
        <v>8.02</v>
      </c>
      <c r="C26" s="64">
        <v>3.09</v>
      </c>
      <c r="D26" s="64">
        <v>11.82</v>
      </c>
      <c r="E26" s="64">
        <v>4.7699999999999996</v>
      </c>
      <c r="F26" s="64">
        <v>3.35</v>
      </c>
      <c r="G26" s="64">
        <v>61.35</v>
      </c>
      <c r="H26" s="64">
        <v>22.4</v>
      </c>
      <c r="I26" s="64">
        <v>5.17</v>
      </c>
      <c r="J26" s="64">
        <v>0.11</v>
      </c>
      <c r="K26" s="64">
        <v>285.18</v>
      </c>
      <c r="L26" s="64">
        <v>28.14</v>
      </c>
      <c r="M26" s="64">
        <v>102.26</v>
      </c>
      <c r="N26" s="64">
        <v>48.3</v>
      </c>
      <c r="O26" s="64">
        <v>0</v>
      </c>
      <c r="P26" s="64">
        <v>0.43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48" t="s">
        <v>1511</v>
      </c>
      <c r="B27" s="64">
        <v>8</v>
      </c>
      <c r="C27" s="64">
        <v>3.05</v>
      </c>
      <c r="D27" s="64">
        <v>11.78</v>
      </c>
      <c r="E27" s="64">
        <v>4.8099999999999996</v>
      </c>
      <c r="F27" s="64">
        <v>3.08</v>
      </c>
      <c r="G27" s="64">
        <v>61.35</v>
      </c>
      <c r="H27" s="64">
        <v>22.4</v>
      </c>
      <c r="I27" s="64">
        <v>5.07</v>
      </c>
      <c r="J27" s="64">
        <v>0.1</v>
      </c>
      <c r="K27" s="64">
        <v>321.51</v>
      </c>
      <c r="L27" s="64">
        <v>28.12</v>
      </c>
      <c r="M27" s="64">
        <v>102.25</v>
      </c>
      <c r="N27" s="64">
        <v>48.3</v>
      </c>
      <c r="O27" s="64">
        <v>0</v>
      </c>
      <c r="P27" s="64">
        <v>0.42</v>
      </c>
      <c r="Q27" s="64">
        <v>9.4600000000000009</v>
      </c>
      <c r="R27" s="198"/>
      <c r="S27" s="198"/>
      <c r="T27" s="198"/>
      <c r="U27" s="198"/>
    </row>
    <row r="28" spans="1:21" s="12" customFormat="1" x14ac:dyDescent="0.25">
      <c r="A28" s="248" t="s">
        <v>1512</v>
      </c>
      <c r="B28" s="64">
        <v>7.99</v>
      </c>
      <c r="C28" s="64">
        <v>3.03</v>
      </c>
      <c r="D28" s="64">
        <v>11.77</v>
      </c>
      <c r="E28" s="64">
        <v>4.7300000000000004</v>
      </c>
      <c r="F28" s="64">
        <v>3.73</v>
      </c>
      <c r="G28" s="64">
        <v>56.32</v>
      </c>
      <c r="H28" s="64">
        <v>31.57</v>
      </c>
      <c r="I28" s="64">
        <v>5.13</v>
      </c>
      <c r="J28" s="64">
        <v>0.13</v>
      </c>
      <c r="K28" s="64">
        <v>319.58999999999997</v>
      </c>
      <c r="L28" s="64">
        <v>28.08</v>
      </c>
      <c r="M28" s="64">
        <v>102.27</v>
      </c>
      <c r="N28" s="64">
        <v>48.2</v>
      </c>
      <c r="O28" s="64">
        <v>0</v>
      </c>
      <c r="P28" s="64">
        <v>0.41</v>
      </c>
      <c r="Q28" s="64">
        <v>9.4700000000000006</v>
      </c>
      <c r="R28" s="198"/>
      <c r="S28" s="198"/>
      <c r="T28" s="198"/>
      <c r="U28" s="198"/>
    </row>
    <row r="29" spans="1:21" s="12" customFormat="1" x14ac:dyDescent="0.25">
      <c r="A29" s="248" t="s">
        <v>1513</v>
      </c>
      <c r="B29" s="64">
        <v>8.0299999999999994</v>
      </c>
      <c r="C29" s="64">
        <v>3.03</v>
      </c>
      <c r="D29" s="64">
        <v>11.79</v>
      </c>
      <c r="E29" s="64">
        <v>4.95</v>
      </c>
      <c r="F29" s="64">
        <v>3.21</v>
      </c>
      <c r="G29" s="64">
        <v>54.17</v>
      </c>
      <c r="H29" s="64">
        <v>35.299999999999997</v>
      </c>
      <c r="I29" s="64">
        <v>5.12</v>
      </c>
      <c r="J29" s="64">
        <v>0.19</v>
      </c>
      <c r="K29" s="64">
        <v>331.26</v>
      </c>
      <c r="L29" s="64">
        <v>27.97</v>
      </c>
      <c r="M29" s="64">
        <v>102.35</v>
      </c>
      <c r="N29" s="64">
        <v>48.1</v>
      </c>
      <c r="O29" s="64">
        <v>0</v>
      </c>
      <c r="P29" s="64">
        <v>0.4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48" t="s">
        <v>1514</v>
      </c>
      <c r="B30" s="64">
        <v>8.0299999999999994</v>
      </c>
      <c r="C30" s="64">
        <v>3.04</v>
      </c>
      <c r="D30" s="64">
        <v>11.8</v>
      </c>
      <c r="E30" s="64">
        <v>4.96</v>
      </c>
      <c r="F30" s="64">
        <v>2.99</v>
      </c>
      <c r="G30" s="64">
        <v>54.17</v>
      </c>
      <c r="H30" s="64">
        <v>35.299999999999997</v>
      </c>
      <c r="I30" s="64">
        <v>5.14</v>
      </c>
      <c r="J30" s="64">
        <v>0.18</v>
      </c>
      <c r="K30" s="64">
        <v>305.68</v>
      </c>
      <c r="L30" s="64">
        <v>27.87</v>
      </c>
      <c r="M30" s="64">
        <v>102.36</v>
      </c>
      <c r="N30" s="64">
        <v>48</v>
      </c>
      <c r="O30" s="64">
        <v>0</v>
      </c>
      <c r="P30" s="64">
        <v>0.4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48" t="s">
        <v>1515</v>
      </c>
      <c r="B31" s="64">
        <v>7.99</v>
      </c>
      <c r="C31" s="64">
        <v>2.99</v>
      </c>
      <c r="D31" s="64">
        <v>11.75</v>
      </c>
      <c r="E31" s="64">
        <v>4.6500000000000004</v>
      </c>
      <c r="F31" s="64">
        <v>3.21</v>
      </c>
      <c r="G31" s="64">
        <v>54.17</v>
      </c>
      <c r="H31" s="64">
        <v>35.299999999999997</v>
      </c>
      <c r="I31" s="64">
        <v>5.0599999999999996</v>
      </c>
      <c r="J31" s="64">
        <v>0.03</v>
      </c>
      <c r="K31" s="64">
        <v>112.54</v>
      </c>
      <c r="L31" s="64">
        <v>27.81</v>
      </c>
      <c r="M31" s="64">
        <v>102.39</v>
      </c>
      <c r="N31" s="64">
        <v>48.9</v>
      </c>
      <c r="O31" s="64">
        <v>0</v>
      </c>
      <c r="P31" s="64">
        <v>0.38</v>
      </c>
      <c r="Q31" s="64">
        <v>9.4700000000000006</v>
      </c>
      <c r="R31" s="198"/>
      <c r="S31" s="198"/>
      <c r="T31" s="198"/>
      <c r="U31" s="198"/>
    </row>
    <row r="32" spans="1:21" s="12" customFormat="1" x14ac:dyDescent="0.25">
      <c r="A32" s="248" t="s">
        <v>1516</v>
      </c>
      <c r="B32" s="64">
        <v>8.02</v>
      </c>
      <c r="C32" s="64">
        <v>3</v>
      </c>
      <c r="D32" s="64">
        <v>11.77</v>
      </c>
      <c r="E32" s="64">
        <v>4.6399999999999997</v>
      </c>
      <c r="F32" s="64">
        <v>3.25</v>
      </c>
      <c r="G32" s="64">
        <v>55.89</v>
      </c>
      <c r="H32" s="64">
        <v>25.39</v>
      </c>
      <c r="I32" s="64">
        <v>4.9800000000000004</v>
      </c>
      <c r="J32" s="64">
        <v>0.19</v>
      </c>
      <c r="K32" s="64">
        <v>230.42</v>
      </c>
      <c r="L32" s="64">
        <v>27.73</v>
      </c>
      <c r="M32" s="64">
        <v>102.45</v>
      </c>
      <c r="N32" s="64">
        <v>53.5</v>
      </c>
      <c r="O32" s="64">
        <v>0</v>
      </c>
      <c r="P32" s="64">
        <v>0.37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48" t="s">
        <v>1517</v>
      </c>
      <c r="B33" s="64">
        <v>7.96</v>
      </c>
      <c r="C33" s="64">
        <v>2.97</v>
      </c>
      <c r="D33" s="64">
        <v>11.72</v>
      </c>
      <c r="E33" s="64">
        <v>4.93</v>
      </c>
      <c r="F33" s="64">
        <v>3.59</v>
      </c>
      <c r="G33" s="64">
        <v>56.62</v>
      </c>
      <c r="H33" s="64">
        <v>21.37</v>
      </c>
      <c r="I33" s="64">
        <v>4.8499999999999996</v>
      </c>
      <c r="J33" s="64">
        <v>0.22</v>
      </c>
      <c r="K33" s="64">
        <v>342.1</v>
      </c>
      <c r="L33" s="64">
        <v>27.76</v>
      </c>
      <c r="M33" s="64">
        <v>102.56</v>
      </c>
      <c r="N33" s="64">
        <v>64.900000000000006</v>
      </c>
      <c r="O33" s="64">
        <v>0</v>
      </c>
      <c r="P33" s="64">
        <v>0.41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48" t="s">
        <v>1518</v>
      </c>
      <c r="B34" s="64">
        <v>7.99</v>
      </c>
      <c r="C34" s="64">
        <v>3.08</v>
      </c>
      <c r="D34" s="64">
        <v>11.79</v>
      </c>
      <c r="E34" s="64">
        <v>5.09</v>
      </c>
      <c r="F34" s="64">
        <v>2.48</v>
      </c>
      <c r="G34" s="64">
        <v>56.62</v>
      </c>
      <c r="H34" s="64">
        <v>21.37</v>
      </c>
      <c r="I34" s="64">
        <v>5</v>
      </c>
      <c r="J34" s="64">
        <v>0.16</v>
      </c>
      <c r="K34" s="64">
        <v>349.97</v>
      </c>
      <c r="L34" s="64">
        <v>27.91</v>
      </c>
      <c r="M34" s="64">
        <v>102.66</v>
      </c>
      <c r="N34" s="64">
        <v>83.3</v>
      </c>
      <c r="O34" s="64">
        <v>0</v>
      </c>
      <c r="P34" s="64">
        <v>0.42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48" t="s">
        <v>1519</v>
      </c>
      <c r="B35" s="64">
        <v>8.01</v>
      </c>
      <c r="C35" s="64">
        <v>2.98</v>
      </c>
      <c r="D35" s="64">
        <v>11.75</v>
      </c>
      <c r="E35" s="64">
        <v>4.57</v>
      </c>
      <c r="F35" s="64">
        <v>3.45</v>
      </c>
      <c r="G35" s="64">
        <v>56.62</v>
      </c>
      <c r="H35" s="64">
        <v>21.37</v>
      </c>
      <c r="I35" s="64">
        <v>4.9400000000000004</v>
      </c>
      <c r="J35" s="64">
        <v>7.0000000000000007E-2</v>
      </c>
      <c r="K35" s="64">
        <v>322.93</v>
      </c>
      <c r="L35" s="64">
        <v>28.13</v>
      </c>
      <c r="M35" s="64">
        <v>103.05</v>
      </c>
      <c r="N35" s="64">
        <v>117.2</v>
      </c>
      <c r="O35" s="64">
        <v>0</v>
      </c>
      <c r="P35" s="64">
        <v>0.41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48" t="s">
        <v>1520</v>
      </c>
      <c r="B36" s="64">
        <v>7.97</v>
      </c>
      <c r="C36" s="64">
        <v>3</v>
      </c>
      <c r="D36" s="64">
        <v>11.74</v>
      </c>
      <c r="E36" s="64">
        <v>3.63</v>
      </c>
      <c r="F36" s="64">
        <v>4.3600000000000003</v>
      </c>
      <c r="G36" s="64">
        <v>57.51</v>
      </c>
      <c r="H36" s="64">
        <v>15.99</v>
      </c>
      <c r="I36" s="64">
        <v>4.75</v>
      </c>
      <c r="J36" s="64">
        <v>0.15</v>
      </c>
      <c r="K36" s="64">
        <v>338.22</v>
      </c>
      <c r="L36" s="64">
        <v>28.53</v>
      </c>
      <c r="M36" s="64">
        <v>102.72</v>
      </c>
      <c r="N36" s="64">
        <v>120.6</v>
      </c>
      <c r="O36" s="64">
        <v>0</v>
      </c>
      <c r="P36" s="64">
        <v>0.42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48" t="s">
        <v>1521</v>
      </c>
      <c r="B37" s="64">
        <v>8.0500000000000007</v>
      </c>
      <c r="C37" s="64">
        <v>3.13</v>
      </c>
      <c r="D37" s="64">
        <v>11.87</v>
      </c>
      <c r="E37" s="64">
        <v>4.67</v>
      </c>
      <c r="F37" s="64">
        <v>2.16</v>
      </c>
      <c r="G37" s="64">
        <v>57.9</v>
      </c>
      <c r="H37" s="64">
        <v>13.69</v>
      </c>
      <c r="I37" s="64">
        <v>4.47</v>
      </c>
      <c r="J37" s="64">
        <v>0.14000000000000001</v>
      </c>
      <c r="K37" s="64">
        <v>7.63</v>
      </c>
      <c r="L37" s="64">
        <v>28.58</v>
      </c>
      <c r="M37" s="64">
        <v>101.57</v>
      </c>
      <c r="N37" s="64">
        <v>117.2</v>
      </c>
      <c r="O37" s="64">
        <v>0</v>
      </c>
      <c r="P37" s="64">
        <v>0.42</v>
      </c>
      <c r="Q37" s="64">
        <v>9.43</v>
      </c>
      <c r="R37" s="198"/>
      <c r="S37" s="198"/>
      <c r="T37" s="198"/>
      <c r="U37" s="198"/>
    </row>
    <row r="38" spans="1:21" s="12" customFormat="1" x14ac:dyDescent="0.25">
      <c r="A38" s="248" t="s">
        <v>1522</v>
      </c>
      <c r="B38" s="64">
        <v>8.08</v>
      </c>
      <c r="C38" s="64">
        <v>3.15</v>
      </c>
      <c r="D38" s="64">
        <v>11.89</v>
      </c>
      <c r="E38" s="64">
        <v>4.1399999999999997</v>
      </c>
      <c r="F38" s="64">
        <v>2.89</v>
      </c>
      <c r="G38" s="64">
        <v>57.9</v>
      </c>
      <c r="H38" s="64">
        <v>13.69</v>
      </c>
      <c r="I38" s="64">
        <v>4.68</v>
      </c>
      <c r="J38" s="64">
        <v>0.15</v>
      </c>
      <c r="K38" s="64">
        <v>312.25</v>
      </c>
      <c r="L38" s="64">
        <v>28.27</v>
      </c>
      <c r="M38" s="64">
        <v>101.54</v>
      </c>
      <c r="N38" s="64">
        <v>114.4</v>
      </c>
      <c r="O38" s="64">
        <v>0</v>
      </c>
      <c r="P38" s="64">
        <v>0.41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48" t="s">
        <v>1523</v>
      </c>
      <c r="B39" s="64">
        <v>8.0299999999999994</v>
      </c>
      <c r="C39" s="64">
        <v>3.07</v>
      </c>
      <c r="D39" s="64">
        <v>11.82</v>
      </c>
      <c r="E39" s="64">
        <v>4.08</v>
      </c>
      <c r="F39" s="64">
        <v>4.13</v>
      </c>
      <c r="G39" s="64">
        <v>57.9</v>
      </c>
      <c r="H39" s="64">
        <v>13.69</v>
      </c>
      <c r="I39" s="64">
        <v>4.28</v>
      </c>
      <c r="J39" s="64">
        <v>0.11</v>
      </c>
      <c r="K39" s="64">
        <v>284.16000000000003</v>
      </c>
      <c r="L39" s="64">
        <v>28.29</v>
      </c>
      <c r="M39" s="64">
        <v>101.57</v>
      </c>
      <c r="N39" s="64">
        <v>121.5</v>
      </c>
      <c r="O39" s="64">
        <v>0</v>
      </c>
      <c r="P39" s="64">
        <v>0.41</v>
      </c>
      <c r="Q39" s="64">
        <v>9.39</v>
      </c>
      <c r="R39" s="198"/>
      <c r="S39" s="198"/>
      <c r="T39" s="198"/>
      <c r="U39" s="198"/>
    </row>
    <row r="40" spans="1:21" s="12" customFormat="1" x14ac:dyDescent="0.25">
      <c r="A40" s="248" t="s">
        <v>1524</v>
      </c>
      <c r="B40" s="64">
        <v>8.01</v>
      </c>
      <c r="C40" s="64">
        <v>3.08</v>
      </c>
      <c r="D40" s="64">
        <v>11.8</v>
      </c>
      <c r="E40" s="64">
        <v>4.3499999999999996</v>
      </c>
      <c r="F40" s="64">
        <v>2.36</v>
      </c>
      <c r="G40" s="64">
        <v>57.11</v>
      </c>
      <c r="H40" s="64">
        <v>11.05</v>
      </c>
      <c r="I40" s="64">
        <v>4.13</v>
      </c>
      <c r="J40" s="64">
        <v>0.12</v>
      </c>
      <c r="K40" s="64">
        <v>330.64</v>
      </c>
      <c r="L40" s="64">
        <v>28.52</v>
      </c>
      <c r="M40" s="64">
        <v>101.53</v>
      </c>
      <c r="N40" s="64">
        <v>123.6</v>
      </c>
      <c r="O40" s="64">
        <v>0</v>
      </c>
      <c r="P40" s="64">
        <v>0.42</v>
      </c>
      <c r="Q40" s="64">
        <v>9.41</v>
      </c>
      <c r="R40" s="198"/>
      <c r="S40" s="198"/>
      <c r="T40" s="198"/>
      <c r="U40" s="198"/>
    </row>
    <row r="41" spans="1:21" s="12" customFormat="1" x14ac:dyDescent="0.25">
      <c r="A41" s="248" t="s">
        <v>1525</v>
      </c>
      <c r="B41" s="64">
        <v>7.96</v>
      </c>
      <c r="C41" s="64">
        <v>2.99</v>
      </c>
      <c r="D41" s="64">
        <v>11.72</v>
      </c>
      <c r="E41" s="64">
        <v>4.72</v>
      </c>
      <c r="F41" s="64">
        <v>3.02</v>
      </c>
      <c r="G41" s="64">
        <v>56.77</v>
      </c>
      <c r="H41" s="64">
        <v>9.98</v>
      </c>
      <c r="I41" s="64">
        <v>4.0999999999999996</v>
      </c>
      <c r="J41" s="64">
        <v>0.21</v>
      </c>
      <c r="K41" s="64">
        <v>341.66</v>
      </c>
      <c r="L41" s="64">
        <v>28.56</v>
      </c>
      <c r="M41" s="64">
        <v>101.56</v>
      </c>
      <c r="N41" s="64">
        <v>146.69999999999999</v>
      </c>
      <c r="O41" s="64">
        <v>0</v>
      </c>
      <c r="P41" s="64">
        <v>0.42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48" t="s">
        <v>1526</v>
      </c>
      <c r="B42" s="64">
        <v>7.98</v>
      </c>
      <c r="C42" s="64">
        <v>3.05</v>
      </c>
      <c r="D42" s="64">
        <v>11.76</v>
      </c>
      <c r="E42" s="64">
        <v>3.89</v>
      </c>
      <c r="F42" s="64">
        <v>3.92</v>
      </c>
      <c r="G42" s="64">
        <v>56.77</v>
      </c>
      <c r="H42" s="64">
        <v>9.98</v>
      </c>
      <c r="I42" s="64">
        <v>4.03</v>
      </c>
      <c r="J42" s="64">
        <v>0.25</v>
      </c>
      <c r="K42" s="64">
        <v>345</v>
      </c>
      <c r="L42" s="64">
        <v>28.72</v>
      </c>
      <c r="M42" s="64">
        <v>101.64</v>
      </c>
      <c r="N42" s="64">
        <v>156.9</v>
      </c>
      <c r="O42" s="64">
        <v>0</v>
      </c>
      <c r="P42" s="64">
        <v>0.42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48" t="s">
        <v>1527</v>
      </c>
      <c r="B43" s="64">
        <v>7.96</v>
      </c>
      <c r="C43" s="64">
        <v>3.03</v>
      </c>
      <c r="D43" s="64">
        <v>11.74</v>
      </c>
      <c r="E43" s="64">
        <v>4.17</v>
      </c>
      <c r="F43" s="64">
        <v>3.36</v>
      </c>
      <c r="G43" s="64">
        <v>56.77</v>
      </c>
      <c r="H43" s="64">
        <v>9.98</v>
      </c>
      <c r="I43" s="64">
        <v>4.1500000000000004</v>
      </c>
      <c r="J43" s="64">
        <v>0.22</v>
      </c>
      <c r="K43" s="64">
        <v>331.58</v>
      </c>
      <c r="L43" s="64">
        <v>28.8</v>
      </c>
      <c r="M43" s="64">
        <v>101.68</v>
      </c>
      <c r="N43" s="64">
        <v>165.4</v>
      </c>
      <c r="O43" s="64">
        <v>0</v>
      </c>
      <c r="P43" s="64">
        <v>0.43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48" t="s">
        <v>1528</v>
      </c>
      <c r="B44" s="64">
        <v>8.0299999999999994</v>
      </c>
      <c r="C44" s="64">
        <v>3.09</v>
      </c>
      <c r="D44" s="64">
        <v>11.83</v>
      </c>
      <c r="E44" s="64">
        <v>3.95</v>
      </c>
      <c r="F44" s="64">
        <v>3.58</v>
      </c>
      <c r="G44" s="64">
        <v>63</v>
      </c>
      <c r="H44" s="64">
        <v>24.29</v>
      </c>
      <c r="I44" s="64">
        <v>4</v>
      </c>
      <c r="J44" s="64">
        <v>0.17</v>
      </c>
      <c r="K44" s="64">
        <v>309.55</v>
      </c>
      <c r="L44" s="64">
        <v>28.94</v>
      </c>
      <c r="M44" s="64">
        <v>101.73</v>
      </c>
      <c r="N44" s="64">
        <v>147.80000000000001</v>
      </c>
      <c r="O44" s="64">
        <v>0</v>
      </c>
      <c r="P44" s="64">
        <v>0.43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48" t="s">
        <v>1529</v>
      </c>
      <c r="B45" s="64">
        <v>8.0399999999999991</v>
      </c>
      <c r="C45" s="64">
        <v>3.1</v>
      </c>
      <c r="D45" s="64">
        <v>11.84</v>
      </c>
      <c r="E45" s="64">
        <v>4.3499999999999996</v>
      </c>
      <c r="F45" s="64">
        <v>3.59</v>
      </c>
      <c r="G45" s="64">
        <v>65.53</v>
      </c>
      <c r="H45" s="64">
        <v>30.1</v>
      </c>
      <c r="I45" s="64">
        <v>3.82</v>
      </c>
      <c r="J45" s="64">
        <v>0.15</v>
      </c>
      <c r="K45" s="64">
        <v>336.01</v>
      </c>
      <c r="L45" s="64">
        <v>29.14</v>
      </c>
      <c r="M45" s="64">
        <v>101.72</v>
      </c>
      <c r="N45" s="64">
        <v>153.69999999999999</v>
      </c>
      <c r="O45" s="64">
        <v>0</v>
      </c>
      <c r="P45" s="64">
        <v>0.45</v>
      </c>
      <c r="Q45" s="64">
        <v>9.3699999999999992</v>
      </c>
      <c r="R45" s="198"/>
      <c r="S45" s="198"/>
      <c r="T45" s="198"/>
      <c r="U45" s="198"/>
    </row>
    <row r="46" spans="1:21" s="12" customFormat="1" x14ac:dyDescent="0.25">
      <c r="A46" s="248" t="s">
        <v>1530</v>
      </c>
      <c r="B46" s="64">
        <v>8.02</v>
      </c>
      <c r="C46" s="64">
        <v>3.07</v>
      </c>
      <c r="D46" s="64">
        <v>11.8</v>
      </c>
      <c r="E46" s="64">
        <v>4.1399999999999997</v>
      </c>
      <c r="F46" s="64">
        <v>3.49</v>
      </c>
      <c r="G46" s="64">
        <v>65.53</v>
      </c>
      <c r="H46" s="64">
        <v>30.1</v>
      </c>
      <c r="I46" s="64">
        <v>3.8</v>
      </c>
      <c r="J46" s="64">
        <v>0.16</v>
      </c>
      <c r="K46" s="64">
        <v>310.89999999999998</v>
      </c>
      <c r="L46" s="64">
        <v>29.14</v>
      </c>
      <c r="M46" s="64">
        <v>101.75</v>
      </c>
      <c r="N46" s="64">
        <v>149.19999999999999</v>
      </c>
      <c r="O46" s="64">
        <v>0</v>
      </c>
      <c r="P46" s="64">
        <v>0.47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48" t="s">
        <v>1531</v>
      </c>
      <c r="B47" s="64">
        <v>7.99</v>
      </c>
      <c r="C47" s="64">
        <v>3.02</v>
      </c>
      <c r="D47" s="64">
        <v>11.76</v>
      </c>
      <c r="E47" s="64">
        <v>4.1900000000000004</v>
      </c>
      <c r="F47" s="64">
        <v>3.53</v>
      </c>
      <c r="G47" s="64">
        <v>65.53</v>
      </c>
      <c r="H47" s="64">
        <v>30.1</v>
      </c>
      <c r="I47" s="64">
        <v>4.05</v>
      </c>
      <c r="J47" s="64">
        <v>0.22</v>
      </c>
      <c r="K47" s="64">
        <v>318.06</v>
      </c>
      <c r="L47" s="64">
        <v>29.1</v>
      </c>
      <c r="M47" s="64">
        <v>101.1</v>
      </c>
      <c r="N47" s="64">
        <v>163.30000000000001</v>
      </c>
      <c r="O47" s="64">
        <v>0</v>
      </c>
      <c r="P47" s="64">
        <v>0.48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48" t="s">
        <v>1532</v>
      </c>
      <c r="B48" s="64">
        <v>8.01</v>
      </c>
      <c r="C48" s="64">
        <v>3.02</v>
      </c>
      <c r="D48" s="64">
        <v>11.77</v>
      </c>
      <c r="E48" s="64">
        <v>4.1900000000000004</v>
      </c>
      <c r="F48" s="64">
        <v>3.74</v>
      </c>
      <c r="G48" s="64">
        <v>74.069999999999993</v>
      </c>
      <c r="H48" s="64">
        <v>31.11</v>
      </c>
      <c r="I48" s="64">
        <v>4.21</v>
      </c>
      <c r="J48" s="64">
        <v>0.24</v>
      </c>
      <c r="K48" s="64">
        <v>318.52999999999997</v>
      </c>
      <c r="L48" s="64">
        <v>29.88</v>
      </c>
      <c r="M48" s="64">
        <v>99.29</v>
      </c>
      <c r="N48" s="64">
        <v>172.8</v>
      </c>
      <c r="O48" s="64">
        <v>0</v>
      </c>
      <c r="P48" s="64">
        <v>0.51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48" t="s">
        <v>1533</v>
      </c>
      <c r="B49" s="64">
        <v>8.0299999999999994</v>
      </c>
      <c r="C49" s="64">
        <v>3.03</v>
      </c>
      <c r="D49" s="64">
        <v>11.79</v>
      </c>
      <c r="E49" s="64">
        <v>4.54</v>
      </c>
      <c r="F49" s="64">
        <v>3.23</v>
      </c>
      <c r="G49" s="64">
        <v>77.73</v>
      </c>
      <c r="H49" s="64">
        <v>31.54</v>
      </c>
      <c r="I49" s="64">
        <v>4.17</v>
      </c>
      <c r="J49" s="64">
        <v>0.19</v>
      </c>
      <c r="K49" s="64">
        <v>304.5</v>
      </c>
      <c r="L49" s="64">
        <v>30.01</v>
      </c>
      <c r="M49" s="64">
        <v>97.3</v>
      </c>
      <c r="N49" s="64">
        <v>176</v>
      </c>
      <c r="O49" s="64">
        <v>0</v>
      </c>
      <c r="P49" s="64">
        <v>0.54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48" t="s">
        <v>1534</v>
      </c>
      <c r="B50" s="64">
        <v>8.01</v>
      </c>
      <c r="C50" s="64">
        <v>2.99</v>
      </c>
      <c r="D50" s="64">
        <v>11.76</v>
      </c>
      <c r="E50" s="64">
        <v>4.37</v>
      </c>
      <c r="F50" s="64">
        <v>3.89</v>
      </c>
      <c r="G50" s="64">
        <v>77.73</v>
      </c>
      <c r="H50" s="64">
        <v>31.54</v>
      </c>
      <c r="I50" s="64">
        <v>4.6100000000000003</v>
      </c>
      <c r="J50" s="64">
        <v>0.18</v>
      </c>
      <c r="K50" s="64">
        <v>332.16</v>
      </c>
      <c r="L50" s="64">
        <v>29.79</v>
      </c>
      <c r="M50" s="64">
        <v>98.6</v>
      </c>
      <c r="N50" s="64">
        <v>149.80000000000001</v>
      </c>
      <c r="O50" s="64">
        <v>0</v>
      </c>
      <c r="P50" s="64">
        <v>0.56000000000000005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48" t="s">
        <v>1535</v>
      </c>
      <c r="B51" s="64">
        <v>7.98</v>
      </c>
      <c r="C51" s="64">
        <v>2.98</v>
      </c>
      <c r="D51" s="64">
        <v>11.73</v>
      </c>
      <c r="E51" s="64">
        <v>4.41</v>
      </c>
      <c r="F51" s="64">
        <v>3.56</v>
      </c>
      <c r="G51" s="64">
        <v>77.73</v>
      </c>
      <c r="H51" s="64">
        <v>31.54</v>
      </c>
      <c r="I51" s="64">
        <v>4.7699999999999996</v>
      </c>
      <c r="J51" s="64">
        <v>0.08</v>
      </c>
      <c r="K51" s="64">
        <v>298.86</v>
      </c>
      <c r="L51" s="64">
        <v>29.62</v>
      </c>
      <c r="M51" s="64">
        <v>98.99</v>
      </c>
      <c r="N51" s="64">
        <v>157</v>
      </c>
      <c r="O51" s="64">
        <v>0</v>
      </c>
      <c r="P51" s="64">
        <v>0.59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48" t="s">
        <v>1536</v>
      </c>
      <c r="B52" s="64">
        <v>7.98</v>
      </c>
      <c r="C52" s="64">
        <v>3.03</v>
      </c>
      <c r="D52" s="64">
        <v>11.76</v>
      </c>
      <c r="E52" s="64">
        <v>5.0599999999999996</v>
      </c>
      <c r="F52" s="64">
        <v>2.67</v>
      </c>
      <c r="G52" s="64">
        <v>75.27</v>
      </c>
      <c r="H52" s="64">
        <v>30.36</v>
      </c>
      <c r="I52" s="64">
        <v>4.9400000000000004</v>
      </c>
      <c r="J52" s="64">
        <v>0.16</v>
      </c>
      <c r="K52" s="64">
        <v>317.76</v>
      </c>
      <c r="L52" s="64">
        <v>29.58</v>
      </c>
      <c r="M52" s="64">
        <v>100.17</v>
      </c>
      <c r="N52" s="64">
        <v>163</v>
      </c>
      <c r="O52" s="64">
        <v>0</v>
      </c>
      <c r="P52" s="64">
        <v>0.59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48" t="s">
        <v>1537</v>
      </c>
      <c r="B53" s="64">
        <v>8.0500000000000007</v>
      </c>
      <c r="C53" s="64">
        <v>3.09</v>
      </c>
      <c r="D53" s="64">
        <v>11.84</v>
      </c>
      <c r="E53" s="64">
        <v>4.8099999999999996</v>
      </c>
      <c r="F53" s="64">
        <v>3.82</v>
      </c>
      <c r="G53" s="64">
        <v>74.22</v>
      </c>
      <c r="H53" s="64">
        <v>29.89</v>
      </c>
      <c r="I53" s="64">
        <v>5.05</v>
      </c>
      <c r="J53" s="64">
        <v>0.17</v>
      </c>
      <c r="K53" s="64">
        <v>321.88</v>
      </c>
      <c r="L53" s="64">
        <v>30.2</v>
      </c>
      <c r="M53" s="64">
        <v>97.69</v>
      </c>
      <c r="N53" s="64">
        <v>214.1</v>
      </c>
      <c r="O53" s="64">
        <v>0</v>
      </c>
      <c r="P53" s="64">
        <v>0.6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48" t="s">
        <v>1538</v>
      </c>
      <c r="B54" s="64">
        <v>8.0299999999999994</v>
      </c>
      <c r="C54" s="64">
        <v>3.08</v>
      </c>
      <c r="D54" s="64">
        <v>11.82</v>
      </c>
      <c r="E54" s="64">
        <v>4.84</v>
      </c>
      <c r="F54" s="64">
        <v>4.18</v>
      </c>
      <c r="G54" s="64">
        <v>74.22</v>
      </c>
      <c r="H54" s="64">
        <v>29.89</v>
      </c>
      <c r="I54" s="64">
        <v>5.0599999999999996</v>
      </c>
      <c r="J54" s="64">
        <v>0.44</v>
      </c>
      <c r="K54" s="64">
        <v>336.68</v>
      </c>
      <c r="L54" s="64">
        <v>30.78</v>
      </c>
      <c r="M54" s="64">
        <v>95.36</v>
      </c>
      <c r="N54" s="64">
        <v>212.3</v>
      </c>
      <c r="O54" s="64">
        <v>0</v>
      </c>
      <c r="P54" s="64">
        <v>0.64</v>
      </c>
      <c r="Q54" s="64">
        <v>9.56</v>
      </c>
      <c r="R54" s="198"/>
      <c r="S54" s="198"/>
      <c r="T54" s="198"/>
      <c r="U54" s="198"/>
    </row>
    <row r="55" spans="1:21" s="12" customFormat="1" x14ac:dyDescent="0.25">
      <c r="A55" s="248" t="s">
        <v>1539</v>
      </c>
      <c r="B55" s="64">
        <v>8.27</v>
      </c>
      <c r="C55" s="64">
        <v>3.53</v>
      </c>
      <c r="D55" s="64">
        <v>12.25</v>
      </c>
      <c r="E55" s="64">
        <v>4.95</v>
      </c>
      <c r="F55" s="64">
        <v>2.66</v>
      </c>
      <c r="G55" s="64">
        <v>74.22</v>
      </c>
      <c r="H55" s="64">
        <v>29.89</v>
      </c>
      <c r="I55" s="64">
        <v>5.1100000000000003</v>
      </c>
      <c r="J55" s="64">
        <v>0.16</v>
      </c>
      <c r="K55" s="64">
        <v>312.88</v>
      </c>
      <c r="L55" s="64">
        <v>30.52</v>
      </c>
      <c r="M55" s="64">
        <v>95.97</v>
      </c>
      <c r="N55" s="64">
        <v>190.1</v>
      </c>
      <c r="O55" s="64">
        <v>0</v>
      </c>
      <c r="P55" s="64">
        <v>0.66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48" t="s">
        <v>1540</v>
      </c>
      <c r="B56" s="64">
        <v>8.24</v>
      </c>
      <c r="C56" s="64">
        <v>3.44</v>
      </c>
      <c r="D56" s="64">
        <v>12.18</v>
      </c>
      <c r="E56" s="64">
        <v>4.79</v>
      </c>
      <c r="F56" s="64">
        <v>3.28</v>
      </c>
      <c r="G56" s="64">
        <v>95.21</v>
      </c>
      <c r="H56" s="64">
        <v>33.97</v>
      </c>
      <c r="I56" s="64">
        <v>5.25</v>
      </c>
      <c r="J56" s="64">
        <v>0.23</v>
      </c>
      <c r="K56" s="64">
        <v>313.18</v>
      </c>
      <c r="L56" s="64">
        <v>30.87</v>
      </c>
      <c r="M56" s="64">
        <v>93.07</v>
      </c>
      <c r="N56" s="64">
        <v>217.8</v>
      </c>
      <c r="O56" s="64">
        <v>0</v>
      </c>
      <c r="P56" s="64">
        <v>0.67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48" t="s">
        <v>1541</v>
      </c>
      <c r="B57" s="64">
        <v>8.1</v>
      </c>
      <c r="C57" s="64">
        <v>3.24</v>
      </c>
      <c r="D57" s="64">
        <v>11.96</v>
      </c>
      <c r="E57" s="64">
        <v>4.7699999999999996</v>
      </c>
      <c r="F57" s="64">
        <v>4.22</v>
      </c>
      <c r="G57" s="64">
        <v>104.2</v>
      </c>
      <c r="H57" s="64">
        <v>35.619999999999997</v>
      </c>
      <c r="I57" s="64">
        <v>5.37</v>
      </c>
      <c r="J57" s="64">
        <v>0.23</v>
      </c>
      <c r="K57" s="64">
        <v>306.02</v>
      </c>
      <c r="L57" s="64">
        <v>31.01</v>
      </c>
      <c r="M57" s="64">
        <v>88.3</v>
      </c>
      <c r="N57" s="64">
        <v>215.3</v>
      </c>
      <c r="O57" s="64">
        <v>0</v>
      </c>
      <c r="P57" s="64">
        <v>0.66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48" t="s">
        <v>1542</v>
      </c>
      <c r="B58" s="64">
        <v>8.1300000000000008</v>
      </c>
      <c r="C58" s="64">
        <v>3.24</v>
      </c>
      <c r="D58" s="64">
        <v>11.99</v>
      </c>
      <c r="E58" s="64">
        <v>4.87</v>
      </c>
      <c r="F58" s="64">
        <v>3.52</v>
      </c>
      <c r="G58" s="64">
        <v>104.2</v>
      </c>
      <c r="H58" s="64">
        <v>35.619999999999997</v>
      </c>
      <c r="I58" s="64">
        <v>5.46</v>
      </c>
      <c r="J58" s="64">
        <v>0.21</v>
      </c>
      <c r="K58" s="64">
        <v>322.89999999999998</v>
      </c>
      <c r="L58" s="64">
        <v>31.13</v>
      </c>
      <c r="M58" s="64">
        <v>87.22</v>
      </c>
      <c r="N58" s="64">
        <v>193.9</v>
      </c>
      <c r="O58" s="64">
        <v>0</v>
      </c>
      <c r="P58" s="64">
        <v>0.69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48" t="s">
        <v>1543</v>
      </c>
      <c r="B59" s="64">
        <v>8.32</v>
      </c>
      <c r="C59" s="64">
        <v>3.57</v>
      </c>
      <c r="D59" s="64">
        <v>12.32</v>
      </c>
      <c r="E59" s="64">
        <v>5.0999999999999996</v>
      </c>
      <c r="F59" s="64">
        <v>3.37</v>
      </c>
      <c r="G59" s="64">
        <v>104.2</v>
      </c>
      <c r="H59" s="64">
        <v>35.619999999999997</v>
      </c>
      <c r="I59" s="64">
        <v>5.45</v>
      </c>
      <c r="J59" s="64">
        <v>0.25</v>
      </c>
      <c r="K59" s="64">
        <v>310.83999999999997</v>
      </c>
      <c r="L59" s="64">
        <v>31.22</v>
      </c>
      <c r="M59" s="64">
        <v>87.73</v>
      </c>
      <c r="N59" s="64">
        <v>193.6</v>
      </c>
      <c r="O59" s="64">
        <v>0</v>
      </c>
      <c r="P59" s="64">
        <v>0.7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48" t="s">
        <v>1544</v>
      </c>
      <c r="B60" s="64">
        <v>8.1</v>
      </c>
      <c r="C60" s="64">
        <v>3.24</v>
      </c>
      <c r="D60" s="64">
        <v>11.97</v>
      </c>
      <c r="E60" s="64">
        <v>5.08</v>
      </c>
      <c r="F60" s="64">
        <v>3.46</v>
      </c>
      <c r="G60" s="64">
        <v>98.37</v>
      </c>
      <c r="H60" s="64">
        <v>30.4</v>
      </c>
      <c r="I60" s="64">
        <v>5.47</v>
      </c>
      <c r="J60" s="64">
        <v>0.14000000000000001</v>
      </c>
      <c r="K60" s="64">
        <v>298.36</v>
      </c>
      <c r="L60" s="64">
        <v>30.78</v>
      </c>
      <c r="M60" s="64">
        <v>89.2</v>
      </c>
      <c r="N60" s="64">
        <v>203.4</v>
      </c>
      <c r="O60" s="64">
        <v>0</v>
      </c>
      <c r="P60" s="64">
        <v>0.7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48" t="s">
        <v>1545</v>
      </c>
      <c r="B61" s="64">
        <v>8.02</v>
      </c>
      <c r="C61" s="64">
        <v>3.11</v>
      </c>
      <c r="D61" s="64">
        <v>11.84</v>
      </c>
      <c r="E61" s="64">
        <v>4.93</v>
      </c>
      <c r="F61" s="64">
        <v>3.36</v>
      </c>
      <c r="G61" s="64">
        <v>96.01</v>
      </c>
      <c r="H61" s="64">
        <v>28.16</v>
      </c>
      <c r="I61" s="64">
        <v>5.4</v>
      </c>
      <c r="J61" s="64">
        <v>0.08</v>
      </c>
      <c r="K61" s="64">
        <v>299.16000000000003</v>
      </c>
      <c r="L61" s="64">
        <v>30.4</v>
      </c>
      <c r="M61" s="64">
        <v>90.7</v>
      </c>
      <c r="N61" s="64">
        <v>202.8</v>
      </c>
      <c r="O61" s="64">
        <v>0</v>
      </c>
      <c r="P61" s="64">
        <v>0.69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48" t="s">
        <v>1546</v>
      </c>
      <c r="B62" s="64">
        <v>8.08</v>
      </c>
      <c r="C62" s="64">
        <v>3.17</v>
      </c>
      <c r="D62" s="64">
        <v>11.91</v>
      </c>
      <c r="E62" s="64">
        <v>4.97</v>
      </c>
      <c r="F62" s="64">
        <v>4.0199999999999996</v>
      </c>
      <c r="G62" s="64">
        <v>96.01</v>
      </c>
      <c r="H62" s="64">
        <v>28.16</v>
      </c>
      <c r="I62" s="64">
        <v>5.51</v>
      </c>
      <c r="J62" s="64">
        <v>0.08</v>
      </c>
      <c r="K62" s="64">
        <v>233.4</v>
      </c>
      <c r="L62" s="64">
        <v>30.7</v>
      </c>
      <c r="M62" s="64">
        <v>88.68</v>
      </c>
      <c r="N62" s="64">
        <v>191</v>
      </c>
      <c r="O62" s="64">
        <v>0</v>
      </c>
      <c r="P62" s="64">
        <v>0.68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48" t="s">
        <v>1547</v>
      </c>
      <c r="B63" s="64">
        <v>8.0399999999999991</v>
      </c>
      <c r="C63" s="64">
        <v>3.03</v>
      </c>
      <c r="D63" s="64">
        <v>11.8</v>
      </c>
      <c r="E63" s="64">
        <v>5.01</v>
      </c>
      <c r="F63" s="64">
        <v>3.89</v>
      </c>
      <c r="G63" s="64">
        <v>96.01</v>
      </c>
      <c r="H63" s="64">
        <v>28.16</v>
      </c>
      <c r="I63" s="64">
        <v>5.45</v>
      </c>
      <c r="J63" s="64">
        <v>0.19</v>
      </c>
      <c r="K63" s="64">
        <v>347.16</v>
      </c>
      <c r="L63" s="64">
        <v>30.04</v>
      </c>
      <c r="M63" s="64">
        <v>92.65</v>
      </c>
      <c r="N63" s="64">
        <v>104</v>
      </c>
      <c r="O63" s="64">
        <v>0</v>
      </c>
      <c r="P63" s="64">
        <v>0.67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48" t="s">
        <v>1548</v>
      </c>
      <c r="B64" s="64">
        <v>8.0500000000000007</v>
      </c>
      <c r="C64" s="64">
        <v>3.07</v>
      </c>
      <c r="D64" s="64">
        <v>11.83</v>
      </c>
      <c r="E64" s="64">
        <v>4.8600000000000003</v>
      </c>
      <c r="F64" s="64">
        <v>3.71</v>
      </c>
      <c r="G64" s="64">
        <v>92.78</v>
      </c>
      <c r="H64" s="64">
        <v>24.42</v>
      </c>
      <c r="I64" s="64">
        <v>5.55</v>
      </c>
      <c r="J64" s="64">
        <v>0.25</v>
      </c>
      <c r="K64" s="64">
        <v>339.11</v>
      </c>
      <c r="L64" s="64">
        <v>28.75</v>
      </c>
      <c r="M64" s="64">
        <v>99.26</v>
      </c>
      <c r="N64" s="64">
        <v>103.1</v>
      </c>
      <c r="O64" s="64">
        <v>0</v>
      </c>
      <c r="P64" s="64">
        <v>0.65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48" t="s">
        <v>1549</v>
      </c>
      <c r="B65" s="64">
        <v>8.0399999999999991</v>
      </c>
      <c r="C65" s="64">
        <v>3.05</v>
      </c>
      <c r="D65" s="64">
        <v>11.82</v>
      </c>
      <c r="E65" s="64">
        <v>4.79</v>
      </c>
      <c r="F65" s="64">
        <v>3.63</v>
      </c>
      <c r="G65" s="64">
        <v>91.47</v>
      </c>
      <c r="H65" s="64">
        <v>22.82</v>
      </c>
      <c r="I65" s="64">
        <v>5.53</v>
      </c>
      <c r="J65" s="64">
        <v>0.06</v>
      </c>
      <c r="K65" s="64">
        <v>281.2</v>
      </c>
      <c r="L65" s="64">
        <v>28.25</v>
      </c>
      <c r="M65" s="64">
        <v>101.51</v>
      </c>
      <c r="N65" s="64">
        <v>140.4</v>
      </c>
      <c r="O65" s="64">
        <v>0</v>
      </c>
      <c r="P65" s="64">
        <v>0.64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48" t="s">
        <v>1550</v>
      </c>
      <c r="B66" s="64">
        <v>8.02</v>
      </c>
      <c r="C66" s="64">
        <v>3.06</v>
      </c>
      <c r="D66" s="64">
        <v>11.81</v>
      </c>
      <c r="E66" s="64">
        <v>4.5599999999999996</v>
      </c>
      <c r="F66" s="64">
        <v>3.58</v>
      </c>
      <c r="G66" s="64">
        <v>91.47</v>
      </c>
      <c r="H66" s="64">
        <v>22.82</v>
      </c>
      <c r="I66" s="64">
        <v>5.24</v>
      </c>
      <c r="J66" s="64">
        <v>0.28000000000000003</v>
      </c>
      <c r="K66" s="64">
        <v>174.1</v>
      </c>
      <c r="L66" s="64">
        <v>28.3</v>
      </c>
      <c r="M66" s="64">
        <v>100.79</v>
      </c>
      <c r="N66" s="64">
        <v>163.30000000000001</v>
      </c>
      <c r="O66" s="64">
        <v>0</v>
      </c>
      <c r="P66" s="64">
        <v>0.62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48" t="s">
        <v>1551</v>
      </c>
      <c r="B67" s="64">
        <v>8.0399999999999991</v>
      </c>
      <c r="C67" s="64">
        <v>3.1</v>
      </c>
      <c r="D67" s="64">
        <v>11.84</v>
      </c>
      <c r="E67" s="64">
        <v>4.92</v>
      </c>
      <c r="F67" s="64">
        <v>3.59</v>
      </c>
      <c r="G67" s="64">
        <v>91.47</v>
      </c>
      <c r="H67" s="64">
        <v>22.82</v>
      </c>
      <c r="I67" s="64">
        <v>5.04</v>
      </c>
      <c r="J67" s="64">
        <v>0.14000000000000001</v>
      </c>
      <c r="K67" s="64">
        <v>211.36</v>
      </c>
      <c r="L67" s="64">
        <v>28.39</v>
      </c>
      <c r="M67" s="64">
        <v>100.8</v>
      </c>
      <c r="N67" s="64">
        <v>183.2</v>
      </c>
      <c r="O67" s="64">
        <v>0</v>
      </c>
      <c r="P67" s="64">
        <v>0.6</v>
      </c>
      <c r="Q67" s="64">
        <v>9.4600000000000009</v>
      </c>
      <c r="R67" s="198"/>
      <c r="S67" s="198"/>
      <c r="T67" s="198"/>
      <c r="U67" s="198"/>
    </row>
    <row r="68" spans="1:21" s="12" customFormat="1" x14ac:dyDescent="0.25">
      <c r="A68" s="248" t="s">
        <v>1552</v>
      </c>
      <c r="B68" s="64">
        <v>8</v>
      </c>
      <c r="C68" s="64">
        <v>3.02</v>
      </c>
      <c r="D68" s="64">
        <v>11.77</v>
      </c>
      <c r="E68" s="64">
        <v>4.26</v>
      </c>
      <c r="F68" s="64">
        <v>3.39</v>
      </c>
      <c r="G68" s="64">
        <v>88.17</v>
      </c>
      <c r="H68" s="64">
        <v>21.43</v>
      </c>
      <c r="I68" s="64">
        <v>5.0599999999999996</v>
      </c>
      <c r="J68" s="64">
        <v>0.76</v>
      </c>
      <c r="K68" s="64">
        <v>145.30000000000001</v>
      </c>
      <c r="L68" s="64">
        <v>28.38</v>
      </c>
      <c r="M68" s="64">
        <v>100.69</v>
      </c>
      <c r="N68" s="64">
        <v>175.2</v>
      </c>
      <c r="O68" s="64">
        <v>0</v>
      </c>
      <c r="P68" s="64">
        <v>0.59</v>
      </c>
      <c r="Q68" s="64">
        <v>9.4499999999999993</v>
      </c>
      <c r="R68" s="198"/>
      <c r="S68" s="198"/>
      <c r="T68" s="198"/>
      <c r="U68" s="198"/>
    </row>
    <row r="69" spans="1:21" s="12" customFormat="1" x14ac:dyDescent="0.25">
      <c r="A69" s="248" t="s">
        <v>1553</v>
      </c>
      <c r="B69" s="64">
        <v>8</v>
      </c>
      <c r="C69" s="64">
        <v>3.03</v>
      </c>
      <c r="D69" s="64">
        <v>11.77</v>
      </c>
      <c r="E69" s="64">
        <v>4.03</v>
      </c>
      <c r="F69" s="64">
        <v>4.2</v>
      </c>
      <c r="G69" s="64">
        <v>86.83</v>
      </c>
      <c r="H69" s="64">
        <v>20.86</v>
      </c>
      <c r="I69" s="64">
        <v>5.15</v>
      </c>
      <c r="J69" s="64">
        <v>0.19</v>
      </c>
      <c r="K69" s="64">
        <v>145.86000000000001</v>
      </c>
      <c r="L69" s="64">
        <v>28.31</v>
      </c>
      <c r="M69" s="64">
        <v>102.18</v>
      </c>
      <c r="N69" s="64">
        <v>162.9</v>
      </c>
      <c r="O69" s="64">
        <v>0</v>
      </c>
      <c r="P69" s="64">
        <v>0.59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48" t="s">
        <v>1554</v>
      </c>
      <c r="B70" s="64">
        <v>8.0299999999999994</v>
      </c>
      <c r="C70" s="64">
        <v>3.08</v>
      </c>
      <c r="D70" s="64">
        <v>11.82</v>
      </c>
      <c r="E70" s="64">
        <v>4.22</v>
      </c>
      <c r="F70" s="64">
        <v>2.36</v>
      </c>
      <c r="G70" s="64">
        <v>86.83</v>
      </c>
      <c r="H70" s="64">
        <v>20.86</v>
      </c>
      <c r="I70" s="64">
        <v>5.23</v>
      </c>
      <c r="J70" s="64">
        <v>0.13</v>
      </c>
      <c r="K70" s="64">
        <v>239.38</v>
      </c>
      <c r="L70" s="64">
        <v>28.48</v>
      </c>
      <c r="M70" s="64">
        <v>102.14</v>
      </c>
      <c r="N70" s="64">
        <v>170.6</v>
      </c>
      <c r="O70" s="64">
        <v>0</v>
      </c>
      <c r="P70" s="64">
        <v>0.56999999999999995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48" t="s">
        <v>1555</v>
      </c>
      <c r="B71" s="64">
        <v>7.97</v>
      </c>
      <c r="C71" s="64">
        <v>2.97</v>
      </c>
      <c r="D71" s="64">
        <v>11.72</v>
      </c>
      <c r="E71" s="64">
        <v>4.29</v>
      </c>
      <c r="F71" s="64">
        <v>3.3</v>
      </c>
      <c r="G71" s="64">
        <v>86.83</v>
      </c>
      <c r="H71" s="64">
        <v>20.86</v>
      </c>
      <c r="I71" s="64">
        <v>5.38</v>
      </c>
      <c r="J71" s="64">
        <v>0.15</v>
      </c>
      <c r="K71" s="64">
        <v>123.83</v>
      </c>
      <c r="L71" s="64">
        <v>28.71</v>
      </c>
      <c r="M71" s="64">
        <v>101.67</v>
      </c>
      <c r="N71" s="64">
        <v>166.6</v>
      </c>
      <c r="O71" s="64">
        <v>0</v>
      </c>
      <c r="P71" s="64">
        <v>0.55000000000000004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48" t="s">
        <v>1556</v>
      </c>
      <c r="B72" s="64">
        <v>7.98</v>
      </c>
      <c r="C72" s="64">
        <v>2.96</v>
      </c>
      <c r="D72" s="64">
        <v>11.72</v>
      </c>
      <c r="E72" s="64">
        <v>4.05</v>
      </c>
      <c r="F72" s="64">
        <v>4.5</v>
      </c>
      <c r="G72" s="64">
        <v>77.95</v>
      </c>
      <c r="H72" s="64">
        <v>18.86</v>
      </c>
      <c r="I72" s="64">
        <v>5.27</v>
      </c>
      <c r="J72" s="64">
        <v>0.1</v>
      </c>
      <c r="K72" s="64">
        <v>337.58</v>
      </c>
      <c r="L72" s="64">
        <v>28.79</v>
      </c>
      <c r="M72" s="64">
        <v>101.6</v>
      </c>
      <c r="N72" s="64">
        <v>145.69999999999999</v>
      </c>
      <c r="O72" s="64">
        <v>0</v>
      </c>
      <c r="P72" s="64">
        <v>0.54</v>
      </c>
      <c r="Q72" s="64">
        <v>9.43</v>
      </c>
      <c r="R72" s="198"/>
      <c r="S72" s="198"/>
      <c r="T72" s="198"/>
      <c r="U72" s="198"/>
    </row>
    <row r="73" spans="1:21" s="12" customFormat="1" x14ac:dyDescent="0.25">
      <c r="A73" s="248" t="s">
        <v>1557</v>
      </c>
      <c r="B73" s="64">
        <v>7.96</v>
      </c>
      <c r="C73" s="64">
        <v>2.98</v>
      </c>
      <c r="D73" s="64">
        <v>11.72</v>
      </c>
      <c r="E73" s="64">
        <v>4.3</v>
      </c>
      <c r="F73" s="64">
        <v>4.0999999999999996</v>
      </c>
      <c r="G73" s="64">
        <v>74.150000000000006</v>
      </c>
      <c r="H73" s="64">
        <v>18.05</v>
      </c>
      <c r="I73" s="64">
        <v>5.09</v>
      </c>
      <c r="J73" s="64">
        <v>7.0000000000000007E-2</v>
      </c>
      <c r="K73" s="64">
        <v>291.02999999999997</v>
      </c>
      <c r="L73" s="64">
        <v>28.55</v>
      </c>
      <c r="M73" s="64">
        <v>102.58</v>
      </c>
      <c r="N73" s="64">
        <v>133.5</v>
      </c>
      <c r="O73" s="64">
        <v>0</v>
      </c>
      <c r="P73" s="64">
        <v>0.53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48" t="s">
        <v>1558</v>
      </c>
      <c r="B74" s="64">
        <v>8</v>
      </c>
      <c r="C74" s="64">
        <v>3.09</v>
      </c>
      <c r="D74" s="64">
        <v>11.8</v>
      </c>
      <c r="E74" s="64">
        <v>4.37</v>
      </c>
      <c r="F74" s="64">
        <v>3.19</v>
      </c>
      <c r="G74" s="64">
        <v>74.150000000000006</v>
      </c>
      <c r="H74" s="64">
        <v>18.05</v>
      </c>
      <c r="I74" s="64">
        <v>4.93</v>
      </c>
      <c r="J74" s="64">
        <v>0.12</v>
      </c>
      <c r="K74" s="64">
        <v>204.58</v>
      </c>
      <c r="L74" s="64">
        <v>28.58</v>
      </c>
      <c r="M74" s="64">
        <v>102.87</v>
      </c>
      <c r="N74" s="64">
        <v>135.4</v>
      </c>
      <c r="O74" s="64">
        <v>0</v>
      </c>
      <c r="P74" s="64">
        <v>0.52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48" t="s">
        <v>1559</v>
      </c>
      <c r="B75" s="64">
        <v>8</v>
      </c>
      <c r="C75" s="64">
        <v>3.1</v>
      </c>
      <c r="D75" s="64">
        <v>11.81</v>
      </c>
      <c r="E75" s="64">
        <v>4.18</v>
      </c>
      <c r="F75" s="64">
        <v>3.23</v>
      </c>
      <c r="G75" s="64">
        <v>74.150000000000006</v>
      </c>
      <c r="H75" s="64">
        <v>18.05</v>
      </c>
      <c r="I75" s="64">
        <v>4.78</v>
      </c>
      <c r="J75" s="64">
        <v>0.21</v>
      </c>
      <c r="K75" s="64">
        <v>164.59</v>
      </c>
      <c r="L75" s="64">
        <v>28.54</v>
      </c>
      <c r="M75" s="64">
        <v>102.46</v>
      </c>
      <c r="N75" s="64">
        <v>143.69999999999999</v>
      </c>
      <c r="O75" s="64">
        <v>0</v>
      </c>
      <c r="P75" s="64">
        <v>0.5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48" t="s">
        <v>1560</v>
      </c>
      <c r="B76" s="64">
        <v>7.99</v>
      </c>
      <c r="C76" s="64">
        <v>3.05</v>
      </c>
      <c r="D76" s="64">
        <v>11.78</v>
      </c>
      <c r="E76" s="64">
        <v>3.93</v>
      </c>
      <c r="F76" s="64">
        <v>3.43</v>
      </c>
      <c r="G76" s="64">
        <v>71.12</v>
      </c>
      <c r="H76" s="64">
        <v>19.510000000000002</v>
      </c>
      <c r="I76" s="64">
        <v>4.6399999999999997</v>
      </c>
      <c r="J76" s="64">
        <v>0.24</v>
      </c>
      <c r="K76" s="64">
        <v>149.06</v>
      </c>
      <c r="L76" s="64">
        <v>28.36</v>
      </c>
      <c r="M76" s="64">
        <v>101.87</v>
      </c>
      <c r="N76" s="64">
        <v>131.4</v>
      </c>
      <c r="O76" s="64">
        <v>0</v>
      </c>
      <c r="P76" s="64">
        <v>0.48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48" t="s">
        <v>1561</v>
      </c>
      <c r="B77" s="64">
        <v>8.01</v>
      </c>
      <c r="C77" s="64">
        <v>3.08</v>
      </c>
      <c r="D77" s="64">
        <v>11.8</v>
      </c>
      <c r="E77" s="64">
        <v>4.12</v>
      </c>
      <c r="F77" s="64">
        <v>4.25</v>
      </c>
      <c r="G77" s="64">
        <v>69.88</v>
      </c>
      <c r="H77" s="64">
        <v>20.11</v>
      </c>
      <c r="I77" s="64">
        <v>4.53</v>
      </c>
      <c r="J77" s="64">
        <v>0.04</v>
      </c>
      <c r="K77" s="64">
        <v>193.92</v>
      </c>
      <c r="L77" s="64">
        <v>28.39</v>
      </c>
      <c r="M77" s="64">
        <v>101.77</v>
      </c>
      <c r="N77" s="64">
        <v>112.4</v>
      </c>
      <c r="O77" s="64">
        <v>0</v>
      </c>
      <c r="P77" s="64">
        <v>0.47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48" t="s">
        <v>1562</v>
      </c>
      <c r="B78" s="64">
        <v>7.99</v>
      </c>
      <c r="C78" s="64">
        <v>3.08</v>
      </c>
      <c r="D78" s="64">
        <v>11.79</v>
      </c>
      <c r="E78" s="64">
        <v>3.89</v>
      </c>
      <c r="F78" s="64">
        <v>2.75</v>
      </c>
      <c r="G78" s="64">
        <v>69.88</v>
      </c>
      <c r="H78" s="64">
        <v>20.11</v>
      </c>
      <c r="I78" s="64">
        <v>4.47</v>
      </c>
      <c r="J78" s="64">
        <v>0.06</v>
      </c>
      <c r="K78" s="64">
        <v>257.10000000000002</v>
      </c>
      <c r="L78" s="64">
        <v>28.44</v>
      </c>
      <c r="M78" s="64">
        <v>101.84</v>
      </c>
      <c r="N78" s="64">
        <v>99.4</v>
      </c>
      <c r="O78" s="64">
        <v>0</v>
      </c>
      <c r="P78" s="64">
        <v>0.47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48" t="s">
        <v>1563</v>
      </c>
      <c r="B79" s="64">
        <v>7.99</v>
      </c>
      <c r="C79" s="64">
        <v>3.11</v>
      </c>
      <c r="D79" s="64">
        <v>11.81</v>
      </c>
      <c r="E79" s="64">
        <v>4.07</v>
      </c>
      <c r="F79" s="64">
        <v>3.19</v>
      </c>
      <c r="G79" s="64">
        <v>69.88</v>
      </c>
      <c r="H79" s="64">
        <v>20.11</v>
      </c>
      <c r="I79" s="64">
        <v>4.49</v>
      </c>
      <c r="J79" s="64">
        <v>0.1</v>
      </c>
      <c r="K79" s="64">
        <v>302.56</v>
      </c>
      <c r="L79" s="64">
        <v>28.47</v>
      </c>
      <c r="M79" s="64">
        <v>102.01</v>
      </c>
      <c r="N79" s="64">
        <v>79.599999999999994</v>
      </c>
      <c r="O79" s="64">
        <v>0</v>
      </c>
      <c r="P79" s="64">
        <v>0.46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48" t="s">
        <v>1564</v>
      </c>
      <c r="B80" s="64">
        <v>7.97</v>
      </c>
      <c r="C80" s="64">
        <v>3.07</v>
      </c>
      <c r="D80" s="64">
        <v>11.77</v>
      </c>
      <c r="E80" s="64">
        <v>4.1900000000000004</v>
      </c>
      <c r="F80" s="64">
        <v>3.61</v>
      </c>
      <c r="G80" s="64">
        <v>56.02</v>
      </c>
      <c r="H80" s="64">
        <v>16.27</v>
      </c>
      <c r="I80" s="64">
        <v>4.45</v>
      </c>
      <c r="J80" s="64">
        <v>0.14000000000000001</v>
      </c>
      <c r="K80" s="64">
        <v>294.89999999999998</v>
      </c>
      <c r="L80" s="64">
        <v>28.51</v>
      </c>
      <c r="M80" s="64">
        <v>102.25</v>
      </c>
      <c r="N80" s="64">
        <v>63.9</v>
      </c>
      <c r="O80" s="64">
        <v>0</v>
      </c>
      <c r="P80" s="64">
        <v>0.46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48" t="s">
        <v>1565</v>
      </c>
      <c r="B81" s="64">
        <v>8</v>
      </c>
      <c r="C81" s="64">
        <v>3.04</v>
      </c>
      <c r="D81" s="64">
        <v>11.78</v>
      </c>
      <c r="E81" s="64">
        <v>3.84</v>
      </c>
      <c r="F81" s="64">
        <v>3.23</v>
      </c>
      <c r="G81" s="64">
        <v>50.08</v>
      </c>
      <c r="H81" s="64">
        <v>14.71</v>
      </c>
      <c r="I81" s="64">
        <v>4.34</v>
      </c>
      <c r="J81" s="64">
        <v>0.1</v>
      </c>
      <c r="K81" s="64">
        <v>227.85</v>
      </c>
      <c r="L81" s="64">
        <v>28.44</v>
      </c>
      <c r="M81" s="64">
        <v>102.14</v>
      </c>
      <c r="N81" s="64">
        <v>55.2</v>
      </c>
      <c r="O81" s="64">
        <v>0</v>
      </c>
      <c r="P81" s="64">
        <v>0.46</v>
      </c>
      <c r="Q81" s="64">
        <v>9.33</v>
      </c>
      <c r="R81" s="198"/>
      <c r="S81" s="198"/>
      <c r="T81" s="198"/>
      <c r="U81" s="198"/>
    </row>
    <row r="82" spans="1:26" s="12" customFormat="1" x14ac:dyDescent="0.25">
      <c r="A82" s="248" t="s">
        <v>1566</v>
      </c>
      <c r="B82" s="64">
        <v>7.99</v>
      </c>
      <c r="C82" s="64">
        <v>2.99</v>
      </c>
      <c r="D82" s="64">
        <v>11.74</v>
      </c>
      <c r="E82" s="64">
        <v>3.97</v>
      </c>
      <c r="F82" s="64">
        <v>3.31</v>
      </c>
      <c r="G82" s="64">
        <v>50.08</v>
      </c>
      <c r="H82" s="64">
        <v>14.71</v>
      </c>
      <c r="I82" s="64">
        <v>4.34</v>
      </c>
      <c r="J82" s="64">
        <v>0.21</v>
      </c>
      <c r="K82" s="64">
        <v>325.70999999999998</v>
      </c>
      <c r="L82" s="64">
        <v>28.49</v>
      </c>
      <c r="M82" s="64">
        <v>102.24</v>
      </c>
      <c r="N82" s="64">
        <v>51.5</v>
      </c>
      <c r="O82" s="64">
        <v>0</v>
      </c>
      <c r="P82" s="64">
        <v>0.5</v>
      </c>
      <c r="Q82" s="64">
        <v>9.34</v>
      </c>
      <c r="R82" s="198"/>
      <c r="S82" s="198"/>
      <c r="T82" s="198"/>
      <c r="U82" s="198"/>
    </row>
    <row r="83" spans="1:26" s="12" customFormat="1" x14ac:dyDescent="0.25">
      <c r="A83" s="248" t="s">
        <v>1567</v>
      </c>
      <c r="B83" s="64">
        <v>8</v>
      </c>
      <c r="C83" s="64">
        <v>3.01</v>
      </c>
      <c r="D83" s="64">
        <v>11.77</v>
      </c>
      <c r="E83" s="64">
        <v>4.1900000000000004</v>
      </c>
      <c r="F83" s="64">
        <v>3.19</v>
      </c>
      <c r="G83" s="64">
        <v>50.08</v>
      </c>
      <c r="H83" s="64">
        <v>14.71</v>
      </c>
      <c r="I83" s="64">
        <v>4.5</v>
      </c>
      <c r="J83" s="64">
        <v>0.67</v>
      </c>
      <c r="K83" s="64">
        <v>324.74</v>
      </c>
      <c r="L83" s="64">
        <v>28.53</v>
      </c>
      <c r="M83" s="64">
        <v>100.74</v>
      </c>
      <c r="N83" s="64">
        <v>49.5</v>
      </c>
      <c r="O83" s="64">
        <v>0</v>
      </c>
      <c r="P83" s="64">
        <v>0.53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48" t="s">
        <v>1568</v>
      </c>
      <c r="B84" s="64">
        <v>8.0399999999999991</v>
      </c>
      <c r="C84" s="64">
        <v>3.13</v>
      </c>
      <c r="D84" s="64">
        <v>11.86</v>
      </c>
      <c r="E84" s="64">
        <v>4.3600000000000003</v>
      </c>
      <c r="F84" s="64">
        <v>3.13</v>
      </c>
      <c r="G84" s="64">
        <v>55.95</v>
      </c>
      <c r="H84" s="64">
        <v>45.78</v>
      </c>
      <c r="I84" s="64">
        <v>4.66</v>
      </c>
      <c r="J84" s="64">
        <v>0.53</v>
      </c>
      <c r="K84" s="64">
        <v>320.06</v>
      </c>
      <c r="L84" s="64">
        <v>28.49</v>
      </c>
      <c r="M84" s="64">
        <v>97.97</v>
      </c>
      <c r="N84" s="64">
        <v>49.4</v>
      </c>
      <c r="O84" s="64">
        <v>0</v>
      </c>
      <c r="P84" s="64">
        <v>0.53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48" t="s">
        <v>1569</v>
      </c>
      <c r="B85" s="64">
        <v>8.0299999999999994</v>
      </c>
      <c r="C85" s="64">
        <v>3.1</v>
      </c>
      <c r="D85" s="64">
        <v>11.83</v>
      </c>
      <c r="E85" s="64">
        <v>3.88</v>
      </c>
      <c r="F85" s="64">
        <v>3.76</v>
      </c>
      <c r="G85" s="64">
        <v>58.47</v>
      </c>
      <c r="H85" s="64">
        <v>58.41</v>
      </c>
      <c r="I85" s="64">
        <v>4.66</v>
      </c>
      <c r="J85" s="64">
        <v>0.51</v>
      </c>
      <c r="K85" s="64">
        <v>326.42</v>
      </c>
      <c r="L85" s="64">
        <v>28.53</v>
      </c>
      <c r="M85" s="64">
        <v>98.8</v>
      </c>
      <c r="N85" s="64">
        <v>49.4</v>
      </c>
      <c r="O85" s="64">
        <v>0</v>
      </c>
      <c r="P85" s="64">
        <v>0.55000000000000004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48" t="s">
        <v>1570</v>
      </c>
      <c r="B86" s="64">
        <v>8.0500000000000007</v>
      </c>
      <c r="C86" s="64">
        <v>3.03</v>
      </c>
      <c r="D86" s="64">
        <v>11.81</v>
      </c>
      <c r="E86" s="64">
        <v>4.32</v>
      </c>
      <c r="F86" s="64">
        <v>3.17</v>
      </c>
      <c r="G86" s="64">
        <v>58.47</v>
      </c>
      <c r="H86" s="64">
        <v>58.41</v>
      </c>
      <c r="I86" s="64">
        <v>4.42</v>
      </c>
      <c r="J86" s="64">
        <v>0.61</v>
      </c>
      <c r="K86" s="64">
        <v>329.14</v>
      </c>
      <c r="L86" s="64">
        <v>28.35</v>
      </c>
      <c r="M86" s="64">
        <v>101.04</v>
      </c>
      <c r="N86" s="64">
        <v>49.3</v>
      </c>
      <c r="O86" s="64">
        <v>0</v>
      </c>
      <c r="P86" s="64">
        <v>0.56000000000000005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48" t="s">
        <v>1571</v>
      </c>
      <c r="B87" s="64">
        <v>8.06</v>
      </c>
      <c r="C87" s="64">
        <v>3.1</v>
      </c>
      <c r="D87" s="64">
        <v>11.86</v>
      </c>
      <c r="E87" s="64">
        <v>3.99</v>
      </c>
      <c r="F87" s="64">
        <v>3.76</v>
      </c>
      <c r="G87" s="64">
        <v>58.47</v>
      </c>
      <c r="H87" s="64">
        <v>58.41</v>
      </c>
      <c r="I87" s="64">
        <v>4.25</v>
      </c>
      <c r="J87" s="64">
        <v>0.56000000000000005</v>
      </c>
      <c r="K87" s="64">
        <v>323.33999999999997</v>
      </c>
      <c r="L87" s="64">
        <v>28.22</v>
      </c>
      <c r="M87" s="64">
        <v>100.19</v>
      </c>
      <c r="N87" s="64">
        <v>49.3</v>
      </c>
      <c r="O87" s="64">
        <v>0</v>
      </c>
      <c r="P87" s="64">
        <v>0.57999999999999996</v>
      </c>
      <c r="Q87" s="64">
        <v>9.4600000000000009</v>
      </c>
      <c r="R87" s="198"/>
      <c r="S87" s="198"/>
      <c r="T87" s="198"/>
      <c r="U87" s="198"/>
    </row>
    <row r="88" spans="1:26" s="12" customFormat="1" x14ac:dyDescent="0.25">
      <c r="A88" s="248" t="s">
        <v>1572</v>
      </c>
      <c r="B88" s="64">
        <v>8.0399999999999991</v>
      </c>
      <c r="C88" s="64">
        <v>3.13</v>
      </c>
      <c r="D88" s="64">
        <v>11.86</v>
      </c>
      <c r="E88" s="64">
        <v>4.55</v>
      </c>
      <c r="F88" s="64">
        <v>3.66</v>
      </c>
      <c r="G88" s="64">
        <v>62.17</v>
      </c>
      <c r="H88" s="64">
        <v>50.41</v>
      </c>
      <c r="I88" s="64">
        <v>4.2</v>
      </c>
      <c r="J88" s="64">
        <v>0.56000000000000005</v>
      </c>
      <c r="K88" s="64">
        <v>318.68</v>
      </c>
      <c r="L88" s="64">
        <v>28.14</v>
      </c>
      <c r="M88" s="64">
        <v>100.7</v>
      </c>
      <c r="N88" s="64">
        <v>49.3</v>
      </c>
      <c r="O88" s="64">
        <v>0</v>
      </c>
      <c r="P88" s="64">
        <v>0.59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48" t="s">
        <v>1573</v>
      </c>
      <c r="B89" s="64">
        <v>8.0299999999999994</v>
      </c>
      <c r="C89" s="64">
        <v>3.16</v>
      </c>
      <c r="D89" s="64">
        <v>11.87</v>
      </c>
      <c r="E89" s="64">
        <v>4.25</v>
      </c>
      <c r="F89" s="64">
        <v>2.5299999999999998</v>
      </c>
      <c r="G89" s="64">
        <v>63.76</v>
      </c>
      <c r="H89" s="64">
        <v>50.41</v>
      </c>
      <c r="I89" s="64">
        <v>4.22</v>
      </c>
      <c r="J89" s="64">
        <v>1.02</v>
      </c>
      <c r="K89" s="64">
        <v>329.48</v>
      </c>
      <c r="L89" s="64">
        <v>28.08</v>
      </c>
      <c r="M89" s="64">
        <v>100.73</v>
      </c>
      <c r="N89" s="64">
        <v>49.3</v>
      </c>
      <c r="O89" s="64">
        <v>0</v>
      </c>
      <c r="P89" s="64">
        <v>0.6</v>
      </c>
      <c r="Q89" s="64">
        <v>9.4499999999999993</v>
      </c>
      <c r="R89" s="198"/>
      <c r="S89" s="198"/>
      <c r="T89" s="198"/>
      <c r="U89" s="198"/>
    </row>
    <row r="90" spans="1:26" s="12" customFormat="1" x14ac:dyDescent="0.25">
      <c r="A90" s="248" t="s">
        <v>1574</v>
      </c>
      <c r="B90" s="64">
        <v>8</v>
      </c>
      <c r="C90" s="64">
        <v>3.09</v>
      </c>
      <c r="D90" s="64">
        <v>11.8</v>
      </c>
      <c r="E90" s="64">
        <v>4.24</v>
      </c>
      <c r="F90" s="64">
        <v>3.58</v>
      </c>
      <c r="G90" s="64">
        <v>63.76</v>
      </c>
      <c r="H90" s="64">
        <v>54.41</v>
      </c>
      <c r="I90" s="64">
        <v>4.0999999999999996</v>
      </c>
      <c r="J90" s="64">
        <v>0.55000000000000004</v>
      </c>
      <c r="K90" s="64">
        <v>326.10000000000002</v>
      </c>
      <c r="L90" s="64">
        <v>27.99</v>
      </c>
      <c r="M90" s="64">
        <v>99.16</v>
      </c>
      <c r="N90" s="64">
        <v>49.4</v>
      </c>
      <c r="O90" s="64">
        <v>0</v>
      </c>
      <c r="P90" s="64">
        <v>0.6</v>
      </c>
      <c r="Q90" s="64">
        <v>9.44</v>
      </c>
      <c r="R90" s="198"/>
      <c r="S90" s="198"/>
      <c r="T90" s="198"/>
      <c r="U90" s="198"/>
    </row>
    <row r="91" spans="1:26" s="12" customFormat="1" x14ac:dyDescent="0.25">
      <c r="A91" s="248" t="s">
        <v>1575</v>
      </c>
      <c r="B91" s="64">
        <v>7.99</v>
      </c>
      <c r="C91" s="64">
        <v>3.06</v>
      </c>
      <c r="D91" s="64">
        <v>11.78</v>
      </c>
      <c r="E91" s="64">
        <v>4.08</v>
      </c>
      <c r="F91" s="64">
        <v>4.4800000000000004</v>
      </c>
      <c r="G91" s="64">
        <v>63.76</v>
      </c>
      <c r="H91" s="64">
        <v>54.41</v>
      </c>
      <c r="I91" s="64">
        <v>3.91</v>
      </c>
      <c r="J91" s="64">
        <v>0.17</v>
      </c>
      <c r="K91" s="64">
        <v>358.01</v>
      </c>
      <c r="L91" s="64">
        <v>27.95</v>
      </c>
      <c r="M91" s="64">
        <v>98.39</v>
      </c>
      <c r="N91" s="64">
        <v>49.4</v>
      </c>
      <c r="O91" s="64">
        <v>0</v>
      </c>
      <c r="P91" s="64">
        <v>0.62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48" t="s">
        <v>1576</v>
      </c>
      <c r="B92" s="64">
        <v>8.06</v>
      </c>
      <c r="C92" s="64">
        <v>3.17</v>
      </c>
      <c r="D92" s="64">
        <v>11.9</v>
      </c>
      <c r="E92" s="64">
        <v>4.29</v>
      </c>
      <c r="F92" s="64">
        <v>2.2200000000000002</v>
      </c>
      <c r="G92" s="64">
        <v>66.13</v>
      </c>
      <c r="H92" s="64">
        <v>51.41</v>
      </c>
      <c r="I92" s="64">
        <v>3.75</v>
      </c>
      <c r="J92" s="64">
        <v>0.21</v>
      </c>
      <c r="K92" s="64">
        <v>336.57</v>
      </c>
      <c r="L92" s="64">
        <v>27.89</v>
      </c>
      <c r="M92" s="64">
        <v>97.41</v>
      </c>
      <c r="N92" s="64">
        <v>49.4</v>
      </c>
      <c r="O92" s="64">
        <v>0</v>
      </c>
      <c r="P92" s="64">
        <v>0.62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48" t="s">
        <v>1577</v>
      </c>
      <c r="B93" s="64">
        <v>8.09</v>
      </c>
      <c r="C93" s="64">
        <v>3.23</v>
      </c>
      <c r="D93" s="64">
        <v>11.95</v>
      </c>
      <c r="E93" s="64">
        <v>4.24</v>
      </c>
      <c r="F93" s="64">
        <v>3.12</v>
      </c>
      <c r="G93" s="64">
        <v>67.14</v>
      </c>
      <c r="H93" s="64">
        <v>58.41</v>
      </c>
      <c r="I93" s="64">
        <v>3.79</v>
      </c>
      <c r="J93" s="64">
        <v>0.16</v>
      </c>
      <c r="K93" s="64">
        <v>329.76</v>
      </c>
      <c r="L93" s="64">
        <v>27.79</v>
      </c>
      <c r="M93" s="64">
        <v>97.07</v>
      </c>
      <c r="N93" s="64">
        <v>49.4</v>
      </c>
      <c r="O93" s="64">
        <v>0</v>
      </c>
      <c r="P93" s="64">
        <v>0.62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48" t="s">
        <v>1578</v>
      </c>
      <c r="B94" s="64">
        <v>8.1300000000000008</v>
      </c>
      <c r="C94" s="64">
        <v>3.27</v>
      </c>
      <c r="D94" s="64">
        <v>12.01</v>
      </c>
      <c r="E94" s="64">
        <v>4.34</v>
      </c>
      <c r="F94" s="64">
        <v>4.66</v>
      </c>
      <c r="G94" s="64">
        <v>67.14</v>
      </c>
      <c r="H94" s="64">
        <v>58.41</v>
      </c>
      <c r="I94" s="64">
        <v>3.63</v>
      </c>
      <c r="J94" s="64">
        <v>0.17</v>
      </c>
      <c r="K94" s="64">
        <v>2.17</v>
      </c>
      <c r="L94" s="64">
        <v>27.63</v>
      </c>
      <c r="M94" s="64">
        <v>98.59</v>
      </c>
      <c r="N94" s="64">
        <v>49.4</v>
      </c>
      <c r="O94" s="64">
        <v>0</v>
      </c>
      <c r="P94" s="64">
        <v>0.65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48" t="s">
        <v>1579</v>
      </c>
      <c r="B95" s="64">
        <v>8.26</v>
      </c>
      <c r="C95" s="64">
        <v>3.54</v>
      </c>
      <c r="D95" s="64">
        <v>12.25</v>
      </c>
      <c r="E95" s="64">
        <v>4.38</v>
      </c>
      <c r="F95" s="64">
        <v>2.59</v>
      </c>
      <c r="G95" s="64">
        <v>67.14</v>
      </c>
      <c r="H95" s="64">
        <v>58.41</v>
      </c>
      <c r="I95" s="64">
        <v>3.59</v>
      </c>
      <c r="J95" s="64">
        <v>0.19</v>
      </c>
      <c r="K95" s="64">
        <v>318.79000000000002</v>
      </c>
      <c r="L95" s="64">
        <v>27.56</v>
      </c>
      <c r="M95" s="64">
        <v>99.25</v>
      </c>
      <c r="N95" s="64">
        <v>49.4</v>
      </c>
      <c r="O95" s="64">
        <v>0</v>
      </c>
      <c r="P95" s="64">
        <v>0.64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48" t="s">
        <v>1580</v>
      </c>
      <c r="B96" s="64">
        <v>8.0299999999999994</v>
      </c>
      <c r="C96" s="64">
        <v>3.12</v>
      </c>
      <c r="D96" s="64">
        <v>11.84</v>
      </c>
      <c r="E96" s="64">
        <v>4.26</v>
      </c>
      <c r="F96" s="64">
        <v>3.45</v>
      </c>
      <c r="G96" s="64">
        <v>62.85</v>
      </c>
      <c r="H96" s="64">
        <v>59.77</v>
      </c>
      <c r="I96" s="64">
        <v>3.69</v>
      </c>
      <c r="J96" s="64">
        <v>0.28000000000000003</v>
      </c>
      <c r="K96" s="64">
        <v>329.99</v>
      </c>
      <c r="L96" s="64">
        <v>27.32</v>
      </c>
      <c r="M96" s="64">
        <v>101.43</v>
      </c>
      <c r="N96" s="64">
        <v>49.3</v>
      </c>
      <c r="O96" s="64">
        <v>0</v>
      </c>
      <c r="P96" s="64">
        <v>0.65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1581</v>
      </c>
      <c r="B97" s="64">
        <v>8</v>
      </c>
      <c r="C97" s="64">
        <v>3.03</v>
      </c>
      <c r="D97" s="64">
        <v>11.77</v>
      </c>
      <c r="E97" s="64">
        <v>4.5999999999999996</v>
      </c>
      <c r="F97" s="64">
        <v>4.57</v>
      </c>
      <c r="G97" s="64">
        <v>61.1</v>
      </c>
      <c r="H97" s="64">
        <v>51.41</v>
      </c>
      <c r="I97" s="64">
        <v>3.62</v>
      </c>
      <c r="J97" s="64">
        <v>0.72</v>
      </c>
      <c r="K97" s="64">
        <v>339.24</v>
      </c>
      <c r="L97" s="64">
        <v>26.87</v>
      </c>
      <c r="M97" s="64">
        <v>102.09</v>
      </c>
      <c r="N97" s="64">
        <v>49.3</v>
      </c>
      <c r="O97" s="64">
        <v>0</v>
      </c>
      <c r="P97" s="64">
        <v>0.67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48" t="s">
        <v>1582</v>
      </c>
      <c r="B98" s="64">
        <v>8.06</v>
      </c>
      <c r="C98" s="64">
        <v>3.11</v>
      </c>
      <c r="D98" s="64">
        <v>11.86</v>
      </c>
      <c r="E98" s="64">
        <v>4.2</v>
      </c>
      <c r="F98" s="64">
        <v>2.63</v>
      </c>
      <c r="G98" s="64">
        <v>61.1</v>
      </c>
      <c r="H98" s="64">
        <v>51.41</v>
      </c>
      <c r="I98" s="64">
        <v>3.69</v>
      </c>
      <c r="J98" s="64">
        <v>0.62</v>
      </c>
      <c r="K98" s="64">
        <v>343.43</v>
      </c>
      <c r="L98" s="64">
        <v>26.47</v>
      </c>
      <c r="M98" s="64">
        <v>102.13</v>
      </c>
      <c r="N98" s="64">
        <v>49.2</v>
      </c>
      <c r="O98" s="64">
        <v>0.2</v>
      </c>
      <c r="P98" s="64">
        <v>0.67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48" t="s">
        <v>1583</v>
      </c>
      <c r="B99" s="64">
        <v>8.11</v>
      </c>
      <c r="C99" s="64">
        <v>3.13</v>
      </c>
      <c r="D99" s="64">
        <v>11.91</v>
      </c>
      <c r="E99" s="64">
        <v>4.05</v>
      </c>
      <c r="F99" s="64">
        <v>3.39</v>
      </c>
      <c r="G99" s="64">
        <v>61.1</v>
      </c>
      <c r="H99" s="64">
        <v>50.41</v>
      </c>
      <c r="I99" s="64">
        <v>3.9</v>
      </c>
      <c r="J99" s="64">
        <v>0.26</v>
      </c>
      <c r="K99" s="64">
        <v>339.41</v>
      </c>
      <c r="L99" s="64">
        <v>26.2</v>
      </c>
      <c r="M99" s="64">
        <v>102.18</v>
      </c>
      <c r="N99" s="64">
        <v>49</v>
      </c>
      <c r="O99" s="64">
        <v>0</v>
      </c>
      <c r="P99" s="64">
        <v>0.67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48" t="s">
        <v>1584</v>
      </c>
      <c r="B100" s="64">
        <v>8.1</v>
      </c>
      <c r="C100" s="64">
        <v>3.12</v>
      </c>
      <c r="D100" s="64">
        <v>11.89</v>
      </c>
      <c r="E100" s="64">
        <v>4.74</v>
      </c>
      <c r="F100" s="64">
        <v>3.45</v>
      </c>
      <c r="G100" s="64">
        <v>53.75</v>
      </c>
      <c r="H100" s="64">
        <v>50.41</v>
      </c>
      <c r="I100" s="64">
        <v>3.95</v>
      </c>
      <c r="J100" s="64">
        <v>0.25</v>
      </c>
      <c r="K100" s="64">
        <v>347.21</v>
      </c>
      <c r="L100" s="64">
        <v>26.04</v>
      </c>
      <c r="M100" s="64">
        <v>102.19</v>
      </c>
      <c r="N100" s="64">
        <v>49</v>
      </c>
      <c r="O100" s="64">
        <v>0</v>
      </c>
      <c r="P100" s="64">
        <v>0.68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1585</v>
      </c>
      <c r="B101" s="64">
        <v>8.09</v>
      </c>
      <c r="C101" s="64">
        <v>3.1</v>
      </c>
      <c r="D101" s="64">
        <v>11.88</v>
      </c>
      <c r="E101" s="64">
        <v>4.29</v>
      </c>
      <c r="F101" s="64">
        <v>3.31</v>
      </c>
      <c r="G101" s="64">
        <v>50.76</v>
      </c>
      <c r="H101" s="212" t="s">
        <v>42</v>
      </c>
      <c r="I101" s="64">
        <v>4.13</v>
      </c>
      <c r="J101" s="64">
        <v>0.48</v>
      </c>
      <c r="K101" s="64">
        <v>337.24</v>
      </c>
      <c r="L101" s="64">
        <v>26.04</v>
      </c>
      <c r="M101" s="64">
        <v>102.21</v>
      </c>
      <c r="N101" s="64">
        <v>49.4</v>
      </c>
      <c r="O101" s="64">
        <v>0</v>
      </c>
      <c r="P101" s="64">
        <v>0.69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48" t="s">
        <v>1586</v>
      </c>
      <c r="B102" s="64">
        <v>8.14</v>
      </c>
      <c r="C102" s="64">
        <v>3.21</v>
      </c>
      <c r="D102" s="64">
        <v>11.98</v>
      </c>
      <c r="E102" s="64">
        <v>4.68</v>
      </c>
      <c r="F102" s="64">
        <v>3.2</v>
      </c>
      <c r="G102" s="64">
        <v>50.76</v>
      </c>
      <c r="H102" s="212" t="s">
        <v>42</v>
      </c>
      <c r="I102" s="64">
        <v>4.43</v>
      </c>
      <c r="J102" s="64">
        <v>0.35</v>
      </c>
      <c r="K102" s="64">
        <v>316.11</v>
      </c>
      <c r="L102" s="64">
        <v>26.08</v>
      </c>
      <c r="M102" s="64">
        <v>102.23</v>
      </c>
      <c r="N102" s="64">
        <v>49.7</v>
      </c>
      <c r="O102" s="64">
        <v>0</v>
      </c>
      <c r="P102" s="64">
        <v>0.68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48" t="s">
        <v>1587</v>
      </c>
      <c r="B103" s="64">
        <v>8.06</v>
      </c>
      <c r="C103" s="64">
        <v>3.12</v>
      </c>
      <c r="D103" s="64">
        <v>11.87</v>
      </c>
      <c r="E103" s="64">
        <v>4.3899999999999997</v>
      </c>
      <c r="F103" s="64">
        <v>3.47</v>
      </c>
      <c r="G103" s="64">
        <v>50.76</v>
      </c>
      <c r="H103" s="212" t="s">
        <v>42</v>
      </c>
      <c r="I103" s="64">
        <v>4.5999999999999996</v>
      </c>
      <c r="J103" s="64">
        <v>0.15</v>
      </c>
      <c r="K103" s="64">
        <v>321.99</v>
      </c>
      <c r="L103" s="64">
        <v>26.06</v>
      </c>
      <c r="M103" s="64">
        <v>102.34</v>
      </c>
      <c r="N103" s="64">
        <v>49.8</v>
      </c>
      <c r="O103" s="64">
        <v>0</v>
      </c>
      <c r="P103" s="64">
        <v>0.68</v>
      </c>
      <c r="Q103" s="64">
        <v>9.75</v>
      </c>
      <c r="R103" s="198"/>
      <c r="S103" s="198"/>
      <c r="T103" s="198"/>
      <c r="U103" s="198"/>
    </row>
    <row r="104" spans="1:33" s="12" customFormat="1" x14ac:dyDescent="0.25">
      <c r="A104" s="248" t="s">
        <v>1588</v>
      </c>
      <c r="B104" s="64">
        <v>8.1</v>
      </c>
      <c r="C104" s="64">
        <v>3.13</v>
      </c>
      <c r="D104" s="64">
        <v>11.91</v>
      </c>
      <c r="E104" s="64">
        <v>4.45</v>
      </c>
      <c r="F104" s="64">
        <v>3.3</v>
      </c>
      <c r="G104" s="64">
        <v>40.07</v>
      </c>
      <c r="H104" s="212" t="s">
        <v>42</v>
      </c>
      <c r="I104" s="64">
        <v>4.74</v>
      </c>
      <c r="J104" s="64">
        <v>0.03</v>
      </c>
      <c r="K104" s="64">
        <v>137.37</v>
      </c>
      <c r="L104" s="64">
        <v>26.1</v>
      </c>
      <c r="M104" s="64">
        <v>102.48</v>
      </c>
      <c r="N104" s="64">
        <v>49.7</v>
      </c>
      <c r="O104" s="64">
        <v>0</v>
      </c>
      <c r="P104" s="64">
        <v>0.67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7.96</v>
      </c>
      <c r="C106" s="67">
        <f>MIN(C9:C104)</f>
        <v>2.96</v>
      </c>
      <c r="D106" s="67">
        <f t="shared" ref="D106:Q106" si="0">MIN(D9:D104)</f>
        <v>11.72</v>
      </c>
      <c r="E106" s="67">
        <f t="shared" si="0"/>
        <v>3.63</v>
      </c>
      <c r="F106" s="67">
        <f t="shared" si="0"/>
        <v>2.16</v>
      </c>
      <c r="G106" s="67">
        <f t="shared" si="0"/>
        <v>40.07</v>
      </c>
      <c r="H106" s="67">
        <f t="shared" si="0"/>
        <v>9.98</v>
      </c>
      <c r="I106" s="67">
        <f t="shared" si="0"/>
        <v>3.59</v>
      </c>
      <c r="J106" s="67">
        <f t="shared" si="0"/>
        <v>0.01</v>
      </c>
      <c r="K106" s="67">
        <f t="shared" si="0"/>
        <v>2.17</v>
      </c>
      <c r="L106" s="67">
        <f t="shared" si="0"/>
        <v>26.04</v>
      </c>
      <c r="M106" s="67">
        <f t="shared" si="0"/>
        <v>87.22</v>
      </c>
      <c r="N106" s="67">
        <f t="shared" si="0"/>
        <v>48</v>
      </c>
      <c r="O106" s="67">
        <f t="shared" si="0"/>
        <v>0</v>
      </c>
      <c r="P106" s="67">
        <f t="shared" si="0"/>
        <v>0.37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8.32</v>
      </c>
      <c r="C107" s="66">
        <f t="shared" ref="C107:Q107" si="1">MAX(C9:C104)</f>
        <v>3.57</v>
      </c>
      <c r="D107" s="66">
        <f t="shared" si="1"/>
        <v>12.32</v>
      </c>
      <c r="E107" s="66">
        <f t="shared" si="1"/>
        <v>5.13</v>
      </c>
      <c r="F107" s="66">
        <f t="shared" si="1"/>
        <v>4.66</v>
      </c>
      <c r="G107" s="66">
        <f t="shared" si="1"/>
        <v>117.68</v>
      </c>
      <c r="H107" s="66">
        <f t="shared" si="1"/>
        <v>59.77</v>
      </c>
      <c r="I107" s="66">
        <f t="shared" si="1"/>
        <v>6.22</v>
      </c>
      <c r="J107" s="66">
        <f t="shared" si="1"/>
        <v>1.02</v>
      </c>
      <c r="K107" s="66">
        <f t="shared" si="1"/>
        <v>358.01</v>
      </c>
      <c r="L107" s="66">
        <f t="shared" si="1"/>
        <v>31.22</v>
      </c>
      <c r="M107" s="66">
        <f t="shared" si="1"/>
        <v>103.05</v>
      </c>
      <c r="N107" s="66">
        <f t="shared" si="1"/>
        <v>217.8</v>
      </c>
      <c r="O107" s="66">
        <f t="shared" si="1"/>
        <v>0.2</v>
      </c>
      <c r="P107" s="66">
        <f t="shared" si="1"/>
        <v>0.73</v>
      </c>
      <c r="Q107" s="66">
        <f t="shared" si="1"/>
        <v>9.89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8.0476041666666642</v>
      </c>
      <c r="C108" s="67">
        <f t="shared" ref="C108:Q108" si="2">AVERAGE(C9:C104)</f>
        <v>3.1103125000000009</v>
      </c>
      <c r="D108" s="67">
        <f t="shared" si="2"/>
        <v>11.853125</v>
      </c>
      <c r="E108" s="67">
        <f t="shared" si="2"/>
        <v>4.4859375000000004</v>
      </c>
      <c r="F108" s="67">
        <f t="shared" si="2"/>
        <v>3.4173958333333334</v>
      </c>
      <c r="G108" s="67">
        <f t="shared" si="2"/>
        <v>73.107187500000052</v>
      </c>
      <c r="H108" s="67">
        <f t="shared" si="2"/>
        <v>30.918586956521711</v>
      </c>
      <c r="I108" s="67">
        <f t="shared" si="2"/>
        <v>4.838541666666667</v>
      </c>
      <c r="J108" s="67">
        <f t="shared" si="2"/>
        <v>0.21614583333333348</v>
      </c>
      <c r="K108" s="67">
        <f t="shared" si="2"/>
        <v>279.81552083333338</v>
      </c>
      <c r="L108" s="67">
        <f t="shared" si="2"/>
        <v>28.535833333333319</v>
      </c>
      <c r="M108" s="67">
        <f t="shared" si="2"/>
        <v>100.26458333333331</v>
      </c>
      <c r="N108" s="67">
        <f t="shared" si="2"/>
        <v>99.713541666666615</v>
      </c>
      <c r="O108" s="67">
        <f t="shared" si="2"/>
        <v>2.0833333333333333E-3</v>
      </c>
      <c r="P108" s="67">
        <f t="shared" si="2"/>
        <v>0.55666666666666675</v>
      </c>
      <c r="Q108" s="67">
        <f t="shared" si="2"/>
        <v>9.5092708333333373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7.2282265302029552E-2</v>
      </c>
      <c r="C109" s="67">
        <f t="shared" ref="C109:Q109" si="3">STDEV(C9:C104)</f>
        <v>0.11857445473536649</v>
      </c>
      <c r="D109" s="67">
        <f t="shared" si="3"/>
        <v>0.11870629389601171</v>
      </c>
      <c r="E109" s="67">
        <f t="shared" si="3"/>
        <v>0.36636644906432142</v>
      </c>
      <c r="F109" s="67">
        <f t="shared" si="3"/>
        <v>0.54865432467306807</v>
      </c>
      <c r="G109" s="67">
        <f t="shared" si="3"/>
        <v>18.605109751051693</v>
      </c>
      <c r="H109" s="67">
        <f t="shared" si="3"/>
        <v>13.340484165186327</v>
      </c>
      <c r="I109" s="67">
        <f t="shared" si="3"/>
        <v>0.69264554490532171</v>
      </c>
      <c r="J109" s="67">
        <f t="shared" si="3"/>
        <v>0.17967438262570923</v>
      </c>
      <c r="K109" s="67">
        <f t="shared" si="3"/>
        <v>89.045830303628961</v>
      </c>
      <c r="L109" s="67">
        <f t="shared" si="3"/>
        <v>1.1041545149943717</v>
      </c>
      <c r="M109" s="67">
        <f t="shared" si="3"/>
        <v>3.640150637908639</v>
      </c>
      <c r="N109" s="67">
        <f t="shared" si="3"/>
        <v>57.933812724507142</v>
      </c>
      <c r="O109" s="67">
        <f t="shared" si="3"/>
        <v>2.0412414523193152E-2</v>
      </c>
      <c r="P109" s="67">
        <f t="shared" si="3"/>
        <v>0.10232730423978861</v>
      </c>
      <c r="Q109" s="67">
        <f t="shared" si="3"/>
        <v>0.13400899256288465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1589</v>
      </c>
      <c r="B9" s="64">
        <v>8.1</v>
      </c>
      <c r="C9" s="64">
        <v>3.14</v>
      </c>
      <c r="D9" s="64">
        <v>11.91</v>
      </c>
      <c r="E9" s="64">
        <v>4.5999999999999996</v>
      </c>
      <c r="F9" s="64">
        <v>3.56</v>
      </c>
      <c r="G9" s="64">
        <v>35.72</v>
      </c>
      <c r="H9" s="212" t="s">
        <v>42</v>
      </c>
      <c r="I9" s="64">
        <v>4.91</v>
      </c>
      <c r="J9" s="64">
        <v>0.19</v>
      </c>
      <c r="K9" s="64">
        <v>304.37</v>
      </c>
      <c r="L9" s="64">
        <v>26.09</v>
      </c>
      <c r="M9" s="64">
        <v>102.53</v>
      </c>
      <c r="N9" s="64">
        <v>49.7</v>
      </c>
      <c r="O9" s="64">
        <v>0</v>
      </c>
      <c r="P9" s="64">
        <v>0.63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48" t="s">
        <v>1590</v>
      </c>
      <c r="B10" s="64">
        <v>8.15</v>
      </c>
      <c r="C10" s="64">
        <v>3.26</v>
      </c>
      <c r="D10" s="64">
        <v>12.02</v>
      </c>
      <c r="E10" s="64">
        <v>4.2699999999999996</v>
      </c>
      <c r="F10" s="64">
        <v>3.88</v>
      </c>
      <c r="G10" s="64">
        <v>35.72</v>
      </c>
      <c r="H10" s="212" t="s">
        <v>42</v>
      </c>
      <c r="I10" s="64">
        <v>5.28</v>
      </c>
      <c r="J10" s="64">
        <v>0.14000000000000001</v>
      </c>
      <c r="K10" s="64">
        <v>343.98</v>
      </c>
      <c r="L10" s="64">
        <v>26.01</v>
      </c>
      <c r="M10" s="64">
        <v>102.57</v>
      </c>
      <c r="N10" s="64">
        <v>49.7</v>
      </c>
      <c r="O10" s="64">
        <v>0</v>
      </c>
      <c r="P10" s="64">
        <v>0.64</v>
      </c>
      <c r="Q10" s="64">
        <v>9.8000000000000007</v>
      </c>
      <c r="R10" s="198"/>
      <c r="S10" s="198"/>
      <c r="T10" s="198"/>
      <c r="U10" s="198"/>
    </row>
    <row r="11" spans="1:21" s="12" customFormat="1" x14ac:dyDescent="0.25">
      <c r="A11" s="248" t="s">
        <v>1591</v>
      </c>
      <c r="B11" s="64">
        <v>8.1199999999999992</v>
      </c>
      <c r="C11" s="64">
        <v>3.16</v>
      </c>
      <c r="D11" s="64">
        <v>11.94</v>
      </c>
      <c r="E11" s="64">
        <v>4.75</v>
      </c>
      <c r="F11" s="64">
        <v>2.85</v>
      </c>
      <c r="G11" s="64">
        <v>35.72</v>
      </c>
      <c r="H11" s="212" t="s">
        <v>42</v>
      </c>
      <c r="I11" s="64">
        <v>5.81</v>
      </c>
      <c r="J11" s="64">
        <v>0.2</v>
      </c>
      <c r="K11" s="64">
        <v>335.7</v>
      </c>
      <c r="L11" s="64">
        <v>26.03</v>
      </c>
      <c r="M11" s="64">
        <v>102.78</v>
      </c>
      <c r="N11" s="64">
        <v>49.6</v>
      </c>
      <c r="O11" s="64">
        <v>0</v>
      </c>
      <c r="P11" s="64">
        <v>0.61</v>
      </c>
      <c r="Q11" s="64">
        <v>9.7200000000000006</v>
      </c>
      <c r="R11" s="198"/>
      <c r="S11" s="198"/>
      <c r="T11" s="198"/>
      <c r="U11" s="198"/>
    </row>
    <row r="12" spans="1:21" s="12" customFormat="1" x14ac:dyDescent="0.25">
      <c r="A12" s="248" t="s">
        <v>1592</v>
      </c>
      <c r="B12" s="64">
        <v>8.08</v>
      </c>
      <c r="C12" s="64">
        <v>3.15</v>
      </c>
      <c r="D12" s="64">
        <v>11.9</v>
      </c>
      <c r="E12" s="64">
        <v>4.54</v>
      </c>
      <c r="F12" s="64">
        <v>4.1100000000000003</v>
      </c>
      <c r="G12" s="64">
        <v>32.58</v>
      </c>
      <c r="H12" s="212" t="s">
        <v>42</v>
      </c>
      <c r="I12" s="64">
        <v>5.99</v>
      </c>
      <c r="J12" s="64">
        <v>0.13</v>
      </c>
      <c r="K12" s="64">
        <v>321.52999999999997</v>
      </c>
      <c r="L12" s="64">
        <v>26.07</v>
      </c>
      <c r="M12" s="64">
        <v>102.74</v>
      </c>
      <c r="N12" s="64">
        <v>49.7</v>
      </c>
      <c r="O12" s="64">
        <v>0</v>
      </c>
      <c r="P12" s="64">
        <v>0.6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48" t="s">
        <v>1593</v>
      </c>
      <c r="B13" s="64">
        <v>8.0299999999999994</v>
      </c>
      <c r="C13" s="64">
        <v>3.05</v>
      </c>
      <c r="D13" s="64">
        <v>11.81</v>
      </c>
      <c r="E13" s="64">
        <v>4.34</v>
      </c>
      <c r="F13" s="64">
        <v>2.94</v>
      </c>
      <c r="G13" s="64">
        <v>31.31</v>
      </c>
      <c r="H13" s="212" t="s">
        <v>42</v>
      </c>
      <c r="I13" s="64">
        <v>6</v>
      </c>
      <c r="J13" s="64">
        <v>0.13</v>
      </c>
      <c r="K13" s="64">
        <v>342.9</v>
      </c>
      <c r="L13" s="64">
        <v>26.09</v>
      </c>
      <c r="M13" s="64">
        <v>102.49</v>
      </c>
      <c r="N13" s="64">
        <v>49.5</v>
      </c>
      <c r="O13" s="64">
        <v>0</v>
      </c>
      <c r="P13" s="64">
        <v>0.57999999999999996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48" t="s">
        <v>1594</v>
      </c>
      <c r="B14" s="64">
        <v>8.1</v>
      </c>
      <c r="C14" s="64">
        <v>3.13</v>
      </c>
      <c r="D14" s="64">
        <v>11.9</v>
      </c>
      <c r="E14" s="64">
        <v>4.51</v>
      </c>
      <c r="F14" s="64">
        <v>2.74</v>
      </c>
      <c r="G14" s="64">
        <v>31.31</v>
      </c>
      <c r="H14" s="212" t="s">
        <v>42</v>
      </c>
      <c r="I14" s="64">
        <v>6.11</v>
      </c>
      <c r="J14" s="64">
        <v>0.17</v>
      </c>
      <c r="K14" s="64">
        <v>305.58</v>
      </c>
      <c r="L14" s="64">
        <v>26.04</v>
      </c>
      <c r="M14" s="64">
        <v>102.52</v>
      </c>
      <c r="N14" s="64">
        <v>49.6</v>
      </c>
      <c r="O14" s="64">
        <v>0</v>
      </c>
      <c r="P14" s="64">
        <v>0.56999999999999995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48" t="s">
        <v>1595</v>
      </c>
      <c r="B15" s="64">
        <v>8.16</v>
      </c>
      <c r="C15" s="64">
        <v>3.26</v>
      </c>
      <c r="D15" s="64">
        <v>12.02</v>
      </c>
      <c r="E15" s="64">
        <v>4.53</v>
      </c>
      <c r="F15" s="64">
        <v>3.73</v>
      </c>
      <c r="G15" s="64">
        <v>31.31</v>
      </c>
      <c r="H15" s="212" t="s">
        <v>42</v>
      </c>
      <c r="I15" s="64">
        <v>6.23</v>
      </c>
      <c r="J15" s="64">
        <v>0.21</v>
      </c>
      <c r="K15" s="64">
        <v>303.14999999999998</v>
      </c>
      <c r="L15" s="64">
        <v>26</v>
      </c>
      <c r="M15" s="64">
        <v>102.56</v>
      </c>
      <c r="N15" s="64">
        <v>49.5</v>
      </c>
      <c r="O15" s="64">
        <v>0</v>
      </c>
      <c r="P15" s="64">
        <v>0.54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48" t="s">
        <v>1596</v>
      </c>
      <c r="B16" s="64">
        <v>8.08</v>
      </c>
      <c r="C16" s="64">
        <v>3.15</v>
      </c>
      <c r="D16" s="64">
        <v>11.9</v>
      </c>
      <c r="E16" s="64">
        <v>4.46</v>
      </c>
      <c r="F16" s="64">
        <v>4.3499999999999996</v>
      </c>
      <c r="G16" s="64">
        <v>24.77</v>
      </c>
      <c r="H16" s="212" t="s">
        <v>42</v>
      </c>
      <c r="I16" s="64">
        <v>6.19</v>
      </c>
      <c r="J16" s="64">
        <v>0.12</v>
      </c>
      <c r="K16" s="64">
        <v>339.17</v>
      </c>
      <c r="L16" s="64">
        <v>26.01</v>
      </c>
      <c r="M16" s="64">
        <v>102.61</v>
      </c>
      <c r="N16" s="64">
        <v>49.5</v>
      </c>
      <c r="O16" s="64">
        <v>0</v>
      </c>
      <c r="P16" s="64">
        <v>0.53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48" t="s">
        <v>1597</v>
      </c>
      <c r="B17" s="64">
        <v>8</v>
      </c>
      <c r="C17" s="64">
        <v>3.04</v>
      </c>
      <c r="D17" s="64">
        <v>11.78</v>
      </c>
      <c r="E17" s="64">
        <v>4.59</v>
      </c>
      <c r="F17" s="64">
        <v>2.2400000000000002</v>
      </c>
      <c r="G17" s="64">
        <v>21.97</v>
      </c>
      <c r="H17" s="212" t="s">
        <v>42</v>
      </c>
      <c r="I17" s="64">
        <v>6.55</v>
      </c>
      <c r="J17" s="64">
        <v>0.15</v>
      </c>
      <c r="K17" s="64">
        <v>238.45</v>
      </c>
      <c r="L17" s="64">
        <v>26.18</v>
      </c>
      <c r="M17" s="64">
        <v>102.51</v>
      </c>
      <c r="N17" s="64">
        <v>49.4</v>
      </c>
      <c r="O17" s="64">
        <v>0</v>
      </c>
      <c r="P17" s="64">
        <v>0.51</v>
      </c>
      <c r="Q17" s="64">
        <v>9.59</v>
      </c>
      <c r="R17" s="198"/>
      <c r="S17" s="198"/>
      <c r="T17" s="198"/>
      <c r="U17" s="198"/>
    </row>
    <row r="18" spans="1:21" s="12" customFormat="1" x14ac:dyDescent="0.25">
      <c r="A18" s="248" t="s">
        <v>1598</v>
      </c>
      <c r="B18" s="64">
        <v>8</v>
      </c>
      <c r="C18" s="64">
        <v>3</v>
      </c>
      <c r="D18" s="64">
        <v>11.76</v>
      </c>
      <c r="E18" s="64">
        <v>4.12</v>
      </c>
      <c r="F18" s="64">
        <v>3.34</v>
      </c>
      <c r="G18" s="64">
        <v>21.97</v>
      </c>
      <c r="H18" s="212" t="s">
        <v>42</v>
      </c>
      <c r="I18" s="64">
        <v>6.66</v>
      </c>
      <c r="J18" s="64">
        <v>0.19</v>
      </c>
      <c r="K18" s="64">
        <v>261.10000000000002</v>
      </c>
      <c r="L18" s="64">
        <v>26.19</v>
      </c>
      <c r="M18" s="64">
        <v>102.6</v>
      </c>
      <c r="N18" s="64">
        <v>49.4</v>
      </c>
      <c r="O18" s="64">
        <v>0</v>
      </c>
      <c r="P18" s="64">
        <v>0.5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48" t="s">
        <v>1599</v>
      </c>
      <c r="B19" s="64">
        <v>7.99</v>
      </c>
      <c r="C19" s="64">
        <v>3.03</v>
      </c>
      <c r="D19" s="64">
        <v>11.77</v>
      </c>
      <c r="E19" s="64">
        <v>4.32</v>
      </c>
      <c r="F19" s="64">
        <v>3.85</v>
      </c>
      <c r="G19" s="64">
        <v>21.97</v>
      </c>
      <c r="H19" s="212" t="s">
        <v>42</v>
      </c>
      <c r="I19" s="64">
        <v>6.71</v>
      </c>
      <c r="J19" s="64">
        <v>0.19</v>
      </c>
      <c r="K19" s="64">
        <v>332.15</v>
      </c>
      <c r="L19" s="64">
        <v>26.22</v>
      </c>
      <c r="M19" s="64">
        <v>102.57</v>
      </c>
      <c r="N19" s="64">
        <v>49.4</v>
      </c>
      <c r="O19" s="64">
        <v>0</v>
      </c>
      <c r="P19" s="64">
        <v>0.49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48" t="s">
        <v>1600</v>
      </c>
      <c r="B20" s="64">
        <v>7.99</v>
      </c>
      <c r="C20" s="64">
        <v>3.04</v>
      </c>
      <c r="D20" s="64">
        <v>11.77</v>
      </c>
      <c r="E20" s="64">
        <v>4.2</v>
      </c>
      <c r="F20" s="64">
        <v>2.76</v>
      </c>
      <c r="G20" s="64">
        <v>23.17</v>
      </c>
      <c r="H20" s="64">
        <v>1.6</v>
      </c>
      <c r="I20" s="64">
        <v>6.98</v>
      </c>
      <c r="J20" s="64">
        <v>0.13</v>
      </c>
      <c r="K20" s="64">
        <v>320.25</v>
      </c>
      <c r="L20" s="64">
        <v>26.19</v>
      </c>
      <c r="M20" s="64">
        <v>102.69</v>
      </c>
      <c r="N20" s="64">
        <v>49.4</v>
      </c>
      <c r="O20" s="64">
        <v>0</v>
      </c>
      <c r="P20" s="64">
        <v>0.48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48" t="s">
        <v>1601</v>
      </c>
      <c r="B21" s="64">
        <v>7.99</v>
      </c>
      <c r="C21" s="64">
        <v>2.99</v>
      </c>
      <c r="D21" s="64">
        <v>11.75</v>
      </c>
      <c r="E21" s="64">
        <v>4.1100000000000003</v>
      </c>
      <c r="F21" s="64">
        <v>3.58</v>
      </c>
      <c r="G21" s="64">
        <v>23.68</v>
      </c>
      <c r="H21" s="64">
        <v>2.25</v>
      </c>
      <c r="I21" s="64">
        <v>7.08</v>
      </c>
      <c r="J21" s="64">
        <v>0.13</v>
      </c>
      <c r="K21" s="64">
        <v>309.37</v>
      </c>
      <c r="L21" s="64">
        <v>26.19</v>
      </c>
      <c r="M21" s="64">
        <v>102.9</v>
      </c>
      <c r="N21" s="64">
        <v>49.4</v>
      </c>
      <c r="O21" s="64">
        <v>0</v>
      </c>
      <c r="P21" s="64">
        <v>0.47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48" t="s">
        <v>1602</v>
      </c>
      <c r="B22" s="64">
        <v>7.98</v>
      </c>
      <c r="C22" s="64">
        <v>3</v>
      </c>
      <c r="D22" s="64">
        <v>11.74</v>
      </c>
      <c r="E22" s="64">
        <v>3.77</v>
      </c>
      <c r="F22" s="64">
        <v>3.4</v>
      </c>
      <c r="G22" s="64">
        <v>23.68</v>
      </c>
      <c r="H22" s="64">
        <v>2.25</v>
      </c>
      <c r="I22" s="64">
        <v>7.45</v>
      </c>
      <c r="J22" s="64">
        <v>0.15</v>
      </c>
      <c r="K22" s="64">
        <v>286.56</v>
      </c>
      <c r="L22" s="64">
        <v>26.12</v>
      </c>
      <c r="M22" s="64">
        <v>102.74</v>
      </c>
      <c r="N22" s="64">
        <v>49.3</v>
      </c>
      <c r="O22" s="64">
        <v>0</v>
      </c>
      <c r="P22" s="64">
        <v>0.46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48" t="s">
        <v>1603</v>
      </c>
      <c r="B23" s="64">
        <v>8.06</v>
      </c>
      <c r="C23" s="64">
        <v>3.11</v>
      </c>
      <c r="D23" s="64">
        <v>11.86</v>
      </c>
      <c r="E23" s="64">
        <v>4.0199999999999996</v>
      </c>
      <c r="F23" s="64">
        <v>3.38</v>
      </c>
      <c r="G23" s="64">
        <v>23.68</v>
      </c>
      <c r="H23" s="64">
        <v>2.25</v>
      </c>
      <c r="I23" s="64">
        <v>7.93</v>
      </c>
      <c r="J23" s="64">
        <v>0.16</v>
      </c>
      <c r="K23" s="64">
        <v>353.43</v>
      </c>
      <c r="L23" s="64">
        <v>26.14</v>
      </c>
      <c r="M23" s="64">
        <v>102.78</v>
      </c>
      <c r="N23" s="64">
        <v>49</v>
      </c>
      <c r="O23" s="64">
        <v>0</v>
      </c>
      <c r="P23" s="64">
        <v>0.45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48" t="s">
        <v>1604</v>
      </c>
      <c r="B24" s="64">
        <v>8.07</v>
      </c>
      <c r="C24" s="64">
        <v>3.12</v>
      </c>
      <c r="D24" s="64">
        <v>11.88</v>
      </c>
      <c r="E24" s="64">
        <v>3.83</v>
      </c>
      <c r="F24" s="64">
        <v>3.66</v>
      </c>
      <c r="G24" s="64">
        <v>23.2</v>
      </c>
      <c r="H24" s="64">
        <v>7.43</v>
      </c>
      <c r="I24" s="64">
        <v>8.1300000000000008</v>
      </c>
      <c r="J24" s="64">
        <v>0.17</v>
      </c>
      <c r="K24" s="64">
        <v>334.26</v>
      </c>
      <c r="L24" s="64">
        <v>26.05</v>
      </c>
      <c r="M24" s="64">
        <v>102.75</v>
      </c>
      <c r="N24" s="64">
        <v>49.3</v>
      </c>
      <c r="O24" s="64">
        <v>0</v>
      </c>
      <c r="P24" s="64">
        <v>0.44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48" t="s">
        <v>1605</v>
      </c>
      <c r="B25" s="64">
        <v>8.0399999999999991</v>
      </c>
      <c r="C25" s="64">
        <v>3.02</v>
      </c>
      <c r="D25" s="64">
        <v>11.8</v>
      </c>
      <c r="E25" s="64">
        <v>3.88</v>
      </c>
      <c r="F25" s="64">
        <v>3.46</v>
      </c>
      <c r="G25" s="64">
        <v>22.99</v>
      </c>
      <c r="H25" s="64">
        <v>9.64</v>
      </c>
      <c r="I25" s="64">
        <v>8.14</v>
      </c>
      <c r="J25" s="64">
        <v>0.01</v>
      </c>
      <c r="K25" s="64">
        <v>65.959999999999994</v>
      </c>
      <c r="L25" s="64">
        <v>25.94</v>
      </c>
      <c r="M25" s="64">
        <v>102.86</v>
      </c>
      <c r="N25" s="64">
        <v>49</v>
      </c>
      <c r="O25" s="64">
        <v>0</v>
      </c>
      <c r="P25" s="64">
        <v>0.43</v>
      </c>
      <c r="Q25" s="64">
        <v>9.5</v>
      </c>
      <c r="R25" s="198"/>
      <c r="S25" s="198"/>
      <c r="T25" s="198"/>
      <c r="U25" s="198"/>
    </row>
    <row r="26" spans="1:21" s="12" customFormat="1" x14ac:dyDescent="0.25">
      <c r="A26" s="248" t="s">
        <v>1606</v>
      </c>
      <c r="B26" s="64">
        <v>7.99</v>
      </c>
      <c r="C26" s="64">
        <v>2.99</v>
      </c>
      <c r="D26" s="64">
        <v>11.74</v>
      </c>
      <c r="E26" s="64">
        <v>4.09</v>
      </c>
      <c r="F26" s="64">
        <v>2.89</v>
      </c>
      <c r="G26" s="64">
        <v>22.99</v>
      </c>
      <c r="H26" s="64">
        <v>9.64</v>
      </c>
      <c r="I26" s="64">
        <v>8.2200000000000006</v>
      </c>
      <c r="J26" s="64">
        <v>0.21</v>
      </c>
      <c r="K26" s="64">
        <v>194.62</v>
      </c>
      <c r="L26" s="64">
        <v>25.87</v>
      </c>
      <c r="M26" s="64">
        <v>102.94</v>
      </c>
      <c r="N26" s="64">
        <v>49.1</v>
      </c>
      <c r="O26" s="64">
        <v>0</v>
      </c>
      <c r="P26" s="64">
        <v>0.43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48" t="s">
        <v>1607</v>
      </c>
      <c r="B27" s="64">
        <v>8</v>
      </c>
      <c r="C27" s="64">
        <v>3.06</v>
      </c>
      <c r="D27" s="64">
        <v>11.79</v>
      </c>
      <c r="E27" s="64">
        <v>3.83</v>
      </c>
      <c r="F27" s="64">
        <v>2.95</v>
      </c>
      <c r="G27" s="64">
        <v>22.99</v>
      </c>
      <c r="H27" s="64">
        <v>9.64</v>
      </c>
      <c r="I27" s="64">
        <v>8.2799999999999994</v>
      </c>
      <c r="J27" s="64">
        <v>0.11</v>
      </c>
      <c r="K27" s="64">
        <v>162.47999999999999</v>
      </c>
      <c r="L27" s="64">
        <v>25.85</v>
      </c>
      <c r="M27" s="64">
        <v>102.98</v>
      </c>
      <c r="N27" s="64">
        <v>49</v>
      </c>
      <c r="O27" s="64">
        <v>0</v>
      </c>
      <c r="P27" s="64">
        <v>0.41</v>
      </c>
      <c r="Q27" s="64">
        <v>9.4700000000000006</v>
      </c>
      <c r="R27" s="198"/>
      <c r="S27" s="198"/>
      <c r="T27" s="198"/>
      <c r="U27" s="198"/>
    </row>
    <row r="28" spans="1:21" s="12" customFormat="1" x14ac:dyDescent="0.25">
      <c r="A28" s="248" t="s">
        <v>1608</v>
      </c>
      <c r="B28" s="64">
        <v>8.0399999999999991</v>
      </c>
      <c r="C28" s="64">
        <v>3.01</v>
      </c>
      <c r="D28" s="64">
        <v>11.79</v>
      </c>
      <c r="E28" s="64">
        <v>4.0599999999999996</v>
      </c>
      <c r="F28" s="64">
        <v>4.51</v>
      </c>
      <c r="G28" s="64">
        <v>29.64</v>
      </c>
      <c r="H28" s="64">
        <v>9.6199999999999992</v>
      </c>
      <c r="I28" s="64">
        <v>8.4700000000000006</v>
      </c>
      <c r="J28" s="64">
        <v>0.03</v>
      </c>
      <c r="K28" s="64">
        <v>175.01</v>
      </c>
      <c r="L28" s="64">
        <v>25.82</v>
      </c>
      <c r="M28" s="64">
        <v>103.07</v>
      </c>
      <c r="N28" s="64">
        <v>49.1</v>
      </c>
      <c r="O28" s="64">
        <v>0</v>
      </c>
      <c r="P28" s="64">
        <v>0.41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48" t="s">
        <v>1609</v>
      </c>
      <c r="B29" s="64">
        <v>8.02</v>
      </c>
      <c r="C29" s="64">
        <v>3.07</v>
      </c>
      <c r="D29" s="64">
        <v>11.81</v>
      </c>
      <c r="E29" s="64">
        <v>4.08</v>
      </c>
      <c r="F29" s="64">
        <v>2.61</v>
      </c>
      <c r="G29" s="64">
        <v>32.49</v>
      </c>
      <c r="H29" s="64">
        <v>9.61</v>
      </c>
      <c r="I29" s="64">
        <v>8.5399999999999991</v>
      </c>
      <c r="J29" s="64">
        <v>0.03</v>
      </c>
      <c r="K29" s="64">
        <v>162.27000000000001</v>
      </c>
      <c r="L29" s="64">
        <v>25.82</v>
      </c>
      <c r="M29" s="64">
        <v>103.38</v>
      </c>
      <c r="N29" s="64">
        <v>49</v>
      </c>
      <c r="O29" s="64">
        <v>0</v>
      </c>
      <c r="P29" s="64">
        <v>0.4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48" t="s">
        <v>1610</v>
      </c>
      <c r="B30" s="64">
        <v>7.96</v>
      </c>
      <c r="C30" s="64">
        <v>2.99</v>
      </c>
      <c r="D30" s="64">
        <v>11.72</v>
      </c>
      <c r="E30" s="64">
        <v>4.12</v>
      </c>
      <c r="F30" s="64">
        <v>3.27</v>
      </c>
      <c r="G30" s="64">
        <v>32.49</v>
      </c>
      <c r="H30" s="64">
        <v>9.61</v>
      </c>
      <c r="I30" s="64">
        <v>8.4600000000000009</v>
      </c>
      <c r="J30" s="64">
        <v>0.03</v>
      </c>
      <c r="K30" s="64">
        <v>357.29</v>
      </c>
      <c r="L30" s="64">
        <v>25.78</v>
      </c>
      <c r="M30" s="64">
        <v>103.19</v>
      </c>
      <c r="N30" s="64">
        <v>49.2</v>
      </c>
      <c r="O30" s="64">
        <v>0</v>
      </c>
      <c r="P30" s="64">
        <v>0.38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48" t="s">
        <v>1611</v>
      </c>
      <c r="B31" s="64">
        <v>7.93</v>
      </c>
      <c r="C31" s="64">
        <v>2.93</v>
      </c>
      <c r="D31" s="64">
        <v>11.66</v>
      </c>
      <c r="E31" s="64">
        <v>3.8</v>
      </c>
      <c r="F31" s="64">
        <v>4.54</v>
      </c>
      <c r="G31" s="64">
        <v>32.49</v>
      </c>
      <c r="H31" s="64">
        <v>9.61</v>
      </c>
      <c r="I31" s="64">
        <v>8.2799999999999994</v>
      </c>
      <c r="J31" s="64">
        <v>0.12</v>
      </c>
      <c r="K31" s="64">
        <v>234.03</v>
      </c>
      <c r="L31" s="64">
        <v>25.85</v>
      </c>
      <c r="M31" s="64">
        <v>103.04</v>
      </c>
      <c r="N31" s="64">
        <v>49.9</v>
      </c>
      <c r="O31" s="64">
        <v>0</v>
      </c>
      <c r="P31" s="64">
        <v>0.39</v>
      </c>
      <c r="Q31" s="64">
        <v>9.44</v>
      </c>
      <c r="R31" s="198"/>
      <c r="S31" s="198"/>
      <c r="T31" s="198"/>
      <c r="U31" s="198"/>
    </row>
    <row r="32" spans="1:21" s="12" customFormat="1" x14ac:dyDescent="0.25">
      <c r="A32" s="248" t="s">
        <v>1612</v>
      </c>
      <c r="B32" s="64">
        <v>7.94</v>
      </c>
      <c r="C32" s="64">
        <v>2.92</v>
      </c>
      <c r="D32" s="64">
        <v>11.66</v>
      </c>
      <c r="E32" s="64">
        <v>3.95</v>
      </c>
      <c r="F32" s="64">
        <v>2.38</v>
      </c>
      <c r="G32" s="64">
        <v>27.98</v>
      </c>
      <c r="H32" s="64">
        <v>12.23</v>
      </c>
      <c r="I32" s="64">
        <v>8.2100000000000009</v>
      </c>
      <c r="J32" s="64">
        <v>0.05</v>
      </c>
      <c r="K32" s="64">
        <v>102.18</v>
      </c>
      <c r="L32" s="64">
        <v>25.83</v>
      </c>
      <c r="M32" s="64">
        <v>103.06</v>
      </c>
      <c r="N32" s="64">
        <v>55.1</v>
      </c>
      <c r="O32" s="64">
        <v>0</v>
      </c>
      <c r="P32" s="64">
        <v>0.37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48" t="s">
        <v>1613</v>
      </c>
      <c r="B33" s="64">
        <v>8.0399999999999991</v>
      </c>
      <c r="C33" s="64">
        <v>3.1</v>
      </c>
      <c r="D33" s="64">
        <v>11.84</v>
      </c>
      <c r="E33" s="64">
        <v>3.83</v>
      </c>
      <c r="F33" s="64">
        <v>5</v>
      </c>
      <c r="G33" s="64">
        <v>26.04</v>
      </c>
      <c r="H33" s="64">
        <v>13.34</v>
      </c>
      <c r="I33" s="64">
        <v>7.91</v>
      </c>
      <c r="J33" s="64">
        <v>0.13</v>
      </c>
      <c r="K33" s="64">
        <v>319.82</v>
      </c>
      <c r="L33" s="64">
        <v>25.88</v>
      </c>
      <c r="M33" s="64">
        <v>103.16</v>
      </c>
      <c r="N33" s="64">
        <v>63</v>
      </c>
      <c r="O33" s="64">
        <v>0</v>
      </c>
      <c r="P33" s="64">
        <v>0.37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48" t="s">
        <v>1614</v>
      </c>
      <c r="B34" s="64">
        <v>7.99</v>
      </c>
      <c r="C34" s="64">
        <v>3.01</v>
      </c>
      <c r="D34" s="64">
        <v>11.75</v>
      </c>
      <c r="E34" s="64">
        <v>4.16</v>
      </c>
      <c r="F34" s="64">
        <v>2.15</v>
      </c>
      <c r="G34" s="64">
        <v>26.04</v>
      </c>
      <c r="H34" s="64">
        <v>13.34</v>
      </c>
      <c r="I34" s="64">
        <v>7.7</v>
      </c>
      <c r="J34" s="64">
        <v>7.0000000000000007E-2</v>
      </c>
      <c r="K34" s="64">
        <v>348.75</v>
      </c>
      <c r="L34" s="64">
        <v>26</v>
      </c>
      <c r="M34" s="64">
        <v>103.07</v>
      </c>
      <c r="N34" s="64">
        <v>68.2</v>
      </c>
      <c r="O34" s="64">
        <v>0</v>
      </c>
      <c r="P34" s="64">
        <v>0.37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48" t="s">
        <v>1615</v>
      </c>
      <c r="B35" s="64">
        <v>7.99</v>
      </c>
      <c r="C35" s="64">
        <v>3.01</v>
      </c>
      <c r="D35" s="64">
        <v>11.75</v>
      </c>
      <c r="E35" s="64">
        <v>3.93</v>
      </c>
      <c r="F35" s="64">
        <v>2.77</v>
      </c>
      <c r="G35" s="64">
        <v>26.04</v>
      </c>
      <c r="H35" s="64">
        <v>13.34</v>
      </c>
      <c r="I35" s="64">
        <v>7.6</v>
      </c>
      <c r="J35" s="64">
        <v>0.16</v>
      </c>
      <c r="K35" s="64">
        <v>332.04</v>
      </c>
      <c r="L35" s="64">
        <v>26.13</v>
      </c>
      <c r="M35" s="64">
        <v>102.91</v>
      </c>
      <c r="N35" s="64">
        <v>73.2</v>
      </c>
      <c r="O35" s="64">
        <v>0</v>
      </c>
      <c r="P35" s="64">
        <v>0.35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48" t="s">
        <v>1616</v>
      </c>
      <c r="B36" s="64">
        <v>7.96</v>
      </c>
      <c r="C36" s="64">
        <v>2.95</v>
      </c>
      <c r="D36" s="64">
        <v>11.7</v>
      </c>
      <c r="E36" s="64">
        <v>4.71</v>
      </c>
      <c r="F36" s="64">
        <v>4.26</v>
      </c>
      <c r="G36" s="64">
        <v>23.73</v>
      </c>
      <c r="H36" s="64">
        <v>25.34</v>
      </c>
      <c r="I36" s="64">
        <v>7.26</v>
      </c>
      <c r="J36" s="64">
        <v>0.19</v>
      </c>
      <c r="K36" s="64">
        <v>336.03</v>
      </c>
      <c r="L36" s="64">
        <v>26.25</v>
      </c>
      <c r="M36" s="64">
        <v>102.97</v>
      </c>
      <c r="N36" s="64">
        <v>97</v>
      </c>
      <c r="O36" s="64">
        <v>0</v>
      </c>
      <c r="P36" s="64">
        <v>0.36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48" t="s">
        <v>1617</v>
      </c>
      <c r="B37" s="64">
        <v>7.94</v>
      </c>
      <c r="C37" s="64">
        <v>2.95</v>
      </c>
      <c r="D37" s="64">
        <v>11.69</v>
      </c>
      <c r="E37" s="64">
        <v>4.7</v>
      </c>
      <c r="F37" s="64">
        <v>2.63</v>
      </c>
      <c r="G37" s="64">
        <v>22.73</v>
      </c>
      <c r="H37" s="64">
        <v>30.21</v>
      </c>
      <c r="I37" s="64">
        <v>6.92</v>
      </c>
      <c r="J37" s="64">
        <v>0.11</v>
      </c>
      <c r="K37" s="64">
        <v>328.39</v>
      </c>
      <c r="L37" s="64">
        <v>26.42</v>
      </c>
      <c r="M37" s="64">
        <v>103.06</v>
      </c>
      <c r="N37" s="64">
        <v>99.5</v>
      </c>
      <c r="O37" s="64">
        <v>0</v>
      </c>
      <c r="P37" s="64">
        <v>0.36</v>
      </c>
      <c r="Q37" s="64">
        <v>9.3699999999999992</v>
      </c>
      <c r="R37" s="198"/>
      <c r="S37" s="198"/>
      <c r="T37" s="198"/>
      <c r="U37" s="198"/>
    </row>
    <row r="38" spans="1:21" s="12" customFormat="1" x14ac:dyDescent="0.25">
      <c r="A38" s="248" t="s">
        <v>1618</v>
      </c>
      <c r="B38" s="64">
        <v>7.98</v>
      </c>
      <c r="C38" s="64">
        <v>3.02</v>
      </c>
      <c r="D38" s="64">
        <v>11.75</v>
      </c>
      <c r="E38" s="64">
        <v>4.68</v>
      </c>
      <c r="F38" s="64">
        <v>3.11</v>
      </c>
      <c r="G38" s="64">
        <v>22.73</v>
      </c>
      <c r="H38" s="64">
        <v>30.21</v>
      </c>
      <c r="I38" s="64">
        <v>6.71</v>
      </c>
      <c r="J38" s="64">
        <v>0.13</v>
      </c>
      <c r="K38" s="64">
        <v>344.1</v>
      </c>
      <c r="L38" s="64">
        <v>26.81</v>
      </c>
      <c r="M38" s="64">
        <v>103.08</v>
      </c>
      <c r="N38" s="64">
        <v>167.9</v>
      </c>
      <c r="O38" s="64">
        <v>0</v>
      </c>
      <c r="P38" s="64">
        <v>0.36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48" t="s">
        <v>1619</v>
      </c>
      <c r="B39" s="64">
        <v>7.99</v>
      </c>
      <c r="C39" s="64">
        <v>2.99</v>
      </c>
      <c r="D39" s="64">
        <v>11.74</v>
      </c>
      <c r="E39" s="64">
        <v>4.2699999999999996</v>
      </c>
      <c r="F39" s="64">
        <v>3.56</v>
      </c>
      <c r="G39" s="64">
        <v>22.73</v>
      </c>
      <c r="H39" s="64">
        <v>30.21</v>
      </c>
      <c r="I39" s="64">
        <v>6.39</v>
      </c>
      <c r="J39" s="64">
        <v>0.14000000000000001</v>
      </c>
      <c r="K39" s="64">
        <v>337.92</v>
      </c>
      <c r="L39" s="64">
        <v>27.29</v>
      </c>
      <c r="M39" s="64">
        <v>103.14</v>
      </c>
      <c r="N39" s="64">
        <v>200.1</v>
      </c>
      <c r="O39" s="64">
        <v>0</v>
      </c>
      <c r="P39" s="64">
        <v>0.36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48" t="s">
        <v>1620</v>
      </c>
      <c r="B40" s="64">
        <v>8.01</v>
      </c>
      <c r="C40" s="64">
        <v>3.03</v>
      </c>
      <c r="D40" s="64">
        <v>11.78</v>
      </c>
      <c r="E40" s="64">
        <v>4.6500000000000004</v>
      </c>
      <c r="F40" s="64">
        <v>3.37</v>
      </c>
      <c r="G40" s="64">
        <v>26.29</v>
      </c>
      <c r="H40" s="64">
        <v>12.16</v>
      </c>
      <c r="I40" s="64">
        <v>6.09</v>
      </c>
      <c r="J40" s="64">
        <v>0.23</v>
      </c>
      <c r="K40" s="64">
        <v>325.33999999999997</v>
      </c>
      <c r="L40" s="64">
        <v>28.17</v>
      </c>
      <c r="M40" s="64">
        <v>102.36</v>
      </c>
      <c r="N40" s="64">
        <v>235.1</v>
      </c>
      <c r="O40" s="64">
        <v>0</v>
      </c>
      <c r="P40" s="64">
        <v>0.37</v>
      </c>
      <c r="Q40" s="64">
        <v>9.35</v>
      </c>
      <c r="R40" s="198"/>
      <c r="S40" s="198"/>
      <c r="T40" s="198"/>
      <c r="U40" s="198"/>
    </row>
    <row r="41" spans="1:21" s="12" customFormat="1" x14ac:dyDescent="0.25">
      <c r="A41" s="248" t="s">
        <v>1621</v>
      </c>
      <c r="B41" s="64">
        <v>8.02</v>
      </c>
      <c r="C41" s="64">
        <v>3.04</v>
      </c>
      <c r="D41" s="64">
        <v>11.79</v>
      </c>
      <c r="E41" s="64">
        <v>4.32</v>
      </c>
      <c r="F41" s="64">
        <v>3.42</v>
      </c>
      <c r="G41" s="64">
        <v>27.81</v>
      </c>
      <c r="H41" s="64">
        <v>4.83</v>
      </c>
      <c r="I41" s="64">
        <v>5.86</v>
      </c>
      <c r="J41" s="64">
        <v>0.42</v>
      </c>
      <c r="K41" s="64">
        <v>312.94</v>
      </c>
      <c r="L41" s="64">
        <v>29</v>
      </c>
      <c r="M41" s="64">
        <v>98.69</v>
      </c>
      <c r="N41" s="64">
        <v>280.39999999999998</v>
      </c>
      <c r="O41" s="64">
        <v>0</v>
      </c>
      <c r="P41" s="64">
        <v>0.37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48" t="s">
        <v>1622</v>
      </c>
      <c r="B42" s="64">
        <v>7.98</v>
      </c>
      <c r="C42" s="64">
        <v>3.01</v>
      </c>
      <c r="D42" s="64">
        <v>11.74</v>
      </c>
      <c r="E42" s="64">
        <v>4.62</v>
      </c>
      <c r="F42" s="64">
        <v>3.24</v>
      </c>
      <c r="G42" s="64">
        <v>27.81</v>
      </c>
      <c r="H42" s="64">
        <v>4.83</v>
      </c>
      <c r="I42" s="64">
        <v>5.7</v>
      </c>
      <c r="J42" s="64">
        <v>0.71</v>
      </c>
      <c r="K42" s="64">
        <v>328.47</v>
      </c>
      <c r="L42" s="64">
        <v>30.25</v>
      </c>
      <c r="M42" s="64">
        <v>92.63</v>
      </c>
      <c r="N42" s="64">
        <v>272.89999999999998</v>
      </c>
      <c r="O42" s="64">
        <v>0</v>
      </c>
      <c r="P42" s="64">
        <v>0.39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48" t="s">
        <v>1623</v>
      </c>
      <c r="B43" s="64">
        <v>7.99</v>
      </c>
      <c r="C43" s="64">
        <v>3.05</v>
      </c>
      <c r="D43" s="64">
        <v>11.77</v>
      </c>
      <c r="E43" s="64">
        <v>4.5999999999999996</v>
      </c>
      <c r="F43" s="64">
        <v>3.5</v>
      </c>
      <c r="G43" s="64">
        <v>27.81</v>
      </c>
      <c r="H43" s="64">
        <v>4.83</v>
      </c>
      <c r="I43" s="64">
        <v>5.54</v>
      </c>
      <c r="J43" s="64">
        <v>0.57999999999999996</v>
      </c>
      <c r="K43" s="64">
        <v>329.68</v>
      </c>
      <c r="L43" s="64">
        <v>30.57</v>
      </c>
      <c r="M43" s="64">
        <v>92.76</v>
      </c>
      <c r="N43" s="64">
        <v>238.8</v>
      </c>
      <c r="O43" s="64">
        <v>0</v>
      </c>
      <c r="P43" s="64">
        <v>0.4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48" t="s">
        <v>1624</v>
      </c>
      <c r="B44" s="64">
        <v>7.99</v>
      </c>
      <c r="C44" s="64">
        <v>3.02</v>
      </c>
      <c r="D44" s="64">
        <v>11.76</v>
      </c>
      <c r="E44" s="64">
        <v>4.58</v>
      </c>
      <c r="F44" s="64">
        <v>3.2</v>
      </c>
      <c r="G44" s="64">
        <v>38.049999999999997</v>
      </c>
      <c r="H44" s="64">
        <v>16.82</v>
      </c>
      <c r="I44" s="64">
        <v>5.3</v>
      </c>
      <c r="J44" s="64">
        <v>0.77</v>
      </c>
      <c r="K44" s="64">
        <v>333.92</v>
      </c>
      <c r="L44" s="64">
        <v>30.73</v>
      </c>
      <c r="M44" s="64">
        <v>91.2</v>
      </c>
      <c r="N44" s="64">
        <v>340.5</v>
      </c>
      <c r="O44" s="64">
        <v>0</v>
      </c>
      <c r="P44" s="64">
        <v>0.42</v>
      </c>
      <c r="Q44" s="64">
        <v>9.4700000000000006</v>
      </c>
      <c r="R44" s="198"/>
      <c r="S44" s="198"/>
      <c r="T44" s="198"/>
      <c r="U44" s="198"/>
    </row>
    <row r="45" spans="1:21" s="12" customFormat="1" x14ac:dyDescent="0.25">
      <c r="A45" s="248" t="s">
        <v>1625</v>
      </c>
      <c r="B45" s="64">
        <v>8.01</v>
      </c>
      <c r="C45" s="64">
        <v>3.06</v>
      </c>
      <c r="D45" s="64">
        <v>11.79</v>
      </c>
      <c r="E45" s="64">
        <v>4.4400000000000004</v>
      </c>
      <c r="F45" s="64">
        <v>3.58</v>
      </c>
      <c r="G45" s="64">
        <v>42.43</v>
      </c>
      <c r="H45" s="64">
        <v>21.69</v>
      </c>
      <c r="I45" s="64">
        <v>5.26</v>
      </c>
      <c r="J45" s="64">
        <v>0.56999999999999995</v>
      </c>
      <c r="K45" s="64">
        <v>321.18</v>
      </c>
      <c r="L45" s="64">
        <v>31.25</v>
      </c>
      <c r="M45" s="64">
        <v>88.33</v>
      </c>
      <c r="N45" s="64">
        <v>303</v>
      </c>
      <c r="O45" s="64">
        <v>0</v>
      </c>
      <c r="P45" s="64">
        <v>0.43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48" t="s">
        <v>1626</v>
      </c>
      <c r="B46" s="64">
        <v>8.0500000000000007</v>
      </c>
      <c r="C46" s="64">
        <v>3.07</v>
      </c>
      <c r="D46" s="64">
        <v>11.83</v>
      </c>
      <c r="E46" s="64">
        <v>4.74</v>
      </c>
      <c r="F46" s="64">
        <v>4.1399999999999997</v>
      </c>
      <c r="G46" s="64">
        <v>42.43</v>
      </c>
      <c r="H46" s="64">
        <v>21.69</v>
      </c>
      <c r="I46" s="64">
        <v>5.32</v>
      </c>
      <c r="J46" s="64">
        <v>1.32</v>
      </c>
      <c r="K46" s="64">
        <v>334.46</v>
      </c>
      <c r="L46" s="64">
        <v>30.66</v>
      </c>
      <c r="M46" s="64">
        <v>91.4</v>
      </c>
      <c r="N46" s="64">
        <v>264.2</v>
      </c>
      <c r="O46" s="64">
        <v>0</v>
      </c>
      <c r="P46" s="64">
        <v>0.44</v>
      </c>
      <c r="Q46" s="64">
        <v>9.49</v>
      </c>
      <c r="R46" s="198"/>
      <c r="S46" s="198"/>
      <c r="T46" s="198"/>
      <c r="U46" s="198"/>
    </row>
    <row r="47" spans="1:21" s="12" customFormat="1" x14ac:dyDescent="0.25">
      <c r="A47" s="248" t="s">
        <v>1627</v>
      </c>
      <c r="B47" s="64">
        <v>8.08</v>
      </c>
      <c r="C47" s="64">
        <v>3.18</v>
      </c>
      <c r="D47" s="64">
        <v>11.92</v>
      </c>
      <c r="E47" s="64">
        <v>5.03</v>
      </c>
      <c r="F47" s="64">
        <v>3.12</v>
      </c>
      <c r="G47" s="64">
        <v>42.43</v>
      </c>
      <c r="H47" s="64">
        <v>21.69</v>
      </c>
      <c r="I47" s="64">
        <v>5.28</v>
      </c>
      <c r="J47" s="64">
        <v>1.1299999999999999</v>
      </c>
      <c r="K47" s="64">
        <v>325.3</v>
      </c>
      <c r="L47" s="64">
        <v>29.84</v>
      </c>
      <c r="M47" s="64">
        <v>95.36</v>
      </c>
      <c r="N47" s="64">
        <v>211.4</v>
      </c>
      <c r="O47" s="64">
        <v>0</v>
      </c>
      <c r="P47" s="64">
        <v>0.46</v>
      </c>
      <c r="Q47" s="64">
        <v>9.51</v>
      </c>
      <c r="R47" s="198"/>
      <c r="S47" s="198"/>
      <c r="T47" s="198"/>
      <c r="U47" s="198"/>
    </row>
    <row r="48" spans="1:21" s="12" customFormat="1" x14ac:dyDescent="0.25">
      <c r="A48" s="248" t="s">
        <v>1628</v>
      </c>
      <c r="B48" s="64">
        <v>8.0399999999999991</v>
      </c>
      <c r="C48" s="64">
        <v>3.08</v>
      </c>
      <c r="D48" s="64">
        <v>11.83</v>
      </c>
      <c r="E48" s="64">
        <v>5.01</v>
      </c>
      <c r="F48" s="64">
        <v>2.73</v>
      </c>
      <c r="G48" s="64">
        <v>47.37</v>
      </c>
      <c r="H48" s="64">
        <v>21.86</v>
      </c>
      <c r="I48" s="64">
        <v>5.16</v>
      </c>
      <c r="J48" s="64">
        <v>1.17</v>
      </c>
      <c r="K48" s="64">
        <v>330.69</v>
      </c>
      <c r="L48" s="64">
        <v>28.43</v>
      </c>
      <c r="M48" s="64">
        <v>101.41</v>
      </c>
      <c r="N48" s="64">
        <v>194.8</v>
      </c>
      <c r="O48" s="64">
        <v>1</v>
      </c>
      <c r="P48" s="64">
        <v>0.45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48" t="s">
        <v>1629</v>
      </c>
      <c r="B49" s="64">
        <v>8</v>
      </c>
      <c r="C49" s="64">
        <v>3.02</v>
      </c>
      <c r="D49" s="64">
        <v>11.77</v>
      </c>
      <c r="E49" s="64">
        <v>4.45</v>
      </c>
      <c r="F49" s="64">
        <v>4.6900000000000004</v>
      </c>
      <c r="G49" s="64">
        <v>49.48</v>
      </c>
      <c r="H49" s="64">
        <v>21.93</v>
      </c>
      <c r="I49" s="64">
        <v>4.79</v>
      </c>
      <c r="J49" s="64">
        <v>1.1499999999999999</v>
      </c>
      <c r="K49" s="64">
        <v>335.94</v>
      </c>
      <c r="L49" s="64">
        <v>27.23</v>
      </c>
      <c r="M49" s="64">
        <v>103.03</v>
      </c>
      <c r="N49" s="64">
        <v>255</v>
      </c>
      <c r="O49" s="64">
        <v>0.4</v>
      </c>
      <c r="P49" s="64">
        <v>0.46</v>
      </c>
      <c r="Q49" s="64">
        <v>9.49</v>
      </c>
      <c r="R49" s="198"/>
      <c r="S49" s="198"/>
      <c r="T49" s="198"/>
      <c r="U49" s="198"/>
    </row>
    <row r="50" spans="1:21" s="12" customFormat="1" x14ac:dyDescent="0.25">
      <c r="A50" s="248" t="s">
        <v>1630</v>
      </c>
      <c r="B50" s="64">
        <v>8.06</v>
      </c>
      <c r="C50" s="64">
        <v>3.15</v>
      </c>
      <c r="D50" s="64">
        <v>11.88</v>
      </c>
      <c r="E50" s="64">
        <v>4.8099999999999996</v>
      </c>
      <c r="F50" s="64">
        <v>2.19</v>
      </c>
      <c r="G50" s="64">
        <v>49.48</v>
      </c>
      <c r="H50" s="64">
        <v>21.93</v>
      </c>
      <c r="I50" s="64">
        <v>4.37</v>
      </c>
      <c r="J50" s="64">
        <v>0.88</v>
      </c>
      <c r="K50" s="64">
        <v>329.59</v>
      </c>
      <c r="L50" s="64">
        <v>27.28</v>
      </c>
      <c r="M50" s="64">
        <v>103.09</v>
      </c>
      <c r="N50" s="64">
        <v>252.5</v>
      </c>
      <c r="O50" s="64">
        <v>0.4</v>
      </c>
      <c r="P50" s="64">
        <v>0.45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48" t="s">
        <v>1631</v>
      </c>
      <c r="B51" s="64">
        <v>8.06</v>
      </c>
      <c r="C51" s="64">
        <v>3.15</v>
      </c>
      <c r="D51" s="64">
        <v>11.89</v>
      </c>
      <c r="E51" s="64">
        <v>4.5599999999999996</v>
      </c>
      <c r="F51" s="64">
        <v>3.4</v>
      </c>
      <c r="G51" s="64">
        <v>49.48</v>
      </c>
      <c r="H51" s="64">
        <v>20.93</v>
      </c>
      <c r="I51" s="64">
        <v>4.24</v>
      </c>
      <c r="J51" s="64">
        <v>0.68</v>
      </c>
      <c r="K51" s="64">
        <v>336.81</v>
      </c>
      <c r="L51" s="64">
        <v>27.61</v>
      </c>
      <c r="M51" s="64">
        <v>103.22</v>
      </c>
      <c r="N51" s="64">
        <v>229.2</v>
      </c>
      <c r="O51" s="64">
        <v>0.8</v>
      </c>
      <c r="P51" s="64">
        <v>0.45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48" t="s">
        <v>1632</v>
      </c>
      <c r="B52" s="64">
        <v>8</v>
      </c>
      <c r="C52" s="64">
        <v>3.07</v>
      </c>
      <c r="D52" s="64">
        <v>11.8</v>
      </c>
      <c r="E52" s="64">
        <v>4.71</v>
      </c>
      <c r="F52" s="64">
        <v>4.75</v>
      </c>
      <c r="G52" s="64">
        <v>43.86</v>
      </c>
      <c r="H52" s="64">
        <v>23.93</v>
      </c>
      <c r="I52" s="64">
        <v>3.9</v>
      </c>
      <c r="J52" s="64">
        <v>0.95</v>
      </c>
      <c r="K52" s="64">
        <v>334.43</v>
      </c>
      <c r="L52" s="64">
        <v>27.63</v>
      </c>
      <c r="M52" s="64">
        <v>103.28</v>
      </c>
      <c r="N52" s="64">
        <v>278.39999999999998</v>
      </c>
      <c r="O52" s="64">
        <v>0</v>
      </c>
      <c r="P52" s="64">
        <v>0.47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48" t="s">
        <v>1633</v>
      </c>
      <c r="B53" s="64">
        <v>8.01</v>
      </c>
      <c r="C53" s="64">
        <v>3.09</v>
      </c>
      <c r="D53" s="64">
        <v>11.81</v>
      </c>
      <c r="E53" s="64">
        <v>4.3899999999999997</v>
      </c>
      <c r="F53" s="64">
        <v>2.2599999999999998</v>
      </c>
      <c r="G53" s="64">
        <v>41.45</v>
      </c>
      <c r="H53" s="64">
        <v>23.93</v>
      </c>
      <c r="I53" s="64">
        <v>3.77</v>
      </c>
      <c r="J53" s="64">
        <v>0.61</v>
      </c>
      <c r="K53" s="64">
        <v>329.72</v>
      </c>
      <c r="L53" s="64">
        <v>27.92</v>
      </c>
      <c r="M53" s="64">
        <v>103.04</v>
      </c>
      <c r="N53" s="64">
        <v>288.7</v>
      </c>
      <c r="O53" s="64">
        <v>0</v>
      </c>
      <c r="P53" s="64">
        <v>0.49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48" t="s">
        <v>1634</v>
      </c>
      <c r="B54" s="64">
        <v>8.11</v>
      </c>
      <c r="C54" s="64">
        <v>3.22</v>
      </c>
      <c r="D54" s="64">
        <v>11.96</v>
      </c>
      <c r="E54" s="64">
        <v>4.32</v>
      </c>
      <c r="F54" s="64">
        <v>3.01</v>
      </c>
      <c r="G54" s="64">
        <v>41.45</v>
      </c>
      <c r="H54" s="64">
        <v>23.93</v>
      </c>
      <c r="I54" s="64">
        <v>3.92</v>
      </c>
      <c r="J54" s="64">
        <v>1</v>
      </c>
      <c r="K54" s="64">
        <v>332.38</v>
      </c>
      <c r="L54" s="64">
        <v>27.91</v>
      </c>
      <c r="M54" s="64">
        <v>103.3</v>
      </c>
      <c r="N54" s="64">
        <v>255.6</v>
      </c>
      <c r="O54" s="64">
        <v>0.2</v>
      </c>
      <c r="P54" s="64">
        <v>0.49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48" t="s">
        <v>1635</v>
      </c>
      <c r="B55" s="64">
        <v>8.1199999999999992</v>
      </c>
      <c r="C55" s="64">
        <v>3.26</v>
      </c>
      <c r="D55" s="64">
        <v>11.99</v>
      </c>
      <c r="E55" s="64">
        <v>4.08</v>
      </c>
      <c r="F55" s="64">
        <v>4.4800000000000004</v>
      </c>
      <c r="G55" s="64">
        <v>41.45</v>
      </c>
      <c r="H55" s="64">
        <v>25.93</v>
      </c>
      <c r="I55" s="64">
        <v>3.92</v>
      </c>
      <c r="J55" s="64">
        <v>0.9</v>
      </c>
      <c r="K55" s="64">
        <v>322.60000000000002</v>
      </c>
      <c r="L55" s="64">
        <v>28.12</v>
      </c>
      <c r="M55" s="64">
        <v>103.28</v>
      </c>
      <c r="N55" s="64">
        <v>364.5</v>
      </c>
      <c r="O55" s="64">
        <v>0</v>
      </c>
      <c r="P55" s="64">
        <v>0.5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48" t="s">
        <v>1636</v>
      </c>
      <c r="B56" s="64">
        <v>8.0299999999999994</v>
      </c>
      <c r="C56" s="64">
        <v>3.16</v>
      </c>
      <c r="D56" s="64">
        <v>11.87</v>
      </c>
      <c r="E56" s="64">
        <v>4.5599999999999996</v>
      </c>
      <c r="F56" s="64">
        <v>2.72</v>
      </c>
      <c r="G56" s="64">
        <v>33.299999999999997</v>
      </c>
      <c r="H56" s="64">
        <v>25.93</v>
      </c>
      <c r="I56" s="64">
        <v>3.72</v>
      </c>
      <c r="J56" s="64">
        <v>1.1299999999999999</v>
      </c>
      <c r="K56" s="64">
        <v>324.11</v>
      </c>
      <c r="L56" s="64">
        <v>28.94</v>
      </c>
      <c r="M56" s="64">
        <v>102.07</v>
      </c>
      <c r="N56" s="64">
        <v>332.1</v>
      </c>
      <c r="O56" s="64">
        <v>0</v>
      </c>
      <c r="P56" s="64">
        <v>0.51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48" t="s">
        <v>1637</v>
      </c>
      <c r="B57" s="64">
        <v>8.02</v>
      </c>
      <c r="C57" s="64">
        <v>3.07</v>
      </c>
      <c r="D57" s="64">
        <v>11.81</v>
      </c>
      <c r="E57" s="64">
        <v>4.22</v>
      </c>
      <c r="F57" s="64">
        <v>3.39</v>
      </c>
      <c r="G57" s="64">
        <v>29.81</v>
      </c>
      <c r="H57" s="64">
        <v>24.93</v>
      </c>
      <c r="I57" s="64">
        <v>3.67</v>
      </c>
      <c r="J57" s="64">
        <v>0.96</v>
      </c>
      <c r="K57" s="64">
        <v>317.39999999999998</v>
      </c>
      <c r="L57" s="64">
        <v>28.59</v>
      </c>
      <c r="M57" s="64">
        <v>101.96</v>
      </c>
      <c r="N57" s="64">
        <v>308.39999999999998</v>
      </c>
      <c r="O57" s="64">
        <v>0</v>
      </c>
      <c r="P57" s="64">
        <v>0.48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48" t="s">
        <v>1638</v>
      </c>
      <c r="B58" s="64">
        <v>8.07</v>
      </c>
      <c r="C58" s="64">
        <v>3.18</v>
      </c>
      <c r="D58" s="64">
        <v>11.91</v>
      </c>
      <c r="E58" s="64">
        <v>4.3099999999999996</v>
      </c>
      <c r="F58" s="64">
        <v>3.59</v>
      </c>
      <c r="G58" s="64">
        <v>29.81</v>
      </c>
      <c r="H58" s="64">
        <v>24.93</v>
      </c>
      <c r="I58" s="64">
        <v>3.45</v>
      </c>
      <c r="J58" s="64">
        <v>0.59</v>
      </c>
      <c r="K58" s="64">
        <v>314.27999999999997</v>
      </c>
      <c r="L58" s="64">
        <v>29.15</v>
      </c>
      <c r="M58" s="64">
        <v>100.33</v>
      </c>
      <c r="N58" s="64">
        <v>346.2</v>
      </c>
      <c r="O58" s="64">
        <v>0</v>
      </c>
      <c r="P58" s="64">
        <v>0.49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48" t="s">
        <v>1639</v>
      </c>
      <c r="B59" s="64">
        <v>8.0299999999999994</v>
      </c>
      <c r="C59" s="64">
        <v>3.1</v>
      </c>
      <c r="D59" s="64">
        <v>11.83</v>
      </c>
      <c r="E59" s="64">
        <v>4.21</v>
      </c>
      <c r="F59" s="64">
        <v>3.36</v>
      </c>
      <c r="G59" s="64">
        <v>29.81</v>
      </c>
      <c r="H59" s="64">
        <v>21.93</v>
      </c>
      <c r="I59" s="64">
        <v>3.12</v>
      </c>
      <c r="J59" s="64">
        <v>0.82</v>
      </c>
      <c r="K59" s="64">
        <v>321.24</v>
      </c>
      <c r="L59" s="64">
        <v>29.16</v>
      </c>
      <c r="M59" s="64">
        <v>99.3</v>
      </c>
      <c r="N59" s="64">
        <v>284.3</v>
      </c>
      <c r="O59" s="64">
        <v>0</v>
      </c>
      <c r="P59" s="64">
        <v>0.5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8" t="s">
        <v>1640</v>
      </c>
      <c r="B60" s="64">
        <v>7.97</v>
      </c>
      <c r="C60" s="64">
        <v>3</v>
      </c>
      <c r="D60" s="64">
        <v>11.73</v>
      </c>
      <c r="E60" s="64">
        <v>4.51</v>
      </c>
      <c r="F60" s="64">
        <v>3.33</v>
      </c>
      <c r="G60" s="64">
        <v>39.159999999999997</v>
      </c>
      <c r="H60" s="64">
        <v>35.1</v>
      </c>
      <c r="I60" s="64">
        <v>2.92</v>
      </c>
      <c r="J60" s="64">
        <v>0.59</v>
      </c>
      <c r="K60" s="64">
        <v>314.74</v>
      </c>
      <c r="L60" s="64">
        <v>29.26</v>
      </c>
      <c r="M60" s="64">
        <v>98.48</v>
      </c>
      <c r="N60" s="64">
        <v>343.7</v>
      </c>
      <c r="O60" s="64">
        <v>0</v>
      </c>
      <c r="P60" s="64">
        <v>0.5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48" t="s">
        <v>1641</v>
      </c>
      <c r="B61" s="64">
        <v>7.96</v>
      </c>
      <c r="C61" s="64">
        <v>2.95</v>
      </c>
      <c r="D61" s="64">
        <v>11.7</v>
      </c>
      <c r="E61" s="64">
        <v>4.42</v>
      </c>
      <c r="F61" s="64">
        <v>3.61</v>
      </c>
      <c r="G61" s="64">
        <v>43.17</v>
      </c>
      <c r="H61" s="64">
        <v>36.1</v>
      </c>
      <c r="I61" s="64">
        <v>2.78</v>
      </c>
      <c r="J61" s="64">
        <v>0.77</v>
      </c>
      <c r="K61" s="64">
        <v>325.5</v>
      </c>
      <c r="L61" s="64">
        <v>29.69</v>
      </c>
      <c r="M61" s="64">
        <v>95.69</v>
      </c>
      <c r="N61" s="64">
        <v>339.2</v>
      </c>
      <c r="O61" s="64">
        <v>0</v>
      </c>
      <c r="P61" s="64">
        <v>0.5</v>
      </c>
      <c r="Q61" s="64">
        <v>9.4700000000000006</v>
      </c>
      <c r="R61" s="198"/>
      <c r="S61" s="198"/>
      <c r="T61" s="198"/>
      <c r="U61" s="198"/>
    </row>
    <row r="62" spans="1:21" s="12" customFormat="1" x14ac:dyDescent="0.25">
      <c r="A62" s="248" t="s">
        <v>1642</v>
      </c>
      <c r="B62" s="64">
        <v>7.99</v>
      </c>
      <c r="C62" s="64">
        <v>2.99</v>
      </c>
      <c r="D62" s="64">
        <v>11.74</v>
      </c>
      <c r="E62" s="64">
        <v>4.62</v>
      </c>
      <c r="F62" s="64">
        <v>3.65</v>
      </c>
      <c r="G62" s="64">
        <v>43.17</v>
      </c>
      <c r="H62" s="64">
        <v>36.1</v>
      </c>
      <c r="I62" s="64">
        <v>2.65</v>
      </c>
      <c r="J62" s="64">
        <v>1.24</v>
      </c>
      <c r="K62" s="64">
        <v>339</v>
      </c>
      <c r="L62" s="64">
        <v>29.95</v>
      </c>
      <c r="M62" s="64">
        <v>94.03</v>
      </c>
      <c r="N62" s="64">
        <v>340.9</v>
      </c>
      <c r="O62" s="64">
        <v>0</v>
      </c>
      <c r="P62" s="64">
        <v>0.49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48" t="s">
        <v>1643</v>
      </c>
      <c r="B63" s="64">
        <v>7.99</v>
      </c>
      <c r="C63" s="64">
        <v>3.02</v>
      </c>
      <c r="D63" s="64">
        <v>11.76</v>
      </c>
      <c r="E63" s="64">
        <v>4.2300000000000004</v>
      </c>
      <c r="F63" s="64">
        <v>3.45</v>
      </c>
      <c r="G63" s="64">
        <v>43.17</v>
      </c>
      <c r="H63" s="64">
        <v>36.1</v>
      </c>
      <c r="I63" s="64">
        <v>2.57</v>
      </c>
      <c r="J63" s="64">
        <v>0.85</v>
      </c>
      <c r="K63" s="64">
        <v>326.2</v>
      </c>
      <c r="L63" s="64">
        <v>30.4</v>
      </c>
      <c r="M63" s="64">
        <v>91.63</v>
      </c>
      <c r="N63" s="64">
        <v>383</v>
      </c>
      <c r="O63" s="64">
        <v>0</v>
      </c>
      <c r="P63" s="64">
        <v>0.5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48" t="s">
        <v>1644</v>
      </c>
      <c r="B64" s="64">
        <v>7.95</v>
      </c>
      <c r="C64" s="64">
        <v>2.96</v>
      </c>
      <c r="D64" s="64">
        <v>11.7</v>
      </c>
      <c r="E64" s="64">
        <v>4.47</v>
      </c>
      <c r="F64" s="64">
        <v>3.65</v>
      </c>
      <c r="G64" s="64">
        <v>45.38</v>
      </c>
      <c r="H64" s="64">
        <v>17.97</v>
      </c>
      <c r="I64" s="64">
        <v>2.5499999999999998</v>
      </c>
      <c r="J64" s="64">
        <v>1.23</v>
      </c>
      <c r="K64" s="64">
        <v>334.44</v>
      </c>
      <c r="L64" s="64">
        <v>30.48</v>
      </c>
      <c r="M64" s="64">
        <v>90.14</v>
      </c>
      <c r="N64" s="64">
        <v>350.6</v>
      </c>
      <c r="O64" s="64">
        <v>0</v>
      </c>
      <c r="P64" s="64">
        <v>0.5</v>
      </c>
      <c r="Q64" s="64">
        <v>9.48</v>
      </c>
      <c r="R64" s="198"/>
      <c r="S64" s="198"/>
      <c r="T64" s="198"/>
      <c r="U64" s="198"/>
    </row>
    <row r="65" spans="1:21" s="12" customFormat="1" x14ac:dyDescent="0.25">
      <c r="A65" s="248" t="s">
        <v>1645</v>
      </c>
      <c r="B65" s="64">
        <v>7.97</v>
      </c>
      <c r="C65" s="64">
        <v>2.99</v>
      </c>
      <c r="D65" s="64">
        <v>11.73</v>
      </c>
      <c r="E65" s="64">
        <v>4.46</v>
      </c>
      <c r="F65" s="64">
        <v>4.72</v>
      </c>
      <c r="G65" s="64">
        <v>46.33</v>
      </c>
      <c r="H65" s="64">
        <v>10.199999999999999</v>
      </c>
      <c r="I65" s="64">
        <v>2.54</v>
      </c>
      <c r="J65" s="64">
        <v>0.8</v>
      </c>
      <c r="K65" s="64">
        <v>332.4</v>
      </c>
      <c r="L65" s="64">
        <v>30.06</v>
      </c>
      <c r="M65" s="64">
        <v>93.43</v>
      </c>
      <c r="N65" s="64">
        <v>273.8</v>
      </c>
      <c r="O65" s="64">
        <v>0</v>
      </c>
      <c r="P65" s="64">
        <v>0.51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48" t="s">
        <v>1646</v>
      </c>
      <c r="B66" s="64">
        <v>7.98</v>
      </c>
      <c r="C66" s="64">
        <v>3.03</v>
      </c>
      <c r="D66" s="64">
        <v>11.76</v>
      </c>
      <c r="E66" s="64">
        <v>4.78</v>
      </c>
      <c r="F66" s="64">
        <v>2.13</v>
      </c>
      <c r="G66" s="64">
        <v>46.33</v>
      </c>
      <c r="H66" s="64">
        <v>10.199999999999999</v>
      </c>
      <c r="I66" s="64">
        <v>2.5499999999999998</v>
      </c>
      <c r="J66" s="64">
        <v>0.56999999999999995</v>
      </c>
      <c r="K66" s="64">
        <v>326.88</v>
      </c>
      <c r="L66" s="64">
        <v>29.88</v>
      </c>
      <c r="M66" s="64">
        <v>92.27</v>
      </c>
      <c r="N66" s="64">
        <v>245.8</v>
      </c>
      <c r="O66" s="64">
        <v>0</v>
      </c>
      <c r="P66" s="64">
        <v>0.51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48" t="s">
        <v>1647</v>
      </c>
      <c r="B67" s="64">
        <v>8</v>
      </c>
      <c r="C67" s="64">
        <v>3.06</v>
      </c>
      <c r="D67" s="64">
        <v>11.78</v>
      </c>
      <c r="E67" s="64">
        <v>4.67</v>
      </c>
      <c r="F67" s="64">
        <v>2.89</v>
      </c>
      <c r="G67" s="64">
        <v>46.33</v>
      </c>
      <c r="H67" s="64">
        <v>10.199999999999999</v>
      </c>
      <c r="I67" s="64">
        <v>2.61</v>
      </c>
      <c r="J67" s="64">
        <v>0.52</v>
      </c>
      <c r="K67" s="64">
        <v>326.62</v>
      </c>
      <c r="L67" s="64">
        <v>29.72</v>
      </c>
      <c r="M67" s="64">
        <v>93.7</v>
      </c>
      <c r="N67" s="64">
        <v>217.2</v>
      </c>
      <c r="O67" s="64">
        <v>0</v>
      </c>
      <c r="P67" s="64">
        <v>0.5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48" t="s">
        <v>1648</v>
      </c>
      <c r="B68" s="64">
        <v>7.99</v>
      </c>
      <c r="C68" s="64">
        <v>2.99</v>
      </c>
      <c r="D68" s="64">
        <v>11.74</v>
      </c>
      <c r="E68" s="64">
        <v>5.05</v>
      </c>
      <c r="F68" s="64">
        <v>4.3</v>
      </c>
      <c r="G68" s="64">
        <v>44.11</v>
      </c>
      <c r="H68" s="64">
        <v>5.12</v>
      </c>
      <c r="I68" s="64">
        <v>2.58</v>
      </c>
      <c r="J68" s="64">
        <v>0.39</v>
      </c>
      <c r="K68" s="64">
        <v>321.87</v>
      </c>
      <c r="L68" s="64">
        <v>29.73</v>
      </c>
      <c r="M68" s="64">
        <v>92.13</v>
      </c>
      <c r="N68" s="64">
        <v>241.8</v>
      </c>
      <c r="O68" s="64">
        <v>0</v>
      </c>
      <c r="P68" s="64">
        <v>0.51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48" t="s">
        <v>1649</v>
      </c>
      <c r="B69" s="64">
        <v>8.01</v>
      </c>
      <c r="C69" s="64">
        <v>3.02</v>
      </c>
      <c r="D69" s="64">
        <v>11.78</v>
      </c>
      <c r="E69" s="64">
        <v>4.34</v>
      </c>
      <c r="F69" s="64">
        <v>2.81</v>
      </c>
      <c r="G69" s="64">
        <v>43.16</v>
      </c>
      <c r="H69" s="64">
        <v>3.06</v>
      </c>
      <c r="I69" s="64">
        <v>2.61</v>
      </c>
      <c r="J69" s="64">
        <v>0.39</v>
      </c>
      <c r="K69" s="64">
        <v>314.38</v>
      </c>
      <c r="L69" s="64">
        <v>30.07</v>
      </c>
      <c r="M69" s="64">
        <v>89.24</v>
      </c>
      <c r="N69" s="64">
        <v>232.5</v>
      </c>
      <c r="O69" s="64">
        <v>0</v>
      </c>
      <c r="P69" s="64">
        <v>0.53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48" t="s">
        <v>1650</v>
      </c>
      <c r="B70" s="64">
        <v>8.0500000000000007</v>
      </c>
      <c r="C70" s="64">
        <v>3.17</v>
      </c>
      <c r="D70" s="64">
        <v>11.89</v>
      </c>
      <c r="E70" s="64">
        <v>4.2300000000000004</v>
      </c>
      <c r="F70" s="64">
        <v>2.93</v>
      </c>
      <c r="G70" s="64">
        <v>43.16</v>
      </c>
      <c r="H70" s="64">
        <v>3.06</v>
      </c>
      <c r="I70" s="64">
        <v>2.86</v>
      </c>
      <c r="J70" s="64">
        <v>0.75</v>
      </c>
      <c r="K70" s="64">
        <v>329.19</v>
      </c>
      <c r="L70" s="64">
        <v>30.03</v>
      </c>
      <c r="M70" s="64">
        <v>88.06</v>
      </c>
      <c r="N70" s="64">
        <v>226.5</v>
      </c>
      <c r="O70" s="64">
        <v>0</v>
      </c>
      <c r="P70" s="64">
        <v>0.52</v>
      </c>
      <c r="Q70" s="64">
        <v>9.44</v>
      </c>
      <c r="R70" s="198"/>
      <c r="S70" s="198"/>
      <c r="T70" s="198"/>
      <c r="U70" s="198"/>
    </row>
    <row r="71" spans="1:21" s="12" customFormat="1" x14ac:dyDescent="0.25">
      <c r="A71" s="248" t="s">
        <v>1651</v>
      </c>
      <c r="B71" s="64">
        <v>8.06</v>
      </c>
      <c r="C71" s="64">
        <v>3.16</v>
      </c>
      <c r="D71" s="64">
        <v>11.89</v>
      </c>
      <c r="E71" s="64">
        <v>4.28</v>
      </c>
      <c r="F71" s="64">
        <v>3.82</v>
      </c>
      <c r="G71" s="64">
        <v>43.16</v>
      </c>
      <c r="H71" s="64">
        <v>3.06</v>
      </c>
      <c r="I71" s="64">
        <v>2.9</v>
      </c>
      <c r="J71" s="64">
        <v>0.67</v>
      </c>
      <c r="K71" s="64">
        <v>327.98</v>
      </c>
      <c r="L71" s="64">
        <v>30.14</v>
      </c>
      <c r="M71" s="64">
        <v>87.85</v>
      </c>
      <c r="N71" s="64">
        <v>209</v>
      </c>
      <c r="O71" s="64">
        <v>0</v>
      </c>
      <c r="P71" s="64">
        <v>0.52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48" t="s">
        <v>1652</v>
      </c>
      <c r="B72" s="64">
        <v>8</v>
      </c>
      <c r="C72" s="64">
        <v>3.04</v>
      </c>
      <c r="D72" s="64">
        <v>11.78</v>
      </c>
      <c r="E72" s="64">
        <v>4.4000000000000004</v>
      </c>
      <c r="F72" s="64">
        <v>3.63</v>
      </c>
      <c r="G72" s="64">
        <v>50.21</v>
      </c>
      <c r="H72" s="64">
        <v>41.3</v>
      </c>
      <c r="I72" s="64">
        <v>2.89</v>
      </c>
      <c r="J72" s="64">
        <v>0.83</v>
      </c>
      <c r="K72" s="64">
        <v>340.21</v>
      </c>
      <c r="L72" s="64">
        <v>30.29</v>
      </c>
      <c r="M72" s="64">
        <v>88.79</v>
      </c>
      <c r="N72" s="64">
        <v>197.4</v>
      </c>
      <c r="O72" s="64">
        <v>0</v>
      </c>
      <c r="P72" s="64">
        <v>0.54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48" t="s">
        <v>1653</v>
      </c>
      <c r="B73" s="64">
        <v>7.96</v>
      </c>
      <c r="C73" s="64">
        <v>3.01</v>
      </c>
      <c r="D73" s="64">
        <v>11.73</v>
      </c>
      <c r="E73" s="64">
        <v>4.3600000000000003</v>
      </c>
      <c r="F73" s="64">
        <v>2.56</v>
      </c>
      <c r="G73" s="64">
        <v>53.23</v>
      </c>
      <c r="H73" s="64">
        <v>42.3</v>
      </c>
      <c r="I73" s="64">
        <v>2.91</v>
      </c>
      <c r="J73" s="64">
        <v>0.65</v>
      </c>
      <c r="K73" s="64">
        <v>327.81</v>
      </c>
      <c r="L73" s="64">
        <v>30.1</v>
      </c>
      <c r="M73" s="64">
        <v>90.07</v>
      </c>
      <c r="N73" s="64">
        <v>175.7</v>
      </c>
      <c r="O73" s="64">
        <v>0</v>
      </c>
      <c r="P73" s="64">
        <v>0.54</v>
      </c>
      <c r="Q73" s="64">
        <v>9.4600000000000009</v>
      </c>
      <c r="R73" s="198"/>
      <c r="S73" s="198"/>
      <c r="T73" s="198"/>
      <c r="U73" s="198"/>
    </row>
    <row r="74" spans="1:21" s="12" customFormat="1" x14ac:dyDescent="0.25">
      <c r="A74" s="248" t="s">
        <v>1654</v>
      </c>
      <c r="B74" s="64">
        <v>7.98</v>
      </c>
      <c r="C74" s="64">
        <v>3.03</v>
      </c>
      <c r="D74" s="64">
        <v>11.76</v>
      </c>
      <c r="E74" s="64">
        <v>4.08</v>
      </c>
      <c r="F74" s="64">
        <v>3.24</v>
      </c>
      <c r="G74" s="64">
        <v>53.23</v>
      </c>
      <c r="H74" s="64">
        <v>42.3</v>
      </c>
      <c r="I74" s="64">
        <v>3.08</v>
      </c>
      <c r="J74" s="64">
        <v>0.37</v>
      </c>
      <c r="K74" s="64">
        <v>323</v>
      </c>
      <c r="L74" s="64">
        <v>29.8</v>
      </c>
      <c r="M74" s="64">
        <v>91.2</v>
      </c>
      <c r="N74" s="64">
        <v>144.69999999999999</v>
      </c>
      <c r="O74" s="64">
        <v>0</v>
      </c>
      <c r="P74" s="64">
        <v>0.54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48" t="s">
        <v>1655</v>
      </c>
      <c r="B75" s="64">
        <v>7.99</v>
      </c>
      <c r="C75" s="64">
        <v>3.08</v>
      </c>
      <c r="D75" s="64">
        <v>11.8</v>
      </c>
      <c r="E75" s="64">
        <v>3.96</v>
      </c>
      <c r="F75" s="64">
        <v>3.57</v>
      </c>
      <c r="G75" s="64">
        <v>53.23</v>
      </c>
      <c r="H75" s="64">
        <v>41.3</v>
      </c>
      <c r="I75" s="64">
        <v>3.1</v>
      </c>
      <c r="J75" s="64">
        <v>0.28999999999999998</v>
      </c>
      <c r="K75" s="64">
        <v>321.35000000000002</v>
      </c>
      <c r="L75" s="64">
        <v>29.65</v>
      </c>
      <c r="M75" s="64">
        <v>92.09</v>
      </c>
      <c r="N75" s="64">
        <v>116.7</v>
      </c>
      <c r="O75" s="64">
        <v>0</v>
      </c>
      <c r="P75" s="64">
        <v>0.54</v>
      </c>
      <c r="Q75" s="64">
        <v>9.44</v>
      </c>
      <c r="R75" s="198"/>
      <c r="S75" s="198"/>
      <c r="T75" s="198"/>
      <c r="U75" s="198"/>
    </row>
    <row r="76" spans="1:21" s="12" customFormat="1" x14ac:dyDescent="0.25">
      <c r="A76" s="248" t="s">
        <v>1656</v>
      </c>
      <c r="B76" s="64">
        <v>8.09</v>
      </c>
      <c r="C76" s="64">
        <v>3.19</v>
      </c>
      <c r="D76" s="64">
        <v>11.93</v>
      </c>
      <c r="E76" s="64">
        <v>4.13</v>
      </c>
      <c r="F76" s="64">
        <v>3.56</v>
      </c>
      <c r="G76" s="64">
        <v>52.01</v>
      </c>
      <c r="H76" s="64">
        <v>46.16</v>
      </c>
      <c r="I76" s="64">
        <v>3.05</v>
      </c>
      <c r="J76" s="64">
        <v>0.46</v>
      </c>
      <c r="K76" s="64">
        <v>327.98</v>
      </c>
      <c r="L76" s="64">
        <v>29.3</v>
      </c>
      <c r="M76" s="64">
        <v>94.29</v>
      </c>
      <c r="N76" s="64">
        <v>100.6</v>
      </c>
      <c r="O76" s="64">
        <v>0</v>
      </c>
      <c r="P76" s="64">
        <v>0.56000000000000005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48" t="s">
        <v>1657</v>
      </c>
      <c r="B77" s="64">
        <v>8.1</v>
      </c>
      <c r="C77" s="64">
        <v>3.2</v>
      </c>
      <c r="D77" s="64">
        <v>11.94</v>
      </c>
      <c r="E77" s="64">
        <v>3.93</v>
      </c>
      <c r="F77" s="64">
        <v>3.75</v>
      </c>
      <c r="G77" s="64">
        <v>51.49</v>
      </c>
      <c r="H77" s="64">
        <v>41.59</v>
      </c>
      <c r="I77" s="64">
        <v>3.16</v>
      </c>
      <c r="J77" s="64">
        <v>0.22</v>
      </c>
      <c r="K77" s="64">
        <v>320.68</v>
      </c>
      <c r="L77" s="64">
        <v>29</v>
      </c>
      <c r="M77" s="64">
        <v>96.26</v>
      </c>
      <c r="N77" s="64">
        <v>98.3</v>
      </c>
      <c r="O77" s="64">
        <v>0</v>
      </c>
      <c r="P77" s="64">
        <v>0.56999999999999995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48" t="s">
        <v>1658</v>
      </c>
      <c r="B78" s="64">
        <v>8.0399999999999991</v>
      </c>
      <c r="C78" s="64">
        <v>3.06</v>
      </c>
      <c r="D78" s="64">
        <v>11.82</v>
      </c>
      <c r="E78" s="64">
        <v>4.1399999999999997</v>
      </c>
      <c r="F78" s="64">
        <v>3.44</v>
      </c>
      <c r="G78" s="64">
        <v>51.49</v>
      </c>
      <c r="H78" s="64">
        <v>41.59</v>
      </c>
      <c r="I78" s="64">
        <v>3.36</v>
      </c>
      <c r="J78" s="64">
        <v>0.24</v>
      </c>
      <c r="K78" s="64">
        <v>346.02</v>
      </c>
      <c r="L78" s="64">
        <v>28.7</v>
      </c>
      <c r="M78" s="64">
        <v>96.41</v>
      </c>
      <c r="N78" s="64">
        <v>92.9</v>
      </c>
      <c r="O78" s="64">
        <v>0</v>
      </c>
      <c r="P78" s="64">
        <v>0.57999999999999996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48" t="s">
        <v>1659</v>
      </c>
      <c r="B79" s="64">
        <v>8.01</v>
      </c>
      <c r="C79" s="64">
        <v>3</v>
      </c>
      <c r="D79" s="64">
        <v>11.77</v>
      </c>
      <c r="E79" s="64">
        <v>4.38</v>
      </c>
      <c r="F79" s="64">
        <v>3.4</v>
      </c>
      <c r="G79" s="64">
        <v>51.49</v>
      </c>
      <c r="H79" s="64">
        <v>41.59</v>
      </c>
      <c r="I79" s="64">
        <v>3.52</v>
      </c>
      <c r="J79" s="64">
        <v>0.55000000000000004</v>
      </c>
      <c r="K79" s="64">
        <v>343.78</v>
      </c>
      <c r="L79" s="64">
        <v>28.65</v>
      </c>
      <c r="M79" s="64">
        <v>97.72</v>
      </c>
      <c r="N79" s="64">
        <v>84.2</v>
      </c>
      <c r="O79" s="64">
        <v>0</v>
      </c>
      <c r="P79" s="64">
        <v>0.59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48" t="s">
        <v>1660</v>
      </c>
      <c r="B80" s="64">
        <v>8.1</v>
      </c>
      <c r="C80" s="64">
        <v>3.14</v>
      </c>
      <c r="D80" s="64">
        <v>11.91</v>
      </c>
      <c r="E80" s="64">
        <v>4.26</v>
      </c>
      <c r="F80" s="64">
        <v>3.06</v>
      </c>
      <c r="G80" s="64">
        <v>58.25</v>
      </c>
      <c r="H80" s="64">
        <v>23.31</v>
      </c>
      <c r="I80" s="64">
        <v>3.61</v>
      </c>
      <c r="J80" s="64">
        <v>0.7</v>
      </c>
      <c r="K80" s="64">
        <v>343.16</v>
      </c>
      <c r="L80" s="64">
        <v>28.42</v>
      </c>
      <c r="M80" s="64">
        <v>102.15</v>
      </c>
      <c r="N80" s="64">
        <v>71.2</v>
      </c>
      <c r="O80" s="64">
        <v>0</v>
      </c>
      <c r="P80" s="64">
        <v>0.61</v>
      </c>
      <c r="Q80" s="64">
        <v>9.56</v>
      </c>
      <c r="R80" s="198"/>
      <c r="S80" s="198"/>
      <c r="T80" s="198"/>
      <c r="U80" s="198"/>
    </row>
    <row r="81" spans="1:26" s="12" customFormat="1" x14ac:dyDescent="0.25">
      <c r="A81" s="248" t="s">
        <v>1661</v>
      </c>
      <c r="B81" s="64">
        <v>8.06</v>
      </c>
      <c r="C81" s="64">
        <v>3.1</v>
      </c>
      <c r="D81" s="64">
        <v>11.86</v>
      </c>
      <c r="E81" s="64">
        <v>4.0999999999999996</v>
      </c>
      <c r="F81" s="64">
        <v>3.28</v>
      </c>
      <c r="G81" s="64">
        <v>61.14</v>
      </c>
      <c r="H81" s="64">
        <v>15.89</v>
      </c>
      <c r="I81" s="64">
        <v>3.77</v>
      </c>
      <c r="J81" s="64">
        <v>0.47</v>
      </c>
      <c r="K81" s="64">
        <v>336.73</v>
      </c>
      <c r="L81" s="64">
        <v>27.99</v>
      </c>
      <c r="M81" s="64">
        <v>102.9</v>
      </c>
      <c r="N81" s="64">
        <v>63.1</v>
      </c>
      <c r="O81" s="64">
        <v>0</v>
      </c>
      <c r="P81" s="64">
        <v>0.62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48" t="s">
        <v>1662</v>
      </c>
      <c r="B82" s="64">
        <v>8.0399999999999991</v>
      </c>
      <c r="C82" s="64">
        <v>3.09</v>
      </c>
      <c r="D82" s="64">
        <v>11.83</v>
      </c>
      <c r="E82" s="64">
        <v>4.29</v>
      </c>
      <c r="F82" s="64">
        <v>3.73</v>
      </c>
      <c r="G82" s="64">
        <v>61.14</v>
      </c>
      <c r="H82" s="64">
        <v>15.89</v>
      </c>
      <c r="I82" s="64">
        <v>4.09</v>
      </c>
      <c r="J82" s="64">
        <v>0.41</v>
      </c>
      <c r="K82" s="64">
        <v>326.87</v>
      </c>
      <c r="L82" s="64">
        <v>27.79</v>
      </c>
      <c r="M82" s="64">
        <v>102.97</v>
      </c>
      <c r="N82" s="64">
        <v>56.1</v>
      </c>
      <c r="O82" s="64">
        <v>0</v>
      </c>
      <c r="P82" s="64">
        <v>0.67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48" t="s">
        <v>1663</v>
      </c>
      <c r="B83" s="64">
        <v>8.01</v>
      </c>
      <c r="C83" s="64">
        <v>3.07</v>
      </c>
      <c r="D83" s="64">
        <v>11.8</v>
      </c>
      <c r="E83" s="64">
        <v>4.4800000000000004</v>
      </c>
      <c r="F83" s="64">
        <v>4.51</v>
      </c>
      <c r="G83" s="64">
        <v>61.14</v>
      </c>
      <c r="H83" s="64">
        <v>15.89</v>
      </c>
      <c r="I83" s="64">
        <v>4.34</v>
      </c>
      <c r="J83" s="64">
        <v>0.26</v>
      </c>
      <c r="K83" s="64">
        <v>329.85</v>
      </c>
      <c r="L83" s="64">
        <v>27.58</v>
      </c>
      <c r="M83" s="64">
        <v>102.81</v>
      </c>
      <c r="N83" s="64">
        <v>51.4</v>
      </c>
      <c r="O83" s="64">
        <v>0</v>
      </c>
      <c r="P83" s="64">
        <v>0.69</v>
      </c>
      <c r="Q83" s="64">
        <v>9.69</v>
      </c>
      <c r="R83" s="198"/>
      <c r="S83" s="198"/>
      <c r="T83" s="198"/>
      <c r="U83" s="198"/>
    </row>
    <row r="84" spans="1:26" s="12" customFormat="1" x14ac:dyDescent="0.25">
      <c r="A84" s="248" t="s">
        <v>1664</v>
      </c>
      <c r="B84" s="64">
        <v>8.02</v>
      </c>
      <c r="C84" s="64">
        <v>3.09</v>
      </c>
      <c r="D84" s="64">
        <v>11.82</v>
      </c>
      <c r="E84" s="64">
        <v>4.71</v>
      </c>
      <c r="F84" s="64">
        <v>2.1800000000000002</v>
      </c>
      <c r="G84" s="64">
        <v>74.430000000000007</v>
      </c>
      <c r="H84" s="64">
        <v>30.44</v>
      </c>
      <c r="I84" s="64">
        <v>4.57</v>
      </c>
      <c r="J84" s="64">
        <v>0.18</v>
      </c>
      <c r="K84" s="64">
        <v>336.78</v>
      </c>
      <c r="L84" s="64">
        <v>27.45</v>
      </c>
      <c r="M84" s="64">
        <v>102.8</v>
      </c>
      <c r="N84" s="64">
        <v>50.5</v>
      </c>
      <c r="O84" s="64">
        <v>0</v>
      </c>
      <c r="P84" s="64">
        <v>0.72</v>
      </c>
      <c r="Q84" s="64">
        <v>9.69</v>
      </c>
      <c r="R84" s="198"/>
      <c r="S84" s="198"/>
      <c r="T84" s="198"/>
      <c r="U84" s="198"/>
    </row>
    <row r="85" spans="1:26" s="12" customFormat="1" x14ac:dyDescent="0.25">
      <c r="A85" s="248" t="s">
        <v>1665</v>
      </c>
      <c r="B85" s="64">
        <v>8.07</v>
      </c>
      <c r="C85" s="64">
        <v>3.14</v>
      </c>
      <c r="D85" s="64">
        <v>11.89</v>
      </c>
      <c r="E85" s="64">
        <v>5.05</v>
      </c>
      <c r="F85" s="64">
        <v>3.02</v>
      </c>
      <c r="G85" s="64">
        <v>80.12</v>
      </c>
      <c r="H85" s="64">
        <v>36.340000000000003</v>
      </c>
      <c r="I85" s="64">
        <v>4.63</v>
      </c>
      <c r="J85" s="64">
        <v>0.19</v>
      </c>
      <c r="K85" s="64">
        <v>315.67</v>
      </c>
      <c r="L85" s="64">
        <v>27.49</v>
      </c>
      <c r="M85" s="64">
        <v>102.91</v>
      </c>
      <c r="N85" s="64">
        <v>50.8</v>
      </c>
      <c r="O85" s="64">
        <v>0</v>
      </c>
      <c r="P85" s="64">
        <v>0.73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48" t="s">
        <v>1666</v>
      </c>
      <c r="B86" s="64">
        <v>8.09</v>
      </c>
      <c r="C86" s="64">
        <v>3.13</v>
      </c>
      <c r="D86" s="64">
        <v>11.9</v>
      </c>
      <c r="E86" s="64">
        <v>4.8099999999999996</v>
      </c>
      <c r="F86" s="64">
        <v>3.89</v>
      </c>
      <c r="G86" s="64">
        <v>80.12</v>
      </c>
      <c r="H86" s="64">
        <v>36.340000000000003</v>
      </c>
      <c r="I86" s="64">
        <v>4.72</v>
      </c>
      <c r="J86" s="64">
        <v>0.14000000000000001</v>
      </c>
      <c r="K86" s="64">
        <v>311.31</v>
      </c>
      <c r="L86" s="64">
        <v>27.54</v>
      </c>
      <c r="M86" s="64">
        <v>103.17</v>
      </c>
      <c r="N86" s="64">
        <v>50.9</v>
      </c>
      <c r="O86" s="64">
        <v>0</v>
      </c>
      <c r="P86" s="64">
        <v>0.76</v>
      </c>
      <c r="Q86" s="64">
        <v>9.7200000000000006</v>
      </c>
      <c r="R86" s="198"/>
      <c r="S86" s="198"/>
      <c r="T86" s="198"/>
      <c r="U86" s="198"/>
    </row>
    <row r="87" spans="1:26" s="12" customFormat="1" x14ac:dyDescent="0.25">
      <c r="A87" s="248" t="s">
        <v>1667</v>
      </c>
      <c r="B87" s="64">
        <v>8.08</v>
      </c>
      <c r="C87" s="64">
        <v>3.15</v>
      </c>
      <c r="D87" s="64">
        <v>11.9</v>
      </c>
      <c r="E87" s="64">
        <v>4.99</v>
      </c>
      <c r="F87" s="64">
        <v>3.4</v>
      </c>
      <c r="G87" s="64">
        <v>80.12</v>
      </c>
      <c r="H87" s="64">
        <v>36.340000000000003</v>
      </c>
      <c r="I87" s="64">
        <v>4.8099999999999996</v>
      </c>
      <c r="J87" s="64">
        <v>7.0000000000000007E-2</v>
      </c>
      <c r="K87" s="64">
        <v>290.16000000000003</v>
      </c>
      <c r="L87" s="64">
        <v>27.55</v>
      </c>
      <c r="M87" s="64">
        <v>103.13</v>
      </c>
      <c r="N87" s="64">
        <v>50.9</v>
      </c>
      <c r="O87" s="64">
        <v>0</v>
      </c>
      <c r="P87" s="64">
        <v>0.76</v>
      </c>
      <c r="Q87" s="64">
        <v>9.75</v>
      </c>
      <c r="R87" s="198"/>
      <c r="S87" s="198"/>
      <c r="T87" s="198"/>
      <c r="U87" s="198"/>
    </row>
    <row r="88" spans="1:26" s="12" customFormat="1" x14ac:dyDescent="0.25">
      <c r="A88" s="248" t="s">
        <v>1668</v>
      </c>
      <c r="B88" s="64">
        <v>8.16</v>
      </c>
      <c r="C88" s="64">
        <v>3.31</v>
      </c>
      <c r="D88" s="64">
        <v>12.05</v>
      </c>
      <c r="E88" s="64">
        <v>5</v>
      </c>
      <c r="F88" s="64">
        <v>3.49</v>
      </c>
      <c r="G88" s="64">
        <v>75.39</v>
      </c>
      <c r="H88" s="64">
        <v>21.68</v>
      </c>
      <c r="I88" s="64">
        <v>4.8099999999999996</v>
      </c>
      <c r="J88" s="64">
        <v>0.15</v>
      </c>
      <c r="K88" s="64">
        <v>343.09</v>
      </c>
      <c r="L88" s="64">
        <v>27.49</v>
      </c>
      <c r="M88" s="64">
        <v>103.13</v>
      </c>
      <c r="N88" s="64">
        <v>50.9</v>
      </c>
      <c r="O88" s="64">
        <v>0</v>
      </c>
      <c r="P88" s="64">
        <v>0.77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48" t="s">
        <v>1669</v>
      </c>
      <c r="B89" s="64">
        <v>8.26</v>
      </c>
      <c r="C89" s="64">
        <v>3.44</v>
      </c>
      <c r="D89" s="64">
        <v>12.19</v>
      </c>
      <c r="E89" s="64">
        <v>4.9400000000000004</v>
      </c>
      <c r="F89" s="64">
        <v>3.44</v>
      </c>
      <c r="G89" s="64">
        <v>73.47</v>
      </c>
      <c r="H89" s="64">
        <v>15.72</v>
      </c>
      <c r="I89" s="64">
        <v>4.82</v>
      </c>
      <c r="J89" s="64">
        <v>0.21</v>
      </c>
      <c r="K89" s="64">
        <v>343.52</v>
      </c>
      <c r="L89" s="64">
        <v>27.6</v>
      </c>
      <c r="M89" s="64">
        <v>102.14</v>
      </c>
      <c r="N89" s="64">
        <v>50.7</v>
      </c>
      <c r="O89" s="64">
        <v>0</v>
      </c>
      <c r="P89" s="64">
        <v>0.77</v>
      </c>
      <c r="Q89" s="64">
        <v>9.6999999999999993</v>
      </c>
      <c r="R89" s="198"/>
      <c r="S89" s="198"/>
      <c r="T89" s="198"/>
      <c r="U89" s="198"/>
    </row>
    <row r="90" spans="1:26" s="12" customFormat="1" x14ac:dyDescent="0.25">
      <c r="A90" s="248" t="s">
        <v>1670</v>
      </c>
      <c r="B90" s="64">
        <v>8.1199999999999992</v>
      </c>
      <c r="C90" s="64">
        <v>3.27</v>
      </c>
      <c r="D90" s="64">
        <v>12</v>
      </c>
      <c r="E90" s="64">
        <v>4.88</v>
      </c>
      <c r="F90" s="64">
        <v>3.44</v>
      </c>
      <c r="G90" s="64">
        <v>73.47</v>
      </c>
      <c r="H90" s="64">
        <v>15.72</v>
      </c>
      <c r="I90" s="64">
        <v>4.91</v>
      </c>
      <c r="J90" s="64">
        <v>0.25</v>
      </c>
      <c r="K90" s="64">
        <v>7.25</v>
      </c>
      <c r="L90" s="64">
        <v>27.37</v>
      </c>
      <c r="M90" s="64">
        <v>101.01</v>
      </c>
      <c r="N90" s="64">
        <v>50.7</v>
      </c>
      <c r="O90" s="64">
        <v>0</v>
      </c>
      <c r="P90" s="64">
        <v>0.76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48" t="s">
        <v>1671</v>
      </c>
      <c r="B91" s="64">
        <v>8.09</v>
      </c>
      <c r="C91" s="64">
        <v>3.22</v>
      </c>
      <c r="D91" s="64">
        <v>11.95</v>
      </c>
      <c r="E91" s="64">
        <v>5.01</v>
      </c>
      <c r="F91" s="64">
        <v>3.37</v>
      </c>
      <c r="G91" s="64">
        <v>73.47</v>
      </c>
      <c r="H91" s="64">
        <v>15.72</v>
      </c>
      <c r="I91" s="64">
        <v>4.79</v>
      </c>
      <c r="J91" s="64">
        <v>0.27</v>
      </c>
      <c r="K91" s="64">
        <v>7.96</v>
      </c>
      <c r="L91" s="64">
        <v>27.09</v>
      </c>
      <c r="M91" s="64">
        <v>101.9</v>
      </c>
      <c r="N91" s="64">
        <v>50.9</v>
      </c>
      <c r="O91" s="64">
        <v>0</v>
      </c>
      <c r="P91" s="64">
        <v>0.75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48" t="s">
        <v>1672</v>
      </c>
      <c r="B92" s="64">
        <v>8.0299999999999994</v>
      </c>
      <c r="C92" s="64">
        <v>3.07</v>
      </c>
      <c r="D92" s="64">
        <v>11.82</v>
      </c>
      <c r="E92" s="64">
        <v>4.87</v>
      </c>
      <c r="F92" s="64">
        <v>3.39</v>
      </c>
      <c r="G92" s="64">
        <v>75.010000000000005</v>
      </c>
      <c r="H92" s="64">
        <v>24.23</v>
      </c>
      <c r="I92" s="64">
        <v>4.6399999999999997</v>
      </c>
      <c r="J92" s="64">
        <v>0.2</v>
      </c>
      <c r="K92" s="64">
        <v>6.43</v>
      </c>
      <c r="L92" s="64">
        <v>26.89</v>
      </c>
      <c r="M92" s="64">
        <v>102.5</v>
      </c>
      <c r="N92" s="64">
        <v>51.1</v>
      </c>
      <c r="O92" s="64">
        <v>0</v>
      </c>
      <c r="P92" s="64">
        <v>0.74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48" t="s">
        <v>1673</v>
      </c>
      <c r="B93" s="64">
        <v>8.0500000000000007</v>
      </c>
      <c r="C93" s="64">
        <v>3.05</v>
      </c>
      <c r="D93" s="64">
        <v>11.82</v>
      </c>
      <c r="E93" s="64">
        <v>4.78</v>
      </c>
      <c r="F93" s="64">
        <v>3.49</v>
      </c>
      <c r="G93" s="64">
        <v>75.67</v>
      </c>
      <c r="H93" s="64">
        <v>27.69</v>
      </c>
      <c r="I93" s="64">
        <v>4.47</v>
      </c>
      <c r="J93" s="64">
        <v>0.18</v>
      </c>
      <c r="K93" s="64">
        <v>342.63</v>
      </c>
      <c r="L93" s="64">
        <v>26.87</v>
      </c>
      <c r="M93" s="64">
        <v>102.71</v>
      </c>
      <c r="N93" s="64">
        <v>51.1</v>
      </c>
      <c r="O93" s="64">
        <v>0</v>
      </c>
      <c r="P93" s="64">
        <v>0.72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48" t="s">
        <v>1674</v>
      </c>
      <c r="B94" s="64">
        <v>8.0500000000000007</v>
      </c>
      <c r="C94" s="64">
        <v>3.07</v>
      </c>
      <c r="D94" s="64">
        <v>11.83</v>
      </c>
      <c r="E94" s="64">
        <v>4.4800000000000004</v>
      </c>
      <c r="F94" s="64">
        <v>3.38</v>
      </c>
      <c r="G94" s="64">
        <v>75.67</v>
      </c>
      <c r="H94" s="64">
        <v>27.69</v>
      </c>
      <c r="I94" s="64">
        <v>4.3600000000000003</v>
      </c>
      <c r="J94" s="64">
        <v>0.18</v>
      </c>
      <c r="K94" s="64">
        <v>329.75</v>
      </c>
      <c r="L94" s="64">
        <v>26.62</v>
      </c>
      <c r="M94" s="64">
        <v>103.01</v>
      </c>
      <c r="N94" s="64">
        <v>50.7</v>
      </c>
      <c r="O94" s="64">
        <v>0</v>
      </c>
      <c r="P94" s="64">
        <v>0.71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48" t="s">
        <v>1675</v>
      </c>
      <c r="B95" s="64">
        <v>8.08</v>
      </c>
      <c r="C95" s="64">
        <v>3.15</v>
      </c>
      <c r="D95" s="64">
        <v>11.9</v>
      </c>
      <c r="E95" s="64">
        <v>4.62</v>
      </c>
      <c r="F95" s="64">
        <v>3.53</v>
      </c>
      <c r="G95" s="64">
        <v>75.67</v>
      </c>
      <c r="H95" s="64">
        <v>27.69</v>
      </c>
      <c r="I95" s="64">
        <v>4.2300000000000004</v>
      </c>
      <c r="J95" s="64">
        <v>0.21</v>
      </c>
      <c r="K95" s="64">
        <v>352.22</v>
      </c>
      <c r="L95" s="64">
        <v>26.32</v>
      </c>
      <c r="M95" s="64">
        <v>102.89</v>
      </c>
      <c r="N95" s="64">
        <v>50.2</v>
      </c>
      <c r="O95" s="64">
        <v>0</v>
      </c>
      <c r="P95" s="64">
        <v>0.7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48" t="s">
        <v>1676</v>
      </c>
      <c r="B96" s="64">
        <v>8.02</v>
      </c>
      <c r="C96" s="64">
        <v>3.05</v>
      </c>
      <c r="D96" s="64">
        <v>11.8</v>
      </c>
      <c r="E96" s="64">
        <v>4.59</v>
      </c>
      <c r="F96" s="64">
        <v>3.21</v>
      </c>
      <c r="G96" s="64">
        <v>67.930000000000007</v>
      </c>
      <c r="H96" s="64">
        <v>16.93</v>
      </c>
      <c r="I96" s="64">
        <v>4.22</v>
      </c>
      <c r="J96" s="64">
        <v>0.23</v>
      </c>
      <c r="K96" s="64">
        <v>352.11</v>
      </c>
      <c r="L96" s="64">
        <v>26.17</v>
      </c>
      <c r="M96" s="64">
        <v>102.77</v>
      </c>
      <c r="N96" s="64">
        <v>50.1</v>
      </c>
      <c r="O96" s="64">
        <v>0</v>
      </c>
      <c r="P96" s="64">
        <v>0.68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1677</v>
      </c>
      <c r="B97" s="64">
        <v>7.98</v>
      </c>
      <c r="C97" s="64">
        <v>2.97</v>
      </c>
      <c r="D97" s="64">
        <v>11.72</v>
      </c>
      <c r="E97" s="64">
        <v>4.99</v>
      </c>
      <c r="F97" s="64">
        <v>3.15</v>
      </c>
      <c r="G97" s="64">
        <v>64.61</v>
      </c>
      <c r="H97" s="64">
        <v>12.56</v>
      </c>
      <c r="I97" s="64">
        <v>4.08</v>
      </c>
      <c r="J97" s="64">
        <v>0.21</v>
      </c>
      <c r="K97" s="64">
        <v>339.67</v>
      </c>
      <c r="L97" s="64">
        <v>26.11</v>
      </c>
      <c r="M97" s="64">
        <v>102.71</v>
      </c>
      <c r="N97" s="64">
        <v>50.4</v>
      </c>
      <c r="O97" s="64">
        <v>0</v>
      </c>
      <c r="P97" s="64">
        <v>0.67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48" t="s">
        <v>1678</v>
      </c>
      <c r="B98" s="64">
        <v>7.96</v>
      </c>
      <c r="C98" s="64">
        <v>2.97</v>
      </c>
      <c r="D98" s="64">
        <v>11.71</v>
      </c>
      <c r="E98" s="64">
        <v>5.0599999999999996</v>
      </c>
      <c r="F98" s="64">
        <v>3.19</v>
      </c>
      <c r="G98" s="64">
        <v>64.61</v>
      </c>
      <c r="H98" s="64">
        <v>12.56</v>
      </c>
      <c r="I98" s="64">
        <v>4</v>
      </c>
      <c r="J98" s="64">
        <v>0.21</v>
      </c>
      <c r="K98" s="64">
        <v>342.33</v>
      </c>
      <c r="L98" s="64">
        <v>26.07</v>
      </c>
      <c r="M98" s="64">
        <v>102.83</v>
      </c>
      <c r="N98" s="64">
        <v>50.4</v>
      </c>
      <c r="O98" s="64">
        <v>0.2</v>
      </c>
      <c r="P98" s="64">
        <v>0.65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48" t="s">
        <v>1679</v>
      </c>
      <c r="B99" s="64">
        <v>7.97</v>
      </c>
      <c r="C99" s="64">
        <v>2.98</v>
      </c>
      <c r="D99" s="64">
        <v>11.73</v>
      </c>
      <c r="E99" s="64">
        <v>4.72</v>
      </c>
      <c r="F99" s="64">
        <v>3.2</v>
      </c>
      <c r="G99" s="64">
        <v>64.61</v>
      </c>
      <c r="H99" s="64">
        <v>12.56</v>
      </c>
      <c r="I99" s="64">
        <v>3.98</v>
      </c>
      <c r="J99" s="64">
        <v>0.13</v>
      </c>
      <c r="K99" s="64">
        <v>312.52</v>
      </c>
      <c r="L99" s="64">
        <v>26.04</v>
      </c>
      <c r="M99" s="64">
        <v>102.9</v>
      </c>
      <c r="N99" s="64">
        <v>50.7</v>
      </c>
      <c r="O99" s="64">
        <v>0</v>
      </c>
      <c r="P99" s="64">
        <v>0.64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48" t="s">
        <v>1680</v>
      </c>
      <c r="B100" s="64">
        <v>8.06</v>
      </c>
      <c r="C100" s="64">
        <v>3.15</v>
      </c>
      <c r="D100" s="64">
        <v>11.88</v>
      </c>
      <c r="E100" s="64">
        <v>4.47</v>
      </c>
      <c r="F100" s="64">
        <v>3.04</v>
      </c>
      <c r="G100" s="64">
        <v>59.61</v>
      </c>
      <c r="H100" s="64">
        <v>23.51</v>
      </c>
      <c r="I100" s="64">
        <v>3.95</v>
      </c>
      <c r="J100" s="64">
        <v>0.15</v>
      </c>
      <c r="K100" s="64">
        <v>323.14</v>
      </c>
      <c r="L100" s="64">
        <v>25.96</v>
      </c>
      <c r="M100" s="64">
        <v>102.95</v>
      </c>
      <c r="N100" s="64">
        <v>50.9</v>
      </c>
      <c r="O100" s="64">
        <v>0</v>
      </c>
      <c r="P100" s="64">
        <v>0.63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1681</v>
      </c>
      <c r="B101" s="64">
        <v>8.06</v>
      </c>
      <c r="C101" s="64">
        <v>3.14</v>
      </c>
      <c r="D101" s="64">
        <v>11.88</v>
      </c>
      <c r="E101" s="64">
        <v>4.71</v>
      </c>
      <c r="F101" s="64">
        <v>4.2699999999999996</v>
      </c>
      <c r="G101" s="64">
        <v>57.58</v>
      </c>
      <c r="H101" s="64">
        <v>27.96</v>
      </c>
      <c r="I101" s="64">
        <v>3.98</v>
      </c>
      <c r="J101" s="64">
        <v>0.19</v>
      </c>
      <c r="K101" s="64">
        <v>346.91</v>
      </c>
      <c r="L101" s="64">
        <v>25.95</v>
      </c>
      <c r="M101" s="64">
        <v>103.01</v>
      </c>
      <c r="N101" s="64">
        <v>50.9</v>
      </c>
      <c r="O101" s="64">
        <v>0</v>
      </c>
      <c r="P101" s="64">
        <v>0.62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48" t="s">
        <v>1682</v>
      </c>
      <c r="B102" s="64">
        <v>7.97</v>
      </c>
      <c r="C102" s="64">
        <v>3.04</v>
      </c>
      <c r="D102" s="64">
        <v>11.76</v>
      </c>
      <c r="E102" s="64">
        <v>4.71</v>
      </c>
      <c r="F102" s="64">
        <v>2.76</v>
      </c>
      <c r="G102" s="64">
        <v>57.58</v>
      </c>
      <c r="H102" s="64">
        <v>27.96</v>
      </c>
      <c r="I102" s="64">
        <v>4.01</v>
      </c>
      <c r="J102" s="64">
        <v>0.04</v>
      </c>
      <c r="K102" s="64">
        <v>56.07</v>
      </c>
      <c r="L102" s="64">
        <v>25.92</v>
      </c>
      <c r="M102" s="64">
        <v>103.09</v>
      </c>
      <c r="N102" s="64">
        <v>50.9</v>
      </c>
      <c r="O102" s="64">
        <v>0</v>
      </c>
      <c r="P102" s="64">
        <v>0.6</v>
      </c>
      <c r="Q102" s="64">
        <v>9.5500000000000007</v>
      </c>
      <c r="R102" s="198"/>
      <c r="S102" s="198"/>
      <c r="T102" s="198"/>
      <c r="U102" s="198"/>
    </row>
    <row r="103" spans="1:33" s="12" customFormat="1" x14ac:dyDescent="0.25">
      <c r="A103" s="248" t="s">
        <v>1683</v>
      </c>
      <c r="B103" s="64">
        <v>8</v>
      </c>
      <c r="C103" s="64">
        <v>3.04</v>
      </c>
      <c r="D103" s="64">
        <v>11.78</v>
      </c>
      <c r="E103" s="64">
        <v>4.67</v>
      </c>
      <c r="F103" s="64">
        <v>2.75</v>
      </c>
      <c r="G103" s="64">
        <v>57.58</v>
      </c>
      <c r="H103" s="64">
        <v>27.96</v>
      </c>
      <c r="I103" s="64">
        <v>3.98</v>
      </c>
      <c r="J103" s="64">
        <v>0.13</v>
      </c>
      <c r="K103" s="64">
        <v>197</v>
      </c>
      <c r="L103" s="64">
        <v>25.87</v>
      </c>
      <c r="M103" s="64">
        <v>103.11</v>
      </c>
      <c r="N103" s="64">
        <v>51.2</v>
      </c>
      <c r="O103" s="64">
        <v>0</v>
      </c>
      <c r="P103" s="64">
        <v>0.57999999999999996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48" t="s">
        <v>1684</v>
      </c>
      <c r="B104" s="64">
        <v>7.98</v>
      </c>
      <c r="C104" s="64">
        <v>3.04</v>
      </c>
      <c r="D104" s="64">
        <v>11.76</v>
      </c>
      <c r="E104" s="64">
        <v>4.58</v>
      </c>
      <c r="F104" s="64">
        <v>4.41</v>
      </c>
      <c r="G104" s="64">
        <v>51.28</v>
      </c>
      <c r="H104" s="64">
        <v>21.58</v>
      </c>
      <c r="I104" s="64">
        <v>3.85</v>
      </c>
      <c r="J104" s="64">
        <v>0.14000000000000001</v>
      </c>
      <c r="K104" s="64">
        <v>6.45</v>
      </c>
      <c r="L104" s="64">
        <v>25.85</v>
      </c>
      <c r="M104" s="64">
        <v>103.09</v>
      </c>
      <c r="N104" s="64">
        <v>51.2</v>
      </c>
      <c r="O104" s="64">
        <v>0</v>
      </c>
      <c r="P104" s="64">
        <v>0.56999999999999995</v>
      </c>
      <c r="Q104" s="64">
        <v>9.52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2.92</v>
      </c>
      <c r="D106" s="67">
        <f t="shared" ref="D106:Q106" si="0">MIN(D9:D104)</f>
        <v>11.66</v>
      </c>
      <c r="E106" s="67">
        <f t="shared" si="0"/>
        <v>3.77</v>
      </c>
      <c r="F106" s="67">
        <f t="shared" si="0"/>
        <v>2.13</v>
      </c>
      <c r="G106" s="67">
        <f t="shared" si="0"/>
        <v>21.97</v>
      </c>
      <c r="H106" s="67">
        <f t="shared" si="0"/>
        <v>1.6</v>
      </c>
      <c r="I106" s="67">
        <f t="shared" si="0"/>
        <v>2.54</v>
      </c>
      <c r="J106" s="67">
        <f t="shared" si="0"/>
        <v>0.01</v>
      </c>
      <c r="K106" s="67">
        <f t="shared" si="0"/>
        <v>6.43</v>
      </c>
      <c r="L106" s="67">
        <f t="shared" si="0"/>
        <v>25.78</v>
      </c>
      <c r="M106" s="67">
        <f t="shared" si="0"/>
        <v>87.85</v>
      </c>
      <c r="N106" s="67">
        <f t="shared" si="0"/>
        <v>49</v>
      </c>
      <c r="O106" s="67">
        <f t="shared" si="0"/>
        <v>0</v>
      </c>
      <c r="P106" s="67">
        <f t="shared" si="0"/>
        <v>0.35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8.26</v>
      </c>
      <c r="C107" s="66">
        <f t="shared" ref="C107:Q107" si="1">MAX(C9:C104)</f>
        <v>3.44</v>
      </c>
      <c r="D107" s="66">
        <f t="shared" si="1"/>
        <v>12.19</v>
      </c>
      <c r="E107" s="66">
        <f t="shared" si="1"/>
        <v>5.0599999999999996</v>
      </c>
      <c r="F107" s="66">
        <f t="shared" si="1"/>
        <v>5</v>
      </c>
      <c r="G107" s="66">
        <f t="shared" si="1"/>
        <v>80.12</v>
      </c>
      <c r="H107" s="66">
        <f t="shared" si="1"/>
        <v>46.16</v>
      </c>
      <c r="I107" s="66">
        <f t="shared" si="1"/>
        <v>8.5399999999999991</v>
      </c>
      <c r="J107" s="66">
        <f t="shared" si="1"/>
        <v>1.32</v>
      </c>
      <c r="K107" s="66">
        <f t="shared" si="1"/>
        <v>357.29</v>
      </c>
      <c r="L107" s="66">
        <f t="shared" si="1"/>
        <v>31.25</v>
      </c>
      <c r="M107" s="66">
        <f t="shared" si="1"/>
        <v>103.38</v>
      </c>
      <c r="N107" s="66">
        <f t="shared" si="1"/>
        <v>383</v>
      </c>
      <c r="O107" s="66">
        <f t="shared" si="1"/>
        <v>1</v>
      </c>
      <c r="P107" s="66">
        <f t="shared" si="1"/>
        <v>0.77</v>
      </c>
      <c r="Q107" s="66">
        <f t="shared" si="1"/>
        <v>9.8000000000000007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8.0290625000000002</v>
      </c>
      <c r="C108" s="67">
        <f t="shared" ref="C108:Q108" si="2">AVERAGE(C9:C104)</f>
        <v>3.0779166666666673</v>
      </c>
      <c r="D108" s="67">
        <f t="shared" si="2"/>
        <v>11.821354166666671</v>
      </c>
      <c r="E108" s="67">
        <f t="shared" si="2"/>
        <v>4.4465624999999998</v>
      </c>
      <c r="F108" s="67">
        <f t="shared" si="2"/>
        <v>3.3918749999999984</v>
      </c>
      <c r="G108" s="67">
        <f t="shared" si="2"/>
        <v>44.170312499999987</v>
      </c>
      <c r="H108" s="67">
        <f t="shared" si="2"/>
        <v>20.66541176470588</v>
      </c>
      <c r="I108" s="67">
        <f t="shared" si="2"/>
        <v>4.982187500000002</v>
      </c>
      <c r="J108" s="67">
        <f t="shared" si="2"/>
        <v>0.40135416666666662</v>
      </c>
      <c r="K108" s="67">
        <f t="shared" si="2"/>
        <v>297.32218749999993</v>
      </c>
      <c r="L108" s="67">
        <f t="shared" si="2"/>
        <v>27.651041666666668</v>
      </c>
      <c r="M108" s="67">
        <f t="shared" si="2"/>
        <v>99.899583333333339</v>
      </c>
      <c r="N108" s="67">
        <f t="shared" si="2"/>
        <v>137.68854166666671</v>
      </c>
      <c r="O108" s="67">
        <f t="shared" si="2"/>
        <v>3.125E-2</v>
      </c>
      <c r="P108" s="67">
        <f t="shared" si="2"/>
        <v>0.5306249999999999</v>
      </c>
      <c r="Q108" s="67">
        <f t="shared" si="2"/>
        <v>9.5217708333333366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5.6922442618743997E-2</v>
      </c>
      <c r="C109" s="67">
        <f t="shared" ref="C109:Q109" si="3">STDEV(C9:C104)</f>
        <v>9.1132254000975091E-2</v>
      </c>
      <c r="D109" s="67">
        <f t="shared" si="3"/>
        <v>9.2265290179621887E-2</v>
      </c>
      <c r="E109" s="67">
        <f t="shared" si="3"/>
        <v>0.3349590018117693</v>
      </c>
      <c r="F109" s="67">
        <f t="shared" si="3"/>
        <v>0.62646596496790996</v>
      </c>
      <c r="G109" s="67">
        <f t="shared" si="3"/>
        <v>17.29164218271363</v>
      </c>
      <c r="H109" s="67">
        <f t="shared" si="3"/>
        <v>11.758307554857636</v>
      </c>
      <c r="I109" s="67">
        <f t="shared" si="3"/>
        <v>1.7760785918628892</v>
      </c>
      <c r="J109" s="67">
        <f t="shared" si="3"/>
        <v>0.34439151463251422</v>
      </c>
      <c r="K109" s="67">
        <f t="shared" si="3"/>
        <v>83.627792298004522</v>
      </c>
      <c r="L109" s="67">
        <f t="shared" si="3"/>
        <v>1.6609651469245961</v>
      </c>
      <c r="M109" s="67">
        <f t="shared" si="3"/>
        <v>4.8273252737147949</v>
      </c>
      <c r="N109" s="67">
        <f t="shared" si="3"/>
        <v>109.09273203616287</v>
      </c>
      <c r="O109" s="67">
        <f t="shared" si="3"/>
        <v>0.14313225389570014</v>
      </c>
      <c r="P109" s="67">
        <f t="shared" si="3"/>
        <v>0.11563838827182497</v>
      </c>
      <c r="Q109" s="67">
        <f t="shared" si="3"/>
        <v>0.10389260438363275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39" sqref="H3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1685</v>
      </c>
      <c r="B9" s="64">
        <v>7.94</v>
      </c>
      <c r="C9" s="64">
        <v>2.94</v>
      </c>
      <c r="D9" s="64">
        <v>11.67</v>
      </c>
      <c r="E9" s="64">
        <v>4.6500000000000004</v>
      </c>
      <c r="F9" s="64">
        <v>2.37</v>
      </c>
      <c r="G9" s="64">
        <v>48.59</v>
      </c>
      <c r="H9" s="64">
        <v>18.98</v>
      </c>
      <c r="I9" s="64">
        <v>3.87</v>
      </c>
      <c r="J9" s="64">
        <v>0.08</v>
      </c>
      <c r="K9" s="64">
        <v>5.05</v>
      </c>
      <c r="L9" s="64">
        <v>25.84</v>
      </c>
      <c r="M9" s="64">
        <v>103.07</v>
      </c>
      <c r="N9" s="64">
        <v>51.2</v>
      </c>
      <c r="O9" s="64">
        <v>0</v>
      </c>
      <c r="P9" s="64">
        <v>0.54</v>
      </c>
      <c r="Q9" s="64">
        <v>9.49</v>
      </c>
      <c r="R9" s="198"/>
      <c r="S9" s="198"/>
      <c r="T9" s="198"/>
      <c r="U9" s="198"/>
    </row>
    <row r="10" spans="1:21" s="12" customFormat="1" x14ac:dyDescent="0.25">
      <c r="A10" s="248" t="s">
        <v>1686</v>
      </c>
      <c r="B10" s="64">
        <v>7.96</v>
      </c>
      <c r="C10" s="64">
        <v>2.99</v>
      </c>
      <c r="D10" s="64">
        <v>11.72</v>
      </c>
      <c r="E10" s="64">
        <v>4.05</v>
      </c>
      <c r="F10" s="64">
        <v>3.22</v>
      </c>
      <c r="G10" s="64">
        <v>48.59</v>
      </c>
      <c r="H10" s="64">
        <v>18.98</v>
      </c>
      <c r="I10" s="64">
        <v>3.92</v>
      </c>
      <c r="J10" s="64">
        <v>0.02</v>
      </c>
      <c r="K10" s="64">
        <v>71.64</v>
      </c>
      <c r="L10" s="64">
        <v>25.83</v>
      </c>
      <c r="M10" s="64">
        <v>103.14</v>
      </c>
      <c r="N10" s="64">
        <v>51.1</v>
      </c>
      <c r="O10" s="64">
        <v>0</v>
      </c>
      <c r="P10" s="64">
        <v>0.53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48" t="s">
        <v>1687</v>
      </c>
      <c r="B11" s="64">
        <v>7.98</v>
      </c>
      <c r="C11" s="64">
        <v>3.06</v>
      </c>
      <c r="D11" s="64">
        <v>11.78</v>
      </c>
      <c r="E11" s="64">
        <v>4.22</v>
      </c>
      <c r="F11" s="64">
        <v>3.7</v>
      </c>
      <c r="G11" s="64">
        <v>48.59</v>
      </c>
      <c r="H11" s="64">
        <v>18.98</v>
      </c>
      <c r="I11" s="64">
        <v>3.78</v>
      </c>
      <c r="J11" s="64">
        <v>0.1</v>
      </c>
      <c r="K11" s="64">
        <v>324.92</v>
      </c>
      <c r="L11" s="64">
        <v>25.75</v>
      </c>
      <c r="M11" s="64">
        <v>103.2</v>
      </c>
      <c r="N11" s="64">
        <v>51.2</v>
      </c>
      <c r="O11" s="64">
        <v>0</v>
      </c>
      <c r="P11" s="64">
        <v>0.52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48" t="s">
        <v>1688</v>
      </c>
      <c r="B12" s="64">
        <v>7.96</v>
      </c>
      <c r="C12" s="64">
        <v>3.04</v>
      </c>
      <c r="D12" s="64">
        <v>11.74</v>
      </c>
      <c r="E12" s="64">
        <v>4.1900000000000004</v>
      </c>
      <c r="F12" s="64">
        <v>3.46</v>
      </c>
      <c r="G12" s="64">
        <v>40.450000000000003</v>
      </c>
      <c r="H12" s="64">
        <v>12.77</v>
      </c>
      <c r="I12" s="64">
        <v>3.72</v>
      </c>
      <c r="J12" s="64">
        <v>0.09</v>
      </c>
      <c r="K12" s="64">
        <v>154.74</v>
      </c>
      <c r="L12" s="64">
        <v>25.66</v>
      </c>
      <c r="M12" s="64">
        <v>103.25</v>
      </c>
      <c r="N12" s="64">
        <v>51.2</v>
      </c>
      <c r="O12" s="64">
        <v>0</v>
      </c>
      <c r="P12" s="64">
        <v>0.51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48" t="s">
        <v>1689</v>
      </c>
      <c r="B13" s="64">
        <v>7.94</v>
      </c>
      <c r="C13" s="64">
        <v>3.03</v>
      </c>
      <c r="D13" s="64">
        <v>11.73</v>
      </c>
      <c r="E13" s="64">
        <v>4.28</v>
      </c>
      <c r="F13" s="64">
        <v>3.32</v>
      </c>
      <c r="G13" s="64">
        <v>37.14</v>
      </c>
      <c r="H13" s="64">
        <v>10.11</v>
      </c>
      <c r="I13" s="64">
        <v>3.73</v>
      </c>
      <c r="J13" s="64">
        <v>0.18</v>
      </c>
      <c r="K13" s="64">
        <v>175.51</v>
      </c>
      <c r="L13" s="64">
        <v>25.4</v>
      </c>
      <c r="M13" s="64">
        <v>103.29</v>
      </c>
      <c r="N13" s="64">
        <v>51.3</v>
      </c>
      <c r="O13" s="64">
        <v>0</v>
      </c>
      <c r="P13" s="64">
        <v>0.49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48" t="s">
        <v>1690</v>
      </c>
      <c r="B14" s="64">
        <v>7.98</v>
      </c>
      <c r="C14" s="64">
        <v>3.05</v>
      </c>
      <c r="D14" s="64">
        <v>11.76</v>
      </c>
      <c r="E14" s="64">
        <v>4.59</v>
      </c>
      <c r="F14" s="64">
        <v>3.56</v>
      </c>
      <c r="G14" s="64">
        <v>37.14</v>
      </c>
      <c r="H14" s="64">
        <v>10.11</v>
      </c>
      <c r="I14" s="64">
        <v>3.7</v>
      </c>
      <c r="J14" s="64">
        <v>0.06</v>
      </c>
      <c r="K14" s="64">
        <v>195.28</v>
      </c>
      <c r="L14" s="64">
        <v>25.29</v>
      </c>
      <c r="M14" s="64">
        <v>103.3</v>
      </c>
      <c r="N14" s="64">
        <v>51.1</v>
      </c>
      <c r="O14" s="64">
        <v>0</v>
      </c>
      <c r="P14" s="64">
        <v>0.48</v>
      </c>
      <c r="Q14" s="64">
        <v>9.39</v>
      </c>
      <c r="R14" s="198"/>
      <c r="S14" s="198"/>
      <c r="T14" s="198"/>
      <c r="U14" s="198"/>
    </row>
    <row r="15" spans="1:21" s="12" customFormat="1" x14ac:dyDescent="0.25">
      <c r="A15" s="248" t="s">
        <v>1691</v>
      </c>
      <c r="B15" s="64">
        <v>7.98</v>
      </c>
      <c r="C15" s="64">
        <v>3.04</v>
      </c>
      <c r="D15" s="64">
        <v>11.76</v>
      </c>
      <c r="E15" s="64">
        <v>4.67</v>
      </c>
      <c r="F15" s="64">
        <v>3.41</v>
      </c>
      <c r="G15" s="64">
        <v>37.14</v>
      </c>
      <c r="H15" s="64">
        <v>10.11</v>
      </c>
      <c r="I15" s="64">
        <v>3.7</v>
      </c>
      <c r="J15" s="64">
        <v>0.04</v>
      </c>
      <c r="K15" s="64">
        <v>32.81</v>
      </c>
      <c r="L15" s="64">
        <v>25.19</v>
      </c>
      <c r="M15" s="64">
        <v>103.28</v>
      </c>
      <c r="N15" s="64">
        <v>50.9</v>
      </c>
      <c r="O15" s="64">
        <v>0</v>
      </c>
      <c r="P15" s="64">
        <v>0.46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48" t="s">
        <v>1692</v>
      </c>
      <c r="B16" s="64">
        <v>7.99</v>
      </c>
      <c r="C16" s="64">
        <v>3.05</v>
      </c>
      <c r="D16" s="64">
        <v>11.78</v>
      </c>
      <c r="E16" s="64">
        <v>4.34</v>
      </c>
      <c r="F16" s="64">
        <v>3.48</v>
      </c>
      <c r="G16" s="64">
        <v>31.58</v>
      </c>
      <c r="H16" s="64">
        <v>7.33</v>
      </c>
      <c r="I16" s="64">
        <v>3.7</v>
      </c>
      <c r="J16" s="64">
        <v>0.1</v>
      </c>
      <c r="K16" s="64">
        <v>335.52</v>
      </c>
      <c r="L16" s="64">
        <v>25.13</v>
      </c>
      <c r="M16" s="64">
        <v>103.26</v>
      </c>
      <c r="N16" s="64">
        <v>50.9</v>
      </c>
      <c r="O16" s="64">
        <v>0</v>
      </c>
      <c r="P16" s="64">
        <v>0.45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48" t="s">
        <v>1693</v>
      </c>
      <c r="B17" s="64">
        <v>7.95</v>
      </c>
      <c r="C17" s="64">
        <v>2.98</v>
      </c>
      <c r="D17" s="64">
        <v>11.71</v>
      </c>
      <c r="E17" s="64">
        <v>4.38</v>
      </c>
      <c r="F17" s="64">
        <v>3.31</v>
      </c>
      <c r="G17" s="64">
        <v>29.2</v>
      </c>
      <c r="H17" s="64">
        <v>6.2</v>
      </c>
      <c r="I17" s="64">
        <v>3.67</v>
      </c>
      <c r="J17" s="64">
        <v>0.12</v>
      </c>
      <c r="K17" s="64">
        <v>339.21</v>
      </c>
      <c r="L17" s="64">
        <v>25.13</v>
      </c>
      <c r="M17" s="64">
        <v>103.22</v>
      </c>
      <c r="N17" s="64">
        <v>50.9</v>
      </c>
      <c r="O17" s="64">
        <v>0</v>
      </c>
      <c r="P17" s="64">
        <v>0.43</v>
      </c>
      <c r="Q17" s="64">
        <v>9.35</v>
      </c>
      <c r="R17" s="198"/>
      <c r="S17" s="198"/>
      <c r="T17" s="198"/>
      <c r="U17" s="198"/>
    </row>
    <row r="18" spans="1:21" s="12" customFormat="1" x14ac:dyDescent="0.25">
      <c r="A18" s="248" t="s">
        <v>1694</v>
      </c>
      <c r="B18" s="64">
        <v>8</v>
      </c>
      <c r="C18" s="64">
        <v>3.02</v>
      </c>
      <c r="D18" s="64">
        <v>11.77</v>
      </c>
      <c r="E18" s="64">
        <v>4.37</v>
      </c>
      <c r="F18" s="64">
        <v>3.39</v>
      </c>
      <c r="G18" s="64">
        <v>29.2</v>
      </c>
      <c r="H18" s="64">
        <v>6.2</v>
      </c>
      <c r="I18" s="64">
        <v>3.74</v>
      </c>
      <c r="J18" s="64">
        <v>0.15</v>
      </c>
      <c r="K18" s="64">
        <v>340.44</v>
      </c>
      <c r="L18" s="64">
        <v>25.11</v>
      </c>
      <c r="M18" s="64">
        <v>103.19</v>
      </c>
      <c r="N18" s="64">
        <v>50.9</v>
      </c>
      <c r="O18" s="64">
        <v>0</v>
      </c>
      <c r="P18" s="64">
        <v>0.43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48" t="s">
        <v>1695</v>
      </c>
      <c r="B19" s="64">
        <v>7.99</v>
      </c>
      <c r="C19" s="64">
        <v>2.97</v>
      </c>
      <c r="D19" s="64">
        <v>11.73</v>
      </c>
      <c r="E19" s="64">
        <v>4.55</v>
      </c>
      <c r="F19" s="64">
        <v>3.66</v>
      </c>
      <c r="G19" s="64">
        <v>29.2</v>
      </c>
      <c r="H19" s="64">
        <v>6.2</v>
      </c>
      <c r="I19" s="64">
        <v>3.55</v>
      </c>
      <c r="J19" s="64">
        <v>0.17</v>
      </c>
      <c r="K19" s="64">
        <v>319.94</v>
      </c>
      <c r="L19" s="64">
        <v>25.16</v>
      </c>
      <c r="M19" s="64">
        <v>103.11</v>
      </c>
      <c r="N19" s="64">
        <v>50.9</v>
      </c>
      <c r="O19" s="64">
        <v>0</v>
      </c>
      <c r="P19" s="64">
        <v>0.41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48" t="s">
        <v>1696</v>
      </c>
      <c r="B20" s="64">
        <v>8</v>
      </c>
      <c r="C20" s="64">
        <v>2.91</v>
      </c>
      <c r="D20" s="64">
        <v>11.71</v>
      </c>
      <c r="E20" s="64">
        <v>2.97</v>
      </c>
      <c r="F20" s="64">
        <v>3.46</v>
      </c>
      <c r="G20" s="64">
        <v>27.88</v>
      </c>
      <c r="H20" s="64">
        <v>7.28</v>
      </c>
      <c r="I20" s="64">
        <v>3.73</v>
      </c>
      <c r="J20" s="64">
        <v>0.2</v>
      </c>
      <c r="K20" s="64">
        <v>329.4</v>
      </c>
      <c r="L20" s="64">
        <v>25.16</v>
      </c>
      <c r="M20" s="64">
        <v>103.19</v>
      </c>
      <c r="N20" s="64">
        <v>50.8</v>
      </c>
      <c r="O20" s="64">
        <v>0</v>
      </c>
      <c r="P20" s="64">
        <v>0.4</v>
      </c>
      <c r="Q20" s="64">
        <v>9.39</v>
      </c>
      <c r="R20" s="198"/>
      <c r="S20" s="198"/>
      <c r="T20" s="198"/>
      <c r="U20" s="198"/>
    </row>
    <row r="21" spans="1:21" s="12" customFormat="1" x14ac:dyDescent="0.25">
      <c r="A21" s="248" t="s">
        <v>1697</v>
      </c>
      <c r="B21" s="64">
        <v>7.98</v>
      </c>
      <c r="C21" s="64">
        <v>2.94</v>
      </c>
      <c r="D21" s="64">
        <v>11.71</v>
      </c>
      <c r="E21" s="64">
        <v>3.16</v>
      </c>
      <c r="F21" s="64">
        <v>3.84</v>
      </c>
      <c r="G21" s="64">
        <v>27.31</v>
      </c>
      <c r="H21" s="64">
        <v>7.75</v>
      </c>
      <c r="I21" s="64">
        <v>3.5</v>
      </c>
      <c r="J21" s="64">
        <v>0.19</v>
      </c>
      <c r="K21" s="64">
        <v>345.2</v>
      </c>
      <c r="L21" s="64">
        <v>25.1</v>
      </c>
      <c r="M21" s="64">
        <v>103.34</v>
      </c>
      <c r="N21" s="64">
        <v>50.9</v>
      </c>
      <c r="O21" s="64">
        <v>0</v>
      </c>
      <c r="P21" s="64">
        <v>0.39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48" t="s">
        <v>1698</v>
      </c>
      <c r="B22" s="64">
        <v>7.99</v>
      </c>
      <c r="C22" s="64">
        <v>3</v>
      </c>
      <c r="D22" s="64">
        <v>11.75</v>
      </c>
      <c r="E22" s="64">
        <v>3.06</v>
      </c>
      <c r="F22" s="64">
        <v>3.4</v>
      </c>
      <c r="G22" s="64">
        <v>27.31</v>
      </c>
      <c r="H22" s="64">
        <v>7.75</v>
      </c>
      <c r="I22" s="64">
        <v>3.38</v>
      </c>
      <c r="J22" s="64">
        <v>0.19</v>
      </c>
      <c r="K22" s="64">
        <v>332.96</v>
      </c>
      <c r="L22" s="64">
        <v>25.11</v>
      </c>
      <c r="M22" s="64">
        <v>103.37</v>
      </c>
      <c r="N22" s="64">
        <v>50.8</v>
      </c>
      <c r="O22" s="64">
        <v>0</v>
      </c>
      <c r="P22" s="64">
        <v>0.38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48" t="s">
        <v>1699</v>
      </c>
      <c r="B23" s="64">
        <v>8</v>
      </c>
      <c r="C23" s="64">
        <v>3.02</v>
      </c>
      <c r="D23" s="64">
        <v>11.77</v>
      </c>
      <c r="E23" s="64">
        <v>3.09</v>
      </c>
      <c r="F23" s="64">
        <v>3.37</v>
      </c>
      <c r="G23" s="64">
        <v>27.31</v>
      </c>
      <c r="H23" s="64">
        <v>7.75</v>
      </c>
      <c r="I23" s="64">
        <v>3.25</v>
      </c>
      <c r="J23" s="64">
        <v>0.09</v>
      </c>
      <c r="K23" s="64">
        <v>312.2</v>
      </c>
      <c r="L23" s="64">
        <v>25.07</v>
      </c>
      <c r="M23" s="64">
        <v>103.37</v>
      </c>
      <c r="N23" s="64">
        <v>50.8</v>
      </c>
      <c r="O23" s="64">
        <v>0</v>
      </c>
      <c r="P23" s="64">
        <v>0.37</v>
      </c>
      <c r="Q23" s="64">
        <v>9.34</v>
      </c>
      <c r="R23" s="198"/>
      <c r="S23" s="198"/>
      <c r="T23" s="198"/>
      <c r="U23" s="198"/>
    </row>
    <row r="24" spans="1:21" s="12" customFormat="1" x14ac:dyDescent="0.25">
      <c r="A24" s="248" t="s">
        <v>1700</v>
      </c>
      <c r="B24" s="64">
        <v>7.95</v>
      </c>
      <c r="C24" s="64">
        <v>2.97</v>
      </c>
      <c r="D24" s="64">
        <v>11.7</v>
      </c>
      <c r="E24" s="64">
        <v>3.31</v>
      </c>
      <c r="F24" s="64">
        <v>4.25</v>
      </c>
      <c r="G24" s="64">
        <v>21.74</v>
      </c>
      <c r="H24" s="64">
        <v>6.39</v>
      </c>
      <c r="I24" s="64">
        <v>3.15</v>
      </c>
      <c r="J24" s="64">
        <v>0.14000000000000001</v>
      </c>
      <c r="K24" s="64">
        <v>343.08</v>
      </c>
      <c r="L24" s="64">
        <v>25.08</v>
      </c>
      <c r="M24" s="64">
        <v>103.44</v>
      </c>
      <c r="N24" s="64">
        <v>50.8</v>
      </c>
      <c r="O24" s="64">
        <v>0</v>
      </c>
      <c r="P24" s="64">
        <v>0.38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48" t="s">
        <v>1701</v>
      </c>
      <c r="B25" s="64">
        <v>7.97</v>
      </c>
      <c r="C25" s="64">
        <v>3</v>
      </c>
      <c r="D25" s="64">
        <v>11.73</v>
      </c>
      <c r="E25" s="64">
        <v>3.4</v>
      </c>
      <c r="F25" s="64">
        <v>2.17</v>
      </c>
      <c r="G25" s="64">
        <v>19.36</v>
      </c>
      <c r="H25" s="64">
        <v>5.84</v>
      </c>
      <c r="I25" s="64">
        <v>3.16</v>
      </c>
      <c r="J25" s="64">
        <v>0.14000000000000001</v>
      </c>
      <c r="K25" s="64">
        <v>349.84</v>
      </c>
      <c r="L25" s="64">
        <v>25.1</v>
      </c>
      <c r="M25" s="64">
        <v>103.51</v>
      </c>
      <c r="N25" s="64">
        <v>50.7</v>
      </c>
      <c r="O25" s="64">
        <v>0</v>
      </c>
      <c r="P25" s="64">
        <v>0.35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48" t="s">
        <v>1702</v>
      </c>
      <c r="B26" s="64">
        <v>7.96</v>
      </c>
      <c r="C26" s="64">
        <v>2.98</v>
      </c>
      <c r="D26" s="64">
        <v>11.71</v>
      </c>
      <c r="E26" s="64">
        <v>3.4</v>
      </c>
      <c r="F26" s="64">
        <v>3.56</v>
      </c>
      <c r="G26" s="64">
        <v>19.36</v>
      </c>
      <c r="H26" s="64">
        <v>5.84</v>
      </c>
      <c r="I26" s="64">
        <v>3.17</v>
      </c>
      <c r="J26" s="64">
        <v>0.02</v>
      </c>
      <c r="K26" s="64">
        <v>129.65</v>
      </c>
      <c r="L26" s="64">
        <v>25.08</v>
      </c>
      <c r="M26" s="64">
        <v>103.74</v>
      </c>
      <c r="N26" s="64">
        <v>50.8</v>
      </c>
      <c r="O26" s="64">
        <v>0</v>
      </c>
      <c r="P26" s="64">
        <v>0.34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48" t="s">
        <v>1703</v>
      </c>
      <c r="B27" s="64">
        <v>7.96</v>
      </c>
      <c r="C27" s="64">
        <v>2.94</v>
      </c>
      <c r="D27" s="64">
        <v>11.69</v>
      </c>
      <c r="E27" s="64">
        <v>3.24</v>
      </c>
      <c r="F27" s="64">
        <v>4.16</v>
      </c>
      <c r="G27" s="64">
        <v>19.36</v>
      </c>
      <c r="H27" s="64">
        <v>5.84</v>
      </c>
      <c r="I27" s="64">
        <v>2.95</v>
      </c>
      <c r="J27" s="64">
        <v>0.08</v>
      </c>
      <c r="K27" s="64">
        <v>28.36</v>
      </c>
      <c r="L27" s="64">
        <v>25.1</v>
      </c>
      <c r="M27" s="64">
        <v>104.23</v>
      </c>
      <c r="N27" s="64">
        <v>50.7</v>
      </c>
      <c r="O27" s="64">
        <v>0</v>
      </c>
      <c r="P27" s="64">
        <v>0.35</v>
      </c>
      <c r="Q27" s="64">
        <v>9.27</v>
      </c>
      <c r="R27" s="198"/>
      <c r="S27" s="198"/>
      <c r="T27" s="198"/>
      <c r="U27" s="198"/>
    </row>
    <row r="28" spans="1:21" s="12" customFormat="1" x14ac:dyDescent="0.25">
      <c r="A28" s="248" t="s">
        <v>1704</v>
      </c>
      <c r="B28" s="64">
        <v>7.95</v>
      </c>
      <c r="C28" s="64">
        <v>2.97</v>
      </c>
      <c r="D28" s="64">
        <v>11.7</v>
      </c>
      <c r="E28" s="64">
        <v>3.32</v>
      </c>
      <c r="F28" s="64">
        <v>2.37</v>
      </c>
      <c r="G28" s="64">
        <v>22.74</v>
      </c>
      <c r="H28" s="64">
        <v>8.0399999999999991</v>
      </c>
      <c r="I28" s="64">
        <v>2.89</v>
      </c>
      <c r="J28" s="64">
        <v>0.06</v>
      </c>
      <c r="K28" s="64">
        <v>34.19</v>
      </c>
      <c r="L28" s="64">
        <v>25.08</v>
      </c>
      <c r="M28" s="64">
        <v>103.19</v>
      </c>
      <c r="N28" s="64">
        <v>50.8</v>
      </c>
      <c r="O28" s="64">
        <v>0</v>
      </c>
      <c r="P28" s="64">
        <v>0.33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48" t="s">
        <v>1705</v>
      </c>
      <c r="B29" s="64">
        <v>8.0399999999999991</v>
      </c>
      <c r="C29" s="64">
        <v>3.1</v>
      </c>
      <c r="D29" s="64">
        <v>11.84</v>
      </c>
      <c r="E29" s="64">
        <v>3.13</v>
      </c>
      <c r="F29" s="64">
        <v>3.66</v>
      </c>
      <c r="G29" s="64">
        <v>24.2</v>
      </c>
      <c r="H29" s="64">
        <v>8.98</v>
      </c>
      <c r="I29" s="64">
        <v>2.94</v>
      </c>
      <c r="J29" s="64">
        <v>7.0000000000000007E-2</v>
      </c>
      <c r="K29" s="64">
        <v>322.27</v>
      </c>
      <c r="L29" s="64">
        <v>25.13</v>
      </c>
      <c r="M29" s="64">
        <v>102.87</v>
      </c>
      <c r="N29" s="64">
        <v>50.6</v>
      </c>
      <c r="O29" s="64">
        <v>0</v>
      </c>
      <c r="P29" s="64">
        <v>0.32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48" t="s">
        <v>1706</v>
      </c>
      <c r="B30" s="64">
        <v>7.98</v>
      </c>
      <c r="C30" s="64">
        <v>3.02</v>
      </c>
      <c r="D30" s="64">
        <v>11.75</v>
      </c>
      <c r="E30" s="64">
        <v>3.11</v>
      </c>
      <c r="F30" s="64">
        <v>3.56</v>
      </c>
      <c r="G30" s="64">
        <v>24.2</v>
      </c>
      <c r="H30" s="64">
        <v>8.98</v>
      </c>
      <c r="I30" s="64">
        <v>3.11</v>
      </c>
      <c r="J30" s="64">
        <v>0.12</v>
      </c>
      <c r="K30" s="64">
        <v>333.47</v>
      </c>
      <c r="L30" s="64">
        <v>25.15</v>
      </c>
      <c r="M30" s="64">
        <v>102.7</v>
      </c>
      <c r="N30" s="64">
        <v>50.7</v>
      </c>
      <c r="O30" s="64">
        <v>0</v>
      </c>
      <c r="P30" s="64">
        <v>0.33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48" t="s">
        <v>1707</v>
      </c>
      <c r="B31" s="64">
        <v>7.93</v>
      </c>
      <c r="C31" s="64">
        <v>2.95</v>
      </c>
      <c r="D31" s="64">
        <v>11.67</v>
      </c>
      <c r="E31" s="64">
        <v>2.84</v>
      </c>
      <c r="F31" s="64">
        <v>2.42</v>
      </c>
      <c r="G31" s="64">
        <v>24.2</v>
      </c>
      <c r="H31" s="64">
        <v>8.98</v>
      </c>
      <c r="I31" s="64">
        <v>2.92</v>
      </c>
      <c r="J31" s="64">
        <v>0.13</v>
      </c>
      <c r="K31" s="64">
        <v>327.55</v>
      </c>
      <c r="L31" s="64">
        <v>25.15</v>
      </c>
      <c r="M31" s="64">
        <v>102.68</v>
      </c>
      <c r="N31" s="64">
        <v>51.1</v>
      </c>
      <c r="O31" s="64">
        <v>0</v>
      </c>
      <c r="P31" s="64">
        <v>0.31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48" t="s">
        <v>1708</v>
      </c>
      <c r="B32" s="64">
        <v>7.96</v>
      </c>
      <c r="C32" s="64">
        <v>2.97</v>
      </c>
      <c r="D32" s="64">
        <v>11.71</v>
      </c>
      <c r="E32" s="64">
        <v>3.17</v>
      </c>
      <c r="F32" s="64">
        <v>3.64</v>
      </c>
      <c r="G32" s="64">
        <v>19.98</v>
      </c>
      <c r="H32" s="64">
        <v>7.08</v>
      </c>
      <c r="I32" s="64">
        <v>3.12</v>
      </c>
      <c r="J32" s="64">
        <v>0.16</v>
      </c>
      <c r="K32" s="64">
        <v>335.07</v>
      </c>
      <c r="L32" s="64">
        <v>25.23</v>
      </c>
      <c r="M32" s="64">
        <v>102.68</v>
      </c>
      <c r="N32" s="64">
        <v>53.6</v>
      </c>
      <c r="O32" s="64">
        <v>0</v>
      </c>
      <c r="P32" s="64">
        <v>0.31</v>
      </c>
      <c r="Q32" s="64">
        <v>9.2200000000000006</v>
      </c>
      <c r="R32" s="198"/>
      <c r="S32" s="198"/>
      <c r="T32" s="198"/>
      <c r="U32" s="198"/>
    </row>
    <row r="33" spans="1:21" s="12" customFormat="1" x14ac:dyDescent="0.25">
      <c r="A33" s="248" t="s">
        <v>1709</v>
      </c>
      <c r="B33" s="64">
        <v>7.93</v>
      </c>
      <c r="C33" s="64">
        <v>2.93</v>
      </c>
      <c r="D33" s="64">
        <v>11.66</v>
      </c>
      <c r="E33" s="64">
        <v>3.31</v>
      </c>
      <c r="F33" s="64">
        <v>3.9</v>
      </c>
      <c r="G33" s="64">
        <v>18.18</v>
      </c>
      <c r="H33" s="64">
        <v>6.27</v>
      </c>
      <c r="I33" s="64">
        <v>3</v>
      </c>
      <c r="J33" s="64">
        <v>0.17</v>
      </c>
      <c r="K33" s="64">
        <v>333.14</v>
      </c>
      <c r="L33" s="64">
        <v>25.15</v>
      </c>
      <c r="M33" s="64">
        <v>102.71</v>
      </c>
      <c r="N33" s="64">
        <v>60.1</v>
      </c>
      <c r="O33" s="64">
        <v>0</v>
      </c>
      <c r="P33" s="64">
        <v>0.31</v>
      </c>
      <c r="Q33" s="64">
        <v>9.27</v>
      </c>
      <c r="R33" s="198"/>
      <c r="S33" s="198"/>
      <c r="T33" s="198"/>
      <c r="U33" s="198"/>
    </row>
    <row r="34" spans="1:21" s="12" customFormat="1" x14ac:dyDescent="0.25">
      <c r="A34" s="248" t="s">
        <v>1710</v>
      </c>
      <c r="B34" s="64">
        <v>7.93</v>
      </c>
      <c r="C34" s="64">
        <v>2.95</v>
      </c>
      <c r="D34" s="64">
        <v>11.68</v>
      </c>
      <c r="E34" s="64">
        <v>3.65</v>
      </c>
      <c r="F34" s="64">
        <v>2.64</v>
      </c>
      <c r="G34" s="64">
        <v>18.18</v>
      </c>
      <c r="H34" s="64">
        <v>6.27</v>
      </c>
      <c r="I34" s="64">
        <v>2.98</v>
      </c>
      <c r="J34" s="64">
        <v>0.18</v>
      </c>
      <c r="K34" s="64">
        <v>325.08</v>
      </c>
      <c r="L34" s="64">
        <v>25.24</v>
      </c>
      <c r="M34" s="64">
        <v>102.46</v>
      </c>
      <c r="N34" s="64">
        <v>66.599999999999994</v>
      </c>
      <c r="O34" s="64">
        <v>0</v>
      </c>
      <c r="P34" s="64">
        <v>0.31</v>
      </c>
      <c r="Q34" s="64">
        <v>9.27</v>
      </c>
      <c r="R34" s="198"/>
      <c r="S34" s="198"/>
      <c r="T34" s="198"/>
      <c r="U34" s="198"/>
    </row>
    <row r="35" spans="1:21" s="12" customFormat="1" x14ac:dyDescent="0.25">
      <c r="A35" s="248" t="s">
        <v>1711</v>
      </c>
      <c r="B35" s="64">
        <v>7.96</v>
      </c>
      <c r="C35" s="64">
        <v>2.99</v>
      </c>
      <c r="D35" s="64">
        <v>11.72</v>
      </c>
      <c r="E35" s="64">
        <v>3.21</v>
      </c>
      <c r="F35" s="64">
        <v>3.32</v>
      </c>
      <c r="G35" s="64">
        <v>18.18</v>
      </c>
      <c r="H35" s="64">
        <v>6.27</v>
      </c>
      <c r="I35" s="64">
        <v>2.92</v>
      </c>
      <c r="J35" s="64">
        <v>0.17</v>
      </c>
      <c r="K35" s="64">
        <v>307.3</v>
      </c>
      <c r="L35" s="64">
        <v>25.31</v>
      </c>
      <c r="M35" s="64">
        <v>102.51</v>
      </c>
      <c r="N35" s="64">
        <v>72.400000000000006</v>
      </c>
      <c r="O35" s="64">
        <v>0</v>
      </c>
      <c r="P35" s="64">
        <v>0.31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48" t="s">
        <v>1712</v>
      </c>
      <c r="B36" s="64">
        <v>8</v>
      </c>
      <c r="C36" s="64">
        <v>3.02</v>
      </c>
      <c r="D36" s="64">
        <v>11.77</v>
      </c>
      <c r="E36" s="64">
        <v>3.5</v>
      </c>
      <c r="F36" s="64">
        <v>3.49</v>
      </c>
      <c r="G36" s="64">
        <v>19.329999999999998</v>
      </c>
      <c r="H36" s="64">
        <v>12.27</v>
      </c>
      <c r="I36" s="64">
        <v>2.82</v>
      </c>
      <c r="J36" s="64">
        <v>0.2</v>
      </c>
      <c r="K36" s="64">
        <v>334.67</v>
      </c>
      <c r="L36" s="64">
        <v>25.42</v>
      </c>
      <c r="M36" s="64">
        <v>102.61</v>
      </c>
      <c r="N36" s="64">
        <v>87.6</v>
      </c>
      <c r="O36" s="64">
        <v>0</v>
      </c>
      <c r="P36" s="64">
        <v>0.31</v>
      </c>
      <c r="Q36" s="64">
        <v>9.2200000000000006</v>
      </c>
      <c r="R36" s="198"/>
      <c r="S36" s="198"/>
      <c r="T36" s="198"/>
      <c r="U36" s="198"/>
    </row>
    <row r="37" spans="1:21" s="12" customFormat="1" x14ac:dyDescent="0.25">
      <c r="A37" s="248" t="s">
        <v>1713</v>
      </c>
      <c r="B37" s="64">
        <v>7.97</v>
      </c>
      <c r="C37" s="64">
        <v>2.99</v>
      </c>
      <c r="D37" s="64">
        <v>11.73</v>
      </c>
      <c r="E37" s="64">
        <v>3.2</v>
      </c>
      <c r="F37" s="64">
        <v>3.54</v>
      </c>
      <c r="G37" s="64">
        <v>19.8</v>
      </c>
      <c r="H37" s="64">
        <v>12.27</v>
      </c>
      <c r="I37" s="64">
        <v>2.78</v>
      </c>
      <c r="J37" s="64">
        <v>0.21</v>
      </c>
      <c r="K37" s="64">
        <v>322.52</v>
      </c>
      <c r="L37" s="64">
        <v>25.82</v>
      </c>
      <c r="M37" s="64">
        <v>102.31</v>
      </c>
      <c r="N37" s="64">
        <v>114.7</v>
      </c>
      <c r="O37" s="64">
        <v>0</v>
      </c>
      <c r="P37" s="64">
        <v>0.32</v>
      </c>
      <c r="Q37" s="64">
        <v>9.26</v>
      </c>
      <c r="R37" s="198"/>
      <c r="S37" s="198"/>
      <c r="T37" s="198"/>
      <c r="U37" s="198"/>
    </row>
    <row r="38" spans="1:21" s="12" customFormat="1" x14ac:dyDescent="0.25">
      <c r="A38" s="248" t="s">
        <v>1714</v>
      </c>
      <c r="B38" s="64">
        <v>7.97</v>
      </c>
      <c r="C38" s="64">
        <v>2.93</v>
      </c>
      <c r="D38" s="64">
        <v>11.69</v>
      </c>
      <c r="E38" s="64">
        <v>3.98</v>
      </c>
      <c r="F38" s="64">
        <v>3.03</v>
      </c>
      <c r="G38" s="64">
        <v>19.8</v>
      </c>
      <c r="H38" s="64">
        <v>14.27</v>
      </c>
      <c r="I38" s="64">
        <v>2.83</v>
      </c>
      <c r="J38" s="64">
        <v>0.24</v>
      </c>
      <c r="K38" s="64">
        <v>312.44</v>
      </c>
      <c r="L38" s="64">
        <v>26.37</v>
      </c>
      <c r="M38" s="64">
        <v>102.25</v>
      </c>
      <c r="N38" s="64">
        <v>145.5</v>
      </c>
      <c r="O38" s="64">
        <v>0</v>
      </c>
      <c r="P38" s="64">
        <v>0.32</v>
      </c>
      <c r="Q38" s="64">
        <v>9.2899999999999991</v>
      </c>
      <c r="R38" s="198"/>
      <c r="S38" s="198"/>
      <c r="T38" s="198"/>
      <c r="U38" s="198"/>
    </row>
    <row r="39" spans="1:21" s="12" customFormat="1" x14ac:dyDescent="0.25">
      <c r="A39" s="248" t="s">
        <v>1715</v>
      </c>
      <c r="B39" s="64">
        <v>7.95</v>
      </c>
      <c r="C39" s="64">
        <v>2.94</v>
      </c>
      <c r="D39" s="64">
        <v>11.68</v>
      </c>
      <c r="E39" s="64">
        <v>3.82</v>
      </c>
      <c r="F39" s="64">
        <v>3</v>
      </c>
      <c r="G39" s="64">
        <v>19.8</v>
      </c>
      <c r="H39" s="64">
        <v>6.27</v>
      </c>
      <c r="I39" s="64">
        <v>2.81</v>
      </c>
      <c r="J39" s="64">
        <v>0.23</v>
      </c>
      <c r="K39" s="64">
        <v>316.64</v>
      </c>
      <c r="L39" s="64">
        <v>26.89</v>
      </c>
      <c r="M39" s="64">
        <v>102.25</v>
      </c>
      <c r="N39" s="64">
        <v>180.1</v>
      </c>
      <c r="O39" s="64">
        <v>0</v>
      </c>
      <c r="P39" s="64">
        <v>0.33</v>
      </c>
      <c r="Q39" s="64">
        <v>9.32</v>
      </c>
      <c r="R39" s="198"/>
      <c r="S39" s="198"/>
      <c r="T39" s="198"/>
      <c r="U39" s="198"/>
    </row>
    <row r="40" spans="1:21" s="12" customFormat="1" x14ac:dyDescent="0.25">
      <c r="A40" s="248" t="s">
        <v>1716</v>
      </c>
      <c r="B40" s="64">
        <v>7.96</v>
      </c>
      <c r="C40" s="64">
        <v>2.94</v>
      </c>
      <c r="D40" s="64">
        <v>11.7</v>
      </c>
      <c r="E40" s="64">
        <v>3.96</v>
      </c>
      <c r="F40" s="64">
        <v>3.67</v>
      </c>
      <c r="G40" s="64">
        <v>28.64</v>
      </c>
      <c r="H40" s="64">
        <v>6.27</v>
      </c>
      <c r="I40" s="64">
        <v>2.79</v>
      </c>
      <c r="J40" s="64">
        <v>0.25</v>
      </c>
      <c r="K40" s="64">
        <v>340.13</v>
      </c>
      <c r="L40" s="64">
        <v>27.04</v>
      </c>
      <c r="M40" s="64">
        <v>102.27</v>
      </c>
      <c r="N40" s="64">
        <v>207.5</v>
      </c>
      <c r="O40" s="64">
        <v>0</v>
      </c>
      <c r="P40" s="64">
        <v>0.33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48" t="s">
        <v>1717</v>
      </c>
      <c r="B41" s="64">
        <v>7.96</v>
      </c>
      <c r="C41" s="64">
        <v>2.96</v>
      </c>
      <c r="D41" s="64">
        <v>11.7</v>
      </c>
      <c r="E41" s="64">
        <v>4.18</v>
      </c>
      <c r="F41" s="64">
        <v>3.47</v>
      </c>
      <c r="G41" s="64">
        <v>32.22</v>
      </c>
      <c r="H41" s="64">
        <v>30.85</v>
      </c>
      <c r="I41" s="64">
        <v>2.71</v>
      </c>
      <c r="J41" s="64">
        <v>0.21</v>
      </c>
      <c r="K41" s="64">
        <v>348.21</v>
      </c>
      <c r="L41" s="64">
        <v>26.72</v>
      </c>
      <c r="M41" s="64">
        <v>102.22</v>
      </c>
      <c r="N41" s="64">
        <v>144.9</v>
      </c>
      <c r="O41" s="64">
        <v>0</v>
      </c>
      <c r="P41" s="64">
        <v>0.33</v>
      </c>
      <c r="Q41" s="64">
        <v>9.32</v>
      </c>
      <c r="R41" s="198"/>
      <c r="S41" s="198"/>
      <c r="T41" s="198"/>
      <c r="U41" s="198"/>
    </row>
    <row r="42" spans="1:21" s="12" customFormat="1" x14ac:dyDescent="0.25">
      <c r="A42" s="248" t="s">
        <v>1718</v>
      </c>
      <c r="B42" s="64">
        <v>7.96</v>
      </c>
      <c r="C42" s="64">
        <v>3.01</v>
      </c>
      <c r="D42" s="64">
        <v>11.73</v>
      </c>
      <c r="E42" s="64">
        <v>4.05</v>
      </c>
      <c r="F42" s="64">
        <v>4.63</v>
      </c>
      <c r="G42" s="64">
        <v>32.22</v>
      </c>
      <c r="H42" s="64">
        <v>30.85</v>
      </c>
      <c r="I42" s="64">
        <v>2.38</v>
      </c>
      <c r="J42" s="64">
        <v>0.23</v>
      </c>
      <c r="K42" s="64">
        <v>339.47</v>
      </c>
      <c r="L42" s="64">
        <v>26.91</v>
      </c>
      <c r="M42" s="64">
        <v>102.25</v>
      </c>
      <c r="N42" s="64">
        <v>139.9</v>
      </c>
      <c r="O42" s="64">
        <v>0</v>
      </c>
      <c r="P42" s="64">
        <v>0.36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48" t="s">
        <v>1719</v>
      </c>
      <c r="B43" s="64">
        <v>7.96</v>
      </c>
      <c r="C43" s="64">
        <v>2.98</v>
      </c>
      <c r="D43" s="64">
        <v>11.71</v>
      </c>
      <c r="E43" s="64">
        <v>4.04</v>
      </c>
      <c r="F43" s="64">
        <v>2.13</v>
      </c>
      <c r="G43" s="64">
        <v>32.22</v>
      </c>
      <c r="H43" s="64">
        <v>30.85</v>
      </c>
      <c r="I43" s="64">
        <v>2.48</v>
      </c>
      <c r="J43" s="64">
        <v>0.26</v>
      </c>
      <c r="K43" s="64">
        <v>328.11</v>
      </c>
      <c r="L43" s="64">
        <v>27.12</v>
      </c>
      <c r="M43" s="64">
        <v>102.26</v>
      </c>
      <c r="N43" s="64">
        <v>161.80000000000001</v>
      </c>
      <c r="O43" s="64">
        <v>0</v>
      </c>
      <c r="P43" s="64">
        <v>0.36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48" t="s">
        <v>1720</v>
      </c>
      <c r="B44" s="64">
        <v>7.97</v>
      </c>
      <c r="C44" s="64">
        <v>3.02</v>
      </c>
      <c r="D44" s="64">
        <v>11.75</v>
      </c>
      <c r="E44" s="64">
        <v>3.71</v>
      </c>
      <c r="F44" s="64">
        <v>3.31</v>
      </c>
      <c r="G44" s="64">
        <v>39.979999999999997</v>
      </c>
      <c r="H44" s="64">
        <v>23.99</v>
      </c>
      <c r="I44" s="64">
        <v>2.36</v>
      </c>
      <c r="J44" s="64">
        <v>0.32</v>
      </c>
      <c r="K44" s="64">
        <v>320.52999999999997</v>
      </c>
      <c r="L44" s="64">
        <v>27.71</v>
      </c>
      <c r="M44" s="64">
        <v>102.22</v>
      </c>
      <c r="N44" s="64">
        <v>179.7</v>
      </c>
      <c r="O44" s="64">
        <v>0</v>
      </c>
      <c r="P44" s="64">
        <v>0.37</v>
      </c>
      <c r="Q44" s="64">
        <v>9.2899999999999991</v>
      </c>
      <c r="R44" s="198"/>
      <c r="S44" s="198"/>
      <c r="T44" s="198"/>
      <c r="U44" s="198"/>
    </row>
    <row r="45" spans="1:21" s="12" customFormat="1" x14ac:dyDescent="0.25">
      <c r="A45" s="248" t="s">
        <v>1721</v>
      </c>
      <c r="B45" s="64">
        <v>7.99</v>
      </c>
      <c r="C45" s="64">
        <v>3.1</v>
      </c>
      <c r="D45" s="64">
        <v>11.8</v>
      </c>
      <c r="E45" s="64">
        <v>3.69</v>
      </c>
      <c r="F45" s="64">
        <v>3.9</v>
      </c>
      <c r="G45" s="64">
        <v>43.31</v>
      </c>
      <c r="H45" s="64">
        <v>21.21</v>
      </c>
      <c r="I45" s="64">
        <v>2.35</v>
      </c>
      <c r="J45" s="64">
        <v>0.49</v>
      </c>
      <c r="K45" s="64">
        <v>317.42</v>
      </c>
      <c r="L45" s="64">
        <v>28.21</v>
      </c>
      <c r="M45" s="64">
        <v>100.15</v>
      </c>
      <c r="N45" s="64">
        <v>232.8</v>
      </c>
      <c r="O45" s="64">
        <v>0</v>
      </c>
      <c r="P45" s="64">
        <v>0.4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48" t="s">
        <v>1722</v>
      </c>
      <c r="B46" s="64">
        <v>7.97</v>
      </c>
      <c r="C46" s="64">
        <v>3.06</v>
      </c>
      <c r="D46" s="64">
        <v>11.77</v>
      </c>
      <c r="E46" s="64">
        <v>3.95</v>
      </c>
      <c r="F46" s="64">
        <v>2.38</v>
      </c>
      <c r="G46" s="64">
        <v>43.31</v>
      </c>
      <c r="H46" s="64">
        <v>21.21</v>
      </c>
      <c r="I46" s="64">
        <v>2.54</v>
      </c>
      <c r="J46" s="64">
        <v>0.6</v>
      </c>
      <c r="K46" s="64">
        <v>318.60000000000002</v>
      </c>
      <c r="L46" s="64">
        <v>28.69</v>
      </c>
      <c r="M46" s="64">
        <v>97.51</v>
      </c>
      <c r="N46" s="64">
        <v>283</v>
      </c>
      <c r="O46" s="64">
        <v>0</v>
      </c>
      <c r="P46" s="64">
        <v>0.4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48" t="s">
        <v>1723</v>
      </c>
      <c r="B47" s="64">
        <v>7.96</v>
      </c>
      <c r="C47" s="64">
        <v>2.99</v>
      </c>
      <c r="D47" s="64">
        <v>11.72</v>
      </c>
      <c r="E47" s="64">
        <v>4.01</v>
      </c>
      <c r="F47" s="64">
        <v>3.28</v>
      </c>
      <c r="G47" s="64">
        <v>43.31</v>
      </c>
      <c r="H47" s="64">
        <v>21.21</v>
      </c>
      <c r="I47" s="64">
        <v>2.41</v>
      </c>
      <c r="J47" s="64">
        <v>0.85</v>
      </c>
      <c r="K47" s="64">
        <v>324.31</v>
      </c>
      <c r="L47" s="64">
        <v>29.3</v>
      </c>
      <c r="M47" s="64">
        <v>95.2</v>
      </c>
      <c r="N47" s="64">
        <v>366.1</v>
      </c>
      <c r="O47" s="64">
        <v>0</v>
      </c>
      <c r="P47" s="64">
        <v>0.4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48" t="s">
        <v>1724</v>
      </c>
      <c r="B48" s="64">
        <v>7.96</v>
      </c>
      <c r="C48" s="64">
        <v>3.01</v>
      </c>
      <c r="D48" s="64">
        <v>11.73</v>
      </c>
      <c r="E48" s="64">
        <v>3.67</v>
      </c>
      <c r="F48" s="64">
        <v>4.5999999999999996</v>
      </c>
      <c r="G48" s="64">
        <v>48.59</v>
      </c>
      <c r="H48" s="64">
        <v>16.55</v>
      </c>
      <c r="I48" s="64">
        <v>2.3199999999999998</v>
      </c>
      <c r="J48" s="64">
        <v>1.07</v>
      </c>
      <c r="K48" s="64">
        <v>323.95999999999998</v>
      </c>
      <c r="L48" s="64">
        <v>29.75</v>
      </c>
      <c r="M48" s="64">
        <v>91.76</v>
      </c>
      <c r="N48" s="64">
        <v>358.4</v>
      </c>
      <c r="O48" s="64">
        <v>0</v>
      </c>
      <c r="P48" s="64">
        <v>0.42</v>
      </c>
      <c r="Q48" s="64">
        <v>9.36</v>
      </c>
      <c r="R48" s="198"/>
      <c r="S48" s="198"/>
      <c r="T48" s="198"/>
      <c r="U48" s="198"/>
    </row>
    <row r="49" spans="1:21" s="12" customFormat="1" x14ac:dyDescent="0.25">
      <c r="A49" s="248" t="s">
        <v>1725</v>
      </c>
      <c r="B49" s="64">
        <v>7.98</v>
      </c>
      <c r="C49" s="64">
        <v>3.01</v>
      </c>
      <c r="D49" s="64">
        <v>11.74</v>
      </c>
      <c r="E49" s="64">
        <v>3.91</v>
      </c>
      <c r="F49" s="64">
        <v>2.37</v>
      </c>
      <c r="G49" s="64">
        <v>50.85</v>
      </c>
      <c r="H49" s="64">
        <v>14.66</v>
      </c>
      <c r="I49" s="64">
        <v>2.21</v>
      </c>
      <c r="J49" s="64">
        <v>1.44</v>
      </c>
      <c r="K49" s="64">
        <v>330.66</v>
      </c>
      <c r="L49" s="64">
        <v>29.63</v>
      </c>
      <c r="M49" s="64">
        <v>92.88</v>
      </c>
      <c r="N49" s="64">
        <v>306.39999999999998</v>
      </c>
      <c r="O49" s="64">
        <v>0</v>
      </c>
      <c r="P49" s="64">
        <v>0.43</v>
      </c>
      <c r="Q49" s="64">
        <v>9.41</v>
      </c>
      <c r="R49" s="198"/>
      <c r="S49" s="198"/>
      <c r="T49" s="198"/>
      <c r="U49" s="198"/>
    </row>
    <row r="50" spans="1:21" s="12" customFormat="1" x14ac:dyDescent="0.25">
      <c r="A50" s="248" t="s">
        <v>1726</v>
      </c>
      <c r="B50" s="64">
        <v>7.98</v>
      </c>
      <c r="C50" s="64">
        <v>3.04</v>
      </c>
      <c r="D50" s="64">
        <v>11.76</v>
      </c>
      <c r="E50" s="64">
        <v>3.68</v>
      </c>
      <c r="F50" s="64">
        <v>2.9</v>
      </c>
      <c r="G50" s="64">
        <v>50.85</v>
      </c>
      <c r="H50" s="64">
        <v>14.66</v>
      </c>
      <c r="I50" s="64">
        <v>2.1800000000000002</v>
      </c>
      <c r="J50" s="64">
        <v>1.92</v>
      </c>
      <c r="K50" s="64">
        <v>335.98</v>
      </c>
      <c r="L50" s="64">
        <v>29.56</v>
      </c>
      <c r="M50" s="64">
        <v>90.62</v>
      </c>
      <c r="N50" s="64">
        <v>299.10000000000002</v>
      </c>
      <c r="O50" s="64">
        <v>0</v>
      </c>
      <c r="P50" s="64">
        <v>0.43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48" t="s">
        <v>1727</v>
      </c>
      <c r="B51" s="64">
        <v>7.97</v>
      </c>
      <c r="C51" s="64">
        <v>3.05</v>
      </c>
      <c r="D51" s="64">
        <v>11.76</v>
      </c>
      <c r="E51" s="64">
        <v>3.88</v>
      </c>
      <c r="F51" s="64">
        <v>4.47</v>
      </c>
      <c r="G51" s="64">
        <v>50.85</v>
      </c>
      <c r="H51" s="64">
        <v>14.66</v>
      </c>
      <c r="I51" s="64">
        <v>2.0499999999999998</v>
      </c>
      <c r="J51" s="64">
        <v>1.47</v>
      </c>
      <c r="K51" s="64">
        <v>331.96</v>
      </c>
      <c r="L51" s="64">
        <v>28.95</v>
      </c>
      <c r="M51" s="64">
        <v>90.75</v>
      </c>
      <c r="N51" s="64">
        <v>297.89999999999998</v>
      </c>
      <c r="O51" s="64">
        <v>0</v>
      </c>
      <c r="P51" s="64">
        <v>0.44</v>
      </c>
      <c r="Q51" s="64">
        <v>9.35</v>
      </c>
      <c r="R51" s="198"/>
      <c r="S51" s="198"/>
      <c r="T51" s="198"/>
      <c r="U51" s="198"/>
    </row>
    <row r="52" spans="1:21" s="12" customFormat="1" x14ac:dyDescent="0.25">
      <c r="A52" s="248" t="s">
        <v>1728</v>
      </c>
      <c r="B52" s="64">
        <v>7.95</v>
      </c>
      <c r="C52" s="64">
        <v>3.04</v>
      </c>
      <c r="D52" s="64">
        <v>11.74</v>
      </c>
      <c r="E52" s="64">
        <v>3.84</v>
      </c>
      <c r="F52" s="64">
        <v>4.32</v>
      </c>
      <c r="G52" s="64">
        <v>42.54</v>
      </c>
      <c r="H52" s="64">
        <v>12.34</v>
      </c>
      <c r="I52" s="64">
        <v>1.96</v>
      </c>
      <c r="J52" s="64">
        <v>1.52</v>
      </c>
      <c r="K52" s="64">
        <v>332.69</v>
      </c>
      <c r="L52" s="64">
        <v>28.46</v>
      </c>
      <c r="M52" s="64">
        <v>94.62</v>
      </c>
      <c r="N52" s="64">
        <v>237</v>
      </c>
      <c r="O52" s="64">
        <v>0</v>
      </c>
      <c r="P52" s="64">
        <v>0.46</v>
      </c>
      <c r="Q52" s="64">
        <v>9.39</v>
      </c>
      <c r="R52" s="198"/>
      <c r="S52" s="198"/>
      <c r="T52" s="198"/>
      <c r="U52" s="198"/>
    </row>
    <row r="53" spans="1:21" s="12" customFormat="1" x14ac:dyDescent="0.25">
      <c r="A53" s="248" t="s">
        <v>1729</v>
      </c>
      <c r="B53" s="64">
        <v>7.98</v>
      </c>
      <c r="C53" s="64">
        <v>3.04</v>
      </c>
      <c r="D53" s="64">
        <v>11.77</v>
      </c>
      <c r="E53" s="64">
        <v>3.52</v>
      </c>
      <c r="F53" s="64">
        <v>3.07</v>
      </c>
      <c r="G53" s="64">
        <v>38.979999999999997</v>
      </c>
      <c r="H53" s="64">
        <v>11.39</v>
      </c>
      <c r="I53" s="64">
        <v>1.91</v>
      </c>
      <c r="J53" s="64">
        <v>1.32</v>
      </c>
      <c r="K53" s="64">
        <v>328.18</v>
      </c>
      <c r="L53" s="64">
        <v>27.8</v>
      </c>
      <c r="M53" s="64">
        <v>99.12</v>
      </c>
      <c r="N53" s="64">
        <v>220.3</v>
      </c>
      <c r="O53" s="64">
        <v>0</v>
      </c>
      <c r="P53" s="64">
        <v>0.45</v>
      </c>
      <c r="Q53" s="64">
        <v>9.36</v>
      </c>
      <c r="R53" s="198"/>
      <c r="S53" s="198"/>
      <c r="T53" s="198"/>
      <c r="U53" s="198"/>
    </row>
    <row r="54" spans="1:21" s="12" customFormat="1" x14ac:dyDescent="0.25">
      <c r="A54" s="248" t="s">
        <v>1730</v>
      </c>
      <c r="B54" s="64">
        <v>8.01</v>
      </c>
      <c r="C54" s="64">
        <v>3.06</v>
      </c>
      <c r="D54" s="64">
        <v>11.79</v>
      </c>
      <c r="E54" s="64">
        <v>3.76</v>
      </c>
      <c r="F54" s="64">
        <v>4.1500000000000004</v>
      </c>
      <c r="G54" s="64">
        <v>38.979999999999997</v>
      </c>
      <c r="H54" s="64">
        <v>11.39</v>
      </c>
      <c r="I54" s="64">
        <v>1.89</v>
      </c>
      <c r="J54" s="64">
        <v>1.08</v>
      </c>
      <c r="K54" s="64">
        <v>326.36</v>
      </c>
      <c r="L54" s="64">
        <v>26.83</v>
      </c>
      <c r="M54" s="64">
        <v>102.28</v>
      </c>
      <c r="N54" s="64">
        <v>166</v>
      </c>
      <c r="O54" s="64">
        <v>0.4</v>
      </c>
      <c r="P54" s="64">
        <v>0.45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48" t="s">
        <v>1731</v>
      </c>
      <c r="B55" s="64">
        <v>8.02</v>
      </c>
      <c r="C55" s="64">
        <v>3.1</v>
      </c>
      <c r="D55" s="64">
        <v>11.83</v>
      </c>
      <c r="E55" s="64">
        <v>3.65</v>
      </c>
      <c r="F55" s="64">
        <v>3.74</v>
      </c>
      <c r="G55" s="64">
        <v>38.979999999999997</v>
      </c>
      <c r="H55" s="64">
        <v>11.39</v>
      </c>
      <c r="I55" s="64">
        <v>1.78</v>
      </c>
      <c r="J55" s="64">
        <v>1.22</v>
      </c>
      <c r="K55" s="64">
        <v>330.69</v>
      </c>
      <c r="L55" s="64">
        <v>26.25</v>
      </c>
      <c r="M55" s="64">
        <v>102.29</v>
      </c>
      <c r="N55" s="64">
        <v>174.5</v>
      </c>
      <c r="O55" s="64">
        <v>0</v>
      </c>
      <c r="P55" s="64">
        <v>0.45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48" t="s">
        <v>1732</v>
      </c>
      <c r="B56" s="64">
        <v>8.0299999999999994</v>
      </c>
      <c r="C56" s="64">
        <v>3.1</v>
      </c>
      <c r="D56" s="64">
        <v>11.84</v>
      </c>
      <c r="E56" s="64">
        <v>3.72</v>
      </c>
      <c r="F56" s="64">
        <v>3.5</v>
      </c>
      <c r="G56" s="64">
        <v>35.44</v>
      </c>
      <c r="H56" s="64">
        <v>14.39</v>
      </c>
      <c r="I56" s="64">
        <v>1.71</v>
      </c>
      <c r="J56" s="64">
        <v>1.51</v>
      </c>
      <c r="K56" s="64">
        <v>335.07</v>
      </c>
      <c r="L56" s="64">
        <v>26.12</v>
      </c>
      <c r="M56" s="64">
        <v>102.3</v>
      </c>
      <c r="N56" s="64">
        <v>172.8</v>
      </c>
      <c r="O56" s="64">
        <v>0.2</v>
      </c>
      <c r="P56" s="64">
        <v>0.46</v>
      </c>
      <c r="Q56" s="64">
        <v>9.3800000000000008</v>
      </c>
      <c r="R56" s="198"/>
      <c r="S56" s="198"/>
      <c r="T56" s="198"/>
      <c r="U56" s="198"/>
    </row>
    <row r="57" spans="1:21" s="12" customFormat="1" x14ac:dyDescent="0.25">
      <c r="A57" s="248" t="s">
        <v>1733</v>
      </c>
      <c r="B57" s="64">
        <v>8.06</v>
      </c>
      <c r="C57" s="64">
        <v>3.17</v>
      </c>
      <c r="D57" s="64">
        <v>11.89</v>
      </c>
      <c r="E57" s="64">
        <v>3.73</v>
      </c>
      <c r="F57" s="64">
        <v>3.39</v>
      </c>
      <c r="G57" s="64">
        <v>33.92</v>
      </c>
      <c r="H57" s="64">
        <v>15.6</v>
      </c>
      <c r="I57" s="64">
        <v>1.66</v>
      </c>
      <c r="J57" s="64">
        <v>1.1299999999999999</v>
      </c>
      <c r="K57" s="64">
        <v>328.2</v>
      </c>
      <c r="L57" s="64">
        <v>25.89</v>
      </c>
      <c r="M57" s="64">
        <v>102.31</v>
      </c>
      <c r="N57" s="64">
        <v>152.69999999999999</v>
      </c>
      <c r="O57" s="64">
        <v>0.2</v>
      </c>
      <c r="P57" s="64">
        <v>0.44</v>
      </c>
      <c r="Q57" s="64">
        <v>9.41</v>
      </c>
      <c r="R57" s="198"/>
      <c r="S57" s="198"/>
      <c r="T57" s="198"/>
      <c r="U57" s="198"/>
    </row>
    <row r="58" spans="1:21" s="12" customFormat="1" x14ac:dyDescent="0.25">
      <c r="A58" s="248" t="s">
        <v>1734</v>
      </c>
      <c r="B58" s="64">
        <v>8.0399999999999991</v>
      </c>
      <c r="C58" s="64">
        <v>3.14</v>
      </c>
      <c r="D58" s="64">
        <v>11.86</v>
      </c>
      <c r="E58" s="64">
        <v>3.74</v>
      </c>
      <c r="F58" s="64">
        <v>3.42</v>
      </c>
      <c r="G58" s="64">
        <v>33.92</v>
      </c>
      <c r="H58" s="64">
        <v>15.6</v>
      </c>
      <c r="I58" s="64">
        <v>1.65</v>
      </c>
      <c r="J58" s="64">
        <v>0.78</v>
      </c>
      <c r="K58" s="64">
        <v>321.81</v>
      </c>
      <c r="L58" s="64">
        <v>25.89</v>
      </c>
      <c r="M58" s="64">
        <v>102.35</v>
      </c>
      <c r="N58" s="64">
        <v>153.30000000000001</v>
      </c>
      <c r="O58" s="64">
        <v>0</v>
      </c>
      <c r="P58" s="64">
        <v>0.46</v>
      </c>
      <c r="Q58" s="64">
        <v>9.42</v>
      </c>
      <c r="R58" s="198"/>
      <c r="S58" s="198"/>
      <c r="T58" s="198"/>
      <c r="U58" s="198"/>
    </row>
    <row r="59" spans="1:21" s="12" customFormat="1" x14ac:dyDescent="0.25">
      <c r="A59" s="248" t="s">
        <v>1735</v>
      </c>
      <c r="B59" s="64">
        <v>8</v>
      </c>
      <c r="C59" s="64">
        <v>3.05</v>
      </c>
      <c r="D59" s="64">
        <v>11.78</v>
      </c>
      <c r="E59" s="64">
        <v>3.8</v>
      </c>
      <c r="F59" s="64">
        <v>3.64</v>
      </c>
      <c r="G59" s="64">
        <v>33.92</v>
      </c>
      <c r="H59" s="64">
        <v>15.6</v>
      </c>
      <c r="I59" s="64">
        <v>1.63</v>
      </c>
      <c r="J59" s="64">
        <v>1.05</v>
      </c>
      <c r="K59" s="64">
        <v>333.25</v>
      </c>
      <c r="L59" s="64">
        <v>25.88</v>
      </c>
      <c r="M59" s="64">
        <v>102.35</v>
      </c>
      <c r="N59" s="64">
        <v>187.4</v>
      </c>
      <c r="O59" s="64">
        <v>0</v>
      </c>
      <c r="P59" s="64">
        <v>0.46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48" t="s">
        <v>1736</v>
      </c>
      <c r="B60" s="64">
        <v>8</v>
      </c>
      <c r="C60" s="64">
        <v>3.03</v>
      </c>
      <c r="D60" s="64">
        <v>11.77</v>
      </c>
      <c r="E60" s="64">
        <v>3.77</v>
      </c>
      <c r="F60" s="64">
        <v>3.43</v>
      </c>
      <c r="G60" s="64">
        <v>31.46</v>
      </c>
      <c r="H60" s="64">
        <v>12.92</v>
      </c>
      <c r="I60" s="64">
        <v>1.64</v>
      </c>
      <c r="J60" s="64">
        <v>1.07</v>
      </c>
      <c r="K60" s="64">
        <v>337.99</v>
      </c>
      <c r="L60" s="64">
        <v>26.04</v>
      </c>
      <c r="M60" s="64">
        <v>102.35</v>
      </c>
      <c r="N60" s="64">
        <v>161.4</v>
      </c>
      <c r="O60" s="64">
        <v>0.2</v>
      </c>
      <c r="P60" s="64">
        <v>0.47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48" t="s">
        <v>1737</v>
      </c>
      <c r="B61" s="64">
        <v>8.0299999999999994</v>
      </c>
      <c r="C61" s="64">
        <v>3.08</v>
      </c>
      <c r="D61" s="64">
        <v>11.82</v>
      </c>
      <c r="E61" s="64">
        <v>3.47</v>
      </c>
      <c r="F61" s="64">
        <v>2.98</v>
      </c>
      <c r="G61" s="64">
        <v>30.4</v>
      </c>
      <c r="H61" s="64">
        <v>11.83</v>
      </c>
      <c r="I61" s="64">
        <v>1.63</v>
      </c>
      <c r="J61" s="64">
        <v>1.52</v>
      </c>
      <c r="K61" s="64">
        <v>339.93</v>
      </c>
      <c r="L61" s="64">
        <v>25.72</v>
      </c>
      <c r="M61" s="64">
        <v>102.33</v>
      </c>
      <c r="N61" s="64">
        <v>148.19999999999999</v>
      </c>
      <c r="O61" s="64">
        <v>1.4</v>
      </c>
      <c r="P61" s="64">
        <v>0.49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48" t="s">
        <v>1738</v>
      </c>
      <c r="B62" s="64">
        <v>8.0399999999999991</v>
      </c>
      <c r="C62" s="64">
        <v>3.13</v>
      </c>
      <c r="D62" s="64">
        <v>11.86</v>
      </c>
      <c r="E62" s="64">
        <v>3.69</v>
      </c>
      <c r="F62" s="64">
        <v>3.34</v>
      </c>
      <c r="G62" s="64">
        <v>30.4</v>
      </c>
      <c r="H62" s="64">
        <v>11.83</v>
      </c>
      <c r="I62" s="64">
        <v>1.75</v>
      </c>
      <c r="J62" s="64">
        <v>1.1599999999999999</v>
      </c>
      <c r="K62" s="64">
        <v>330.48</v>
      </c>
      <c r="L62" s="64">
        <v>25.02</v>
      </c>
      <c r="M62" s="64">
        <v>102.32</v>
      </c>
      <c r="N62" s="64">
        <v>159.19999999999999</v>
      </c>
      <c r="O62" s="64">
        <v>0.4</v>
      </c>
      <c r="P62" s="64">
        <v>0.48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8" t="s">
        <v>1739</v>
      </c>
      <c r="B63" s="64">
        <v>7.97</v>
      </c>
      <c r="C63" s="64">
        <v>3.02</v>
      </c>
      <c r="D63" s="64">
        <v>11.74</v>
      </c>
      <c r="E63" s="64">
        <v>4.5599999999999996</v>
      </c>
      <c r="F63" s="64">
        <v>3.94</v>
      </c>
      <c r="G63" s="64">
        <v>30.4</v>
      </c>
      <c r="H63" s="64">
        <v>11.83</v>
      </c>
      <c r="I63" s="64">
        <v>1.81</v>
      </c>
      <c r="J63" s="64">
        <v>1.03</v>
      </c>
      <c r="K63" s="64">
        <v>333.19</v>
      </c>
      <c r="L63" s="64">
        <v>25.15</v>
      </c>
      <c r="M63" s="64">
        <v>102.3</v>
      </c>
      <c r="N63" s="64">
        <v>176.7</v>
      </c>
      <c r="O63" s="64">
        <v>0</v>
      </c>
      <c r="P63" s="64">
        <v>0.48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48" t="s">
        <v>1740</v>
      </c>
      <c r="B64" s="64">
        <v>7.99</v>
      </c>
      <c r="C64" s="64">
        <v>3.06</v>
      </c>
      <c r="D64" s="64">
        <v>11.78</v>
      </c>
      <c r="E64" s="64">
        <v>3.88</v>
      </c>
      <c r="F64" s="64">
        <v>2.9</v>
      </c>
      <c r="G64" s="64">
        <v>30.74</v>
      </c>
      <c r="H64" s="64">
        <v>12.97</v>
      </c>
      <c r="I64" s="64">
        <v>1.72</v>
      </c>
      <c r="J64" s="64">
        <v>1.1200000000000001</v>
      </c>
      <c r="K64" s="64">
        <v>333.77</v>
      </c>
      <c r="L64" s="64">
        <v>25.3</v>
      </c>
      <c r="M64" s="64">
        <v>102.25</v>
      </c>
      <c r="N64" s="64">
        <v>198.6</v>
      </c>
      <c r="O64" s="64">
        <v>0.2</v>
      </c>
      <c r="P64" s="64">
        <v>0.47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48" t="s">
        <v>1741</v>
      </c>
      <c r="B65" s="64">
        <v>7.99</v>
      </c>
      <c r="C65" s="64">
        <v>3.01</v>
      </c>
      <c r="D65" s="64">
        <v>11.75</v>
      </c>
      <c r="E65" s="64">
        <v>3.63</v>
      </c>
      <c r="F65" s="64">
        <v>4.3099999999999996</v>
      </c>
      <c r="G65" s="64">
        <v>30.88</v>
      </c>
      <c r="H65" s="64">
        <v>13.46</v>
      </c>
      <c r="I65" s="64">
        <v>1.84</v>
      </c>
      <c r="J65" s="64">
        <v>0.94</v>
      </c>
      <c r="K65" s="64">
        <v>332.72</v>
      </c>
      <c r="L65" s="64">
        <v>25.61</v>
      </c>
      <c r="M65" s="64">
        <v>102.26</v>
      </c>
      <c r="N65" s="64">
        <v>221.8</v>
      </c>
      <c r="O65" s="64">
        <v>0.2</v>
      </c>
      <c r="P65" s="64">
        <v>0.48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48" t="s">
        <v>1742</v>
      </c>
      <c r="B66" s="64">
        <v>8.02</v>
      </c>
      <c r="C66" s="64">
        <v>3.08</v>
      </c>
      <c r="D66" s="64">
        <v>11.82</v>
      </c>
      <c r="E66" s="64">
        <v>3.73</v>
      </c>
      <c r="F66" s="64">
        <v>2.29</v>
      </c>
      <c r="G66" s="64">
        <v>30.88</v>
      </c>
      <c r="H66" s="64">
        <v>13.46</v>
      </c>
      <c r="I66" s="64">
        <v>1.67</v>
      </c>
      <c r="J66" s="64">
        <v>0.37</v>
      </c>
      <c r="K66" s="64">
        <v>319.49</v>
      </c>
      <c r="L66" s="64">
        <v>25.97</v>
      </c>
      <c r="M66" s="64">
        <v>102.25</v>
      </c>
      <c r="N66" s="64">
        <v>224.4</v>
      </c>
      <c r="O66" s="64">
        <v>0</v>
      </c>
      <c r="P66" s="64">
        <v>0.48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48" t="s">
        <v>1743</v>
      </c>
      <c r="B67" s="64">
        <v>8.0399999999999991</v>
      </c>
      <c r="C67" s="64">
        <v>3.08</v>
      </c>
      <c r="D67" s="64">
        <v>11.83</v>
      </c>
      <c r="E67" s="64">
        <v>3.96</v>
      </c>
      <c r="F67" s="64">
        <v>3.62</v>
      </c>
      <c r="G67" s="64">
        <v>30.88</v>
      </c>
      <c r="H67" s="64">
        <v>13.46</v>
      </c>
      <c r="I67" s="64">
        <v>1.68</v>
      </c>
      <c r="J67" s="64">
        <v>0.45</v>
      </c>
      <c r="K67" s="64">
        <v>318.85000000000002</v>
      </c>
      <c r="L67" s="64">
        <v>26.31</v>
      </c>
      <c r="M67" s="64">
        <v>102.24</v>
      </c>
      <c r="N67" s="64">
        <v>209.7</v>
      </c>
      <c r="O67" s="64">
        <v>0</v>
      </c>
      <c r="P67" s="64">
        <v>0.49</v>
      </c>
      <c r="Q67" s="64">
        <v>9.4700000000000006</v>
      </c>
      <c r="R67" s="198"/>
      <c r="S67" s="198"/>
      <c r="T67" s="198"/>
      <c r="U67" s="198"/>
    </row>
    <row r="68" spans="1:21" s="12" customFormat="1" x14ac:dyDescent="0.25">
      <c r="A68" s="248" t="s">
        <v>1744</v>
      </c>
      <c r="B68" s="64">
        <v>8.0399999999999991</v>
      </c>
      <c r="C68" s="64">
        <v>3.15</v>
      </c>
      <c r="D68" s="64">
        <v>11.87</v>
      </c>
      <c r="E68" s="64">
        <v>3.8</v>
      </c>
      <c r="F68" s="64">
        <v>3.7</v>
      </c>
      <c r="G68" s="64">
        <v>25.88</v>
      </c>
      <c r="H68" s="64">
        <v>18.54</v>
      </c>
      <c r="I68" s="64">
        <v>1.66</v>
      </c>
      <c r="J68" s="64">
        <v>0.31</v>
      </c>
      <c r="K68" s="64">
        <v>313.79000000000002</v>
      </c>
      <c r="L68" s="64">
        <v>26.27</v>
      </c>
      <c r="M68" s="64">
        <v>102.23</v>
      </c>
      <c r="N68" s="64">
        <v>199.9</v>
      </c>
      <c r="O68" s="64">
        <v>0.4</v>
      </c>
      <c r="P68" s="64">
        <v>0.51</v>
      </c>
      <c r="Q68" s="64">
        <v>9.5299999999999994</v>
      </c>
      <c r="R68" s="198"/>
      <c r="S68" s="198"/>
      <c r="T68" s="198"/>
      <c r="U68" s="198"/>
    </row>
    <row r="69" spans="1:21" s="12" customFormat="1" x14ac:dyDescent="0.25">
      <c r="A69" s="248" t="s">
        <v>1745</v>
      </c>
      <c r="B69" s="64">
        <v>8.02</v>
      </c>
      <c r="C69" s="64">
        <v>3.11</v>
      </c>
      <c r="D69" s="64">
        <v>11.83</v>
      </c>
      <c r="E69" s="64">
        <v>4.1100000000000003</v>
      </c>
      <c r="F69" s="64">
        <v>2.44</v>
      </c>
      <c r="G69" s="64">
        <v>23.85</v>
      </c>
      <c r="H69" s="64">
        <v>20.6</v>
      </c>
      <c r="I69" s="64">
        <v>1.71</v>
      </c>
      <c r="J69" s="64">
        <v>0.22</v>
      </c>
      <c r="K69" s="64">
        <v>305.79000000000002</v>
      </c>
      <c r="L69" s="64">
        <v>26.11</v>
      </c>
      <c r="M69" s="64">
        <v>102.25</v>
      </c>
      <c r="N69" s="64">
        <v>214.5</v>
      </c>
      <c r="O69" s="64">
        <v>0.2</v>
      </c>
      <c r="P69" s="64">
        <v>0.5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48" t="s">
        <v>1746</v>
      </c>
      <c r="B70" s="64">
        <v>8.0399999999999991</v>
      </c>
      <c r="C70" s="64">
        <v>3.13</v>
      </c>
      <c r="D70" s="64">
        <v>11.86</v>
      </c>
      <c r="E70" s="64">
        <v>4.67</v>
      </c>
      <c r="F70" s="64">
        <v>4.4000000000000004</v>
      </c>
      <c r="G70" s="64">
        <v>23.85</v>
      </c>
      <c r="H70" s="64">
        <v>20.6</v>
      </c>
      <c r="I70" s="64">
        <v>1.76</v>
      </c>
      <c r="J70" s="64">
        <v>0.22</v>
      </c>
      <c r="K70" s="64">
        <v>304.26</v>
      </c>
      <c r="L70" s="64">
        <v>26.31</v>
      </c>
      <c r="M70" s="64">
        <v>102.23</v>
      </c>
      <c r="N70" s="64">
        <v>235.2</v>
      </c>
      <c r="O70" s="64">
        <v>0</v>
      </c>
      <c r="P70" s="64">
        <v>0.5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48" t="s">
        <v>1747</v>
      </c>
      <c r="B71" s="64">
        <v>8</v>
      </c>
      <c r="C71" s="64">
        <v>3.08</v>
      </c>
      <c r="D71" s="64">
        <v>11.8</v>
      </c>
      <c r="E71" s="64">
        <v>4.5199999999999996</v>
      </c>
      <c r="F71" s="64">
        <v>3.56</v>
      </c>
      <c r="G71" s="64">
        <v>23.85</v>
      </c>
      <c r="H71" s="64">
        <v>20.6</v>
      </c>
      <c r="I71" s="64">
        <v>1.77</v>
      </c>
      <c r="J71" s="64">
        <v>0.22</v>
      </c>
      <c r="K71" s="64">
        <v>315.45999999999998</v>
      </c>
      <c r="L71" s="64">
        <v>26.62</v>
      </c>
      <c r="M71" s="64">
        <v>102.23</v>
      </c>
      <c r="N71" s="64">
        <v>245.5</v>
      </c>
      <c r="O71" s="64">
        <v>0</v>
      </c>
      <c r="P71" s="64">
        <v>0.51</v>
      </c>
      <c r="Q71" s="64">
        <v>9.5500000000000007</v>
      </c>
      <c r="R71" s="198"/>
      <c r="S71" s="198"/>
      <c r="T71" s="198"/>
      <c r="U71" s="198"/>
    </row>
    <row r="72" spans="1:21" s="12" customFormat="1" x14ac:dyDescent="0.25">
      <c r="A72" s="248" t="s">
        <v>1748</v>
      </c>
      <c r="B72" s="64">
        <v>8.02</v>
      </c>
      <c r="C72" s="64">
        <v>3.08</v>
      </c>
      <c r="D72" s="64">
        <v>11.81</v>
      </c>
      <c r="E72" s="64">
        <v>4.33</v>
      </c>
      <c r="F72" s="64">
        <v>3.76</v>
      </c>
      <c r="G72" s="64">
        <v>21.33</v>
      </c>
      <c r="H72" s="64">
        <v>19.079999999999998</v>
      </c>
      <c r="I72" s="64">
        <v>1.79</v>
      </c>
      <c r="J72" s="64">
        <v>0.17</v>
      </c>
      <c r="K72" s="64">
        <v>322.8</v>
      </c>
      <c r="L72" s="64">
        <v>26.89</v>
      </c>
      <c r="M72" s="64">
        <v>102.17</v>
      </c>
      <c r="N72" s="64">
        <v>223.6</v>
      </c>
      <c r="O72" s="64">
        <v>0</v>
      </c>
      <c r="P72" s="64">
        <v>0.5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48" t="s">
        <v>1749</v>
      </c>
      <c r="B73" s="64">
        <v>8.01</v>
      </c>
      <c r="C73" s="64">
        <v>3.06</v>
      </c>
      <c r="D73" s="64">
        <v>11.79</v>
      </c>
      <c r="E73" s="64">
        <v>4.55</v>
      </c>
      <c r="F73" s="64">
        <v>3.33</v>
      </c>
      <c r="G73" s="64">
        <v>20.309999999999999</v>
      </c>
      <c r="H73" s="64">
        <v>18.46</v>
      </c>
      <c r="I73" s="64">
        <v>1.83</v>
      </c>
      <c r="J73" s="64">
        <v>0.23</v>
      </c>
      <c r="K73" s="64">
        <v>316.89</v>
      </c>
      <c r="L73" s="64">
        <v>27.06</v>
      </c>
      <c r="M73" s="64">
        <v>102.1</v>
      </c>
      <c r="N73" s="64">
        <v>202.6</v>
      </c>
      <c r="O73" s="64">
        <v>0</v>
      </c>
      <c r="P73" s="64">
        <v>0.51</v>
      </c>
      <c r="Q73" s="64">
        <v>9.5500000000000007</v>
      </c>
      <c r="R73" s="198"/>
      <c r="S73" s="198"/>
      <c r="T73" s="198"/>
      <c r="U73" s="198"/>
    </row>
    <row r="74" spans="1:21" s="12" customFormat="1" x14ac:dyDescent="0.25">
      <c r="A74" s="248" t="s">
        <v>1750</v>
      </c>
      <c r="B74" s="64">
        <v>8.0399999999999991</v>
      </c>
      <c r="C74" s="64">
        <v>3.04</v>
      </c>
      <c r="D74" s="64">
        <v>11.81</v>
      </c>
      <c r="E74" s="64">
        <v>4.55</v>
      </c>
      <c r="F74" s="64">
        <v>3.15</v>
      </c>
      <c r="G74" s="64">
        <v>20.309999999999999</v>
      </c>
      <c r="H74" s="64">
        <v>18.46</v>
      </c>
      <c r="I74" s="64">
        <v>1.96</v>
      </c>
      <c r="J74" s="64">
        <v>0.28999999999999998</v>
      </c>
      <c r="K74" s="64">
        <v>315.45</v>
      </c>
      <c r="L74" s="64">
        <v>27.3</v>
      </c>
      <c r="M74" s="64">
        <v>102.19</v>
      </c>
      <c r="N74" s="64">
        <v>188.1</v>
      </c>
      <c r="O74" s="64">
        <v>0</v>
      </c>
      <c r="P74" s="64">
        <v>0.51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48" t="s">
        <v>1751</v>
      </c>
      <c r="B75" s="64">
        <v>8.0299999999999994</v>
      </c>
      <c r="C75" s="64">
        <v>3.03</v>
      </c>
      <c r="D75" s="64">
        <v>11.8</v>
      </c>
      <c r="E75" s="64">
        <v>4.5</v>
      </c>
      <c r="F75" s="64">
        <v>3.37</v>
      </c>
      <c r="G75" s="64">
        <v>20.309999999999999</v>
      </c>
      <c r="H75" s="64">
        <v>18.46</v>
      </c>
      <c r="I75" s="64">
        <v>2</v>
      </c>
      <c r="J75" s="64">
        <v>0.21</v>
      </c>
      <c r="K75" s="64">
        <v>312.26</v>
      </c>
      <c r="L75" s="64">
        <v>27.4</v>
      </c>
      <c r="M75" s="64">
        <v>102.25</v>
      </c>
      <c r="N75" s="64">
        <v>170.5</v>
      </c>
      <c r="O75" s="64">
        <v>0</v>
      </c>
      <c r="P75" s="64">
        <v>0.52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48" t="s">
        <v>1752</v>
      </c>
      <c r="B76" s="64">
        <v>8.01</v>
      </c>
      <c r="C76" s="64">
        <v>3.07</v>
      </c>
      <c r="D76" s="64">
        <v>11.8</v>
      </c>
      <c r="E76" s="64">
        <v>4.5999999999999996</v>
      </c>
      <c r="F76" s="64">
        <v>3.29</v>
      </c>
      <c r="G76" s="64">
        <v>23.25</v>
      </c>
      <c r="H76" s="64">
        <v>14.96</v>
      </c>
      <c r="I76" s="64">
        <v>2.04</v>
      </c>
      <c r="J76" s="64">
        <v>0.34</v>
      </c>
      <c r="K76" s="64">
        <v>315.39</v>
      </c>
      <c r="L76" s="64">
        <v>27.39</v>
      </c>
      <c r="M76" s="64">
        <v>102.03</v>
      </c>
      <c r="N76" s="64">
        <v>150.9</v>
      </c>
      <c r="O76" s="64">
        <v>0</v>
      </c>
      <c r="P76" s="64">
        <v>0.52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48" t="s">
        <v>1753</v>
      </c>
      <c r="B77" s="64">
        <v>8.01</v>
      </c>
      <c r="C77" s="64">
        <v>3.05</v>
      </c>
      <c r="D77" s="64">
        <v>11.79</v>
      </c>
      <c r="E77" s="64">
        <v>4.49</v>
      </c>
      <c r="F77" s="64">
        <v>3.24</v>
      </c>
      <c r="G77" s="64">
        <v>24.45</v>
      </c>
      <c r="H77" s="64">
        <v>13.53</v>
      </c>
      <c r="I77" s="64">
        <v>2.08</v>
      </c>
      <c r="J77" s="64">
        <v>0.28999999999999998</v>
      </c>
      <c r="K77" s="64">
        <v>307.42</v>
      </c>
      <c r="L77" s="64">
        <v>27.24</v>
      </c>
      <c r="M77" s="64">
        <v>101.69</v>
      </c>
      <c r="N77" s="64">
        <v>131.69999999999999</v>
      </c>
      <c r="O77" s="64">
        <v>0</v>
      </c>
      <c r="P77" s="64">
        <v>0.53</v>
      </c>
      <c r="Q77" s="64">
        <v>9.58</v>
      </c>
      <c r="R77" s="198"/>
      <c r="S77" s="198"/>
      <c r="T77" s="198"/>
      <c r="U77" s="198"/>
    </row>
    <row r="78" spans="1:21" s="12" customFormat="1" x14ac:dyDescent="0.25">
      <c r="A78" s="248" t="s">
        <v>1754</v>
      </c>
      <c r="B78" s="64">
        <v>8.02</v>
      </c>
      <c r="C78" s="64">
        <v>3.1</v>
      </c>
      <c r="D78" s="64">
        <v>11.83</v>
      </c>
      <c r="E78" s="64">
        <v>4.4800000000000004</v>
      </c>
      <c r="F78" s="64">
        <v>3.57</v>
      </c>
      <c r="G78" s="64">
        <v>24.45</v>
      </c>
      <c r="H78" s="64">
        <v>13.53</v>
      </c>
      <c r="I78" s="64">
        <v>2.36</v>
      </c>
      <c r="J78" s="64">
        <v>0.21</v>
      </c>
      <c r="K78" s="64">
        <v>307.67</v>
      </c>
      <c r="L78" s="64">
        <v>26.96</v>
      </c>
      <c r="M78" s="64">
        <v>102.29</v>
      </c>
      <c r="N78" s="64">
        <v>113</v>
      </c>
      <c r="O78" s="64">
        <v>0</v>
      </c>
      <c r="P78" s="64">
        <v>0.54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48" t="s">
        <v>1755</v>
      </c>
      <c r="B79" s="64">
        <v>8.06</v>
      </c>
      <c r="C79" s="64">
        <v>3.08</v>
      </c>
      <c r="D79" s="64">
        <v>11.85</v>
      </c>
      <c r="E79" s="64">
        <v>4.5</v>
      </c>
      <c r="F79" s="64">
        <v>3.32</v>
      </c>
      <c r="G79" s="64">
        <v>24.45</v>
      </c>
      <c r="H79" s="64">
        <v>13.53</v>
      </c>
      <c r="I79" s="64">
        <v>2.4700000000000002</v>
      </c>
      <c r="J79" s="64">
        <v>0.16</v>
      </c>
      <c r="K79" s="64">
        <v>296.07</v>
      </c>
      <c r="L79" s="64">
        <v>26.9</v>
      </c>
      <c r="M79" s="64">
        <v>101.99</v>
      </c>
      <c r="N79" s="64">
        <v>95.3</v>
      </c>
      <c r="O79" s="64">
        <v>0</v>
      </c>
      <c r="P79" s="64">
        <v>0.56000000000000005</v>
      </c>
      <c r="Q79" s="64">
        <v>9.66</v>
      </c>
      <c r="R79" s="198"/>
      <c r="S79" s="198"/>
      <c r="T79" s="198"/>
      <c r="U79" s="198"/>
    </row>
    <row r="80" spans="1:21" s="12" customFormat="1" x14ac:dyDescent="0.25">
      <c r="A80" s="248" t="s">
        <v>1756</v>
      </c>
      <c r="B80" s="64">
        <v>8.1199999999999992</v>
      </c>
      <c r="C80" s="64">
        <v>3.26</v>
      </c>
      <c r="D80" s="64">
        <v>11.99</v>
      </c>
      <c r="E80" s="64">
        <v>4.62</v>
      </c>
      <c r="F80" s="64">
        <v>3.39</v>
      </c>
      <c r="G80" s="64">
        <v>46.8</v>
      </c>
      <c r="H80" s="64">
        <v>10.9</v>
      </c>
      <c r="I80" s="64">
        <v>2.68</v>
      </c>
      <c r="J80" s="64">
        <v>0.13</v>
      </c>
      <c r="K80" s="64">
        <v>288.14999999999998</v>
      </c>
      <c r="L80" s="64">
        <v>26.64</v>
      </c>
      <c r="M80" s="64">
        <v>102.13</v>
      </c>
      <c r="N80" s="64">
        <v>80.7</v>
      </c>
      <c r="O80" s="64">
        <v>0</v>
      </c>
      <c r="P80" s="64">
        <v>0.56999999999999995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48" t="s">
        <v>1757</v>
      </c>
      <c r="B81" s="64">
        <v>8.0299999999999994</v>
      </c>
      <c r="C81" s="64">
        <v>3.14</v>
      </c>
      <c r="D81" s="64">
        <v>11.85</v>
      </c>
      <c r="E81" s="64">
        <v>4.5999999999999996</v>
      </c>
      <c r="F81" s="64">
        <v>4.05</v>
      </c>
      <c r="G81" s="64">
        <v>56.38</v>
      </c>
      <c r="H81" s="64">
        <v>9.83</v>
      </c>
      <c r="I81" s="64">
        <v>2.84</v>
      </c>
      <c r="J81" s="64">
        <v>0.12</v>
      </c>
      <c r="K81" s="64">
        <v>278.57</v>
      </c>
      <c r="L81" s="64">
        <v>26.37</v>
      </c>
      <c r="M81" s="64">
        <v>102.24</v>
      </c>
      <c r="N81" s="64">
        <v>67</v>
      </c>
      <c r="O81" s="64">
        <v>0</v>
      </c>
      <c r="P81" s="64">
        <v>0.55000000000000004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48" t="s">
        <v>1758</v>
      </c>
      <c r="B82" s="64">
        <v>8</v>
      </c>
      <c r="C82" s="64">
        <v>3.05</v>
      </c>
      <c r="D82" s="64">
        <v>11.78</v>
      </c>
      <c r="E82" s="64">
        <v>4.3499999999999996</v>
      </c>
      <c r="F82" s="64">
        <v>2.69</v>
      </c>
      <c r="G82" s="64">
        <v>56.38</v>
      </c>
      <c r="H82" s="64">
        <v>9.83</v>
      </c>
      <c r="I82" s="64">
        <v>3.03</v>
      </c>
      <c r="J82" s="64">
        <v>0.14000000000000001</v>
      </c>
      <c r="K82" s="64">
        <v>17.14</v>
      </c>
      <c r="L82" s="64">
        <v>26.14</v>
      </c>
      <c r="M82" s="64">
        <v>102.31</v>
      </c>
      <c r="N82" s="64">
        <v>55.6</v>
      </c>
      <c r="O82" s="64">
        <v>0</v>
      </c>
      <c r="P82" s="64">
        <v>0.61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48" t="s">
        <v>1759</v>
      </c>
      <c r="B83" s="64">
        <v>8.1</v>
      </c>
      <c r="C83" s="64">
        <v>3.18</v>
      </c>
      <c r="D83" s="64">
        <v>11.93</v>
      </c>
      <c r="E83" s="64">
        <v>4.42</v>
      </c>
      <c r="F83" s="64">
        <v>3.98</v>
      </c>
      <c r="G83" s="64">
        <v>56.38</v>
      </c>
      <c r="H83" s="64">
        <v>9.83</v>
      </c>
      <c r="I83" s="64">
        <v>3.18</v>
      </c>
      <c r="J83" s="64">
        <v>0.16</v>
      </c>
      <c r="K83" s="64">
        <v>168.39</v>
      </c>
      <c r="L83" s="64">
        <v>25.91</v>
      </c>
      <c r="M83" s="64">
        <v>102.33</v>
      </c>
      <c r="N83" s="64">
        <v>51.6</v>
      </c>
      <c r="O83" s="64">
        <v>0</v>
      </c>
      <c r="P83" s="64">
        <v>0.66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48" t="s">
        <v>1760</v>
      </c>
      <c r="B84" s="64">
        <v>8.09</v>
      </c>
      <c r="C84" s="64">
        <v>3.16</v>
      </c>
      <c r="D84" s="64">
        <v>11.91</v>
      </c>
      <c r="E84" s="64">
        <v>3.71</v>
      </c>
      <c r="F84" s="64">
        <v>4.22</v>
      </c>
      <c r="G84" s="64">
        <v>81.61</v>
      </c>
      <c r="H84" s="64">
        <v>12.89</v>
      </c>
      <c r="I84" s="64">
        <v>3.45</v>
      </c>
      <c r="J84" s="64">
        <v>0.13</v>
      </c>
      <c r="K84" s="64">
        <v>283.2</v>
      </c>
      <c r="L84" s="64">
        <v>25.71</v>
      </c>
      <c r="M84" s="64">
        <v>102.37</v>
      </c>
      <c r="N84" s="64">
        <v>51.1</v>
      </c>
      <c r="O84" s="64">
        <v>0</v>
      </c>
      <c r="P84" s="64">
        <v>0.73</v>
      </c>
      <c r="Q84" s="64">
        <v>9.7200000000000006</v>
      </c>
      <c r="R84" s="198"/>
      <c r="S84" s="198"/>
      <c r="T84" s="198"/>
      <c r="U84" s="198"/>
    </row>
    <row r="85" spans="1:26" s="12" customFormat="1" x14ac:dyDescent="0.25">
      <c r="A85" s="248" t="s">
        <v>1761</v>
      </c>
      <c r="B85" s="64">
        <v>8.19</v>
      </c>
      <c r="C85" s="64">
        <v>3.28</v>
      </c>
      <c r="D85" s="64">
        <v>12.05</v>
      </c>
      <c r="E85" s="64">
        <v>4.6100000000000003</v>
      </c>
      <c r="F85" s="64">
        <v>2.3199999999999998</v>
      </c>
      <c r="G85" s="64">
        <v>91.85</v>
      </c>
      <c r="H85" s="64">
        <v>14.14</v>
      </c>
      <c r="I85" s="64">
        <v>3.76</v>
      </c>
      <c r="J85" s="64">
        <v>0.18</v>
      </c>
      <c r="K85" s="64">
        <v>356.81</v>
      </c>
      <c r="L85" s="64">
        <v>25.58</v>
      </c>
      <c r="M85" s="64">
        <v>102.4</v>
      </c>
      <c r="N85" s="64">
        <v>50.9</v>
      </c>
      <c r="O85" s="64">
        <v>0</v>
      </c>
      <c r="P85" s="64">
        <v>0.82</v>
      </c>
      <c r="Q85" s="64">
        <v>9.76</v>
      </c>
      <c r="R85" s="198"/>
      <c r="S85" s="198"/>
      <c r="T85" s="198"/>
      <c r="U85" s="198"/>
    </row>
    <row r="86" spans="1:26" s="12" customFormat="1" x14ac:dyDescent="0.25">
      <c r="A86" s="248" t="s">
        <v>1762</v>
      </c>
      <c r="B86" s="64">
        <v>8.58</v>
      </c>
      <c r="C86" s="64">
        <v>3.84</v>
      </c>
      <c r="D86" s="64">
        <v>12.66</v>
      </c>
      <c r="E86" s="64">
        <v>4.45</v>
      </c>
      <c r="F86" s="64">
        <v>3.6</v>
      </c>
      <c r="G86" s="64">
        <v>91.85</v>
      </c>
      <c r="H86" s="64">
        <v>14.14</v>
      </c>
      <c r="I86" s="64">
        <v>4.0599999999999996</v>
      </c>
      <c r="J86" s="64">
        <v>0.21</v>
      </c>
      <c r="K86" s="64">
        <v>211.22</v>
      </c>
      <c r="L86" s="64">
        <v>25.61</v>
      </c>
      <c r="M86" s="64">
        <v>102.41</v>
      </c>
      <c r="N86" s="64">
        <v>50.9</v>
      </c>
      <c r="O86" s="64">
        <v>0</v>
      </c>
      <c r="P86" s="64">
        <v>0.91</v>
      </c>
      <c r="Q86" s="64">
        <v>9.86</v>
      </c>
      <c r="R86" s="198"/>
      <c r="S86" s="198"/>
      <c r="T86" s="198"/>
      <c r="U86" s="198"/>
    </row>
    <row r="87" spans="1:26" s="12" customFormat="1" x14ac:dyDescent="0.25">
      <c r="A87" s="248" t="s">
        <v>1763</v>
      </c>
      <c r="B87" s="64">
        <v>8.15</v>
      </c>
      <c r="C87" s="64">
        <v>3.19</v>
      </c>
      <c r="D87" s="64">
        <v>11.98</v>
      </c>
      <c r="E87" s="64">
        <v>4.51</v>
      </c>
      <c r="F87" s="64">
        <v>4.07</v>
      </c>
      <c r="G87" s="64">
        <v>91.85</v>
      </c>
      <c r="H87" s="64">
        <v>14.14</v>
      </c>
      <c r="I87" s="64">
        <v>4.5199999999999996</v>
      </c>
      <c r="J87" s="64">
        <v>0.17</v>
      </c>
      <c r="K87" s="64">
        <v>176.52</v>
      </c>
      <c r="L87" s="64">
        <v>25.63</v>
      </c>
      <c r="M87" s="64">
        <v>102.42</v>
      </c>
      <c r="N87" s="64">
        <v>50.9</v>
      </c>
      <c r="O87" s="64">
        <v>0</v>
      </c>
      <c r="P87" s="64">
        <v>0.95</v>
      </c>
      <c r="Q87" s="64">
        <v>9.99</v>
      </c>
      <c r="R87" s="198"/>
      <c r="S87" s="198"/>
      <c r="T87" s="198"/>
      <c r="U87" s="198"/>
    </row>
    <row r="88" spans="1:26" s="12" customFormat="1" x14ac:dyDescent="0.25">
      <c r="A88" s="248" t="s">
        <v>1764</v>
      </c>
      <c r="B88" s="64">
        <v>8.15</v>
      </c>
      <c r="C88" s="64">
        <v>3.23</v>
      </c>
      <c r="D88" s="64">
        <v>12</v>
      </c>
      <c r="E88" s="64">
        <v>4.92</v>
      </c>
      <c r="F88" s="64">
        <v>2.29</v>
      </c>
      <c r="G88" s="64">
        <v>129.34</v>
      </c>
      <c r="H88" s="64">
        <v>18.25</v>
      </c>
      <c r="I88" s="64">
        <v>4.88</v>
      </c>
      <c r="J88" s="64">
        <v>0.19</v>
      </c>
      <c r="K88" s="64">
        <v>234.48</v>
      </c>
      <c r="L88" s="64">
        <v>25.69</v>
      </c>
      <c r="M88" s="64">
        <v>102.4</v>
      </c>
      <c r="N88" s="64">
        <v>51</v>
      </c>
      <c r="O88" s="64">
        <v>0</v>
      </c>
      <c r="P88" s="64">
        <v>0.98</v>
      </c>
      <c r="Q88" s="64">
        <v>9.98</v>
      </c>
      <c r="R88" s="198"/>
      <c r="S88" s="198"/>
      <c r="T88" s="198"/>
      <c r="U88" s="198"/>
    </row>
    <row r="89" spans="1:26" s="12" customFormat="1" x14ac:dyDescent="0.25">
      <c r="A89" s="248" t="s">
        <v>1765</v>
      </c>
      <c r="B89" s="64">
        <v>8.1</v>
      </c>
      <c r="C89" s="64">
        <v>3.12</v>
      </c>
      <c r="D89" s="64">
        <v>11.9</v>
      </c>
      <c r="E89" s="64">
        <v>4.42</v>
      </c>
      <c r="F89" s="64">
        <v>3.44</v>
      </c>
      <c r="G89" s="64">
        <v>144.56</v>
      </c>
      <c r="H89" s="64">
        <v>19.91</v>
      </c>
      <c r="I89" s="64">
        <v>5.05</v>
      </c>
      <c r="J89" s="64">
        <v>0.12</v>
      </c>
      <c r="K89" s="64">
        <v>158.13</v>
      </c>
      <c r="L89" s="64">
        <v>25.91</v>
      </c>
      <c r="M89" s="64">
        <v>102.4</v>
      </c>
      <c r="N89" s="64">
        <v>51.1</v>
      </c>
      <c r="O89" s="64">
        <v>0</v>
      </c>
      <c r="P89" s="64">
        <v>0.99</v>
      </c>
      <c r="Q89" s="64">
        <v>10.029999999999999</v>
      </c>
      <c r="R89" s="198"/>
      <c r="S89" s="198"/>
      <c r="T89" s="198"/>
      <c r="U89" s="198"/>
    </row>
    <row r="90" spans="1:26" s="12" customFormat="1" x14ac:dyDescent="0.25">
      <c r="A90" s="248" t="s">
        <v>1766</v>
      </c>
      <c r="B90" s="64">
        <v>8.09</v>
      </c>
      <c r="C90" s="64">
        <v>3.07</v>
      </c>
      <c r="D90" s="64">
        <v>11.86</v>
      </c>
      <c r="E90" s="64">
        <v>4.53</v>
      </c>
      <c r="F90" s="64">
        <v>3.77</v>
      </c>
      <c r="G90" s="64">
        <v>144.56</v>
      </c>
      <c r="H90" s="64">
        <v>19.91</v>
      </c>
      <c r="I90" s="64">
        <v>5.33</v>
      </c>
      <c r="J90" s="64">
        <v>0.15</v>
      </c>
      <c r="K90" s="64">
        <v>192.98</v>
      </c>
      <c r="L90" s="64">
        <v>25.95</v>
      </c>
      <c r="M90" s="64">
        <v>102.42</v>
      </c>
      <c r="N90" s="64">
        <v>51.2</v>
      </c>
      <c r="O90" s="64">
        <v>0</v>
      </c>
      <c r="P90" s="64">
        <v>1.01</v>
      </c>
      <c r="Q90" s="64">
        <v>10.1</v>
      </c>
      <c r="R90" s="198"/>
      <c r="S90" s="198"/>
      <c r="T90" s="198"/>
      <c r="U90" s="198"/>
    </row>
    <row r="91" spans="1:26" s="12" customFormat="1" x14ac:dyDescent="0.25">
      <c r="A91" s="248" t="s">
        <v>1767</v>
      </c>
      <c r="B91" s="64">
        <v>8.07</v>
      </c>
      <c r="C91" s="64">
        <v>3.04</v>
      </c>
      <c r="D91" s="64">
        <v>11.83</v>
      </c>
      <c r="E91" s="64">
        <v>4.72</v>
      </c>
      <c r="F91" s="64">
        <v>3.38</v>
      </c>
      <c r="G91" s="64">
        <v>144.56</v>
      </c>
      <c r="H91" s="64">
        <v>19.91</v>
      </c>
      <c r="I91" s="64">
        <v>5.58</v>
      </c>
      <c r="J91" s="64">
        <v>0.13</v>
      </c>
      <c r="K91" s="64">
        <v>202.58</v>
      </c>
      <c r="L91" s="64">
        <v>25.94</v>
      </c>
      <c r="M91" s="64">
        <v>102.44</v>
      </c>
      <c r="N91" s="64">
        <v>51.1</v>
      </c>
      <c r="O91" s="64">
        <v>0</v>
      </c>
      <c r="P91" s="64">
        <v>1.02</v>
      </c>
      <c r="Q91" s="64">
        <v>10.11</v>
      </c>
      <c r="R91" s="198"/>
      <c r="S91" s="198"/>
      <c r="T91" s="198"/>
      <c r="U91" s="198"/>
    </row>
    <row r="92" spans="1:26" s="12" customFormat="1" x14ac:dyDescent="0.25">
      <c r="A92" s="248" t="s">
        <v>1768</v>
      </c>
      <c r="B92" s="64">
        <v>8.07</v>
      </c>
      <c r="C92" s="64">
        <v>3.08</v>
      </c>
      <c r="D92" s="64">
        <v>11.85</v>
      </c>
      <c r="E92" s="64">
        <v>5.0599999999999996</v>
      </c>
      <c r="F92" s="64">
        <v>3.43</v>
      </c>
      <c r="G92" s="64">
        <v>125.93</v>
      </c>
      <c r="H92" s="64">
        <v>26.3</v>
      </c>
      <c r="I92" s="64">
        <v>5.82</v>
      </c>
      <c r="J92" s="64">
        <v>0.17</v>
      </c>
      <c r="K92" s="64">
        <v>269.67</v>
      </c>
      <c r="L92" s="64">
        <v>26.09</v>
      </c>
      <c r="M92" s="64">
        <v>102.44</v>
      </c>
      <c r="N92" s="64">
        <v>50.9</v>
      </c>
      <c r="O92" s="64">
        <v>0</v>
      </c>
      <c r="P92" s="64">
        <v>1.03</v>
      </c>
      <c r="Q92" s="64">
        <v>10.11</v>
      </c>
      <c r="R92" s="198"/>
      <c r="S92" s="198"/>
      <c r="T92" s="198"/>
      <c r="U92" s="198"/>
    </row>
    <row r="93" spans="1:26" s="12" customFormat="1" x14ac:dyDescent="0.25">
      <c r="A93" s="248" t="s">
        <v>1769</v>
      </c>
      <c r="B93" s="64">
        <v>8.11</v>
      </c>
      <c r="C93" s="64">
        <v>3.13</v>
      </c>
      <c r="D93" s="64">
        <v>11.92</v>
      </c>
      <c r="E93" s="64">
        <v>5.27</v>
      </c>
      <c r="F93" s="64">
        <v>3.2</v>
      </c>
      <c r="G93" s="64">
        <v>117.94</v>
      </c>
      <c r="H93" s="64">
        <v>28.9</v>
      </c>
      <c r="I93" s="64">
        <v>5.93</v>
      </c>
      <c r="J93" s="64">
        <v>0.16</v>
      </c>
      <c r="K93" s="64">
        <v>252.21</v>
      </c>
      <c r="L93" s="64">
        <v>26.15</v>
      </c>
      <c r="M93" s="64">
        <v>102.45</v>
      </c>
      <c r="N93" s="64">
        <v>50.9</v>
      </c>
      <c r="O93" s="64">
        <v>0</v>
      </c>
      <c r="P93" s="64">
        <v>1.08</v>
      </c>
      <c r="Q93" s="64">
        <v>10.11</v>
      </c>
      <c r="R93" s="198"/>
      <c r="S93" s="198"/>
      <c r="T93" s="198"/>
      <c r="U93" s="198"/>
    </row>
    <row r="94" spans="1:26" s="12" customFormat="1" x14ac:dyDescent="0.25">
      <c r="A94" s="248" t="s">
        <v>1770</v>
      </c>
      <c r="B94" s="64">
        <v>8.1199999999999992</v>
      </c>
      <c r="C94" s="64">
        <v>3.15</v>
      </c>
      <c r="D94" s="64">
        <v>11.94</v>
      </c>
      <c r="E94" s="64">
        <v>5.03</v>
      </c>
      <c r="F94" s="64">
        <v>3.57</v>
      </c>
      <c r="G94" s="64">
        <v>117.94</v>
      </c>
      <c r="H94" s="64">
        <v>28.9</v>
      </c>
      <c r="I94" s="64">
        <v>6.26</v>
      </c>
      <c r="J94" s="64">
        <v>0.12</v>
      </c>
      <c r="K94" s="64">
        <v>226.16</v>
      </c>
      <c r="L94" s="64">
        <v>26.04</v>
      </c>
      <c r="M94" s="64">
        <v>102.49</v>
      </c>
      <c r="N94" s="64">
        <v>50.9</v>
      </c>
      <c r="O94" s="64">
        <v>0</v>
      </c>
      <c r="P94" s="64">
        <v>1.08</v>
      </c>
      <c r="Q94" s="64">
        <v>10.119999999999999</v>
      </c>
      <c r="R94" s="198"/>
      <c r="S94" s="198"/>
      <c r="T94" s="198"/>
      <c r="U94" s="198"/>
    </row>
    <row r="95" spans="1:26" s="12" customFormat="1" x14ac:dyDescent="0.25">
      <c r="A95" s="248" t="s">
        <v>1771</v>
      </c>
      <c r="B95" s="64">
        <v>8.24</v>
      </c>
      <c r="C95" s="64">
        <v>3.36</v>
      </c>
      <c r="D95" s="64">
        <v>12.14</v>
      </c>
      <c r="E95" s="64">
        <v>5.0199999999999996</v>
      </c>
      <c r="F95" s="64">
        <v>3.51</v>
      </c>
      <c r="G95" s="64">
        <v>117.94</v>
      </c>
      <c r="H95" s="64">
        <v>28.9</v>
      </c>
      <c r="I95" s="64">
        <v>6.48</v>
      </c>
      <c r="J95" s="64">
        <v>7.0000000000000007E-2</v>
      </c>
      <c r="K95" s="64">
        <v>7.75</v>
      </c>
      <c r="L95" s="64">
        <v>25.94</v>
      </c>
      <c r="M95" s="64">
        <v>102.5</v>
      </c>
      <c r="N95" s="64">
        <v>50.5</v>
      </c>
      <c r="O95" s="64">
        <v>0</v>
      </c>
      <c r="P95" s="64">
        <v>1.0900000000000001</v>
      </c>
      <c r="Q95" s="64">
        <v>10.16</v>
      </c>
      <c r="R95" s="198"/>
      <c r="S95" s="198"/>
      <c r="T95" s="198"/>
      <c r="U95" s="198"/>
    </row>
    <row r="96" spans="1:26" s="12" customFormat="1" x14ac:dyDescent="0.25">
      <c r="A96" s="248" t="s">
        <v>1772</v>
      </c>
      <c r="B96" s="64">
        <v>8.1999999999999993</v>
      </c>
      <c r="C96" s="64">
        <v>3.28</v>
      </c>
      <c r="D96" s="64">
        <v>12.06</v>
      </c>
      <c r="E96" s="64">
        <v>5.34</v>
      </c>
      <c r="F96" s="64">
        <v>3.18</v>
      </c>
      <c r="G96" s="64">
        <v>126.1</v>
      </c>
      <c r="H96" s="64">
        <v>25.55</v>
      </c>
      <c r="I96" s="64">
        <v>6.64</v>
      </c>
      <c r="J96" s="64">
        <v>0.09</v>
      </c>
      <c r="K96" s="64">
        <v>58.68</v>
      </c>
      <c r="L96" s="64">
        <v>25.84</v>
      </c>
      <c r="M96" s="64">
        <v>102.4</v>
      </c>
      <c r="N96" s="64">
        <v>50.6</v>
      </c>
      <c r="O96" s="64">
        <v>0</v>
      </c>
      <c r="P96" s="64">
        <v>1.1000000000000001</v>
      </c>
      <c r="Q96" s="64">
        <v>10.18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1773</v>
      </c>
      <c r="B97" s="64">
        <v>8.27</v>
      </c>
      <c r="C97" s="64">
        <v>3.37</v>
      </c>
      <c r="D97" s="64">
        <v>12.17</v>
      </c>
      <c r="E97" s="64">
        <v>5.0199999999999996</v>
      </c>
      <c r="F97" s="64">
        <v>3.99</v>
      </c>
      <c r="G97" s="64">
        <v>129.41999999999999</v>
      </c>
      <c r="H97" s="64">
        <v>24.11</v>
      </c>
      <c r="I97" s="64">
        <v>6.75</v>
      </c>
      <c r="J97" s="64">
        <v>0.16</v>
      </c>
      <c r="K97" s="64">
        <v>242.12</v>
      </c>
      <c r="L97" s="64">
        <v>25.88</v>
      </c>
      <c r="M97" s="64">
        <v>102.44</v>
      </c>
      <c r="N97" s="64">
        <v>50.6</v>
      </c>
      <c r="O97" s="64">
        <v>0</v>
      </c>
      <c r="P97" s="64">
        <v>1.1200000000000001</v>
      </c>
      <c r="Q97" s="64">
        <v>10.19</v>
      </c>
      <c r="R97" s="198"/>
      <c r="S97" s="198"/>
      <c r="T97" s="198"/>
      <c r="U97" s="198"/>
    </row>
    <row r="98" spans="1:33" s="12" customFormat="1" x14ac:dyDescent="0.25">
      <c r="A98" s="248" t="s">
        <v>1774</v>
      </c>
      <c r="B98" s="64">
        <v>8.2799999999999994</v>
      </c>
      <c r="C98" s="64">
        <v>3.4</v>
      </c>
      <c r="D98" s="64">
        <v>12.19</v>
      </c>
      <c r="E98" s="64">
        <v>5.17</v>
      </c>
      <c r="F98" s="64">
        <v>2.68</v>
      </c>
      <c r="G98" s="64">
        <v>129.41999999999999</v>
      </c>
      <c r="H98" s="64">
        <v>24.11</v>
      </c>
      <c r="I98" s="64">
        <v>6.77</v>
      </c>
      <c r="J98" s="64">
        <v>0.17</v>
      </c>
      <c r="K98" s="64">
        <v>264.56</v>
      </c>
      <c r="L98" s="64">
        <v>25.9</v>
      </c>
      <c r="M98" s="64">
        <v>102.49</v>
      </c>
      <c r="N98" s="64">
        <v>50.9</v>
      </c>
      <c r="O98" s="64">
        <v>0</v>
      </c>
      <c r="P98" s="64">
        <v>1.1399999999999999</v>
      </c>
      <c r="Q98" s="64">
        <v>10.16</v>
      </c>
      <c r="R98" s="198"/>
      <c r="S98" s="198"/>
      <c r="T98" s="198"/>
      <c r="U98" s="198"/>
    </row>
    <row r="99" spans="1:33" s="12" customFormat="1" x14ac:dyDescent="0.25">
      <c r="A99" s="248" t="s">
        <v>1775</v>
      </c>
      <c r="B99" s="64">
        <v>8.31</v>
      </c>
      <c r="C99" s="64">
        <v>3.43</v>
      </c>
      <c r="D99" s="64">
        <v>12.23</v>
      </c>
      <c r="E99" s="64">
        <v>5.22</v>
      </c>
      <c r="F99" s="64">
        <v>2.91</v>
      </c>
      <c r="G99" s="64">
        <v>129.41999999999999</v>
      </c>
      <c r="H99" s="64">
        <v>24.11</v>
      </c>
      <c r="I99" s="64">
        <v>6.98</v>
      </c>
      <c r="J99" s="64">
        <v>0.13</v>
      </c>
      <c r="K99" s="64">
        <v>267.44</v>
      </c>
      <c r="L99" s="64">
        <v>26.03</v>
      </c>
      <c r="M99" s="64">
        <v>102.45</v>
      </c>
      <c r="N99" s="64">
        <v>50.8</v>
      </c>
      <c r="O99" s="64">
        <v>0</v>
      </c>
      <c r="P99" s="64">
        <v>1.1299999999999999</v>
      </c>
      <c r="Q99" s="64">
        <v>10.17</v>
      </c>
      <c r="R99" s="198"/>
      <c r="S99" s="198"/>
      <c r="T99" s="198"/>
      <c r="U99" s="198"/>
    </row>
    <row r="100" spans="1:33" s="12" customFormat="1" x14ac:dyDescent="0.25">
      <c r="A100" s="248" t="s">
        <v>1776</v>
      </c>
      <c r="B100" s="64">
        <v>8.3000000000000007</v>
      </c>
      <c r="C100" s="64">
        <v>3.43</v>
      </c>
      <c r="D100" s="64">
        <v>12.22</v>
      </c>
      <c r="E100" s="64">
        <v>4.74</v>
      </c>
      <c r="F100" s="64">
        <v>4.6500000000000004</v>
      </c>
      <c r="G100" s="64">
        <v>121.29</v>
      </c>
      <c r="H100" s="64">
        <v>22.51</v>
      </c>
      <c r="I100" s="64">
        <v>6.99</v>
      </c>
      <c r="J100" s="64">
        <v>0.17</v>
      </c>
      <c r="K100" s="64">
        <v>332.9</v>
      </c>
      <c r="L100" s="64">
        <v>26.15</v>
      </c>
      <c r="M100" s="64">
        <v>102.49</v>
      </c>
      <c r="N100" s="64">
        <v>50.8</v>
      </c>
      <c r="O100" s="64">
        <v>0</v>
      </c>
      <c r="P100" s="64">
        <v>1.1299999999999999</v>
      </c>
      <c r="Q100" s="64">
        <v>10.220000000000001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1777</v>
      </c>
      <c r="B101" s="64">
        <v>8.1</v>
      </c>
      <c r="C101" s="64">
        <v>3.23</v>
      </c>
      <c r="D101" s="64">
        <v>11.96</v>
      </c>
      <c r="E101" s="64">
        <v>4.83</v>
      </c>
      <c r="F101" s="64">
        <v>2.2799999999999998</v>
      </c>
      <c r="G101" s="64">
        <v>117.99</v>
      </c>
      <c r="H101" s="64">
        <v>21.86</v>
      </c>
      <c r="I101" s="64">
        <v>6.91</v>
      </c>
      <c r="J101" s="64">
        <v>0.17</v>
      </c>
      <c r="K101" s="64">
        <v>256.25</v>
      </c>
      <c r="L101" s="64">
        <v>26.21</v>
      </c>
      <c r="M101" s="64">
        <v>102.61</v>
      </c>
      <c r="N101" s="64">
        <v>50.9</v>
      </c>
      <c r="O101" s="64">
        <v>0</v>
      </c>
      <c r="P101" s="64">
        <v>1.1200000000000001</v>
      </c>
      <c r="Q101" s="64">
        <v>10.220000000000001</v>
      </c>
      <c r="R101" s="198"/>
      <c r="S101" s="198"/>
      <c r="T101" s="198"/>
      <c r="U101" s="198"/>
    </row>
    <row r="102" spans="1:33" s="12" customFormat="1" x14ac:dyDescent="0.25">
      <c r="A102" s="248" t="s">
        <v>1778</v>
      </c>
      <c r="B102" s="64">
        <v>8.24</v>
      </c>
      <c r="C102" s="64">
        <v>3.42</v>
      </c>
      <c r="D102" s="64">
        <v>12.17</v>
      </c>
      <c r="E102" s="64">
        <v>4.68</v>
      </c>
      <c r="F102" s="64">
        <v>2.86</v>
      </c>
      <c r="G102" s="64">
        <v>117.99</v>
      </c>
      <c r="H102" s="64">
        <v>21.86</v>
      </c>
      <c r="I102" s="64">
        <v>6.87</v>
      </c>
      <c r="J102" s="64">
        <v>0.24</v>
      </c>
      <c r="K102" s="64">
        <v>353.6</v>
      </c>
      <c r="L102" s="64">
        <v>26.27</v>
      </c>
      <c r="M102" s="64">
        <v>102.68</v>
      </c>
      <c r="N102" s="64">
        <v>50.8</v>
      </c>
      <c r="O102" s="64">
        <v>0</v>
      </c>
      <c r="P102" s="64">
        <v>1.1000000000000001</v>
      </c>
      <c r="Q102" s="64">
        <v>10.24</v>
      </c>
      <c r="R102" s="198"/>
      <c r="S102" s="198"/>
      <c r="T102" s="198"/>
      <c r="U102" s="198"/>
    </row>
    <row r="103" spans="1:33" s="12" customFormat="1" x14ac:dyDescent="0.25">
      <c r="A103" s="248" t="s">
        <v>1779</v>
      </c>
      <c r="B103" s="64">
        <v>8.1300000000000008</v>
      </c>
      <c r="C103" s="64">
        <v>3.25</v>
      </c>
      <c r="D103" s="64">
        <v>11.99</v>
      </c>
      <c r="E103" s="64">
        <v>4.57</v>
      </c>
      <c r="F103" s="64">
        <v>4.1900000000000004</v>
      </c>
      <c r="G103" s="64">
        <v>117.99</v>
      </c>
      <c r="H103" s="64">
        <v>21.86</v>
      </c>
      <c r="I103" s="64">
        <v>6.83</v>
      </c>
      <c r="J103" s="64">
        <v>0.16</v>
      </c>
      <c r="K103" s="64">
        <v>13.66</v>
      </c>
      <c r="L103" s="64">
        <v>26.31</v>
      </c>
      <c r="M103" s="64">
        <v>102.75</v>
      </c>
      <c r="N103" s="64">
        <v>50.9</v>
      </c>
      <c r="O103" s="64">
        <v>0</v>
      </c>
      <c r="P103" s="64">
        <v>1.08</v>
      </c>
      <c r="Q103" s="64">
        <v>10.26</v>
      </c>
      <c r="R103" s="198"/>
      <c r="S103" s="198"/>
      <c r="T103" s="198"/>
      <c r="U103" s="198"/>
    </row>
    <row r="104" spans="1:33" s="12" customFormat="1" x14ac:dyDescent="0.25">
      <c r="A104" s="248" t="s">
        <v>1780</v>
      </c>
      <c r="B104" s="64">
        <v>8.3000000000000007</v>
      </c>
      <c r="C104" s="64">
        <v>3.46</v>
      </c>
      <c r="D104" s="64">
        <v>12.24</v>
      </c>
      <c r="E104" s="64">
        <v>4.3499999999999996</v>
      </c>
      <c r="F104" s="64">
        <v>3.58</v>
      </c>
      <c r="G104" s="64">
        <v>118.58</v>
      </c>
      <c r="H104" s="64">
        <v>22.12</v>
      </c>
      <c r="I104" s="64">
        <v>6.75</v>
      </c>
      <c r="J104" s="64">
        <v>0.14000000000000001</v>
      </c>
      <c r="K104" s="64">
        <v>172.26</v>
      </c>
      <c r="L104" s="64">
        <v>26.22</v>
      </c>
      <c r="M104" s="64">
        <v>102.83</v>
      </c>
      <c r="N104" s="64">
        <v>50.9</v>
      </c>
      <c r="O104" s="64">
        <v>0</v>
      </c>
      <c r="P104" s="64">
        <v>1.07</v>
      </c>
      <c r="Q104" s="64">
        <v>10.25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2.91</v>
      </c>
      <c r="D106" s="67">
        <f t="shared" ref="D106:Q106" si="0">MIN(D9:D104)</f>
        <v>11.66</v>
      </c>
      <c r="E106" s="67">
        <f t="shared" si="0"/>
        <v>2.84</v>
      </c>
      <c r="F106" s="67">
        <f t="shared" si="0"/>
        <v>2.13</v>
      </c>
      <c r="G106" s="67">
        <f t="shared" si="0"/>
        <v>18.18</v>
      </c>
      <c r="H106" s="67">
        <f t="shared" si="0"/>
        <v>5.84</v>
      </c>
      <c r="I106" s="67">
        <f t="shared" si="0"/>
        <v>1.63</v>
      </c>
      <c r="J106" s="67">
        <f t="shared" si="0"/>
        <v>0.02</v>
      </c>
      <c r="K106" s="67">
        <f t="shared" si="0"/>
        <v>5.05</v>
      </c>
      <c r="L106" s="67">
        <f t="shared" si="0"/>
        <v>25.02</v>
      </c>
      <c r="M106" s="67">
        <f t="shared" si="0"/>
        <v>90.62</v>
      </c>
      <c r="N106" s="67">
        <f t="shared" si="0"/>
        <v>50.5</v>
      </c>
      <c r="O106" s="67">
        <f t="shared" si="0"/>
        <v>0</v>
      </c>
      <c r="P106" s="67">
        <f t="shared" si="0"/>
        <v>0.31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8.58</v>
      </c>
      <c r="C107" s="66">
        <f t="shared" ref="C107:Q107" si="1">MAX(C9:C104)</f>
        <v>3.84</v>
      </c>
      <c r="D107" s="66">
        <f t="shared" si="1"/>
        <v>12.66</v>
      </c>
      <c r="E107" s="66">
        <f t="shared" si="1"/>
        <v>5.34</v>
      </c>
      <c r="F107" s="66">
        <f t="shared" si="1"/>
        <v>4.6500000000000004</v>
      </c>
      <c r="G107" s="66">
        <f t="shared" si="1"/>
        <v>144.56</v>
      </c>
      <c r="H107" s="66">
        <f t="shared" si="1"/>
        <v>30.85</v>
      </c>
      <c r="I107" s="66">
        <f t="shared" si="1"/>
        <v>6.99</v>
      </c>
      <c r="J107" s="66">
        <f t="shared" si="1"/>
        <v>1.92</v>
      </c>
      <c r="K107" s="66">
        <f t="shared" si="1"/>
        <v>356.81</v>
      </c>
      <c r="L107" s="66">
        <f t="shared" si="1"/>
        <v>29.75</v>
      </c>
      <c r="M107" s="66">
        <f t="shared" si="1"/>
        <v>104.23</v>
      </c>
      <c r="N107" s="66">
        <f t="shared" si="1"/>
        <v>366.1</v>
      </c>
      <c r="O107" s="66">
        <f t="shared" si="1"/>
        <v>1.4</v>
      </c>
      <c r="P107" s="66">
        <f t="shared" si="1"/>
        <v>1.1399999999999999</v>
      </c>
      <c r="Q107" s="66">
        <f t="shared" si="1"/>
        <v>10.26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8.0362500000000008</v>
      </c>
      <c r="C108" s="67">
        <f t="shared" ref="C108:Q108" si="2">AVERAGE(C9:C104)</f>
        <v>3.089375</v>
      </c>
      <c r="D108" s="67">
        <f t="shared" si="2"/>
        <v>11.832500000000003</v>
      </c>
      <c r="E108" s="67">
        <f t="shared" si="2"/>
        <v>4.0895833333333345</v>
      </c>
      <c r="F108" s="67">
        <f t="shared" si="2"/>
        <v>3.4080208333333331</v>
      </c>
      <c r="G108" s="67">
        <f t="shared" si="2"/>
        <v>50.984062499999993</v>
      </c>
      <c r="H108" s="67">
        <f t="shared" si="2"/>
        <v>15.082395833333337</v>
      </c>
      <c r="I108" s="67">
        <f t="shared" si="2"/>
        <v>3.3017708333333342</v>
      </c>
      <c r="J108" s="67">
        <f t="shared" si="2"/>
        <v>0.38677083333333345</v>
      </c>
      <c r="K108" s="67">
        <f t="shared" si="2"/>
        <v>274.27895833333326</v>
      </c>
      <c r="L108" s="67">
        <f t="shared" si="2"/>
        <v>26.214791666666674</v>
      </c>
      <c r="M108" s="67">
        <f t="shared" si="2"/>
        <v>101.85072916666667</v>
      </c>
      <c r="N108" s="67">
        <f t="shared" si="2"/>
        <v>118.61979166666664</v>
      </c>
      <c r="O108" s="67">
        <f t="shared" si="2"/>
        <v>3.9583333333333338E-2</v>
      </c>
      <c r="P108" s="67">
        <f t="shared" si="2"/>
        <v>0.56708333333333338</v>
      </c>
      <c r="Q108" s="67">
        <f t="shared" si="2"/>
        <v>9.5573958333333326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0.10641774683813439</v>
      </c>
      <c r="C109" s="67">
        <f t="shared" ref="C109:Q109" si="3">STDEV(C9:C104)</f>
        <v>0.14517367094911565</v>
      </c>
      <c r="D109" s="67">
        <f t="shared" si="3"/>
        <v>0.1600526229252841</v>
      </c>
      <c r="E109" s="67">
        <f t="shared" si="3"/>
        <v>0.59959269801153903</v>
      </c>
      <c r="F109" s="67">
        <f t="shared" si="3"/>
        <v>0.58829927899553758</v>
      </c>
      <c r="G109" s="67">
        <f t="shared" si="3"/>
        <v>38.44561051060181</v>
      </c>
      <c r="H109" s="67">
        <f t="shared" si="3"/>
        <v>6.7188660924282662</v>
      </c>
      <c r="I109" s="67">
        <f t="shared" si="3"/>
        <v>1.584079340644317</v>
      </c>
      <c r="J109" s="67">
        <f t="shared" si="3"/>
        <v>0.44307417649553082</v>
      </c>
      <c r="K109" s="67">
        <f t="shared" si="3"/>
        <v>94.619855705028371</v>
      </c>
      <c r="L109" s="67">
        <f t="shared" si="3"/>
        <v>1.1112032162117325</v>
      </c>
      <c r="M109" s="67">
        <f t="shared" si="3"/>
        <v>2.5606496892664459</v>
      </c>
      <c r="N109" s="67">
        <f t="shared" si="3"/>
        <v>83.514762161569493</v>
      </c>
      <c r="O109" s="67">
        <f t="shared" si="3"/>
        <v>0.16317840844442669</v>
      </c>
      <c r="P109" s="67">
        <f t="shared" si="3"/>
        <v>0.2626140520819043</v>
      </c>
      <c r="Q109" s="67">
        <f t="shared" si="3"/>
        <v>0.31129692980942164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1781</v>
      </c>
      <c r="B9" s="64">
        <v>8.7100000000000009</v>
      </c>
      <c r="C9" s="64">
        <v>4.03</v>
      </c>
      <c r="D9" s="64">
        <v>12.87</v>
      </c>
      <c r="E9" s="64">
        <v>4.5199999999999996</v>
      </c>
      <c r="F9" s="64">
        <v>2.5499999999999998</v>
      </c>
      <c r="G9" s="64">
        <v>118.82</v>
      </c>
      <c r="H9" s="64">
        <v>22.22</v>
      </c>
      <c r="I9" s="64">
        <v>6.76</v>
      </c>
      <c r="J9" s="64">
        <v>0.14000000000000001</v>
      </c>
      <c r="K9" s="64">
        <v>247.15</v>
      </c>
      <c r="L9" s="64">
        <v>26.18</v>
      </c>
      <c r="M9" s="64">
        <v>102.96</v>
      </c>
      <c r="N9" s="64">
        <v>50.9</v>
      </c>
      <c r="O9" s="64">
        <v>0</v>
      </c>
      <c r="P9" s="64">
        <v>0.9</v>
      </c>
      <c r="Q9" s="64">
        <v>10.220000000000001</v>
      </c>
      <c r="R9" s="198"/>
      <c r="S9" s="198"/>
      <c r="T9" s="198"/>
      <c r="U9" s="198"/>
    </row>
    <row r="10" spans="1:21" s="12" customFormat="1" x14ac:dyDescent="0.25">
      <c r="A10" s="248" t="s">
        <v>1782</v>
      </c>
      <c r="B10" s="64">
        <v>8.1999999999999993</v>
      </c>
      <c r="C10" s="64">
        <v>3.3</v>
      </c>
      <c r="D10" s="64">
        <v>12.08</v>
      </c>
      <c r="E10" s="64">
        <v>4.13</v>
      </c>
      <c r="F10" s="64">
        <v>3.31</v>
      </c>
      <c r="G10" s="64">
        <v>118.82</v>
      </c>
      <c r="H10" s="64">
        <v>22.22</v>
      </c>
      <c r="I10" s="64">
        <v>6.76</v>
      </c>
      <c r="J10" s="64">
        <v>0.19</v>
      </c>
      <c r="K10" s="64">
        <v>259.99</v>
      </c>
      <c r="L10" s="64">
        <v>26.27</v>
      </c>
      <c r="M10" s="64">
        <v>102.99</v>
      </c>
      <c r="N10" s="64">
        <v>50.9</v>
      </c>
      <c r="O10" s="64">
        <v>0</v>
      </c>
      <c r="P10" s="64">
        <v>0.93</v>
      </c>
      <c r="Q10" s="64">
        <v>10.19</v>
      </c>
      <c r="R10" s="198"/>
      <c r="S10" s="198"/>
      <c r="T10" s="198"/>
      <c r="U10" s="198"/>
    </row>
    <row r="11" spans="1:21" s="12" customFormat="1" x14ac:dyDescent="0.25">
      <c r="A11" s="248" t="s">
        <v>1783</v>
      </c>
      <c r="B11" s="64">
        <v>8.16</v>
      </c>
      <c r="C11" s="64">
        <v>3.25</v>
      </c>
      <c r="D11" s="64">
        <v>12.02</v>
      </c>
      <c r="E11" s="64">
        <v>4.1500000000000004</v>
      </c>
      <c r="F11" s="64">
        <v>4.28</v>
      </c>
      <c r="G11" s="64">
        <v>118.82</v>
      </c>
      <c r="H11" s="64">
        <v>22.22</v>
      </c>
      <c r="I11" s="64">
        <v>6.68</v>
      </c>
      <c r="J11" s="64">
        <v>0.2</v>
      </c>
      <c r="K11" s="64">
        <v>327.11</v>
      </c>
      <c r="L11" s="64">
        <v>26.25</v>
      </c>
      <c r="M11" s="64">
        <v>103.12</v>
      </c>
      <c r="N11" s="64">
        <v>51.1</v>
      </c>
      <c r="O11" s="64">
        <v>0</v>
      </c>
      <c r="P11" s="64">
        <v>0.91</v>
      </c>
      <c r="Q11" s="64">
        <v>10.17</v>
      </c>
      <c r="R11" s="198"/>
      <c r="S11" s="198"/>
      <c r="T11" s="198"/>
      <c r="U11" s="198"/>
    </row>
    <row r="12" spans="1:21" s="12" customFormat="1" x14ac:dyDescent="0.25">
      <c r="A12" s="248" t="s">
        <v>1784</v>
      </c>
      <c r="B12" s="64">
        <v>8.1300000000000008</v>
      </c>
      <c r="C12" s="64">
        <v>3.16</v>
      </c>
      <c r="D12" s="64">
        <v>11.95</v>
      </c>
      <c r="E12" s="64">
        <v>4.41</v>
      </c>
      <c r="F12" s="64">
        <v>3.62</v>
      </c>
      <c r="G12" s="64">
        <v>100.15</v>
      </c>
      <c r="H12" s="64">
        <v>19.190000000000001</v>
      </c>
      <c r="I12" s="64">
        <v>6.53</v>
      </c>
      <c r="J12" s="64">
        <v>0.15</v>
      </c>
      <c r="K12" s="64">
        <v>321.44</v>
      </c>
      <c r="L12" s="64">
        <v>26.41</v>
      </c>
      <c r="M12" s="64">
        <v>103.19</v>
      </c>
      <c r="N12" s="64">
        <v>51</v>
      </c>
      <c r="O12" s="64">
        <v>0</v>
      </c>
      <c r="P12" s="64">
        <v>0.88</v>
      </c>
      <c r="Q12" s="64">
        <v>10.119999999999999</v>
      </c>
      <c r="R12" s="198"/>
      <c r="S12" s="198"/>
      <c r="T12" s="198"/>
      <c r="U12" s="198"/>
    </row>
    <row r="13" spans="1:21" s="12" customFormat="1" x14ac:dyDescent="0.25">
      <c r="A13" s="248" t="s">
        <v>1785</v>
      </c>
      <c r="B13" s="64">
        <v>8.1300000000000008</v>
      </c>
      <c r="C13" s="64">
        <v>3.18</v>
      </c>
      <c r="D13" s="64">
        <v>11.96</v>
      </c>
      <c r="E13" s="64">
        <v>4.2</v>
      </c>
      <c r="F13" s="64">
        <v>4</v>
      </c>
      <c r="G13" s="64">
        <v>92.57</v>
      </c>
      <c r="H13" s="64">
        <v>17.96</v>
      </c>
      <c r="I13" s="64">
        <v>6.41</v>
      </c>
      <c r="J13" s="64">
        <v>0.12</v>
      </c>
      <c r="K13" s="64">
        <v>326.13</v>
      </c>
      <c r="L13" s="64">
        <v>26.37</v>
      </c>
      <c r="M13" s="64">
        <v>103.1</v>
      </c>
      <c r="N13" s="64">
        <v>51</v>
      </c>
      <c r="O13" s="64">
        <v>0</v>
      </c>
      <c r="P13" s="64">
        <v>0.84</v>
      </c>
      <c r="Q13" s="64">
        <v>10.1</v>
      </c>
      <c r="R13" s="198"/>
      <c r="S13" s="198"/>
      <c r="T13" s="198"/>
      <c r="U13" s="198"/>
    </row>
    <row r="14" spans="1:21" s="12" customFormat="1" x14ac:dyDescent="0.25">
      <c r="A14" s="248" t="s">
        <v>1786</v>
      </c>
      <c r="B14" s="64">
        <v>8.1199999999999992</v>
      </c>
      <c r="C14" s="64">
        <v>3.18</v>
      </c>
      <c r="D14" s="64">
        <v>11.94</v>
      </c>
      <c r="E14" s="64">
        <v>4.05</v>
      </c>
      <c r="F14" s="64">
        <v>3.54</v>
      </c>
      <c r="G14" s="64">
        <v>92.57</v>
      </c>
      <c r="H14" s="64">
        <v>17.96</v>
      </c>
      <c r="I14" s="64">
        <v>6.21</v>
      </c>
      <c r="J14" s="64">
        <v>0.18</v>
      </c>
      <c r="K14" s="64">
        <v>343.34</v>
      </c>
      <c r="L14" s="64">
        <v>26.35</v>
      </c>
      <c r="M14" s="64">
        <v>103.09</v>
      </c>
      <c r="N14" s="64">
        <v>50.9</v>
      </c>
      <c r="O14" s="64">
        <v>0</v>
      </c>
      <c r="P14" s="64">
        <v>0.8</v>
      </c>
      <c r="Q14" s="64">
        <v>10.08</v>
      </c>
      <c r="R14" s="198"/>
      <c r="S14" s="198"/>
      <c r="T14" s="198"/>
      <c r="U14" s="198"/>
    </row>
    <row r="15" spans="1:21" s="12" customFormat="1" x14ac:dyDescent="0.25">
      <c r="A15" s="248" t="s">
        <v>1787</v>
      </c>
      <c r="B15" s="64">
        <v>8.07</v>
      </c>
      <c r="C15" s="64">
        <v>3.08</v>
      </c>
      <c r="D15" s="64">
        <v>11.85</v>
      </c>
      <c r="E15" s="64">
        <v>4.45</v>
      </c>
      <c r="F15" s="64">
        <v>2.97</v>
      </c>
      <c r="G15" s="64">
        <v>92.57</v>
      </c>
      <c r="H15" s="64">
        <v>17.96</v>
      </c>
      <c r="I15" s="64">
        <v>5.9</v>
      </c>
      <c r="J15" s="64">
        <v>0.22</v>
      </c>
      <c r="K15" s="64">
        <v>324.11</v>
      </c>
      <c r="L15" s="64">
        <v>26.18</v>
      </c>
      <c r="M15" s="64">
        <v>102.96</v>
      </c>
      <c r="N15" s="64">
        <v>50.8</v>
      </c>
      <c r="O15" s="64">
        <v>0</v>
      </c>
      <c r="P15" s="64">
        <v>0.78</v>
      </c>
      <c r="Q15" s="64">
        <v>10.029999999999999</v>
      </c>
      <c r="R15" s="198"/>
      <c r="S15" s="198"/>
      <c r="T15" s="198"/>
      <c r="U15" s="198"/>
    </row>
    <row r="16" spans="1:21" s="12" customFormat="1" x14ac:dyDescent="0.25">
      <c r="A16" s="248" t="s">
        <v>1788</v>
      </c>
      <c r="B16" s="64">
        <v>8.08</v>
      </c>
      <c r="C16" s="64">
        <v>3.12</v>
      </c>
      <c r="D16" s="64">
        <v>11.88</v>
      </c>
      <c r="E16" s="64">
        <v>4.5599999999999996</v>
      </c>
      <c r="F16" s="64">
        <v>3.33</v>
      </c>
      <c r="G16" s="64">
        <v>80.33</v>
      </c>
      <c r="H16" s="64">
        <v>14.13</v>
      </c>
      <c r="I16" s="64">
        <v>5.67</v>
      </c>
      <c r="J16" s="64">
        <v>0.17</v>
      </c>
      <c r="K16" s="64">
        <v>295.38</v>
      </c>
      <c r="L16" s="64">
        <v>25.95</v>
      </c>
      <c r="M16" s="64">
        <v>102.92</v>
      </c>
      <c r="N16" s="64">
        <v>50.7</v>
      </c>
      <c r="O16" s="64">
        <v>0</v>
      </c>
      <c r="P16" s="64">
        <v>0.76</v>
      </c>
      <c r="Q16" s="64">
        <v>9.9700000000000006</v>
      </c>
      <c r="R16" s="198"/>
      <c r="S16" s="198"/>
      <c r="T16" s="198"/>
      <c r="U16" s="198"/>
    </row>
    <row r="17" spans="1:21" s="12" customFormat="1" x14ac:dyDescent="0.25">
      <c r="A17" s="248" t="s">
        <v>1789</v>
      </c>
      <c r="B17" s="64">
        <v>8.0500000000000007</v>
      </c>
      <c r="C17" s="64">
        <v>3.08</v>
      </c>
      <c r="D17" s="64">
        <v>11.84</v>
      </c>
      <c r="E17" s="64">
        <v>4.38</v>
      </c>
      <c r="F17" s="64">
        <v>3.34</v>
      </c>
      <c r="G17" s="64">
        <v>75.09</v>
      </c>
      <c r="H17" s="64">
        <v>12.57</v>
      </c>
      <c r="I17" s="64">
        <v>5.6</v>
      </c>
      <c r="J17" s="64">
        <v>0.14000000000000001</v>
      </c>
      <c r="K17" s="64">
        <v>323.18</v>
      </c>
      <c r="L17" s="64">
        <v>25.79</v>
      </c>
      <c r="M17" s="64">
        <v>102.99</v>
      </c>
      <c r="N17" s="64">
        <v>50.5</v>
      </c>
      <c r="O17" s="64">
        <v>0</v>
      </c>
      <c r="P17" s="64">
        <v>0.74</v>
      </c>
      <c r="Q17" s="64">
        <v>9.9600000000000009</v>
      </c>
      <c r="R17" s="198"/>
      <c r="S17" s="198"/>
      <c r="T17" s="198"/>
      <c r="U17" s="198"/>
    </row>
    <row r="18" spans="1:21" s="12" customFormat="1" x14ac:dyDescent="0.25">
      <c r="A18" s="248" t="s">
        <v>1790</v>
      </c>
      <c r="B18" s="64">
        <v>8.0299999999999994</v>
      </c>
      <c r="C18" s="64">
        <v>3.03</v>
      </c>
      <c r="D18" s="64">
        <v>11.8</v>
      </c>
      <c r="E18" s="64">
        <v>4.2300000000000004</v>
      </c>
      <c r="F18" s="64">
        <v>3.05</v>
      </c>
      <c r="G18" s="64">
        <v>75.09</v>
      </c>
      <c r="H18" s="64">
        <v>12.57</v>
      </c>
      <c r="I18" s="64">
        <v>5.57</v>
      </c>
      <c r="J18" s="64">
        <v>0.15</v>
      </c>
      <c r="K18" s="64">
        <v>315.97000000000003</v>
      </c>
      <c r="L18" s="64">
        <v>25.73</v>
      </c>
      <c r="M18" s="64">
        <v>102.85</v>
      </c>
      <c r="N18" s="64">
        <v>50.5</v>
      </c>
      <c r="O18" s="64">
        <v>0</v>
      </c>
      <c r="P18" s="64">
        <v>0.72</v>
      </c>
      <c r="Q18" s="64">
        <v>9.91</v>
      </c>
      <c r="R18" s="198"/>
      <c r="S18" s="198"/>
      <c r="T18" s="198"/>
      <c r="U18" s="198"/>
    </row>
    <row r="19" spans="1:21" s="12" customFormat="1" x14ac:dyDescent="0.25">
      <c r="A19" s="248" t="s">
        <v>1791</v>
      </c>
      <c r="B19" s="64">
        <v>8.08</v>
      </c>
      <c r="C19" s="64">
        <v>3.14</v>
      </c>
      <c r="D19" s="64">
        <v>11.9</v>
      </c>
      <c r="E19" s="64">
        <v>4.32</v>
      </c>
      <c r="F19" s="64">
        <v>4.26</v>
      </c>
      <c r="G19" s="64">
        <v>75.09</v>
      </c>
      <c r="H19" s="64">
        <v>12.57</v>
      </c>
      <c r="I19" s="64">
        <v>5.59</v>
      </c>
      <c r="J19" s="64">
        <v>0.14000000000000001</v>
      </c>
      <c r="K19" s="64">
        <v>317.42</v>
      </c>
      <c r="L19" s="64">
        <v>25.72</v>
      </c>
      <c r="M19" s="64">
        <v>102.88</v>
      </c>
      <c r="N19" s="64">
        <v>50.5</v>
      </c>
      <c r="O19" s="64">
        <v>0</v>
      </c>
      <c r="P19" s="64">
        <v>0.72</v>
      </c>
      <c r="Q19" s="64">
        <v>9.8800000000000008</v>
      </c>
      <c r="R19" s="198"/>
      <c r="S19" s="198"/>
      <c r="T19" s="198"/>
      <c r="U19" s="198"/>
    </row>
    <row r="20" spans="1:21" s="12" customFormat="1" x14ac:dyDescent="0.25">
      <c r="A20" s="248" t="s">
        <v>1792</v>
      </c>
      <c r="B20" s="64">
        <v>8</v>
      </c>
      <c r="C20" s="64">
        <v>3.03</v>
      </c>
      <c r="D20" s="64">
        <v>11.77</v>
      </c>
      <c r="E20" s="64">
        <v>3.75</v>
      </c>
      <c r="F20" s="64">
        <v>3.01</v>
      </c>
      <c r="G20" s="64">
        <v>70.010000000000005</v>
      </c>
      <c r="H20" s="64">
        <v>24.57</v>
      </c>
      <c r="I20" s="64">
        <v>5.52</v>
      </c>
      <c r="J20" s="64">
        <v>7.0000000000000007E-2</v>
      </c>
      <c r="K20" s="64">
        <v>284.88</v>
      </c>
      <c r="L20" s="64">
        <v>25.77</v>
      </c>
      <c r="M20" s="64">
        <v>102.73</v>
      </c>
      <c r="N20" s="64">
        <v>50.7</v>
      </c>
      <c r="O20" s="64">
        <v>0</v>
      </c>
      <c r="P20" s="64">
        <v>0.7</v>
      </c>
      <c r="Q20" s="64">
        <v>9.85</v>
      </c>
      <c r="R20" s="198"/>
      <c r="S20" s="198"/>
      <c r="T20" s="198"/>
      <c r="U20" s="198"/>
    </row>
    <row r="21" spans="1:21" s="12" customFormat="1" x14ac:dyDescent="0.25">
      <c r="A21" s="248" t="s">
        <v>1793</v>
      </c>
      <c r="B21" s="64">
        <v>8.08</v>
      </c>
      <c r="C21" s="64">
        <v>3.15</v>
      </c>
      <c r="D21" s="64">
        <v>11.9</v>
      </c>
      <c r="E21" s="64">
        <v>4.21</v>
      </c>
      <c r="F21" s="64">
        <v>3.15</v>
      </c>
      <c r="G21" s="64">
        <v>67.83</v>
      </c>
      <c r="H21" s="64">
        <v>24.57</v>
      </c>
      <c r="I21" s="64">
        <v>5.45</v>
      </c>
      <c r="J21" s="64">
        <v>0.18</v>
      </c>
      <c r="K21" s="64">
        <v>243.27</v>
      </c>
      <c r="L21" s="64">
        <v>25.73</v>
      </c>
      <c r="M21" s="64">
        <v>102.67</v>
      </c>
      <c r="N21" s="64">
        <v>50.8</v>
      </c>
      <c r="O21" s="64">
        <v>0</v>
      </c>
      <c r="P21" s="64">
        <v>0.68</v>
      </c>
      <c r="Q21" s="64">
        <v>9.7899999999999991</v>
      </c>
      <c r="R21" s="198"/>
      <c r="S21" s="198"/>
      <c r="T21" s="198"/>
      <c r="U21" s="198"/>
    </row>
    <row r="22" spans="1:21" s="12" customFormat="1" x14ac:dyDescent="0.25">
      <c r="A22" s="248" t="s">
        <v>1794</v>
      </c>
      <c r="B22" s="64">
        <v>8.01</v>
      </c>
      <c r="C22" s="64">
        <v>3.09</v>
      </c>
      <c r="D22" s="64">
        <v>11.81</v>
      </c>
      <c r="E22" s="64">
        <v>4.08</v>
      </c>
      <c r="F22" s="64">
        <v>4.26</v>
      </c>
      <c r="G22" s="64">
        <v>67.83</v>
      </c>
      <c r="H22" s="64">
        <v>19.57</v>
      </c>
      <c r="I22" s="64">
        <v>5.28</v>
      </c>
      <c r="J22" s="64">
        <v>0.17</v>
      </c>
      <c r="K22" s="64">
        <v>256.68</v>
      </c>
      <c r="L22" s="64">
        <v>25.7</v>
      </c>
      <c r="M22" s="64">
        <v>102.72</v>
      </c>
      <c r="N22" s="64">
        <v>50.8</v>
      </c>
      <c r="O22" s="64">
        <v>0</v>
      </c>
      <c r="P22" s="64">
        <v>0.67</v>
      </c>
      <c r="Q22" s="64">
        <v>9.8000000000000007</v>
      </c>
      <c r="R22" s="198"/>
      <c r="S22" s="198"/>
      <c r="T22" s="198"/>
      <c r="U22" s="198"/>
    </row>
    <row r="23" spans="1:21" s="12" customFormat="1" x14ac:dyDescent="0.25">
      <c r="A23" s="248" t="s">
        <v>1795</v>
      </c>
      <c r="B23" s="64">
        <v>8</v>
      </c>
      <c r="C23" s="64">
        <v>3.06</v>
      </c>
      <c r="D23" s="64">
        <v>11.79</v>
      </c>
      <c r="E23" s="64">
        <v>4.01</v>
      </c>
      <c r="F23" s="64">
        <v>2.2799999999999998</v>
      </c>
      <c r="G23" s="64">
        <v>67.83</v>
      </c>
      <c r="H23" s="64">
        <v>19.57</v>
      </c>
      <c r="I23" s="64">
        <v>5.17</v>
      </c>
      <c r="J23" s="64">
        <v>0.06</v>
      </c>
      <c r="K23" s="64">
        <v>306.11</v>
      </c>
      <c r="L23" s="64">
        <v>25.73</v>
      </c>
      <c r="M23" s="64">
        <v>102.73</v>
      </c>
      <c r="N23" s="64">
        <v>50.8</v>
      </c>
      <c r="O23" s="64">
        <v>0</v>
      </c>
      <c r="P23" s="64">
        <v>0.66</v>
      </c>
      <c r="Q23" s="64">
        <v>9.73</v>
      </c>
      <c r="R23" s="198"/>
      <c r="S23" s="198"/>
      <c r="T23" s="198"/>
      <c r="U23" s="198"/>
    </row>
    <row r="24" spans="1:21" s="12" customFormat="1" x14ac:dyDescent="0.25">
      <c r="A24" s="248" t="s">
        <v>1796</v>
      </c>
      <c r="B24" s="64">
        <v>8.0399999999999991</v>
      </c>
      <c r="C24" s="64">
        <v>3.08</v>
      </c>
      <c r="D24" s="64">
        <v>11.83</v>
      </c>
      <c r="E24" s="64">
        <v>4</v>
      </c>
      <c r="F24" s="64">
        <v>3.81</v>
      </c>
      <c r="G24" s="64">
        <v>67.64</v>
      </c>
      <c r="H24" s="64">
        <v>18.57</v>
      </c>
      <c r="I24" s="64">
        <v>5.18</v>
      </c>
      <c r="J24" s="64">
        <v>0.18</v>
      </c>
      <c r="K24" s="64">
        <v>353.32</v>
      </c>
      <c r="L24" s="64">
        <v>25.67</v>
      </c>
      <c r="M24" s="64">
        <v>102.89</v>
      </c>
      <c r="N24" s="64">
        <v>50.7</v>
      </c>
      <c r="O24" s="64">
        <v>0</v>
      </c>
      <c r="P24" s="64">
        <v>0.65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48" t="s">
        <v>1797</v>
      </c>
      <c r="B25" s="64">
        <v>8.02</v>
      </c>
      <c r="C25" s="64">
        <v>3.07</v>
      </c>
      <c r="D25" s="64">
        <v>11.81</v>
      </c>
      <c r="E25" s="64">
        <v>3.71</v>
      </c>
      <c r="F25" s="64">
        <v>3.08</v>
      </c>
      <c r="G25" s="64">
        <v>67.56</v>
      </c>
      <c r="H25" s="64">
        <v>20.57</v>
      </c>
      <c r="I25" s="64">
        <v>5.08</v>
      </c>
      <c r="J25" s="64">
        <v>0.11</v>
      </c>
      <c r="K25" s="64">
        <v>302.22000000000003</v>
      </c>
      <c r="L25" s="64">
        <v>25.62</v>
      </c>
      <c r="M25" s="64">
        <v>102.86</v>
      </c>
      <c r="N25" s="64">
        <v>50.9</v>
      </c>
      <c r="O25" s="64">
        <v>0</v>
      </c>
      <c r="P25" s="64">
        <v>0.64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48" t="s">
        <v>1798</v>
      </c>
      <c r="B26" s="64">
        <v>8</v>
      </c>
      <c r="C26" s="64">
        <v>3.05</v>
      </c>
      <c r="D26" s="64">
        <v>11.78</v>
      </c>
      <c r="E26" s="64">
        <v>4.07</v>
      </c>
      <c r="F26" s="64">
        <v>2.5499999999999998</v>
      </c>
      <c r="G26" s="64">
        <v>67.56</v>
      </c>
      <c r="H26" s="64">
        <v>12.57</v>
      </c>
      <c r="I26" s="64">
        <v>5.03</v>
      </c>
      <c r="J26" s="64">
        <v>0.13</v>
      </c>
      <c r="K26" s="64">
        <v>324.95999999999998</v>
      </c>
      <c r="L26" s="64">
        <v>25.62</v>
      </c>
      <c r="M26" s="64">
        <v>102.84</v>
      </c>
      <c r="N26" s="64">
        <v>50.7</v>
      </c>
      <c r="O26" s="64">
        <v>0</v>
      </c>
      <c r="P26" s="64">
        <v>0.62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48" t="s">
        <v>1799</v>
      </c>
      <c r="B27" s="64">
        <v>8.0500000000000007</v>
      </c>
      <c r="C27" s="64">
        <v>3.1</v>
      </c>
      <c r="D27" s="64">
        <v>11.85</v>
      </c>
      <c r="E27" s="64">
        <v>3.73</v>
      </c>
      <c r="F27" s="64">
        <v>4.9000000000000004</v>
      </c>
      <c r="G27" s="64">
        <v>67.56</v>
      </c>
      <c r="H27" s="64">
        <v>12.57</v>
      </c>
      <c r="I27" s="64">
        <v>4.9800000000000004</v>
      </c>
      <c r="J27" s="64">
        <v>0.15</v>
      </c>
      <c r="K27" s="64">
        <v>338.01</v>
      </c>
      <c r="L27" s="64">
        <v>25.61</v>
      </c>
      <c r="M27" s="64">
        <v>102.75</v>
      </c>
      <c r="N27" s="64">
        <v>50.7</v>
      </c>
      <c r="O27" s="64">
        <v>0</v>
      </c>
      <c r="P27" s="64">
        <v>0.61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48" t="s">
        <v>1800</v>
      </c>
      <c r="B28" s="64">
        <v>7.96</v>
      </c>
      <c r="C28" s="64">
        <v>2.97</v>
      </c>
      <c r="D28" s="64">
        <v>11.71</v>
      </c>
      <c r="E28" s="64">
        <v>3.99</v>
      </c>
      <c r="F28" s="64">
        <v>2.4700000000000002</v>
      </c>
      <c r="G28" s="64">
        <v>61.97</v>
      </c>
      <c r="H28" s="64">
        <v>12.57</v>
      </c>
      <c r="I28" s="64">
        <v>4.8</v>
      </c>
      <c r="J28" s="64">
        <v>0.15</v>
      </c>
      <c r="K28" s="64">
        <v>336.82</v>
      </c>
      <c r="L28" s="64">
        <v>25.65</v>
      </c>
      <c r="M28" s="64">
        <v>102.53</v>
      </c>
      <c r="N28" s="64">
        <v>50.7</v>
      </c>
      <c r="O28" s="64">
        <v>0</v>
      </c>
      <c r="P28" s="64">
        <v>0.57999999999999996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48" t="s">
        <v>1801</v>
      </c>
      <c r="B29" s="64">
        <v>7.95</v>
      </c>
      <c r="C29" s="64">
        <v>2.99</v>
      </c>
      <c r="D29" s="64">
        <v>11.71</v>
      </c>
      <c r="E29" s="64">
        <v>3.63</v>
      </c>
      <c r="F29" s="64">
        <v>3.42</v>
      </c>
      <c r="G29" s="64">
        <v>59.57</v>
      </c>
      <c r="H29" s="64">
        <v>20.98</v>
      </c>
      <c r="I29" s="64">
        <v>4.79</v>
      </c>
      <c r="J29" s="64">
        <v>0.21</v>
      </c>
      <c r="K29" s="64">
        <v>353.01</v>
      </c>
      <c r="L29" s="64">
        <v>25.71</v>
      </c>
      <c r="M29" s="64">
        <v>102.43</v>
      </c>
      <c r="N29" s="64">
        <v>50.6</v>
      </c>
      <c r="O29" s="64">
        <v>0</v>
      </c>
      <c r="P29" s="64">
        <v>0.55000000000000004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48" t="s">
        <v>1802</v>
      </c>
      <c r="B30" s="64">
        <v>7.98</v>
      </c>
      <c r="C30" s="64">
        <v>3.02</v>
      </c>
      <c r="D30" s="64">
        <v>11.75</v>
      </c>
      <c r="E30" s="64">
        <v>3.78</v>
      </c>
      <c r="F30" s="64">
        <v>3.1</v>
      </c>
      <c r="G30" s="64">
        <v>59.57</v>
      </c>
      <c r="H30" s="64">
        <v>20.98</v>
      </c>
      <c r="I30" s="64">
        <v>4.59</v>
      </c>
      <c r="J30" s="64">
        <v>0.21</v>
      </c>
      <c r="K30" s="64">
        <v>321.39</v>
      </c>
      <c r="L30" s="64">
        <v>25.72</v>
      </c>
      <c r="M30" s="64">
        <v>102.4</v>
      </c>
      <c r="N30" s="64">
        <v>50.8</v>
      </c>
      <c r="O30" s="64">
        <v>0</v>
      </c>
      <c r="P30" s="64">
        <v>0.53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48" t="s">
        <v>1803</v>
      </c>
      <c r="B31" s="64">
        <v>8.02</v>
      </c>
      <c r="C31" s="64">
        <v>3.07</v>
      </c>
      <c r="D31" s="64">
        <v>11.81</v>
      </c>
      <c r="E31" s="64">
        <v>3.76</v>
      </c>
      <c r="F31" s="64">
        <v>3.24</v>
      </c>
      <c r="G31" s="64">
        <v>59.57</v>
      </c>
      <c r="H31" s="64">
        <v>20.98</v>
      </c>
      <c r="I31" s="64">
        <v>4.38</v>
      </c>
      <c r="J31" s="64">
        <v>0.21</v>
      </c>
      <c r="K31" s="64">
        <v>332.2</v>
      </c>
      <c r="L31" s="64">
        <v>25.78</v>
      </c>
      <c r="M31" s="64">
        <v>102.39</v>
      </c>
      <c r="N31" s="64">
        <v>51.7</v>
      </c>
      <c r="O31" s="64">
        <v>0</v>
      </c>
      <c r="P31" s="64">
        <v>0.51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48" t="s">
        <v>1804</v>
      </c>
      <c r="B32" s="64">
        <v>8.01</v>
      </c>
      <c r="C32" s="64">
        <v>3.06</v>
      </c>
      <c r="D32" s="64">
        <v>11.79</v>
      </c>
      <c r="E32" s="64">
        <v>3.81</v>
      </c>
      <c r="F32" s="64">
        <v>3.35</v>
      </c>
      <c r="G32" s="64">
        <v>56.87</v>
      </c>
      <c r="H32" s="64">
        <v>23.24</v>
      </c>
      <c r="I32" s="64">
        <v>4.16</v>
      </c>
      <c r="J32" s="64">
        <v>0.17</v>
      </c>
      <c r="K32" s="64">
        <v>329.38</v>
      </c>
      <c r="L32" s="64">
        <v>25.8</v>
      </c>
      <c r="M32" s="64">
        <v>102.38</v>
      </c>
      <c r="N32" s="64">
        <v>55.4</v>
      </c>
      <c r="O32" s="64">
        <v>0</v>
      </c>
      <c r="P32" s="64">
        <v>0.49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48" t="s">
        <v>1805</v>
      </c>
      <c r="B33" s="64">
        <v>8.02</v>
      </c>
      <c r="C33" s="64">
        <v>3.01</v>
      </c>
      <c r="D33" s="64">
        <v>11.78</v>
      </c>
      <c r="E33" s="64">
        <v>3.37</v>
      </c>
      <c r="F33" s="64">
        <v>3.36</v>
      </c>
      <c r="G33" s="64">
        <v>55.72</v>
      </c>
      <c r="H33" s="64">
        <v>24.15</v>
      </c>
      <c r="I33" s="64">
        <v>3.96</v>
      </c>
      <c r="J33" s="64">
        <v>0.22</v>
      </c>
      <c r="K33" s="64">
        <v>345.44</v>
      </c>
      <c r="L33" s="64">
        <v>25.94</v>
      </c>
      <c r="M33" s="64">
        <v>102.35</v>
      </c>
      <c r="N33" s="64">
        <v>66.7</v>
      </c>
      <c r="O33" s="64">
        <v>0</v>
      </c>
      <c r="P33" s="64">
        <v>0.49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48" t="s">
        <v>1806</v>
      </c>
      <c r="B34" s="64">
        <v>8</v>
      </c>
      <c r="C34" s="64">
        <v>3.04</v>
      </c>
      <c r="D34" s="64">
        <v>11.78</v>
      </c>
      <c r="E34" s="64">
        <v>3.68</v>
      </c>
      <c r="F34" s="64">
        <v>3.5</v>
      </c>
      <c r="G34" s="64">
        <v>55.72</v>
      </c>
      <c r="H34" s="64">
        <v>24.15</v>
      </c>
      <c r="I34" s="64">
        <v>3.86</v>
      </c>
      <c r="J34" s="64">
        <v>0.18</v>
      </c>
      <c r="K34" s="64">
        <v>330.69</v>
      </c>
      <c r="L34" s="64">
        <v>26.09</v>
      </c>
      <c r="M34" s="64">
        <v>102.34</v>
      </c>
      <c r="N34" s="64">
        <v>91.1</v>
      </c>
      <c r="O34" s="64">
        <v>0</v>
      </c>
      <c r="P34" s="64">
        <v>0.5</v>
      </c>
      <c r="Q34" s="64">
        <v>9.4600000000000009</v>
      </c>
      <c r="R34" s="198"/>
      <c r="S34" s="198"/>
      <c r="T34" s="198"/>
      <c r="U34" s="198"/>
    </row>
    <row r="35" spans="1:21" s="12" customFormat="1" x14ac:dyDescent="0.25">
      <c r="A35" s="248" t="s">
        <v>1807</v>
      </c>
      <c r="B35" s="64">
        <v>7.98</v>
      </c>
      <c r="C35" s="64">
        <v>3</v>
      </c>
      <c r="D35" s="64">
        <v>11.74</v>
      </c>
      <c r="E35" s="64">
        <v>3.66</v>
      </c>
      <c r="F35" s="64">
        <v>3.49</v>
      </c>
      <c r="G35" s="64">
        <v>55.72</v>
      </c>
      <c r="H35" s="64">
        <v>24.15</v>
      </c>
      <c r="I35" s="64">
        <v>3.7</v>
      </c>
      <c r="J35" s="64">
        <v>0.22</v>
      </c>
      <c r="K35" s="64">
        <v>344.16</v>
      </c>
      <c r="L35" s="64">
        <v>26.25</v>
      </c>
      <c r="M35" s="64">
        <v>102.27</v>
      </c>
      <c r="N35" s="64">
        <v>121.4</v>
      </c>
      <c r="O35" s="64">
        <v>0</v>
      </c>
      <c r="P35" s="64">
        <v>0.48</v>
      </c>
      <c r="Q35" s="64">
        <v>9.4600000000000009</v>
      </c>
      <c r="R35" s="198"/>
      <c r="S35" s="198"/>
      <c r="T35" s="198"/>
      <c r="U35" s="198"/>
    </row>
    <row r="36" spans="1:21" s="12" customFormat="1" x14ac:dyDescent="0.25">
      <c r="A36" s="248" t="s">
        <v>1808</v>
      </c>
      <c r="B36" s="64">
        <v>8.0299999999999994</v>
      </c>
      <c r="C36" s="64">
        <v>3.09</v>
      </c>
      <c r="D36" s="64">
        <v>11.83</v>
      </c>
      <c r="E36" s="64">
        <v>5.57</v>
      </c>
      <c r="F36" s="64">
        <v>3.37</v>
      </c>
      <c r="G36" s="64">
        <v>58.96</v>
      </c>
      <c r="H36" s="64">
        <v>30.53</v>
      </c>
      <c r="I36" s="64">
        <v>3.47</v>
      </c>
      <c r="J36" s="64">
        <v>0.25</v>
      </c>
      <c r="K36" s="64">
        <v>339.66</v>
      </c>
      <c r="L36" s="64">
        <v>26.45</v>
      </c>
      <c r="M36" s="64">
        <v>102.25</v>
      </c>
      <c r="N36" s="64">
        <v>165.8</v>
      </c>
      <c r="O36" s="64">
        <v>0</v>
      </c>
      <c r="P36" s="64">
        <v>0.46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48" t="s">
        <v>1809</v>
      </c>
      <c r="B37" s="64">
        <v>8.01</v>
      </c>
      <c r="C37" s="64">
        <v>3.06</v>
      </c>
      <c r="D37" s="64">
        <v>11.79</v>
      </c>
      <c r="E37" s="64">
        <v>5.05</v>
      </c>
      <c r="F37" s="64">
        <v>4.01</v>
      </c>
      <c r="G37" s="64">
        <v>60.36</v>
      </c>
      <c r="H37" s="64">
        <v>33.119999999999997</v>
      </c>
      <c r="I37" s="64">
        <v>3.32</v>
      </c>
      <c r="J37" s="64">
        <v>0.3</v>
      </c>
      <c r="K37" s="64">
        <v>351.13</v>
      </c>
      <c r="L37" s="64">
        <v>26.59</v>
      </c>
      <c r="M37" s="64">
        <v>102.25</v>
      </c>
      <c r="N37" s="64">
        <v>193.2</v>
      </c>
      <c r="O37" s="64">
        <v>0</v>
      </c>
      <c r="P37" s="64">
        <v>0.45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48" t="s">
        <v>1810</v>
      </c>
      <c r="B38" s="64">
        <v>7.97</v>
      </c>
      <c r="C38" s="64">
        <v>3.08</v>
      </c>
      <c r="D38" s="64">
        <v>11.77</v>
      </c>
      <c r="E38" s="64">
        <v>5.13</v>
      </c>
      <c r="F38" s="64">
        <v>3.85</v>
      </c>
      <c r="G38" s="64">
        <v>60.36</v>
      </c>
      <c r="H38" s="64">
        <v>33.119999999999997</v>
      </c>
      <c r="I38" s="64">
        <v>3.07</v>
      </c>
      <c r="J38" s="64">
        <v>0.26</v>
      </c>
      <c r="K38" s="64">
        <v>358.41</v>
      </c>
      <c r="L38" s="64">
        <v>26.77</v>
      </c>
      <c r="M38" s="64">
        <v>102.25</v>
      </c>
      <c r="N38" s="64">
        <v>161.19999999999999</v>
      </c>
      <c r="O38" s="64">
        <v>0</v>
      </c>
      <c r="P38" s="64">
        <v>0.44</v>
      </c>
      <c r="Q38" s="64">
        <v>9.43</v>
      </c>
      <c r="R38" s="198"/>
      <c r="S38" s="198"/>
      <c r="T38" s="198"/>
      <c r="U38" s="198"/>
    </row>
    <row r="39" spans="1:21" s="12" customFormat="1" x14ac:dyDescent="0.25">
      <c r="A39" s="248" t="s">
        <v>1811</v>
      </c>
      <c r="B39" s="64">
        <v>7.98</v>
      </c>
      <c r="C39" s="64">
        <v>3.07</v>
      </c>
      <c r="D39" s="64">
        <v>11.78</v>
      </c>
      <c r="E39" s="64">
        <v>5.47</v>
      </c>
      <c r="F39" s="64">
        <v>2.71</v>
      </c>
      <c r="G39" s="64">
        <v>60.36</v>
      </c>
      <c r="H39" s="64">
        <v>33.119999999999997</v>
      </c>
      <c r="I39" s="64">
        <v>2.9</v>
      </c>
      <c r="J39" s="64">
        <v>0.28000000000000003</v>
      </c>
      <c r="K39" s="64">
        <v>351.73</v>
      </c>
      <c r="L39" s="64">
        <v>26.58</v>
      </c>
      <c r="M39" s="64">
        <v>102.27</v>
      </c>
      <c r="N39" s="64">
        <v>128.80000000000001</v>
      </c>
      <c r="O39" s="64">
        <v>0</v>
      </c>
      <c r="P39" s="64">
        <v>0.41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48" t="s">
        <v>1812</v>
      </c>
      <c r="B40" s="64">
        <v>7.95</v>
      </c>
      <c r="C40" s="64">
        <v>2.97</v>
      </c>
      <c r="D40" s="64">
        <v>11.7</v>
      </c>
      <c r="E40" s="64">
        <v>5.19</v>
      </c>
      <c r="F40" s="64">
        <v>4.42</v>
      </c>
      <c r="G40" s="64">
        <v>58.37</v>
      </c>
      <c r="H40" s="64">
        <v>11.85</v>
      </c>
      <c r="I40" s="64">
        <v>2.74</v>
      </c>
      <c r="J40" s="64">
        <v>0.26</v>
      </c>
      <c r="K40" s="64">
        <v>344.83</v>
      </c>
      <c r="L40" s="64">
        <v>26.56</v>
      </c>
      <c r="M40" s="64">
        <v>102.26</v>
      </c>
      <c r="N40" s="64">
        <v>161</v>
      </c>
      <c r="O40" s="64">
        <v>0</v>
      </c>
      <c r="P40" s="64">
        <v>0.4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48" t="s">
        <v>1813</v>
      </c>
      <c r="B41" s="64">
        <v>7.94</v>
      </c>
      <c r="C41" s="64">
        <v>3.02</v>
      </c>
      <c r="D41" s="64">
        <v>11.72</v>
      </c>
      <c r="E41" s="64">
        <v>5.35</v>
      </c>
      <c r="F41" s="64">
        <v>3.73</v>
      </c>
      <c r="G41" s="64">
        <v>57.51</v>
      </c>
      <c r="H41" s="64">
        <v>3.22</v>
      </c>
      <c r="I41" s="64">
        <v>2.31</v>
      </c>
      <c r="J41" s="64">
        <v>0.24</v>
      </c>
      <c r="K41" s="64">
        <v>346.17</v>
      </c>
      <c r="L41" s="64">
        <v>26.72</v>
      </c>
      <c r="M41" s="64">
        <v>102.23</v>
      </c>
      <c r="N41" s="64">
        <v>195</v>
      </c>
      <c r="O41" s="64">
        <v>0</v>
      </c>
      <c r="P41" s="64">
        <v>0.41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48" t="s">
        <v>1814</v>
      </c>
      <c r="B42" s="64">
        <v>7.94</v>
      </c>
      <c r="C42" s="64">
        <v>3.02</v>
      </c>
      <c r="D42" s="64">
        <v>11.72</v>
      </c>
      <c r="E42" s="64">
        <v>5.25</v>
      </c>
      <c r="F42" s="64">
        <v>2.71</v>
      </c>
      <c r="G42" s="64">
        <v>57.51</v>
      </c>
      <c r="H42" s="64">
        <v>3.22</v>
      </c>
      <c r="I42" s="64">
        <v>2.21</v>
      </c>
      <c r="J42" s="64">
        <v>0.3</v>
      </c>
      <c r="K42" s="64">
        <v>355.63</v>
      </c>
      <c r="L42" s="64">
        <v>27.18</v>
      </c>
      <c r="M42" s="64">
        <v>101.69</v>
      </c>
      <c r="N42" s="64">
        <v>327.5</v>
      </c>
      <c r="O42" s="64">
        <v>0</v>
      </c>
      <c r="P42" s="64">
        <v>0.39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48" t="s">
        <v>1815</v>
      </c>
      <c r="B43" s="64">
        <v>7.95</v>
      </c>
      <c r="C43" s="64">
        <v>2.98</v>
      </c>
      <c r="D43" s="64">
        <v>11.71</v>
      </c>
      <c r="E43" s="64">
        <v>4.8</v>
      </c>
      <c r="F43" s="64">
        <v>4.28</v>
      </c>
      <c r="G43" s="64">
        <v>57.51</v>
      </c>
      <c r="H43" s="64">
        <v>3.22</v>
      </c>
      <c r="I43" s="64">
        <v>2.17</v>
      </c>
      <c r="J43" s="64">
        <v>0.28999999999999998</v>
      </c>
      <c r="K43" s="64">
        <v>1.27</v>
      </c>
      <c r="L43" s="64">
        <v>28</v>
      </c>
      <c r="M43" s="64">
        <v>98.27</v>
      </c>
      <c r="N43" s="64">
        <v>371.1</v>
      </c>
      <c r="O43" s="64">
        <v>0</v>
      </c>
      <c r="P43" s="64">
        <v>0.39</v>
      </c>
      <c r="Q43" s="64">
        <v>9.27</v>
      </c>
      <c r="R43" s="198"/>
      <c r="S43" s="198"/>
      <c r="T43" s="198"/>
      <c r="U43" s="198"/>
    </row>
    <row r="44" spans="1:21" s="12" customFormat="1" x14ac:dyDescent="0.25">
      <c r="A44" s="248" t="s">
        <v>1816</v>
      </c>
      <c r="B44" s="64">
        <v>7.96</v>
      </c>
      <c r="C44" s="64">
        <v>3.02</v>
      </c>
      <c r="D44" s="64">
        <v>11.73</v>
      </c>
      <c r="E44" s="64">
        <v>5.55</v>
      </c>
      <c r="F44" s="64">
        <v>4.5999999999999996</v>
      </c>
      <c r="G44" s="64">
        <v>58.81</v>
      </c>
      <c r="H44" s="64">
        <v>17.03</v>
      </c>
      <c r="I44" s="64">
        <v>1.97</v>
      </c>
      <c r="J44" s="64">
        <v>0.28000000000000003</v>
      </c>
      <c r="K44" s="64">
        <v>349.62</v>
      </c>
      <c r="L44" s="64">
        <v>28.69</v>
      </c>
      <c r="M44" s="64">
        <v>94.19</v>
      </c>
      <c r="N44" s="64">
        <v>467.7</v>
      </c>
      <c r="O44" s="64">
        <v>0</v>
      </c>
      <c r="P44" s="64">
        <v>0.4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48" t="s">
        <v>1817</v>
      </c>
      <c r="B45" s="64">
        <v>7.95</v>
      </c>
      <c r="C45" s="64">
        <v>3.05</v>
      </c>
      <c r="D45" s="64">
        <v>11.74</v>
      </c>
      <c r="E45" s="64">
        <v>5.24</v>
      </c>
      <c r="F45" s="64">
        <v>2.4</v>
      </c>
      <c r="G45" s="64">
        <v>59.37</v>
      </c>
      <c r="H45" s="64">
        <v>22.95</v>
      </c>
      <c r="I45" s="64">
        <v>1.94</v>
      </c>
      <c r="J45" s="64">
        <v>0.28000000000000003</v>
      </c>
      <c r="K45" s="64">
        <v>355.79</v>
      </c>
      <c r="L45" s="64">
        <v>28.86</v>
      </c>
      <c r="M45" s="64">
        <v>92.8</v>
      </c>
      <c r="N45" s="64">
        <v>482.1</v>
      </c>
      <c r="O45" s="64">
        <v>0</v>
      </c>
      <c r="P45" s="64">
        <v>0.38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48" t="s">
        <v>1818</v>
      </c>
      <c r="B46" s="64">
        <v>8</v>
      </c>
      <c r="C46" s="64">
        <v>3.13</v>
      </c>
      <c r="D46" s="64">
        <v>11.82</v>
      </c>
      <c r="E46" s="64">
        <v>5.07</v>
      </c>
      <c r="F46" s="64">
        <v>3.7</v>
      </c>
      <c r="G46" s="64">
        <v>59.37</v>
      </c>
      <c r="H46" s="64">
        <v>22.95</v>
      </c>
      <c r="I46" s="64">
        <v>1.94</v>
      </c>
      <c r="J46" s="64">
        <v>0.36</v>
      </c>
      <c r="K46" s="64">
        <v>350.17</v>
      </c>
      <c r="L46" s="64">
        <v>29.39</v>
      </c>
      <c r="M46" s="64">
        <v>90.86</v>
      </c>
      <c r="N46" s="64">
        <v>584.79999999999995</v>
      </c>
      <c r="O46" s="64">
        <v>0</v>
      </c>
      <c r="P46" s="64">
        <v>0.36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48" t="s">
        <v>1819</v>
      </c>
      <c r="B47" s="64">
        <v>7.97</v>
      </c>
      <c r="C47" s="64">
        <v>3.06</v>
      </c>
      <c r="D47" s="64">
        <v>11.77</v>
      </c>
      <c r="E47" s="64">
        <v>4.75</v>
      </c>
      <c r="F47" s="64">
        <v>5.18</v>
      </c>
      <c r="G47" s="64">
        <v>59.37</v>
      </c>
      <c r="H47" s="64">
        <v>22.95</v>
      </c>
      <c r="I47" s="64">
        <v>1.81</v>
      </c>
      <c r="J47" s="64">
        <v>0.34</v>
      </c>
      <c r="K47" s="64">
        <v>337.22</v>
      </c>
      <c r="L47" s="64">
        <v>30.07</v>
      </c>
      <c r="M47" s="64">
        <v>88.88</v>
      </c>
      <c r="N47" s="64">
        <v>341.5</v>
      </c>
      <c r="O47" s="64">
        <v>0</v>
      </c>
      <c r="P47" s="64">
        <v>0.37</v>
      </c>
      <c r="Q47" s="64">
        <v>9.25</v>
      </c>
      <c r="R47" s="198"/>
      <c r="S47" s="198"/>
      <c r="T47" s="198"/>
      <c r="U47" s="198"/>
    </row>
    <row r="48" spans="1:21" s="12" customFormat="1" x14ac:dyDescent="0.25">
      <c r="A48" s="248" t="s">
        <v>1820</v>
      </c>
      <c r="B48" s="64">
        <v>7.93</v>
      </c>
      <c r="C48" s="64">
        <v>3.01</v>
      </c>
      <c r="D48" s="64">
        <v>11.71</v>
      </c>
      <c r="E48" s="64">
        <v>4.78</v>
      </c>
      <c r="F48" s="64">
        <v>2.7</v>
      </c>
      <c r="G48" s="64">
        <v>60.4</v>
      </c>
      <c r="H48" s="64">
        <v>21.91</v>
      </c>
      <c r="I48" s="64">
        <v>1.75</v>
      </c>
      <c r="J48" s="64">
        <v>0.34</v>
      </c>
      <c r="K48" s="64">
        <v>349.29</v>
      </c>
      <c r="L48" s="64">
        <v>28.78</v>
      </c>
      <c r="M48" s="64">
        <v>92.71</v>
      </c>
      <c r="N48" s="64">
        <v>228.7</v>
      </c>
      <c r="O48" s="64">
        <v>0</v>
      </c>
      <c r="P48" s="64">
        <v>0.38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48" t="s">
        <v>1821</v>
      </c>
      <c r="B49" s="64">
        <v>7.95</v>
      </c>
      <c r="C49" s="64">
        <v>3.04</v>
      </c>
      <c r="D49" s="64">
        <v>11.74</v>
      </c>
      <c r="E49" s="64">
        <v>5.27</v>
      </c>
      <c r="F49" s="64">
        <v>4.45</v>
      </c>
      <c r="G49" s="64">
        <v>60.82</v>
      </c>
      <c r="H49" s="64">
        <v>21.49</v>
      </c>
      <c r="I49" s="64">
        <v>1.82</v>
      </c>
      <c r="J49" s="64">
        <v>0.37</v>
      </c>
      <c r="K49" s="64">
        <v>346.14</v>
      </c>
      <c r="L49" s="64">
        <v>28.35</v>
      </c>
      <c r="M49" s="64">
        <v>93.68</v>
      </c>
      <c r="N49" s="64">
        <v>291</v>
      </c>
      <c r="O49" s="64">
        <v>0</v>
      </c>
      <c r="P49" s="64">
        <v>0.38</v>
      </c>
      <c r="Q49" s="64">
        <v>9.2200000000000006</v>
      </c>
      <c r="R49" s="198"/>
      <c r="S49" s="198"/>
      <c r="T49" s="198"/>
      <c r="U49" s="198"/>
    </row>
    <row r="50" spans="1:21" s="12" customFormat="1" x14ac:dyDescent="0.25">
      <c r="A50" s="248" t="s">
        <v>1822</v>
      </c>
      <c r="B50" s="64">
        <v>7.97</v>
      </c>
      <c r="C50" s="64">
        <v>3.08</v>
      </c>
      <c r="D50" s="64">
        <v>11.77</v>
      </c>
      <c r="E50" s="64">
        <v>5.15</v>
      </c>
      <c r="F50" s="64">
        <v>4.37</v>
      </c>
      <c r="G50" s="64">
        <v>60.82</v>
      </c>
      <c r="H50" s="64">
        <v>21.49</v>
      </c>
      <c r="I50" s="64">
        <v>1.77</v>
      </c>
      <c r="J50" s="64">
        <v>0.34</v>
      </c>
      <c r="K50" s="64">
        <v>345.27</v>
      </c>
      <c r="L50" s="64">
        <v>29.03</v>
      </c>
      <c r="M50" s="64">
        <v>91.23</v>
      </c>
      <c r="N50" s="64">
        <v>495.9</v>
      </c>
      <c r="O50" s="64">
        <v>0</v>
      </c>
      <c r="P50" s="64">
        <v>0.38</v>
      </c>
      <c r="Q50" s="64">
        <v>9.1999999999999993</v>
      </c>
      <c r="R50" s="198"/>
      <c r="S50" s="198"/>
      <c r="T50" s="198"/>
      <c r="U50" s="198"/>
    </row>
    <row r="51" spans="1:21" s="12" customFormat="1" x14ac:dyDescent="0.25">
      <c r="A51" s="248" t="s">
        <v>1823</v>
      </c>
      <c r="B51" s="64">
        <v>7.96</v>
      </c>
      <c r="C51" s="64">
        <v>3.02</v>
      </c>
      <c r="D51" s="64">
        <v>11.74</v>
      </c>
      <c r="E51" s="64">
        <v>5.16</v>
      </c>
      <c r="F51" s="64">
        <v>4.55</v>
      </c>
      <c r="G51" s="64">
        <v>60.82</v>
      </c>
      <c r="H51" s="64">
        <v>21.49</v>
      </c>
      <c r="I51" s="64">
        <v>1.67</v>
      </c>
      <c r="J51" s="64">
        <v>0.28999999999999998</v>
      </c>
      <c r="K51" s="64">
        <v>342.77</v>
      </c>
      <c r="L51" s="64">
        <v>29.49</v>
      </c>
      <c r="M51" s="64">
        <v>89.76</v>
      </c>
      <c r="N51" s="64">
        <v>541.4</v>
      </c>
      <c r="O51" s="64">
        <v>0</v>
      </c>
      <c r="P51" s="64">
        <v>0.38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48" t="s">
        <v>1824</v>
      </c>
      <c r="B52" s="64">
        <v>7.95</v>
      </c>
      <c r="C52" s="64">
        <v>2.97</v>
      </c>
      <c r="D52" s="64">
        <v>11.7</v>
      </c>
      <c r="E52" s="64">
        <v>3.8</v>
      </c>
      <c r="F52" s="64">
        <v>6.5</v>
      </c>
      <c r="G52" s="64">
        <v>45.92</v>
      </c>
      <c r="H52" s="64">
        <v>45.19</v>
      </c>
      <c r="I52" s="64">
        <v>1.65</v>
      </c>
      <c r="J52" s="64">
        <v>0.35</v>
      </c>
      <c r="K52" s="64">
        <v>326.13</v>
      </c>
      <c r="L52" s="64">
        <v>30.22</v>
      </c>
      <c r="M52" s="64">
        <v>87.76</v>
      </c>
      <c r="N52" s="64">
        <v>577.20000000000005</v>
      </c>
      <c r="O52" s="64">
        <v>0</v>
      </c>
      <c r="P52" s="64">
        <v>0.37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48" t="s">
        <v>1825</v>
      </c>
      <c r="B53" s="64">
        <v>7.95</v>
      </c>
      <c r="C53" s="64">
        <v>3.01</v>
      </c>
      <c r="D53" s="64">
        <v>11.73</v>
      </c>
      <c r="E53" s="64">
        <v>4.12</v>
      </c>
      <c r="F53" s="64">
        <v>4.51</v>
      </c>
      <c r="G53" s="64">
        <v>39.53</v>
      </c>
      <c r="H53" s="64">
        <v>54.81</v>
      </c>
      <c r="I53" s="64">
        <v>1.59</v>
      </c>
      <c r="J53" s="64">
        <v>0.3</v>
      </c>
      <c r="K53" s="64">
        <v>323.44</v>
      </c>
      <c r="L53" s="64">
        <v>31.13</v>
      </c>
      <c r="M53" s="64">
        <v>83.14</v>
      </c>
      <c r="N53" s="64">
        <v>731</v>
      </c>
      <c r="O53" s="64">
        <v>0</v>
      </c>
      <c r="P53" s="64">
        <v>0.37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48" t="s">
        <v>1826</v>
      </c>
      <c r="B54" s="64">
        <v>7.95</v>
      </c>
      <c r="C54" s="64">
        <v>3</v>
      </c>
      <c r="D54" s="64">
        <v>11.72</v>
      </c>
      <c r="E54" s="64">
        <v>4.3</v>
      </c>
      <c r="F54" s="64">
        <v>4.33</v>
      </c>
      <c r="G54" s="64">
        <v>39.53</v>
      </c>
      <c r="H54" s="64">
        <v>54.81</v>
      </c>
      <c r="I54" s="64">
        <v>1.42</v>
      </c>
      <c r="J54" s="64">
        <v>0.23</v>
      </c>
      <c r="K54" s="64">
        <v>326.11</v>
      </c>
      <c r="L54" s="64">
        <v>31.12</v>
      </c>
      <c r="M54" s="64">
        <v>82.73</v>
      </c>
      <c r="N54" s="64">
        <v>802.4</v>
      </c>
      <c r="O54" s="64">
        <v>0</v>
      </c>
      <c r="P54" s="64">
        <v>0.41</v>
      </c>
      <c r="Q54" s="64">
        <v>9.1999999999999993</v>
      </c>
      <c r="R54" s="198"/>
      <c r="S54" s="198"/>
      <c r="T54" s="198"/>
      <c r="U54" s="198"/>
    </row>
    <row r="55" spans="1:21" s="12" customFormat="1" x14ac:dyDescent="0.25">
      <c r="A55" s="248" t="s">
        <v>1827</v>
      </c>
      <c r="B55" s="64">
        <v>7.96</v>
      </c>
      <c r="C55" s="64">
        <v>2.95</v>
      </c>
      <c r="D55" s="64">
        <v>11.7</v>
      </c>
      <c r="E55" s="64">
        <v>4.0999999999999996</v>
      </c>
      <c r="F55" s="64">
        <v>4.3</v>
      </c>
      <c r="G55" s="64">
        <v>39.53</v>
      </c>
      <c r="H55" s="64">
        <v>54.81</v>
      </c>
      <c r="I55" s="64">
        <v>1.55</v>
      </c>
      <c r="J55" s="64">
        <v>0.32</v>
      </c>
      <c r="K55" s="64">
        <v>330.64</v>
      </c>
      <c r="L55" s="64">
        <v>30.83</v>
      </c>
      <c r="M55" s="64">
        <v>84.6</v>
      </c>
      <c r="N55" s="64">
        <v>851.9</v>
      </c>
      <c r="O55" s="64">
        <v>0</v>
      </c>
      <c r="P55" s="64">
        <v>0.45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48" t="s">
        <v>1828</v>
      </c>
      <c r="B56" s="64">
        <v>7.94</v>
      </c>
      <c r="C56" s="64">
        <v>3.05</v>
      </c>
      <c r="D56" s="64">
        <v>11.74</v>
      </c>
      <c r="E56" s="64">
        <v>4.1500000000000004</v>
      </c>
      <c r="F56" s="64">
        <v>4.7300000000000004</v>
      </c>
      <c r="G56" s="64">
        <v>43.78</v>
      </c>
      <c r="H56" s="64">
        <v>40.97</v>
      </c>
      <c r="I56" s="64">
        <v>1.89</v>
      </c>
      <c r="J56" s="64">
        <v>0.26</v>
      </c>
      <c r="K56" s="64">
        <v>335.9</v>
      </c>
      <c r="L56" s="64">
        <v>31.87</v>
      </c>
      <c r="M56" s="64">
        <v>81.19</v>
      </c>
      <c r="N56" s="64">
        <v>891.2</v>
      </c>
      <c r="O56" s="64">
        <v>0</v>
      </c>
      <c r="P56" s="64">
        <v>0.53</v>
      </c>
      <c r="Q56" s="64">
        <v>9.32</v>
      </c>
      <c r="R56" s="198"/>
      <c r="S56" s="198"/>
      <c r="T56" s="198"/>
      <c r="U56" s="198"/>
    </row>
    <row r="57" spans="1:21" s="12" customFormat="1" x14ac:dyDescent="0.25">
      <c r="A57" s="248" t="s">
        <v>1829</v>
      </c>
      <c r="B57" s="64">
        <v>7.92</v>
      </c>
      <c r="C57" s="64">
        <v>3.07</v>
      </c>
      <c r="D57" s="64">
        <v>11.73</v>
      </c>
      <c r="E57" s="64">
        <v>4.1100000000000003</v>
      </c>
      <c r="F57" s="64">
        <v>3.8</v>
      </c>
      <c r="G57" s="64">
        <v>45.51</v>
      </c>
      <c r="H57" s="64">
        <v>35.35</v>
      </c>
      <c r="I57" s="64">
        <v>2.2400000000000002</v>
      </c>
      <c r="J57" s="64">
        <v>0.45</v>
      </c>
      <c r="K57" s="64">
        <v>320.20999999999998</v>
      </c>
      <c r="L57" s="64">
        <v>31.53</v>
      </c>
      <c r="M57" s="64">
        <v>82.4</v>
      </c>
      <c r="N57" s="64">
        <v>775.6</v>
      </c>
      <c r="O57" s="64">
        <v>0</v>
      </c>
      <c r="P57" s="64">
        <v>0.54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48" t="s">
        <v>1830</v>
      </c>
      <c r="B58" s="64">
        <v>7.89</v>
      </c>
      <c r="C58" s="64">
        <v>3.07</v>
      </c>
      <c r="D58" s="64">
        <v>11.7</v>
      </c>
      <c r="E58" s="64">
        <v>3.89</v>
      </c>
      <c r="F58" s="64">
        <v>4.29</v>
      </c>
      <c r="G58" s="64">
        <v>45.51</v>
      </c>
      <c r="H58" s="64">
        <v>35.35</v>
      </c>
      <c r="I58" s="64">
        <v>2.58</v>
      </c>
      <c r="J58" s="64">
        <v>0.31</v>
      </c>
      <c r="K58" s="64">
        <v>321.89999999999998</v>
      </c>
      <c r="L58" s="64">
        <v>32.81</v>
      </c>
      <c r="M58" s="64">
        <v>76.64</v>
      </c>
      <c r="N58" s="64">
        <v>593.4</v>
      </c>
      <c r="O58" s="64">
        <v>0</v>
      </c>
      <c r="P58" s="64">
        <v>0.56000000000000005</v>
      </c>
      <c r="Q58" s="64">
        <v>9.31</v>
      </c>
      <c r="R58" s="198"/>
      <c r="S58" s="198"/>
      <c r="T58" s="198"/>
      <c r="U58" s="198"/>
    </row>
    <row r="59" spans="1:21" s="12" customFormat="1" x14ac:dyDescent="0.25">
      <c r="A59" s="248" t="s">
        <v>1831</v>
      </c>
      <c r="B59" s="64">
        <v>7.9</v>
      </c>
      <c r="C59" s="64">
        <v>3.02</v>
      </c>
      <c r="D59" s="64">
        <v>11.69</v>
      </c>
      <c r="E59" s="64">
        <v>3.91</v>
      </c>
      <c r="F59" s="64">
        <v>4.29</v>
      </c>
      <c r="G59" s="64">
        <v>45.51</v>
      </c>
      <c r="H59" s="64">
        <v>35.35</v>
      </c>
      <c r="I59" s="64">
        <v>2.86</v>
      </c>
      <c r="J59" s="64">
        <v>0.19</v>
      </c>
      <c r="K59" s="64">
        <v>328.22</v>
      </c>
      <c r="L59" s="64">
        <v>31.58</v>
      </c>
      <c r="M59" s="64">
        <v>82.17</v>
      </c>
      <c r="N59" s="64">
        <v>568</v>
      </c>
      <c r="O59" s="64">
        <v>0</v>
      </c>
      <c r="P59" s="64">
        <v>0.59</v>
      </c>
      <c r="Q59" s="64">
        <v>9.27</v>
      </c>
      <c r="R59" s="198"/>
      <c r="S59" s="198"/>
      <c r="T59" s="198"/>
      <c r="U59" s="198"/>
    </row>
    <row r="60" spans="1:21" s="12" customFormat="1" x14ac:dyDescent="0.25">
      <c r="A60" s="248" t="s">
        <v>1832</v>
      </c>
      <c r="B60" s="64">
        <v>7.93</v>
      </c>
      <c r="C60" s="64">
        <v>2.98</v>
      </c>
      <c r="D60" s="64">
        <v>11.69</v>
      </c>
      <c r="E60" s="64">
        <v>3.56</v>
      </c>
      <c r="F60" s="64">
        <v>4.3899999999999997</v>
      </c>
      <c r="G60" s="64">
        <v>77.22</v>
      </c>
      <c r="H60" s="64">
        <v>32.159999999999997</v>
      </c>
      <c r="I60" s="64">
        <v>2.81</v>
      </c>
      <c r="J60" s="64">
        <v>0.25</v>
      </c>
      <c r="K60" s="64">
        <v>346.27</v>
      </c>
      <c r="L60" s="64">
        <v>31.91</v>
      </c>
      <c r="M60" s="64">
        <v>80.63</v>
      </c>
      <c r="N60" s="64">
        <v>896</v>
      </c>
      <c r="O60" s="64">
        <v>0</v>
      </c>
      <c r="P60" s="64">
        <v>0.61</v>
      </c>
      <c r="Q60" s="64">
        <v>9.25</v>
      </c>
      <c r="R60" s="198"/>
      <c r="S60" s="198"/>
      <c r="T60" s="198"/>
      <c r="U60" s="198"/>
    </row>
    <row r="61" spans="1:21" s="12" customFormat="1" x14ac:dyDescent="0.25">
      <c r="A61" s="248" t="s">
        <v>1833</v>
      </c>
      <c r="B61" s="64">
        <v>7.92</v>
      </c>
      <c r="C61" s="64">
        <v>3.04</v>
      </c>
      <c r="D61" s="64">
        <v>11.71</v>
      </c>
      <c r="E61" s="64">
        <v>3.42</v>
      </c>
      <c r="F61" s="64">
        <v>6.14</v>
      </c>
      <c r="G61" s="64">
        <v>90.8</v>
      </c>
      <c r="H61" s="64">
        <v>30.86</v>
      </c>
      <c r="I61" s="64">
        <v>2.91</v>
      </c>
      <c r="J61" s="64">
        <v>0.19</v>
      </c>
      <c r="K61" s="64">
        <v>328.91</v>
      </c>
      <c r="L61" s="64">
        <v>32.06</v>
      </c>
      <c r="M61" s="64">
        <v>80.430000000000007</v>
      </c>
      <c r="N61" s="64">
        <v>808.9</v>
      </c>
      <c r="O61" s="64">
        <v>0</v>
      </c>
      <c r="P61" s="64">
        <v>0.61</v>
      </c>
      <c r="Q61" s="64">
        <v>9.3000000000000007</v>
      </c>
      <c r="R61" s="198"/>
      <c r="S61" s="198"/>
      <c r="T61" s="198"/>
      <c r="U61" s="198"/>
    </row>
    <row r="62" spans="1:21" s="12" customFormat="1" x14ac:dyDescent="0.25">
      <c r="A62" s="248" t="s">
        <v>1834</v>
      </c>
      <c r="B62" s="64">
        <v>7.9</v>
      </c>
      <c r="C62" s="64">
        <v>3.04</v>
      </c>
      <c r="D62" s="64">
        <v>11.7</v>
      </c>
      <c r="E62" s="64">
        <v>3.63</v>
      </c>
      <c r="F62" s="64">
        <v>8.56</v>
      </c>
      <c r="G62" s="64">
        <v>90.8</v>
      </c>
      <c r="H62" s="64">
        <v>30.86</v>
      </c>
      <c r="I62" s="64">
        <v>3.03</v>
      </c>
      <c r="J62" s="64">
        <v>0.25</v>
      </c>
      <c r="K62" s="64">
        <v>320.27</v>
      </c>
      <c r="L62" s="64">
        <v>32.29</v>
      </c>
      <c r="M62" s="64">
        <v>79.459999999999994</v>
      </c>
      <c r="N62" s="64">
        <v>714.9</v>
      </c>
      <c r="O62" s="64">
        <v>0</v>
      </c>
      <c r="P62" s="64">
        <v>0.63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48" t="s">
        <v>1835</v>
      </c>
      <c r="B63" s="64">
        <v>7.85</v>
      </c>
      <c r="C63" s="64">
        <v>3</v>
      </c>
      <c r="D63" s="64">
        <v>11.63</v>
      </c>
      <c r="E63" s="64">
        <v>5.82</v>
      </c>
      <c r="F63" s="64">
        <v>6.54</v>
      </c>
      <c r="G63" s="64">
        <v>90.8</v>
      </c>
      <c r="H63" s="64">
        <v>30.86</v>
      </c>
      <c r="I63" s="64">
        <v>3.12</v>
      </c>
      <c r="J63" s="64">
        <v>0.3</v>
      </c>
      <c r="K63" s="64">
        <v>327.56</v>
      </c>
      <c r="L63" s="64">
        <v>31.94</v>
      </c>
      <c r="M63" s="64">
        <v>81.66</v>
      </c>
      <c r="N63" s="64">
        <v>622.5</v>
      </c>
      <c r="O63" s="64">
        <v>0</v>
      </c>
      <c r="P63" s="64">
        <v>0.66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48" t="s">
        <v>1836</v>
      </c>
      <c r="B64" s="64">
        <v>7.84</v>
      </c>
      <c r="C64" s="64">
        <v>2.93</v>
      </c>
      <c r="D64" s="64">
        <v>11.59</v>
      </c>
      <c r="E64" s="64">
        <v>4.58</v>
      </c>
      <c r="F64" s="64">
        <v>4.63</v>
      </c>
      <c r="G64" s="64">
        <v>73.23</v>
      </c>
      <c r="H64" s="64">
        <v>37.39</v>
      </c>
      <c r="I64" s="64">
        <v>3.28</v>
      </c>
      <c r="J64" s="64">
        <v>0.23</v>
      </c>
      <c r="K64" s="64">
        <v>324.27</v>
      </c>
      <c r="L64" s="64">
        <v>31.77</v>
      </c>
      <c r="M64" s="64">
        <v>81.89</v>
      </c>
      <c r="N64" s="64">
        <v>520.29999999999995</v>
      </c>
      <c r="O64" s="64">
        <v>0</v>
      </c>
      <c r="P64" s="64">
        <v>0.65</v>
      </c>
      <c r="Q64" s="64">
        <v>9.06</v>
      </c>
      <c r="R64" s="198"/>
      <c r="S64" s="198"/>
      <c r="T64" s="198"/>
      <c r="U64" s="198"/>
    </row>
    <row r="65" spans="1:21" s="12" customFormat="1" x14ac:dyDescent="0.25">
      <c r="A65" s="248" t="s">
        <v>1837</v>
      </c>
      <c r="B65" s="64">
        <v>7.89</v>
      </c>
      <c r="C65" s="64">
        <v>3.05</v>
      </c>
      <c r="D65" s="64">
        <v>11.7</v>
      </c>
      <c r="E65" s="64">
        <v>3.87</v>
      </c>
      <c r="F65" s="64">
        <v>4.54</v>
      </c>
      <c r="G65" s="64">
        <v>66.09</v>
      </c>
      <c r="H65" s="64">
        <v>40.049999999999997</v>
      </c>
      <c r="I65" s="64">
        <v>3.38</v>
      </c>
      <c r="J65" s="64">
        <v>0.27</v>
      </c>
      <c r="K65" s="64">
        <v>346.87</v>
      </c>
      <c r="L65" s="64">
        <v>31.37</v>
      </c>
      <c r="M65" s="64">
        <v>84.01</v>
      </c>
      <c r="N65" s="64">
        <v>359.9</v>
      </c>
      <c r="O65" s="64">
        <v>0</v>
      </c>
      <c r="P65" s="64">
        <v>0.62</v>
      </c>
      <c r="Q65" s="64">
        <v>9.1</v>
      </c>
      <c r="R65" s="198"/>
      <c r="S65" s="198"/>
      <c r="T65" s="198"/>
      <c r="U65" s="198"/>
    </row>
    <row r="66" spans="1:21" s="12" customFormat="1" x14ac:dyDescent="0.25">
      <c r="A66" s="248" t="s">
        <v>1838</v>
      </c>
      <c r="B66" s="64">
        <v>7.94</v>
      </c>
      <c r="C66" s="64">
        <v>3.12</v>
      </c>
      <c r="D66" s="64">
        <v>11.77</v>
      </c>
      <c r="E66" s="64">
        <v>3.7</v>
      </c>
      <c r="F66" s="64">
        <v>4.66</v>
      </c>
      <c r="G66" s="64">
        <v>66.09</v>
      </c>
      <c r="H66" s="64">
        <v>40.049999999999997</v>
      </c>
      <c r="I66" s="64">
        <v>3.41</v>
      </c>
      <c r="J66" s="64">
        <v>0.28999999999999998</v>
      </c>
      <c r="K66" s="64">
        <v>340.59</v>
      </c>
      <c r="L66" s="64">
        <v>31.64</v>
      </c>
      <c r="M66" s="64">
        <v>82.43</v>
      </c>
      <c r="N66" s="64">
        <v>303.2</v>
      </c>
      <c r="O66" s="64">
        <v>0</v>
      </c>
      <c r="P66" s="64">
        <v>0.6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48" t="s">
        <v>1839</v>
      </c>
      <c r="B67" s="64">
        <v>7.94</v>
      </c>
      <c r="C67" s="64">
        <v>3</v>
      </c>
      <c r="D67" s="64">
        <v>11.71</v>
      </c>
      <c r="E67" s="64">
        <v>3.79</v>
      </c>
      <c r="F67" s="64">
        <v>4.59</v>
      </c>
      <c r="G67" s="64">
        <v>66.09</v>
      </c>
      <c r="H67" s="64">
        <v>40.049999999999997</v>
      </c>
      <c r="I67" s="64">
        <v>3.36</v>
      </c>
      <c r="J67" s="64">
        <v>0.27</v>
      </c>
      <c r="K67" s="64">
        <v>341.78</v>
      </c>
      <c r="L67" s="64">
        <v>31.49</v>
      </c>
      <c r="M67" s="64">
        <v>81.739999999999995</v>
      </c>
      <c r="N67" s="64">
        <v>247.5</v>
      </c>
      <c r="O67" s="64">
        <v>0</v>
      </c>
      <c r="P67" s="64">
        <v>0.59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48" t="s">
        <v>1840</v>
      </c>
      <c r="B68" s="64">
        <v>7.98</v>
      </c>
      <c r="C68" s="64">
        <v>3.12</v>
      </c>
      <c r="D68" s="64">
        <v>11.81</v>
      </c>
      <c r="E68" s="64">
        <v>4.1500000000000004</v>
      </c>
      <c r="F68" s="64">
        <v>4.13</v>
      </c>
      <c r="G68" s="64">
        <v>95.95</v>
      </c>
      <c r="H68" s="64">
        <v>34.880000000000003</v>
      </c>
      <c r="I68" s="64">
        <v>3.29</v>
      </c>
      <c r="J68" s="64">
        <v>0.23</v>
      </c>
      <c r="K68" s="64">
        <v>325.39</v>
      </c>
      <c r="L68" s="64">
        <v>31.16</v>
      </c>
      <c r="M68" s="64">
        <v>82.66</v>
      </c>
      <c r="N68" s="64">
        <v>305.10000000000002</v>
      </c>
      <c r="O68" s="64">
        <v>0</v>
      </c>
      <c r="P68" s="64">
        <v>0.57999999999999996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48" t="s">
        <v>1841</v>
      </c>
      <c r="B69" s="64">
        <v>7.97</v>
      </c>
      <c r="C69" s="64">
        <v>3.07</v>
      </c>
      <c r="D69" s="64">
        <v>11.77</v>
      </c>
      <c r="E69" s="64">
        <v>4.3499999999999996</v>
      </c>
      <c r="F69" s="64">
        <v>5.16</v>
      </c>
      <c r="G69" s="64">
        <v>108.08</v>
      </c>
      <c r="H69" s="64">
        <v>32.78</v>
      </c>
      <c r="I69" s="64">
        <v>3.2</v>
      </c>
      <c r="J69" s="64">
        <v>0.25</v>
      </c>
      <c r="K69" s="64">
        <v>348.81</v>
      </c>
      <c r="L69" s="64">
        <v>31.43</v>
      </c>
      <c r="M69" s="64">
        <v>80.8</v>
      </c>
      <c r="N69" s="64">
        <v>251.4</v>
      </c>
      <c r="O69" s="64">
        <v>0</v>
      </c>
      <c r="P69" s="64">
        <v>0.56000000000000005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48" t="s">
        <v>1842</v>
      </c>
      <c r="B70" s="64">
        <v>7.96</v>
      </c>
      <c r="C70" s="64">
        <v>3.03</v>
      </c>
      <c r="D70" s="64">
        <v>11.74</v>
      </c>
      <c r="E70" s="64">
        <v>4.4000000000000004</v>
      </c>
      <c r="F70" s="64">
        <v>5.04</v>
      </c>
      <c r="G70" s="64">
        <v>108.08</v>
      </c>
      <c r="H70" s="64">
        <v>32.78</v>
      </c>
      <c r="I70" s="64">
        <v>3.12</v>
      </c>
      <c r="J70" s="64">
        <v>0.33</v>
      </c>
      <c r="K70" s="64">
        <v>336.3</v>
      </c>
      <c r="L70" s="64">
        <v>31.32</v>
      </c>
      <c r="M70" s="64">
        <v>82.9</v>
      </c>
      <c r="N70" s="64">
        <v>243.2</v>
      </c>
      <c r="O70" s="64">
        <v>0</v>
      </c>
      <c r="P70" s="64">
        <v>0.53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48" t="s">
        <v>1843</v>
      </c>
      <c r="B71" s="64">
        <v>7.96</v>
      </c>
      <c r="C71" s="64">
        <v>3.08</v>
      </c>
      <c r="D71" s="64">
        <v>11.77</v>
      </c>
      <c r="E71" s="64">
        <v>4.46</v>
      </c>
      <c r="F71" s="64">
        <v>5.82</v>
      </c>
      <c r="G71" s="64">
        <v>108.08</v>
      </c>
      <c r="H71" s="64">
        <v>32.78</v>
      </c>
      <c r="I71" s="64">
        <v>2.96</v>
      </c>
      <c r="J71" s="64">
        <v>0.35</v>
      </c>
      <c r="K71" s="64">
        <v>340.94</v>
      </c>
      <c r="L71" s="64">
        <v>31.6</v>
      </c>
      <c r="M71" s="64">
        <v>81.2</v>
      </c>
      <c r="N71" s="64">
        <v>232.3</v>
      </c>
      <c r="O71" s="64">
        <v>0</v>
      </c>
      <c r="P71" s="64">
        <v>0.52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48" t="s">
        <v>1844</v>
      </c>
      <c r="B72" s="64">
        <v>7.96</v>
      </c>
      <c r="C72" s="64">
        <v>2.99</v>
      </c>
      <c r="D72" s="64">
        <v>11.72</v>
      </c>
      <c r="E72" s="64">
        <v>4.2300000000000004</v>
      </c>
      <c r="F72" s="64">
        <v>6.28</v>
      </c>
      <c r="G72" s="64">
        <v>79.010000000000005</v>
      </c>
      <c r="H72" s="64">
        <v>23.07</v>
      </c>
      <c r="I72" s="64">
        <v>2.75</v>
      </c>
      <c r="J72" s="64">
        <v>0.26</v>
      </c>
      <c r="K72" s="64">
        <v>341.34</v>
      </c>
      <c r="L72" s="64">
        <v>31.05</v>
      </c>
      <c r="M72" s="64">
        <v>83.03</v>
      </c>
      <c r="N72" s="64">
        <v>216.4</v>
      </c>
      <c r="O72" s="64">
        <v>0</v>
      </c>
      <c r="P72" s="64">
        <v>0.47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48" t="s">
        <v>1845</v>
      </c>
      <c r="B73" s="64">
        <v>7.93</v>
      </c>
      <c r="C73" s="64">
        <v>2.95</v>
      </c>
      <c r="D73" s="64">
        <v>11.68</v>
      </c>
      <c r="E73" s="64">
        <v>4.3600000000000003</v>
      </c>
      <c r="F73" s="64">
        <v>5.83</v>
      </c>
      <c r="G73" s="64">
        <v>67.2</v>
      </c>
      <c r="H73" s="64">
        <v>19.13</v>
      </c>
      <c r="I73" s="64">
        <v>2.5499999999999998</v>
      </c>
      <c r="J73" s="64">
        <v>0.28999999999999998</v>
      </c>
      <c r="K73" s="64">
        <v>343.85</v>
      </c>
      <c r="L73" s="64">
        <v>31.22</v>
      </c>
      <c r="M73" s="64">
        <v>82.8</v>
      </c>
      <c r="N73" s="64">
        <v>246.2</v>
      </c>
      <c r="O73" s="64">
        <v>0</v>
      </c>
      <c r="P73" s="64">
        <v>0.43</v>
      </c>
      <c r="Q73" s="64">
        <v>9.3699999999999992</v>
      </c>
      <c r="R73" s="198"/>
      <c r="S73" s="198"/>
      <c r="T73" s="198"/>
      <c r="U73" s="198"/>
    </row>
    <row r="74" spans="1:21" s="12" customFormat="1" x14ac:dyDescent="0.25">
      <c r="A74" s="248" t="s">
        <v>1846</v>
      </c>
      <c r="B74" s="64">
        <v>7.93</v>
      </c>
      <c r="C74" s="64">
        <v>2.99</v>
      </c>
      <c r="D74" s="64">
        <v>11.7</v>
      </c>
      <c r="E74" s="64">
        <v>4.74</v>
      </c>
      <c r="F74" s="64">
        <v>5.8</v>
      </c>
      <c r="G74" s="64">
        <v>67.2</v>
      </c>
      <c r="H74" s="64">
        <v>19.13</v>
      </c>
      <c r="I74" s="64">
        <v>2.2000000000000002</v>
      </c>
      <c r="J74" s="64">
        <v>0.3</v>
      </c>
      <c r="K74" s="64">
        <v>349.55</v>
      </c>
      <c r="L74" s="64">
        <v>31.16</v>
      </c>
      <c r="M74" s="64">
        <v>84.74</v>
      </c>
      <c r="N74" s="64">
        <v>215.3</v>
      </c>
      <c r="O74" s="64">
        <v>0</v>
      </c>
      <c r="P74" s="64">
        <v>0.44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48" t="s">
        <v>1847</v>
      </c>
      <c r="B75" s="64">
        <v>7.93</v>
      </c>
      <c r="C75" s="64">
        <v>3.01</v>
      </c>
      <c r="D75" s="64">
        <v>11.71</v>
      </c>
      <c r="E75" s="64">
        <v>4.78</v>
      </c>
      <c r="F75" s="64">
        <v>6.87</v>
      </c>
      <c r="G75" s="64">
        <v>67.2</v>
      </c>
      <c r="H75" s="64">
        <v>19.13</v>
      </c>
      <c r="I75" s="64">
        <v>2.06</v>
      </c>
      <c r="J75" s="64">
        <v>0.28999999999999998</v>
      </c>
      <c r="K75" s="64">
        <v>346.83</v>
      </c>
      <c r="L75" s="64">
        <v>31.16</v>
      </c>
      <c r="M75" s="64">
        <v>85.72</v>
      </c>
      <c r="N75" s="64">
        <v>217</v>
      </c>
      <c r="O75" s="64">
        <v>0</v>
      </c>
      <c r="P75" s="64">
        <v>0.44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48" t="s">
        <v>1848</v>
      </c>
      <c r="B76" s="64">
        <v>7.9</v>
      </c>
      <c r="C76" s="64">
        <v>2.99</v>
      </c>
      <c r="D76" s="64">
        <v>11.67</v>
      </c>
      <c r="E76" s="64">
        <v>4.97</v>
      </c>
      <c r="F76" s="64">
        <v>7.57</v>
      </c>
      <c r="G76" s="64">
        <v>0</v>
      </c>
      <c r="H76" s="64">
        <v>19.13</v>
      </c>
      <c r="I76" s="64">
        <v>2.06</v>
      </c>
      <c r="J76" s="64">
        <v>0.32</v>
      </c>
      <c r="K76" s="64">
        <v>340.86</v>
      </c>
      <c r="L76" s="64">
        <v>101.5</v>
      </c>
      <c r="M76" s="64">
        <v>87.19</v>
      </c>
      <c r="N76" s="64">
        <v>197.5</v>
      </c>
      <c r="O76" s="64">
        <v>0</v>
      </c>
      <c r="P76" s="64">
        <v>0.44</v>
      </c>
      <c r="Q76" s="64">
        <v>0</v>
      </c>
      <c r="R76" s="198"/>
      <c r="S76" s="198"/>
      <c r="T76" s="198"/>
      <c r="U76" s="198"/>
    </row>
    <row r="77" spans="1:21" s="12" customFormat="1" x14ac:dyDescent="0.25">
      <c r="A77" s="248" t="s">
        <v>1849</v>
      </c>
      <c r="B77" s="64">
        <v>7.88</v>
      </c>
      <c r="C77" s="64">
        <v>2.95</v>
      </c>
      <c r="D77" s="64">
        <v>11.63</v>
      </c>
      <c r="E77" s="64">
        <v>4.49</v>
      </c>
      <c r="F77" s="64">
        <v>8.77</v>
      </c>
      <c r="G77" s="64">
        <v>81.11</v>
      </c>
      <c r="H77" s="64">
        <v>31.57</v>
      </c>
      <c r="I77" s="64">
        <v>1.97</v>
      </c>
      <c r="J77" s="64">
        <v>0.21</v>
      </c>
      <c r="K77" s="64">
        <v>355.51</v>
      </c>
      <c r="L77" s="64">
        <v>30.58</v>
      </c>
      <c r="M77" s="64">
        <v>89.32</v>
      </c>
      <c r="N77" s="64">
        <v>141.9</v>
      </c>
      <c r="O77" s="64">
        <v>0</v>
      </c>
      <c r="P77" s="64">
        <v>0.43</v>
      </c>
      <c r="Q77" s="64">
        <v>0</v>
      </c>
      <c r="R77" s="198"/>
      <c r="S77" s="198"/>
      <c r="T77" s="198"/>
      <c r="U77" s="198"/>
    </row>
    <row r="78" spans="1:21" s="12" customFormat="1" x14ac:dyDescent="0.25">
      <c r="A78" s="248" t="s">
        <v>1850</v>
      </c>
      <c r="B78" s="64">
        <v>7.87</v>
      </c>
      <c r="C78" s="64">
        <v>2.97</v>
      </c>
      <c r="D78" s="64">
        <v>11.64</v>
      </c>
      <c r="E78" s="64">
        <v>4.34</v>
      </c>
      <c r="F78" s="64">
        <v>6.56</v>
      </c>
      <c r="G78" s="64">
        <v>81.11</v>
      </c>
      <c r="H78" s="64">
        <v>31.57</v>
      </c>
      <c r="I78" s="64">
        <v>1.97</v>
      </c>
      <c r="J78" s="64">
        <v>0.2</v>
      </c>
      <c r="K78" s="64">
        <v>347.76</v>
      </c>
      <c r="L78" s="64">
        <v>30.21</v>
      </c>
      <c r="M78" s="64">
        <v>90.67</v>
      </c>
      <c r="N78" s="64">
        <v>119.9</v>
      </c>
      <c r="O78" s="64">
        <v>0</v>
      </c>
      <c r="P78" s="64">
        <v>0.43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48" t="s">
        <v>1851</v>
      </c>
      <c r="B79" s="64">
        <v>7.91</v>
      </c>
      <c r="C79" s="64">
        <v>3.05</v>
      </c>
      <c r="D79" s="64">
        <v>11.71</v>
      </c>
      <c r="E79" s="64">
        <v>4.6100000000000003</v>
      </c>
      <c r="F79" s="64">
        <v>6.24</v>
      </c>
      <c r="G79" s="64">
        <v>81.11</v>
      </c>
      <c r="H79" s="64">
        <v>31.57</v>
      </c>
      <c r="I79" s="64">
        <v>1.97</v>
      </c>
      <c r="J79" s="64">
        <v>0.23</v>
      </c>
      <c r="K79" s="64">
        <v>3.14</v>
      </c>
      <c r="L79" s="64">
        <v>30.06</v>
      </c>
      <c r="M79" s="64">
        <v>92.29</v>
      </c>
      <c r="N79" s="64">
        <v>111.2</v>
      </c>
      <c r="O79" s="64">
        <v>0</v>
      </c>
      <c r="P79" s="64">
        <v>0.46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48" t="s">
        <v>1852</v>
      </c>
      <c r="B80" s="64">
        <v>7.91</v>
      </c>
      <c r="C80" s="64">
        <v>3.06</v>
      </c>
      <c r="D80" s="64">
        <v>11.71</v>
      </c>
      <c r="E80" s="64">
        <v>4.24</v>
      </c>
      <c r="F80" s="64">
        <v>5.74</v>
      </c>
      <c r="G80" s="64">
        <v>81.11</v>
      </c>
      <c r="H80" s="64">
        <v>31.57</v>
      </c>
      <c r="I80" s="64">
        <v>1.97</v>
      </c>
      <c r="J80" s="64">
        <v>0.27</v>
      </c>
      <c r="K80" s="64">
        <v>2.86</v>
      </c>
      <c r="L80" s="64">
        <v>29.86</v>
      </c>
      <c r="M80" s="64">
        <v>92.67</v>
      </c>
      <c r="N80" s="64">
        <v>99.5</v>
      </c>
      <c r="O80" s="64">
        <v>0</v>
      </c>
      <c r="P80" s="64">
        <v>0.48</v>
      </c>
      <c r="Q80" s="64">
        <v>9.2100000000000009</v>
      </c>
      <c r="R80" s="198"/>
      <c r="S80" s="198"/>
      <c r="T80" s="198"/>
      <c r="U80" s="198"/>
    </row>
    <row r="81" spans="1:26" s="12" customFormat="1" x14ac:dyDescent="0.25">
      <c r="A81" s="248" t="s">
        <v>1853</v>
      </c>
      <c r="B81" s="64">
        <v>7.95</v>
      </c>
      <c r="C81" s="64">
        <v>3.18</v>
      </c>
      <c r="D81" s="64">
        <v>11.81</v>
      </c>
      <c r="E81" s="64">
        <v>4.2300000000000004</v>
      </c>
      <c r="F81" s="64">
        <v>5.18</v>
      </c>
      <c r="G81" s="64">
        <v>81.11</v>
      </c>
      <c r="H81" s="64">
        <v>31.57</v>
      </c>
      <c r="I81" s="64">
        <v>1.97</v>
      </c>
      <c r="J81" s="64">
        <v>0.17</v>
      </c>
      <c r="K81" s="64">
        <v>13.13</v>
      </c>
      <c r="L81" s="64">
        <v>29.67</v>
      </c>
      <c r="M81" s="64">
        <v>94.26</v>
      </c>
      <c r="N81" s="64">
        <v>87.1</v>
      </c>
      <c r="O81" s="64">
        <v>0</v>
      </c>
      <c r="P81" s="64">
        <v>0.54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48" t="s">
        <v>1854</v>
      </c>
      <c r="B82" s="64">
        <v>7.92</v>
      </c>
      <c r="C82" s="64">
        <v>3.04</v>
      </c>
      <c r="D82" s="64">
        <v>11.71</v>
      </c>
      <c r="E82" s="64">
        <v>4.3</v>
      </c>
      <c r="F82" s="64">
        <v>12.19</v>
      </c>
      <c r="G82" s="64">
        <v>81.11</v>
      </c>
      <c r="H82" s="64">
        <v>31.57</v>
      </c>
      <c r="I82" s="64">
        <v>2.17</v>
      </c>
      <c r="J82" s="64">
        <v>0.21</v>
      </c>
      <c r="K82" s="64">
        <v>7.54</v>
      </c>
      <c r="L82" s="64">
        <v>29.46</v>
      </c>
      <c r="M82" s="64">
        <v>95.25</v>
      </c>
      <c r="N82" s="64">
        <v>77.3</v>
      </c>
      <c r="O82" s="64">
        <v>0</v>
      </c>
      <c r="P82" s="64">
        <v>0.61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48" t="s">
        <v>1855</v>
      </c>
      <c r="B83" s="64">
        <v>7.9</v>
      </c>
      <c r="C83" s="64">
        <v>3.08</v>
      </c>
      <c r="D83" s="64">
        <v>11.72</v>
      </c>
      <c r="E83" s="64">
        <v>4.71</v>
      </c>
      <c r="F83" s="64">
        <v>10.82</v>
      </c>
      <c r="G83" s="64">
        <v>81.11</v>
      </c>
      <c r="H83" s="64">
        <v>31.57</v>
      </c>
      <c r="I83" s="64">
        <v>12.54</v>
      </c>
      <c r="J83" s="64">
        <v>0.14000000000000001</v>
      </c>
      <c r="K83" s="64">
        <v>358.8</v>
      </c>
      <c r="L83" s="64">
        <v>29.34</v>
      </c>
      <c r="M83" s="64">
        <v>95.3</v>
      </c>
      <c r="N83" s="64">
        <v>73.3</v>
      </c>
      <c r="O83" s="64">
        <v>0</v>
      </c>
      <c r="P83" s="64">
        <v>0.67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48" t="s">
        <v>1856</v>
      </c>
      <c r="B84" s="64">
        <v>7.89</v>
      </c>
      <c r="C84" s="64">
        <v>3.17</v>
      </c>
      <c r="D84" s="64">
        <v>11.76</v>
      </c>
      <c r="E84" s="64">
        <v>4.99</v>
      </c>
      <c r="F84" s="64">
        <v>8.08</v>
      </c>
      <c r="G84" s="64">
        <v>94.48</v>
      </c>
      <c r="H84" s="64">
        <v>35.979999999999997</v>
      </c>
      <c r="I84" s="64">
        <v>3.3</v>
      </c>
      <c r="J84" s="64">
        <v>0.1</v>
      </c>
      <c r="K84" s="64">
        <v>355.02</v>
      </c>
      <c r="L84" s="64">
        <v>29.14</v>
      </c>
      <c r="M84" s="64">
        <v>96.96</v>
      </c>
      <c r="N84" s="64">
        <v>72.7</v>
      </c>
      <c r="O84" s="64">
        <v>0</v>
      </c>
      <c r="P84" s="64">
        <v>0.62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48" t="s">
        <v>1857</v>
      </c>
      <c r="B85" s="64">
        <v>7.88</v>
      </c>
      <c r="C85" s="64">
        <v>3.06</v>
      </c>
      <c r="D85" s="64">
        <v>11.69</v>
      </c>
      <c r="E85" s="64">
        <v>4.57</v>
      </c>
      <c r="F85" s="64">
        <v>7.02</v>
      </c>
      <c r="G85" s="64">
        <v>100.21</v>
      </c>
      <c r="H85" s="64">
        <v>37.869999999999997</v>
      </c>
      <c r="I85" s="64">
        <v>2.96</v>
      </c>
      <c r="J85" s="64">
        <v>0.17</v>
      </c>
      <c r="K85" s="64">
        <v>344.67</v>
      </c>
      <c r="L85" s="64">
        <v>29.01</v>
      </c>
      <c r="M85" s="64">
        <v>98.2</v>
      </c>
      <c r="N85" s="64">
        <v>72.7</v>
      </c>
      <c r="O85" s="64">
        <v>0</v>
      </c>
      <c r="P85" s="64">
        <v>0.61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48" t="s">
        <v>1858</v>
      </c>
      <c r="B86" s="64">
        <v>7.91</v>
      </c>
      <c r="C86" s="64">
        <v>3.28</v>
      </c>
      <c r="D86" s="64">
        <v>11.83</v>
      </c>
      <c r="E86" s="64">
        <v>4.63</v>
      </c>
      <c r="F86" s="64">
        <v>12.27</v>
      </c>
      <c r="G86" s="64">
        <v>100.21</v>
      </c>
      <c r="H86" s="64">
        <v>37.869999999999997</v>
      </c>
      <c r="I86" s="64">
        <v>2.65</v>
      </c>
      <c r="J86" s="64">
        <v>0.15</v>
      </c>
      <c r="K86" s="64">
        <v>341.75</v>
      </c>
      <c r="L86" s="64">
        <v>28.88</v>
      </c>
      <c r="M86" s="64">
        <v>99.06</v>
      </c>
      <c r="N86" s="64">
        <v>72.900000000000006</v>
      </c>
      <c r="O86" s="64">
        <v>0</v>
      </c>
      <c r="P86" s="64">
        <v>0.83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48" t="s">
        <v>1859</v>
      </c>
      <c r="B87" s="64">
        <v>7.9</v>
      </c>
      <c r="C87" s="64">
        <v>3.21</v>
      </c>
      <c r="D87" s="64">
        <v>11.69</v>
      </c>
      <c r="E87" s="64">
        <v>4.82</v>
      </c>
      <c r="F87" s="64">
        <v>7.41</v>
      </c>
      <c r="G87" s="64">
        <v>100.21</v>
      </c>
      <c r="H87" s="64">
        <v>37.869999999999997</v>
      </c>
      <c r="I87" s="64">
        <v>2.61</v>
      </c>
      <c r="J87" s="64">
        <v>0.18</v>
      </c>
      <c r="K87" s="64">
        <v>358.46</v>
      </c>
      <c r="L87" s="64">
        <v>28.81</v>
      </c>
      <c r="M87" s="64">
        <v>99.73</v>
      </c>
      <c r="N87" s="64">
        <v>72.900000000000006</v>
      </c>
      <c r="O87" s="64">
        <v>0</v>
      </c>
      <c r="P87" s="64">
        <v>0.74</v>
      </c>
      <c r="Q87" s="64">
        <v>9.4</v>
      </c>
      <c r="R87" s="198"/>
      <c r="S87" s="198"/>
      <c r="T87" s="198"/>
      <c r="U87" s="198"/>
    </row>
    <row r="88" spans="1:26" s="12" customFormat="1" x14ac:dyDescent="0.25">
      <c r="A88" s="248" t="s">
        <v>1860</v>
      </c>
      <c r="B88" s="64">
        <v>7.86</v>
      </c>
      <c r="C88" s="64">
        <v>3.01</v>
      </c>
      <c r="D88" s="64">
        <v>11.65</v>
      </c>
      <c r="E88" s="64">
        <v>4.18</v>
      </c>
      <c r="F88" s="64">
        <v>5.98</v>
      </c>
      <c r="G88" s="64">
        <v>92.39</v>
      </c>
      <c r="H88" s="64">
        <v>30.28</v>
      </c>
      <c r="I88" s="64">
        <v>2.76</v>
      </c>
      <c r="J88" s="64">
        <v>0.17</v>
      </c>
      <c r="K88" s="64">
        <v>349.07</v>
      </c>
      <c r="L88" s="64">
        <v>28.73</v>
      </c>
      <c r="M88" s="64">
        <v>99.81</v>
      </c>
      <c r="N88" s="64">
        <v>72.8</v>
      </c>
      <c r="O88" s="64">
        <v>0</v>
      </c>
      <c r="P88" s="64">
        <v>0.67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48" t="s">
        <v>1861</v>
      </c>
      <c r="B89" s="64">
        <v>7.87</v>
      </c>
      <c r="C89" s="64">
        <v>2.97</v>
      </c>
      <c r="D89" s="64">
        <v>11.64</v>
      </c>
      <c r="E89" s="64">
        <v>4.01</v>
      </c>
      <c r="F89" s="64">
        <v>4.66</v>
      </c>
      <c r="G89" s="64">
        <v>89.03</v>
      </c>
      <c r="H89" s="64">
        <v>27.19</v>
      </c>
      <c r="I89" s="64">
        <v>2.4500000000000002</v>
      </c>
      <c r="J89" s="64">
        <v>0.15</v>
      </c>
      <c r="K89" s="64">
        <v>337.38</v>
      </c>
      <c r="L89" s="64">
        <v>28.64</v>
      </c>
      <c r="M89" s="64">
        <v>101.08</v>
      </c>
      <c r="N89" s="64">
        <v>72.900000000000006</v>
      </c>
      <c r="O89" s="64">
        <v>0</v>
      </c>
      <c r="P89" s="64">
        <v>0.67</v>
      </c>
      <c r="Q89" s="64">
        <v>9.16</v>
      </c>
      <c r="R89" s="198"/>
      <c r="S89" s="198"/>
      <c r="T89" s="198"/>
      <c r="U89" s="198"/>
    </row>
    <row r="90" spans="1:26" s="12" customFormat="1" x14ac:dyDescent="0.25">
      <c r="A90" s="248" t="s">
        <v>1862</v>
      </c>
      <c r="B90" s="64">
        <v>7.92</v>
      </c>
      <c r="C90" s="64">
        <v>3.09</v>
      </c>
      <c r="D90" s="64">
        <v>11.74</v>
      </c>
      <c r="E90" s="64">
        <v>3.82</v>
      </c>
      <c r="F90" s="64">
        <v>3.86</v>
      </c>
      <c r="G90" s="64">
        <v>89.03</v>
      </c>
      <c r="H90" s="64">
        <v>27.19</v>
      </c>
      <c r="I90" s="64">
        <v>2.4500000000000002</v>
      </c>
      <c r="J90" s="64">
        <v>0.1</v>
      </c>
      <c r="K90" s="64">
        <v>287.20999999999998</v>
      </c>
      <c r="L90" s="64">
        <v>28.49</v>
      </c>
      <c r="M90" s="64">
        <v>101.73</v>
      </c>
      <c r="N90" s="64">
        <v>72.900000000000006</v>
      </c>
      <c r="O90" s="64">
        <v>0</v>
      </c>
      <c r="P90" s="64">
        <v>0.69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48" t="s">
        <v>1863</v>
      </c>
      <c r="B91" s="64">
        <v>7.9</v>
      </c>
      <c r="C91" s="64">
        <v>3.02</v>
      </c>
      <c r="D91" s="64">
        <v>11.68</v>
      </c>
      <c r="E91" s="64">
        <v>3.76</v>
      </c>
      <c r="F91" s="64">
        <v>3.8</v>
      </c>
      <c r="G91" s="64">
        <v>89.03</v>
      </c>
      <c r="H91" s="64">
        <v>27.19</v>
      </c>
      <c r="I91" s="64">
        <v>2.5499999999999998</v>
      </c>
      <c r="J91" s="64">
        <v>7.0000000000000007E-2</v>
      </c>
      <c r="K91" s="64">
        <v>217.71</v>
      </c>
      <c r="L91" s="64">
        <v>28.37</v>
      </c>
      <c r="M91" s="64">
        <v>102.09</v>
      </c>
      <c r="N91" s="64">
        <v>73</v>
      </c>
      <c r="O91" s="64">
        <v>0</v>
      </c>
      <c r="P91" s="64">
        <v>0.69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48" t="s">
        <v>1864</v>
      </c>
      <c r="B92" s="64">
        <v>7.95</v>
      </c>
      <c r="C92" s="64">
        <v>3.09</v>
      </c>
      <c r="D92" s="64">
        <v>11.77</v>
      </c>
      <c r="E92" s="64">
        <v>4.0199999999999996</v>
      </c>
      <c r="F92" s="64">
        <v>3.54</v>
      </c>
      <c r="G92" s="64">
        <v>109.74</v>
      </c>
      <c r="H92" s="64">
        <v>47.49</v>
      </c>
      <c r="I92" s="64">
        <v>2.73</v>
      </c>
      <c r="J92" s="64">
        <v>7.0000000000000007E-2</v>
      </c>
      <c r="K92" s="64">
        <v>249.11</v>
      </c>
      <c r="L92" s="64">
        <v>28.23</v>
      </c>
      <c r="M92" s="64">
        <v>102.33</v>
      </c>
      <c r="N92" s="64">
        <v>73.3</v>
      </c>
      <c r="O92" s="64">
        <v>0</v>
      </c>
      <c r="P92" s="64">
        <v>0.69</v>
      </c>
      <c r="Q92" s="64">
        <v>9.27</v>
      </c>
      <c r="R92" s="198"/>
      <c r="S92" s="198"/>
      <c r="T92" s="198"/>
      <c r="U92" s="198"/>
    </row>
    <row r="93" spans="1:26" s="12" customFormat="1" x14ac:dyDescent="0.25">
      <c r="A93" s="248" t="s">
        <v>1865</v>
      </c>
      <c r="B93" s="64">
        <v>7.95</v>
      </c>
      <c r="C93" s="64">
        <v>3.06</v>
      </c>
      <c r="D93" s="64">
        <v>11.75</v>
      </c>
      <c r="E93" s="64">
        <v>3.73</v>
      </c>
      <c r="F93" s="64">
        <v>3.67</v>
      </c>
      <c r="G93" s="64">
        <v>118.61</v>
      </c>
      <c r="H93" s="64">
        <v>56.2</v>
      </c>
      <c r="I93" s="64">
        <v>2.89</v>
      </c>
      <c r="J93" s="64">
        <v>0.12</v>
      </c>
      <c r="K93" s="64">
        <v>319.44</v>
      </c>
      <c r="L93" s="64">
        <v>28.19</v>
      </c>
      <c r="M93" s="64">
        <v>102.29</v>
      </c>
      <c r="N93" s="64">
        <v>73.400000000000006</v>
      </c>
      <c r="O93" s="64">
        <v>0</v>
      </c>
      <c r="P93" s="64">
        <v>0.68</v>
      </c>
      <c r="Q93" s="64">
        <v>9.36</v>
      </c>
      <c r="R93" s="198"/>
      <c r="S93" s="198"/>
      <c r="T93" s="198"/>
      <c r="U93" s="198"/>
    </row>
    <row r="94" spans="1:26" s="12" customFormat="1" x14ac:dyDescent="0.25">
      <c r="A94" s="248" t="s">
        <v>1866</v>
      </c>
      <c r="B94" s="64">
        <v>7.94</v>
      </c>
      <c r="C94" s="64">
        <v>2.97</v>
      </c>
      <c r="D94" s="64">
        <v>11.69</v>
      </c>
      <c r="E94" s="64">
        <v>3.86</v>
      </c>
      <c r="F94" s="64">
        <v>3.76</v>
      </c>
      <c r="G94" s="64">
        <v>118.61</v>
      </c>
      <c r="H94" s="64">
        <v>56.2</v>
      </c>
      <c r="I94" s="64">
        <v>2.99</v>
      </c>
      <c r="J94" s="64">
        <v>0.13</v>
      </c>
      <c r="K94" s="64">
        <v>333.05</v>
      </c>
      <c r="L94" s="64">
        <v>28.11</v>
      </c>
      <c r="M94" s="64">
        <v>102.49</v>
      </c>
      <c r="N94" s="64">
        <v>73.3</v>
      </c>
      <c r="O94" s="64">
        <v>0</v>
      </c>
      <c r="P94" s="64">
        <v>0.68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48" t="s">
        <v>1867</v>
      </c>
      <c r="B95" s="64">
        <v>7.93</v>
      </c>
      <c r="C95" s="64">
        <v>2.95</v>
      </c>
      <c r="D95" s="64">
        <v>11.67</v>
      </c>
      <c r="E95" s="64">
        <v>3.65</v>
      </c>
      <c r="F95" s="64">
        <v>4.78</v>
      </c>
      <c r="G95" s="64">
        <v>118.61</v>
      </c>
      <c r="H95" s="64">
        <v>56.2</v>
      </c>
      <c r="I95" s="64">
        <v>3.1</v>
      </c>
      <c r="J95" s="64">
        <v>0.15</v>
      </c>
      <c r="K95" s="64">
        <v>340.57</v>
      </c>
      <c r="L95" s="64">
        <v>28.01</v>
      </c>
      <c r="M95" s="64">
        <v>102.55</v>
      </c>
      <c r="N95" s="64">
        <v>73.400000000000006</v>
      </c>
      <c r="O95" s="64">
        <v>0</v>
      </c>
      <c r="P95" s="64">
        <v>0.68</v>
      </c>
      <c r="Q95" s="64">
        <v>9.43</v>
      </c>
      <c r="R95" s="198"/>
      <c r="S95" s="198"/>
      <c r="T95" s="198"/>
      <c r="U95" s="198"/>
    </row>
    <row r="96" spans="1:26" s="12" customFormat="1" x14ac:dyDescent="0.25">
      <c r="A96" s="248" t="s">
        <v>1868</v>
      </c>
      <c r="B96" s="64">
        <v>7.91</v>
      </c>
      <c r="C96" s="64">
        <v>2.96</v>
      </c>
      <c r="D96" s="64">
        <v>11.66</v>
      </c>
      <c r="E96" s="64">
        <v>4.3899999999999997</v>
      </c>
      <c r="F96" s="64">
        <v>4.4400000000000004</v>
      </c>
      <c r="G96" s="64">
        <v>115.67</v>
      </c>
      <c r="H96" s="64">
        <v>44.24</v>
      </c>
      <c r="I96" s="64">
        <v>3.14</v>
      </c>
      <c r="J96" s="64">
        <v>0.21</v>
      </c>
      <c r="K96" s="64">
        <v>359.98</v>
      </c>
      <c r="L96" s="64">
        <v>27.89</v>
      </c>
      <c r="M96" s="64">
        <v>102.56</v>
      </c>
      <c r="N96" s="64">
        <v>73.400000000000006</v>
      </c>
      <c r="O96" s="64">
        <v>0</v>
      </c>
      <c r="P96" s="64">
        <v>0.69</v>
      </c>
      <c r="Q96" s="64">
        <v>9.42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1869</v>
      </c>
      <c r="B97" s="64">
        <v>7.91</v>
      </c>
      <c r="C97" s="64">
        <v>2.93</v>
      </c>
      <c r="D97" s="64">
        <v>11.65</v>
      </c>
      <c r="E97" s="64">
        <v>4.1100000000000003</v>
      </c>
      <c r="F97" s="64">
        <v>2.16</v>
      </c>
      <c r="G97" s="64">
        <v>114.41</v>
      </c>
      <c r="H97" s="64">
        <v>39.39</v>
      </c>
      <c r="I97" s="64">
        <v>3.15</v>
      </c>
      <c r="J97" s="64">
        <v>0.16</v>
      </c>
      <c r="K97" s="64">
        <v>337.36</v>
      </c>
      <c r="L97" s="64">
        <v>27.75</v>
      </c>
      <c r="M97" s="64">
        <v>102.56</v>
      </c>
      <c r="N97" s="64">
        <v>73.3</v>
      </c>
      <c r="O97" s="64">
        <v>0</v>
      </c>
      <c r="P97" s="64">
        <v>0.67</v>
      </c>
      <c r="Q97" s="64">
        <v>9.32</v>
      </c>
      <c r="R97" s="198"/>
      <c r="S97" s="198"/>
      <c r="T97" s="198"/>
      <c r="U97" s="198"/>
    </row>
    <row r="98" spans="1:33" s="12" customFormat="1" x14ac:dyDescent="0.25">
      <c r="A98" s="248" t="s">
        <v>1870</v>
      </c>
      <c r="B98" s="64">
        <v>7.9</v>
      </c>
      <c r="C98" s="64">
        <v>2.93</v>
      </c>
      <c r="D98" s="64">
        <v>11.64</v>
      </c>
      <c r="E98" s="64">
        <v>4.03</v>
      </c>
      <c r="F98" s="64">
        <v>4.42</v>
      </c>
      <c r="G98" s="64">
        <v>114.41</v>
      </c>
      <c r="H98" s="64">
        <v>39.39</v>
      </c>
      <c r="I98" s="64">
        <v>3.18</v>
      </c>
      <c r="J98" s="64">
        <v>0.14000000000000001</v>
      </c>
      <c r="K98" s="64">
        <v>343.06</v>
      </c>
      <c r="L98" s="64">
        <v>27.72</v>
      </c>
      <c r="M98" s="64">
        <v>102.36</v>
      </c>
      <c r="N98" s="64">
        <v>73.400000000000006</v>
      </c>
      <c r="O98" s="64">
        <v>0</v>
      </c>
      <c r="P98" s="64">
        <v>0.67</v>
      </c>
      <c r="Q98" s="64">
        <v>9.31</v>
      </c>
      <c r="R98" s="198"/>
      <c r="S98" s="198"/>
      <c r="T98" s="198"/>
      <c r="U98" s="198"/>
    </row>
    <row r="99" spans="1:33" s="12" customFormat="1" x14ac:dyDescent="0.25">
      <c r="A99" s="248" t="s">
        <v>1871</v>
      </c>
      <c r="B99" s="64">
        <v>7.93</v>
      </c>
      <c r="C99" s="64">
        <v>3.02</v>
      </c>
      <c r="D99" s="64">
        <v>11.71</v>
      </c>
      <c r="E99" s="64">
        <v>4.13</v>
      </c>
      <c r="F99" s="64">
        <v>2.4</v>
      </c>
      <c r="G99" s="64">
        <v>114.41</v>
      </c>
      <c r="H99" s="64">
        <v>39.39</v>
      </c>
      <c r="I99" s="64">
        <v>3.15</v>
      </c>
      <c r="J99" s="64">
        <v>0.11</v>
      </c>
      <c r="K99" s="64">
        <v>26.78</v>
      </c>
      <c r="L99" s="64">
        <v>27.49</v>
      </c>
      <c r="M99" s="64">
        <v>102.3</v>
      </c>
      <c r="N99" s="64">
        <v>73.5</v>
      </c>
      <c r="O99" s="64">
        <v>0</v>
      </c>
      <c r="P99" s="64">
        <v>0.66</v>
      </c>
      <c r="Q99" s="64">
        <v>9.35</v>
      </c>
      <c r="R99" s="198"/>
      <c r="S99" s="198"/>
      <c r="T99" s="198"/>
      <c r="U99" s="198"/>
    </row>
    <row r="100" spans="1:33" s="12" customFormat="1" x14ac:dyDescent="0.25">
      <c r="A100" s="248" t="s">
        <v>1872</v>
      </c>
      <c r="B100" s="64">
        <v>7.93</v>
      </c>
      <c r="C100" s="64">
        <v>2.97</v>
      </c>
      <c r="D100" s="64">
        <v>11.69</v>
      </c>
      <c r="E100" s="64">
        <v>4</v>
      </c>
      <c r="F100" s="64">
        <v>4.13</v>
      </c>
      <c r="G100" s="64">
        <v>116.67</v>
      </c>
      <c r="H100" s="64">
        <v>28.92</v>
      </c>
      <c r="I100" s="64">
        <v>3.19</v>
      </c>
      <c r="J100" s="64">
        <v>0.14000000000000001</v>
      </c>
      <c r="K100" s="64">
        <v>348.73</v>
      </c>
      <c r="L100" s="64">
        <v>27.43</v>
      </c>
      <c r="M100" s="64">
        <v>102.51</v>
      </c>
      <c r="N100" s="64">
        <v>73.5</v>
      </c>
      <c r="O100" s="64">
        <v>0</v>
      </c>
      <c r="P100" s="64">
        <v>0.64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1873</v>
      </c>
      <c r="B101" s="64">
        <v>7.92</v>
      </c>
      <c r="C101" s="64">
        <v>2.98</v>
      </c>
      <c r="D101" s="64">
        <v>11.68</v>
      </c>
      <c r="E101" s="64">
        <v>4.3600000000000003</v>
      </c>
      <c r="F101" s="64">
        <v>2.97</v>
      </c>
      <c r="G101" s="64">
        <v>117.63</v>
      </c>
      <c r="H101" s="64">
        <v>24.67</v>
      </c>
      <c r="I101" s="64">
        <v>3.19</v>
      </c>
      <c r="J101" s="64">
        <v>0.21</v>
      </c>
      <c r="K101" s="64">
        <v>352.44</v>
      </c>
      <c r="L101" s="64">
        <v>27.38</v>
      </c>
      <c r="M101" s="64">
        <v>102.15</v>
      </c>
      <c r="N101" s="64">
        <v>73.400000000000006</v>
      </c>
      <c r="O101" s="64">
        <v>0</v>
      </c>
      <c r="P101" s="64">
        <v>0.64</v>
      </c>
      <c r="Q101" s="64">
        <v>9.39</v>
      </c>
      <c r="R101" s="198"/>
      <c r="S101" s="198"/>
      <c r="T101" s="198"/>
      <c r="U101" s="198"/>
    </row>
    <row r="102" spans="1:33" s="12" customFormat="1" x14ac:dyDescent="0.25">
      <c r="A102" s="248" t="s">
        <v>1874</v>
      </c>
      <c r="B102" s="64">
        <v>7.95</v>
      </c>
      <c r="C102" s="64">
        <v>3.03</v>
      </c>
      <c r="D102" s="64">
        <v>11.73</v>
      </c>
      <c r="E102" s="64">
        <v>4.28</v>
      </c>
      <c r="F102" s="64">
        <v>2.94</v>
      </c>
      <c r="G102" s="64">
        <v>117.63</v>
      </c>
      <c r="H102" s="64">
        <v>24.67</v>
      </c>
      <c r="I102" s="64">
        <v>3.22</v>
      </c>
      <c r="J102" s="64">
        <v>0.14000000000000001</v>
      </c>
      <c r="K102" s="64">
        <v>320.11</v>
      </c>
      <c r="L102" s="64">
        <v>27.47</v>
      </c>
      <c r="M102" s="64">
        <v>102.04</v>
      </c>
      <c r="N102" s="64">
        <v>73.599999999999994</v>
      </c>
      <c r="O102" s="64">
        <v>0</v>
      </c>
      <c r="P102" s="64">
        <v>0.61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48" t="s">
        <v>1875</v>
      </c>
      <c r="B103" s="64">
        <v>7.92</v>
      </c>
      <c r="C103" s="64">
        <v>2.96</v>
      </c>
      <c r="D103" s="64">
        <v>11.68</v>
      </c>
      <c r="E103" s="64">
        <v>4.2</v>
      </c>
      <c r="F103" s="64">
        <v>4.3099999999999996</v>
      </c>
      <c r="G103" s="64">
        <v>117.63</v>
      </c>
      <c r="H103" s="64">
        <v>24.67</v>
      </c>
      <c r="I103" s="64">
        <v>3.16</v>
      </c>
      <c r="J103" s="64">
        <v>0.2</v>
      </c>
      <c r="K103" s="64">
        <v>357.27</v>
      </c>
      <c r="L103" s="64">
        <v>27.31</v>
      </c>
      <c r="M103" s="64">
        <v>102.16</v>
      </c>
      <c r="N103" s="64">
        <v>73.8</v>
      </c>
      <c r="O103" s="64">
        <v>0</v>
      </c>
      <c r="P103" s="64">
        <v>0.6</v>
      </c>
      <c r="Q103" s="64">
        <v>9.33</v>
      </c>
      <c r="R103" s="198"/>
      <c r="S103" s="198"/>
      <c r="T103" s="198"/>
      <c r="U103" s="198"/>
    </row>
    <row r="104" spans="1:33" s="12" customFormat="1" x14ac:dyDescent="0.25">
      <c r="A104" s="248" t="s">
        <v>1876</v>
      </c>
      <c r="B104" s="64">
        <v>7.92</v>
      </c>
      <c r="C104" s="64">
        <v>2.91</v>
      </c>
      <c r="D104" s="64">
        <v>11.64</v>
      </c>
      <c r="E104" s="64">
        <v>4.34</v>
      </c>
      <c r="F104" s="64">
        <v>3.51</v>
      </c>
      <c r="G104" s="64">
        <v>112.25</v>
      </c>
      <c r="H104" s="64">
        <v>31.76</v>
      </c>
      <c r="I104" s="64">
        <v>3.09</v>
      </c>
      <c r="J104" s="64">
        <v>0.18</v>
      </c>
      <c r="K104" s="64">
        <v>329.1</v>
      </c>
      <c r="L104" s="64">
        <v>27.32</v>
      </c>
      <c r="M104" s="64">
        <v>102.46</v>
      </c>
      <c r="N104" s="64">
        <v>73.900000000000006</v>
      </c>
      <c r="O104" s="64">
        <v>0</v>
      </c>
      <c r="P104" s="64">
        <v>0.59</v>
      </c>
      <c r="Q104" s="64">
        <v>9.3699999999999992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7.84</v>
      </c>
      <c r="C106" s="67">
        <f>MIN(C9:C104)</f>
        <v>2.91</v>
      </c>
      <c r="D106" s="67">
        <f t="shared" ref="D106:Q106" si="0">MIN(D9:D104)</f>
        <v>11.59</v>
      </c>
      <c r="E106" s="67">
        <f t="shared" si="0"/>
        <v>3.37</v>
      </c>
      <c r="F106" s="67">
        <f t="shared" si="0"/>
        <v>2.16</v>
      </c>
      <c r="G106" s="67">
        <f t="shared" si="0"/>
        <v>0</v>
      </c>
      <c r="H106" s="67">
        <f t="shared" si="0"/>
        <v>3.22</v>
      </c>
      <c r="I106" s="67">
        <f t="shared" si="0"/>
        <v>1.42</v>
      </c>
      <c r="J106" s="67">
        <f t="shared" si="0"/>
        <v>0.06</v>
      </c>
      <c r="K106" s="67">
        <f t="shared" si="0"/>
        <v>1.27</v>
      </c>
      <c r="L106" s="67">
        <f t="shared" si="0"/>
        <v>25.61</v>
      </c>
      <c r="M106" s="67">
        <f t="shared" si="0"/>
        <v>76.64</v>
      </c>
      <c r="N106" s="67">
        <f t="shared" si="0"/>
        <v>50.5</v>
      </c>
      <c r="O106" s="67">
        <f t="shared" si="0"/>
        <v>0</v>
      </c>
      <c r="P106" s="67">
        <f t="shared" si="0"/>
        <v>0.36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8.7100000000000009</v>
      </c>
      <c r="C107" s="66">
        <f t="shared" ref="C107:Q107" si="1">MAX(C9:C104)</f>
        <v>4.03</v>
      </c>
      <c r="D107" s="66">
        <f t="shared" si="1"/>
        <v>12.87</v>
      </c>
      <c r="E107" s="66">
        <f t="shared" si="1"/>
        <v>5.82</v>
      </c>
      <c r="F107" s="66">
        <f t="shared" si="1"/>
        <v>12.27</v>
      </c>
      <c r="G107" s="66">
        <f t="shared" si="1"/>
        <v>118.82</v>
      </c>
      <c r="H107" s="66">
        <f t="shared" si="1"/>
        <v>56.2</v>
      </c>
      <c r="I107" s="66">
        <f t="shared" si="1"/>
        <v>12.54</v>
      </c>
      <c r="J107" s="66">
        <f t="shared" si="1"/>
        <v>0.45</v>
      </c>
      <c r="K107" s="66">
        <f t="shared" si="1"/>
        <v>359.98</v>
      </c>
      <c r="L107" s="66">
        <f t="shared" si="1"/>
        <v>101.5</v>
      </c>
      <c r="M107" s="66">
        <f t="shared" si="1"/>
        <v>103.19</v>
      </c>
      <c r="N107" s="66">
        <f t="shared" si="1"/>
        <v>896</v>
      </c>
      <c r="O107" s="66">
        <f t="shared" si="1"/>
        <v>0</v>
      </c>
      <c r="P107" s="66">
        <f t="shared" si="1"/>
        <v>0.93</v>
      </c>
      <c r="Q107" s="66">
        <f t="shared" si="1"/>
        <v>10.220000000000001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7.9693749999999932</v>
      </c>
      <c r="C108" s="67">
        <f t="shared" ref="C108:Q108" si="2">AVERAGE(C9:C104)</f>
        <v>3.0569791666666668</v>
      </c>
      <c r="D108" s="67">
        <f t="shared" si="2"/>
        <v>11.761354166666679</v>
      </c>
      <c r="E108" s="67">
        <f t="shared" si="2"/>
        <v>4.3271875</v>
      </c>
      <c r="F108" s="67">
        <f t="shared" si="2"/>
        <v>4.595416666666666</v>
      </c>
      <c r="G108" s="67">
        <f t="shared" si="2"/>
        <v>78.068229166666654</v>
      </c>
      <c r="H108" s="67">
        <f t="shared" si="2"/>
        <v>28.191041666666653</v>
      </c>
      <c r="I108" s="67">
        <f t="shared" si="2"/>
        <v>3.4605208333333337</v>
      </c>
      <c r="J108" s="67">
        <f t="shared" si="2"/>
        <v>0.21625000000000003</v>
      </c>
      <c r="K108" s="67">
        <f t="shared" si="2"/>
        <v>310.30010416666653</v>
      </c>
      <c r="L108" s="67">
        <f t="shared" si="2"/>
        <v>29.20635416666666</v>
      </c>
      <c r="M108" s="67">
        <f t="shared" si="2"/>
        <v>95.468854166666645</v>
      </c>
      <c r="N108" s="67">
        <f t="shared" si="2"/>
        <v>221.63020833333346</v>
      </c>
      <c r="O108" s="67">
        <f t="shared" si="2"/>
        <v>0</v>
      </c>
      <c r="P108" s="67">
        <f t="shared" si="2"/>
        <v>0.57874999999999976</v>
      </c>
      <c r="Q108" s="67">
        <f t="shared" si="2"/>
        <v>9.2466666666666644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0.10213316900266201</v>
      </c>
      <c r="C109" s="67">
        <f t="shared" ref="C109:Q109" si="3">STDEV(C9:C104)</f>
        <v>0.12530484757008165</v>
      </c>
      <c r="D109" s="67">
        <f t="shared" si="3"/>
        <v>0.14205721450522119</v>
      </c>
      <c r="E109" s="67">
        <f t="shared" si="3"/>
        <v>0.53678909535751518</v>
      </c>
      <c r="F109" s="67">
        <f t="shared" si="3"/>
        <v>1.9151346890474814</v>
      </c>
      <c r="G109" s="67">
        <f t="shared" si="3"/>
        <v>24.508508468641232</v>
      </c>
      <c r="H109" s="67">
        <f t="shared" si="3"/>
        <v>11.649792722725051</v>
      </c>
      <c r="I109" s="67">
        <f t="shared" si="3"/>
        <v>1.6882338138088937</v>
      </c>
      <c r="J109" s="67">
        <f t="shared" si="3"/>
        <v>7.8850291191932972E-2</v>
      </c>
      <c r="K109" s="67">
        <f t="shared" si="3"/>
        <v>82.656814174409334</v>
      </c>
      <c r="L109" s="67">
        <f t="shared" si="3"/>
        <v>7.7713698744736996</v>
      </c>
      <c r="M109" s="67">
        <f t="shared" si="3"/>
        <v>8.6238910340972215</v>
      </c>
      <c r="N109" s="67">
        <f t="shared" si="3"/>
        <v>235.99649333692341</v>
      </c>
      <c r="O109" s="67">
        <f t="shared" si="3"/>
        <v>0</v>
      </c>
      <c r="P109" s="67">
        <f t="shared" si="3"/>
        <v>0.13986647768120644</v>
      </c>
      <c r="Q109" s="67">
        <f t="shared" si="3"/>
        <v>1.3829675694843999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9" sqref="G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1877</v>
      </c>
      <c r="B9" s="64">
        <v>7.94</v>
      </c>
      <c r="C9" s="64">
        <v>2.94</v>
      </c>
      <c r="D9" s="64">
        <v>11.68</v>
      </c>
      <c r="E9" s="64">
        <v>3.99</v>
      </c>
      <c r="F9" s="64">
        <v>3.74</v>
      </c>
      <c r="G9" s="64">
        <v>109.95</v>
      </c>
      <c r="H9" s="64">
        <v>34.799999999999997</v>
      </c>
      <c r="I9" s="64">
        <v>3.03</v>
      </c>
      <c r="J9" s="64">
        <v>0.19</v>
      </c>
      <c r="K9" s="64">
        <v>329.56</v>
      </c>
      <c r="L9" s="64">
        <v>27.31</v>
      </c>
      <c r="M9" s="64">
        <v>102.13</v>
      </c>
      <c r="N9" s="64">
        <v>73.8</v>
      </c>
      <c r="O9" s="64">
        <v>0</v>
      </c>
      <c r="P9" s="64">
        <v>0.56000000000000005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48" t="s">
        <v>1878</v>
      </c>
      <c r="B10" s="64">
        <v>7.93</v>
      </c>
      <c r="C10" s="64">
        <v>2.92</v>
      </c>
      <c r="D10" s="64">
        <v>11.66</v>
      </c>
      <c r="E10" s="64">
        <v>4.17</v>
      </c>
      <c r="F10" s="64">
        <v>3.7</v>
      </c>
      <c r="G10" s="64">
        <v>109.95</v>
      </c>
      <c r="H10" s="64">
        <v>34.799999999999997</v>
      </c>
      <c r="I10" s="64">
        <v>3.01</v>
      </c>
      <c r="J10" s="64">
        <v>0.19</v>
      </c>
      <c r="K10" s="64">
        <v>343.54</v>
      </c>
      <c r="L10" s="64">
        <v>27.46</v>
      </c>
      <c r="M10" s="64">
        <v>102.07</v>
      </c>
      <c r="N10" s="64">
        <v>73.8</v>
      </c>
      <c r="O10" s="64">
        <v>0</v>
      </c>
      <c r="P10" s="64">
        <v>0.55000000000000004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48" t="s">
        <v>1879</v>
      </c>
      <c r="B11" s="64">
        <v>7.93</v>
      </c>
      <c r="C11" s="64">
        <v>2.9</v>
      </c>
      <c r="D11" s="64">
        <v>11.65</v>
      </c>
      <c r="E11" s="64">
        <v>4.18</v>
      </c>
      <c r="F11" s="64">
        <v>3.58</v>
      </c>
      <c r="G11" s="64">
        <v>109.95</v>
      </c>
      <c r="H11" s="64">
        <v>34.799999999999997</v>
      </c>
      <c r="I11" s="64">
        <v>3</v>
      </c>
      <c r="J11" s="64">
        <v>0.13</v>
      </c>
      <c r="K11" s="64">
        <v>335.79</v>
      </c>
      <c r="L11" s="64">
        <v>27.38</v>
      </c>
      <c r="M11" s="64">
        <v>102.18</v>
      </c>
      <c r="N11" s="64">
        <v>73.8</v>
      </c>
      <c r="O11" s="64">
        <v>0</v>
      </c>
      <c r="P11" s="64">
        <v>0.53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48" t="s">
        <v>1880</v>
      </c>
      <c r="B12" s="64">
        <v>7.95</v>
      </c>
      <c r="C12" s="64">
        <v>2.91</v>
      </c>
      <c r="D12" s="64">
        <v>11.67</v>
      </c>
      <c r="E12" s="64">
        <v>4.1500000000000004</v>
      </c>
      <c r="F12" s="64">
        <v>3.56</v>
      </c>
      <c r="G12" s="64">
        <v>106.71</v>
      </c>
      <c r="H12" s="64">
        <v>25.65</v>
      </c>
      <c r="I12" s="64">
        <v>2.97</v>
      </c>
      <c r="J12" s="64">
        <v>0.16</v>
      </c>
      <c r="K12" s="64">
        <v>344.97</v>
      </c>
      <c r="L12" s="64">
        <v>27.34</v>
      </c>
      <c r="M12" s="64">
        <v>102.42</v>
      </c>
      <c r="N12" s="64">
        <v>74.099999999999994</v>
      </c>
      <c r="O12" s="64">
        <v>0</v>
      </c>
      <c r="P12" s="64">
        <v>0.52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48" t="s">
        <v>1881</v>
      </c>
      <c r="B13" s="64">
        <v>7.97</v>
      </c>
      <c r="C13" s="64">
        <v>2.96</v>
      </c>
      <c r="D13" s="64">
        <v>11.71</v>
      </c>
      <c r="E13" s="64">
        <v>3.95</v>
      </c>
      <c r="F13" s="64">
        <v>3.64</v>
      </c>
      <c r="G13" s="64">
        <v>105.39</v>
      </c>
      <c r="H13" s="64">
        <v>21.74</v>
      </c>
      <c r="I13" s="64">
        <v>3.13</v>
      </c>
      <c r="J13" s="64">
        <v>0.23</v>
      </c>
      <c r="K13" s="64">
        <v>336.48</v>
      </c>
      <c r="L13" s="64">
        <v>27.35</v>
      </c>
      <c r="M13" s="64">
        <v>102.04</v>
      </c>
      <c r="N13" s="64">
        <v>74.2</v>
      </c>
      <c r="O13" s="64">
        <v>0</v>
      </c>
      <c r="P13" s="64">
        <v>0.48</v>
      </c>
      <c r="Q13" s="64">
        <v>9.36</v>
      </c>
      <c r="R13" s="198"/>
      <c r="S13" s="198"/>
      <c r="T13" s="198"/>
      <c r="U13" s="198"/>
    </row>
    <row r="14" spans="1:21" s="12" customFormat="1" x14ac:dyDescent="0.25">
      <c r="A14" s="248" t="s">
        <v>1882</v>
      </c>
      <c r="B14" s="64">
        <v>7.93</v>
      </c>
      <c r="C14" s="64">
        <v>2.96</v>
      </c>
      <c r="D14" s="64">
        <v>11.68</v>
      </c>
      <c r="E14" s="64">
        <v>4.2300000000000004</v>
      </c>
      <c r="F14" s="64">
        <v>3.57</v>
      </c>
      <c r="G14" s="64">
        <v>105.39</v>
      </c>
      <c r="H14" s="64">
        <v>21.74</v>
      </c>
      <c r="I14" s="64">
        <v>3.14</v>
      </c>
      <c r="J14" s="64">
        <v>0.2</v>
      </c>
      <c r="K14" s="64">
        <v>343.3</v>
      </c>
      <c r="L14" s="64">
        <v>27.38</v>
      </c>
      <c r="M14" s="64">
        <v>102.05</v>
      </c>
      <c r="N14" s="64">
        <v>74.5</v>
      </c>
      <c r="O14" s="64">
        <v>0</v>
      </c>
      <c r="P14" s="64">
        <v>0.49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48" t="s">
        <v>1883</v>
      </c>
      <c r="B15" s="64">
        <v>7.95</v>
      </c>
      <c r="C15" s="64">
        <v>2.94</v>
      </c>
      <c r="D15" s="64">
        <v>11.68</v>
      </c>
      <c r="E15" s="64">
        <v>3.83</v>
      </c>
      <c r="F15" s="64">
        <v>3.64</v>
      </c>
      <c r="G15" s="64">
        <v>105.39</v>
      </c>
      <c r="H15" s="64">
        <v>21.74</v>
      </c>
      <c r="I15" s="64">
        <v>3.08</v>
      </c>
      <c r="J15" s="64">
        <v>0.16</v>
      </c>
      <c r="K15" s="64">
        <v>338.49</v>
      </c>
      <c r="L15" s="64">
        <v>27.1</v>
      </c>
      <c r="M15" s="64">
        <v>102.18</v>
      </c>
      <c r="N15" s="64">
        <v>74.5</v>
      </c>
      <c r="O15" s="64">
        <v>0</v>
      </c>
      <c r="P15" s="64">
        <v>0.47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48" t="s">
        <v>1884</v>
      </c>
      <c r="B16" s="64">
        <v>7.93</v>
      </c>
      <c r="C16" s="64">
        <v>2.97</v>
      </c>
      <c r="D16" s="64">
        <v>11.68</v>
      </c>
      <c r="E16" s="64">
        <v>4.37</v>
      </c>
      <c r="F16" s="64">
        <v>4.3899999999999997</v>
      </c>
      <c r="G16" s="64">
        <v>97.48</v>
      </c>
      <c r="H16" s="64">
        <v>35.51</v>
      </c>
      <c r="I16" s="64">
        <v>3</v>
      </c>
      <c r="J16" s="64">
        <v>0.23</v>
      </c>
      <c r="K16" s="64">
        <v>352.55</v>
      </c>
      <c r="L16" s="64">
        <v>26.94</v>
      </c>
      <c r="M16" s="64">
        <v>102.52</v>
      </c>
      <c r="N16" s="64">
        <v>74.400000000000006</v>
      </c>
      <c r="O16" s="64">
        <v>0</v>
      </c>
      <c r="P16" s="64">
        <v>0.47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48" t="s">
        <v>1885</v>
      </c>
      <c r="B17" s="64">
        <v>7.92</v>
      </c>
      <c r="C17" s="64">
        <v>2.9</v>
      </c>
      <c r="D17" s="64">
        <v>11.64</v>
      </c>
      <c r="E17" s="64">
        <v>4.45</v>
      </c>
      <c r="F17" s="64">
        <v>2.5499999999999998</v>
      </c>
      <c r="G17" s="64">
        <v>94.09</v>
      </c>
      <c r="H17" s="64">
        <v>41.11</v>
      </c>
      <c r="I17" s="64">
        <v>3</v>
      </c>
      <c r="J17" s="64">
        <v>0.17</v>
      </c>
      <c r="K17" s="64">
        <v>338.24</v>
      </c>
      <c r="L17" s="64">
        <v>26.88</v>
      </c>
      <c r="M17" s="64">
        <v>102.11</v>
      </c>
      <c r="N17" s="64">
        <v>74.7</v>
      </c>
      <c r="O17" s="64">
        <v>0</v>
      </c>
      <c r="P17" s="64">
        <v>0.44</v>
      </c>
      <c r="Q17" s="64">
        <v>9.31</v>
      </c>
      <c r="R17" s="198"/>
      <c r="S17" s="198"/>
      <c r="T17" s="198"/>
      <c r="U17" s="198"/>
    </row>
    <row r="18" spans="1:21" s="12" customFormat="1" x14ac:dyDescent="0.25">
      <c r="A18" s="248" t="s">
        <v>1886</v>
      </c>
      <c r="B18" s="64">
        <v>7.92</v>
      </c>
      <c r="C18" s="64">
        <v>2.92</v>
      </c>
      <c r="D18" s="64">
        <v>11.65</v>
      </c>
      <c r="E18" s="64">
        <v>4.33</v>
      </c>
      <c r="F18" s="64">
        <v>4.97</v>
      </c>
      <c r="G18" s="64">
        <v>94.09</v>
      </c>
      <c r="H18" s="64">
        <v>41.11</v>
      </c>
      <c r="I18" s="64">
        <v>2.94</v>
      </c>
      <c r="J18" s="64">
        <v>0.21</v>
      </c>
      <c r="K18" s="64">
        <v>349.64</v>
      </c>
      <c r="L18" s="64">
        <v>26.95</v>
      </c>
      <c r="M18" s="64">
        <v>102.2</v>
      </c>
      <c r="N18" s="64">
        <v>74.900000000000006</v>
      </c>
      <c r="O18" s="64">
        <v>0</v>
      </c>
      <c r="P18" s="64">
        <v>0.44</v>
      </c>
      <c r="Q18" s="64">
        <v>9.2899999999999991</v>
      </c>
      <c r="R18" s="198"/>
      <c r="S18" s="198"/>
      <c r="T18" s="198"/>
      <c r="U18" s="198"/>
    </row>
    <row r="19" spans="1:21" s="12" customFormat="1" x14ac:dyDescent="0.25">
      <c r="A19" s="248" t="s">
        <v>1887</v>
      </c>
      <c r="B19" s="64">
        <v>7.89</v>
      </c>
      <c r="C19" s="64">
        <v>2.94</v>
      </c>
      <c r="D19" s="64">
        <v>11.64</v>
      </c>
      <c r="E19" s="64">
        <v>4.49</v>
      </c>
      <c r="F19" s="64">
        <v>2.25</v>
      </c>
      <c r="G19" s="64">
        <v>94.09</v>
      </c>
      <c r="H19" s="64">
        <v>41.11</v>
      </c>
      <c r="I19" s="64">
        <v>2.85</v>
      </c>
      <c r="J19" s="64">
        <v>7.0000000000000007E-2</v>
      </c>
      <c r="K19" s="64">
        <v>324.62</v>
      </c>
      <c r="L19" s="64">
        <v>26.8</v>
      </c>
      <c r="M19" s="64">
        <v>102.42</v>
      </c>
      <c r="N19" s="64">
        <v>75.099999999999994</v>
      </c>
      <c r="O19" s="64">
        <v>0</v>
      </c>
      <c r="P19" s="64">
        <v>0.42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48" t="s">
        <v>1888</v>
      </c>
      <c r="B20" s="64">
        <v>7.93</v>
      </c>
      <c r="C20" s="64">
        <v>2.93</v>
      </c>
      <c r="D20" s="64">
        <v>11.66</v>
      </c>
      <c r="E20" s="64">
        <v>4.3899999999999997</v>
      </c>
      <c r="F20" s="64">
        <v>3.9</v>
      </c>
      <c r="G20" s="64">
        <v>87.77</v>
      </c>
      <c r="H20" s="64">
        <v>38.119999999999997</v>
      </c>
      <c r="I20" s="64">
        <v>2.82</v>
      </c>
      <c r="J20" s="64">
        <v>0.16</v>
      </c>
      <c r="K20" s="64">
        <v>337.02</v>
      </c>
      <c r="L20" s="64">
        <v>26.87</v>
      </c>
      <c r="M20" s="64">
        <v>102.58</v>
      </c>
      <c r="N20" s="64">
        <v>75.099999999999994</v>
      </c>
      <c r="O20" s="64">
        <v>0</v>
      </c>
      <c r="P20" s="64">
        <v>0.41</v>
      </c>
      <c r="Q20" s="64">
        <v>9.25</v>
      </c>
      <c r="R20" s="198"/>
      <c r="S20" s="198"/>
      <c r="T20" s="198"/>
      <c r="U20" s="198"/>
    </row>
    <row r="21" spans="1:21" s="12" customFormat="1" x14ac:dyDescent="0.25">
      <c r="A21" s="248" t="s">
        <v>1889</v>
      </c>
      <c r="B21" s="64">
        <v>7.92</v>
      </c>
      <c r="C21" s="64">
        <v>2.92</v>
      </c>
      <c r="D21" s="64">
        <v>11.65</v>
      </c>
      <c r="E21" s="64">
        <v>4.29</v>
      </c>
      <c r="F21" s="64">
        <v>3.33</v>
      </c>
      <c r="G21" s="64">
        <v>85.06</v>
      </c>
      <c r="H21" s="64">
        <v>36.840000000000003</v>
      </c>
      <c r="I21" s="64">
        <v>2.77</v>
      </c>
      <c r="J21" s="64">
        <v>0.2</v>
      </c>
      <c r="K21" s="64">
        <v>347.03</v>
      </c>
      <c r="L21" s="64">
        <v>26.88</v>
      </c>
      <c r="M21" s="64">
        <v>102.58</v>
      </c>
      <c r="N21" s="64">
        <v>75.2</v>
      </c>
      <c r="O21" s="64">
        <v>0</v>
      </c>
      <c r="P21" s="64">
        <v>0.41</v>
      </c>
      <c r="Q21" s="64">
        <v>9.2799999999999994</v>
      </c>
      <c r="R21" s="198"/>
      <c r="S21" s="198"/>
      <c r="T21" s="198"/>
      <c r="U21" s="198"/>
    </row>
    <row r="22" spans="1:21" s="12" customFormat="1" x14ac:dyDescent="0.25">
      <c r="A22" s="248" t="s">
        <v>1890</v>
      </c>
      <c r="B22" s="64">
        <v>7.9</v>
      </c>
      <c r="C22" s="64">
        <v>2.88</v>
      </c>
      <c r="D22" s="64">
        <v>11.61</v>
      </c>
      <c r="E22" s="64">
        <v>4.09</v>
      </c>
      <c r="F22" s="64">
        <v>2.7</v>
      </c>
      <c r="G22" s="64">
        <v>85.06</v>
      </c>
      <c r="H22" s="64">
        <v>36.840000000000003</v>
      </c>
      <c r="I22" s="64">
        <v>2.76</v>
      </c>
      <c r="J22" s="64">
        <v>0.21</v>
      </c>
      <c r="K22" s="64">
        <v>352.92</v>
      </c>
      <c r="L22" s="64">
        <v>26.86</v>
      </c>
      <c r="M22" s="64">
        <v>102.48</v>
      </c>
      <c r="N22" s="64">
        <v>75.3</v>
      </c>
      <c r="O22" s="64">
        <v>0</v>
      </c>
      <c r="P22" s="64">
        <v>0.39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48" t="s">
        <v>1891</v>
      </c>
      <c r="B23" s="64">
        <v>7.91</v>
      </c>
      <c r="C23" s="64">
        <v>2.88</v>
      </c>
      <c r="D23" s="64">
        <v>11.62</v>
      </c>
      <c r="E23" s="64">
        <v>4.22</v>
      </c>
      <c r="F23" s="64">
        <v>4.55</v>
      </c>
      <c r="G23" s="64">
        <v>85.06</v>
      </c>
      <c r="H23" s="64">
        <v>36.840000000000003</v>
      </c>
      <c r="I23" s="64">
        <v>2.72</v>
      </c>
      <c r="J23" s="64">
        <v>0.16</v>
      </c>
      <c r="K23" s="64">
        <v>345.64</v>
      </c>
      <c r="L23" s="64">
        <v>26.83</v>
      </c>
      <c r="M23" s="64">
        <v>102.45</v>
      </c>
      <c r="N23" s="64">
        <v>75.599999999999994</v>
      </c>
      <c r="O23" s="64">
        <v>0</v>
      </c>
      <c r="P23" s="64">
        <v>0.39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48" t="s">
        <v>1892</v>
      </c>
      <c r="B24" s="64">
        <v>7.91</v>
      </c>
      <c r="C24" s="64">
        <v>2.95</v>
      </c>
      <c r="D24" s="64">
        <v>11.66</v>
      </c>
      <c r="E24" s="64">
        <v>4.08</v>
      </c>
      <c r="F24" s="64">
        <v>2.72</v>
      </c>
      <c r="G24" s="64">
        <v>86.13</v>
      </c>
      <c r="H24" s="64">
        <v>30.63</v>
      </c>
      <c r="I24" s="64">
        <v>2.4300000000000002</v>
      </c>
      <c r="J24" s="64">
        <v>0.22</v>
      </c>
      <c r="K24" s="64">
        <v>341.98</v>
      </c>
      <c r="L24" s="64">
        <v>26.83</v>
      </c>
      <c r="M24" s="64">
        <v>102.45</v>
      </c>
      <c r="N24" s="64">
        <v>75.7</v>
      </c>
      <c r="O24" s="64">
        <v>0</v>
      </c>
      <c r="P24" s="64">
        <v>0.38</v>
      </c>
      <c r="Q24" s="64">
        <v>9.24</v>
      </c>
      <c r="R24" s="198"/>
      <c r="S24" s="198"/>
      <c r="T24" s="198"/>
      <c r="U24" s="198"/>
    </row>
    <row r="25" spans="1:21" s="12" customFormat="1" x14ac:dyDescent="0.25">
      <c r="A25" s="248" t="s">
        <v>1893</v>
      </c>
      <c r="B25" s="64">
        <v>7.95</v>
      </c>
      <c r="C25" s="64">
        <v>3</v>
      </c>
      <c r="D25" s="64">
        <v>11.71</v>
      </c>
      <c r="E25" s="64">
        <v>4.33</v>
      </c>
      <c r="F25" s="64">
        <v>3.45</v>
      </c>
      <c r="G25" s="64">
        <v>86.59</v>
      </c>
      <c r="H25" s="64">
        <v>27.97</v>
      </c>
      <c r="I25" s="64">
        <v>2.6</v>
      </c>
      <c r="J25" s="64">
        <v>0.17</v>
      </c>
      <c r="K25" s="64">
        <v>332.34</v>
      </c>
      <c r="L25" s="64">
        <v>26.91</v>
      </c>
      <c r="M25" s="64">
        <v>102.46</v>
      </c>
      <c r="N25" s="64">
        <v>75.7</v>
      </c>
      <c r="O25" s="64">
        <v>0</v>
      </c>
      <c r="P25" s="64">
        <v>0.37</v>
      </c>
      <c r="Q25" s="64">
        <v>9.2200000000000006</v>
      </c>
      <c r="R25" s="198"/>
      <c r="S25" s="198"/>
      <c r="T25" s="198"/>
      <c r="U25" s="198"/>
    </row>
    <row r="26" spans="1:21" s="12" customFormat="1" x14ac:dyDescent="0.25">
      <c r="A26" s="248" t="s">
        <v>1894</v>
      </c>
      <c r="B26" s="64">
        <v>7.93</v>
      </c>
      <c r="C26" s="64">
        <v>2.93</v>
      </c>
      <c r="D26" s="64">
        <v>11.66</v>
      </c>
      <c r="E26" s="64">
        <v>3.92</v>
      </c>
      <c r="F26" s="64">
        <v>3.57</v>
      </c>
      <c r="G26" s="64">
        <v>86.59</v>
      </c>
      <c r="H26" s="64">
        <v>27.97</v>
      </c>
      <c r="I26" s="64">
        <v>2.33</v>
      </c>
      <c r="J26" s="64">
        <v>0.19</v>
      </c>
      <c r="K26" s="64">
        <v>350.95</v>
      </c>
      <c r="L26" s="64">
        <v>26.9</v>
      </c>
      <c r="M26" s="64">
        <v>102.33</v>
      </c>
      <c r="N26" s="64">
        <v>75.7</v>
      </c>
      <c r="O26" s="64">
        <v>0</v>
      </c>
      <c r="P26" s="64">
        <v>0.36</v>
      </c>
      <c r="Q26" s="64">
        <v>9.2200000000000006</v>
      </c>
      <c r="R26" s="198"/>
      <c r="S26" s="198"/>
      <c r="T26" s="198"/>
      <c r="U26" s="198"/>
    </row>
    <row r="27" spans="1:21" s="12" customFormat="1" x14ac:dyDescent="0.25">
      <c r="A27" s="248" t="s">
        <v>1895</v>
      </c>
      <c r="B27" s="64">
        <v>7.94</v>
      </c>
      <c r="C27" s="64">
        <v>2.97</v>
      </c>
      <c r="D27" s="64">
        <v>11.7</v>
      </c>
      <c r="E27" s="64">
        <v>3.96</v>
      </c>
      <c r="F27" s="64">
        <v>3.57</v>
      </c>
      <c r="G27" s="64">
        <v>86.59</v>
      </c>
      <c r="H27" s="64">
        <v>27.97</v>
      </c>
      <c r="I27" s="64">
        <v>2.25</v>
      </c>
      <c r="J27" s="64">
        <v>0.19</v>
      </c>
      <c r="K27" s="64">
        <v>338.23</v>
      </c>
      <c r="L27" s="64">
        <v>26.91</v>
      </c>
      <c r="M27" s="64">
        <v>102.34</v>
      </c>
      <c r="N27" s="64">
        <v>75.900000000000006</v>
      </c>
      <c r="O27" s="64">
        <v>0</v>
      </c>
      <c r="P27" s="64">
        <v>0.36</v>
      </c>
      <c r="Q27" s="64">
        <v>9.24</v>
      </c>
      <c r="R27" s="198"/>
      <c r="S27" s="198"/>
      <c r="T27" s="198"/>
      <c r="U27" s="198"/>
    </row>
    <row r="28" spans="1:21" s="12" customFormat="1" x14ac:dyDescent="0.25">
      <c r="A28" s="248" t="s">
        <v>1896</v>
      </c>
      <c r="B28" s="64">
        <v>7.96</v>
      </c>
      <c r="C28" s="64">
        <v>3</v>
      </c>
      <c r="D28" s="64">
        <v>11.72</v>
      </c>
      <c r="E28" s="64">
        <v>3.83</v>
      </c>
      <c r="F28" s="64">
        <v>3.48</v>
      </c>
      <c r="G28" s="64">
        <v>81.11</v>
      </c>
      <c r="H28" s="64">
        <v>23.62</v>
      </c>
      <c r="I28" s="64">
        <v>2.21</v>
      </c>
      <c r="J28" s="64">
        <v>0.19</v>
      </c>
      <c r="K28" s="64">
        <v>312.95</v>
      </c>
      <c r="L28" s="64">
        <v>26.96</v>
      </c>
      <c r="M28" s="64">
        <v>102.34</v>
      </c>
      <c r="N28" s="64">
        <v>76.099999999999994</v>
      </c>
      <c r="O28" s="64">
        <v>0</v>
      </c>
      <c r="P28" s="64">
        <v>0.37</v>
      </c>
      <c r="Q28" s="64">
        <v>9.24</v>
      </c>
      <c r="R28" s="198"/>
      <c r="S28" s="198"/>
      <c r="T28" s="198"/>
      <c r="U28" s="198"/>
    </row>
    <row r="29" spans="1:21" s="12" customFormat="1" x14ac:dyDescent="0.25">
      <c r="A29" s="248" t="s">
        <v>1897</v>
      </c>
      <c r="B29" s="64">
        <v>7.96</v>
      </c>
      <c r="C29" s="64">
        <v>3.03</v>
      </c>
      <c r="D29" s="64">
        <v>11.74</v>
      </c>
      <c r="E29" s="64">
        <v>4.1500000000000004</v>
      </c>
      <c r="F29" s="64">
        <v>3.26</v>
      </c>
      <c r="G29" s="64">
        <v>78.760000000000005</v>
      </c>
      <c r="H29" s="64">
        <v>21.76</v>
      </c>
      <c r="I29" s="64">
        <v>2.1800000000000002</v>
      </c>
      <c r="J29" s="64">
        <v>0.18</v>
      </c>
      <c r="K29" s="64">
        <v>312.52999999999997</v>
      </c>
      <c r="L29" s="64">
        <v>26.92</v>
      </c>
      <c r="M29" s="64">
        <v>102.35</v>
      </c>
      <c r="N29" s="64">
        <v>76.400000000000006</v>
      </c>
      <c r="O29" s="64">
        <v>0</v>
      </c>
      <c r="P29" s="64">
        <v>0.38</v>
      </c>
      <c r="Q29" s="64">
        <v>9.25</v>
      </c>
      <c r="R29" s="198"/>
      <c r="S29" s="198"/>
      <c r="T29" s="198"/>
      <c r="U29" s="198"/>
    </row>
    <row r="30" spans="1:21" s="12" customFormat="1" x14ac:dyDescent="0.25">
      <c r="A30" s="248" t="s">
        <v>1898</v>
      </c>
      <c r="B30" s="64">
        <v>7.93</v>
      </c>
      <c r="C30" s="64">
        <v>2.95</v>
      </c>
      <c r="D30" s="64">
        <v>11.68</v>
      </c>
      <c r="E30" s="64">
        <v>4.3499999999999996</v>
      </c>
      <c r="F30" s="64">
        <v>3.64</v>
      </c>
      <c r="G30" s="64">
        <v>78.760000000000005</v>
      </c>
      <c r="H30" s="64">
        <v>21.76</v>
      </c>
      <c r="I30" s="64">
        <v>2.27</v>
      </c>
      <c r="J30" s="64">
        <v>0.16</v>
      </c>
      <c r="K30" s="64">
        <v>329.59</v>
      </c>
      <c r="L30" s="64">
        <v>26.89</v>
      </c>
      <c r="M30" s="64">
        <v>102.3</v>
      </c>
      <c r="N30" s="64">
        <v>76.5</v>
      </c>
      <c r="O30" s="64">
        <v>0</v>
      </c>
      <c r="P30" s="64">
        <v>0.38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48" t="s">
        <v>1899</v>
      </c>
      <c r="B31" s="64">
        <v>7.94</v>
      </c>
      <c r="C31" s="64">
        <v>2.92</v>
      </c>
      <c r="D31" s="64">
        <v>11.67</v>
      </c>
      <c r="E31" s="64">
        <v>4.09</v>
      </c>
      <c r="F31" s="64">
        <v>3.58</v>
      </c>
      <c r="G31" s="64">
        <v>78.760000000000005</v>
      </c>
      <c r="H31" s="64">
        <v>21.76</v>
      </c>
      <c r="I31" s="64">
        <v>2.42</v>
      </c>
      <c r="J31" s="64">
        <v>0.17</v>
      </c>
      <c r="K31" s="64">
        <v>333.42</v>
      </c>
      <c r="L31" s="64">
        <v>26.89</v>
      </c>
      <c r="M31" s="64">
        <v>102.25</v>
      </c>
      <c r="N31" s="64">
        <v>77</v>
      </c>
      <c r="O31" s="64">
        <v>0</v>
      </c>
      <c r="P31" s="64">
        <v>0.39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48" t="s">
        <v>1900</v>
      </c>
      <c r="B32" s="64">
        <v>7.95</v>
      </c>
      <c r="C32" s="64">
        <v>2.97</v>
      </c>
      <c r="D32" s="64">
        <v>11.7</v>
      </c>
      <c r="E32" s="64">
        <v>4.29</v>
      </c>
      <c r="F32" s="64">
        <v>4.34</v>
      </c>
      <c r="G32" s="64">
        <v>77.34</v>
      </c>
      <c r="H32" s="64">
        <v>32.369999999999997</v>
      </c>
      <c r="I32" s="64">
        <v>2.58</v>
      </c>
      <c r="J32" s="64">
        <v>0.77</v>
      </c>
      <c r="K32" s="64">
        <v>322.39</v>
      </c>
      <c r="L32" s="64">
        <v>26.64</v>
      </c>
      <c r="M32" s="64">
        <v>102.32</v>
      </c>
      <c r="N32" s="64">
        <v>81.7</v>
      </c>
      <c r="O32" s="64">
        <v>2.6</v>
      </c>
      <c r="P32" s="64">
        <v>0.4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48" t="s">
        <v>1901</v>
      </c>
      <c r="B33" s="64">
        <v>7.92</v>
      </c>
      <c r="C33" s="64">
        <v>2.96</v>
      </c>
      <c r="D33" s="64">
        <v>11.67</v>
      </c>
      <c r="E33" s="64">
        <v>4.43</v>
      </c>
      <c r="F33" s="64">
        <v>3.87</v>
      </c>
      <c r="G33" s="64">
        <v>76.73</v>
      </c>
      <c r="H33" s="64">
        <v>36.92</v>
      </c>
      <c r="I33" s="64">
        <v>2.73</v>
      </c>
      <c r="J33" s="64">
        <v>0.5</v>
      </c>
      <c r="K33" s="64">
        <v>311.83</v>
      </c>
      <c r="L33" s="64">
        <v>25.95</v>
      </c>
      <c r="M33" s="64">
        <v>102.37</v>
      </c>
      <c r="N33" s="64">
        <v>96.9</v>
      </c>
      <c r="O33" s="64">
        <v>0.2</v>
      </c>
      <c r="P33" s="64">
        <v>0.42</v>
      </c>
      <c r="Q33" s="64">
        <v>9.3000000000000007</v>
      </c>
      <c r="R33" s="198"/>
      <c r="S33" s="198"/>
      <c r="T33" s="198"/>
      <c r="U33" s="198"/>
    </row>
    <row r="34" spans="1:21" s="12" customFormat="1" x14ac:dyDescent="0.25">
      <c r="A34" s="248" t="s">
        <v>1902</v>
      </c>
      <c r="B34" s="64">
        <v>7.94</v>
      </c>
      <c r="C34" s="64">
        <v>2.98</v>
      </c>
      <c r="D34" s="64">
        <v>11.7</v>
      </c>
      <c r="E34" s="64">
        <v>4.67</v>
      </c>
      <c r="F34" s="64">
        <v>2.83</v>
      </c>
      <c r="G34" s="64">
        <v>76.73</v>
      </c>
      <c r="H34" s="64">
        <v>36.92</v>
      </c>
      <c r="I34" s="64">
        <v>2.82</v>
      </c>
      <c r="J34" s="64">
        <v>0.66</v>
      </c>
      <c r="K34" s="64">
        <v>320.06</v>
      </c>
      <c r="L34" s="64">
        <v>25.69</v>
      </c>
      <c r="M34" s="64">
        <v>102.39</v>
      </c>
      <c r="N34" s="64">
        <v>124.3</v>
      </c>
      <c r="O34" s="64">
        <v>0</v>
      </c>
      <c r="P34" s="64">
        <v>0.4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48" t="s">
        <v>1903</v>
      </c>
      <c r="B35" s="64">
        <v>7.91</v>
      </c>
      <c r="C35" s="64">
        <v>2.98</v>
      </c>
      <c r="D35" s="64">
        <v>11.68</v>
      </c>
      <c r="E35" s="64">
        <v>4.0199999999999996</v>
      </c>
      <c r="F35" s="64">
        <v>4.28</v>
      </c>
      <c r="G35" s="64">
        <v>76.73</v>
      </c>
      <c r="H35" s="64">
        <v>36.92</v>
      </c>
      <c r="I35" s="64">
        <v>2.71</v>
      </c>
      <c r="J35" s="64">
        <v>1</v>
      </c>
      <c r="K35" s="64">
        <v>325.12</v>
      </c>
      <c r="L35" s="64">
        <v>25.68</v>
      </c>
      <c r="M35" s="64">
        <v>102.38</v>
      </c>
      <c r="N35" s="64">
        <v>159.6</v>
      </c>
      <c r="O35" s="64">
        <v>0</v>
      </c>
      <c r="P35" s="64">
        <v>0.4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48" t="s">
        <v>1904</v>
      </c>
      <c r="B36" s="64">
        <v>7.9</v>
      </c>
      <c r="C36" s="64">
        <v>2.95</v>
      </c>
      <c r="D36" s="64">
        <v>11.65</v>
      </c>
      <c r="E36" s="64">
        <v>4.25</v>
      </c>
      <c r="F36" s="64">
        <v>3.04</v>
      </c>
      <c r="G36" s="64">
        <v>69.11</v>
      </c>
      <c r="H36" s="64">
        <v>26.89</v>
      </c>
      <c r="I36" s="64">
        <v>2.5299999999999998</v>
      </c>
      <c r="J36" s="64">
        <v>0.98</v>
      </c>
      <c r="K36" s="64">
        <v>319.93</v>
      </c>
      <c r="L36" s="64">
        <v>25.76</v>
      </c>
      <c r="M36" s="64">
        <v>102.38</v>
      </c>
      <c r="N36" s="64">
        <v>158.6</v>
      </c>
      <c r="O36" s="64">
        <v>0</v>
      </c>
      <c r="P36" s="64">
        <v>0.37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48" t="s">
        <v>1905</v>
      </c>
      <c r="B37" s="64">
        <v>7.92</v>
      </c>
      <c r="C37" s="64">
        <v>2.95</v>
      </c>
      <c r="D37" s="64">
        <v>11.66</v>
      </c>
      <c r="E37" s="64">
        <v>4.09</v>
      </c>
      <c r="F37" s="64">
        <v>4.51</v>
      </c>
      <c r="G37" s="64">
        <v>65.84</v>
      </c>
      <c r="H37" s="64">
        <v>22.81</v>
      </c>
      <c r="I37" s="64">
        <v>2.39</v>
      </c>
      <c r="J37" s="64">
        <v>0.73</v>
      </c>
      <c r="K37" s="64">
        <v>326.36</v>
      </c>
      <c r="L37" s="64">
        <v>25.96</v>
      </c>
      <c r="M37" s="64">
        <v>102.41</v>
      </c>
      <c r="N37" s="64">
        <v>148.6</v>
      </c>
      <c r="O37" s="64">
        <v>0</v>
      </c>
      <c r="P37" s="64">
        <v>0.37</v>
      </c>
      <c r="Q37" s="64">
        <v>9.27</v>
      </c>
      <c r="R37" s="198"/>
      <c r="S37" s="198"/>
      <c r="T37" s="198"/>
      <c r="U37" s="198"/>
    </row>
    <row r="38" spans="1:21" s="12" customFormat="1" x14ac:dyDescent="0.25">
      <c r="A38" s="248" t="s">
        <v>1906</v>
      </c>
      <c r="B38" s="64">
        <v>7.93</v>
      </c>
      <c r="C38" s="64">
        <v>2.94</v>
      </c>
      <c r="D38" s="64">
        <v>11.67</v>
      </c>
      <c r="E38" s="64">
        <v>4.5</v>
      </c>
      <c r="F38" s="64">
        <v>2.44</v>
      </c>
      <c r="G38" s="64">
        <v>65.84</v>
      </c>
      <c r="H38" s="64">
        <v>22.81</v>
      </c>
      <c r="I38" s="64">
        <v>2.19</v>
      </c>
      <c r="J38" s="64">
        <v>0.53</v>
      </c>
      <c r="K38" s="64">
        <v>324.06</v>
      </c>
      <c r="L38" s="64">
        <v>25.94</v>
      </c>
      <c r="M38" s="64">
        <v>102.37</v>
      </c>
      <c r="N38" s="64">
        <v>194</v>
      </c>
      <c r="O38" s="64">
        <v>0</v>
      </c>
      <c r="P38" s="64">
        <v>0.36</v>
      </c>
      <c r="Q38" s="64">
        <v>9.23</v>
      </c>
      <c r="R38" s="198"/>
      <c r="S38" s="198"/>
      <c r="T38" s="198"/>
      <c r="U38" s="198"/>
    </row>
    <row r="39" spans="1:21" s="12" customFormat="1" x14ac:dyDescent="0.25">
      <c r="A39" s="248" t="s">
        <v>1907</v>
      </c>
      <c r="B39" s="64">
        <v>7.94</v>
      </c>
      <c r="C39" s="64">
        <v>2.94</v>
      </c>
      <c r="D39" s="64">
        <v>11.68</v>
      </c>
      <c r="E39" s="64">
        <v>4.17</v>
      </c>
      <c r="F39" s="64">
        <v>4.84</v>
      </c>
      <c r="G39" s="64">
        <v>65.84</v>
      </c>
      <c r="H39" s="64">
        <v>22.81</v>
      </c>
      <c r="I39" s="64">
        <v>2.0699999999999998</v>
      </c>
      <c r="J39" s="64">
        <v>0.46</v>
      </c>
      <c r="K39" s="64">
        <v>323.52</v>
      </c>
      <c r="L39" s="64">
        <v>26.09</v>
      </c>
      <c r="M39" s="64">
        <v>102.37</v>
      </c>
      <c r="N39" s="64">
        <v>177.7</v>
      </c>
      <c r="O39" s="64">
        <v>0.2</v>
      </c>
      <c r="P39" s="64">
        <v>0.36</v>
      </c>
      <c r="Q39" s="64">
        <v>9.25</v>
      </c>
      <c r="R39" s="198"/>
      <c r="S39" s="198"/>
      <c r="T39" s="198"/>
      <c r="U39" s="198"/>
    </row>
    <row r="40" spans="1:21" s="12" customFormat="1" x14ac:dyDescent="0.25">
      <c r="A40" s="248" t="s">
        <v>1908</v>
      </c>
      <c r="B40" s="64">
        <v>7.93</v>
      </c>
      <c r="C40" s="64">
        <v>2.92</v>
      </c>
      <c r="D40" s="64">
        <v>11.66</v>
      </c>
      <c r="E40" s="64">
        <v>5.41</v>
      </c>
      <c r="F40" s="64">
        <v>2.42</v>
      </c>
      <c r="G40" s="64">
        <v>60.32</v>
      </c>
      <c r="H40" s="64">
        <v>35.090000000000003</v>
      </c>
      <c r="I40" s="64">
        <v>1.89</v>
      </c>
      <c r="J40" s="64">
        <v>0.57999999999999996</v>
      </c>
      <c r="K40" s="64">
        <v>324.99</v>
      </c>
      <c r="L40" s="64">
        <v>26.3</v>
      </c>
      <c r="M40" s="64">
        <v>102.38</v>
      </c>
      <c r="N40" s="64">
        <v>208.3</v>
      </c>
      <c r="O40" s="64">
        <v>0</v>
      </c>
      <c r="P40" s="64">
        <v>0.34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48" t="s">
        <v>1909</v>
      </c>
      <c r="B41" s="64">
        <v>7.94</v>
      </c>
      <c r="C41" s="64">
        <v>2.96</v>
      </c>
      <c r="D41" s="64">
        <v>11.68</v>
      </c>
      <c r="E41" s="64">
        <v>5.29</v>
      </c>
      <c r="F41" s="64">
        <v>4.1100000000000003</v>
      </c>
      <c r="G41" s="64">
        <v>58.08</v>
      </c>
      <c r="H41" s="64">
        <v>40.07</v>
      </c>
      <c r="I41" s="64">
        <v>2</v>
      </c>
      <c r="J41" s="64">
        <v>0.52</v>
      </c>
      <c r="K41" s="64">
        <v>320.56</v>
      </c>
      <c r="L41" s="64">
        <v>26.47</v>
      </c>
      <c r="M41" s="64">
        <v>102.37</v>
      </c>
      <c r="N41" s="64">
        <v>276</v>
      </c>
      <c r="O41" s="64">
        <v>0</v>
      </c>
      <c r="P41" s="64">
        <v>0.35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48" t="s">
        <v>1910</v>
      </c>
      <c r="B42" s="64">
        <v>7.95</v>
      </c>
      <c r="C42" s="64">
        <v>3.02</v>
      </c>
      <c r="D42" s="64">
        <v>11.73</v>
      </c>
      <c r="E42" s="64">
        <v>5.0199999999999996</v>
      </c>
      <c r="F42" s="64">
        <v>4.84</v>
      </c>
      <c r="G42" s="64">
        <v>58.08</v>
      </c>
      <c r="H42" s="64">
        <v>40.07</v>
      </c>
      <c r="I42" s="64">
        <v>1.87</v>
      </c>
      <c r="J42" s="64">
        <v>0.47</v>
      </c>
      <c r="K42" s="64">
        <v>328.04</v>
      </c>
      <c r="L42" s="64">
        <v>26.5</v>
      </c>
      <c r="M42" s="64">
        <v>102.27</v>
      </c>
      <c r="N42" s="64">
        <v>297.8</v>
      </c>
      <c r="O42" s="64">
        <v>0</v>
      </c>
      <c r="P42" s="64">
        <v>0.33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48" t="s">
        <v>1911</v>
      </c>
      <c r="B43" s="64">
        <v>7.94</v>
      </c>
      <c r="C43" s="64">
        <v>3.02</v>
      </c>
      <c r="D43" s="64">
        <v>11.73</v>
      </c>
      <c r="E43" s="64">
        <v>4.9800000000000004</v>
      </c>
      <c r="F43" s="64">
        <v>3.98</v>
      </c>
      <c r="G43" s="64">
        <v>58.08</v>
      </c>
      <c r="H43" s="64">
        <v>40.07</v>
      </c>
      <c r="I43" s="64">
        <v>1.6</v>
      </c>
      <c r="J43" s="64">
        <v>0.34</v>
      </c>
      <c r="K43" s="64">
        <v>323.52</v>
      </c>
      <c r="L43" s="64">
        <v>26.74</v>
      </c>
      <c r="M43" s="64">
        <v>102.23</v>
      </c>
      <c r="N43" s="64">
        <v>255.6</v>
      </c>
      <c r="O43" s="64">
        <v>0</v>
      </c>
      <c r="P43" s="64">
        <v>0.33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48" t="s">
        <v>1912</v>
      </c>
      <c r="B44" s="64">
        <v>7.97</v>
      </c>
      <c r="C44" s="64">
        <v>3.03</v>
      </c>
      <c r="D44" s="64">
        <v>11.75</v>
      </c>
      <c r="E44" s="64">
        <v>5.04</v>
      </c>
      <c r="F44" s="64">
        <v>3.81</v>
      </c>
      <c r="G44" s="64">
        <v>51.01</v>
      </c>
      <c r="H44" s="64">
        <v>36</v>
      </c>
      <c r="I44" s="64">
        <v>1.46</v>
      </c>
      <c r="J44" s="64">
        <v>0.3</v>
      </c>
      <c r="K44" s="64">
        <v>333.59</v>
      </c>
      <c r="L44" s="64">
        <v>26.84</v>
      </c>
      <c r="M44" s="64">
        <v>102.32</v>
      </c>
      <c r="N44" s="64">
        <v>248.5</v>
      </c>
      <c r="O44" s="64">
        <v>0</v>
      </c>
      <c r="P44" s="64">
        <v>0.34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48" t="s">
        <v>1913</v>
      </c>
      <c r="B45" s="64">
        <v>7.96</v>
      </c>
      <c r="C45" s="64">
        <v>2.97</v>
      </c>
      <c r="D45" s="64">
        <v>11.71</v>
      </c>
      <c r="E45" s="64">
        <v>5.64</v>
      </c>
      <c r="F45" s="64">
        <v>3.69</v>
      </c>
      <c r="G45" s="64">
        <v>47.99</v>
      </c>
      <c r="H45" s="64">
        <v>34.35</v>
      </c>
      <c r="I45" s="64">
        <v>1.4</v>
      </c>
      <c r="J45" s="64">
        <v>0.32</v>
      </c>
      <c r="K45" s="64">
        <v>314.97000000000003</v>
      </c>
      <c r="L45" s="64">
        <v>26.9</v>
      </c>
      <c r="M45" s="64">
        <v>102.17</v>
      </c>
      <c r="N45" s="64">
        <v>268.2</v>
      </c>
      <c r="O45" s="64">
        <v>0</v>
      </c>
      <c r="P45" s="64">
        <v>0.34</v>
      </c>
      <c r="Q45" s="64">
        <v>9.2100000000000009</v>
      </c>
      <c r="R45" s="198"/>
      <c r="S45" s="198"/>
      <c r="T45" s="198"/>
      <c r="U45" s="198"/>
    </row>
    <row r="46" spans="1:21" s="12" customFormat="1" x14ac:dyDescent="0.25">
      <c r="A46" s="248" t="s">
        <v>1914</v>
      </c>
      <c r="B46" s="64">
        <v>7.93</v>
      </c>
      <c r="C46" s="64">
        <v>2.91</v>
      </c>
      <c r="D46" s="64">
        <v>11.66</v>
      </c>
      <c r="E46" s="64">
        <v>5.26</v>
      </c>
      <c r="F46" s="64">
        <v>3.5</v>
      </c>
      <c r="G46" s="64">
        <v>47.99</v>
      </c>
      <c r="H46" s="64">
        <v>34.35</v>
      </c>
      <c r="I46" s="64">
        <v>1.38</v>
      </c>
      <c r="J46" s="64">
        <v>0.36</v>
      </c>
      <c r="K46" s="64">
        <v>320.58</v>
      </c>
      <c r="L46" s="64">
        <v>27.27</v>
      </c>
      <c r="M46" s="64">
        <v>101.43</v>
      </c>
      <c r="N46" s="64">
        <v>281.89999999999998</v>
      </c>
      <c r="O46" s="64">
        <v>0</v>
      </c>
      <c r="P46" s="64">
        <v>0.35</v>
      </c>
      <c r="Q46" s="64">
        <v>9.2100000000000009</v>
      </c>
      <c r="R46" s="198"/>
      <c r="S46" s="198"/>
      <c r="T46" s="198"/>
      <c r="U46" s="198"/>
    </row>
    <row r="47" spans="1:21" s="12" customFormat="1" x14ac:dyDescent="0.25">
      <c r="A47" s="248" t="s">
        <v>1915</v>
      </c>
      <c r="B47" s="64">
        <v>7.92</v>
      </c>
      <c r="C47" s="64">
        <v>2.96</v>
      </c>
      <c r="D47" s="64">
        <v>11.67</v>
      </c>
      <c r="E47" s="64">
        <v>5.0999999999999996</v>
      </c>
      <c r="F47" s="64">
        <v>3.33</v>
      </c>
      <c r="G47" s="64">
        <v>47.99</v>
      </c>
      <c r="H47" s="64">
        <v>34.35</v>
      </c>
      <c r="I47" s="64">
        <v>1.44</v>
      </c>
      <c r="J47" s="64">
        <v>0.32</v>
      </c>
      <c r="K47" s="64">
        <v>322.44</v>
      </c>
      <c r="L47" s="64">
        <v>27.57</v>
      </c>
      <c r="M47" s="64">
        <v>98.94</v>
      </c>
      <c r="N47" s="64">
        <v>284.89999999999998</v>
      </c>
      <c r="O47" s="64">
        <v>0</v>
      </c>
      <c r="P47" s="64">
        <v>0.36</v>
      </c>
      <c r="Q47" s="64">
        <v>9.23</v>
      </c>
      <c r="R47" s="198"/>
      <c r="S47" s="198"/>
      <c r="T47" s="198"/>
      <c r="U47" s="198"/>
    </row>
    <row r="48" spans="1:21" s="12" customFormat="1" x14ac:dyDescent="0.25">
      <c r="A48" s="248" t="s">
        <v>1916</v>
      </c>
      <c r="B48" s="64">
        <v>7.96</v>
      </c>
      <c r="C48" s="64">
        <v>3.01</v>
      </c>
      <c r="D48" s="64">
        <v>11.73</v>
      </c>
      <c r="E48" s="64">
        <v>5.34</v>
      </c>
      <c r="F48" s="64">
        <v>3.06</v>
      </c>
      <c r="G48" s="64">
        <v>57.08</v>
      </c>
      <c r="H48" s="64">
        <v>24.27</v>
      </c>
      <c r="I48" s="64">
        <v>1.52</v>
      </c>
      <c r="J48" s="64">
        <v>0.28999999999999998</v>
      </c>
      <c r="K48" s="64">
        <v>316.25</v>
      </c>
      <c r="L48" s="64">
        <v>28.11</v>
      </c>
      <c r="M48" s="64">
        <v>96.59</v>
      </c>
      <c r="N48" s="64">
        <v>348.5</v>
      </c>
      <c r="O48" s="64">
        <v>0</v>
      </c>
      <c r="P48" s="64">
        <v>0.38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48" t="s">
        <v>1917</v>
      </c>
      <c r="B49" s="64">
        <v>7.95</v>
      </c>
      <c r="C49" s="64">
        <v>2.99</v>
      </c>
      <c r="D49" s="64">
        <v>11.71</v>
      </c>
      <c r="E49" s="64">
        <v>5.29</v>
      </c>
      <c r="F49" s="64">
        <v>4.34</v>
      </c>
      <c r="G49" s="64">
        <v>60.97</v>
      </c>
      <c r="H49" s="64">
        <v>19.95</v>
      </c>
      <c r="I49" s="64">
        <v>1.64</v>
      </c>
      <c r="J49" s="64">
        <v>0.7</v>
      </c>
      <c r="K49" s="64">
        <v>344.14</v>
      </c>
      <c r="L49" s="64">
        <v>28.63</v>
      </c>
      <c r="M49" s="64">
        <v>92.37</v>
      </c>
      <c r="N49" s="64">
        <v>182.1</v>
      </c>
      <c r="O49" s="64">
        <v>0</v>
      </c>
      <c r="P49" s="64">
        <v>0.41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48" t="s">
        <v>1918</v>
      </c>
      <c r="B50" s="64">
        <v>7.93</v>
      </c>
      <c r="C50" s="64">
        <v>2.99</v>
      </c>
      <c r="D50" s="64">
        <v>11.7</v>
      </c>
      <c r="E50" s="64">
        <v>5.54</v>
      </c>
      <c r="F50" s="64">
        <v>2.46</v>
      </c>
      <c r="G50" s="64">
        <v>60.97</v>
      </c>
      <c r="H50" s="64">
        <v>19.95</v>
      </c>
      <c r="I50" s="64">
        <v>1.89</v>
      </c>
      <c r="J50" s="64">
        <v>7.0000000000000007E-2</v>
      </c>
      <c r="K50" s="64">
        <v>8.81</v>
      </c>
      <c r="L50" s="64">
        <v>28.33</v>
      </c>
      <c r="M50" s="64">
        <v>94.86</v>
      </c>
      <c r="N50" s="64">
        <v>178.7</v>
      </c>
      <c r="O50" s="64">
        <v>0</v>
      </c>
      <c r="P50" s="64">
        <v>0.44</v>
      </c>
      <c r="Q50" s="64">
        <v>9.33</v>
      </c>
      <c r="R50" s="198"/>
      <c r="S50" s="198"/>
      <c r="T50" s="198"/>
      <c r="U50" s="198"/>
    </row>
    <row r="51" spans="1:21" s="12" customFormat="1" x14ac:dyDescent="0.25">
      <c r="A51" s="248" t="s">
        <v>1919</v>
      </c>
      <c r="B51" s="64">
        <v>7.92</v>
      </c>
      <c r="C51" s="64">
        <v>2.94</v>
      </c>
      <c r="D51" s="64">
        <v>11.66</v>
      </c>
      <c r="E51" s="64">
        <v>5.46</v>
      </c>
      <c r="F51" s="64">
        <v>3.96</v>
      </c>
      <c r="G51" s="64">
        <v>60.97</v>
      </c>
      <c r="H51" s="64">
        <v>19.95</v>
      </c>
      <c r="I51" s="64">
        <v>2.0499999999999998</v>
      </c>
      <c r="J51" s="64">
        <v>0.52</v>
      </c>
      <c r="K51" s="64">
        <v>345.11</v>
      </c>
      <c r="L51" s="64">
        <v>28.3</v>
      </c>
      <c r="M51" s="64">
        <v>97.23</v>
      </c>
      <c r="N51" s="64">
        <v>183.9</v>
      </c>
      <c r="O51" s="64">
        <v>0</v>
      </c>
      <c r="P51" s="64">
        <v>0.47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48" t="s">
        <v>1920</v>
      </c>
      <c r="B52" s="64">
        <v>7.99</v>
      </c>
      <c r="C52" s="64">
        <v>3.09</v>
      </c>
      <c r="D52" s="64">
        <v>11.79</v>
      </c>
      <c r="E52" s="64">
        <v>5.43</v>
      </c>
      <c r="F52" s="64">
        <v>3.23</v>
      </c>
      <c r="G52" s="64">
        <v>78.02</v>
      </c>
      <c r="H52" s="64">
        <v>15.91</v>
      </c>
      <c r="I52" s="64">
        <v>2.35</v>
      </c>
      <c r="J52" s="64">
        <v>0.28000000000000003</v>
      </c>
      <c r="K52" s="64">
        <v>341.52</v>
      </c>
      <c r="L52" s="64">
        <v>28.35</v>
      </c>
      <c r="M52" s="64">
        <v>98.13</v>
      </c>
      <c r="N52" s="64">
        <v>179.3</v>
      </c>
      <c r="O52" s="64">
        <v>0</v>
      </c>
      <c r="P52" s="64">
        <v>0.51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48" t="s">
        <v>1921</v>
      </c>
      <c r="B53" s="64">
        <v>8</v>
      </c>
      <c r="C53" s="64">
        <v>3.08</v>
      </c>
      <c r="D53" s="64">
        <v>11.8</v>
      </c>
      <c r="E53" s="64">
        <v>5.55</v>
      </c>
      <c r="F53" s="64">
        <v>3.22</v>
      </c>
      <c r="G53" s="64">
        <v>85.33</v>
      </c>
      <c r="H53" s="64">
        <v>14.27</v>
      </c>
      <c r="I53" s="64">
        <v>2.81</v>
      </c>
      <c r="J53" s="64">
        <v>0.62</v>
      </c>
      <c r="K53" s="64">
        <v>337.51</v>
      </c>
      <c r="L53" s="64">
        <v>28.33</v>
      </c>
      <c r="M53" s="64">
        <v>99.15</v>
      </c>
      <c r="N53" s="64">
        <v>170.7</v>
      </c>
      <c r="O53" s="64">
        <v>0</v>
      </c>
      <c r="P53" s="64">
        <v>0.54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48" t="s">
        <v>1922</v>
      </c>
      <c r="B54" s="64">
        <v>7.97</v>
      </c>
      <c r="C54" s="64">
        <v>3</v>
      </c>
      <c r="D54" s="64">
        <v>11.73</v>
      </c>
      <c r="E54" s="64">
        <v>5.46</v>
      </c>
      <c r="F54" s="64">
        <v>3.49</v>
      </c>
      <c r="G54" s="64">
        <v>85.33</v>
      </c>
      <c r="H54" s="64">
        <v>14.27</v>
      </c>
      <c r="I54" s="64">
        <v>3.08</v>
      </c>
      <c r="J54" s="64">
        <v>0.7</v>
      </c>
      <c r="K54" s="64">
        <v>344.45</v>
      </c>
      <c r="L54" s="64">
        <v>28.44</v>
      </c>
      <c r="M54" s="64">
        <v>98.67</v>
      </c>
      <c r="N54" s="64">
        <v>156.9</v>
      </c>
      <c r="O54" s="64">
        <v>0</v>
      </c>
      <c r="P54" s="64">
        <v>0.57999999999999996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48" t="s">
        <v>1923</v>
      </c>
      <c r="B55" s="64">
        <v>7.98</v>
      </c>
      <c r="C55" s="64">
        <v>3</v>
      </c>
      <c r="D55" s="64">
        <v>11.74</v>
      </c>
      <c r="E55" s="64">
        <v>5.39</v>
      </c>
      <c r="F55" s="64">
        <v>2.5</v>
      </c>
      <c r="G55" s="64">
        <v>85.33</v>
      </c>
      <c r="H55" s="64">
        <v>19.27</v>
      </c>
      <c r="I55" s="64">
        <v>3.28</v>
      </c>
      <c r="J55" s="64">
        <v>0.72</v>
      </c>
      <c r="K55" s="64">
        <v>342.66</v>
      </c>
      <c r="L55" s="64">
        <v>28.49</v>
      </c>
      <c r="M55" s="64">
        <v>99.21</v>
      </c>
      <c r="N55" s="64">
        <v>157.1</v>
      </c>
      <c r="O55" s="64">
        <v>0</v>
      </c>
      <c r="P55" s="64">
        <v>0.61</v>
      </c>
      <c r="Q55" s="64">
        <v>9.4600000000000009</v>
      </c>
      <c r="R55" s="198"/>
      <c r="S55" s="198"/>
      <c r="T55" s="198"/>
      <c r="U55" s="198"/>
    </row>
    <row r="56" spans="1:21" s="12" customFormat="1" x14ac:dyDescent="0.25">
      <c r="A56" s="248" t="s">
        <v>1924</v>
      </c>
      <c r="B56" s="64">
        <v>8.07</v>
      </c>
      <c r="C56" s="64">
        <v>3.11</v>
      </c>
      <c r="D56" s="64">
        <v>11.87</v>
      </c>
      <c r="E56" s="64">
        <v>2.99</v>
      </c>
      <c r="F56" s="64">
        <v>4.22</v>
      </c>
      <c r="G56" s="64">
        <v>93.88</v>
      </c>
      <c r="H56" s="64">
        <v>19.27</v>
      </c>
      <c r="I56" s="64">
        <v>3.44</v>
      </c>
      <c r="J56" s="64">
        <v>0.69</v>
      </c>
      <c r="K56" s="64">
        <v>341.03</v>
      </c>
      <c r="L56" s="64">
        <v>28.31</v>
      </c>
      <c r="M56" s="64">
        <v>101.35</v>
      </c>
      <c r="N56" s="64">
        <v>153.80000000000001</v>
      </c>
      <c r="O56" s="64">
        <v>0</v>
      </c>
      <c r="P56" s="64">
        <v>0.64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48" t="s">
        <v>1925</v>
      </c>
      <c r="B57" s="64">
        <v>8.08</v>
      </c>
      <c r="C57" s="64">
        <v>3.16</v>
      </c>
      <c r="D57" s="64">
        <v>11.91</v>
      </c>
      <c r="E57" s="64">
        <v>3.27</v>
      </c>
      <c r="F57" s="64">
        <v>2.3199999999999998</v>
      </c>
      <c r="G57" s="64">
        <v>97.54</v>
      </c>
      <c r="H57" s="64">
        <v>21.27</v>
      </c>
      <c r="I57" s="64">
        <v>3.65</v>
      </c>
      <c r="J57" s="64">
        <v>0.49</v>
      </c>
      <c r="K57" s="64">
        <v>343.83</v>
      </c>
      <c r="L57" s="64">
        <v>27.77</v>
      </c>
      <c r="M57" s="64">
        <v>102.36</v>
      </c>
      <c r="N57" s="64">
        <v>166</v>
      </c>
      <c r="O57" s="64">
        <v>0.4</v>
      </c>
      <c r="P57" s="64">
        <v>0.67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48" t="s">
        <v>1926</v>
      </c>
      <c r="B58" s="64">
        <v>8.08</v>
      </c>
      <c r="C58" s="64">
        <v>3.16</v>
      </c>
      <c r="D58" s="64">
        <v>11.91</v>
      </c>
      <c r="E58" s="64">
        <v>2.68</v>
      </c>
      <c r="F58" s="64">
        <v>3</v>
      </c>
      <c r="G58" s="64">
        <v>97.54</v>
      </c>
      <c r="H58" s="64">
        <v>21.27</v>
      </c>
      <c r="I58" s="64">
        <v>3.81</v>
      </c>
      <c r="J58" s="64">
        <v>0.28000000000000003</v>
      </c>
      <c r="K58" s="64">
        <v>315.23</v>
      </c>
      <c r="L58" s="64">
        <v>27.41</v>
      </c>
      <c r="M58" s="64">
        <v>102.37</v>
      </c>
      <c r="N58" s="64">
        <v>178.5</v>
      </c>
      <c r="O58" s="64">
        <v>0.4</v>
      </c>
      <c r="P58" s="64">
        <v>0.7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48" t="s">
        <v>1927</v>
      </c>
      <c r="B59" s="64">
        <v>8.08</v>
      </c>
      <c r="C59" s="64">
        <v>3.12</v>
      </c>
      <c r="D59" s="64">
        <v>11.88</v>
      </c>
      <c r="E59" s="64">
        <v>3.04</v>
      </c>
      <c r="F59" s="64">
        <v>3.53</v>
      </c>
      <c r="G59" s="64">
        <v>97.54</v>
      </c>
      <c r="H59" s="64">
        <v>18.27</v>
      </c>
      <c r="I59" s="64">
        <v>4</v>
      </c>
      <c r="J59" s="64">
        <v>0.52</v>
      </c>
      <c r="K59" s="64">
        <v>326.98</v>
      </c>
      <c r="L59" s="64">
        <v>27.51</v>
      </c>
      <c r="M59" s="64">
        <v>102.4</v>
      </c>
      <c r="N59" s="64">
        <v>206.5</v>
      </c>
      <c r="O59" s="64">
        <v>0.2</v>
      </c>
      <c r="P59" s="64">
        <v>0.74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48" t="s">
        <v>1928</v>
      </c>
      <c r="B60" s="64">
        <v>8.1199999999999992</v>
      </c>
      <c r="C60" s="64">
        <v>3.22</v>
      </c>
      <c r="D60" s="64">
        <v>11.97</v>
      </c>
      <c r="E60" s="64">
        <v>3.04</v>
      </c>
      <c r="F60" s="64">
        <v>3.69</v>
      </c>
      <c r="G60" s="64">
        <v>102.4</v>
      </c>
      <c r="H60" s="64">
        <v>28.27</v>
      </c>
      <c r="I60" s="64">
        <v>4.26</v>
      </c>
      <c r="J60" s="64">
        <v>0.28999999999999998</v>
      </c>
      <c r="K60" s="64">
        <v>304.45999999999998</v>
      </c>
      <c r="L60" s="64">
        <v>27.75</v>
      </c>
      <c r="M60" s="64">
        <v>102.43</v>
      </c>
      <c r="N60" s="64">
        <v>250.1</v>
      </c>
      <c r="O60" s="64">
        <v>0</v>
      </c>
      <c r="P60" s="64">
        <v>0.75</v>
      </c>
      <c r="Q60" s="64">
        <v>9.7100000000000009</v>
      </c>
      <c r="R60" s="198"/>
      <c r="S60" s="198"/>
      <c r="T60" s="198"/>
      <c r="U60" s="198"/>
    </row>
    <row r="61" spans="1:21" s="12" customFormat="1" x14ac:dyDescent="0.25">
      <c r="A61" s="248" t="s">
        <v>1929</v>
      </c>
      <c r="B61" s="64">
        <v>8.17</v>
      </c>
      <c r="C61" s="64">
        <v>3.28</v>
      </c>
      <c r="D61" s="64">
        <v>12.04</v>
      </c>
      <c r="E61" s="64">
        <v>3.06</v>
      </c>
      <c r="F61" s="64">
        <v>3.24</v>
      </c>
      <c r="G61" s="64">
        <v>104.37</v>
      </c>
      <c r="H61" s="64">
        <v>28.27</v>
      </c>
      <c r="I61" s="64">
        <v>4.45</v>
      </c>
      <c r="J61" s="64">
        <v>0.24</v>
      </c>
      <c r="K61" s="64">
        <v>310.85000000000002</v>
      </c>
      <c r="L61" s="64">
        <v>28.11</v>
      </c>
      <c r="M61" s="64">
        <v>102.39</v>
      </c>
      <c r="N61" s="64">
        <v>278.7</v>
      </c>
      <c r="O61" s="64">
        <v>0.2</v>
      </c>
      <c r="P61" s="64">
        <v>0.69</v>
      </c>
      <c r="Q61" s="64">
        <v>9.7799999999999994</v>
      </c>
      <c r="R61" s="198"/>
      <c r="S61" s="198"/>
      <c r="T61" s="198"/>
      <c r="U61" s="198"/>
    </row>
    <row r="62" spans="1:21" s="12" customFormat="1" x14ac:dyDescent="0.25">
      <c r="A62" s="248" t="s">
        <v>1930</v>
      </c>
      <c r="B62" s="64">
        <v>8.17</v>
      </c>
      <c r="C62" s="64">
        <v>3.32</v>
      </c>
      <c r="D62" s="64">
        <v>12.06</v>
      </c>
      <c r="E62" s="64">
        <v>3.32</v>
      </c>
      <c r="F62" s="64">
        <v>3.18</v>
      </c>
      <c r="G62" s="64">
        <v>104.37</v>
      </c>
      <c r="H62" s="64">
        <v>14.27</v>
      </c>
      <c r="I62" s="64">
        <v>4.5</v>
      </c>
      <c r="J62" s="64">
        <v>0.51</v>
      </c>
      <c r="K62" s="64">
        <v>319.44</v>
      </c>
      <c r="L62" s="64">
        <v>28.45</v>
      </c>
      <c r="M62" s="64">
        <v>102.35</v>
      </c>
      <c r="N62" s="64">
        <v>264.89999999999998</v>
      </c>
      <c r="O62" s="64">
        <v>0</v>
      </c>
      <c r="P62" s="64">
        <v>0.72</v>
      </c>
      <c r="Q62" s="64">
        <v>9.81</v>
      </c>
      <c r="R62" s="198"/>
      <c r="S62" s="198"/>
      <c r="T62" s="198"/>
      <c r="U62" s="198"/>
    </row>
    <row r="63" spans="1:21" s="12" customFormat="1" x14ac:dyDescent="0.25">
      <c r="A63" s="248" t="s">
        <v>1931</v>
      </c>
      <c r="B63" s="64">
        <v>8.0399999999999991</v>
      </c>
      <c r="C63" s="64">
        <v>3.16</v>
      </c>
      <c r="D63" s="64">
        <v>11.87</v>
      </c>
      <c r="E63" s="64">
        <v>3.31</v>
      </c>
      <c r="F63" s="64">
        <v>3.69</v>
      </c>
      <c r="G63" s="64">
        <v>104.37</v>
      </c>
      <c r="H63" s="64">
        <v>14.27</v>
      </c>
      <c r="I63" s="64">
        <v>4.4000000000000004</v>
      </c>
      <c r="J63" s="64">
        <v>1.01</v>
      </c>
      <c r="K63" s="64">
        <v>326.58999999999997</v>
      </c>
      <c r="L63" s="64">
        <v>28.53</v>
      </c>
      <c r="M63" s="64">
        <v>102.34</v>
      </c>
      <c r="N63" s="64">
        <v>352.6</v>
      </c>
      <c r="O63" s="64">
        <v>0</v>
      </c>
      <c r="P63" s="64">
        <v>0.7</v>
      </c>
      <c r="Q63" s="64">
        <v>9.84</v>
      </c>
      <c r="R63" s="198"/>
      <c r="S63" s="198"/>
      <c r="T63" s="198"/>
      <c r="U63" s="198"/>
    </row>
    <row r="64" spans="1:21" s="12" customFormat="1" x14ac:dyDescent="0.25">
      <c r="A64" s="248" t="s">
        <v>1932</v>
      </c>
      <c r="B64" s="64">
        <v>8.0299999999999994</v>
      </c>
      <c r="C64" s="64">
        <v>3.1</v>
      </c>
      <c r="D64" s="64">
        <v>11.84</v>
      </c>
      <c r="E64" s="64">
        <v>2.81</v>
      </c>
      <c r="F64" s="64">
        <v>3.49</v>
      </c>
      <c r="G64" s="64">
        <v>95.92</v>
      </c>
      <c r="H64" s="64">
        <v>48.41</v>
      </c>
      <c r="I64" s="64">
        <v>4.2300000000000004</v>
      </c>
      <c r="J64" s="64">
        <v>0.7</v>
      </c>
      <c r="K64" s="64">
        <v>327.44</v>
      </c>
      <c r="L64" s="64">
        <v>29.58</v>
      </c>
      <c r="M64" s="64">
        <v>100.45</v>
      </c>
      <c r="N64" s="64">
        <v>403.3</v>
      </c>
      <c r="O64" s="64">
        <v>0</v>
      </c>
      <c r="P64" s="64">
        <v>0.69</v>
      </c>
      <c r="Q64" s="64">
        <v>9.83</v>
      </c>
      <c r="R64" s="198"/>
      <c r="S64" s="198"/>
      <c r="T64" s="198"/>
      <c r="U64" s="198"/>
    </row>
    <row r="65" spans="1:21" s="12" customFormat="1" x14ac:dyDescent="0.25">
      <c r="A65" s="248" t="s">
        <v>1933</v>
      </c>
      <c r="B65" s="64">
        <v>8.01</v>
      </c>
      <c r="C65" s="64">
        <v>3.07</v>
      </c>
      <c r="D65" s="64">
        <v>11.81</v>
      </c>
      <c r="E65" s="64">
        <v>3.18</v>
      </c>
      <c r="F65" s="64">
        <v>3.37</v>
      </c>
      <c r="G65" s="64">
        <v>92.49</v>
      </c>
      <c r="H65" s="64">
        <v>2.91</v>
      </c>
      <c r="I65" s="64">
        <v>3.99</v>
      </c>
      <c r="J65" s="64">
        <v>0.69</v>
      </c>
      <c r="K65" s="64">
        <v>324.20999999999998</v>
      </c>
      <c r="L65" s="64">
        <v>30.44</v>
      </c>
      <c r="M65" s="64">
        <v>94.39</v>
      </c>
      <c r="N65" s="64">
        <v>439.6</v>
      </c>
      <c r="O65" s="64">
        <v>0</v>
      </c>
      <c r="P65" s="64">
        <v>0.68</v>
      </c>
      <c r="Q65" s="64">
        <v>9.7799999999999994</v>
      </c>
      <c r="R65" s="198"/>
      <c r="S65" s="198"/>
      <c r="T65" s="198"/>
      <c r="U65" s="198"/>
    </row>
    <row r="66" spans="1:21" s="12" customFormat="1" x14ac:dyDescent="0.25">
      <c r="A66" s="248" t="s">
        <v>1934</v>
      </c>
      <c r="B66" s="64">
        <v>8.02</v>
      </c>
      <c r="C66" s="64">
        <v>3.09</v>
      </c>
      <c r="D66" s="64">
        <v>11.82</v>
      </c>
      <c r="E66" s="64">
        <v>3.08</v>
      </c>
      <c r="F66" s="64">
        <v>4.6100000000000003</v>
      </c>
      <c r="G66" s="64">
        <v>92.49</v>
      </c>
      <c r="H66" s="64">
        <v>2.91</v>
      </c>
      <c r="I66" s="64">
        <v>3.79</v>
      </c>
      <c r="J66" s="64">
        <v>0.51</v>
      </c>
      <c r="K66" s="64">
        <v>317.57</v>
      </c>
      <c r="L66" s="64">
        <v>31.62</v>
      </c>
      <c r="M66" s="64">
        <v>88.76</v>
      </c>
      <c r="N66" s="64">
        <v>445.1</v>
      </c>
      <c r="O66" s="64">
        <v>0</v>
      </c>
      <c r="P66" s="64">
        <v>0.67</v>
      </c>
      <c r="Q66" s="64">
        <v>9.7799999999999994</v>
      </c>
      <c r="R66" s="198"/>
      <c r="S66" s="198"/>
      <c r="T66" s="198"/>
      <c r="U66" s="198"/>
    </row>
    <row r="67" spans="1:21" s="12" customFormat="1" x14ac:dyDescent="0.25">
      <c r="A67" s="248" t="s">
        <v>1935</v>
      </c>
      <c r="B67" s="64">
        <v>8.01</v>
      </c>
      <c r="C67" s="64">
        <v>3.08</v>
      </c>
      <c r="D67" s="64">
        <v>11.8</v>
      </c>
      <c r="E67" s="64">
        <v>2.98</v>
      </c>
      <c r="F67" s="64">
        <v>2.25</v>
      </c>
      <c r="G67" s="64">
        <v>92.49</v>
      </c>
      <c r="H67" s="64">
        <v>2.91</v>
      </c>
      <c r="I67" s="64">
        <v>3.65</v>
      </c>
      <c r="J67" s="64">
        <v>0.72</v>
      </c>
      <c r="K67" s="64">
        <v>321.72000000000003</v>
      </c>
      <c r="L67" s="64">
        <v>31.53</v>
      </c>
      <c r="M67" s="64">
        <v>88.97</v>
      </c>
      <c r="N67" s="64">
        <v>396.2</v>
      </c>
      <c r="O67" s="64">
        <v>0</v>
      </c>
      <c r="P67" s="64">
        <v>0.65</v>
      </c>
      <c r="Q67" s="64">
        <v>9.7100000000000009</v>
      </c>
      <c r="R67" s="198"/>
      <c r="S67" s="198"/>
      <c r="T67" s="198"/>
      <c r="U67" s="198"/>
    </row>
    <row r="68" spans="1:21" s="12" customFormat="1" x14ac:dyDescent="0.25">
      <c r="A68" s="248" t="s">
        <v>1936</v>
      </c>
      <c r="B68" s="64">
        <v>7.98</v>
      </c>
      <c r="C68" s="64">
        <v>2.98</v>
      </c>
      <c r="D68" s="64">
        <v>11.73</v>
      </c>
      <c r="E68" s="64">
        <v>3.28</v>
      </c>
      <c r="F68" s="64">
        <v>4.21</v>
      </c>
      <c r="G68" s="64">
        <v>89.13</v>
      </c>
      <c r="H68" s="64">
        <v>1.89</v>
      </c>
      <c r="I68" s="64">
        <v>3.53</v>
      </c>
      <c r="J68" s="64">
        <v>0.91</v>
      </c>
      <c r="K68" s="64">
        <v>326.42</v>
      </c>
      <c r="L68" s="64">
        <v>31.19</v>
      </c>
      <c r="M68" s="64">
        <v>89.66</v>
      </c>
      <c r="N68" s="64">
        <v>324.10000000000002</v>
      </c>
      <c r="O68" s="64">
        <v>0</v>
      </c>
      <c r="P68" s="64">
        <v>0.64</v>
      </c>
      <c r="Q68" s="64">
        <v>9.68</v>
      </c>
      <c r="R68" s="198"/>
      <c r="S68" s="198"/>
      <c r="T68" s="198"/>
      <c r="U68" s="198"/>
    </row>
    <row r="69" spans="1:21" s="12" customFormat="1" x14ac:dyDescent="0.25">
      <c r="A69" s="248" t="s">
        <v>1937</v>
      </c>
      <c r="B69" s="64">
        <v>7.97</v>
      </c>
      <c r="C69" s="64">
        <v>3.02</v>
      </c>
      <c r="D69" s="64">
        <v>11.75</v>
      </c>
      <c r="E69" s="64">
        <v>3.64</v>
      </c>
      <c r="F69" s="64">
        <v>3.56</v>
      </c>
      <c r="G69" s="64">
        <v>87.76</v>
      </c>
      <c r="H69" s="64">
        <v>1.47</v>
      </c>
      <c r="I69" s="64">
        <v>3.11</v>
      </c>
      <c r="J69" s="64">
        <v>0.65</v>
      </c>
      <c r="K69" s="64">
        <v>333.52</v>
      </c>
      <c r="L69" s="64">
        <v>31.45</v>
      </c>
      <c r="M69" s="64">
        <v>88.66</v>
      </c>
      <c r="N69" s="64">
        <v>303.5</v>
      </c>
      <c r="O69" s="64">
        <v>0</v>
      </c>
      <c r="P69" s="64">
        <v>0.65</v>
      </c>
      <c r="Q69" s="64">
        <v>9.67</v>
      </c>
      <c r="R69" s="198"/>
      <c r="S69" s="198"/>
      <c r="T69" s="198"/>
      <c r="U69" s="198"/>
    </row>
    <row r="70" spans="1:21" s="12" customFormat="1" x14ac:dyDescent="0.25">
      <c r="A70" s="248" t="s">
        <v>1938</v>
      </c>
      <c r="B70" s="64">
        <v>8</v>
      </c>
      <c r="C70" s="64">
        <v>3.1</v>
      </c>
      <c r="D70" s="64">
        <v>11.81</v>
      </c>
      <c r="E70" s="64">
        <v>3.48</v>
      </c>
      <c r="F70" s="64">
        <v>2.59</v>
      </c>
      <c r="G70" s="64">
        <v>87.76</v>
      </c>
      <c r="H70" s="64">
        <v>1.47</v>
      </c>
      <c r="I70" s="64">
        <v>3.2</v>
      </c>
      <c r="J70" s="64">
        <v>1</v>
      </c>
      <c r="K70" s="64">
        <v>332.58</v>
      </c>
      <c r="L70" s="64">
        <v>31.61</v>
      </c>
      <c r="M70" s="64">
        <v>87.17</v>
      </c>
      <c r="N70" s="64">
        <v>297.5</v>
      </c>
      <c r="O70" s="64">
        <v>0</v>
      </c>
      <c r="P70" s="64">
        <v>0.63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48" t="s">
        <v>1939</v>
      </c>
      <c r="B71" s="64">
        <v>8</v>
      </c>
      <c r="C71" s="64">
        <v>3.1</v>
      </c>
      <c r="D71" s="64">
        <v>11.81</v>
      </c>
      <c r="E71" s="64">
        <v>3.55</v>
      </c>
      <c r="F71" s="64">
        <v>4.18</v>
      </c>
      <c r="G71" s="64">
        <v>87.76</v>
      </c>
      <c r="H71" s="64">
        <v>1.47</v>
      </c>
      <c r="I71" s="64">
        <v>2.97</v>
      </c>
      <c r="J71" s="64">
        <v>0.69</v>
      </c>
      <c r="K71" s="64">
        <v>323.52999999999997</v>
      </c>
      <c r="L71" s="64">
        <v>31.8</v>
      </c>
      <c r="M71" s="64">
        <v>85.41</v>
      </c>
      <c r="N71" s="64">
        <v>299.89999999999998</v>
      </c>
      <c r="O71" s="64">
        <v>0</v>
      </c>
      <c r="P71" s="64">
        <v>0.63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48" t="s">
        <v>1940</v>
      </c>
      <c r="B72" s="64">
        <v>8</v>
      </c>
      <c r="C72" s="64">
        <v>3.15</v>
      </c>
      <c r="D72" s="64">
        <v>11.84</v>
      </c>
      <c r="E72" s="64">
        <v>4.1399999999999997</v>
      </c>
      <c r="F72" s="64">
        <v>3.17</v>
      </c>
      <c r="G72" s="64">
        <v>90.24</v>
      </c>
      <c r="H72" s="64">
        <v>0.47</v>
      </c>
      <c r="I72" s="64">
        <v>2.88</v>
      </c>
      <c r="J72" s="64">
        <v>0.99</v>
      </c>
      <c r="K72" s="64">
        <v>322.11</v>
      </c>
      <c r="L72" s="64">
        <v>31.84</v>
      </c>
      <c r="M72" s="64">
        <v>85.75</v>
      </c>
      <c r="N72" s="64">
        <v>295.39999999999998</v>
      </c>
      <c r="O72" s="64">
        <v>0</v>
      </c>
      <c r="P72" s="64">
        <v>0.62</v>
      </c>
      <c r="Q72" s="64">
        <v>9.65</v>
      </c>
      <c r="R72" s="198"/>
      <c r="S72" s="198"/>
      <c r="T72" s="198"/>
      <c r="U72" s="198"/>
    </row>
    <row r="73" spans="1:21" s="12" customFormat="1" x14ac:dyDescent="0.25">
      <c r="A73" s="248" t="s">
        <v>1941</v>
      </c>
      <c r="B73" s="64">
        <v>8.11</v>
      </c>
      <c r="C73" s="64">
        <v>3.29</v>
      </c>
      <c r="D73" s="64">
        <v>12</v>
      </c>
      <c r="E73" s="64">
        <v>4.26</v>
      </c>
      <c r="F73" s="64">
        <v>2.85</v>
      </c>
      <c r="G73" s="64">
        <v>91.3</v>
      </c>
      <c r="H73" s="64">
        <v>0.06</v>
      </c>
      <c r="I73" s="64">
        <v>2.85</v>
      </c>
      <c r="J73" s="64">
        <v>0.99</v>
      </c>
      <c r="K73" s="64">
        <v>316.31</v>
      </c>
      <c r="L73" s="64">
        <v>31.48</v>
      </c>
      <c r="M73" s="64">
        <v>87.26</v>
      </c>
      <c r="N73" s="64">
        <v>266.10000000000002</v>
      </c>
      <c r="O73" s="64">
        <v>0</v>
      </c>
      <c r="P73" s="64">
        <v>0.59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48" t="s">
        <v>1942</v>
      </c>
      <c r="B74" s="64">
        <v>8.02</v>
      </c>
      <c r="C74" s="64">
        <v>3.19</v>
      </c>
      <c r="D74" s="64">
        <v>11.88</v>
      </c>
      <c r="E74" s="64">
        <v>4.34</v>
      </c>
      <c r="F74" s="64">
        <v>3.65</v>
      </c>
      <c r="G74" s="64">
        <v>91.3</v>
      </c>
      <c r="H74" s="64">
        <v>0.06</v>
      </c>
      <c r="I74" s="64">
        <v>2.7</v>
      </c>
      <c r="J74" s="64">
        <v>1.28</v>
      </c>
      <c r="K74" s="64">
        <v>331.24</v>
      </c>
      <c r="L74" s="64">
        <v>31.18</v>
      </c>
      <c r="M74" s="64">
        <v>88.92</v>
      </c>
      <c r="N74" s="64">
        <v>226.6</v>
      </c>
      <c r="O74" s="64">
        <v>0</v>
      </c>
      <c r="P74" s="64">
        <v>0.56999999999999995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48" t="s">
        <v>1943</v>
      </c>
      <c r="B75" s="64">
        <v>7.97</v>
      </c>
      <c r="C75" s="64">
        <v>3.02</v>
      </c>
      <c r="D75" s="64">
        <v>11.74</v>
      </c>
      <c r="E75" s="64">
        <v>4.0599999999999996</v>
      </c>
      <c r="F75" s="64">
        <v>3.4</v>
      </c>
      <c r="G75" s="64">
        <v>91.3</v>
      </c>
      <c r="H75" s="64">
        <v>0.06</v>
      </c>
      <c r="I75" s="64">
        <v>2.4900000000000002</v>
      </c>
      <c r="J75" s="64">
        <v>1.35</v>
      </c>
      <c r="K75" s="64">
        <v>335.7</v>
      </c>
      <c r="L75" s="64">
        <v>31.25</v>
      </c>
      <c r="M75" s="64">
        <v>87.31</v>
      </c>
      <c r="N75" s="64">
        <v>196.4</v>
      </c>
      <c r="O75" s="64">
        <v>0</v>
      </c>
      <c r="P75" s="64">
        <v>0.56999999999999995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48" t="s">
        <v>1944</v>
      </c>
      <c r="B76" s="64">
        <v>7.96</v>
      </c>
      <c r="C76" s="64">
        <v>2.97</v>
      </c>
      <c r="D76" s="64">
        <v>11.71</v>
      </c>
      <c r="E76" s="64">
        <v>3.69</v>
      </c>
      <c r="F76" s="64">
        <v>3.5</v>
      </c>
      <c r="G76" s="64">
        <v>85.99</v>
      </c>
      <c r="H76" s="64">
        <v>27.46</v>
      </c>
      <c r="I76" s="64">
        <v>2.35</v>
      </c>
      <c r="J76" s="64">
        <v>2.1</v>
      </c>
      <c r="K76" s="64">
        <v>332.98</v>
      </c>
      <c r="L76" s="64">
        <v>30.52</v>
      </c>
      <c r="M76" s="64">
        <v>83.7</v>
      </c>
      <c r="N76" s="64">
        <v>194.2</v>
      </c>
      <c r="O76" s="64">
        <v>0</v>
      </c>
      <c r="P76" s="64">
        <v>0.56000000000000005</v>
      </c>
      <c r="Q76" s="64">
        <v>9.51</v>
      </c>
      <c r="R76" s="198"/>
      <c r="S76" s="198"/>
      <c r="T76" s="198"/>
      <c r="U76" s="198"/>
    </row>
    <row r="77" spans="1:21" s="12" customFormat="1" x14ac:dyDescent="0.25">
      <c r="A77" s="248" t="s">
        <v>1945</v>
      </c>
      <c r="B77" s="64">
        <v>8</v>
      </c>
      <c r="C77" s="64">
        <v>3.03</v>
      </c>
      <c r="D77" s="64">
        <v>11.77</v>
      </c>
      <c r="E77" s="64">
        <v>4.13</v>
      </c>
      <c r="F77" s="64">
        <v>3.65</v>
      </c>
      <c r="G77" s="64">
        <v>83.71</v>
      </c>
      <c r="H77" s="64">
        <v>38.590000000000003</v>
      </c>
      <c r="I77" s="64">
        <v>2.3199999999999998</v>
      </c>
      <c r="J77" s="64">
        <v>1.93</v>
      </c>
      <c r="K77" s="64">
        <v>332.1</v>
      </c>
      <c r="L77" s="64">
        <v>30.02</v>
      </c>
      <c r="M77" s="64">
        <v>86.73</v>
      </c>
      <c r="N77" s="64">
        <v>184.1</v>
      </c>
      <c r="O77" s="64">
        <v>0</v>
      </c>
      <c r="P77" s="64">
        <v>0.55000000000000004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48" t="s">
        <v>1946</v>
      </c>
      <c r="B78" s="64">
        <v>8</v>
      </c>
      <c r="C78" s="64">
        <v>3.11</v>
      </c>
      <c r="D78" s="64">
        <v>11.82</v>
      </c>
      <c r="E78" s="64">
        <v>3.97</v>
      </c>
      <c r="F78" s="64">
        <v>3.54</v>
      </c>
      <c r="G78" s="64">
        <v>83.71</v>
      </c>
      <c r="H78" s="64">
        <v>38.590000000000003</v>
      </c>
      <c r="I78" s="64">
        <v>2.38</v>
      </c>
      <c r="J78" s="64">
        <v>1.71</v>
      </c>
      <c r="K78" s="64">
        <v>334.86</v>
      </c>
      <c r="L78" s="64">
        <v>29.88</v>
      </c>
      <c r="M78" s="64">
        <v>90.14</v>
      </c>
      <c r="N78" s="64">
        <v>145.19999999999999</v>
      </c>
      <c r="O78" s="64">
        <v>0</v>
      </c>
      <c r="P78" s="64">
        <v>0.55000000000000004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48" t="s">
        <v>1947</v>
      </c>
      <c r="B79" s="64">
        <v>7.96</v>
      </c>
      <c r="C79" s="64">
        <v>3.02</v>
      </c>
      <c r="D79" s="64">
        <v>11.73</v>
      </c>
      <c r="E79" s="64">
        <v>4.09</v>
      </c>
      <c r="F79" s="64">
        <v>3.42</v>
      </c>
      <c r="G79" s="64">
        <v>83.71</v>
      </c>
      <c r="H79" s="64">
        <v>38.590000000000003</v>
      </c>
      <c r="I79" s="64">
        <v>2.3199999999999998</v>
      </c>
      <c r="J79" s="64">
        <v>1.71</v>
      </c>
      <c r="K79" s="64">
        <v>333.59</v>
      </c>
      <c r="L79" s="64">
        <v>29.63</v>
      </c>
      <c r="M79" s="64">
        <v>88.98</v>
      </c>
      <c r="N79" s="64">
        <v>116.8</v>
      </c>
      <c r="O79" s="64">
        <v>0</v>
      </c>
      <c r="P79" s="64">
        <v>0.55000000000000004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48" t="s">
        <v>1948</v>
      </c>
      <c r="B80" s="64">
        <v>7.96</v>
      </c>
      <c r="C80" s="64">
        <v>3.02</v>
      </c>
      <c r="D80" s="64">
        <v>11.73</v>
      </c>
      <c r="E80" s="64">
        <v>4.3</v>
      </c>
      <c r="F80" s="64">
        <v>3.4</v>
      </c>
      <c r="G80" s="64">
        <v>84.5</v>
      </c>
      <c r="H80" s="64">
        <v>13.74</v>
      </c>
      <c r="I80" s="64">
        <v>2.2799999999999998</v>
      </c>
      <c r="J80" s="64">
        <v>1.34</v>
      </c>
      <c r="K80" s="64">
        <v>334.16</v>
      </c>
      <c r="L80" s="64">
        <v>29.21</v>
      </c>
      <c r="M80" s="64">
        <v>83.47</v>
      </c>
      <c r="N80" s="64">
        <v>103.8</v>
      </c>
      <c r="O80" s="64">
        <v>0</v>
      </c>
      <c r="P80" s="64">
        <v>0.56999999999999995</v>
      </c>
      <c r="Q80" s="64">
        <v>9.51</v>
      </c>
      <c r="R80" s="198"/>
      <c r="S80" s="198"/>
      <c r="T80" s="198"/>
      <c r="U80" s="198"/>
    </row>
    <row r="81" spans="1:26" s="12" customFormat="1" x14ac:dyDescent="0.25">
      <c r="A81" s="248" t="s">
        <v>1949</v>
      </c>
      <c r="B81" s="64">
        <v>7.96</v>
      </c>
      <c r="C81" s="64">
        <v>2.99</v>
      </c>
      <c r="D81" s="64">
        <v>11.72</v>
      </c>
      <c r="E81" s="64">
        <v>4.33</v>
      </c>
      <c r="F81" s="64">
        <v>3.56</v>
      </c>
      <c r="G81" s="64">
        <v>84.82</v>
      </c>
      <c r="H81" s="64">
        <v>3.09</v>
      </c>
      <c r="I81" s="64">
        <v>2.4</v>
      </c>
      <c r="J81" s="64">
        <v>0.78</v>
      </c>
      <c r="K81" s="64">
        <v>328.62</v>
      </c>
      <c r="L81" s="64">
        <v>28.91</v>
      </c>
      <c r="M81" s="64">
        <v>83.68</v>
      </c>
      <c r="N81" s="64">
        <v>91.7</v>
      </c>
      <c r="O81" s="64">
        <v>0</v>
      </c>
      <c r="P81" s="64">
        <v>0.56999999999999995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48" t="s">
        <v>1950</v>
      </c>
      <c r="B82" s="64">
        <v>7.98</v>
      </c>
      <c r="C82" s="64">
        <v>3.04</v>
      </c>
      <c r="D82" s="64">
        <v>11.75</v>
      </c>
      <c r="E82" s="64">
        <v>4.1900000000000004</v>
      </c>
      <c r="F82" s="64">
        <v>3.95</v>
      </c>
      <c r="G82" s="64">
        <v>84.82</v>
      </c>
      <c r="H82" s="64">
        <v>3.09</v>
      </c>
      <c r="I82" s="64">
        <v>2.5099999999999998</v>
      </c>
      <c r="J82" s="64">
        <v>0.4</v>
      </c>
      <c r="K82" s="64">
        <v>320.7</v>
      </c>
      <c r="L82" s="64">
        <v>28.39</v>
      </c>
      <c r="M82" s="64">
        <v>87.27</v>
      </c>
      <c r="N82" s="64">
        <v>79.2</v>
      </c>
      <c r="O82" s="64">
        <v>0</v>
      </c>
      <c r="P82" s="64">
        <v>0.59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48" t="s">
        <v>1951</v>
      </c>
      <c r="B83" s="64">
        <v>7.94</v>
      </c>
      <c r="C83" s="64">
        <v>2.96</v>
      </c>
      <c r="D83" s="64">
        <v>11.69</v>
      </c>
      <c r="E83" s="64">
        <v>4.5999999999999996</v>
      </c>
      <c r="F83" s="64">
        <v>3.69</v>
      </c>
      <c r="G83" s="64">
        <v>84.82</v>
      </c>
      <c r="H83" s="64">
        <v>3.09</v>
      </c>
      <c r="I83" s="64">
        <v>2.85</v>
      </c>
      <c r="J83" s="64">
        <v>1.02</v>
      </c>
      <c r="K83" s="64">
        <v>333.05</v>
      </c>
      <c r="L83" s="64">
        <v>28.15</v>
      </c>
      <c r="M83" s="64">
        <v>86.88</v>
      </c>
      <c r="N83" s="64">
        <v>78.099999999999994</v>
      </c>
      <c r="O83" s="64">
        <v>0</v>
      </c>
      <c r="P83" s="64">
        <v>0.62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48" t="s">
        <v>1952</v>
      </c>
      <c r="B84" s="64">
        <v>7.97</v>
      </c>
      <c r="C84" s="64">
        <v>3.03</v>
      </c>
      <c r="D84" s="64">
        <v>11.75</v>
      </c>
      <c r="E84" s="64">
        <v>4.43</v>
      </c>
      <c r="F84" s="64">
        <v>3.01</v>
      </c>
      <c r="G84" s="64">
        <v>90.85</v>
      </c>
      <c r="H84" s="64">
        <v>1.26</v>
      </c>
      <c r="I84" s="64">
        <v>3.1</v>
      </c>
      <c r="J84" s="64">
        <v>0.63</v>
      </c>
      <c r="K84" s="64">
        <v>331.07</v>
      </c>
      <c r="L84" s="64">
        <v>27.91</v>
      </c>
      <c r="M84" s="64">
        <v>86.82</v>
      </c>
      <c r="N84" s="64">
        <v>77.5</v>
      </c>
      <c r="O84" s="64">
        <v>0</v>
      </c>
      <c r="P84" s="64">
        <v>0.63</v>
      </c>
      <c r="Q84" s="64">
        <v>9.5399999999999991</v>
      </c>
      <c r="R84" s="198"/>
      <c r="S84" s="198"/>
      <c r="T84" s="198"/>
      <c r="U84" s="198"/>
    </row>
    <row r="85" spans="1:26" s="12" customFormat="1" x14ac:dyDescent="0.25">
      <c r="A85" s="248" t="s">
        <v>1953</v>
      </c>
      <c r="B85" s="64">
        <v>7.97</v>
      </c>
      <c r="C85" s="64">
        <v>3.01</v>
      </c>
      <c r="D85" s="64">
        <v>11.74</v>
      </c>
      <c r="E85" s="64">
        <v>4.03</v>
      </c>
      <c r="F85" s="64">
        <v>4.51</v>
      </c>
      <c r="G85" s="64">
        <v>93.43</v>
      </c>
      <c r="H85" s="64">
        <v>0.31</v>
      </c>
      <c r="I85" s="64">
        <v>3.25</v>
      </c>
      <c r="J85" s="64">
        <v>7.0000000000000007E-2</v>
      </c>
      <c r="K85" s="64">
        <v>31.68</v>
      </c>
      <c r="L85" s="64">
        <v>27.55</v>
      </c>
      <c r="M85" s="64">
        <v>88.36</v>
      </c>
      <c r="N85" s="64">
        <v>77.7</v>
      </c>
      <c r="O85" s="64">
        <v>0</v>
      </c>
      <c r="P85" s="64">
        <v>0.66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48" t="s">
        <v>1954</v>
      </c>
      <c r="B86" s="64">
        <v>7.98</v>
      </c>
      <c r="C86" s="64">
        <v>3.05</v>
      </c>
      <c r="D86" s="64">
        <v>11.76</v>
      </c>
      <c r="E86" s="64">
        <v>4.37</v>
      </c>
      <c r="F86" s="64">
        <v>2.13</v>
      </c>
      <c r="G86" s="64">
        <v>93.43</v>
      </c>
      <c r="H86" s="64">
        <v>0.31</v>
      </c>
      <c r="I86" s="64">
        <v>3.4</v>
      </c>
      <c r="J86" s="64">
        <v>0.21</v>
      </c>
      <c r="K86" s="64">
        <v>153.56</v>
      </c>
      <c r="L86" s="64">
        <v>27.27</v>
      </c>
      <c r="M86" s="64">
        <v>90.32</v>
      </c>
      <c r="N86" s="64">
        <v>77.599999999999994</v>
      </c>
      <c r="O86" s="64">
        <v>0</v>
      </c>
      <c r="P86" s="64">
        <v>0.7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48" t="s">
        <v>1955</v>
      </c>
      <c r="B87" s="64">
        <v>8.01</v>
      </c>
      <c r="C87" s="64">
        <v>3.12</v>
      </c>
      <c r="D87" s="64">
        <v>11.83</v>
      </c>
      <c r="E87" s="64">
        <v>4.08</v>
      </c>
      <c r="F87" s="64">
        <v>4.01</v>
      </c>
      <c r="G87" s="64">
        <v>93.43</v>
      </c>
      <c r="H87" s="64">
        <v>0.31</v>
      </c>
      <c r="I87" s="64">
        <v>3.59</v>
      </c>
      <c r="J87" s="64">
        <v>0.2</v>
      </c>
      <c r="K87" s="64">
        <v>214.95</v>
      </c>
      <c r="L87" s="64">
        <v>27.15</v>
      </c>
      <c r="M87" s="64">
        <v>94.16</v>
      </c>
      <c r="N87" s="64">
        <v>77.8</v>
      </c>
      <c r="O87" s="64">
        <v>0</v>
      </c>
      <c r="P87" s="64">
        <v>0.72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48" t="s">
        <v>1956</v>
      </c>
      <c r="B88" s="64">
        <v>7.98</v>
      </c>
      <c r="C88" s="64">
        <v>3.04</v>
      </c>
      <c r="D88" s="64">
        <v>11.76</v>
      </c>
      <c r="E88" s="64">
        <v>5.41</v>
      </c>
      <c r="F88" s="64">
        <v>2.4300000000000002</v>
      </c>
      <c r="G88" s="64">
        <v>93.92</v>
      </c>
      <c r="H88" s="64">
        <v>0.25</v>
      </c>
      <c r="I88" s="64">
        <v>3.83</v>
      </c>
      <c r="J88" s="64">
        <v>0.09</v>
      </c>
      <c r="K88" s="64">
        <v>248</v>
      </c>
      <c r="L88" s="64">
        <v>26.96</v>
      </c>
      <c r="M88" s="64">
        <v>98.37</v>
      </c>
      <c r="N88" s="64">
        <v>77.900000000000006</v>
      </c>
      <c r="O88" s="64">
        <v>0</v>
      </c>
      <c r="P88" s="64">
        <v>0.74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48" t="s">
        <v>1957</v>
      </c>
      <c r="B89" s="64">
        <v>8.06</v>
      </c>
      <c r="C89" s="64">
        <v>3.18</v>
      </c>
      <c r="D89" s="64">
        <v>11.9</v>
      </c>
      <c r="E89" s="64">
        <v>4.8</v>
      </c>
      <c r="F89" s="64">
        <v>4.01</v>
      </c>
      <c r="G89" s="64">
        <v>94.13</v>
      </c>
      <c r="H89" s="212" t="s">
        <v>42</v>
      </c>
      <c r="I89" s="64">
        <v>4.01</v>
      </c>
      <c r="J89" s="64">
        <v>0.18</v>
      </c>
      <c r="K89" s="64">
        <v>326.02</v>
      </c>
      <c r="L89" s="64">
        <v>26.82</v>
      </c>
      <c r="M89" s="64">
        <v>100.7</v>
      </c>
      <c r="N89" s="64">
        <v>78</v>
      </c>
      <c r="O89" s="64">
        <v>0</v>
      </c>
      <c r="P89" s="64">
        <v>0.77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48" t="s">
        <v>1958</v>
      </c>
      <c r="B90" s="64">
        <v>8.1199999999999992</v>
      </c>
      <c r="C90" s="64">
        <v>3.26</v>
      </c>
      <c r="D90" s="64">
        <v>11.99</v>
      </c>
      <c r="E90" s="64">
        <v>4.8600000000000003</v>
      </c>
      <c r="F90" s="64">
        <v>2.88</v>
      </c>
      <c r="G90" s="64">
        <v>94.13</v>
      </c>
      <c r="H90" s="212" t="s">
        <v>42</v>
      </c>
      <c r="I90" s="64">
        <v>4.22</v>
      </c>
      <c r="J90" s="64">
        <v>0.04</v>
      </c>
      <c r="K90" s="64">
        <v>182.54</v>
      </c>
      <c r="L90" s="64">
        <v>26.87</v>
      </c>
      <c r="M90" s="64">
        <v>99.76</v>
      </c>
      <c r="N90" s="64">
        <v>77.7</v>
      </c>
      <c r="O90" s="64">
        <v>0</v>
      </c>
      <c r="P90" s="64">
        <v>0.8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48" t="s">
        <v>1959</v>
      </c>
      <c r="B91" s="64">
        <v>8.2200000000000006</v>
      </c>
      <c r="C91" s="64">
        <v>3.39</v>
      </c>
      <c r="D91" s="64">
        <v>12.14</v>
      </c>
      <c r="E91" s="64">
        <v>5.18</v>
      </c>
      <c r="F91" s="64">
        <v>2.81</v>
      </c>
      <c r="G91" s="64">
        <v>94.13</v>
      </c>
      <c r="H91" s="212" t="s">
        <v>42</v>
      </c>
      <c r="I91" s="64">
        <v>4.47</v>
      </c>
      <c r="J91" s="64">
        <v>0.1</v>
      </c>
      <c r="K91" s="64">
        <v>270.45</v>
      </c>
      <c r="L91" s="64">
        <v>26.82</v>
      </c>
      <c r="M91" s="64">
        <v>100.78</v>
      </c>
      <c r="N91" s="64">
        <v>78</v>
      </c>
      <c r="O91" s="64">
        <v>0</v>
      </c>
      <c r="P91" s="64">
        <v>0.81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48" t="s">
        <v>1960</v>
      </c>
      <c r="B92" s="64">
        <v>8.02</v>
      </c>
      <c r="C92" s="64">
        <v>3.09</v>
      </c>
      <c r="D92" s="64">
        <v>11.83</v>
      </c>
      <c r="E92" s="64">
        <v>4.87</v>
      </c>
      <c r="F92" s="64">
        <v>3.27</v>
      </c>
      <c r="G92" s="64">
        <v>99.78</v>
      </c>
      <c r="H92" s="212" t="s">
        <v>42</v>
      </c>
      <c r="I92" s="64">
        <v>4.59</v>
      </c>
      <c r="J92" s="64">
        <v>0.08</v>
      </c>
      <c r="K92" s="64">
        <v>130.4</v>
      </c>
      <c r="L92" s="64">
        <v>26.67</v>
      </c>
      <c r="M92" s="64">
        <v>102.2</v>
      </c>
      <c r="N92" s="64">
        <v>77.8</v>
      </c>
      <c r="O92" s="64">
        <v>0</v>
      </c>
      <c r="P92" s="64">
        <v>0.82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48" t="s">
        <v>1961</v>
      </c>
      <c r="B93" s="64">
        <v>7.96</v>
      </c>
      <c r="C93" s="64">
        <v>3.02</v>
      </c>
      <c r="D93" s="64">
        <v>11.74</v>
      </c>
      <c r="E93" s="64">
        <v>5.03</v>
      </c>
      <c r="F93" s="64">
        <v>3.58</v>
      </c>
      <c r="G93" s="64">
        <v>102.2</v>
      </c>
      <c r="H93" s="212" t="s">
        <v>42</v>
      </c>
      <c r="I93" s="64">
        <v>4.6100000000000003</v>
      </c>
      <c r="J93" s="64">
        <v>7.0000000000000007E-2</v>
      </c>
      <c r="K93" s="64">
        <v>147.46</v>
      </c>
      <c r="L93" s="64">
        <v>26.47</v>
      </c>
      <c r="M93" s="64">
        <v>102.34</v>
      </c>
      <c r="N93" s="64">
        <v>78.099999999999994</v>
      </c>
      <c r="O93" s="64">
        <v>0</v>
      </c>
      <c r="P93" s="64">
        <v>0.83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48" t="s">
        <v>1962</v>
      </c>
      <c r="B94" s="64">
        <v>7.99</v>
      </c>
      <c r="C94" s="64">
        <v>2.99</v>
      </c>
      <c r="D94" s="64">
        <v>11.74</v>
      </c>
      <c r="E94" s="64">
        <v>4.92</v>
      </c>
      <c r="F94" s="64">
        <v>3.28</v>
      </c>
      <c r="G94" s="64">
        <v>102.2</v>
      </c>
      <c r="H94" s="212" t="s">
        <v>42</v>
      </c>
      <c r="I94" s="64">
        <v>5.01</v>
      </c>
      <c r="J94" s="64">
        <v>0.17</v>
      </c>
      <c r="K94" s="64">
        <v>335.57</v>
      </c>
      <c r="L94" s="64">
        <v>26.47</v>
      </c>
      <c r="M94" s="64">
        <v>102.42</v>
      </c>
      <c r="N94" s="64">
        <v>77.900000000000006</v>
      </c>
      <c r="O94" s="64">
        <v>0</v>
      </c>
      <c r="P94" s="64">
        <v>0.83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48" t="s">
        <v>1963</v>
      </c>
      <c r="B95" s="64">
        <v>8.02</v>
      </c>
      <c r="C95" s="64">
        <v>3.03</v>
      </c>
      <c r="D95" s="64">
        <v>11.79</v>
      </c>
      <c r="E95" s="64">
        <v>5.0599999999999996</v>
      </c>
      <c r="F95" s="64">
        <v>3.3</v>
      </c>
      <c r="G95" s="64">
        <v>102.2</v>
      </c>
      <c r="H95" s="212" t="s">
        <v>42</v>
      </c>
      <c r="I95" s="64">
        <v>5.29</v>
      </c>
      <c r="J95" s="64">
        <v>0.18</v>
      </c>
      <c r="K95" s="64">
        <v>319.55</v>
      </c>
      <c r="L95" s="64">
        <v>26.35</v>
      </c>
      <c r="M95" s="64">
        <v>102.61</v>
      </c>
      <c r="N95" s="64">
        <v>77.900000000000006</v>
      </c>
      <c r="O95" s="64">
        <v>0</v>
      </c>
      <c r="P95" s="64">
        <v>0.86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48" t="s">
        <v>1964</v>
      </c>
      <c r="B96" s="64">
        <v>8.0299999999999994</v>
      </c>
      <c r="C96" s="64">
        <v>3.03</v>
      </c>
      <c r="D96" s="64">
        <v>11.8</v>
      </c>
      <c r="E96" s="64">
        <v>5.0999999999999996</v>
      </c>
      <c r="F96" s="64">
        <v>3.18</v>
      </c>
      <c r="G96" s="64">
        <v>114.84</v>
      </c>
      <c r="H96" s="212" t="s">
        <v>42</v>
      </c>
      <c r="I96" s="64">
        <v>5.31</v>
      </c>
      <c r="J96" s="64">
        <v>0.11</v>
      </c>
      <c r="K96" s="64">
        <v>245.01</v>
      </c>
      <c r="L96" s="64">
        <v>26.22</v>
      </c>
      <c r="M96" s="64">
        <v>102.75</v>
      </c>
      <c r="N96" s="64">
        <v>77.8</v>
      </c>
      <c r="O96" s="64">
        <v>0</v>
      </c>
      <c r="P96" s="64">
        <v>0.9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1965</v>
      </c>
      <c r="B97" s="64">
        <v>8.0399999999999991</v>
      </c>
      <c r="C97" s="64">
        <v>3.06</v>
      </c>
      <c r="D97" s="64">
        <v>11.82</v>
      </c>
      <c r="E97" s="64">
        <v>5.0199999999999996</v>
      </c>
      <c r="F97" s="64">
        <v>3.31</v>
      </c>
      <c r="G97" s="64">
        <v>120.26</v>
      </c>
      <c r="H97" s="212" t="s">
        <v>42</v>
      </c>
      <c r="I97" s="64">
        <v>5.81</v>
      </c>
      <c r="J97" s="64">
        <v>0.08</v>
      </c>
      <c r="K97" s="64">
        <v>149.36000000000001</v>
      </c>
      <c r="L97" s="64">
        <v>26.16</v>
      </c>
      <c r="M97" s="64">
        <v>102.86</v>
      </c>
      <c r="N97" s="64">
        <v>77.8</v>
      </c>
      <c r="O97" s="64">
        <v>0</v>
      </c>
      <c r="P97" s="64">
        <v>0.91</v>
      </c>
      <c r="Q97" s="64">
        <v>9.74</v>
      </c>
      <c r="R97" s="198"/>
      <c r="S97" s="198"/>
      <c r="T97" s="198"/>
      <c r="U97" s="198"/>
    </row>
    <row r="98" spans="1:33" s="12" customFormat="1" x14ac:dyDescent="0.25">
      <c r="A98" s="248" t="s">
        <v>1966</v>
      </c>
      <c r="B98" s="64">
        <v>8.0500000000000007</v>
      </c>
      <c r="C98" s="64">
        <v>3.06</v>
      </c>
      <c r="D98" s="64">
        <v>11.82</v>
      </c>
      <c r="E98" s="64">
        <v>5.2</v>
      </c>
      <c r="F98" s="64">
        <v>3.45</v>
      </c>
      <c r="G98" s="64">
        <v>120.26</v>
      </c>
      <c r="H98" s="212" t="s">
        <v>42</v>
      </c>
      <c r="I98" s="64">
        <v>6.09</v>
      </c>
      <c r="J98" s="64">
        <v>0.82</v>
      </c>
      <c r="K98" s="64">
        <v>341.23</v>
      </c>
      <c r="L98" s="64">
        <v>26.28</v>
      </c>
      <c r="M98" s="64">
        <v>103</v>
      </c>
      <c r="N98" s="64">
        <v>77.2</v>
      </c>
      <c r="O98" s="64">
        <v>0</v>
      </c>
      <c r="P98" s="64">
        <v>0.93</v>
      </c>
      <c r="Q98" s="64">
        <v>9.75</v>
      </c>
      <c r="R98" s="198"/>
      <c r="S98" s="198"/>
      <c r="T98" s="198"/>
      <c r="U98" s="198"/>
    </row>
    <row r="99" spans="1:33" s="12" customFormat="1" x14ac:dyDescent="0.25">
      <c r="A99" s="248" t="s">
        <v>1967</v>
      </c>
      <c r="B99" s="64">
        <v>8</v>
      </c>
      <c r="C99" s="64">
        <v>2.97</v>
      </c>
      <c r="D99" s="64">
        <v>11.74</v>
      </c>
      <c r="E99" s="64">
        <v>5.28</v>
      </c>
      <c r="F99" s="64">
        <v>4.5999999999999996</v>
      </c>
      <c r="G99" s="64">
        <v>120.26</v>
      </c>
      <c r="H99" s="212" t="s">
        <v>42</v>
      </c>
      <c r="I99" s="64">
        <v>6.15</v>
      </c>
      <c r="J99" s="64">
        <v>0.5</v>
      </c>
      <c r="K99" s="64">
        <v>340.24</v>
      </c>
      <c r="L99" s="64">
        <v>26.3</v>
      </c>
      <c r="M99" s="64">
        <v>102.89</v>
      </c>
      <c r="N99" s="64">
        <v>77.599999999999994</v>
      </c>
      <c r="O99" s="64">
        <v>0</v>
      </c>
      <c r="P99" s="64">
        <v>0.97</v>
      </c>
      <c r="Q99" s="64">
        <v>9.81</v>
      </c>
      <c r="R99" s="198"/>
      <c r="S99" s="198"/>
      <c r="T99" s="198"/>
      <c r="U99" s="198"/>
    </row>
    <row r="100" spans="1:33" s="12" customFormat="1" x14ac:dyDescent="0.25">
      <c r="A100" s="248" t="s">
        <v>1968</v>
      </c>
      <c r="B100" s="64">
        <v>7.98</v>
      </c>
      <c r="C100" s="64">
        <v>2.95</v>
      </c>
      <c r="D100" s="64">
        <v>11.71</v>
      </c>
      <c r="E100" s="64">
        <v>5.42</v>
      </c>
      <c r="F100" s="64">
        <v>3.46</v>
      </c>
      <c r="G100" s="64">
        <v>123.8</v>
      </c>
      <c r="H100" s="212" t="s">
        <v>42</v>
      </c>
      <c r="I100" s="64">
        <v>6.5</v>
      </c>
      <c r="J100" s="64">
        <v>0.52</v>
      </c>
      <c r="K100" s="64">
        <v>329.16</v>
      </c>
      <c r="L100" s="64">
        <v>26.22</v>
      </c>
      <c r="M100" s="64">
        <v>103.24</v>
      </c>
      <c r="N100" s="64">
        <v>77.599999999999994</v>
      </c>
      <c r="O100" s="64">
        <v>0</v>
      </c>
      <c r="P100" s="64">
        <v>0.99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1969</v>
      </c>
      <c r="B101" s="64">
        <v>8.1300000000000008</v>
      </c>
      <c r="C101" s="64">
        <v>3.2</v>
      </c>
      <c r="D101" s="64">
        <v>11.97</v>
      </c>
      <c r="E101" s="64">
        <v>5.94</v>
      </c>
      <c r="F101" s="64">
        <v>3.63</v>
      </c>
      <c r="G101" s="64">
        <v>125.31</v>
      </c>
      <c r="H101" s="212" t="s">
        <v>42</v>
      </c>
      <c r="I101" s="64">
        <v>6.5</v>
      </c>
      <c r="J101" s="64">
        <v>0.67</v>
      </c>
      <c r="K101" s="64">
        <v>334.62</v>
      </c>
      <c r="L101" s="64">
        <v>26.23</v>
      </c>
      <c r="M101" s="64">
        <v>103.32</v>
      </c>
      <c r="N101" s="64">
        <v>77.5</v>
      </c>
      <c r="O101" s="64">
        <v>0</v>
      </c>
      <c r="P101" s="64">
        <v>1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48" t="s">
        <v>1970</v>
      </c>
      <c r="B102" s="64">
        <v>8.08</v>
      </c>
      <c r="C102" s="64">
        <v>3.14</v>
      </c>
      <c r="D102" s="64">
        <v>11.9</v>
      </c>
      <c r="E102" s="64">
        <v>5.57</v>
      </c>
      <c r="F102" s="64">
        <v>4.4800000000000004</v>
      </c>
      <c r="G102" s="64">
        <v>125.31</v>
      </c>
      <c r="H102" s="212" t="s">
        <v>42</v>
      </c>
      <c r="I102" s="64">
        <v>6.55</v>
      </c>
      <c r="J102" s="64">
        <v>0.23</v>
      </c>
      <c r="K102" s="64">
        <v>352.28</v>
      </c>
      <c r="L102" s="64">
        <v>26.2</v>
      </c>
      <c r="M102" s="64">
        <v>103.3</v>
      </c>
      <c r="N102" s="64">
        <v>77.7</v>
      </c>
      <c r="O102" s="64">
        <v>0</v>
      </c>
      <c r="P102" s="64">
        <v>1.02</v>
      </c>
      <c r="Q102" s="64">
        <v>9.7799999999999994</v>
      </c>
      <c r="R102" s="198"/>
      <c r="S102" s="198"/>
      <c r="T102" s="198"/>
      <c r="U102" s="198"/>
    </row>
    <row r="103" spans="1:33" s="12" customFormat="1" x14ac:dyDescent="0.25">
      <c r="A103" s="248" t="s">
        <v>1971</v>
      </c>
      <c r="B103" s="64">
        <v>8.07</v>
      </c>
      <c r="C103" s="64">
        <v>3.11</v>
      </c>
      <c r="D103" s="64">
        <v>11.87</v>
      </c>
      <c r="E103" s="64">
        <v>5.63</v>
      </c>
      <c r="F103" s="64">
        <v>2.21</v>
      </c>
      <c r="G103" s="64">
        <v>125.31</v>
      </c>
      <c r="H103" s="212" t="s">
        <v>42</v>
      </c>
      <c r="I103" s="64">
        <v>6.54</v>
      </c>
      <c r="J103" s="64">
        <v>0.16</v>
      </c>
      <c r="K103" s="64">
        <v>349.93</v>
      </c>
      <c r="L103" s="64">
        <v>26.21</v>
      </c>
      <c r="M103" s="64">
        <v>102.95</v>
      </c>
      <c r="N103" s="64">
        <v>77.599999999999994</v>
      </c>
      <c r="O103" s="64">
        <v>0</v>
      </c>
      <c r="P103" s="64">
        <v>1.03</v>
      </c>
      <c r="Q103" s="64">
        <v>9.74</v>
      </c>
      <c r="R103" s="198"/>
      <c r="S103" s="198"/>
      <c r="T103" s="198"/>
      <c r="U103" s="198"/>
    </row>
    <row r="104" spans="1:33" s="12" customFormat="1" x14ac:dyDescent="0.25">
      <c r="A104" s="248" t="s">
        <v>1972</v>
      </c>
      <c r="B104" s="64">
        <v>8.15</v>
      </c>
      <c r="C104" s="64">
        <v>3.26</v>
      </c>
      <c r="D104" s="64">
        <v>12.01</v>
      </c>
      <c r="E104" s="64">
        <v>4.76</v>
      </c>
      <c r="F104" s="64">
        <v>4.97</v>
      </c>
      <c r="G104" s="64">
        <v>130.27000000000001</v>
      </c>
      <c r="H104" s="212" t="s">
        <v>42</v>
      </c>
      <c r="I104" s="64">
        <v>6.56</v>
      </c>
      <c r="J104" s="64">
        <v>0.32</v>
      </c>
      <c r="K104" s="64">
        <v>104.99</v>
      </c>
      <c r="L104" s="64">
        <v>26.2</v>
      </c>
      <c r="M104" s="64">
        <v>102.83</v>
      </c>
      <c r="N104" s="64">
        <v>77.8</v>
      </c>
      <c r="O104" s="64">
        <v>0</v>
      </c>
      <c r="P104" s="64">
        <v>1.03</v>
      </c>
      <c r="Q104" s="64">
        <v>9.7899999999999991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7.89</v>
      </c>
      <c r="C106" s="67">
        <f>MIN(C9:C104)</f>
        <v>2.88</v>
      </c>
      <c r="D106" s="67">
        <f t="shared" ref="D106:Q106" si="0">MIN(D9:D104)</f>
        <v>11.61</v>
      </c>
      <c r="E106" s="67">
        <f t="shared" si="0"/>
        <v>2.68</v>
      </c>
      <c r="F106" s="67">
        <f t="shared" si="0"/>
        <v>2.13</v>
      </c>
      <c r="G106" s="67">
        <f t="shared" si="0"/>
        <v>47.99</v>
      </c>
      <c r="H106" s="67">
        <f t="shared" si="0"/>
        <v>0.06</v>
      </c>
      <c r="I106" s="67">
        <f t="shared" si="0"/>
        <v>1.38</v>
      </c>
      <c r="J106" s="67">
        <f t="shared" si="0"/>
        <v>0.04</v>
      </c>
      <c r="K106" s="67">
        <f t="shared" si="0"/>
        <v>8.81</v>
      </c>
      <c r="L106" s="67">
        <f t="shared" si="0"/>
        <v>25.68</v>
      </c>
      <c r="M106" s="67">
        <f t="shared" si="0"/>
        <v>83.47</v>
      </c>
      <c r="N106" s="67">
        <f t="shared" si="0"/>
        <v>73.8</v>
      </c>
      <c r="O106" s="67">
        <f t="shared" si="0"/>
        <v>0</v>
      </c>
      <c r="P106" s="67">
        <f t="shared" si="0"/>
        <v>0.33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8.2200000000000006</v>
      </c>
      <c r="C107" s="66">
        <f t="shared" ref="C107:Q107" si="1">MAX(C9:C104)</f>
        <v>3.39</v>
      </c>
      <c r="D107" s="66">
        <f t="shared" si="1"/>
        <v>12.14</v>
      </c>
      <c r="E107" s="66">
        <f t="shared" si="1"/>
        <v>5.94</v>
      </c>
      <c r="F107" s="66">
        <f t="shared" si="1"/>
        <v>4.97</v>
      </c>
      <c r="G107" s="66">
        <f t="shared" si="1"/>
        <v>130.27000000000001</v>
      </c>
      <c r="H107" s="66">
        <f t="shared" si="1"/>
        <v>48.41</v>
      </c>
      <c r="I107" s="66">
        <f t="shared" si="1"/>
        <v>6.56</v>
      </c>
      <c r="J107" s="66">
        <f t="shared" si="1"/>
        <v>2.1</v>
      </c>
      <c r="K107" s="66">
        <f t="shared" si="1"/>
        <v>352.92</v>
      </c>
      <c r="L107" s="66">
        <f t="shared" si="1"/>
        <v>31.84</v>
      </c>
      <c r="M107" s="66">
        <f t="shared" si="1"/>
        <v>103.32</v>
      </c>
      <c r="N107" s="66">
        <f t="shared" si="1"/>
        <v>445.1</v>
      </c>
      <c r="O107" s="66">
        <f t="shared" si="1"/>
        <v>2.6</v>
      </c>
      <c r="P107" s="66">
        <f t="shared" si="1"/>
        <v>1.03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7.9855208333333367</v>
      </c>
      <c r="C108" s="67">
        <f t="shared" ref="C108:Q108" si="2">AVERAGE(C9:C104)</f>
        <v>3.0315624999999997</v>
      </c>
      <c r="D108" s="67">
        <f t="shared" si="2"/>
        <v>11.761979166666668</v>
      </c>
      <c r="E108" s="67">
        <f t="shared" si="2"/>
        <v>4.3878124999999999</v>
      </c>
      <c r="F108" s="67">
        <f t="shared" si="2"/>
        <v>3.5088541666666671</v>
      </c>
      <c r="G108" s="67">
        <f t="shared" si="2"/>
        <v>88.998958333333334</v>
      </c>
      <c r="H108" s="67">
        <f t="shared" si="2"/>
        <v>22.309499999999993</v>
      </c>
      <c r="I108" s="67">
        <f t="shared" si="2"/>
        <v>3.2424999999999993</v>
      </c>
      <c r="J108" s="67">
        <f t="shared" si="2"/>
        <v>0.49802083333333352</v>
      </c>
      <c r="K108" s="67">
        <f t="shared" si="2"/>
        <v>309.40708333333339</v>
      </c>
      <c r="L108" s="67">
        <f t="shared" si="2"/>
        <v>27.746562499999996</v>
      </c>
      <c r="M108" s="67">
        <f t="shared" si="2"/>
        <v>98.334062500000002</v>
      </c>
      <c r="N108" s="67">
        <f t="shared" si="2"/>
        <v>155.3979166666667</v>
      </c>
      <c r="O108" s="67">
        <f t="shared" si="2"/>
        <v>4.3750000000000004E-2</v>
      </c>
      <c r="P108" s="67">
        <f t="shared" si="2"/>
        <v>0.57739583333333322</v>
      </c>
      <c r="Q108" s="67">
        <f t="shared" si="2"/>
        <v>9.4715624999999974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6.782127894100036E-2</v>
      </c>
      <c r="C109" s="67">
        <f t="shared" ref="C109:Q109" si="3">STDEV(C9:C104)</f>
        <v>0.10504463337077243</v>
      </c>
      <c r="D109" s="67">
        <f t="shared" si="3"/>
        <v>0.10819689451391917</v>
      </c>
      <c r="E109" s="67">
        <f t="shared" si="3"/>
        <v>0.7639608740670345</v>
      </c>
      <c r="F109" s="67">
        <f t="shared" si="3"/>
        <v>0.65809912833804463</v>
      </c>
      <c r="G109" s="67">
        <f t="shared" si="3"/>
        <v>18.359362876181141</v>
      </c>
      <c r="H109" s="67">
        <f t="shared" si="3"/>
        <v>14.037305080536324</v>
      </c>
      <c r="I109" s="67">
        <f t="shared" si="3"/>
        <v>1.2799037792781653</v>
      </c>
      <c r="J109" s="67">
        <f t="shared" si="3"/>
        <v>0.42713887743219431</v>
      </c>
      <c r="K109" s="67">
        <f t="shared" si="3"/>
        <v>65.031519044984904</v>
      </c>
      <c r="L109" s="67">
        <f t="shared" si="3"/>
        <v>1.6541296506972452</v>
      </c>
      <c r="M109" s="67">
        <f t="shared" si="3"/>
        <v>6.2501709581881801</v>
      </c>
      <c r="N109" s="67">
        <f t="shared" si="3"/>
        <v>99.667055190523527</v>
      </c>
      <c r="O109" s="67">
        <f t="shared" si="3"/>
        <v>0.27253681547540271</v>
      </c>
      <c r="P109" s="67">
        <f t="shared" si="3"/>
        <v>0.19278700978113325</v>
      </c>
      <c r="Q109" s="67">
        <f t="shared" si="3"/>
        <v>0.20267333387290462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1973</v>
      </c>
      <c r="B9" s="64">
        <v>8.1999999999999993</v>
      </c>
      <c r="C9" s="64">
        <v>3.34</v>
      </c>
      <c r="D9" s="64">
        <v>12.1</v>
      </c>
      <c r="E9" s="64">
        <v>4.8499999999999996</v>
      </c>
      <c r="F9" s="64">
        <v>2.63</v>
      </c>
      <c r="G9" s="64">
        <v>132.4</v>
      </c>
      <c r="H9" s="212" t="s">
        <v>42</v>
      </c>
      <c r="I9" s="64">
        <v>6.65</v>
      </c>
      <c r="J9" s="64">
        <v>0.43</v>
      </c>
      <c r="K9" s="64">
        <v>110.41</v>
      </c>
      <c r="L9" s="64">
        <v>26.18</v>
      </c>
      <c r="M9" s="64">
        <v>102.87</v>
      </c>
      <c r="N9" s="64">
        <v>77.5</v>
      </c>
      <c r="O9" s="64">
        <v>0</v>
      </c>
      <c r="P9" s="64">
        <v>1.03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48" t="s">
        <v>1974</v>
      </c>
      <c r="B10" s="64">
        <v>8.26</v>
      </c>
      <c r="C10" s="64">
        <v>3.47</v>
      </c>
      <c r="D10" s="64">
        <v>12.21</v>
      </c>
      <c r="E10" s="64">
        <v>4.6500000000000004</v>
      </c>
      <c r="F10" s="64">
        <v>4.2699999999999996</v>
      </c>
      <c r="G10" s="64">
        <v>132.4</v>
      </c>
      <c r="H10" s="212" t="s">
        <v>42</v>
      </c>
      <c r="I10" s="64">
        <v>6.75</v>
      </c>
      <c r="J10" s="64">
        <v>0.21</v>
      </c>
      <c r="K10" s="64">
        <v>330.02</v>
      </c>
      <c r="L10" s="64">
        <v>26.1</v>
      </c>
      <c r="M10" s="64">
        <v>102.97</v>
      </c>
      <c r="N10" s="64">
        <v>77.599999999999994</v>
      </c>
      <c r="O10" s="64">
        <v>0</v>
      </c>
      <c r="P10" s="64">
        <v>1.04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48" t="s">
        <v>1975</v>
      </c>
      <c r="B11" s="64">
        <v>8.15</v>
      </c>
      <c r="C11" s="64">
        <v>3.25</v>
      </c>
      <c r="D11" s="64">
        <v>12.01</v>
      </c>
      <c r="E11" s="64">
        <v>4.3899999999999997</v>
      </c>
      <c r="F11" s="64">
        <v>3.58</v>
      </c>
      <c r="G11" s="64">
        <v>132.4</v>
      </c>
      <c r="H11" s="212" t="s">
        <v>42</v>
      </c>
      <c r="I11" s="64">
        <v>6.89</v>
      </c>
      <c r="J11" s="64">
        <v>0.14000000000000001</v>
      </c>
      <c r="K11" s="64">
        <v>346.13</v>
      </c>
      <c r="L11" s="64">
        <v>25.89</v>
      </c>
      <c r="M11" s="64">
        <v>102.92</v>
      </c>
      <c r="N11" s="64">
        <v>77.8</v>
      </c>
      <c r="O11" s="64">
        <v>0</v>
      </c>
      <c r="P11" s="64">
        <v>1.07</v>
      </c>
      <c r="Q11" s="64">
        <v>9.81</v>
      </c>
      <c r="R11" s="198"/>
      <c r="S11" s="198"/>
      <c r="T11" s="198"/>
      <c r="U11" s="198"/>
    </row>
    <row r="12" spans="1:21" s="12" customFormat="1" x14ac:dyDescent="0.25">
      <c r="A12" s="248" t="s">
        <v>1976</v>
      </c>
      <c r="B12" s="64">
        <v>8.0500000000000007</v>
      </c>
      <c r="C12" s="64">
        <v>3.15</v>
      </c>
      <c r="D12" s="64">
        <v>11.88</v>
      </c>
      <c r="E12" s="64">
        <v>4.8</v>
      </c>
      <c r="F12" s="64">
        <v>3.17</v>
      </c>
      <c r="G12" s="64">
        <v>139.66999999999999</v>
      </c>
      <c r="H12" s="212" t="s">
        <v>42</v>
      </c>
      <c r="I12" s="64">
        <v>6.98</v>
      </c>
      <c r="J12" s="64">
        <v>0.19</v>
      </c>
      <c r="K12" s="64">
        <v>1.35</v>
      </c>
      <c r="L12" s="64">
        <v>25.68</v>
      </c>
      <c r="M12" s="64">
        <v>103.25</v>
      </c>
      <c r="N12" s="64">
        <v>77.7</v>
      </c>
      <c r="O12" s="64">
        <v>0</v>
      </c>
      <c r="P12" s="64">
        <v>1.0900000000000001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48" t="s">
        <v>1977</v>
      </c>
      <c r="B13" s="64">
        <v>8.06</v>
      </c>
      <c r="C13" s="64">
        <v>3.13</v>
      </c>
      <c r="D13" s="64">
        <v>11.87</v>
      </c>
      <c r="E13" s="64">
        <v>4.6900000000000004</v>
      </c>
      <c r="F13" s="64">
        <v>3.8</v>
      </c>
      <c r="G13" s="64">
        <v>142.79</v>
      </c>
      <c r="H13" s="212" t="s">
        <v>42</v>
      </c>
      <c r="I13" s="64">
        <v>7</v>
      </c>
      <c r="J13" s="64">
        <v>0.17</v>
      </c>
      <c r="K13" s="64">
        <v>1.35</v>
      </c>
      <c r="L13" s="64">
        <v>25.6</v>
      </c>
      <c r="M13" s="64">
        <v>103.39</v>
      </c>
      <c r="N13" s="64">
        <v>77.5</v>
      </c>
      <c r="O13" s="64">
        <v>0</v>
      </c>
      <c r="P13" s="64">
        <v>0.97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48" t="s">
        <v>1978</v>
      </c>
      <c r="B14" s="64">
        <v>8.0500000000000007</v>
      </c>
      <c r="C14" s="64">
        <v>3.13</v>
      </c>
      <c r="D14" s="64">
        <v>11.86</v>
      </c>
      <c r="E14" s="64">
        <v>4.59</v>
      </c>
      <c r="F14" s="64">
        <v>3.43</v>
      </c>
      <c r="G14" s="64">
        <v>142.79</v>
      </c>
      <c r="H14" s="212" t="s">
        <v>42</v>
      </c>
      <c r="I14" s="64">
        <v>6.96</v>
      </c>
      <c r="J14" s="64">
        <v>0.18</v>
      </c>
      <c r="K14" s="64">
        <v>330</v>
      </c>
      <c r="L14" s="64">
        <v>25.65</v>
      </c>
      <c r="M14" s="64">
        <v>103.29</v>
      </c>
      <c r="N14" s="64">
        <v>77.400000000000006</v>
      </c>
      <c r="O14" s="64">
        <v>0</v>
      </c>
      <c r="P14" s="64">
        <v>1.03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48" t="s">
        <v>1979</v>
      </c>
      <c r="B15" s="64">
        <v>8.0500000000000007</v>
      </c>
      <c r="C15" s="64">
        <v>3.07</v>
      </c>
      <c r="D15" s="64">
        <v>11.83</v>
      </c>
      <c r="E15" s="64">
        <v>4.3499999999999996</v>
      </c>
      <c r="F15" s="64">
        <v>3.33</v>
      </c>
      <c r="G15" s="64">
        <v>142.79</v>
      </c>
      <c r="H15" s="212" t="s">
        <v>42</v>
      </c>
      <c r="I15" s="64">
        <v>7.22</v>
      </c>
      <c r="J15" s="64">
        <v>0.27</v>
      </c>
      <c r="K15" s="64">
        <v>338.58</v>
      </c>
      <c r="L15" s="64">
        <v>25.56</v>
      </c>
      <c r="M15" s="64">
        <v>103.3</v>
      </c>
      <c r="N15" s="64">
        <v>77.5</v>
      </c>
      <c r="O15" s="64">
        <v>0</v>
      </c>
      <c r="P15" s="64">
        <v>1.03</v>
      </c>
      <c r="Q15" s="64">
        <v>9.8000000000000007</v>
      </c>
      <c r="R15" s="198"/>
      <c r="S15" s="198"/>
      <c r="T15" s="198"/>
      <c r="U15" s="198"/>
    </row>
    <row r="16" spans="1:21" s="12" customFormat="1" x14ac:dyDescent="0.25">
      <c r="A16" s="248" t="s">
        <v>1980</v>
      </c>
      <c r="B16" s="64">
        <v>8.0399999999999991</v>
      </c>
      <c r="C16" s="64">
        <v>3.06</v>
      </c>
      <c r="D16" s="64">
        <v>11.82</v>
      </c>
      <c r="E16" s="64">
        <v>4.3099999999999996</v>
      </c>
      <c r="F16" s="64">
        <v>3.18</v>
      </c>
      <c r="G16" s="64">
        <v>139.9</v>
      </c>
      <c r="H16" s="212" t="s">
        <v>42</v>
      </c>
      <c r="I16" s="64">
        <v>7.31</v>
      </c>
      <c r="J16" s="64">
        <v>0.3</v>
      </c>
      <c r="K16" s="64">
        <v>328.25</v>
      </c>
      <c r="L16" s="64">
        <v>25.52</v>
      </c>
      <c r="M16" s="64">
        <v>103.29</v>
      </c>
      <c r="N16" s="64">
        <v>77.599999999999994</v>
      </c>
      <c r="O16" s="64">
        <v>0</v>
      </c>
      <c r="P16" s="64">
        <v>1.01</v>
      </c>
      <c r="Q16" s="64">
        <v>9.8000000000000007</v>
      </c>
      <c r="R16" s="198"/>
      <c r="S16" s="198"/>
      <c r="T16" s="198"/>
      <c r="U16" s="198"/>
    </row>
    <row r="17" spans="1:21" s="12" customFormat="1" x14ac:dyDescent="0.25">
      <c r="A17" s="248" t="s">
        <v>1981</v>
      </c>
      <c r="B17" s="64">
        <v>8.06</v>
      </c>
      <c r="C17" s="64">
        <v>3.08</v>
      </c>
      <c r="D17" s="64">
        <v>11.85</v>
      </c>
      <c r="E17" s="64">
        <v>4.95</v>
      </c>
      <c r="F17" s="64">
        <v>3.41</v>
      </c>
      <c r="G17" s="64">
        <v>138.66</v>
      </c>
      <c r="H17" s="212" t="s">
        <v>42</v>
      </c>
      <c r="I17" s="64">
        <v>7.39</v>
      </c>
      <c r="J17" s="64">
        <v>0.26</v>
      </c>
      <c r="K17" s="64">
        <v>317.89</v>
      </c>
      <c r="L17" s="64">
        <v>25.53</v>
      </c>
      <c r="M17" s="64">
        <v>103.27</v>
      </c>
      <c r="N17" s="64">
        <v>77.599999999999994</v>
      </c>
      <c r="O17" s="64">
        <v>0</v>
      </c>
      <c r="P17" s="64">
        <v>1</v>
      </c>
      <c r="Q17" s="64">
        <v>9.77</v>
      </c>
      <c r="R17" s="198"/>
      <c r="S17" s="198"/>
      <c r="T17" s="198"/>
      <c r="U17" s="198"/>
    </row>
    <row r="18" spans="1:21" s="12" customFormat="1" x14ac:dyDescent="0.25">
      <c r="A18" s="248" t="s">
        <v>1982</v>
      </c>
      <c r="B18" s="64">
        <v>8.08</v>
      </c>
      <c r="C18" s="64">
        <v>3.15</v>
      </c>
      <c r="D18" s="64">
        <v>11.9</v>
      </c>
      <c r="E18" s="64">
        <v>4.8600000000000003</v>
      </c>
      <c r="F18" s="64">
        <v>3.47</v>
      </c>
      <c r="G18" s="64">
        <v>138.66</v>
      </c>
      <c r="H18" s="212" t="s">
        <v>42</v>
      </c>
      <c r="I18" s="64">
        <v>7.51</v>
      </c>
      <c r="J18" s="64">
        <v>0.12</v>
      </c>
      <c r="K18" s="64">
        <v>214.65</v>
      </c>
      <c r="L18" s="64">
        <v>25.57</v>
      </c>
      <c r="M18" s="64">
        <v>103.28</v>
      </c>
      <c r="N18" s="64">
        <v>77.5</v>
      </c>
      <c r="O18" s="64">
        <v>0</v>
      </c>
      <c r="P18" s="64">
        <v>0.99</v>
      </c>
      <c r="Q18" s="64">
        <v>9.73</v>
      </c>
      <c r="R18" s="198"/>
      <c r="S18" s="198"/>
      <c r="T18" s="198"/>
      <c r="U18" s="198"/>
    </row>
    <row r="19" spans="1:21" s="12" customFormat="1" x14ac:dyDescent="0.25">
      <c r="A19" s="248" t="s">
        <v>1983</v>
      </c>
      <c r="B19" s="64">
        <v>8.09</v>
      </c>
      <c r="C19" s="64">
        <v>3.18</v>
      </c>
      <c r="D19" s="64">
        <v>11.93</v>
      </c>
      <c r="E19" s="64">
        <v>4.87</v>
      </c>
      <c r="F19" s="64">
        <v>3.85</v>
      </c>
      <c r="G19" s="64">
        <v>138.66</v>
      </c>
      <c r="H19" s="212" t="s">
        <v>42</v>
      </c>
      <c r="I19" s="64">
        <v>7.44</v>
      </c>
      <c r="J19" s="64">
        <v>0.16</v>
      </c>
      <c r="K19" s="64">
        <v>105.59</v>
      </c>
      <c r="L19" s="64">
        <v>25.62</v>
      </c>
      <c r="M19" s="64">
        <v>103.38</v>
      </c>
      <c r="N19" s="64">
        <v>77.5</v>
      </c>
      <c r="O19" s="64">
        <v>0</v>
      </c>
      <c r="P19" s="64">
        <v>0.96</v>
      </c>
      <c r="Q19" s="64">
        <v>9.76</v>
      </c>
      <c r="R19" s="198"/>
      <c r="S19" s="198"/>
      <c r="T19" s="198"/>
      <c r="U19" s="198"/>
    </row>
    <row r="20" spans="1:21" s="12" customFormat="1" x14ac:dyDescent="0.25">
      <c r="A20" s="248" t="s">
        <v>1984</v>
      </c>
      <c r="B20" s="64">
        <v>8.01</v>
      </c>
      <c r="C20" s="64">
        <v>3.06</v>
      </c>
      <c r="D20" s="64">
        <v>11.8</v>
      </c>
      <c r="E20" s="64">
        <v>4.9000000000000004</v>
      </c>
      <c r="F20" s="64">
        <v>4.74</v>
      </c>
      <c r="G20" s="64">
        <v>121.51</v>
      </c>
      <c r="H20" s="212" t="s">
        <v>42</v>
      </c>
      <c r="I20" s="64">
        <v>7.63</v>
      </c>
      <c r="J20" s="64">
        <v>0.22</v>
      </c>
      <c r="K20" s="64">
        <v>111.17</v>
      </c>
      <c r="L20" s="64">
        <v>25.67</v>
      </c>
      <c r="M20" s="64">
        <v>103.26</v>
      </c>
      <c r="N20" s="64">
        <v>77.7</v>
      </c>
      <c r="O20" s="64">
        <v>0</v>
      </c>
      <c r="P20" s="64">
        <v>0.96</v>
      </c>
      <c r="Q20" s="64">
        <v>9.74</v>
      </c>
      <c r="R20" s="198"/>
      <c r="S20" s="198"/>
      <c r="T20" s="198"/>
      <c r="U20" s="198"/>
    </row>
    <row r="21" spans="1:21" s="12" customFormat="1" x14ac:dyDescent="0.25">
      <c r="A21" s="248" t="s">
        <v>1985</v>
      </c>
      <c r="B21" s="64">
        <v>8.01</v>
      </c>
      <c r="C21" s="64">
        <v>3.05</v>
      </c>
      <c r="D21" s="64">
        <v>11.79</v>
      </c>
      <c r="E21" s="64">
        <v>4.68</v>
      </c>
      <c r="F21" s="64">
        <v>2.36</v>
      </c>
      <c r="G21" s="64">
        <v>114.16</v>
      </c>
      <c r="H21" s="212" t="s">
        <v>42</v>
      </c>
      <c r="I21" s="64">
        <v>7.5</v>
      </c>
      <c r="J21" s="64">
        <v>0.15</v>
      </c>
      <c r="K21" s="64">
        <v>114.84</v>
      </c>
      <c r="L21" s="64">
        <v>25.64</v>
      </c>
      <c r="M21" s="64">
        <v>103.28</v>
      </c>
      <c r="N21" s="64">
        <v>77.599999999999994</v>
      </c>
      <c r="O21" s="64">
        <v>0</v>
      </c>
      <c r="P21" s="64">
        <v>0.94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48" t="s">
        <v>1986</v>
      </c>
      <c r="B22" s="64">
        <v>7.96</v>
      </c>
      <c r="C22" s="64">
        <v>2.98</v>
      </c>
      <c r="D22" s="64">
        <v>11.72</v>
      </c>
      <c r="E22" s="64">
        <v>4.9000000000000004</v>
      </c>
      <c r="F22" s="64">
        <v>4.58</v>
      </c>
      <c r="G22" s="64">
        <v>114.16</v>
      </c>
      <c r="H22" s="212" t="s">
        <v>42</v>
      </c>
      <c r="I22" s="64">
        <v>7.67</v>
      </c>
      <c r="J22" s="64">
        <v>0.17</v>
      </c>
      <c r="K22" s="64">
        <v>114.84</v>
      </c>
      <c r="L22" s="64">
        <v>25.65</v>
      </c>
      <c r="M22" s="64">
        <v>103.34</v>
      </c>
      <c r="N22" s="64">
        <v>77.5</v>
      </c>
      <c r="O22" s="64">
        <v>0</v>
      </c>
      <c r="P22" s="64">
        <v>0.92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48" t="s">
        <v>1987</v>
      </c>
      <c r="B23" s="64">
        <v>7.98</v>
      </c>
      <c r="C23" s="64">
        <v>2.99</v>
      </c>
      <c r="D23" s="64">
        <v>11.74</v>
      </c>
      <c r="E23" s="64">
        <v>4.82</v>
      </c>
      <c r="F23" s="64">
        <v>2.2599999999999998</v>
      </c>
      <c r="G23" s="64">
        <v>114.16</v>
      </c>
      <c r="H23" s="212" t="s">
        <v>42</v>
      </c>
      <c r="I23" s="64">
        <v>7.56</v>
      </c>
      <c r="J23" s="64">
        <v>0.18</v>
      </c>
      <c r="K23" s="64">
        <v>114.84</v>
      </c>
      <c r="L23" s="64">
        <v>25.68</v>
      </c>
      <c r="M23" s="64">
        <v>103.32</v>
      </c>
      <c r="N23" s="64">
        <v>77.5</v>
      </c>
      <c r="O23" s="64">
        <v>0</v>
      </c>
      <c r="P23" s="64">
        <v>0.89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48" t="s">
        <v>1988</v>
      </c>
      <c r="B24" s="64">
        <v>8</v>
      </c>
      <c r="C24" s="64">
        <v>3.05</v>
      </c>
      <c r="D24" s="64">
        <v>11.78</v>
      </c>
      <c r="E24" s="64">
        <v>3.75</v>
      </c>
      <c r="F24" s="64">
        <v>4.45</v>
      </c>
      <c r="G24" s="64">
        <v>106.11</v>
      </c>
      <c r="H24" s="212" t="s">
        <v>42</v>
      </c>
      <c r="I24" s="64">
        <v>7.5</v>
      </c>
      <c r="J24" s="64">
        <v>0.17</v>
      </c>
      <c r="K24" s="64">
        <v>114.84</v>
      </c>
      <c r="L24" s="64">
        <v>25.71</v>
      </c>
      <c r="M24" s="64">
        <v>103.43</v>
      </c>
      <c r="N24" s="64">
        <v>77.5</v>
      </c>
      <c r="O24" s="64">
        <v>0</v>
      </c>
      <c r="P24" s="64">
        <v>0.87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48" t="s">
        <v>1989</v>
      </c>
      <c r="B25" s="64">
        <v>7.99</v>
      </c>
      <c r="C25" s="64">
        <v>2.99</v>
      </c>
      <c r="D25" s="64">
        <v>11.74</v>
      </c>
      <c r="E25" s="64">
        <v>4.16</v>
      </c>
      <c r="F25" s="64">
        <v>2.21</v>
      </c>
      <c r="G25" s="64">
        <v>102.65</v>
      </c>
      <c r="H25" s="212" t="s">
        <v>42</v>
      </c>
      <c r="I25" s="64">
        <v>7.34</v>
      </c>
      <c r="J25" s="64">
        <v>0.19</v>
      </c>
      <c r="K25" s="64">
        <v>111.85</v>
      </c>
      <c r="L25" s="64">
        <v>25.64</v>
      </c>
      <c r="M25" s="64">
        <v>103.4</v>
      </c>
      <c r="N25" s="64">
        <v>77.5</v>
      </c>
      <c r="O25" s="64">
        <v>0</v>
      </c>
      <c r="P25" s="64">
        <v>0.85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48" t="s">
        <v>1990</v>
      </c>
      <c r="B26" s="64">
        <v>8.09</v>
      </c>
      <c r="C26" s="64">
        <v>3.16</v>
      </c>
      <c r="D26" s="64">
        <v>11.91</v>
      </c>
      <c r="E26" s="64">
        <v>3.91</v>
      </c>
      <c r="F26" s="64">
        <v>4.5</v>
      </c>
      <c r="G26" s="64">
        <v>102.65</v>
      </c>
      <c r="H26" s="212" t="s">
        <v>42</v>
      </c>
      <c r="I26" s="64">
        <v>7.37</v>
      </c>
      <c r="J26" s="64">
        <v>0.17</v>
      </c>
      <c r="K26" s="64">
        <v>20.78</v>
      </c>
      <c r="L26" s="64">
        <v>25.67</v>
      </c>
      <c r="M26" s="64">
        <v>103.44</v>
      </c>
      <c r="N26" s="64">
        <v>77.599999999999994</v>
      </c>
      <c r="O26" s="64">
        <v>0</v>
      </c>
      <c r="P26" s="64">
        <v>0.83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48" t="s">
        <v>1991</v>
      </c>
      <c r="B27" s="64">
        <v>8.07</v>
      </c>
      <c r="C27" s="64">
        <v>3.13</v>
      </c>
      <c r="D27" s="64">
        <v>11.88</v>
      </c>
      <c r="E27" s="64">
        <v>3.91</v>
      </c>
      <c r="F27" s="64">
        <v>2.5</v>
      </c>
      <c r="G27" s="64">
        <v>102.65</v>
      </c>
      <c r="H27" s="212" t="s">
        <v>42</v>
      </c>
      <c r="I27" s="64">
        <v>7.28</v>
      </c>
      <c r="J27" s="64">
        <v>0.17</v>
      </c>
      <c r="K27" s="64">
        <v>20.78</v>
      </c>
      <c r="L27" s="64">
        <v>25.67</v>
      </c>
      <c r="M27" s="64">
        <v>103.51</v>
      </c>
      <c r="N27" s="64">
        <v>77.5</v>
      </c>
      <c r="O27" s="64">
        <v>0</v>
      </c>
      <c r="P27" s="64">
        <v>0.81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48" t="s">
        <v>1992</v>
      </c>
      <c r="B28" s="64">
        <v>7.98</v>
      </c>
      <c r="C28" s="64">
        <v>3</v>
      </c>
      <c r="D28" s="64">
        <v>11.74</v>
      </c>
      <c r="E28" s="64">
        <v>3.87</v>
      </c>
      <c r="F28" s="64">
        <v>3.38</v>
      </c>
      <c r="G28" s="64">
        <v>88.53</v>
      </c>
      <c r="H28" s="212" t="s">
        <v>42</v>
      </c>
      <c r="I28" s="64">
        <v>7.3</v>
      </c>
      <c r="J28" s="64">
        <v>0.16</v>
      </c>
      <c r="K28" s="64">
        <v>20.78</v>
      </c>
      <c r="L28" s="64">
        <v>25.74</v>
      </c>
      <c r="M28" s="64">
        <v>103.46</v>
      </c>
      <c r="N28" s="64">
        <v>77.599999999999994</v>
      </c>
      <c r="O28" s="64">
        <v>0</v>
      </c>
      <c r="P28" s="64">
        <v>0.79</v>
      </c>
      <c r="Q28" s="64">
        <v>9.58</v>
      </c>
      <c r="R28" s="198"/>
      <c r="S28" s="198"/>
      <c r="T28" s="198"/>
      <c r="U28" s="198"/>
    </row>
    <row r="29" spans="1:21" s="12" customFormat="1" x14ac:dyDescent="0.25">
      <c r="A29" s="248" t="s">
        <v>1993</v>
      </c>
      <c r="B29" s="64">
        <v>8</v>
      </c>
      <c r="C29" s="64">
        <v>3.08</v>
      </c>
      <c r="D29" s="64">
        <v>11.8</v>
      </c>
      <c r="E29" s="64">
        <v>3.19</v>
      </c>
      <c r="F29" s="64">
        <v>3.43</v>
      </c>
      <c r="G29" s="64">
        <v>82.48</v>
      </c>
      <c r="H29" s="212" t="s">
        <v>42</v>
      </c>
      <c r="I29" s="64">
        <v>7.17</v>
      </c>
      <c r="J29" s="64">
        <v>0.08</v>
      </c>
      <c r="K29" s="64">
        <v>229.09</v>
      </c>
      <c r="L29" s="64">
        <v>25.71</v>
      </c>
      <c r="M29" s="64">
        <v>103.37</v>
      </c>
      <c r="N29" s="64">
        <v>77.5</v>
      </c>
      <c r="O29" s="64">
        <v>0</v>
      </c>
      <c r="P29" s="64">
        <v>0.77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48" t="s">
        <v>1994</v>
      </c>
      <c r="B30" s="64">
        <v>8.0299999999999994</v>
      </c>
      <c r="C30" s="64">
        <v>3.05</v>
      </c>
      <c r="D30" s="64">
        <v>11.81</v>
      </c>
      <c r="E30" s="64">
        <v>3.61</v>
      </c>
      <c r="F30" s="64">
        <v>3.21</v>
      </c>
      <c r="G30" s="64">
        <v>82.48</v>
      </c>
      <c r="H30" s="212" t="s">
        <v>42</v>
      </c>
      <c r="I30" s="64">
        <v>7.16</v>
      </c>
      <c r="J30" s="64">
        <v>0.17</v>
      </c>
      <c r="K30" s="64">
        <v>244.15</v>
      </c>
      <c r="L30" s="64">
        <v>25.66</v>
      </c>
      <c r="M30" s="64">
        <v>102.82</v>
      </c>
      <c r="N30" s="64">
        <v>77.599999999999994</v>
      </c>
      <c r="O30" s="64">
        <v>0</v>
      </c>
      <c r="P30" s="64">
        <v>0.76</v>
      </c>
      <c r="Q30" s="64">
        <v>9.58</v>
      </c>
      <c r="R30" s="198"/>
      <c r="S30" s="198"/>
      <c r="T30" s="198"/>
      <c r="U30" s="198"/>
    </row>
    <row r="31" spans="1:21" s="12" customFormat="1" x14ac:dyDescent="0.25">
      <c r="A31" s="248" t="s">
        <v>1995</v>
      </c>
      <c r="B31" s="64">
        <v>7.99</v>
      </c>
      <c r="C31" s="64">
        <v>3.02</v>
      </c>
      <c r="D31" s="64">
        <v>11.76</v>
      </c>
      <c r="E31" s="64">
        <v>3.62</v>
      </c>
      <c r="F31" s="64">
        <v>3.33</v>
      </c>
      <c r="G31" s="64">
        <v>82.48</v>
      </c>
      <c r="H31" s="212" t="s">
        <v>42</v>
      </c>
      <c r="I31" s="64">
        <v>7.17</v>
      </c>
      <c r="J31" s="64">
        <v>0.18</v>
      </c>
      <c r="K31" s="64">
        <v>217.89</v>
      </c>
      <c r="L31" s="64">
        <v>25.66</v>
      </c>
      <c r="M31" s="64">
        <v>102.81</v>
      </c>
      <c r="N31" s="64">
        <v>78</v>
      </c>
      <c r="O31" s="64">
        <v>0</v>
      </c>
      <c r="P31" s="64">
        <v>0.75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48" t="s">
        <v>1996</v>
      </c>
      <c r="B32" s="64">
        <v>7.99</v>
      </c>
      <c r="C32" s="64">
        <v>2.97</v>
      </c>
      <c r="D32" s="64">
        <v>11.73</v>
      </c>
      <c r="E32" s="64">
        <v>4.01</v>
      </c>
      <c r="F32" s="64">
        <v>3.5</v>
      </c>
      <c r="G32" s="64">
        <v>83.95</v>
      </c>
      <c r="H32" s="212" t="s">
        <v>42</v>
      </c>
      <c r="I32" s="64">
        <v>7.23</v>
      </c>
      <c r="J32" s="64">
        <v>0.33</v>
      </c>
      <c r="K32" s="64">
        <v>338.42</v>
      </c>
      <c r="L32" s="64">
        <v>25.67</v>
      </c>
      <c r="M32" s="64">
        <v>102.85</v>
      </c>
      <c r="N32" s="64">
        <v>79.900000000000006</v>
      </c>
      <c r="O32" s="64">
        <v>0</v>
      </c>
      <c r="P32" s="64">
        <v>0.74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48" t="s">
        <v>1997</v>
      </c>
      <c r="B33" s="64">
        <v>8.0299999999999994</v>
      </c>
      <c r="C33" s="64">
        <v>3.03</v>
      </c>
      <c r="D33" s="64">
        <v>11.79</v>
      </c>
      <c r="E33" s="64">
        <v>4.0199999999999996</v>
      </c>
      <c r="F33" s="64">
        <v>3.23</v>
      </c>
      <c r="G33" s="64">
        <v>84.58</v>
      </c>
      <c r="H33" s="212" t="s">
        <v>42</v>
      </c>
      <c r="I33" s="64">
        <v>7.27</v>
      </c>
      <c r="J33" s="64">
        <v>0.18</v>
      </c>
      <c r="K33" s="64">
        <v>307.69</v>
      </c>
      <c r="L33" s="64">
        <v>25.74</v>
      </c>
      <c r="M33" s="64">
        <v>102.91</v>
      </c>
      <c r="N33" s="64">
        <v>82.9</v>
      </c>
      <c r="O33" s="64">
        <v>0</v>
      </c>
      <c r="P33" s="64">
        <v>0.72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48" t="s">
        <v>1998</v>
      </c>
      <c r="B34" s="64">
        <v>8.0500000000000007</v>
      </c>
      <c r="C34" s="64">
        <v>3.06</v>
      </c>
      <c r="D34" s="64">
        <v>11.83</v>
      </c>
      <c r="E34" s="64">
        <v>4.1100000000000003</v>
      </c>
      <c r="F34" s="64">
        <v>3.2</v>
      </c>
      <c r="G34" s="64">
        <v>84.58</v>
      </c>
      <c r="H34" s="212" t="s">
        <v>42</v>
      </c>
      <c r="I34" s="64">
        <v>7.38</v>
      </c>
      <c r="J34" s="64">
        <v>0.1</v>
      </c>
      <c r="K34" s="64">
        <v>284.66000000000003</v>
      </c>
      <c r="L34" s="64">
        <v>25.82</v>
      </c>
      <c r="M34" s="64">
        <v>102.94</v>
      </c>
      <c r="N34" s="64">
        <v>87.8</v>
      </c>
      <c r="O34" s="64">
        <v>0</v>
      </c>
      <c r="P34" s="64">
        <v>0.73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48" t="s">
        <v>1999</v>
      </c>
      <c r="B35" s="64">
        <v>8.0500000000000007</v>
      </c>
      <c r="C35" s="64">
        <v>3.12</v>
      </c>
      <c r="D35" s="64">
        <v>11.87</v>
      </c>
      <c r="E35" s="64">
        <v>3.84</v>
      </c>
      <c r="F35" s="64">
        <v>3.14</v>
      </c>
      <c r="G35" s="64">
        <v>84.58</v>
      </c>
      <c r="H35" s="212" t="s">
        <v>42</v>
      </c>
      <c r="I35" s="64">
        <v>7.49</v>
      </c>
      <c r="J35" s="64">
        <v>0.17</v>
      </c>
      <c r="K35" s="64">
        <v>226.99</v>
      </c>
      <c r="L35" s="64">
        <v>25.94</v>
      </c>
      <c r="M35" s="64">
        <v>102.98</v>
      </c>
      <c r="N35" s="64">
        <v>97.7</v>
      </c>
      <c r="O35" s="64">
        <v>0</v>
      </c>
      <c r="P35" s="64">
        <v>0.72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48" t="s">
        <v>2000</v>
      </c>
      <c r="B36" s="64">
        <v>8.0399999999999991</v>
      </c>
      <c r="C36" s="64">
        <v>3.05</v>
      </c>
      <c r="D36" s="64">
        <v>11.81</v>
      </c>
      <c r="E36" s="64">
        <v>4.32</v>
      </c>
      <c r="F36" s="64">
        <v>4.26</v>
      </c>
      <c r="G36" s="64">
        <v>77.66</v>
      </c>
      <c r="H36" s="212" t="s">
        <v>42</v>
      </c>
      <c r="I36" s="64">
        <v>7.59</v>
      </c>
      <c r="J36" s="64">
        <v>0.04</v>
      </c>
      <c r="K36" s="64">
        <v>104.5</v>
      </c>
      <c r="L36" s="64">
        <v>26.09</v>
      </c>
      <c r="M36" s="64">
        <v>102.98</v>
      </c>
      <c r="N36" s="64">
        <v>111.1</v>
      </c>
      <c r="O36" s="64">
        <v>0</v>
      </c>
      <c r="P36" s="64">
        <v>0.71</v>
      </c>
      <c r="Q36" s="64">
        <v>9.68</v>
      </c>
      <c r="R36" s="198"/>
      <c r="S36" s="198"/>
      <c r="T36" s="198"/>
      <c r="U36" s="198"/>
    </row>
    <row r="37" spans="1:21" s="12" customFormat="1" x14ac:dyDescent="0.25">
      <c r="A37" s="248" t="s">
        <v>2001</v>
      </c>
      <c r="B37" s="64">
        <v>8.01</v>
      </c>
      <c r="C37" s="64">
        <v>3.02</v>
      </c>
      <c r="D37" s="64">
        <v>11.78</v>
      </c>
      <c r="E37" s="64">
        <v>4.0199999999999996</v>
      </c>
      <c r="F37" s="64">
        <v>3.83</v>
      </c>
      <c r="G37" s="64">
        <v>74.7</v>
      </c>
      <c r="H37" s="212" t="s">
        <v>42</v>
      </c>
      <c r="I37" s="64">
        <v>7.61</v>
      </c>
      <c r="J37" s="64">
        <v>0.41</v>
      </c>
      <c r="K37" s="64">
        <v>142.93</v>
      </c>
      <c r="L37" s="64">
        <v>26.33</v>
      </c>
      <c r="M37" s="64">
        <v>102.95</v>
      </c>
      <c r="N37" s="64">
        <v>168</v>
      </c>
      <c r="O37" s="64">
        <v>0</v>
      </c>
      <c r="P37" s="64">
        <v>0.77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48" t="s">
        <v>2002</v>
      </c>
      <c r="B38" s="64">
        <v>8.0500000000000007</v>
      </c>
      <c r="C38" s="64">
        <v>3.12</v>
      </c>
      <c r="D38" s="64">
        <v>11.86</v>
      </c>
      <c r="E38" s="64">
        <v>4.3600000000000003</v>
      </c>
      <c r="F38" s="64">
        <v>3.03</v>
      </c>
      <c r="G38" s="64">
        <v>74.7</v>
      </c>
      <c r="H38" s="212" t="s">
        <v>42</v>
      </c>
      <c r="I38" s="64">
        <v>7.67</v>
      </c>
      <c r="J38" s="64">
        <v>0.27</v>
      </c>
      <c r="K38" s="64">
        <v>148.62</v>
      </c>
      <c r="L38" s="64">
        <v>27.04</v>
      </c>
      <c r="M38" s="64">
        <v>102.87</v>
      </c>
      <c r="N38" s="64">
        <v>242.1</v>
      </c>
      <c r="O38" s="64">
        <v>0</v>
      </c>
      <c r="P38" s="64">
        <v>0.78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48" t="s">
        <v>2003</v>
      </c>
      <c r="B39" s="64">
        <v>8.07</v>
      </c>
      <c r="C39" s="64">
        <v>3.14</v>
      </c>
      <c r="D39" s="64">
        <v>11.89</v>
      </c>
      <c r="E39" s="64">
        <v>4.43</v>
      </c>
      <c r="F39" s="64">
        <v>3.9</v>
      </c>
      <c r="G39" s="64">
        <v>74.7</v>
      </c>
      <c r="H39" s="212" t="s">
        <v>42</v>
      </c>
      <c r="I39" s="64">
        <v>7.63</v>
      </c>
      <c r="J39" s="64">
        <v>0.27</v>
      </c>
      <c r="K39" s="64">
        <v>335.38</v>
      </c>
      <c r="L39" s="64">
        <v>28.37</v>
      </c>
      <c r="M39" s="64">
        <v>101.02</v>
      </c>
      <c r="N39" s="64">
        <v>315.39999999999998</v>
      </c>
      <c r="O39" s="64">
        <v>0</v>
      </c>
      <c r="P39" s="64">
        <v>0.78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48" t="s">
        <v>2004</v>
      </c>
      <c r="B40" s="64">
        <v>8.15</v>
      </c>
      <c r="C40" s="64">
        <v>3.25</v>
      </c>
      <c r="D40" s="64">
        <v>12.01</v>
      </c>
      <c r="E40" s="64">
        <v>4.1100000000000003</v>
      </c>
      <c r="F40" s="64">
        <v>2.8</v>
      </c>
      <c r="G40" s="64">
        <v>73.77</v>
      </c>
      <c r="H40" s="212" t="s">
        <v>42</v>
      </c>
      <c r="I40" s="64">
        <v>7.61</v>
      </c>
      <c r="J40" s="64">
        <v>0.34</v>
      </c>
      <c r="K40" s="64">
        <v>336.07</v>
      </c>
      <c r="L40" s="64">
        <v>30.27</v>
      </c>
      <c r="M40" s="64">
        <v>90.88</v>
      </c>
      <c r="N40" s="64">
        <v>335.7</v>
      </c>
      <c r="O40" s="64">
        <v>0</v>
      </c>
      <c r="P40" s="64">
        <v>0.76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48" t="s">
        <v>2005</v>
      </c>
      <c r="B41" s="64">
        <v>8.1</v>
      </c>
      <c r="C41" s="64">
        <v>3.2</v>
      </c>
      <c r="D41" s="64">
        <v>11.94</v>
      </c>
      <c r="E41" s="64">
        <v>4.67</v>
      </c>
      <c r="F41" s="64">
        <v>4.1399999999999997</v>
      </c>
      <c r="G41" s="64">
        <v>73.37</v>
      </c>
      <c r="H41" s="212" t="s">
        <v>42</v>
      </c>
      <c r="I41" s="64">
        <v>7.53</v>
      </c>
      <c r="J41" s="64">
        <v>0.39</v>
      </c>
      <c r="K41" s="64">
        <v>338.7</v>
      </c>
      <c r="L41" s="64">
        <v>31.06</v>
      </c>
      <c r="M41" s="64">
        <v>86.97</v>
      </c>
      <c r="N41" s="64">
        <v>373</v>
      </c>
      <c r="O41" s="64">
        <v>0</v>
      </c>
      <c r="P41" s="64">
        <v>0.77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48" t="s">
        <v>2006</v>
      </c>
      <c r="B42" s="64">
        <v>8.14</v>
      </c>
      <c r="C42" s="64">
        <v>3.26</v>
      </c>
      <c r="D42" s="64">
        <v>12</v>
      </c>
      <c r="E42" s="64">
        <v>4.3600000000000003</v>
      </c>
      <c r="F42" s="64">
        <v>2.37</v>
      </c>
      <c r="G42" s="64">
        <v>73.37</v>
      </c>
      <c r="H42" s="212" t="s">
        <v>42</v>
      </c>
      <c r="I42" s="64">
        <v>7.39</v>
      </c>
      <c r="J42" s="64">
        <v>0.63</v>
      </c>
      <c r="K42" s="64">
        <v>332.28</v>
      </c>
      <c r="L42" s="64">
        <v>32.79</v>
      </c>
      <c r="M42" s="64">
        <v>78.849999999999994</v>
      </c>
      <c r="N42" s="64">
        <v>511.3</v>
      </c>
      <c r="O42" s="64">
        <v>0</v>
      </c>
      <c r="P42" s="64">
        <v>0.76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48" t="s">
        <v>2007</v>
      </c>
      <c r="B43" s="64">
        <v>8.07</v>
      </c>
      <c r="C43" s="64">
        <v>3.18</v>
      </c>
      <c r="D43" s="64">
        <v>11.91</v>
      </c>
      <c r="E43" s="64">
        <v>4.3899999999999997</v>
      </c>
      <c r="F43" s="64">
        <v>4.24</v>
      </c>
      <c r="G43" s="64">
        <v>73.37</v>
      </c>
      <c r="H43" s="212" t="s">
        <v>42</v>
      </c>
      <c r="I43" s="64">
        <v>7.29</v>
      </c>
      <c r="J43" s="64">
        <v>0.68</v>
      </c>
      <c r="K43" s="64">
        <v>341.18</v>
      </c>
      <c r="L43" s="64">
        <v>33.14</v>
      </c>
      <c r="M43" s="64">
        <v>75.569999999999993</v>
      </c>
      <c r="N43" s="64">
        <v>446.2</v>
      </c>
      <c r="O43" s="64">
        <v>0</v>
      </c>
      <c r="P43" s="64">
        <v>0.75</v>
      </c>
      <c r="Q43" s="64">
        <v>9.59</v>
      </c>
      <c r="R43" s="198"/>
      <c r="S43" s="198"/>
      <c r="T43" s="198"/>
      <c r="U43" s="198"/>
    </row>
    <row r="44" spans="1:21" s="12" customFormat="1" x14ac:dyDescent="0.25">
      <c r="A44" s="248" t="s">
        <v>2008</v>
      </c>
      <c r="B44" s="64">
        <v>8.07</v>
      </c>
      <c r="C44" s="64">
        <v>3.17</v>
      </c>
      <c r="D44" s="64">
        <v>11.9</v>
      </c>
      <c r="E44" s="64">
        <v>4.43</v>
      </c>
      <c r="F44" s="64">
        <v>2.54</v>
      </c>
      <c r="G44" s="64">
        <v>77.09</v>
      </c>
      <c r="H44" s="212" t="s">
        <v>42</v>
      </c>
      <c r="I44" s="64">
        <v>6.93</v>
      </c>
      <c r="J44" s="64">
        <v>0.53</v>
      </c>
      <c r="K44" s="64">
        <v>328.16</v>
      </c>
      <c r="L44" s="64">
        <v>33.26</v>
      </c>
      <c r="M44" s="64">
        <v>77.06</v>
      </c>
      <c r="N44" s="64">
        <v>811.8</v>
      </c>
      <c r="O44" s="64">
        <v>0</v>
      </c>
      <c r="P44" s="64">
        <v>0.74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48" t="s">
        <v>2009</v>
      </c>
      <c r="B45" s="64">
        <v>8.0299999999999994</v>
      </c>
      <c r="C45" s="64">
        <v>3.09</v>
      </c>
      <c r="D45" s="64">
        <v>11.83</v>
      </c>
      <c r="E45" s="64">
        <v>4.6399999999999997</v>
      </c>
      <c r="F45" s="64">
        <v>3.29</v>
      </c>
      <c r="G45" s="64">
        <v>78.680000000000007</v>
      </c>
      <c r="H45" s="212" t="s">
        <v>42</v>
      </c>
      <c r="I45" s="64">
        <v>6.82</v>
      </c>
      <c r="J45" s="64">
        <v>0.37</v>
      </c>
      <c r="K45" s="64">
        <v>340.02</v>
      </c>
      <c r="L45" s="64">
        <v>33.630000000000003</v>
      </c>
      <c r="M45" s="64">
        <v>74.13</v>
      </c>
      <c r="N45" s="64">
        <v>740.3</v>
      </c>
      <c r="O45" s="64">
        <v>0</v>
      </c>
      <c r="P45" s="64">
        <v>0.72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48" t="s">
        <v>2010</v>
      </c>
      <c r="B46" s="64">
        <v>8.0399999999999991</v>
      </c>
      <c r="C46" s="64">
        <v>3.11</v>
      </c>
      <c r="D46" s="64">
        <v>11.85</v>
      </c>
      <c r="E46" s="64">
        <v>4.43</v>
      </c>
      <c r="F46" s="64">
        <v>3.31</v>
      </c>
      <c r="G46" s="64">
        <v>78.680000000000007</v>
      </c>
      <c r="H46" s="212" t="s">
        <v>42</v>
      </c>
      <c r="I46" s="64">
        <v>6.57</v>
      </c>
      <c r="J46" s="64">
        <v>0.6</v>
      </c>
      <c r="K46" s="64">
        <v>344.1</v>
      </c>
      <c r="L46" s="64">
        <v>33.89</v>
      </c>
      <c r="M46" s="64">
        <v>72.48</v>
      </c>
      <c r="N46" s="64">
        <v>664.6</v>
      </c>
      <c r="O46" s="64">
        <v>0</v>
      </c>
      <c r="P46" s="64">
        <v>0.72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48" t="s">
        <v>2011</v>
      </c>
      <c r="B47" s="64">
        <v>8.0299999999999994</v>
      </c>
      <c r="C47" s="64">
        <v>3.04</v>
      </c>
      <c r="D47" s="64">
        <v>11.8</v>
      </c>
      <c r="E47" s="64">
        <v>4.3499999999999996</v>
      </c>
      <c r="F47" s="64">
        <v>3.34</v>
      </c>
      <c r="G47" s="64">
        <v>78.680000000000007</v>
      </c>
      <c r="H47" s="212" t="s">
        <v>42</v>
      </c>
      <c r="I47" s="64">
        <v>6.28</v>
      </c>
      <c r="J47" s="64">
        <v>0.34</v>
      </c>
      <c r="K47" s="64">
        <v>327.64999999999998</v>
      </c>
      <c r="L47" s="64">
        <v>33.659999999999997</v>
      </c>
      <c r="M47" s="64">
        <v>72.45</v>
      </c>
      <c r="N47" s="64">
        <v>743.5</v>
      </c>
      <c r="O47" s="64">
        <v>0</v>
      </c>
      <c r="P47" s="64">
        <v>0.71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48" t="s">
        <v>2012</v>
      </c>
      <c r="B48" s="64">
        <v>8.02</v>
      </c>
      <c r="C48" s="64">
        <v>3.06</v>
      </c>
      <c r="D48" s="64">
        <v>11.81</v>
      </c>
      <c r="E48" s="64">
        <v>4.1399999999999997</v>
      </c>
      <c r="F48" s="64">
        <v>3.5</v>
      </c>
      <c r="G48" s="64">
        <v>81.38</v>
      </c>
      <c r="H48" s="212" t="s">
        <v>42</v>
      </c>
      <c r="I48" s="64">
        <v>6.24</v>
      </c>
      <c r="J48" s="64">
        <v>0.28999999999999998</v>
      </c>
      <c r="K48" s="64">
        <v>342.23</v>
      </c>
      <c r="L48" s="64">
        <v>35.06</v>
      </c>
      <c r="M48" s="64">
        <v>64.59</v>
      </c>
      <c r="N48" s="64">
        <v>893.1</v>
      </c>
      <c r="O48" s="64">
        <v>0</v>
      </c>
      <c r="P48" s="64">
        <v>0.71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48" t="s">
        <v>2013</v>
      </c>
      <c r="B49" s="64">
        <v>8</v>
      </c>
      <c r="C49" s="64">
        <v>3.05</v>
      </c>
      <c r="D49" s="64">
        <v>11.78</v>
      </c>
      <c r="E49" s="64">
        <v>4.22</v>
      </c>
      <c r="F49" s="64">
        <v>3.62</v>
      </c>
      <c r="G49" s="64">
        <v>82.54</v>
      </c>
      <c r="H49" s="212" t="s">
        <v>42</v>
      </c>
      <c r="I49" s="64">
        <v>6.3</v>
      </c>
      <c r="J49" s="64">
        <v>0.86</v>
      </c>
      <c r="K49" s="64">
        <v>337.6</v>
      </c>
      <c r="L49" s="64">
        <v>36.57</v>
      </c>
      <c r="M49" s="64">
        <v>61.56</v>
      </c>
      <c r="N49" s="64">
        <v>878.5</v>
      </c>
      <c r="O49" s="64">
        <v>0</v>
      </c>
      <c r="P49" s="64">
        <v>0.69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48" t="s">
        <v>2014</v>
      </c>
      <c r="B50" s="64">
        <v>7.98</v>
      </c>
      <c r="C50" s="64">
        <v>3.04</v>
      </c>
      <c r="D50" s="64">
        <v>11.76</v>
      </c>
      <c r="E50" s="64">
        <v>4.7699999999999996</v>
      </c>
      <c r="F50" s="64">
        <v>10.1</v>
      </c>
      <c r="G50" s="64">
        <v>66.36</v>
      </c>
      <c r="H50" s="212" t="s">
        <v>42</v>
      </c>
      <c r="I50" s="64">
        <v>6.11</v>
      </c>
      <c r="J50" s="64">
        <v>0.44</v>
      </c>
      <c r="K50" s="64">
        <v>342.54</v>
      </c>
      <c r="L50" s="64">
        <v>36.53</v>
      </c>
      <c r="M50" s="64">
        <v>59.47</v>
      </c>
      <c r="N50" s="64">
        <v>650.29999999999995</v>
      </c>
      <c r="O50" s="64">
        <v>0</v>
      </c>
      <c r="P50" s="64">
        <v>0.62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48" t="s">
        <v>2015</v>
      </c>
      <c r="B51" s="64">
        <v>7.99</v>
      </c>
      <c r="C51" s="64">
        <v>3.18</v>
      </c>
      <c r="D51" s="64">
        <v>11.84</v>
      </c>
      <c r="E51" s="64">
        <v>4.96</v>
      </c>
      <c r="F51" s="64">
        <v>13.71</v>
      </c>
      <c r="G51" s="212" t="s">
        <v>42</v>
      </c>
      <c r="H51" s="212" t="s">
        <v>42</v>
      </c>
      <c r="I51" s="64">
        <v>5.98</v>
      </c>
      <c r="J51" s="64">
        <v>0.63</v>
      </c>
      <c r="K51" s="64">
        <v>330.89</v>
      </c>
      <c r="L51" s="64">
        <v>36.659999999999997</v>
      </c>
      <c r="M51" s="64">
        <v>60</v>
      </c>
      <c r="N51" s="64">
        <v>938.7</v>
      </c>
      <c r="O51" s="64">
        <v>0</v>
      </c>
      <c r="P51" s="64">
        <v>0.54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48" t="s">
        <v>2016</v>
      </c>
      <c r="B52" s="64">
        <v>7.98</v>
      </c>
      <c r="C52" s="64">
        <v>3.16</v>
      </c>
      <c r="D52" s="64">
        <v>11.82</v>
      </c>
      <c r="E52" s="64">
        <v>4.3899999999999997</v>
      </c>
      <c r="F52" s="64">
        <v>7.26</v>
      </c>
      <c r="G52" s="212" t="s">
        <v>42</v>
      </c>
      <c r="H52" s="212" t="s">
        <v>42</v>
      </c>
      <c r="I52" s="64">
        <v>4.5599999999999996</v>
      </c>
      <c r="J52" s="64">
        <v>0.83</v>
      </c>
      <c r="K52" s="64">
        <v>331.97</v>
      </c>
      <c r="L52" s="64">
        <v>37.82</v>
      </c>
      <c r="M52" s="64">
        <v>55.42</v>
      </c>
      <c r="N52" s="64">
        <v>972.5</v>
      </c>
      <c r="O52" s="64">
        <v>0</v>
      </c>
      <c r="P52" s="64">
        <v>0.55000000000000004</v>
      </c>
      <c r="Q52" s="64">
        <v>9.27</v>
      </c>
      <c r="R52" s="198"/>
      <c r="S52" s="198"/>
      <c r="T52" s="198"/>
      <c r="U52" s="198"/>
    </row>
    <row r="53" spans="1:21" s="12" customFormat="1" x14ac:dyDescent="0.25">
      <c r="A53" s="248" t="s">
        <v>2017</v>
      </c>
      <c r="B53" s="64">
        <v>7.94</v>
      </c>
      <c r="C53" s="64">
        <v>3.08</v>
      </c>
      <c r="D53" s="64">
        <v>11.75</v>
      </c>
      <c r="E53" s="64">
        <v>4.46</v>
      </c>
      <c r="F53" s="64">
        <v>12.97</v>
      </c>
      <c r="G53" s="212" t="s">
        <v>42</v>
      </c>
      <c r="H53" s="212" t="s">
        <v>42</v>
      </c>
      <c r="I53" s="64">
        <v>2.33</v>
      </c>
      <c r="J53" s="64">
        <v>0.56000000000000005</v>
      </c>
      <c r="K53" s="64">
        <v>324.47000000000003</v>
      </c>
      <c r="L53" s="64">
        <v>37.590000000000003</v>
      </c>
      <c r="M53" s="64">
        <v>55.76</v>
      </c>
      <c r="N53" s="64">
        <v>934.2</v>
      </c>
      <c r="O53" s="64">
        <v>0</v>
      </c>
      <c r="P53" s="64">
        <v>0.56000000000000005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48" t="s">
        <v>2018</v>
      </c>
      <c r="B54" s="64">
        <v>7.94</v>
      </c>
      <c r="C54" s="64">
        <v>3.06</v>
      </c>
      <c r="D54" s="64">
        <v>11.74</v>
      </c>
      <c r="E54" s="64">
        <v>4.51</v>
      </c>
      <c r="F54" s="64">
        <v>3.3</v>
      </c>
      <c r="G54" s="212" t="s">
        <v>42</v>
      </c>
      <c r="H54" s="212" t="s">
        <v>42</v>
      </c>
      <c r="I54" s="64">
        <v>2.33</v>
      </c>
      <c r="J54" s="64">
        <v>0.75</v>
      </c>
      <c r="K54" s="64">
        <v>330.16</v>
      </c>
      <c r="L54" s="64">
        <v>37.840000000000003</v>
      </c>
      <c r="M54" s="64">
        <v>54.53</v>
      </c>
      <c r="N54" s="64">
        <v>775.7</v>
      </c>
      <c r="O54" s="64">
        <v>0</v>
      </c>
      <c r="P54" s="64">
        <v>0.55000000000000004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48" t="s">
        <v>2019</v>
      </c>
      <c r="B55" s="64">
        <v>7.97</v>
      </c>
      <c r="C55" s="64">
        <v>3.08</v>
      </c>
      <c r="D55" s="64">
        <v>11.77</v>
      </c>
      <c r="E55" s="64">
        <v>4.3600000000000003</v>
      </c>
      <c r="F55" s="64">
        <v>5.23</v>
      </c>
      <c r="G55" s="212" t="s">
        <v>42</v>
      </c>
      <c r="H55" s="212" t="s">
        <v>42</v>
      </c>
      <c r="I55" s="64">
        <v>2.15</v>
      </c>
      <c r="J55" s="64">
        <v>0.86</v>
      </c>
      <c r="K55" s="64">
        <v>336.01</v>
      </c>
      <c r="L55" s="64">
        <v>36.96</v>
      </c>
      <c r="M55" s="64">
        <v>56.82</v>
      </c>
      <c r="N55" s="64">
        <v>661.8</v>
      </c>
      <c r="O55" s="64">
        <v>0</v>
      </c>
      <c r="P55" s="64">
        <v>0.54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48" t="s">
        <v>2020</v>
      </c>
      <c r="B56" s="64">
        <v>7.97</v>
      </c>
      <c r="C56" s="64">
        <v>3.01</v>
      </c>
      <c r="D56" s="64">
        <v>11.73</v>
      </c>
      <c r="E56" s="64">
        <v>5.03</v>
      </c>
      <c r="F56" s="64">
        <v>6.14</v>
      </c>
      <c r="G56" s="212" t="s">
        <v>42</v>
      </c>
      <c r="H56" s="212" t="s">
        <v>42</v>
      </c>
      <c r="I56" s="64">
        <v>1.99</v>
      </c>
      <c r="J56" s="64">
        <v>0.52</v>
      </c>
      <c r="K56" s="64">
        <v>339.41</v>
      </c>
      <c r="L56" s="64">
        <v>35.799999999999997</v>
      </c>
      <c r="M56" s="64">
        <v>59.81</v>
      </c>
      <c r="N56" s="64">
        <v>595.9</v>
      </c>
      <c r="O56" s="64">
        <v>0</v>
      </c>
      <c r="P56" s="64">
        <v>0.55000000000000004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48" t="s">
        <v>2021</v>
      </c>
      <c r="B57" s="64">
        <v>7.95</v>
      </c>
      <c r="C57" s="64">
        <v>3</v>
      </c>
      <c r="D57" s="64">
        <v>11.72</v>
      </c>
      <c r="E57" s="64">
        <v>4.5</v>
      </c>
      <c r="F57" s="64">
        <v>2.42</v>
      </c>
      <c r="G57" s="212" t="s">
        <v>42</v>
      </c>
      <c r="H57" s="212" t="s">
        <v>42</v>
      </c>
      <c r="I57" s="64">
        <v>2.04</v>
      </c>
      <c r="J57" s="64">
        <v>1.1000000000000001</v>
      </c>
      <c r="K57" s="64">
        <v>336.09</v>
      </c>
      <c r="L57" s="64">
        <v>35.54</v>
      </c>
      <c r="M57" s="64">
        <v>58.09</v>
      </c>
      <c r="N57" s="64">
        <v>424.2</v>
      </c>
      <c r="O57" s="64">
        <v>0</v>
      </c>
      <c r="P57" s="64">
        <v>0.55000000000000004</v>
      </c>
      <c r="Q57" s="64">
        <v>9.3800000000000008</v>
      </c>
      <c r="R57" s="198"/>
      <c r="S57" s="198"/>
      <c r="T57" s="198"/>
      <c r="U57" s="198"/>
    </row>
    <row r="58" spans="1:21" s="12" customFormat="1" x14ac:dyDescent="0.25">
      <c r="A58" s="248" t="s">
        <v>2022</v>
      </c>
      <c r="B58" s="64">
        <v>7.98</v>
      </c>
      <c r="C58" s="64">
        <v>3.02</v>
      </c>
      <c r="D58" s="64">
        <v>11.75</v>
      </c>
      <c r="E58" s="64">
        <v>4.5199999999999996</v>
      </c>
      <c r="F58" s="64">
        <v>3.34</v>
      </c>
      <c r="G58" s="212" t="s">
        <v>42</v>
      </c>
      <c r="H58" s="212" t="s">
        <v>42</v>
      </c>
      <c r="I58" s="64">
        <v>2.5099999999999998</v>
      </c>
      <c r="J58" s="64">
        <v>1.47</v>
      </c>
      <c r="K58" s="64">
        <v>335.64</v>
      </c>
      <c r="L58" s="64">
        <v>35.25</v>
      </c>
      <c r="M58" s="64">
        <v>59.81</v>
      </c>
      <c r="N58" s="64">
        <v>583.5</v>
      </c>
      <c r="O58" s="64">
        <v>0</v>
      </c>
      <c r="P58" s="64">
        <v>0.54</v>
      </c>
      <c r="Q58" s="64">
        <v>9.32</v>
      </c>
      <c r="R58" s="198"/>
      <c r="S58" s="198"/>
      <c r="T58" s="198"/>
      <c r="U58" s="198"/>
    </row>
    <row r="59" spans="1:21" s="12" customFormat="1" x14ac:dyDescent="0.25">
      <c r="A59" s="248" t="s">
        <v>2023</v>
      </c>
      <c r="B59" s="64">
        <v>8.01</v>
      </c>
      <c r="C59" s="64">
        <v>3.07</v>
      </c>
      <c r="D59" s="64">
        <v>11.8</v>
      </c>
      <c r="E59" s="64">
        <v>4.93</v>
      </c>
      <c r="F59" s="64">
        <v>4.13</v>
      </c>
      <c r="G59" s="212" t="s">
        <v>42</v>
      </c>
      <c r="H59" s="212" t="s">
        <v>42</v>
      </c>
      <c r="I59" s="64">
        <v>2.94</v>
      </c>
      <c r="J59" s="64">
        <v>1.22</v>
      </c>
      <c r="K59" s="64">
        <v>337.68</v>
      </c>
      <c r="L59" s="64">
        <v>35.5</v>
      </c>
      <c r="M59" s="64">
        <v>58.74</v>
      </c>
      <c r="N59" s="64">
        <v>607.29999999999995</v>
      </c>
      <c r="O59" s="64">
        <v>0</v>
      </c>
      <c r="P59" s="64">
        <v>0.55000000000000004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48" t="s">
        <v>2024</v>
      </c>
      <c r="B60" s="64">
        <v>7.99</v>
      </c>
      <c r="C60" s="64">
        <v>3.02</v>
      </c>
      <c r="D60" s="64">
        <v>11.75</v>
      </c>
      <c r="E60" s="64">
        <v>4.34</v>
      </c>
      <c r="F60" s="64">
        <v>3.09</v>
      </c>
      <c r="G60" s="212" t="s">
        <v>42</v>
      </c>
      <c r="H60" s="212" t="s">
        <v>42</v>
      </c>
      <c r="I60" s="64">
        <v>3.02</v>
      </c>
      <c r="J60" s="64">
        <v>0.33</v>
      </c>
      <c r="K60" s="64">
        <v>343.15</v>
      </c>
      <c r="L60" s="64">
        <v>34.31</v>
      </c>
      <c r="M60" s="64">
        <v>63.32</v>
      </c>
      <c r="N60" s="64">
        <v>294</v>
      </c>
      <c r="O60" s="64">
        <v>0</v>
      </c>
      <c r="P60" s="64">
        <v>0.56000000000000005</v>
      </c>
      <c r="Q60" s="64">
        <v>9.41</v>
      </c>
      <c r="R60" s="198"/>
      <c r="S60" s="198"/>
      <c r="T60" s="198"/>
      <c r="U60" s="198"/>
    </row>
    <row r="61" spans="1:21" s="12" customFormat="1" x14ac:dyDescent="0.25">
      <c r="A61" s="248" t="s">
        <v>2025</v>
      </c>
      <c r="B61" s="64">
        <v>7.97</v>
      </c>
      <c r="C61" s="64">
        <v>2.99</v>
      </c>
      <c r="D61" s="64">
        <v>11.73</v>
      </c>
      <c r="E61" s="64">
        <v>4.54</v>
      </c>
      <c r="F61" s="64">
        <v>3.1</v>
      </c>
      <c r="G61" s="212" t="s">
        <v>42</v>
      </c>
      <c r="H61" s="212" t="s">
        <v>42</v>
      </c>
      <c r="I61" s="64">
        <v>3.21</v>
      </c>
      <c r="J61" s="64">
        <v>0.61</v>
      </c>
      <c r="K61" s="64">
        <v>330.23</v>
      </c>
      <c r="L61" s="64">
        <v>33.69</v>
      </c>
      <c r="M61" s="64">
        <v>65.37</v>
      </c>
      <c r="N61" s="64">
        <v>628</v>
      </c>
      <c r="O61" s="64">
        <v>0</v>
      </c>
      <c r="P61" s="64">
        <v>0.5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48" t="s">
        <v>2026</v>
      </c>
      <c r="B62" s="64">
        <v>8.01</v>
      </c>
      <c r="C62" s="64">
        <v>3.12</v>
      </c>
      <c r="D62" s="64">
        <v>11.83</v>
      </c>
      <c r="E62" s="64">
        <v>4.72</v>
      </c>
      <c r="F62" s="64">
        <v>14.83</v>
      </c>
      <c r="G62" s="212" t="s">
        <v>42</v>
      </c>
      <c r="H62" s="212" t="s">
        <v>42</v>
      </c>
      <c r="I62" s="64">
        <v>3.61</v>
      </c>
      <c r="J62" s="64">
        <v>0.47</v>
      </c>
      <c r="K62" s="64">
        <v>42.32</v>
      </c>
      <c r="L62" s="64">
        <v>33.81</v>
      </c>
      <c r="M62" s="64">
        <v>65.62</v>
      </c>
      <c r="N62" s="64">
        <v>894.4</v>
      </c>
      <c r="O62" s="64">
        <v>0</v>
      </c>
      <c r="P62" s="64">
        <v>0.48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48" t="s">
        <v>2027</v>
      </c>
      <c r="B63" s="64">
        <v>8</v>
      </c>
      <c r="C63" s="64">
        <v>3.18</v>
      </c>
      <c r="D63" s="64">
        <v>11.86</v>
      </c>
      <c r="E63" s="64">
        <v>10.82</v>
      </c>
      <c r="F63" s="64">
        <v>23.83</v>
      </c>
      <c r="G63" s="212" t="s">
        <v>42</v>
      </c>
      <c r="H63" s="212" t="s">
        <v>42</v>
      </c>
      <c r="I63" s="64">
        <v>3.9</v>
      </c>
      <c r="J63" s="64">
        <v>0.74</v>
      </c>
      <c r="K63" s="64">
        <v>335.78</v>
      </c>
      <c r="L63" s="64">
        <v>35.14</v>
      </c>
      <c r="M63" s="64">
        <v>61.9</v>
      </c>
      <c r="N63" s="64">
        <v>658.2</v>
      </c>
      <c r="O63" s="64">
        <v>0</v>
      </c>
      <c r="P63" s="64">
        <v>0.51</v>
      </c>
      <c r="Q63" s="64">
        <v>8.4700000000000006</v>
      </c>
      <c r="R63" s="198"/>
      <c r="S63" s="198"/>
      <c r="T63" s="198"/>
      <c r="U63" s="198"/>
    </row>
    <row r="64" spans="1:21" s="12" customFormat="1" x14ac:dyDescent="0.25">
      <c r="A64" s="248" t="s">
        <v>2028</v>
      </c>
      <c r="B64" s="64">
        <v>7.98</v>
      </c>
      <c r="C64" s="64">
        <v>3.18</v>
      </c>
      <c r="D64" s="64">
        <v>11.84</v>
      </c>
      <c r="E64" s="64">
        <v>5.32</v>
      </c>
      <c r="F64" s="64">
        <v>8.34</v>
      </c>
      <c r="G64" s="212" t="s">
        <v>42</v>
      </c>
      <c r="H64" s="212" t="s">
        <v>42</v>
      </c>
      <c r="I64" s="64">
        <v>3.25</v>
      </c>
      <c r="J64" s="64">
        <v>0.46</v>
      </c>
      <c r="K64" s="64">
        <v>7.29</v>
      </c>
      <c r="L64" s="64">
        <v>34.04</v>
      </c>
      <c r="M64" s="64">
        <v>66.099999999999994</v>
      </c>
      <c r="N64" s="64">
        <v>297</v>
      </c>
      <c r="O64" s="64">
        <v>0</v>
      </c>
      <c r="P64" s="64">
        <v>0.51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48" t="s">
        <v>2029</v>
      </c>
      <c r="B65" s="64">
        <v>7.98</v>
      </c>
      <c r="C65" s="64">
        <v>3.16</v>
      </c>
      <c r="D65" s="64">
        <v>11.82</v>
      </c>
      <c r="E65" s="64">
        <v>5.19</v>
      </c>
      <c r="F65" s="64">
        <v>13.97</v>
      </c>
      <c r="G65" s="212" t="s">
        <v>42</v>
      </c>
      <c r="H65" s="212" t="s">
        <v>42</v>
      </c>
      <c r="I65" s="64">
        <v>1.44</v>
      </c>
      <c r="J65" s="64">
        <v>0.98</v>
      </c>
      <c r="K65" s="64">
        <v>333.03</v>
      </c>
      <c r="L65" s="64">
        <v>33.880000000000003</v>
      </c>
      <c r="M65" s="64">
        <v>67.05</v>
      </c>
      <c r="N65" s="64">
        <v>208.4</v>
      </c>
      <c r="O65" s="64">
        <v>0</v>
      </c>
      <c r="P65" s="64">
        <v>0.63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48" t="s">
        <v>2030</v>
      </c>
      <c r="B66" s="64">
        <v>7.97</v>
      </c>
      <c r="C66" s="64">
        <v>3.13</v>
      </c>
      <c r="D66" s="64">
        <v>11.8</v>
      </c>
      <c r="E66" s="64">
        <v>5.51</v>
      </c>
      <c r="F66" s="64">
        <v>13.07</v>
      </c>
      <c r="G66" s="64">
        <v>32.79</v>
      </c>
      <c r="H66" s="212" t="s">
        <v>42</v>
      </c>
      <c r="I66" s="64">
        <v>2</v>
      </c>
      <c r="J66" s="64">
        <v>0.68</v>
      </c>
      <c r="K66" s="64">
        <v>335.45</v>
      </c>
      <c r="L66" s="64">
        <v>34.119999999999997</v>
      </c>
      <c r="M66" s="64">
        <v>65.760000000000005</v>
      </c>
      <c r="N66" s="64">
        <v>243.3</v>
      </c>
      <c r="O66" s="64">
        <v>0</v>
      </c>
      <c r="P66" s="64">
        <v>0.76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48" t="s">
        <v>2031</v>
      </c>
      <c r="B67" s="64">
        <v>7.96</v>
      </c>
      <c r="C67" s="64">
        <v>3.23</v>
      </c>
      <c r="D67" s="64">
        <v>11.85</v>
      </c>
      <c r="E67" s="64">
        <v>4.87</v>
      </c>
      <c r="F67" s="64">
        <v>6.17</v>
      </c>
      <c r="G67" s="64">
        <v>163.95</v>
      </c>
      <c r="H67" s="212" t="s">
        <v>42</v>
      </c>
      <c r="I67" s="64">
        <v>2.1</v>
      </c>
      <c r="J67" s="64">
        <v>0.23</v>
      </c>
      <c r="K67" s="64">
        <v>17.3</v>
      </c>
      <c r="L67" s="64">
        <v>33.92</v>
      </c>
      <c r="M67" s="64">
        <v>65.31</v>
      </c>
      <c r="N67" s="64">
        <v>245.3</v>
      </c>
      <c r="O67" s="64">
        <v>0</v>
      </c>
      <c r="P67" s="64">
        <v>0.75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48" t="s">
        <v>2032</v>
      </c>
      <c r="B68" s="64">
        <v>7.97</v>
      </c>
      <c r="C68" s="64">
        <v>3.2</v>
      </c>
      <c r="D68" s="64">
        <v>11.84</v>
      </c>
      <c r="E68" s="64">
        <v>4.8600000000000003</v>
      </c>
      <c r="F68" s="64">
        <v>7.13</v>
      </c>
      <c r="G68" s="64">
        <v>163.95</v>
      </c>
      <c r="H68" s="212" t="s">
        <v>42</v>
      </c>
      <c r="I68" s="64">
        <v>2.1800000000000002</v>
      </c>
      <c r="J68" s="64">
        <v>0.7</v>
      </c>
      <c r="K68" s="64">
        <v>340.82</v>
      </c>
      <c r="L68" s="64">
        <v>34.22</v>
      </c>
      <c r="M68" s="64">
        <v>63.69</v>
      </c>
      <c r="N68" s="64">
        <v>186.1</v>
      </c>
      <c r="O68" s="64">
        <v>0</v>
      </c>
      <c r="P68" s="64">
        <v>0.72</v>
      </c>
      <c r="Q68" s="64">
        <v>9.26</v>
      </c>
      <c r="R68" s="198"/>
      <c r="S68" s="198"/>
      <c r="T68" s="198"/>
      <c r="U68" s="198"/>
    </row>
    <row r="69" spans="1:21" s="12" customFormat="1" x14ac:dyDescent="0.25">
      <c r="A69" s="248" t="s">
        <v>2033</v>
      </c>
      <c r="B69" s="64">
        <v>7.95</v>
      </c>
      <c r="C69" s="64">
        <v>3.08</v>
      </c>
      <c r="D69" s="64">
        <v>11.76</v>
      </c>
      <c r="E69" s="64">
        <v>4.34</v>
      </c>
      <c r="F69" s="64">
        <v>6.2</v>
      </c>
      <c r="G69" s="64">
        <v>163.95</v>
      </c>
      <c r="H69" s="212" t="s">
        <v>42</v>
      </c>
      <c r="I69" s="64">
        <v>2.71</v>
      </c>
      <c r="J69" s="64">
        <v>0.31</v>
      </c>
      <c r="K69" s="64">
        <v>97.82</v>
      </c>
      <c r="L69" s="64">
        <v>33.130000000000003</v>
      </c>
      <c r="M69" s="64">
        <v>66.8</v>
      </c>
      <c r="N69" s="64">
        <v>177.1</v>
      </c>
      <c r="O69" s="64">
        <v>0</v>
      </c>
      <c r="P69" s="64">
        <v>0.68</v>
      </c>
      <c r="Q69" s="64">
        <v>9.3000000000000007</v>
      </c>
      <c r="R69" s="198"/>
      <c r="S69" s="198"/>
      <c r="T69" s="198"/>
      <c r="U69" s="198"/>
    </row>
    <row r="70" spans="1:21" s="12" customFormat="1" x14ac:dyDescent="0.25">
      <c r="A70" s="248" t="s">
        <v>2034</v>
      </c>
      <c r="B70" s="64">
        <v>7.95</v>
      </c>
      <c r="C70" s="64">
        <v>3.1</v>
      </c>
      <c r="D70" s="64">
        <v>11.77</v>
      </c>
      <c r="E70" s="64">
        <v>4.47</v>
      </c>
      <c r="F70" s="64">
        <v>4.76</v>
      </c>
      <c r="G70" s="64">
        <v>163.06</v>
      </c>
      <c r="H70" s="212" t="s">
        <v>42</v>
      </c>
      <c r="I70" s="64">
        <v>3.07</v>
      </c>
      <c r="J70" s="64">
        <v>0.15</v>
      </c>
      <c r="K70" s="64">
        <v>55.41</v>
      </c>
      <c r="L70" s="64">
        <v>33.26</v>
      </c>
      <c r="M70" s="64">
        <v>65.900000000000006</v>
      </c>
      <c r="N70" s="64">
        <v>180.2</v>
      </c>
      <c r="O70" s="64">
        <v>0</v>
      </c>
      <c r="P70" s="64">
        <v>0.66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48" t="s">
        <v>2035</v>
      </c>
      <c r="B71" s="64">
        <v>7.96</v>
      </c>
      <c r="C71" s="64">
        <v>3.15</v>
      </c>
      <c r="D71" s="64">
        <v>11.8</v>
      </c>
      <c r="E71" s="64">
        <v>4.43</v>
      </c>
      <c r="F71" s="64">
        <v>3.85</v>
      </c>
      <c r="G71" s="64">
        <v>159.47999999999999</v>
      </c>
      <c r="H71" s="212" t="s">
        <v>42</v>
      </c>
      <c r="I71" s="64">
        <v>3.41</v>
      </c>
      <c r="J71" s="64">
        <v>0.51</v>
      </c>
      <c r="K71" s="64">
        <v>335.58</v>
      </c>
      <c r="L71" s="64">
        <v>33.65</v>
      </c>
      <c r="M71" s="64">
        <v>64.8</v>
      </c>
      <c r="N71" s="64">
        <v>165.1</v>
      </c>
      <c r="O71" s="64">
        <v>0</v>
      </c>
      <c r="P71" s="64">
        <v>0.65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48" t="s">
        <v>2036</v>
      </c>
      <c r="B72" s="64">
        <v>7.94</v>
      </c>
      <c r="C72" s="64">
        <v>3.04</v>
      </c>
      <c r="D72" s="64">
        <v>11.73</v>
      </c>
      <c r="E72" s="64">
        <v>5.93</v>
      </c>
      <c r="F72" s="64">
        <v>4.3600000000000003</v>
      </c>
      <c r="G72" s="64">
        <v>159.47999999999999</v>
      </c>
      <c r="H72" s="212" t="s">
        <v>42</v>
      </c>
      <c r="I72" s="64">
        <v>3.64</v>
      </c>
      <c r="J72" s="64">
        <v>0.49</v>
      </c>
      <c r="K72" s="64">
        <v>329.88</v>
      </c>
      <c r="L72" s="64">
        <v>33.770000000000003</v>
      </c>
      <c r="M72" s="64">
        <v>64.56</v>
      </c>
      <c r="N72" s="64">
        <v>141.69999999999999</v>
      </c>
      <c r="O72" s="64">
        <v>0</v>
      </c>
      <c r="P72" s="64">
        <v>0.65</v>
      </c>
      <c r="Q72" s="64">
        <v>9.3699999999999992</v>
      </c>
      <c r="R72" s="198"/>
      <c r="S72" s="198"/>
      <c r="T72" s="198"/>
      <c r="U72" s="198"/>
    </row>
    <row r="73" spans="1:21" s="12" customFormat="1" x14ac:dyDescent="0.25">
      <c r="A73" s="248" t="s">
        <v>2037</v>
      </c>
      <c r="B73" s="64">
        <v>7.99</v>
      </c>
      <c r="C73" s="64">
        <v>3.09</v>
      </c>
      <c r="D73" s="64">
        <v>11.8</v>
      </c>
      <c r="E73" s="64">
        <v>5.54</v>
      </c>
      <c r="F73" s="64">
        <v>4.04</v>
      </c>
      <c r="G73" s="64">
        <v>159.47999999999999</v>
      </c>
      <c r="H73" s="212" t="s">
        <v>42</v>
      </c>
      <c r="I73" s="64">
        <v>3.79</v>
      </c>
      <c r="J73" s="64">
        <v>0.79</v>
      </c>
      <c r="K73" s="64">
        <v>331.75</v>
      </c>
      <c r="L73" s="64">
        <v>33.6</v>
      </c>
      <c r="M73" s="64">
        <v>64.37</v>
      </c>
      <c r="N73" s="64">
        <v>119</v>
      </c>
      <c r="O73" s="64">
        <v>0</v>
      </c>
      <c r="P73" s="64">
        <v>0.65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48" t="s">
        <v>2038</v>
      </c>
      <c r="B74" s="64">
        <v>7.99</v>
      </c>
      <c r="C74" s="64">
        <v>3.04</v>
      </c>
      <c r="D74" s="64">
        <v>11.77</v>
      </c>
      <c r="E74" s="64">
        <v>5.36</v>
      </c>
      <c r="F74" s="64">
        <v>4.03</v>
      </c>
      <c r="G74" s="64">
        <v>164.25</v>
      </c>
      <c r="H74" s="212" t="s">
        <v>42</v>
      </c>
      <c r="I74" s="64">
        <v>3.86</v>
      </c>
      <c r="J74" s="64">
        <v>0.13</v>
      </c>
      <c r="K74" s="64">
        <v>29.47</v>
      </c>
      <c r="L74" s="64">
        <v>33.15</v>
      </c>
      <c r="M74" s="64">
        <v>65.12</v>
      </c>
      <c r="N74" s="64">
        <v>110.6</v>
      </c>
      <c r="O74" s="64">
        <v>0</v>
      </c>
      <c r="P74" s="64">
        <v>0.65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48" t="s">
        <v>2039</v>
      </c>
      <c r="B75" s="64">
        <v>8</v>
      </c>
      <c r="C75" s="64">
        <v>3.07</v>
      </c>
      <c r="D75" s="64">
        <v>11.79</v>
      </c>
      <c r="E75" s="64">
        <v>5.53</v>
      </c>
      <c r="F75" s="64">
        <v>5.16</v>
      </c>
      <c r="G75" s="64">
        <v>183.32</v>
      </c>
      <c r="H75" s="212" t="s">
        <v>42</v>
      </c>
      <c r="I75" s="64">
        <v>3.99</v>
      </c>
      <c r="J75" s="64">
        <v>0.41</v>
      </c>
      <c r="K75" s="64">
        <v>102.13</v>
      </c>
      <c r="L75" s="64">
        <v>32.54</v>
      </c>
      <c r="M75" s="64">
        <v>68.7</v>
      </c>
      <c r="N75" s="64">
        <v>109.6</v>
      </c>
      <c r="O75" s="64">
        <v>0</v>
      </c>
      <c r="P75" s="64">
        <v>0.66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48" t="s">
        <v>2040</v>
      </c>
      <c r="B76" s="64">
        <v>7.98</v>
      </c>
      <c r="C76" s="64">
        <v>3.09</v>
      </c>
      <c r="D76" s="64">
        <v>11.78</v>
      </c>
      <c r="E76" s="64">
        <v>5.96</v>
      </c>
      <c r="F76" s="64">
        <v>3.2</v>
      </c>
      <c r="G76" s="64">
        <v>183.32</v>
      </c>
      <c r="H76" s="212" t="s">
        <v>42</v>
      </c>
      <c r="I76" s="64">
        <v>4.1900000000000004</v>
      </c>
      <c r="J76" s="64">
        <v>0.44</v>
      </c>
      <c r="K76" s="64">
        <v>104.35</v>
      </c>
      <c r="L76" s="64">
        <v>32.58</v>
      </c>
      <c r="M76" s="64">
        <v>67.78</v>
      </c>
      <c r="N76" s="64">
        <v>102.6</v>
      </c>
      <c r="O76" s="64">
        <v>0</v>
      </c>
      <c r="P76" s="64">
        <v>0.67</v>
      </c>
      <c r="Q76" s="64">
        <v>9.57</v>
      </c>
      <c r="R76" s="198"/>
      <c r="S76" s="198"/>
      <c r="T76" s="198"/>
      <c r="U76" s="198"/>
    </row>
    <row r="77" spans="1:21" s="12" customFormat="1" x14ac:dyDescent="0.25">
      <c r="A77" s="248" t="s">
        <v>2041</v>
      </c>
      <c r="B77" s="64">
        <v>7.98</v>
      </c>
      <c r="C77" s="64">
        <v>3.12</v>
      </c>
      <c r="D77" s="64">
        <v>11.8</v>
      </c>
      <c r="E77" s="64">
        <v>5.88</v>
      </c>
      <c r="F77" s="64">
        <v>4.84</v>
      </c>
      <c r="G77" s="64">
        <v>183.32</v>
      </c>
      <c r="H77" s="212" t="s">
        <v>42</v>
      </c>
      <c r="I77" s="64">
        <v>4.51</v>
      </c>
      <c r="J77" s="64">
        <v>1.1000000000000001</v>
      </c>
      <c r="K77" s="64">
        <v>118.06</v>
      </c>
      <c r="L77" s="64">
        <v>32.19</v>
      </c>
      <c r="M77" s="64">
        <v>69.069999999999993</v>
      </c>
      <c r="N77" s="64">
        <v>97.7</v>
      </c>
      <c r="O77" s="64">
        <v>0</v>
      </c>
      <c r="P77" s="64">
        <v>0.64</v>
      </c>
      <c r="Q77" s="64">
        <v>9.5</v>
      </c>
      <c r="R77" s="198"/>
      <c r="S77" s="198"/>
      <c r="T77" s="198"/>
      <c r="U77" s="198"/>
    </row>
    <row r="78" spans="1:21" s="12" customFormat="1" x14ac:dyDescent="0.25">
      <c r="A78" s="248" t="s">
        <v>2042</v>
      </c>
      <c r="B78" s="64">
        <v>7.98</v>
      </c>
      <c r="C78" s="64">
        <v>3.07</v>
      </c>
      <c r="D78" s="64">
        <v>11.78</v>
      </c>
      <c r="E78" s="64">
        <v>5.72</v>
      </c>
      <c r="F78" s="64">
        <v>5.17</v>
      </c>
      <c r="G78" s="64">
        <v>176.26</v>
      </c>
      <c r="H78" s="212" t="s">
        <v>42</v>
      </c>
      <c r="I78" s="64">
        <v>4.57</v>
      </c>
      <c r="J78" s="64">
        <v>0.74</v>
      </c>
      <c r="K78" s="64">
        <v>112.6</v>
      </c>
      <c r="L78" s="64">
        <v>32.020000000000003</v>
      </c>
      <c r="M78" s="64">
        <v>70.260000000000005</v>
      </c>
      <c r="N78" s="64">
        <v>79.8</v>
      </c>
      <c r="O78" s="64">
        <v>0</v>
      </c>
      <c r="P78" s="64">
        <v>0.62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48" t="s">
        <v>2043</v>
      </c>
      <c r="B79" s="64">
        <v>7.98</v>
      </c>
      <c r="C79" s="64">
        <v>3.04</v>
      </c>
      <c r="D79" s="64">
        <v>11.76</v>
      </c>
      <c r="E79" s="64">
        <v>5.8</v>
      </c>
      <c r="F79" s="64">
        <v>3.82</v>
      </c>
      <c r="G79" s="64">
        <v>148</v>
      </c>
      <c r="H79" s="212" t="s">
        <v>42</v>
      </c>
      <c r="I79" s="64">
        <v>4.63</v>
      </c>
      <c r="J79" s="64">
        <v>0.24</v>
      </c>
      <c r="K79" s="64">
        <v>116.12</v>
      </c>
      <c r="L79" s="64">
        <v>31.95</v>
      </c>
      <c r="M79" s="64">
        <v>71.2</v>
      </c>
      <c r="N79" s="64">
        <v>74</v>
      </c>
      <c r="O79" s="64">
        <v>0</v>
      </c>
      <c r="P79" s="64">
        <v>0.61</v>
      </c>
      <c r="Q79" s="64">
        <v>9.42</v>
      </c>
      <c r="R79" s="198"/>
      <c r="S79" s="198"/>
      <c r="T79" s="198"/>
      <c r="U79" s="198"/>
    </row>
    <row r="80" spans="1:21" s="12" customFormat="1" x14ac:dyDescent="0.25">
      <c r="A80" s="248" t="s">
        <v>2044</v>
      </c>
      <c r="B80" s="64">
        <v>8.01</v>
      </c>
      <c r="C80" s="64">
        <v>3.03</v>
      </c>
      <c r="D80" s="64">
        <v>11.78</v>
      </c>
      <c r="E80" s="64">
        <v>5.6</v>
      </c>
      <c r="F80" s="64">
        <v>3.91</v>
      </c>
      <c r="G80" s="64">
        <v>148</v>
      </c>
      <c r="H80" s="212" t="s">
        <v>42</v>
      </c>
      <c r="I80" s="64">
        <v>4.8600000000000003</v>
      </c>
      <c r="J80" s="64">
        <v>0.18</v>
      </c>
      <c r="K80" s="64">
        <v>91.55</v>
      </c>
      <c r="L80" s="64">
        <v>31.85</v>
      </c>
      <c r="M80" s="64">
        <v>71.069999999999993</v>
      </c>
      <c r="N80" s="64">
        <v>68.599999999999994</v>
      </c>
      <c r="O80" s="64">
        <v>0</v>
      </c>
      <c r="P80" s="64">
        <v>0.61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48" t="s">
        <v>2045</v>
      </c>
      <c r="B81" s="64">
        <v>8</v>
      </c>
      <c r="C81" s="64">
        <v>3.03</v>
      </c>
      <c r="D81" s="64">
        <v>11.77</v>
      </c>
      <c r="E81" s="64">
        <v>5.77</v>
      </c>
      <c r="F81" s="64">
        <v>3.14</v>
      </c>
      <c r="G81" s="64">
        <v>148</v>
      </c>
      <c r="H81" s="212" t="s">
        <v>42</v>
      </c>
      <c r="I81" s="64">
        <v>4.99</v>
      </c>
      <c r="J81" s="64">
        <v>0.5</v>
      </c>
      <c r="K81" s="64">
        <v>338.01</v>
      </c>
      <c r="L81" s="64">
        <v>31.79</v>
      </c>
      <c r="M81" s="64">
        <v>74.239999999999995</v>
      </c>
      <c r="N81" s="64">
        <v>55.4</v>
      </c>
      <c r="O81" s="64">
        <v>0</v>
      </c>
      <c r="P81" s="64">
        <v>0.62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48" t="s">
        <v>2046</v>
      </c>
      <c r="B82" s="64">
        <v>8</v>
      </c>
      <c r="C82" s="64">
        <v>2.99</v>
      </c>
      <c r="D82" s="64">
        <v>11.75</v>
      </c>
      <c r="E82" s="64">
        <v>5.29</v>
      </c>
      <c r="F82" s="64">
        <v>3.33</v>
      </c>
      <c r="G82" s="64">
        <v>140.71</v>
      </c>
      <c r="H82" s="212" t="s">
        <v>42</v>
      </c>
      <c r="I82" s="64">
        <v>5.15</v>
      </c>
      <c r="J82" s="64">
        <v>0.25</v>
      </c>
      <c r="K82" s="64">
        <v>338.93</v>
      </c>
      <c r="L82" s="64">
        <v>31.46</v>
      </c>
      <c r="M82" s="64">
        <v>76.680000000000007</v>
      </c>
      <c r="N82" s="64">
        <v>44</v>
      </c>
      <c r="O82" s="64">
        <v>0</v>
      </c>
      <c r="P82" s="64">
        <v>0.65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48" t="s">
        <v>2047</v>
      </c>
      <c r="B83" s="64">
        <v>7.99</v>
      </c>
      <c r="C83" s="64">
        <v>2.99</v>
      </c>
      <c r="D83" s="64">
        <v>11.74</v>
      </c>
      <c r="E83" s="64">
        <v>5.79</v>
      </c>
      <c r="F83" s="64">
        <v>3.71</v>
      </c>
      <c r="G83" s="64">
        <v>111.55</v>
      </c>
      <c r="H83" s="212" t="s">
        <v>42</v>
      </c>
      <c r="I83" s="64">
        <v>5.33</v>
      </c>
      <c r="J83" s="64">
        <v>0.6</v>
      </c>
      <c r="K83" s="64">
        <v>332.03</v>
      </c>
      <c r="L83" s="64">
        <v>31.22</v>
      </c>
      <c r="M83" s="64">
        <v>74.02</v>
      </c>
      <c r="N83" s="64">
        <v>40.4</v>
      </c>
      <c r="O83" s="64">
        <v>0</v>
      </c>
      <c r="P83" s="64">
        <v>0.66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48" t="s">
        <v>2048</v>
      </c>
      <c r="B84" s="64">
        <v>8</v>
      </c>
      <c r="C84" s="64">
        <v>3.02</v>
      </c>
      <c r="D84" s="64">
        <v>11.77</v>
      </c>
      <c r="E84" s="64">
        <v>5.78</v>
      </c>
      <c r="F84" s="64">
        <v>3.34</v>
      </c>
      <c r="G84" s="64">
        <v>111.55</v>
      </c>
      <c r="H84" s="212" t="s">
        <v>42</v>
      </c>
      <c r="I84" s="64">
        <v>5.31</v>
      </c>
      <c r="J84" s="64">
        <v>0.75</v>
      </c>
      <c r="K84" s="64">
        <v>341.15</v>
      </c>
      <c r="L84" s="64">
        <v>31.09</v>
      </c>
      <c r="M84" s="64">
        <v>74.709999999999994</v>
      </c>
      <c r="N84" s="64">
        <v>39.799999999999997</v>
      </c>
      <c r="O84" s="64">
        <v>0</v>
      </c>
      <c r="P84" s="64">
        <v>0.68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48" t="s">
        <v>2049</v>
      </c>
      <c r="B85" s="64">
        <v>8</v>
      </c>
      <c r="C85" s="64">
        <v>3.03</v>
      </c>
      <c r="D85" s="64">
        <v>11.78</v>
      </c>
      <c r="E85" s="64">
        <v>5.92</v>
      </c>
      <c r="F85" s="64">
        <v>3.22</v>
      </c>
      <c r="G85" s="64">
        <v>111.55</v>
      </c>
      <c r="H85" s="212" t="s">
        <v>42</v>
      </c>
      <c r="I85" s="64">
        <v>5.46</v>
      </c>
      <c r="J85" s="64">
        <v>0.43</v>
      </c>
      <c r="K85" s="64">
        <v>338.26</v>
      </c>
      <c r="L85" s="64">
        <v>30.77</v>
      </c>
      <c r="M85" s="64">
        <v>78.33</v>
      </c>
      <c r="N85" s="64">
        <v>39.9</v>
      </c>
      <c r="O85" s="64">
        <v>0</v>
      </c>
      <c r="P85" s="64">
        <v>0.69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48" t="s">
        <v>2050</v>
      </c>
      <c r="B86" s="64">
        <v>8.0399999999999991</v>
      </c>
      <c r="C86" s="64">
        <v>3.12</v>
      </c>
      <c r="D86" s="64">
        <v>11.85</v>
      </c>
      <c r="E86" s="64">
        <v>6.06</v>
      </c>
      <c r="F86" s="64">
        <v>4.1399999999999997</v>
      </c>
      <c r="G86" s="64">
        <v>109.93</v>
      </c>
      <c r="H86" s="212" t="s">
        <v>42</v>
      </c>
      <c r="I86" s="64">
        <v>5.44</v>
      </c>
      <c r="J86" s="64">
        <v>0.63</v>
      </c>
      <c r="K86" s="64">
        <v>338.91</v>
      </c>
      <c r="L86" s="64">
        <v>30.48</v>
      </c>
      <c r="M86" s="64">
        <v>80.11</v>
      </c>
      <c r="N86" s="64">
        <v>39.700000000000003</v>
      </c>
      <c r="O86" s="64">
        <v>0</v>
      </c>
      <c r="P86" s="64">
        <v>0.74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48" t="s">
        <v>2051</v>
      </c>
      <c r="B87" s="64">
        <v>7.98</v>
      </c>
      <c r="C87" s="64">
        <v>3.04</v>
      </c>
      <c r="D87" s="64">
        <v>11.77</v>
      </c>
      <c r="E87" s="64">
        <v>6.18</v>
      </c>
      <c r="F87" s="64">
        <v>4.93</v>
      </c>
      <c r="G87" s="64">
        <v>103.47</v>
      </c>
      <c r="H87" s="212" t="s">
        <v>42</v>
      </c>
      <c r="I87" s="64">
        <v>5.56</v>
      </c>
      <c r="J87" s="64">
        <v>0.43</v>
      </c>
      <c r="K87" s="64">
        <v>340.03</v>
      </c>
      <c r="L87" s="64">
        <v>30.42</v>
      </c>
      <c r="M87" s="64">
        <v>81.569999999999993</v>
      </c>
      <c r="N87" s="64">
        <v>39.799999999999997</v>
      </c>
      <c r="O87" s="64">
        <v>0</v>
      </c>
      <c r="P87" s="64">
        <v>0.78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48" t="s">
        <v>2052</v>
      </c>
      <c r="B88" s="64">
        <v>7.99</v>
      </c>
      <c r="C88" s="64">
        <v>3.07</v>
      </c>
      <c r="D88" s="64">
        <v>11.78</v>
      </c>
      <c r="E88" s="64">
        <v>4.1900000000000004</v>
      </c>
      <c r="F88" s="64">
        <v>2.81</v>
      </c>
      <c r="G88" s="64">
        <v>103.47</v>
      </c>
      <c r="H88" s="212" t="s">
        <v>42</v>
      </c>
      <c r="I88" s="64">
        <v>5.62</v>
      </c>
      <c r="J88" s="64">
        <v>0.17</v>
      </c>
      <c r="K88" s="64">
        <v>344.35</v>
      </c>
      <c r="L88" s="64">
        <v>30.16</v>
      </c>
      <c r="M88" s="64">
        <v>84.56</v>
      </c>
      <c r="N88" s="64">
        <v>40</v>
      </c>
      <c r="O88" s="64">
        <v>0</v>
      </c>
      <c r="P88" s="64">
        <v>0.83</v>
      </c>
      <c r="Q88" s="64">
        <v>9.33</v>
      </c>
      <c r="R88" s="198"/>
      <c r="S88" s="198"/>
      <c r="T88" s="198"/>
      <c r="U88" s="198"/>
    </row>
    <row r="89" spans="1:26" s="12" customFormat="1" x14ac:dyDescent="0.25">
      <c r="A89" s="248" t="s">
        <v>2053</v>
      </c>
      <c r="B89" s="64">
        <v>8.0500000000000007</v>
      </c>
      <c r="C89" s="64">
        <v>3.16</v>
      </c>
      <c r="D89" s="64">
        <v>11.88</v>
      </c>
      <c r="E89" s="64">
        <v>4.1900000000000004</v>
      </c>
      <c r="F89" s="64">
        <v>2.46</v>
      </c>
      <c r="G89" s="64">
        <v>103.47</v>
      </c>
      <c r="H89" s="212" t="s">
        <v>42</v>
      </c>
      <c r="I89" s="64">
        <v>5.6</v>
      </c>
      <c r="J89" s="64">
        <v>0.41</v>
      </c>
      <c r="K89" s="64">
        <v>327.96</v>
      </c>
      <c r="L89" s="64">
        <v>29.92</v>
      </c>
      <c r="M89" s="64">
        <v>88.49</v>
      </c>
      <c r="N89" s="64">
        <v>39.799999999999997</v>
      </c>
      <c r="O89" s="64">
        <v>0</v>
      </c>
      <c r="P89" s="64">
        <v>0.84</v>
      </c>
      <c r="Q89" s="64">
        <v>9.35</v>
      </c>
      <c r="R89" s="198"/>
      <c r="S89" s="198"/>
      <c r="T89" s="198"/>
      <c r="U89" s="198"/>
    </row>
    <row r="90" spans="1:26" s="12" customFormat="1" x14ac:dyDescent="0.25">
      <c r="A90" s="248" t="s">
        <v>2054</v>
      </c>
      <c r="B90" s="64">
        <v>8.0399999999999991</v>
      </c>
      <c r="C90" s="64">
        <v>3.13</v>
      </c>
      <c r="D90" s="64">
        <v>11.86</v>
      </c>
      <c r="E90" s="64">
        <v>4.09</v>
      </c>
      <c r="F90" s="64">
        <v>3.8</v>
      </c>
      <c r="G90" s="64">
        <v>105.01</v>
      </c>
      <c r="H90" s="212" t="s">
        <v>42</v>
      </c>
      <c r="I90" s="64">
        <v>5.64</v>
      </c>
      <c r="J90" s="64">
        <v>0.5</v>
      </c>
      <c r="K90" s="64">
        <v>320.70999999999998</v>
      </c>
      <c r="L90" s="64">
        <v>29.71</v>
      </c>
      <c r="M90" s="64">
        <v>90.42</v>
      </c>
      <c r="N90" s="64">
        <v>39.700000000000003</v>
      </c>
      <c r="O90" s="64">
        <v>0</v>
      </c>
      <c r="P90" s="64">
        <v>0.85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48" t="s">
        <v>2055</v>
      </c>
      <c r="B91" s="64">
        <v>8.0500000000000007</v>
      </c>
      <c r="C91" s="64">
        <v>3.17</v>
      </c>
      <c r="D91" s="64">
        <v>11.89</v>
      </c>
      <c r="E91" s="64">
        <v>4.34</v>
      </c>
      <c r="F91" s="64">
        <v>4.8099999999999996</v>
      </c>
      <c r="G91" s="64">
        <v>111.6</v>
      </c>
      <c r="H91" s="212" t="s">
        <v>42</v>
      </c>
      <c r="I91" s="64">
        <v>5.45</v>
      </c>
      <c r="J91" s="64">
        <v>1.57</v>
      </c>
      <c r="K91" s="64">
        <v>333.63</v>
      </c>
      <c r="L91" s="64">
        <v>29.5</v>
      </c>
      <c r="M91" s="64">
        <v>94.81</v>
      </c>
      <c r="N91" s="64">
        <v>40</v>
      </c>
      <c r="O91" s="64">
        <v>0</v>
      </c>
      <c r="P91" s="64">
        <v>0.85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48" t="s">
        <v>2056</v>
      </c>
      <c r="B92" s="64">
        <v>7.99</v>
      </c>
      <c r="C92" s="64">
        <v>3.09</v>
      </c>
      <c r="D92" s="64">
        <v>11.8</v>
      </c>
      <c r="E92" s="64">
        <v>4.67</v>
      </c>
      <c r="F92" s="64">
        <v>3.69</v>
      </c>
      <c r="G92" s="64">
        <v>111.6</v>
      </c>
      <c r="H92" s="212" t="s">
        <v>42</v>
      </c>
      <c r="I92" s="64">
        <v>5.36</v>
      </c>
      <c r="J92" s="64">
        <v>1.36</v>
      </c>
      <c r="K92" s="64">
        <v>334.26</v>
      </c>
      <c r="L92" s="64">
        <v>29.19</v>
      </c>
      <c r="M92" s="64">
        <v>95.57</v>
      </c>
      <c r="N92" s="64">
        <v>40.299999999999997</v>
      </c>
      <c r="O92" s="64">
        <v>0</v>
      </c>
      <c r="P92" s="64">
        <v>0.83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48" t="s">
        <v>2057</v>
      </c>
      <c r="B93" s="64">
        <v>8</v>
      </c>
      <c r="C93" s="64">
        <v>3.08</v>
      </c>
      <c r="D93" s="64">
        <v>11.8</v>
      </c>
      <c r="E93" s="64">
        <v>4.62</v>
      </c>
      <c r="F93" s="64">
        <v>2.31</v>
      </c>
      <c r="G93" s="64">
        <v>111.6</v>
      </c>
      <c r="H93" s="212" t="s">
        <v>42</v>
      </c>
      <c r="I93" s="64">
        <v>5.0999999999999996</v>
      </c>
      <c r="J93" s="64">
        <v>1.1000000000000001</v>
      </c>
      <c r="K93" s="64">
        <v>335.61</v>
      </c>
      <c r="L93" s="64">
        <v>28.89</v>
      </c>
      <c r="M93" s="64">
        <v>95.96</v>
      </c>
      <c r="N93" s="64">
        <v>39.9</v>
      </c>
      <c r="O93" s="64">
        <v>0</v>
      </c>
      <c r="P93" s="64">
        <v>0.8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48" t="s">
        <v>2058</v>
      </c>
      <c r="B94" s="64">
        <v>8.01</v>
      </c>
      <c r="C94" s="64">
        <v>3.1</v>
      </c>
      <c r="D94" s="64">
        <v>11.82</v>
      </c>
      <c r="E94" s="64">
        <v>4.08</v>
      </c>
      <c r="F94" s="64">
        <v>4.21</v>
      </c>
      <c r="G94" s="64">
        <v>108.92</v>
      </c>
      <c r="H94" s="212" t="s">
        <v>42</v>
      </c>
      <c r="I94" s="64">
        <v>4.76</v>
      </c>
      <c r="J94" s="64">
        <v>0.75</v>
      </c>
      <c r="K94" s="64">
        <v>329.97</v>
      </c>
      <c r="L94" s="64">
        <v>28.72</v>
      </c>
      <c r="M94" s="64">
        <v>96.94</v>
      </c>
      <c r="N94" s="64">
        <v>39.6</v>
      </c>
      <c r="O94" s="64">
        <v>0</v>
      </c>
      <c r="P94" s="64">
        <v>0.79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48" t="s">
        <v>2059</v>
      </c>
      <c r="B95" s="64">
        <v>8.01</v>
      </c>
      <c r="C95" s="64">
        <v>3.06</v>
      </c>
      <c r="D95" s="64">
        <v>11.8</v>
      </c>
      <c r="E95" s="64">
        <v>4.3600000000000003</v>
      </c>
      <c r="F95" s="64">
        <v>3.46</v>
      </c>
      <c r="G95" s="64">
        <v>98.19</v>
      </c>
      <c r="H95" s="212" t="s">
        <v>42</v>
      </c>
      <c r="I95" s="64">
        <v>4.43</v>
      </c>
      <c r="J95" s="64">
        <v>0.59</v>
      </c>
      <c r="K95" s="64">
        <v>322.23</v>
      </c>
      <c r="L95" s="64">
        <v>28.46</v>
      </c>
      <c r="M95" s="64">
        <v>97.3</v>
      </c>
      <c r="N95" s="64">
        <v>39.6</v>
      </c>
      <c r="O95" s="64">
        <v>0</v>
      </c>
      <c r="P95" s="64">
        <v>0.79</v>
      </c>
      <c r="Q95" s="64">
        <v>9.56</v>
      </c>
      <c r="R95" s="198"/>
      <c r="S95" s="198"/>
      <c r="T95" s="198"/>
      <c r="U95" s="198"/>
    </row>
    <row r="96" spans="1:26" s="12" customFormat="1" x14ac:dyDescent="0.25">
      <c r="A96" s="248" t="s">
        <v>2060</v>
      </c>
      <c r="B96" s="64">
        <v>8.0500000000000007</v>
      </c>
      <c r="C96" s="64">
        <v>3.11</v>
      </c>
      <c r="D96" s="64">
        <v>11.85</v>
      </c>
      <c r="E96" s="64">
        <v>4.33</v>
      </c>
      <c r="F96" s="64">
        <v>3.76</v>
      </c>
      <c r="G96" s="64">
        <v>98.19</v>
      </c>
      <c r="H96" s="212" t="s">
        <v>42</v>
      </c>
      <c r="I96" s="64">
        <v>4.37</v>
      </c>
      <c r="J96" s="64">
        <v>0.79</v>
      </c>
      <c r="K96" s="64">
        <v>341.7</v>
      </c>
      <c r="L96" s="64">
        <v>28.43</v>
      </c>
      <c r="M96" s="64">
        <v>95.82</v>
      </c>
      <c r="N96" s="64">
        <v>39.6</v>
      </c>
      <c r="O96" s="64">
        <v>0</v>
      </c>
      <c r="P96" s="64">
        <v>0.77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2061</v>
      </c>
      <c r="B97" s="64">
        <v>8.09</v>
      </c>
      <c r="C97" s="64">
        <v>3.19</v>
      </c>
      <c r="D97" s="64">
        <v>11.93</v>
      </c>
      <c r="E97" s="64">
        <v>4.33</v>
      </c>
      <c r="F97" s="64">
        <v>3.58</v>
      </c>
      <c r="G97" s="64">
        <v>98.19</v>
      </c>
      <c r="H97" s="212" t="s">
        <v>42</v>
      </c>
      <c r="I97" s="64">
        <v>4.22</v>
      </c>
      <c r="J97" s="64">
        <v>1.1399999999999999</v>
      </c>
      <c r="K97" s="64">
        <v>340.8</v>
      </c>
      <c r="L97" s="64">
        <v>28.36</v>
      </c>
      <c r="M97" s="64">
        <v>97.1</v>
      </c>
      <c r="N97" s="64">
        <v>39.6</v>
      </c>
      <c r="O97" s="64">
        <v>0</v>
      </c>
      <c r="P97" s="64">
        <v>0.77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48" t="s">
        <v>2062</v>
      </c>
      <c r="B98" s="64">
        <v>8.0500000000000007</v>
      </c>
      <c r="C98" s="64">
        <v>3.08</v>
      </c>
      <c r="D98" s="64">
        <v>11.84</v>
      </c>
      <c r="E98" s="64">
        <v>4.5</v>
      </c>
      <c r="F98" s="64">
        <v>3.4</v>
      </c>
      <c r="G98" s="64">
        <v>96.31</v>
      </c>
      <c r="H98" s="212" t="s">
        <v>42</v>
      </c>
      <c r="I98" s="64">
        <v>4.2</v>
      </c>
      <c r="J98" s="64">
        <v>0.6</v>
      </c>
      <c r="K98" s="64">
        <v>333.97</v>
      </c>
      <c r="L98" s="64">
        <v>28.23</v>
      </c>
      <c r="M98" s="64">
        <v>98.39</v>
      </c>
      <c r="N98" s="64">
        <v>39.700000000000003</v>
      </c>
      <c r="O98" s="64">
        <v>0</v>
      </c>
      <c r="P98" s="64">
        <v>0.77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48" t="s">
        <v>2063</v>
      </c>
      <c r="B99" s="64">
        <v>8.06</v>
      </c>
      <c r="C99" s="64">
        <v>3.09</v>
      </c>
      <c r="D99" s="64">
        <v>11.85</v>
      </c>
      <c r="E99" s="64">
        <v>4.33</v>
      </c>
      <c r="F99" s="64">
        <v>3.17</v>
      </c>
      <c r="G99" s="64">
        <v>88.8</v>
      </c>
      <c r="H99" s="212" t="s">
        <v>42</v>
      </c>
      <c r="I99" s="64">
        <v>4.24</v>
      </c>
      <c r="J99" s="64">
        <v>0.31</v>
      </c>
      <c r="K99" s="64">
        <v>312.79000000000002</v>
      </c>
      <c r="L99" s="64">
        <v>28.06</v>
      </c>
      <c r="M99" s="64">
        <v>99.4</v>
      </c>
      <c r="N99" s="64">
        <v>39.6</v>
      </c>
      <c r="O99" s="64">
        <v>0</v>
      </c>
      <c r="P99" s="64">
        <v>0.76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48" t="s">
        <v>2064</v>
      </c>
      <c r="B100" s="64">
        <v>8.1</v>
      </c>
      <c r="C100" s="64">
        <v>3.14</v>
      </c>
      <c r="D100" s="64">
        <v>11.91</v>
      </c>
      <c r="E100" s="64">
        <v>4.3</v>
      </c>
      <c r="F100" s="64">
        <v>3.42</v>
      </c>
      <c r="G100" s="64">
        <v>88.8</v>
      </c>
      <c r="H100" s="212" t="s">
        <v>42</v>
      </c>
      <c r="I100" s="64">
        <v>4.3099999999999996</v>
      </c>
      <c r="J100" s="64">
        <v>0.27</v>
      </c>
      <c r="K100" s="64">
        <v>320.43</v>
      </c>
      <c r="L100" s="64">
        <v>28</v>
      </c>
      <c r="M100" s="64">
        <v>99.42</v>
      </c>
      <c r="N100" s="64">
        <v>39.6</v>
      </c>
      <c r="O100" s="64">
        <v>0</v>
      </c>
      <c r="P100" s="64">
        <v>0.75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2065</v>
      </c>
      <c r="B101" s="64">
        <v>8.08</v>
      </c>
      <c r="C101" s="64">
        <v>3.11</v>
      </c>
      <c r="D101" s="64">
        <v>11.88</v>
      </c>
      <c r="E101" s="64">
        <v>4.55</v>
      </c>
      <c r="F101" s="64">
        <v>3.04</v>
      </c>
      <c r="G101" s="64">
        <v>88.8</v>
      </c>
      <c r="H101" s="212" t="s">
        <v>42</v>
      </c>
      <c r="I101" s="64">
        <v>4.3499999999999996</v>
      </c>
      <c r="J101" s="64">
        <v>0.23</v>
      </c>
      <c r="K101" s="64">
        <v>310.33</v>
      </c>
      <c r="L101" s="64">
        <v>27.94</v>
      </c>
      <c r="M101" s="64">
        <v>98.67</v>
      </c>
      <c r="N101" s="64">
        <v>39.700000000000003</v>
      </c>
      <c r="O101" s="64">
        <v>0</v>
      </c>
      <c r="P101" s="64">
        <v>0.74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48" t="s">
        <v>2066</v>
      </c>
      <c r="B102" s="64">
        <v>8.0399999999999991</v>
      </c>
      <c r="C102" s="64">
        <v>3.03</v>
      </c>
      <c r="D102" s="64">
        <v>11.81</v>
      </c>
      <c r="E102" s="64">
        <v>4.4400000000000004</v>
      </c>
      <c r="F102" s="64">
        <v>3.52</v>
      </c>
      <c r="G102" s="64">
        <v>85.35</v>
      </c>
      <c r="H102" s="212" t="s">
        <v>42</v>
      </c>
      <c r="I102" s="64">
        <v>4.3899999999999997</v>
      </c>
      <c r="J102" s="64">
        <v>0.1</v>
      </c>
      <c r="K102" s="64">
        <v>286.61</v>
      </c>
      <c r="L102" s="64">
        <v>28.02</v>
      </c>
      <c r="M102" s="64">
        <v>97.59</v>
      </c>
      <c r="N102" s="64">
        <v>39.6</v>
      </c>
      <c r="O102" s="64">
        <v>0</v>
      </c>
      <c r="P102" s="64">
        <v>0.73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48" t="s">
        <v>2067</v>
      </c>
      <c r="B103" s="64">
        <v>8.06</v>
      </c>
      <c r="C103" s="64">
        <v>3.09</v>
      </c>
      <c r="D103" s="64">
        <v>11.85</v>
      </c>
      <c r="E103" s="64">
        <v>4.41</v>
      </c>
      <c r="F103" s="64">
        <v>3.95</v>
      </c>
      <c r="G103" s="64">
        <v>71.56</v>
      </c>
      <c r="H103" s="212" t="s">
        <v>42</v>
      </c>
      <c r="I103" s="64">
        <v>4.46</v>
      </c>
      <c r="J103" s="64">
        <v>0.08</v>
      </c>
      <c r="K103" s="64">
        <v>343.07</v>
      </c>
      <c r="L103" s="64">
        <v>28.01</v>
      </c>
      <c r="M103" s="64">
        <v>99.44</v>
      </c>
      <c r="N103" s="64">
        <v>39.700000000000003</v>
      </c>
      <c r="O103" s="64">
        <v>0</v>
      </c>
      <c r="P103" s="64">
        <v>0.72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48" t="s">
        <v>2068</v>
      </c>
      <c r="B104" s="64">
        <v>8.02</v>
      </c>
      <c r="C104" s="64">
        <v>3.06</v>
      </c>
      <c r="D104" s="64">
        <v>11.8</v>
      </c>
      <c r="E104" s="64">
        <v>5.12</v>
      </c>
      <c r="F104" s="64">
        <v>4.3499999999999996</v>
      </c>
      <c r="G104" s="64">
        <v>71.56</v>
      </c>
      <c r="H104" s="212" t="s">
        <v>42</v>
      </c>
      <c r="I104" s="64">
        <v>4.51</v>
      </c>
      <c r="J104" s="64">
        <v>0.11</v>
      </c>
      <c r="K104" s="64">
        <v>5.87</v>
      </c>
      <c r="L104" s="64">
        <v>27.96</v>
      </c>
      <c r="M104" s="64">
        <v>101.3</v>
      </c>
      <c r="N104" s="64">
        <v>39.299999999999997</v>
      </c>
      <c r="O104" s="64">
        <v>0</v>
      </c>
      <c r="P104" s="64">
        <v>0.7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7.94</v>
      </c>
      <c r="C106" s="67">
        <f>MIN(C9:C104)</f>
        <v>2.97</v>
      </c>
      <c r="D106" s="67">
        <f t="shared" ref="D106:Q106" si="0">MIN(D9:D104)</f>
        <v>11.72</v>
      </c>
      <c r="E106" s="67">
        <f t="shared" si="0"/>
        <v>3.19</v>
      </c>
      <c r="F106" s="67">
        <f t="shared" si="0"/>
        <v>2.21</v>
      </c>
      <c r="G106" s="67">
        <f t="shared" si="0"/>
        <v>32.79</v>
      </c>
      <c r="H106" s="67">
        <f t="shared" si="0"/>
        <v>0</v>
      </c>
      <c r="I106" s="67">
        <f t="shared" si="0"/>
        <v>1.44</v>
      </c>
      <c r="J106" s="67">
        <f t="shared" si="0"/>
        <v>0.04</v>
      </c>
      <c r="K106" s="67">
        <f t="shared" si="0"/>
        <v>1.35</v>
      </c>
      <c r="L106" s="67">
        <f t="shared" si="0"/>
        <v>25.52</v>
      </c>
      <c r="M106" s="67">
        <f t="shared" si="0"/>
        <v>54.53</v>
      </c>
      <c r="N106" s="67">
        <f t="shared" si="0"/>
        <v>39.299999999999997</v>
      </c>
      <c r="O106" s="67">
        <f t="shared" si="0"/>
        <v>0</v>
      </c>
      <c r="P106" s="67">
        <f t="shared" si="0"/>
        <v>0.48</v>
      </c>
      <c r="Q106" s="67">
        <f t="shared" si="0"/>
        <v>8.4700000000000006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8.26</v>
      </c>
      <c r="C107" s="66">
        <f t="shared" ref="C107:Q107" si="1">MAX(C9:C104)</f>
        <v>3.47</v>
      </c>
      <c r="D107" s="66">
        <f t="shared" si="1"/>
        <v>12.21</v>
      </c>
      <c r="E107" s="66">
        <f t="shared" si="1"/>
        <v>10.82</v>
      </c>
      <c r="F107" s="66">
        <f t="shared" si="1"/>
        <v>23.83</v>
      </c>
      <c r="G107" s="66">
        <f t="shared" si="1"/>
        <v>183.32</v>
      </c>
      <c r="H107" s="66">
        <f t="shared" si="1"/>
        <v>0</v>
      </c>
      <c r="I107" s="66">
        <f t="shared" si="1"/>
        <v>7.67</v>
      </c>
      <c r="J107" s="66">
        <f t="shared" si="1"/>
        <v>1.57</v>
      </c>
      <c r="K107" s="66">
        <f t="shared" si="1"/>
        <v>346.13</v>
      </c>
      <c r="L107" s="66">
        <f t="shared" si="1"/>
        <v>37.840000000000003</v>
      </c>
      <c r="M107" s="66">
        <f t="shared" si="1"/>
        <v>103.51</v>
      </c>
      <c r="N107" s="66">
        <f t="shared" si="1"/>
        <v>972.5</v>
      </c>
      <c r="O107" s="66">
        <f t="shared" si="1"/>
        <v>0</v>
      </c>
      <c r="P107" s="66">
        <f t="shared" si="1"/>
        <v>1.0900000000000001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8.0217708333333331</v>
      </c>
      <c r="C108" s="67">
        <f t="shared" ref="C108:Q108" si="2">AVERAGE(C9:C104)</f>
        <v>3.0968749999999994</v>
      </c>
      <c r="D108" s="67">
        <f t="shared" si="2"/>
        <v>11.825208333333329</v>
      </c>
      <c r="E108" s="67">
        <f t="shared" si="2"/>
        <v>4.7320833333333345</v>
      </c>
      <c r="F108" s="67">
        <f t="shared" si="2"/>
        <v>4.5971874999999995</v>
      </c>
      <c r="G108" s="67">
        <f t="shared" si="2"/>
        <v>111.63790123456788</v>
      </c>
      <c r="H108" s="67" t="e">
        <f t="shared" si="2"/>
        <v>#DIV/0!</v>
      </c>
      <c r="I108" s="67">
        <f t="shared" si="2"/>
        <v>5.4032291666666667</v>
      </c>
      <c r="J108" s="67">
        <f t="shared" si="2"/>
        <v>0.45812499999999989</v>
      </c>
      <c r="K108" s="67">
        <f t="shared" si="2"/>
        <v>249.83135416666661</v>
      </c>
      <c r="L108" s="67">
        <f t="shared" si="2"/>
        <v>30.275312499999998</v>
      </c>
      <c r="M108" s="67">
        <f t="shared" si="2"/>
        <v>84.309687499999981</v>
      </c>
      <c r="N108" s="67">
        <f t="shared" si="2"/>
        <v>235.06562499999993</v>
      </c>
      <c r="O108" s="67">
        <f t="shared" si="2"/>
        <v>0</v>
      </c>
      <c r="P108" s="67">
        <f t="shared" si="2"/>
        <v>0.74447916666666625</v>
      </c>
      <c r="Q108" s="67">
        <f t="shared" si="2"/>
        <v>9.5155208333333334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5.5345703806389139E-2</v>
      </c>
      <c r="C109" s="67">
        <f t="shared" ref="C109:Q109" si="3">STDEV(C9:C104)</f>
        <v>8.0293048791352586E-2</v>
      </c>
      <c r="D109" s="67">
        <f t="shared" si="3"/>
        <v>7.9881216640270425E-2</v>
      </c>
      <c r="E109" s="67">
        <f t="shared" si="3"/>
        <v>0.8799353046394166</v>
      </c>
      <c r="F109" s="67">
        <f t="shared" si="3"/>
        <v>3.2105269949848299</v>
      </c>
      <c r="G109" s="67">
        <f t="shared" si="3"/>
        <v>33.794347075955272</v>
      </c>
      <c r="H109" s="67" t="e">
        <f t="shared" si="3"/>
        <v>#DIV/0!</v>
      </c>
      <c r="I109" s="67">
        <f t="shared" si="3"/>
        <v>1.8359368724336329</v>
      </c>
      <c r="J109" s="67">
        <f t="shared" si="3"/>
        <v>0.33237364041407563</v>
      </c>
      <c r="K109" s="67">
        <f t="shared" si="3"/>
        <v>119.36951954789085</v>
      </c>
      <c r="L109" s="67">
        <f t="shared" si="3"/>
        <v>3.8532419578228247</v>
      </c>
      <c r="M109" s="67">
        <f t="shared" si="3"/>
        <v>17.593679753529166</v>
      </c>
      <c r="N109" s="67">
        <f t="shared" si="3"/>
        <v>274.88760682298584</v>
      </c>
      <c r="O109" s="67">
        <f t="shared" si="3"/>
        <v>0</v>
      </c>
      <c r="P109" s="67">
        <f t="shared" si="3"/>
        <v>0.14196270667932473</v>
      </c>
      <c r="Q109" s="67">
        <f t="shared" si="3"/>
        <v>0.19443775782153694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COUNT(H9:H104)+96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2069</v>
      </c>
      <c r="B9" s="64">
        <v>8.01</v>
      </c>
      <c r="C9" s="64">
        <v>3.11</v>
      </c>
      <c r="D9" s="64">
        <v>11.82</v>
      </c>
      <c r="E9" s="64">
        <v>5.09</v>
      </c>
      <c r="F9" s="64">
        <v>2.64</v>
      </c>
      <c r="G9" s="64">
        <v>71.56</v>
      </c>
      <c r="H9" s="209" t="s">
        <v>36</v>
      </c>
      <c r="I9" s="64">
        <v>4.49</v>
      </c>
      <c r="J9" s="64">
        <v>0.14000000000000001</v>
      </c>
      <c r="K9" s="64">
        <v>327.01</v>
      </c>
      <c r="L9" s="64">
        <v>27.93</v>
      </c>
      <c r="M9" s="64">
        <v>103.03</v>
      </c>
      <c r="N9" s="64">
        <v>39.799999999999997</v>
      </c>
      <c r="O9" s="64">
        <v>0</v>
      </c>
      <c r="P9" s="64">
        <v>0.68</v>
      </c>
      <c r="Q9" s="64">
        <v>9.52</v>
      </c>
      <c r="R9" s="198"/>
      <c r="S9" s="198"/>
      <c r="T9" s="198"/>
      <c r="U9" s="198"/>
    </row>
    <row r="10" spans="1:21" s="12" customFormat="1" x14ac:dyDescent="0.25">
      <c r="A10" s="248" t="s">
        <v>2070</v>
      </c>
      <c r="B10" s="64">
        <v>8</v>
      </c>
      <c r="C10" s="64">
        <v>3.04</v>
      </c>
      <c r="D10" s="64">
        <v>11.77</v>
      </c>
      <c r="E10" s="64">
        <v>5.39</v>
      </c>
      <c r="F10" s="64">
        <v>3.63</v>
      </c>
      <c r="G10" s="64">
        <v>70.52</v>
      </c>
      <c r="H10" s="209" t="s">
        <v>36</v>
      </c>
      <c r="I10" s="64">
        <v>4.46</v>
      </c>
      <c r="J10" s="64">
        <v>0.15</v>
      </c>
      <c r="K10" s="64">
        <v>342.86</v>
      </c>
      <c r="L10" s="64">
        <v>27.9</v>
      </c>
      <c r="M10" s="64">
        <v>103.12</v>
      </c>
      <c r="N10" s="64">
        <v>39.700000000000003</v>
      </c>
      <c r="O10" s="64">
        <v>0</v>
      </c>
      <c r="P10" s="64">
        <v>0.65</v>
      </c>
      <c r="Q10" s="64">
        <v>9.5500000000000007</v>
      </c>
      <c r="R10" s="198"/>
      <c r="S10" s="198"/>
      <c r="T10" s="198"/>
      <c r="U10" s="198"/>
    </row>
    <row r="11" spans="1:21" s="12" customFormat="1" x14ac:dyDescent="0.25">
      <c r="A11" s="248" t="s">
        <v>2071</v>
      </c>
      <c r="B11" s="64">
        <v>8.02</v>
      </c>
      <c r="C11" s="64">
        <v>3.06</v>
      </c>
      <c r="D11" s="64">
        <v>11.8</v>
      </c>
      <c r="E11" s="64">
        <v>5.0199999999999996</v>
      </c>
      <c r="F11" s="64">
        <v>4.72</v>
      </c>
      <c r="G11" s="64">
        <v>66.349999999999994</v>
      </c>
      <c r="H11" s="209" t="s">
        <v>36</v>
      </c>
      <c r="I11" s="64">
        <v>4.3600000000000003</v>
      </c>
      <c r="J11" s="64">
        <v>0.17</v>
      </c>
      <c r="K11" s="64">
        <v>352.95</v>
      </c>
      <c r="L11" s="64">
        <v>27.93</v>
      </c>
      <c r="M11" s="64">
        <v>103.11</v>
      </c>
      <c r="N11" s="64">
        <v>39.6</v>
      </c>
      <c r="O11" s="64">
        <v>0</v>
      </c>
      <c r="P11" s="64">
        <v>0.64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48" t="s">
        <v>2072</v>
      </c>
      <c r="B12" s="64">
        <v>7.97</v>
      </c>
      <c r="C12" s="64">
        <v>2.99</v>
      </c>
      <c r="D12" s="64">
        <v>11.72</v>
      </c>
      <c r="E12" s="64">
        <v>5.0599999999999996</v>
      </c>
      <c r="F12" s="64">
        <v>2.86</v>
      </c>
      <c r="G12" s="64">
        <v>66.349999999999994</v>
      </c>
      <c r="H12" s="209" t="s">
        <v>36</v>
      </c>
      <c r="I12" s="64">
        <v>4.3</v>
      </c>
      <c r="J12" s="64">
        <v>0.28999999999999998</v>
      </c>
      <c r="K12" s="64">
        <v>350.17</v>
      </c>
      <c r="L12" s="64">
        <v>27.88</v>
      </c>
      <c r="M12" s="64">
        <v>103.06</v>
      </c>
      <c r="N12" s="64">
        <v>39.6</v>
      </c>
      <c r="O12" s="64">
        <v>0</v>
      </c>
      <c r="P12" s="64">
        <v>0.61</v>
      </c>
      <c r="Q12" s="64">
        <v>9.4499999999999993</v>
      </c>
      <c r="R12" s="198"/>
      <c r="S12" s="198"/>
      <c r="T12" s="198"/>
      <c r="U12" s="198"/>
    </row>
    <row r="13" spans="1:21" s="12" customFormat="1" x14ac:dyDescent="0.25">
      <c r="A13" s="248" t="s">
        <v>2073</v>
      </c>
      <c r="B13" s="64">
        <v>7.95</v>
      </c>
      <c r="C13" s="64">
        <v>2.96</v>
      </c>
      <c r="D13" s="64">
        <v>11.7</v>
      </c>
      <c r="E13" s="64">
        <v>4.6900000000000004</v>
      </c>
      <c r="F13" s="64">
        <v>3.05</v>
      </c>
      <c r="G13" s="64">
        <v>66.349999999999994</v>
      </c>
      <c r="H13" s="209" t="s">
        <v>36</v>
      </c>
      <c r="I13" s="64">
        <v>4.1399999999999997</v>
      </c>
      <c r="J13" s="64">
        <v>0.24</v>
      </c>
      <c r="K13" s="64">
        <v>13.37</v>
      </c>
      <c r="L13" s="64">
        <v>27.87</v>
      </c>
      <c r="M13" s="64">
        <v>103.15</v>
      </c>
      <c r="N13" s="64">
        <v>39.6</v>
      </c>
      <c r="O13" s="64">
        <v>0</v>
      </c>
      <c r="P13" s="64">
        <v>0.54</v>
      </c>
      <c r="Q13" s="64">
        <v>9.4499999999999993</v>
      </c>
      <c r="R13" s="198"/>
      <c r="S13" s="198"/>
      <c r="T13" s="198"/>
      <c r="U13" s="198"/>
    </row>
    <row r="14" spans="1:21" s="12" customFormat="1" x14ac:dyDescent="0.25">
      <c r="A14" s="248" t="s">
        <v>2074</v>
      </c>
      <c r="B14" s="64">
        <v>8.0299999999999994</v>
      </c>
      <c r="C14" s="64">
        <v>3.02</v>
      </c>
      <c r="D14" s="64">
        <v>11.79</v>
      </c>
      <c r="E14" s="64">
        <v>4.96</v>
      </c>
      <c r="F14" s="64">
        <v>4.63</v>
      </c>
      <c r="G14" s="64">
        <v>63.01</v>
      </c>
      <c r="H14" s="209" t="s">
        <v>36</v>
      </c>
      <c r="I14" s="64">
        <v>3.86</v>
      </c>
      <c r="J14" s="64">
        <v>0.23</v>
      </c>
      <c r="K14" s="64">
        <v>1.59</v>
      </c>
      <c r="L14" s="64">
        <v>27.86</v>
      </c>
      <c r="M14" s="64">
        <v>103.03</v>
      </c>
      <c r="N14" s="64">
        <v>39.6</v>
      </c>
      <c r="O14" s="64">
        <v>0</v>
      </c>
      <c r="P14" s="64">
        <v>0.55000000000000004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48" t="s">
        <v>2075</v>
      </c>
      <c r="B15" s="64">
        <v>8</v>
      </c>
      <c r="C15" s="64">
        <v>3.03</v>
      </c>
      <c r="D15" s="64">
        <v>11.77</v>
      </c>
      <c r="E15" s="64">
        <v>4.7699999999999996</v>
      </c>
      <c r="F15" s="64">
        <v>2.2599999999999998</v>
      </c>
      <c r="G15" s="64">
        <v>49.65</v>
      </c>
      <c r="H15" s="209" t="s">
        <v>36</v>
      </c>
      <c r="I15" s="64">
        <v>3.56</v>
      </c>
      <c r="J15" s="64">
        <v>0.24</v>
      </c>
      <c r="K15" s="64">
        <v>349.98</v>
      </c>
      <c r="L15" s="64">
        <v>27.82</v>
      </c>
      <c r="M15" s="64">
        <v>102.84</v>
      </c>
      <c r="N15" s="64">
        <v>39.6</v>
      </c>
      <c r="O15" s="64">
        <v>0</v>
      </c>
      <c r="P15" s="64">
        <v>0.52</v>
      </c>
      <c r="Q15" s="64">
        <v>9.44</v>
      </c>
      <c r="R15" s="198"/>
      <c r="S15" s="198"/>
      <c r="T15" s="198"/>
      <c r="U15" s="198"/>
    </row>
    <row r="16" spans="1:21" s="12" customFormat="1" x14ac:dyDescent="0.25">
      <c r="A16" s="248" t="s">
        <v>2076</v>
      </c>
      <c r="B16" s="64">
        <v>7.99</v>
      </c>
      <c r="C16" s="64">
        <v>3.02</v>
      </c>
      <c r="D16" s="64">
        <v>11.75</v>
      </c>
      <c r="E16" s="64">
        <v>4.49</v>
      </c>
      <c r="F16" s="64">
        <v>3.85</v>
      </c>
      <c r="G16" s="64">
        <v>49.65</v>
      </c>
      <c r="H16" s="209" t="s">
        <v>36</v>
      </c>
      <c r="I16" s="64">
        <v>3.49</v>
      </c>
      <c r="J16" s="64">
        <v>0.26</v>
      </c>
      <c r="K16" s="64">
        <v>350.45</v>
      </c>
      <c r="L16" s="64">
        <v>27.84</v>
      </c>
      <c r="M16" s="64">
        <v>102.84</v>
      </c>
      <c r="N16" s="64">
        <v>39.6</v>
      </c>
      <c r="O16" s="64">
        <v>0</v>
      </c>
      <c r="P16" s="64">
        <v>0.5</v>
      </c>
      <c r="Q16" s="64">
        <v>9.4</v>
      </c>
      <c r="R16" s="198"/>
      <c r="S16" s="198"/>
      <c r="T16" s="198"/>
      <c r="U16" s="198"/>
    </row>
    <row r="17" spans="1:21" s="12" customFormat="1" x14ac:dyDescent="0.25">
      <c r="A17" s="248" t="s">
        <v>2077</v>
      </c>
      <c r="B17" s="64">
        <v>7.99</v>
      </c>
      <c r="C17" s="64">
        <v>2.99</v>
      </c>
      <c r="D17" s="64">
        <v>11.74</v>
      </c>
      <c r="E17" s="64">
        <v>4.42</v>
      </c>
      <c r="F17" s="64">
        <v>4.12</v>
      </c>
      <c r="G17" s="64">
        <v>49.65</v>
      </c>
      <c r="H17" s="209" t="s">
        <v>36</v>
      </c>
      <c r="I17" s="64">
        <v>3.21</v>
      </c>
      <c r="J17" s="64">
        <v>0.28000000000000003</v>
      </c>
      <c r="K17" s="64">
        <v>357.57</v>
      </c>
      <c r="L17" s="64">
        <v>27.73</v>
      </c>
      <c r="M17" s="64">
        <v>102.97</v>
      </c>
      <c r="N17" s="64">
        <v>39.6</v>
      </c>
      <c r="O17" s="64">
        <v>0</v>
      </c>
      <c r="P17" s="64">
        <v>0.46</v>
      </c>
      <c r="Q17" s="64">
        <v>9.4</v>
      </c>
      <c r="R17" s="198"/>
      <c r="S17" s="198"/>
      <c r="T17" s="198"/>
      <c r="U17" s="198"/>
    </row>
    <row r="18" spans="1:21" s="12" customFormat="1" x14ac:dyDescent="0.25">
      <c r="A18" s="248" t="s">
        <v>2078</v>
      </c>
      <c r="B18" s="64">
        <v>7.98</v>
      </c>
      <c r="C18" s="64">
        <v>2.95</v>
      </c>
      <c r="D18" s="64">
        <v>11.72</v>
      </c>
      <c r="E18" s="64">
        <v>4.83</v>
      </c>
      <c r="F18" s="64">
        <v>3.66</v>
      </c>
      <c r="G18" s="64">
        <v>48.21</v>
      </c>
      <c r="H18" s="209" t="s">
        <v>36</v>
      </c>
      <c r="I18" s="64">
        <v>2.9</v>
      </c>
      <c r="J18" s="64">
        <v>0.23</v>
      </c>
      <c r="K18" s="64">
        <v>356.51</v>
      </c>
      <c r="L18" s="64">
        <v>27.67</v>
      </c>
      <c r="M18" s="64">
        <v>103.01</v>
      </c>
      <c r="N18" s="64">
        <v>39.6</v>
      </c>
      <c r="O18" s="64">
        <v>0</v>
      </c>
      <c r="P18" s="64">
        <v>0.45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48" t="s">
        <v>2079</v>
      </c>
      <c r="B19" s="64">
        <v>7.98</v>
      </c>
      <c r="C19" s="64">
        <v>2.94</v>
      </c>
      <c r="D19" s="64">
        <v>11.71</v>
      </c>
      <c r="E19" s="64">
        <v>4.5999999999999996</v>
      </c>
      <c r="F19" s="64">
        <v>3.59</v>
      </c>
      <c r="G19" s="64">
        <v>42.48</v>
      </c>
      <c r="H19" s="209" t="s">
        <v>36</v>
      </c>
      <c r="I19" s="64">
        <v>2.64</v>
      </c>
      <c r="J19" s="64">
        <v>0.18</v>
      </c>
      <c r="K19" s="64">
        <v>352.13</v>
      </c>
      <c r="L19" s="64">
        <v>27.6</v>
      </c>
      <c r="M19" s="64">
        <v>103.01</v>
      </c>
      <c r="N19" s="64">
        <v>39.700000000000003</v>
      </c>
      <c r="O19" s="64">
        <v>0</v>
      </c>
      <c r="P19" s="64">
        <v>0.43</v>
      </c>
      <c r="Q19" s="64">
        <v>9.34</v>
      </c>
      <c r="R19" s="198"/>
      <c r="S19" s="198"/>
      <c r="T19" s="198"/>
      <c r="U19" s="198"/>
    </row>
    <row r="20" spans="1:21" s="12" customFormat="1" x14ac:dyDescent="0.25">
      <c r="A20" s="248" t="s">
        <v>2080</v>
      </c>
      <c r="B20" s="64">
        <v>7.99</v>
      </c>
      <c r="C20" s="64">
        <v>2.95</v>
      </c>
      <c r="D20" s="64">
        <v>11.73</v>
      </c>
      <c r="E20" s="64">
        <v>4.5199999999999996</v>
      </c>
      <c r="F20" s="64">
        <v>3.67</v>
      </c>
      <c r="G20" s="64">
        <v>42.48</v>
      </c>
      <c r="H20" s="209" t="s">
        <v>36</v>
      </c>
      <c r="I20" s="64">
        <v>2.5099999999999998</v>
      </c>
      <c r="J20" s="64">
        <v>0.22</v>
      </c>
      <c r="K20" s="64">
        <v>351.93</v>
      </c>
      <c r="L20" s="64">
        <v>27.45</v>
      </c>
      <c r="M20" s="64">
        <v>102.9</v>
      </c>
      <c r="N20" s="64">
        <v>39.799999999999997</v>
      </c>
      <c r="O20" s="64">
        <v>0</v>
      </c>
      <c r="P20" s="64">
        <v>0.41</v>
      </c>
      <c r="Q20" s="64">
        <v>9.34</v>
      </c>
      <c r="R20" s="198"/>
      <c r="S20" s="198"/>
      <c r="T20" s="198"/>
      <c r="U20" s="198"/>
    </row>
    <row r="21" spans="1:21" s="12" customFormat="1" x14ac:dyDescent="0.25">
      <c r="A21" s="248" t="s">
        <v>2081</v>
      </c>
      <c r="B21" s="64">
        <v>8.01</v>
      </c>
      <c r="C21" s="64">
        <v>2.93</v>
      </c>
      <c r="D21" s="64">
        <v>11.73</v>
      </c>
      <c r="E21" s="64">
        <v>4.71</v>
      </c>
      <c r="F21" s="64">
        <v>3.7</v>
      </c>
      <c r="G21" s="64">
        <v>42.48</v>
      </c>
      <c r="H21" s="209" t="s">
        <v>36</v>
      </c>
      <c r="I21" s="64">
        <v>2.4900000000000002</v>
      </c>
      <c r="J21" s="64">
        <v>0.18</v>
      </c>
      <c r="K21" s="64">
        <v>333.28</v>
      </c>
      <c r="L21" s="64">
        <v>27.43</v>
      </c>
      <c r="M21" s="64">
        <v>102.87</v>
      </c>
      <c r="N21" s="64">
        <v>39.9</v>
      </c>
      <c r="O21" s="64">
        <v>0</v>
      </c>
      <c r="P21" s="64">
        <v>0.39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48" t="s">
        <v>2082</v>
      </c>
      <c r="B22" s="64">
        <v>7.98</v>
      </c>
      <c r="C22" s="64">
        <v>2.97</v>
      </c>
      <c r="D22" s="64">
        <v>11.73</v>
      </c>
      <c r="E22" s="64">
        <v>4.76</v>
      </c>
      <c r="F22" s="64">
        <v>3.85</v>
      </c>
      <c r="G22" s="64">
        <v>41.13</v>
      </c>
      <c r="H22" s="209" t="s">
        <v>36</v>
      </c>
      <c r="I22" s="64">
        <v>2.4900000000000002</v>
      </c>
      <c r="J22" s="64">
        <v>0.2</v>
      </c>
      <c r="K22" s="64">
        <v>342.8</v>
      </c>
      <c r="L22" s="64">
        <v>27.39</v>
      </c>
      <c r="M22" s="64">
        <v>102.81</v>
      </c>
      <c r="N22" s="64">
        <v>39.799999999999997</v>
      </c>
      <c r="O22" s="64">
        <v>0</v>
      </c>
      <c r="P22" s="64">
        <v>0.38</v>
      </c>
      <c r="Q22" s="64">
        <v>9.2899999999999991</v>
      </c>
      <c r="R22" s="198"/>
      <c r="S22" s="198"/>
      <c r="T22" s="198"/>
      <c r="U22" s="198"/>
    </row>
    <row r="23" spans="1:21" s="12" customFormat="1" x14ac:dyDescent="0.25">
      <c r="A23" s="248" t="s">
        <v>2083</v>
      </c>
      <c r="B23" s="64">
        <v>8</v>
      </c>
      <c r="C23" s="64">
        <v>2.94</v>
      </c>
      <c r="D23" s="64">
        <v>11.73</v>
      </c>
      <c r="E23" s="64">
        <v>4.83</v>
      </c>
      <c r="F23" s="64">
        <v>4.28</v>
      </c>
      <c r="G23" s="64">
        <v>35.74</v>
      </c>
      <c r="H23" s="209" t="s">
        <v>36</v>
      </c>
      <c r="I23" s="64">
        <v>2.38</v>
      </c>
      <c r="J23" s="64">
        <v>0.19</v>
      </c>
      <c r="K23" s="64">
        <v>336.99</v>
      </c>
      <c r="L23" s="64">
        <v>27.33</v>
      </c>
      <c r="M23" s="64">
        <v>102.8</v>
      </c>
      <c r="N23" s="64">
        <v>39.700000000000003</v>
      </c>
      <c r="O23" s="64">
        <v>0</v>
      </c>
      <c r="P23" s="64">
        <v>0.36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48" t="s">
        <v>2084</v>
      </c>
      <c r="B24" s="64">
        <v>7.96</v>
      </c>
      <c r="C24" s="64">
        <v>2.96</v>
      </c>
      <c r="D24" s="64">
        <v>11.7</v>
      </c>
      <c r="E24" s="64">
        <v>4.1399999999999997</v>
      </c>
      <c r="F24" s="64">
        <v>5.26</v>
      </c>
      <c r="G24" s="64">
        <v>35.74</v>
      </c>
      <c r="H24" s="209" t="s">
        <v>36</v>
      </c>
      <c r="I24" s="64">
        <v>2.0699999999999998</v>
      </c>
      <c r="J24" s="64">
        <v>0.18</v>
      </c>
      <c r="K24" s="64">
        <v>333.93</v>
      </c>
      <c r="L24" s="64">
        <v>27.12</v>
      </c>
      <c r="M24" s="64">
        <v>102.82</v>
      </c>
      <c r="N24" s="64">
        <v>40</v>
      </c>
      <c r="O24" s="64">
        <v>0</v>
      </c>
      <c r="P24" s="64">
        <v>0.36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48" t="s">
        <v>2085</v>
      </c>
      <c r="B25" s="64">
        <v>7.93</v>
      </c>
      <c r="C25" s="64">
        <v>2.98</v>
      </c>
      <c r="D25" s="64">
        <v>11.69</v>
      </c>
      <c r="E25" s="64">
        <v>5.43</v>
      </c>
      <c r="F25" s="64">
        <v>5.76</v>
      </c>
      <c r="G25" s="64">
        <v>35.74</v>
      </c>
      <c r="H25" s="209" t="s">
        <v>36</v>
      </c>
      <c r="I25" s="64">
        <v>1.98</v>
      </c>
      <c r="J25" s="64">
        <v>0.08</v>
      </c>
      <c r="K25" s="64">
        <v>340.59</v>
      </c>
      <c r="L25" s="64">
        <v>27.04</v>
      </c>
      <c r="M25" s="64">
        <v>102.8</v>
      </c>
      <c r="N25" s="64">
        <v>29.8</v>
      </c>
      <c r="O25" s="64">
        <v>0</v>
      </c>
      <c r="P25" s="64">
        <v>0.35</v>
      </c>
      <c r="Q25" s="64">
        <v>9.15</v>
      </c>
      <c r="R25" s="198"/>
      <c r="S25" s="198"/>
      <c r="T25" s="198"/>
      <c r="U25" s="198"/>
    </row>
    <row r="26" spans="1:21" s="12" customFormat="1" x14ac:dyDescent="0.25">
      <c r="A26" s="248" t="s">
        <v>2086</v>
      </c>
      <c r="B26" s="64">
        <v>7.94</v>
      </c>
      <c r="C26" s="64">
        <v>2.98</v>
      </c>
      <c r="D26" s="64">
        <v>11.7</v>
      </c>
      <c r="E26" s="64">
        <v>5.92</v>
      </c>
      <c r="F26" s="64">
        <v>2.46</v>
      </c>
      <c r="G26" s="64">
        <v>34.93</v>
      </c>
      <c r="H26" s="209" t="s">
        <v>36</v>
      </c>
      <c r="I26" s="64">
        <v>1.98</v>
      </c>
      <c r="J26" s="64">
        <v>0.18</v>
      </c>
      <c r="K26" s="64">
        <v>355.62</v>
      </c>
      <c r="L26" s="64">
        <v>27</v>
      </c>
      <c r="M26" s="64">
        <v>102.82</v>
      </c>
      <c r="N26" s="64">
        <v>0</v>
      </c>
      <c r="O26" s="64">
        <v>0</v>
      </c>
      <c r="P26" s="64">
        <v>0.34</v>
      </c>
      <c r="Q26" s="64">
        <v>9.06</v>
      </c>
      <c r="R26" s="198"/>
      <c r="S26" s="198"/>
      <c r="T26" s="198"/>
      <c r="U26" s="198"/>
    </row>
    <row r="27" spans="1:21" s="12" customFormat="1" x14ac:dyDescent="0.25">
      <c r="A27" s="248" t="s">
        <v>2087</v>
      </c>
      <c r="B27" s="64">
        <v>7.95</v>
      </c>
      <c r="C27" s="64">
        <v>2.99</v>
      </c>
      <c r="D27" s="64">
        <v>11.71</v>
      </c>
      <c r="E27" s="64">
        <v>5.43</v>
      </c>
      <c r="F27" s="64">
        <v>3.38</v>
      </c>
      <c r="G27" s="64">
        <v>31.66</v>
      </c>
      <c r="H27" s="209" t="s">
        <v>36</v>
      </c>
      <c r="I27" s="64">
        <v>1.98</v>
      </c>
      <c r="J27" s="64">
        <v>0.18</v>
      </c>
      <c r="K27" s="64">
        <v>307.04000000000002</v>
      </c>
      <c r="L27" s="64">
        <v>26.98</v>
      </c>
      <c r="M27" s="64">
        <v>102.85</v>
      </c>
      <c r="N27" s="64">
        <v>0</v>
      </c>
      <c r="O27" s="64">
        <v>0</v>
      </c>
      <c r="P27" s="64">
        <v>0.33</v>
      </c>
      <c r="Q27" s="64">
        <v>9.1</v>
      </c>
      <c r="R27" s="198"/>
      <c r="S27" s="198"/>
      <c r="T27" s="198"/>
      <c r="U27" s="198"/>
    </row>
    <row r="28" spans="1:21" s="12" customFormat="1" x14ac:dyDescent="0.25">
      <c r="A28" s="248" t="s">
        <v>2088</v>
      </c>
      <c r="B28" s="64">
        <v>7.95</v>
      </c>
      <c r="C28" s="64">
        <v>2.95</v>
      </c>
      <c r="D28" s="64">
        <v>11.69</v>
      </c>
      <c r="E28" s="64">
        <v>5.44</v>
      </c>
      <c r="F28" s="64">
        <v>3.55</v>
      </c>
      <c r="G28" s="64">
        <v>31.66</v>
      </c>
      <c r="H28" s="209" t="s">
        <v>36</v>
      </c>
      <c r="I28" s="64">
        <v>1.93</v>
      </c>
      <c r="J28" s="64">
        <v>0.12</v>
      </c>
      <c r="K28" s="64">
        <v>311.17</v>
      </c>
      <c r="L28" s="64">
        <v>26.92</v>
      </c>
      <c r="M28" s="64">
        <v>102.86</v>
      </c>
      <c r="N28" s="64">
        <v>0</v>
      </c>
      <c r="O28" s="64">
        <v>0</v>
      </c>
      <c r="P28" s="64">
        <v>0.32</v>
      </c>
      <c r="Q28" s="64">
        <v>9.16</v>
      </c>
      <c r="R28" s="198"/>
      <c r="S28" s="198"/>
      <c r="T28" s="198"/>
      <c r="U28" s="198"/>
    </row>
    <row r="29" spans="1:21" s="12" customFormat="1" x14ac:dyDescent="0.25">
      <c r="A29" s="248" t="s">
        <v>2089</v>
      </c>
      <c r="B29" s="64">
        <v>7.96</v>
      </c>
      <c r="C29" s="64">
        <v>2.95</v>
      </c>
      <c r="D29" s="64">
        <v>11.7</v>
      </c>
      <c r="E29" s="64">
        <v>5.21</v>
      </c>
      <c r="F29" s="64">
        <v>4.16</v>
      </c>
      <c r="G29" s="64">
        <v>31.66</v>
      </c>
      <c r="H29" s="209" t="s">
        <v>36</v>
      </c>
      <c r="I29" s="64">
        <v>1.88</v>
      </c>
      <c r="J29" s="64">
        <v>0.1</v>
      </c>
      <c r="K29" s="64">
        <v>310.52</v>
      </c>
      <c r="L29" s="64">
        <v>26.84</v>
      </c>
      <c r="M29" s="64">
        <v>102.82</v>
      </c>
      <c r="N29" s="64">
        <v>0</v>
      </c>
      <c r="O29" s="64">
        <v>0</v>
      </c>
      <c r="P29" s="64">
        <v>0.31</v>
      </c>
      <c r="Q29" s="64">
        <v>9.2100000000000009</v>
      </c>
      <c r="R29" s="198"/>
      <c r="S29" s="198"/>
      <c r="T29" s="198"/>
      <c r="U29" s="198"/>
    </row>
    <row r="30" spans="1:21" s="12" customFormat="1" x14ac:dyDescent="0.25">
      <c r="A30" s="248" t="s">
        <v>2090</v>
      </c>
      <c r="B30" s="64">
        <v>7.97</v>
      </c>
      <c r="C30" s="64">
        <v>2.93</v>
      </c>
      <c r="D30" s="64">
        <v>11.7</v>
      </c>
      <c r="E30" s="64">
        <v>5.15</v>
      </c>
      <c r="F30" s="64">
        <v>3.93</v>
      </c>
      <c r="G30" s="64">
        <v>31.91</v>
      </c>
      <c r="H30" s="209" t="s">
        <v>36</v>
      </c>
      <c r="I30" s="64">
        <v>1.9</v>
      </c>
      <c r="J30" s="64">
        <v>0.11</v>
      </c>
      <c r="K30" s="64">
        <v>325.51</v>
      </c>
      <c r="L30" s="64">
        <v>26.78</v>
      </c>
      <c r="M30" s="64">
        <v>102.81</v>
      </c>
      <c r="N30" s="64">
        <v>0</v>
      </c>
      <c r="O30" s="64">
        <v>0</v>
      </c>
      <c r="P30" s="64">
        <v>0.31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48" t="s">
        <v>2091</v>
      </c>
      <c r="B31" s="64">
        <v>7.96</v>
      </c>
      <c r="C31" s="64">
        <v>3</v>
      </c>
      <c r="D31" s="64">
        <v>11.73</v>
      </c>
      <c r="E31" s="64">
        <v>5.2</v>
      </c>
      <c r="F31" s="64">
        <v>4.8</v>
      </c>
      <c r="G31" s="64">
        <v>32.94</v>
      </c>
      <c r="H31" s="209" t="s">
        <v>36</v>
      </c>
      <c r="I31" s="64">
        <v>1.94</v>
      </c>
      <c r="J31" s="64">
        <v>0.19</v>
      </c>
      <c r="K31" s="64">
        <v>351.63</v>
      </c>
      <c r="L31" s="64">
        <v>26.72</v>
      </c>
      <c r="M31" s="64">
        <v>102.87</v>
      </c>
      <c r="N31" s="64">
        <v>0</v>
      </c>
      <c r="O31" s="64">
        <v>0</v>
      </c>
      <c r="P31" s="64">
        <v>0.31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48" t="s">
        <v>2092</v>
      </c>
      <c r="B32" s="64">
        <v>7.95</v>
      </c>
      <c r="C32" s="64">
        <v>3.04</v>
      </c>
      <c r="D32" s="64">
        <v>11.74</v>
      </c>
      <c r="E32" s="64">
        <v>5.54</v>
      </c>
      <c r="F32" s="64">
        <v>4.84</v>
      </c>
      <c r="G32" s="64">
        <v>32.94</v>
      </c>
      <c r="H32" s="209" t="s">
        <v>36</v>
      </c>
      <c r="I32" s="64">
        <v>2.11</v>
      </c>
      <c r="J32" s="64">
        <v>0.16</v>
      </c>
      <c r="K32" s="64">
        <v>334.48</v>
      </c>
      <c r="L32" s="64">
        <v>26.67</v>
      </c>
      <c r="M32" s="64">
        <v>102.97</v>
      </c>
      <c r="N32" s="64">
        <v>0</v>
      </c>
      <c r="O32" s="64">
        <v>0</v>
      </c>
      <c r="P32" s="64">
        <v>0.31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48" t="s">
        <v>2093</v>
      </c>
      <c r="B33" s="64">
        <v>7.96</v>
      </c>
      <c r="C33" s="64">
        <v>2.99</v>
      </c>
      <c r="D33" s="64">
        <v>11.72</v>
      </c>
      <c r="E33" s="64">
        <v>5.66</v>
      </c>
      <c r="F33" s="64">
        <v>2.96</v>
      </c>
      <c r="G33" s="64">
        <v>32.94</v>
      </c>
      <c r="H33" s="209" t="s">
        <v>36</v>
      </c>
      <c r="I33" s="64">
        <v>2.17</v>
      </c>
      <c r="J33" s="64">
        <v>0.15</v>
      </c>
      <c r="K33" s="64">
        <v>319.01</v>
      </c>
      <c r="L33" s="64">
        <v>26.71</v>
      </c>
      <c r="M33" s="64">
        <v>103.04</v>
      </c>
      <c r="N33" s="64">
        <v>0</v>
      </c>
      <c r="O33" s="64">
        <v>0</v>
      </c>
      <c r="P33" s="64">
        <v>0.3</v>
      </c>
      <c r="Q33" s="64">
        <v>9.1</v>
      </c>
      <c r="R33" s="198"/>
      <c r="S33" s="198"/>
      <c r="T33" s="198"/>
      <c r="U33" s="198"/>
    </row>
    <row r="34" spans="1:21" s="12" customFormat="1" x14ac:dyDescent="0.25">
      <c r="A34" s="248" t="s">
        <v>2094</v>
      </c>
      <c r="B34" s="64">
        <v>8.02</v>
      </c>
      <c r="C34" s="64">
        <v>3.06</v>
      </c>
      <c r="D34" s="64">
        <v>11.8</v>
      </c>
      <c r="E34" s="64">
        <v>5.36</v>
      </c>
      <c r="F34" s="64">
        <v>3.38</v>
      </c>
      <c r="G34" s="64">
        <v>33.19</v>
      </c>
      <c r="H34" s="209" t="s">
        <v>36</v>
      </c>
      <c r="I34" s="64">
        <v>2.14</v>
      </c>
      <c r="J34" s="64">
        <v>0.14000000000000001</v>
      </c>
      <c r="K34" s="64">
        <v>271.72000000000003</v>
      </c>
      <c r="L34" s="64">
        <v>26.76</v>
      </c>
      <c r="M34" s="64">
        <v>103.05</v>
      </c>
      <c r="N34" s="64">
        <v>15.7</v>
      </c>
      <c r="O34" s="64">
        <v>0</v>
      </c>
      <c r="P34" s="64">
        <v>0.3</v>
      </c>
      <c r="Q34" s="64">
        <v>9.17</v>
      </c>
      <c r="R34" s="198"/>
      <c r="S34" s="198"/>
      <c r="T34" s="198"/>
      <c r="U34" s="198"/>
    </row>
    <row r="35" spans="1:21" s="12" customFormat="1" x14ac:dyDescent="0.25">
      <c r="A35" s="248" t="s">
        <v>2095</v>
      </c>
      <c r="B35" s="64">
        <v>8.01</v>
      </c>
      <c r="C35" s="64">
        <v>2.99</v>
      </c>
      <c r="D35" s="64">
        <v>11.76</v>
      </c>
      <c r="E35" s="64">
        <v>4.99</v>
      </c>
      <c r="F35" s="64">
        <v>3.82</v>
      </c>
      <c r="G35" s="64">
        <v>34.18</v>
      </c>
      <c r="H35" s="209" t="s">
        <v>36</v>
      </c>
      <c r="I35" s="64">
        <v>2.21</v>
      </c>
      <c r="J35" s="64">
        <v>0.1</v>
      </c>
      <c r="K35" s="64">
        <v>263.83</v>
      </c>
      <c r="L35" s="64">
        <v>26.89</v>
      </c>
      <c r="M35" s="64">
        <v>103.06</v>
      </c>
      <c r="N35" s="64">
        <v>78</v>
      </c>
      <c r="O35" s="64">
        <v>0</v>
      </c>
      <c r="P35" s="64">
        <v>0.28999999999999998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48" t="s">
        <v>2096</v>
      </c>
      <c r="B36" s="64">
        <v>8</v>
      </c>
      <c r="C36" s="64">
        <v>2.98</v>
      </c>
      <c r="D36" s="64">
        <v>11.75</v>
      </c>
      <c r="E36" s="64">
        <v>5.28</v>
      </c>
      <c r="F36" s="64">
        <v>3.65</v>
      </c>
      <c r="G36" s="64">
        <v>34.18</v>
      </c>
      <c r="H36" s="209" t="s">
        <v>36</v>
      </c>
      <c r="I36" s="64">
        <v>2.39</v>
      </c>
      <c r="J36" s="64">
        <v>0.09</v>
      </c>
      <c r="K36" s="64">
        <v>283.17</v>
      </c>
      <c r="L36" s="64">
        <v>26.9</v>
      </c>
      <c r="M36" s="64">
        <v>103.1</v>
      </c>
      <c r="N36" s="64">
        <v>88.3</v>
      </c>
      <c r="O36" s="64">
        <v>0</v>
      </c>
      <c r="P36" s="64">
        <v>0.28999999999999998</v>
      </c>
      <c r="Q36" s="64">
        <v>9.2799999999999994</v>
      </c>
      <c r="R36" s="198"/>
      <c r="S36" s="198"/>
      <c r="T36" s="198"/>
      <c r="U36" s="198"/>
    </row>
    <row r="37" spans="1:21" s="12" customFormat="1" x14ac:dyDescent="0.25">
      <c r="A37" s="248" t="s">
        <v>2097</v>
      </c>
      <c r="B37" s="64">
        <v>7.99</v>
      </c>
      <c r="C37" s="64">
        <v>2.93</v>
      </c>
      <c r="D37" s="64">
        <v>11.72</v>
      </c>
      <c r="E37" s="64">
        <v>5.54</v>
      </c>
      <c r="F37" s="64">
        <v>3.7</v>
      </c>
      <c r="G37" s="64">
        <v>34.18</v>
      </c>
      <c r="H37" s="209" t="s">
        <v>36</v>
      </c>
      <c r="I37" s="64">
        <v>2.5499999999999998</v>
      </c>
      <c r="J37" s="64">
        <v>0.13</v>
      </c>
      <c r="K37" s="64">
        <v>335.68</v>
      </c>
      <c r="L37" s="64">
        <v>27.01</v>
      </c>
      <c r="M37" s="64">
        <v>103.18</v>
      </c>
      <c r="N37" s="64">
        <v>101.5</v>
      </c>
      <c r="O37" s="64">
        <v>0</v>
      </c>
      <c r="P37" s="64">
        <v>0.33</v>
      </c>
      <c r="Q37" s="64">
        <v>9.2899999999999991</v>
      </c>
      <c r="R37" s="198"/>
      <c r="S37" s="198"/>
      <c r="T37" s="198"/>
      <c r="U37" s="198"/>
    </row>
    <row r="38" spans="1:21" s="12" customFormat="1" x14ac:dyDescent="0.25">
      <c r="A38" s="248" t="s">
        <v>2098</v>
      </c>
      <c r="B38" s="64">
        <v>7.99</v>
      </c>
      <c r="C38" s="64">
        <v>2.96</v>
      </c>
      <c r="D38" s="64">
        <v>11.73</v>
      </c>
      <c r="E38" s="64">
        <v>5.39</v>
      </c>
      <c r="F38" s="64">
        <v>3.01</v>
      </c>
      <c r="G38" s="64">
        <v>35.299999999999997</v>
      </c>
      <c r="H38" s="209" t="s">
        <v>36</v>
      </c>
      <c r="I38" s="64">
        <v>2.72</v>
      </c>
      <c r="J38" s="64">
        <v>0.11</v>
      </c>
      <c r="K38" s="64">
        <v>252.99</v>
      </c>
      <c r="L38" s="64">
        <v>27.18</v>
      </c>
      <c r="M38" s="64">
        <v>103.29</v>
      </c>
      <c r="N38" s="64">
        <v>113.4</v>
      </c>
      <c r="O38" s="64">
        <v>0</v>
      </c>
      <c r="P38" s="64">
        <v>0.34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48" t="s">
        <v>2099</v>
      </c>
      <c r="B39" s="64">
        <v>7.99</v>
      </c>
      <c r="C39" s="64">
        <v>3.02</v>
      </c>
      <c r="D39" s="64">
        <v>11.76</v>
      </c>
      <c r="E39" s="64">
        <v>5.72</v>
      </c>
      <c r="F39" s="64">
        <v>3.32</v>
      </c>
      <c r="G39" s="64">
        <v>39.799999999999997</v>
      </c>
      <c r="H39" s="209" t="s">
        <v>36</v>
      </c>
      <c r="I39" s="64">
        <v>2.79</v>
      </c>
      <c r="J39" s="64">
        <v>0.2</v>
      </c>
      <c r="K39" s="64">
        <v>205.87</v>
      </c>
      <c r="L39" s="64">
        <v>27.18</v>
      </c>
      <c r="M39" s="64">
        <v>103.37</v>
      </c>
      <c r="N39" s="64">
        <v>115.2</v>
      </c>
      <c r="O39" s="64">
        <v>0</v>
      </c>
      <c r="P39" s="64">
        <v>0.34</v>
      </c>
      <c r="Q39" s="64">
        <v>9.31</v>
      </c>
      <c r="R39" s="198"/>
      <c r="S39" s="198"/>
      <c r="T39" s="198"/>
      <c r="U39" s="198"/>
    </row>
    <row r="40" spans="1:21" s="12" customFormat="1" x14ac:dyDescent="0.25">
      <c r="A40" s="248" t="s">
        <v>2100</v>
      </c>
      <c r="B40" s="64">
        <v>7.99</v>
      </c>
      <c r="C40" s="64">
        <v>2.99</v>
      </c>
      <c r="D40" s="64">
        <v>11.74</v>
      </c>
      <c r="E40" s="64">
        <v>4.62</v>
      </c>
      <c r="F40" s="64">
        <v>3.31</v>
      </c>
      <c r="G40" s="64">
        <v>39.799999999999997</v>
      </c>
      <c r="H40" s="209" t="s">
        <v>36</v>
      </c>
      <c r="I40" s="64">
        <v>2.83</v>
      </c>
      <c r="J40" s="64">
        <v>0.49</v>
      </c>
      <c r="K40" s="64">
        <v>147.59</v>
      </c>
      <c r="L40" s="64">
        <v>27.3</v>
      </c>
      <c r="M40" s="64">
        <v>103.24</v>
      </c>
      <c r="N40" s="64">
        <v>149</v>
      </c>
      <c r="O40" s="64">
        <v>0</v>
      </c>
      <c r="P40" s="64">
        <v>0.34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48" t="s">
        <v>2101</v>
      </c>
      <c r="B41" s="64">
        <v>7.98</v>
      </c>
      <c r="C41" s="64">
        <v>3.01</v>
      </c>
      <c r="D41" s="64">
        <v>11.75</v>
      </c>
      <c r="E41" s="64">
        <v>4.25</v>
      </c>
      <c r="F41" s="64">
        <v>4.05</v>
      </c>
      <c r="G41" s="64">
        <v>39.799999999999997</v>
      </c>
      <c r="H41" s="209" t="s">
        <v>36</v>
      </c>
      <c r="I41" s="64">
        <v>2.97</v>
      </c>
      <c r="J41" s="64">
        <v>0.28999999999999998</v>
      </c>
      <c r="K41" s="64">
        <v>126.52</v>
      </c>
      <c r="L41" s="64">
        <v>27.59</v>
      </c>
      <c r="M41" s="64">
        <v>103.32</v>
      </c>
      <c r="N41" s="64">
        <v>167.7</v>
      </c>
      <c r="O41" s="64">
        <v>0</v>
      </c>
      <c r="P41" s="64">
        <v>0.35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48" t="s">
        <v>2102</v>
      </c>
      <c r="B42" s="64">
        <v>7.96</v>
      </c>
      <c r="C42" s="64">
        <v>3.07</v>
      </c>
      <c r="D42" s="64">
        <v>11.76</v>
      </c>
      <c r="E42" s="64">
        <v>4.24</v>
      </c>
      <c r="F42" s="64">
        <v>3.57</v>
      </c>
      <c r="G42" s="64">
        <v>40.299999999999997</v>
      </c>
      <c r="H42" s="209" t="s">
        <v>36</v>
      </c>
      <c r="I42" s="64">
        <v>2.9</v>
      </c>
      <c r="J42" s="64">
        <v>0.36</v>
      </c>
      <c r="K42" s="64">
        <v>162.08000000000001</v>
      </c>
      <c r="L42" s="64">
        <v>27.71</v>
      </c>
      <c r="M42" s="64">
        <v>103.64</v>
      </c>
      <c r="N42" s="64">
        <v>181.3</v>
      </c>
      <c r="O42" s="64">
        <v>0</v>
      </c>
      <c r="P42" s="64">
        <v>0.35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48" t="s">
        <v>2103</v>
      </c>
      <c r="B43" s="64">
        <v>8.0299999999999994</v>
      </c>
      <c r="C43" s="64">
        <v>3.11</v>
      </c>
      <c r="D43" s="64">
        <v>11.84</v>
      </c>
      <c r="E43" s="64">
        <v>4.0599999999999996</v>
      </c>
      <c r="F43" s="64">
        <v>2.83</v>
      </c>
      <c r="G43" s="64">
        <v>42.27</v>
      </c>
      <c r="H43" s="209" t="s">
        <v>36</v>
      </c>
      <c r="I43" s="64">
        <v>2.95</v>
      </c>
      <c r="J43" s="64">
        <v>0.1</v>
      </c>
      <c r="K43" s="64">
        <v>198.96</v>
      </c>
      <c r="L43" s="64">
        <v>27.88</v>
      </c>
      <c r="M43" s="64">
        <v>103.67</v>
      </c>
      <c r="N43" s="64">
        <v>6.5</v>
      </c>
      <c r="O43" s="64">
        <v>0</v>
      </c>
      <c r="P43" s="64">
        <v>0.34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48" t="s">
        <v>2104</v>
      </c>
      <c r="B44" s="64">
        <v>7.97</v>
      </c>
      <c r="C44" s="64">
        <v>2.97</v>
      </c>
      <c r="D44" s="64">
        <v>11.72</v>
      </c>
      <c r="E44" s="64">
        <v>4.03</v>
      </c>
      <c r="F44" s="64">
        <v>4.7</v>
      </c>
      <c r="G44" s="64">
        <v>42.27</v>
      </c>
      <c r="H44" s="209" t="s">
        <v>36</v>
      </c>
      <c r="I44" s="64">
        <v>3.18</v>
      </c>
      <c r="J44" s="64">
        <v>0.13</v>
      </c>
      <c r="K44" s="64">
        <v>340.43</v>
      </c>
      <c r="L44" s="64">
        <v>28.14</v>
      </c>
      <c r="M44" s="64">
        <v>103.29</v>
      </c>
      <c r="N44" s="64">
        <v>0</v>
      </c>
      <c r="O44" s="64">
        <v>0</v>
      </c>
      <c r="P44" s="64">
        <v>0.35</v>
      </c>
      <c r="Q44" s="64">
        <v>9.31</v>
      </c>
      <c r="R44" s="198"/>
      <c r="S44" s="198"/>
      <c r="T44" s="198"/>
      <c r="U44" s="198"/>
    </row>
    <row r="45" spans="1:21" s="12" customFormat="1" x14ac:dyDescent="0.25">
      <c r="A45" s="248" t="s">
        <v>2105</v>
      </c>
      <c r="B45" s="64">
        <v>7.93</v>
      </c>
      <c r="C45" s="64">
        <v>2.94</v>
      </c>
      <c r="D45" s="64">
        <v>11.67</v>
      </c>
      <c r="E45" s="64">
        <v>4.2699999999999996</v>
      </c>
      <c r="F45" s="64">
        <v>4.16</v>
      </c>
      <c r="G45" s="64">
        <v>42.27</v>
      </c>
      <c r="H45" s="209" t="s">
        <v>36</v>
      </c>
      <c r="I45" s="64">
        <v>3.21</v>
      </c>
      <c r="J45" s="64">
        <v>7.0000000000000007E-2</v>
      </c>
      <c r="K45" s="64">
        <v>332.9</v>
      </c>
      <c r="L45" s="64">
        <v>28.43</v>
      </c>
      <c r="M45" s="64">
        <v>102.29</v>
      </c>
      <c r="N45" s="64">
        <v>0</v>
      </c>
      <c r="O45" s="64">
        <v>0</v>
      </c>
      <c r="P45" s="64">
        <v>0.36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48" t="s">
        <v>2106</v>
      </c>
      <c r="B46" s="64">
        <v>7.96</v>
      </c>
      <c r="C46" s="64">
        <v>3</v>
      </c>
      <c r="D46" s="64">
        <v>11.73</v>
      </c>
      <c r="E46" s="64">
        <v>3.93</v>
      </c>
      <c r="F46" s="64">
        <v>2.81</v>
      </c>
      <c r="G46" s="64">
        <v>42.48</v>
      </c>
      <c r="H46" s="209" t="s">
        <v>36</v>
      </c>
      <c r="I46" s="64">
        <v>3.15</v>
      </c>
      <c r="J46" s="64">
        <v>0.5</v>
      </c>
      <c r="K46" s="64">
        <v>159.15</v>
      </c>
      <c r="L46" s="64">
        <v>28.26</v>
      </c>
      <c r="M46" s="64">
        <v>102.97</v>
      </c>
      <c r="N46" s="64">
        <v>0</v>
      </c>
      <c r="O46" s="64">
        <v>0</v>
      </c>
      <c r="P46" s="64">
        <v>0.34</v>
      </c>
      <c r="Q46" s="64">
        <v>9.25</v>
      </c>
      <c r="R46" s="198"/>
      <c r="S46" s="198"/>
      <c r="T46" s="198"/>
      <c r="U46" s="198"/>
    </row>
    <row r="47" spans="1:21" s="12" customFormat="1" x14ac:dyDescent="0.25">
      <c r="A47" s="248" t="s">
        <v>2107</v>
      </c>
      <c r="B47" s="64">
        <v>7.99</v>
      </c>
      <c r="C47" s="64">
        <v>3.01</v>
      </c>
      <c r="D47" s="64">
        <v>11.75</v>
      </c>
      <c r="E47" s="64">
        <v>3.96</v>
      </c>
      <c r="F47" s="64">
        <v>4.62</v>
      </c>
      <c r="G47" s="64">
        <v>43.34</v>
      </c>
      <c r="H47" s="209" t="s">
        <v>36</v>
      </c>
      <c r="I47" s="64">
        <v>3.04</v>
      </c>
      <c r="J47" s="64">
        <v>0.49</v>
      </c>
      <c r="K47" s="64">
        <v>148.71</v>
      </c>
      <c r="L47" s="64">
        <v>28.47</v>
      </c>
      <c r="M47" s="64">
        <v>101.85</v>
      </c>
      <c r="N47" s="64">
        <v>81.3</v>
      </c>
      <c r="O47" s="64">
        <v>0</v>
      </c>
      <c r="P47" s="64">
        <v>0.35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48" t="s">
        <v>2108</v>
      </c>
      <c r="B48" s="64">
        <v>7.96</v>
      </c>
      <c r="C48" s="64">
        <v>2.99</v>
      </c>
      <c r="D48" s="64">
        <v>11.72</v>
      </c>
      <c r="E48" s="64">
        <v>3.95</v>
      </c>
      <c r="F48" s="64">
        <v>3.75</v>
      </c>
      <c r="G48" s="64">
        <v>43.34</v>
      </c>
      <c r="H48" s="209" t="s">
        <v>36</v>
      </c>
      <c r="I48" s="64">
        <v>2.94</v>
      </c>
      <c r="J48" s="64">
        <v>0.16</v>
      </c>
      <c r="K48" s="64">
        <v>327.64999999999998</v>
      </c>
      <c r="L48" s="64">
        <v>28.54</v>
      </c>
      <c r="M48" s="64">
        <v>101.46</v>
      </c>
      <c r="N48" s="64">
        <v>137.9</v>
      </c>
      <c r="O48" s="64">
        <v>0</v>
      </c>
      <c r="P48" s="64">
        <v>0.35</v>
      </c>
      <c r="Q48" s="64">
        <v>9.25</v>
      </c>
      <c r="R48" s="198"/>
      <c r="S48" s="198"/>
      <c r="T48" s="198"/>
      <c r="U48" s="198"/>
    </row>
    <row r="49" spans="1:21" s="12" customFormat="1" x14ac:dyDescent="0.25">
      <c r="A49" s="248" t="s">
        <v>2109</v>
      </c>
      <c r="B49" s="64">
        <v>7.97</v>
      </c>
      <c r="C49" s="64">
        <v>3.03</v>
      </c>
      <c r="D49" s="64">
        <v>11.75</v>
      </c>
      <c r="E49" s="64">
        <v>3.77</v>
      </c>
      <c r="F49" s="64">
        <v>2.83</v>
      </c>
      <c r="G49" s="64">
        <v>43.34</v>
      </c>
      <c r="H49" s="209" t="s">
        <v>36</v>
      </c>
      <c r="I49" s="64">
        <v>3.04</v>
      </c>
      <c r="J49" s="64">
        <v>0.2</v>
      </c>
      <c r="K49" s="64">
        <v>338.96</v>
      </c>
      <c r="L49" s="64">
        <v>28.91</v>
      </c>
      <c r="M49" s="64">
        <v>99.4</v>
      </c>
      <c r="N49" s="64">
        <v>244.3</v>
      </c>
      <c r="O49" s="64">
        <v>0</v>
      </c>
      <c r="P49" s="64">
        <v>0.35</v>
      </c>
      <c r="Q49" s="64">
        <v>9.2200000000000006</v>
      </c>
      <c r="R49" s="198"/>
      <c r="S49" s="198"/>
      <c r="T49" s="198"/>
      <c r="U49" s="198"/>
    </row>
    <row r="50" spans="1:21" s="12" customFormat="1" x14ac:dyDescent="0.25">
      <c r="A50" s="248" t="s">
        <v>2110</v>
      </c>
      <c r="B50" s="64">
        <v>8</v>
      </c>
      <c r="C50" s="64">
        <v>3.03</v>
      </c>
      <c r="D50" s="64">
        <v>11.78</v>
      </c>
      <c r="E50" s="64">
        <v>3.75</v>
      </c>
      <c r="F50" s="64">
        <v>3.45</v>
      </c>
      <c r="G50" s="64">
        <v>42.24</v>
      </c>
      <c r="H50" s="209" t="s">
        <v>36</v>
      </c>
      <c r="I50" s="64">
        <v>3.01</v>
      </c>
      <c r="J50" s="64">
        <v>0.16</v>
      </c>
      <c r="K50" s="64">
        <v>322.02999999999997</v>
      </c>
      <c r="L50" s="64">
        <v>29.45</v>
      </c>
      <c r="M50" s="64">
        <v>97.34</v>
      </c>
      <c r="N50" s="64">
        <v>285.89999999999998</v>
      </c>
      <c r="O50" s="64">
        <v>0</v>
      </c>
      <c r="P50" s="64">
        <v>0.35</v>
      </c>
      <c r="Q50" s="64">
        <v>9.26</v>
      </c>
      <c r="R50" s="198"/>
      <c r="S50" s="198"/>
      <c r="T50" s="198"/>
      <c r="U50" s="198"/>
    </row>
    <row r="51" spans="1:21" s="12" customFormat="1" x14ac:dyDescent="0.25">
      <c r="A51" s="248" t="s">
        <v>2111</v>
      </c>
      <c r="B51" s="64">
        <v>8</v>
      </c>
      <c r="C51" s="64">
        <v>3.01</v>
      </c>
      <c r="D51" s="64">
        <v>11.76</v>
      </c>
      <c r="E51" s="64">
        <v>3.82</v>
      </c>
      <c r="F51" s="64">
        <v>3.72</v>
      </c>
      <c r="G51" s="64">
        <v>37.82</v>
      </c>
      <c r="H51" s="209" t="s">
        <v>36</v>
      </c>
      <c r="I51" s="64">
        <v>2.86</v>
      </c>
      <c r="J51" s="64">
        <v>0.08</v>
      </c>
      <c r="K51" s="64">
        <v>170.55</v>
      </c>
      <c r="L51" s="64">
        <v>29.45</v>
      </c>
      <c r="M51" s="64">
        <v>97.55</v>
      </c>
      <c r="N51" s="64">
        <v>267.7</v>
      </c>
      <c r="O51" s="64">
        <v>0</v>
      </c>
      <c r="P51" s="64">
        <v>0.36</v>
      </c>
      <c r="Q51" s="64">
        <v>9.26</v>
      </c>
      <c r="R51" s="198"/>
      <c r="S51" s="198"/>
      <c r="T51" s="198"/>
      <c r="U51" s="198"/>
    </row>
    <row r="52" spans="1:21" s="12" customFormat="1" x14ac:dyDescent="0.25">
      <c r="A52" s="248" t="s">
        <v>2112</v>
      </c>
      <c r="B52" s="64">
        <v>7.99</v>
      </c>
      <c r="C52" s="64">
        <v>2.99</v>
      </c>
      <c r="D52" s="64">
        <v>11.74</v>
      </c>
      <c r="E52" s="64">
        <v>3.88</v>
      </c>
      <c r="F52" s="64">
        <v>3.44</v>
      </c>
      <c r="G52" s="64">
        <v>37.82</v>
      </c>
      <c r="H52" s="209" t="s">
        <v>36</v>
      </c>
      <c r="I52" s="64">
        <v>2.82</v>
      </c>
      <c r="J52" s="64">
        <v>0.11</v>
      </c>
      <c r="K52" s="64">
        <v>324.31</v>
      </c>
      <c r="L52" s="64">
        <v>29.18</v>
      </c>
      <c r="M52" s="64">
        <v>97.41</v>
      </c>
      <c r="N52" s="64">
        <v>258</v>
      </c>
      <c r="O52" s="64">
        <v>0</v>
      </c>
      <c r="P52" s="64">
        <v>0.37</v>
      </c>
      <c r="Q52" s="64">
        <v>9.2899999999999991</v>
      </c>
      <c r="R52" s="198"/>
      <c r="S52" s="198"/>
      <c r="T52" s="198"/>
      <c r="U52" s="198"/>
    </row>
    <row r="53" spans="1:21" s="12" customFormat="1" x14ac:dyDescent="0.25">
      <c r="A53" s="248" t="s">
        <v>2113</v>
      </c>
      <c r="B53" s="64">
        <v>7.98</v>
      </c>
      <c r="C53" s="64">
        <v>2.98</v>
      </c>
      <c r="D53" s="64">
        <v>11.73</v>
      </c>
      <c r="E53" s="64">
        <v>4.0599999999999996</v>
      </c>
      <c r="F53" s="64">
        <v>3.61</v>
      </c>
      <c r="G53" s="64">
        <v>37.82</v>
      </c>
      <c r="H53" s="209" t="s">
        <v>36</v>
      </c>
      <c r="I53" s="64">
        <v>2.73</v>
      </c>
      <c r="J53" s="64">
        <v>0.05</v>
      </c>
      <c r="K53" s="64">
        <v>334.08</v>
      </c>
      <c r="L53" s="64">
        <v>29.27</v>
      </c>
      <c r="M53" s="64">
        <v>96.66</v>
      </c>
      <c r="N53" s="64">
        <v>326.5</v>
      </c>
      <c r="O53" s="64">
        <v>0</v>
      </c>
      <c r="P53" s="64">
        <v>0.37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48" t="s">
        <v>2114</v>
      </c>
      <c r="B54" s="64">
        <v>8.01</v>
      </c>
      <c r="C54" s="64">
        <v>3.06</v>
      </c>
      <c r="D54" s="64">
        <v>11.79</v>
      </c>
      <c r="E54" s="64">
        <v>4.05</v>
      </c>
      <c r="F54" s="64">
        <v>3.7</v>
      </c>
      <c r="G54" s="64">
        <v>38.11</v>
      </c>
      <c r="H54" s="209" t="s">
        <v>36</v>
      </c>
      <c r="I54" s="64">
        <v>2.74</v>
      </c>
      <c r="J54" s="64">
        <v>0.18</v>
      </c>
      <c r="K54" s="64">
        <v>343.27</v>
      </c>
      <c r="L54" s="64">
        <v>29.3</v>
      </c>
      <c r="M54" s="64">
        <v>95.41</v>
      </c>
      <c r="N54" s="64">
        <v>317.60000000000002</v>
      </c>
      <c r="O54" s="64">
        <v>0</v>
      </c>
      <c r="P54" s="64">
        <v>0.37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48" t="s">
        <v>2115</v>
      </c>
      <c r="B55" s="64">
        <v>8</v>
      </c>
      <c r="C55" s="64">
        <v>2.97</v>
      </c>
      <c r="D55" s="64">
        <v>11.74</v>
      </c>
      <c r="E55" s="64">
        <v>4.2</v>
      </c>
      <c r="F55" s="64">
        <v>12.64</v>
      </c>
      <c r="G55" s="64">
        <v>39.25</v>
      </c>
      <c r="H55" s="209" t="s">
        <v>36</v>
      </c>
      <c r="I55" s="64">
        <v>2.72</v>
      </c>
      <c r="J55" s="64">
        <v>0.09</v>
      </c>
      <c r="K55" s="64">
        <v>338.14</v>
      </c>
      <c r="L55" s="64">
        <v>29.77</v>
      </c>
      <c r="M55" s="64">
        <v>94</v>
      </c>
      <c r="N55" s="64">
        <v>356.2</v>
      </c>
      <c r="O55" s="64">
        <v>0</v>
      </c>
      <c r="P55" s="64">
        <v>0.31</v>
      </c>
      <c r="Q55" s="64">
        <v>9.2899999999999991</v>
      </c>
      <c r="R55" s="198"/>
      <c r="S55" s="198"/>
      <c r="T55" s="198"/>
      <c r="U55" s="198"/>
    </row>
    <row r="56" spans="1:21" s="12" customFormat="1" x14ac:dyDescent="0.25">
      <c r="A56" s="248" t="s">
        <v>2116</v>
      </c>
      <c r="B56" s="64">
        <v>7.98</v>
      </c>
      <c r="C56" s="64">
        <v>2.97</v>
      </c>
      <c r="D56" s="64">
        <v>11.73</v>
      </c>
      <c r="E56" s="64">
        <v>4.3600000000000003</v>
      </c>
      <c r="F56" s="64">
        <v>7.28</v>
      </c>
      <c r="G56" s="64">
        <v>39.25</v>
      </c>
      <c r="H56" s="209" t="s">
        <v>36</v>
      </c>
      <c r="I56" s="64">
        <v>2.65</v>
      </c>
      <c r="J56" s="64">
        <v>0.09</v>
      </c>
      <c r="K56" s="64">
        <v>160.66</v>
      </c>
      <c r="L56" s="64">
        <v>29.91</v>
      </c>
      <c r="M56" s="64">
        <v>92.71</v>
      </c>
      <c r="N56" s="64">
        <v>372.9</v>
      </c>
      <c r="O56" s="64">
        <v>0</v>
      </c>
      <c r="P56" s="64">
        <v>0.27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48" t="s">
        <v>2117</v>
      </c>
      <c r="B57" s="64">
        <v>7.98</v>
      </c>
      <c r="C57" s="64">
        <v>3.02</v>
      </c>
      <c r="D57" s="64">
        <v>11.75</v>
      </c>
      <c r="E57" s="64">
        <v>4.18</v>
      </c>
      <c r="F57" s="64">
        <v>8.66</v>
      </c>
      <c r="G57" s="64">
        <v>39.25</v>
      </c>
      <c r="H57" s="209" t="s">
        <v>36</v>
      </c>
      <c r="I57" s="64">
        <v>1.61</v>
      </c>
      <c r="J57" s="64">
        <v>0.15</v>
      </c>
      <c r="K57" s="64">
        <v>203.75</v>
      </c>
      <c r="L57" s="64">
        <v>30.11</v>
      </c>
      <c r="M57" s="64">
        <v>93.59</v>
      </c>
      <c r="N57" s="64">
        <v>165.5</v>
      </c>
      <c r="O57" s="64">
        <v>0</v>
      </c>
      <c r="P57" s="64">
        <v>0.28000000000000003</v>
      </c>
      <c r="Q57" s="64">
        <v>9.1999999999999993</v>
      </c>
      <c r="R57" s="198"/>
      <c r="S57" s="198"/>
      <c r="T57" s="198"/>
      <c r="U57" s="198"/>
    </row>
    <row r="58" spans="1:21" s="12" customFormat="1" x14ac:dyDescent="0.25">
      <c r="A58" s="248" t="s">
        <v>2118</v>
      </c>
      <c r="B58" s="64">
        <v>7.95</v>
      </c>
      <c r="C58" s="64">
        <v>2.98</v>
      </c>
      <c r="D58" s="64">
        <v>11.71</v>
      </c>
      <c r="E58" s="64">
        <v>4.17</v>
      </c>
      <c r="F58" s="64">
        <v>4.6900000000000004</v>
      </c>
      <c r="G58" s="64">
        <v>38.82</v>
      </c>
      <c r="H58" s="209" t="s">
        <v>36</v>
      </c>
      <c r="I58" s="64">
        <v>1.24</v>
      </c>
      <c r="J58" s="64">
        <v>0.12</v>
      </c>
      <c r="K58" s="64">
        <v>246.32</v>
      </c>
      <c r="L58" s="64">
        <v>30.89</v>
      </c>
      <c r="M58" s="64">
        <v>90.23</v>
      </c>
      <c r="N58" s="64">
        <v>0</v>
      </c>
      <c r="O58" s="64">
        <v>0</v>
      </c>
      <c r="P58" s="64">
        <v>0.28999999999999998</v>
      </c>
      <c r="Q58" s="64">
        <v>9.14</v>
      </c>
      <c r="R58" s="198"/>
      <c r="S58" s="198"/>
      <c r="T58" s="198"/>
      <c r="U58" s="198"/>
    </row>
    <row r="59" spans="1:21" s="12" customFormat="1" x14ac:dyDescent="0.25">
      <c r="A59" s="248" t="s">
        <v>2119</v>
      </c>
      <c r="B59" s="64">
        <v>7.96</v>
      </c>
      <c r="C59" s="64">
        <v>3</v>
      </c>
      <c r="D59" s="64">
        <v>11.72</v>
      </c>
      <c r="E59" s="64">
        <v>4.2300000000000004</v>
      </c>
      <c r="F59" s="64">
        <v>4.82</v>
      </c>
      <c r="G59" s="64">
        <v>37.07</v>
      </c>
      <c r="H59" s="209" t="s">
        <v>36</v>
      </c>
      <c r="I59" s="64">
        <v>1.41</v>
      </c>
      <c r="J59" s="64">
        <v>0.03</v>
      </c>
      <c r="K59" s="64">
        <v>263.45999999999998</v>
      </c>
      <c r="L59" s="64">
        <v>31.46</v>
      </c>
      <c r="M59" s="64">
        <v>87.96</v>
      </c>
      <c r="N59" s="64">
        <v>0</v>
      </c>
      <c r="O59" s="64">
        <v>0</v>
      </c>
      <c r="P59" s="64">
        <v>0.3</v>
      </c>
      <c r="Q59" s="64">
        <v>9.06</v>
      </c>
      <c r="R59" s="198"/>
      <c r="S59" s="198"/>
      <c r="T59" s="198"/>
      <c r="U59" s="198"/>
    </row>
    <row r="60" spans="1:21" s="12" customFormat="1" x14ac:dyDescent="0.25">
      <c r="A60" s="248" t="s">
        <v>2120</v>
      </c>
      <c r="B60" s="64">
        <v>7.99</v>
      </c>
      <c r="C60" s="64">
        <v>3.07</v>
      </c>
      <c r="D60" s="64">
        <v>11.78</v>
      </c>
      <c r="E60" s="64">
        <v>4.2300000000000004</v>
      </c>
      <c r="F60" s="64">
        <v>7.41</v>
      </c>
      <c r="G60" s="64">
        <v>37.07</v>
      </c>
      <c r="H60" s="209" t="s">
        <v>36</v>
      </c>
      <c r="I60" s="64">
        <v>1.51</v>
      </c>
      <c r="J60" s="64">
        <v>0.11</v>
      </c>
      <c r="K60" s="64">
        <v>240.15</v>
      </c>
      <c r="L60" s="64">
        <v>31.3</v>
      </c>
      <c r="M60" s="64">
        <v>87.72</v>
      </c>
      <c r="N60" s="64">
        <v>0</v>
      </c>
      <c r="O60" s="64">
        <v>0</v>
      </c>
      <c r="P60" s="64">
        <v>0.33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48" t="s">
        <v>2121</v>
      </c>
      <c r="B61" s="64">
        <v>8</v>
      </c>
      <c r="C61" s="64">
        <v>3.13</v>
      </c>
      <c r="D61" s="64">
        <v>11.83</v>
      </c>
      <c r="E61" s="64">
        <v>3.7</v>
      </c>
      <c r="F61" s="64">
        <v>6.55</v>
      </c>
      <c r="G61" s="64">
        <v>37.07</v>
      </c>
      <c r="H61" s="209" t="s">
        <v>36</v>
      </c>
      <c r="I61" s="64">
        <v>1.51</v>
      </c>
      <c r="J61" s="64">
        <v>0.5</v>
      </c>
      <c r="K61" s="64">
        <v>162.97</v>
      </c>
      <c r="L61" s="64">
        <v>31.05</v>
      </c>
      <c r="M61" s="64">
        <v>89.22</v>
      </c>
      <c r="N61" s="64">
        <v>0</v>
      </c>
      <c r="O61" s="64">
        <v>0</v>
      </c>
      <c r="P61" s="64">
        <v>0.31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48" t="s">
        <v>2122</v>
      </c>
      <c r="B62" s="64">
        <v>7.99</v>
      </c>
      <c r="C62" s="64">
        <v>3.1</v>
      </c>
      <c r="D62" s="64">
        <v>11.8</v>
      </c>
      <c r="E62" s="64">
        <v>3.8</v>
      </c>
      <c r="F62" s="64">
        <v>9.61</v>
      </c>
      <c r="G62" s="64">
        <v>38.69</v>
      </c>
      <c r="H62" s="209" t="s">
        <v>36</v>
      </c>
      <c r="I62" s="64">
        <v>1.5</v>
      </c>
      <c r="J62" s="64">
        <v>1.29</v>
      </c>
      <c r="K62" s="64">
        <v>145.15</v>
      </c>
      <c r="L62" s="64">
        <v>30.71</v>
      </c>
      <c r="M62" s="64">
        <v>90.57</v>
      </c>
      <c r="N62" s="64">
        <v>0</v>
      </c>
      <c r="O62" s="64">
        <v>0</v>
      </c>
      <c r="P62" s="64">
        <v>0.28000000000000003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48" t="s">
        <v>2123</v>
      </c>
      <c r="B63" s="64">
        <v>8.0299999999999994</v>
      </c>
      <c r="C63" s="64">
        <v>3.26</v>
      </c>
      <c r="D63" s="64">
        <v>11.92</v>
      </c>
      <c r="E63" s="64">
        <v>5.47</v>
      </c>
      <c r="F63" s="64">
        <v>9.26</v>
      </c>
      <c r="G63" s="64">
        <v>45.18</v>
      </c>
      <c r="H63" s="209" t="s">
        <v>36</v>
      </c>
      <c r="I63" s="64">
        <v>1.43</v>
      </c>
      <c r="J63" s="64">
        <v>0.28000000000000003</v>
      </c>
      <c r="K63" s="64">
        <v>153.21</v>
      </c>
      <c r="L63" s="64">
        <v>31.19</v>
      </c>
      <c r="M63" s="64">
        <v>86.82</v>
      </c>
      <c r="N63" s="64">
        <v>58.2</v>
      </c>
      <c r="O63" s="64">
        <v>0</v>
      </c>
      <c r="P63" s="64">
        <v>0.28000000000000003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48" t="s">
        <v>2124</v>
      </c>
      <c r="B64" s="64">
        <v>8.07</v>
      </c>
      <c r="C64" s="64">
        <v>3.4</v>
      </c>
      <c r="D64" s="64">
        <v>12.03</v>
      </c>
      <c r="E64" s="64">
        <v>4.18</v>
      </c>
      <c r="F64" s="64">
        <v>8.09</v>
      </c>
      <c r="G64" s="64">
        <v>45.18</v>
      </c>
      <c r="H64" s="209" t="s">
        <v>36</v>
      </c>
      <c r="I64" s="64">
        <v>1.62</v>
      </c>
      <c r="J64" s="64">
        <v>0.56000000000000005</v>
      </c>
      <c r="K64" s="64">
        <v>138.41</v>
      </c>
      <c r="L64" s="64">
        <v>31.27</v>
      </c>
      <c r="M64" s="64">
        <v>85.21</v>
      </c>
      <c r="N64" s="64">
        <v>261.2</v>
      </c>
      <c r="O64" s="64">
        <v>0</v>
      </c>
      <c r="P64" s="64">
        <v>0.28999999999999998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48" t="s">
        <v>2125</v>
      </c>
      <c r="B65" s="64">
        <v>8.17</v>
      </c>
      <c r="C65" s="64">
        <v>3.78</v>
      </c>
      <c r="D65" s="64">
        <v>12.3</v>
      </c>
      <c r="E65" s="64">
        <v>3.69</v>
      </c>
      <c r="F65" s="64">
        <v>5.35</v>
      </c>
      <c r="G65" s="64">
        <v>45.18</v>
      </c>
      <c r="H65" s="209" t="s">
        <v>36</v>
      </c>
      <c r="I65" s="64">
        <v>1.75</v>
      </c>
      <c r="J65" s="64">
        <v>0.06</v>
      </c>
      <c r="K65" s="64">
        <v>172.81</v>
      </c>
      <c r="L65" s="64">
        <v>31.46</v>
      </c>
      <c r="M65" s="64">
        <v>84.64</v>
      </c>
      <c r="N65" s="64">
        <v>138.1</v>
      </c>
      <c r="O65" s="64">
        <v>0</v>
      </c>
      <c r="P65" s="64">
        <v>0.28000000000000003</v>
      </c>
      <c r="Q65" s="64">
        <v>0</v>
      </c>
      <c r="R65" s="198"/>
      <c r="S65" s="198"/>
      <c r="T65" s="198"/>
      <c r="U65" s="198"/>
    </row>
    <row r="66" spans="1:21" s="12" customFormat="1" x14ac:dyDescent="0.25">
      <c r="A66" s="248" t="s">
        <v>2126</v>
      </c>
      <c r="B66" s="64">
        <v>8.19</v>
      </c>
      <c r="C66" s="64">
        <v>3.75</v>
      </c>
      <c r="D66" s="64">
        <v>12.3</v>
      </c>
      <c r="E66" s="64">
        <v>4.18</v>
      </c>
      <c r="F66" s="64">
        <v>3.65</v>
      </c>
      <c r="G66" s="64">
        <v>41.09</v>
      </c>
      <c r="H66" s="209" t="s">
        <v>36</v>
      </c>
      <c r="I66" s="64">
        <v>1.79</v>
      </c>
      <c r="J66" s="64">
        <v>0.63</v>
      </c>
      <c r="K66" s="64">
        <v>141.82</v>
      </c>
      <c r="L66" s="64">
        <v>31.06</v>
      </c>
      <c r="M66" s="64">
        <v>86.09</v>
      </c>
      <c r="N66" s="64">
        <v>285.8</v>
      </c>
      <c r="O66" s="64">
        <v>0</v>
      </c>
      <c r="P66" s="64">
        <v>0.28999999999999998</v>
      </c>
      <c r="Q66" s="64">
        <v>0</v>
      </c>
      <c r="R66" s="198"/>
      <c r="S66" s="198"/>
      <c r="T66" s="198"/>
      <c r="U66" s="198"/>
    </row>
    <row r="67" spans="1:21" s="12" customFormat="1" x14ac:dyDescent="0.25">
      <c r="A67" s="248" t="s">
        <v>2127</v>
      </c>
      <c r="B67" s="64">
        <v>8.4700000000000006</v>
      </c>
      <c r="C67" s="64">
        <v>4.59</v>
      </c>
      <c r="D67" s="64">
        <v>12.96</v>
      </c>
      <c r="E67" s="64">
        <v>3.97</v>
      </c>
      <c r="F67" s="64">
        <v>5.31</v>
      </c>
      <c r="G67" s="64">
        <v>24.69</v>
      </c>
      <c r="H67" s="209" t="s">
        <v>36</v>
      </c>
      <c r="I67" s="64">
        <v>1.88</v>
      </c>
      <c r="J67" s="64">
        <v>0.22</v>
      </c>
      <c r="K67" s="64">
        <v>148.13</v>
      </c>
      <c r="L67" s="64">
        <v>31.2</v>
      </c>
      <c r="M67" s="64">
        <v>84.73</v>
      </c>
      <c r="N67" s="64">
        <v>255.7</v>
      </c>
      <c r="O67" s="64">
        <v>0</v>
      </c>
      <c r="P67" s="64">
        <v>0.28000000000000003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48" t="s">
        <v>2128</v>
      </c>
      <c r="B68" s="64">
        <v>8.39</v>
      </c>
      <c r="C68" s="64">
        <v>4.72</v>
      </c>
      <c r="D68" s="64">
        <v>12.97</v>
      </c>
      <c r="E68" s="64">
        <v>4.26</v>
      </c>
      <c r="F68" s="64">
        <v>16.04</v>
      </c>
      <c r="G68" s="64">
        <v>24.69</v>
      </c>
      <c r="H68" s="209" t="s">
        <v>36</v>
      </c>
      <c r="I68" s="64">
        <v>2.04</v>
      </c>
      <c r="J68" s="64">
        <v>0.56999999999999995</v>
      </c>
      <c r="K68" s="64">
        <v>133.93</v>
      </c>
      <c r="L68" s="64">
        <v>31.25</v>
      </c>
      <c r="M68" s="64">
        <v>85.88</v>
      </c>
      <c r="N68" s="64">
        <v>180</v>
      </c>
      <c r="O68" s="64">
        <v>0</v>
      </c>
      <c r="P68" s="64">
        <v>0.26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48" t="s">
        <v>2129</v>
      </c>
      <c r="B69" s="64">
        <v>8.07</v>
      </c>
      <c r="C69" s="64">
        <v>3.5</v>
      </c>
      <c r="D69" s="64">
        <v>12.08</v>
      </c>
      <c r="E69" s="64">
        <v>4.01</v>
      </c>
      <c r="F69" s="64">
        <v>7.19</v>
      </c>
      <c r="G69" s="64">
        <v>24.69</v>
      </c>
      <c r="H69" s="209" t="s">
        <v>36</v>
      </c>
      <c r="I69" s="64">
        <v>2.15</v>
      </c>
      <c r="J69" s="64">
        <v>0.31</v>
      </c>
      <c r="K69" s="64">
        <v>137.28</v>
      </c>
      <c r="L69" s="64">
        <v>31.1</v>
      </c>
      <c r="M69" s="64">
        <v>86.57</v>
      </c>
      <c r="N69" s="64">
        <v>196.9</v>
      </c>
      <c r="O69" s="64">
        <v>0</v>
      </c>
      <c r="P69" s="64">
        <v>0.25</v>
      </c>
      <c r="Q69" s="64">
        <v>9.42</v>
      </c>
      <c r="R69" s="198"/>
      <c r="S69" s="198"/>
      <c r="T69" s="198"/>
      <c r="U69" s="198"/>
    </row>
    <row r="70" spans="1:21" s="12" customFormat="1" x14ac:dyDescent="0.25">
      <c r="A70" s="248" t="s">
        <v>2130</v>
      </c>
      <c r="B70" s="64">
        <v>7.99</v>
      </c>
      <c r="C70" s="64">
        <v>3.12</v>
      </c>
      <c r="D70" s="64">
        <v>11.81</v>
      </c>
      <c r="E70" s="64">
        <v>3.84</v>
      </c>
      <c r="F70" s="64">
        <v>15.64</v>
      </c>
      <c r="G70" s="64">
        <v>28.59</v>
      </c>
      <c r="H70" s="209" t="s">
        <v>36</v>
      </c>
      <c r="I70" s="64">
        <v>1.36</v>
      </c>
      <c r="J70" s="64">
        <v>0.36</v>
      </c>
      <c r="K70" s="64">
        <v>154.16</v>
      </c>
      <c r="L70" s="64">
        <v>31.21</v>
      </c>
      <c r="M70" s="64">
        <v>85.69</v>
      </c>
      <c r="N70" s="64">
        <v>178.3</v>
      </c>
      <c r="O70" s="64">
        <v>0</v>
      </c>
      <c r="P70" s="64">
        <v>0.25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48" t="s">
        <v>2131</v>
      </c>
      <c r="B71" s="64">
        <v>7.99</v>
      </c>
      <c r="C71" s="64">
        <v>3</v>
      </c>
      <c r="D71" s="64">
        <v>11.75</v>
      </c>
      <c r="E71" s="64">
        <v>3.94</v>
      </c>
      <c r="F71" s="64">
        <v>9.58</v>
      </c>
      <c r="G71" s="64">
        <v>44.17</v>
      </c>
      <c r="H71" s="209" t="s">
        <v>36</v>
      </c>
      <c r="I71" s="64">
        <v>1.5</v>
      </c>
      <c r="J71" s="64">
        <v>0.04</v>
      </c>
      <c r="K71" s="64">
        <v>201.5</v>
      </c>
      <c r="L71" s="64">
        <v>31.31</v>
      </c>
      <c r="M71" s="64">
        <v>83.36</v>
      </c>
      <c r="N71" s="64">
        <v>174.3</v>
      </c>
      <c r="O71" s="64">
        <v>0</v>
      </c>
      <c r="P71" s="64">
        <v>0.24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48" t="s">
        <v>2132</v>
      </c>
      <c r="B72" s="64">
        <v>7.98</v>
      </c>
      <c r="C72" s="64">
        <v>3.05</v>
      </c>
      <c r="D72" s="64">
        <v>11.77</v>
      </c>
      <c r="E72" s="64">
        <v>4.09</v>
      </c>
      <c r="F72" s="64">
        <v>9.2200000000000006</v>
      </c>
      <c r="G72" s="64">
        <v>44.17</v>
      </c>
      <c r="H72" s="209" t="s">
        <v>36</v>
      </c>
      <c r="I72" s="64">
        <v>1.21</v>
      </c>
      <c r="J72" s="64">
        <v>0.09</v>
      </c>
      <c r="K72" s="64">
        <v>117.38</v>
      </c>
      <c r="L72" s="64">
        <v>31.27</v>
      </c>
      <c r="M72" s="64">
        <v>82.48</v>
      </c>
      <c r="N72" s="64">
        <v>173.7</v>
      </c>
      <c r="O72" s="64">
        <v>0</v>
      </c>
      <c r="P72" s="64">
        <v>0.24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48" t="s">
        <v>2133</v>
      </c>
      <c r="B73" s="64">
        <v>7.99</v>
      </c>
      <c r="C73" s="64">
        <v>3.03</v>
      </c>
      <c r="D73" s="64">
        <v>11.76</v>
      </c>
      <c r="E73" s="64">
        <v>3.67</v>
      </c>
      <c r="F73" s="64">
        <v>7.54</v>
      </c>
      <c r="G73" s="64">
        <v>44.17</v>
      </c>
      <c r="H73" s="209" t="s">
        <v>36</v>
      </c>
      <c r="I73" s="64">
        <v>1.1100000000000001</v>
      </c>
      <c r="J73" s="64">
        <v>0.12</v>
      </c>
      <c r="K73" s="64">
        <v>119.58</v>
      </c>
      <c r="L73" s="64">
        <v>31.33</v>
      </c>
      <c r="M73" s="64">
        <v>82.46</v>
      </c>
      <c r="N73" s="64">
        <v>165.1</v>
      </c>
      <c r="O73" s="64">
        <v>0</v>
      </c>
      <c r="P73" s="64">
        <v>0.24</v>
      </c>
      <c r="Q73" s="64">
        <v>9.42</v>
      </c>
      <c r="R73" s="198"/>
      <c r="S73" s="198"/>
      <c r="T73" s="198"/>
      <c r="U73" s="198"/>
    </row>
    <row r="74" spans="1:21" s="12" customFormat="1" x14ac:dyDescent="0.25">
      <c r="A74" s="248" t="s">
        <v>2134</v>
      </c>
      <c r="B74" s="64">
        <v>7.96</v>
      </c>
      <c r="C74" s="64">
        <v>3.03</v>
      </c>
      <c r="D74" s="64">
        <v>11.74</v>
      </c>
      <c r="E74" s="64">
        <v>3.58</v>
      </c>
      <c r="F74" s="64">
        <v>7.5</v>
      </c>
      <c r="G74" s="64">
        <v>44.85</v>
      </c>
      <c r="H74" s="209" t="s">
        <v>36</v>
      </c>
      <c r="I74" s="64">
        <v>1.08</v>
      </c>
      <c r="J74" s="64">
        <v>0.05</v>
      </c>
      <c r="K74" s="64">
        <v>20.41</v>
      </c>
      <c r="L74" s="64">
        <v>31.13</v>
      </c>
      <c r="M74" s="64">
        <v>83.26</v>
      </c>
      <c r="N74" s="64">
        <v>132.69999999999999</v>
      </c>
      <c r="O74" s="64">
        <v>0</v>
      </c>
      <c r="P74" s="64">
        <v>0.25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48" t="s">
        <v>2135</v>
      </c>
      <c r="B75" s="64">
        <v>7.95</v>
      </c>
      <c r="C75" s="64">
        <v>2.96</v>
      </c>
      <c r="D75" s="64">
        <v>11.7</v>
      </c>
      <c r="E75" s="64">
        <v>3.71</v>
      </c>
      <c r="F75" s="64">
        <v>14.73</v>
      </c>
      <c r="G75" s="64">
        <v>47.55</v>
      </c>
      <c r="H75" s="209" t="s">
        <v>36</v>
      </c>
      <c r="I75" s="64">
        <v>1.1200000000000001</v>
      </c>
      <c r="J75" s="64">
        <v>0.04</v>
      </c>
      <c r="K75" s="64">
        <v>116.62</v>
      </c>
      <c r="L75" s="64">
        <v>31.19</v>
      </c>
      <c r="M75" s="64">
        <v>82.26</v>
      </c>
      <c r="N75" s="64">
        <v>116.4</v>
      </c>
      <c r="O75" s="64">
        <v>0</v>
      </c>
      <c r="P75" s="64">
        <v>0.28999999999999998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48" t="s">
        <v>2136</v>
      </c>
      <c r="B76" s="64">
        <v>7.95</v>
      </c>
      <c r="C76" s="64">
        <v>2.95</v>
      </c>
      <c r="D76" s="64">
        <v>11.69</v>
      </c>
      <c r="E76" s="64">
        <v>3.51</v>
      </c>
      <c r="F76" s="64">
        <v>13.54</v>
      </c>
      <c r="G76" s="64">
        <v>47.55</v>
      </c>
      <c r="H76" s="209" t="s">
        <v>36</v>
      </c>
      <c r="I76" s="64">
        <v>1.1299999999999999</v>
      </c>
      <c r="J76" s="64">
        <v>7.0000000000000007E-2</v>
      </c>
      <c r="K76" s="64">
        <v>124.3</v>
      </c>
      <c r="L76" s="64">
        <v>31.28</v>
      </c>
      <c r="M76" s="64">
        <v>82.75</v>
      </c>
      <c r="N76" s="64">
        <v>100.9</v>
      </c>
      <c r="O76" s="64">
        <v>0</v>
      </c>
      <c r="P76" s="64">
        <v>0.3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48" t="s">
        <v>2137</v>
      </c>
      <c r="B77" s="64">
        <v>7.94</v>
      </c>
      <c r="C77" s="64">
        <v>2.97</v>
      </c>
      <c r="D77" s="64">
        <v>11.69</v>
      </c>
      <c r="E77" s="64">
        <v>3.69</v>
      </c>
      <c r="F77" s="64">
        <v>14.88</v>
      </c>
      <c r="G77" s="64">
        <v>47.55</v>
      </c>
      <c r="H77" s="209" t="s">
        <v>36</v>
      </c>
      <c r="I77" s="64">
        <v>0.86</v>
      </c>
      <c r="J77" s="64">
        <v>0.11</v>
      </c>
      <c r="K77" s="64">
        <v>180.18</v>
      </c>
      <c r="L77" s="64">
        <v>30.93</v>
      </c>
      <c r="M77" s="64">
        <v>84.3</v>
      </c>
      <c r="N77" s="64">
        <v>78.5</v>
      </c>
      <c r="O77" s="64">
        <v>0</v>
      </c>
      <c r="P77" s="64">
        <v>0.3</v>
      </c>
      <c r="Q77" s="64">
        <v>9.44</v>
      </c>
      <c r="R77" s="198"/>
      <c r="S77" s="198"/>
      <c r="T77" s="198"/>
      <c r="U77" s="198"/>
    </row>
    <row r="78" spans="1:21" s="12" customFormat="1" x14ac:dyDescent="0.25">
      <c r="A78" s="248" t="s">
        <v>2138</v>
      </c>
      <c r="B78" s="64">
        <v>7.92</v>
      </c>
      <c r="C78" s="64">
        <v>2.99</v>
      </c>
      <c r="D78" s="64">
        <v>11.69</v>
      </c>
      <c r="E78" s="64">
        <v>3.7</v>
      </c>
      <c r="F78" s="64">
        <v>20.82</v>
      </c>
      <c r="G78" s="64">
        <v>46.75</v>
      </c>
      <c r="H78" s="209" t="s">
        <v>36</v>
      </c>
      <c r="I78" s="64">
        <v>0.89</v>
      </c>
      <c r="J78" s="64">
        <v>0.03</v>
      </c>
      <c r="K78" s="64">
        <v>266.66000000000003</v>
      </c>
      <c r="L78" s="64">
        <v>30.81</v>
      </c>
      <c r="M78" s="64">
        <v>84.66</v>
      </c>
      <c r="N78" s="64">
        <v>62.2</v>
      </c>
      <c r="O78" s="64">
        <v>0</v>
      </c>
      <c r="P78" s="64">
        <v>0.4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48" t="s">
        <v>2139</v>
      </c>
      <c r="B79" s="64">
        <v>7.91</v>
      </c>
      <c r="C79" s="64">
        <v>3</v>
      </c>
      <c r="D79" s="64">
        <v>11.68</v>
      </c>
      <c r="E79" s="64">
        <v>3.9</v>
      </c>
      <c r="F79" s="64">
        <v>17.149999999999999</v>
      </c>
      <c r="G79" s="64">
        <v>43.56</v>
      </c>
      <c r="H79" s="209" t="s">
        <v>36</v>
      </c>
      <c r="I79" s="64">
        <v>0.87</v>
      </c>
      <c r="J79" s="64">
        <v>0.12</v>
      </c>
      <c r="K79" s="64">
        <v>149.18</v>
      </c>
      <c r="L79" s="64">
        <v>30.61</v>
      </c>
      <c r="M79" s="64">
        <v>85.45</v>
      </c>
      <c r="N79" s="64">
        <v>59.1</v>
      </c>
      <c r="O79" s="64">
        <v>0</v>
      </c>
      <c r="P79" s="64">
        <v>0.33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48" t="s">
        <v>2140</v>
      </c>
      <c r="B80" s="64">
        <v>7.92</v>
      </c>
      <c r="C80" s="64">
        <v>2.99</v>
      </c>
      <c r="D80" s="64">
        <v>11.69</v>
      </c>
      <c r="E80" s="64">
        <v>3.93</v>
      </c>
      <c r="F80" s="64">
        <v>19.309999999999999</v>
      </c>
      <c r="G80" s="64">
        <v>43.56</v>
      </c>
      <c r="H80" s="209" t="s">
        <v>36</v>
      </c>
      <c r="I80" s="64">
        <v>1.07</v>
      </c>
      <c r="J80" s="64">
        <v>0.2</v>
      </c>
      <c r="K80" s="64">
        <v>171.96</v>
      </c>
      <c r="L80" s="64">
        <v>30.39</v>
      </c>
      <c r="M80" s="64">
        <v>87.16</v>
      </c>
      <c r="N80" s="64">
        <v>45</v>
      </c>
      <c r="O80" s="64">
        <v>0</v>
      </c>
      <c r="P80" s="64">
        <v>0.31</v>
      </c>
      <c r="Q80" s="64">
        <v>9.4499999999999993</v>
      </c>
      <c r="R80" s="198"/>
      <c r="S80" s="198"/>
      <c r="T80" s="198"/>
      <c r="U80" s="198"/>
    </row>
    <row r="81" spans="1:26" s="12" customFormat="1" x14ac:dyDescent="0.25">
      <c r="A81" s="248" t="s">
        <v>2141</v>
      </c>
      <c r="B81" s="64">
        <v>7.9</v>
      </c>
      <c r="C81" s="64">
        <v>3.03</v>
      </c>
      <c r="D81" s="64">
        <v>11.7</v>
      </c>
      <c r="E81" s="64">
        <v>3.95</v>
      </c>
      <c r="F81" s="64">
        <v>18.45</v>
      </c>
      <c r="G81" s="64">
        <v>43.56</v>
      </c>
      <c r="H81" s="209" t="s">
        <v>36</v>
      </c>
      <c r="I81" s="64">
        <v>0.97</v>
      </c>
      <c r="J81" s="64">
        <v>0.02</v>
      </c>
      <c r="K81" s="64">
        <v>60.95</v>
      </c>
      <c r="L81" s="64">
        <v>30.25</v>
      </c>
      <c r="M81" s="64">
        <v>89.26</v>
      </c>
      <c r="N81" s="64">
        <v>35.5</v>
      </c>
      <c r="O81" s="64">
        <v>0</v>
      </c>
      <c r="P81" s="64">
        <v>0.37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48" t="s">
        <v>2142</v>
      </c>
      <c r="B82" s="64">
        <v>7.9</v>
      </c>
      <c r="C82" s="64">
        <v>2.98</v>
      </c>
      <c r="D82" s="64">
        <v>11.67</v>
      </c>
      <c r="E82" s="64">
        <v>3.57</v>
      </c>
      <c r="F82" s="64">
        <v>10.16</v>
      </c>
      <c r="G82" s="64">
        <v>40.630000000000003</v>
      </c>
      <c r="H82" s="209" t="s">
        <v>36</v>
      </c>
      <c r="I82" s="64">
        <v>0.74</v>
      </c>
      <c r="J82" s="64">
        <v>0.03</v>
      </c>
      <c r="K82" s="64">
        <v>258.11</v>
      </c>
      <c r="L82" s="64">
        <v>30.08</v>
      </c>
      <c r="M82" s="64">
        <v>89.2</v>
      </c>
      <c r="N82" s="64">
        <v>28.4</v>
      </c>
      <c r="O82" s="64">
        <v>0</v>
      </c>
      <c r="P82" s="64">
        <v>0.49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48" t="s">
        <v>2143</v>
      </c>
      <c r="B83" s="64">
        <v>7.92</v>
      </c>
      <c r="C83" s="64">
        <v>2.96</v>
      </c>
      <c r="D83" s="64">
        <v>11.67</v>
      </c>
      <c r="E83" s="64">
        <v>3.54</v>
      </c>
      <c r="F83" s="64">
        <v>2.78</v>
      </c>
      <c r="G83" s="64">
        <v>28.88</v>
      </c>
      <c r="H83" s="209" t="s">
        <v>36</v>
      </c>
      <c r="I83" s="64">
        <v>0.87</v>
      </c>
      <c r="J83" s="64">
        <v>0.4</v>
      </c>
      <c r="K83" s="64">
        <v>149.66999999999999</v>
      </c>
      <c r="L83" s="64">
        <v>29.79</v>
      </c>
      <c r="M83" s="64">
        <v>90.97</v>
      </c>
      <c r="N83" s="64">
        <v>25.7</v>
      </c>
      <c r="O83" s="64">
        <v>0</v>
      </c>
      <c r="P83" s="64">
        <v>0.48</v>
      </c>
      <c r="Q83" s="64">
        <v>9.32</v>
      </c>
      <c r="R83" s="198"/>
      <c r="S83" s="198"/>
      <c r="T83" s="198"/>
      <c r="U83" s="198"/>
    </row>
    <row r="84" spans="1:26" s="12" customFormat="1" x14ac:dyDescent="0.25">
      <c r="A84" s="248" t="s">
        <v>2144</v>
      </c>
      <c r="B84" s="64">
        <v>7.95</v>
      </c>
      <c r="C84" s="64">
        <v>2.99</v>
      </c>
      <c r="D84" s="64">
        <v>11.71</v>
      </c>
      <c r="E84" s="64">
        <v>3.48</v>
      </c>
      <c r="F84" s="64">
        <v>3.95</v>
      </c>
      <c r="G84" s="64">
        <v>28.88</v>
      </c>
      <c r="H84" s="209" t="s">
        <v>36</v>
      </c>
      <c r="I84" s="64">
        <v>1.24</v>
      </c>
      <c r="J84" s="64">
        <v>0.7</v>
      </c>
      <c r="K84" s="64">
        <v>138.91</v>
      </c>
      <c r="L84" s="64">
        <v>29.98</v>
      </c>
      <c r="M84" s="64">
        <v>89.99</v>
      </c>
      <c r="N84" s="64">
        <v>25.3</v>
      </c>
      <c r="O84" s="64">
        <v>0</v>
      </c>
      <c r="P84" s="64">
        <v>0.46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48" t="s">
        <v>2145</v>
      </c>
      <c r="B85" s="64">
        <v>8</v>
      </c>
      <c r="C85" s="64">
        <v>3.13</v>
      </c>
      <c r="D85" s="64">
        <v>11.83</v>
      </c>
      <c r="E85" s="64">
        <v>3.25</v>
      </c>
      <c r="F85" s="64">
        <v>3.6</v>
      </c>
      <c r="G85" s="64">
        <v>28.88</v>
      </c>
      <c r="H85" s="209" t="s">
        <v>36</v>
      </c>
      <c r="I85" s="64">
        <v>1.5</v>
      </c>
      <c r="J85" s="64">
        <v>0.42</v>
      </c>
      <c r="K85" s="64">
        <v>144.75</v>
      </c>
      <c r="L85" s="64">
        <v>29.85</v>
      </c>
      <c r="M85" s="64">
        <v>90.37</v>
      </c>
      <c r="N85" s="64">
        <v>25.6</v>
      </c>
      <c r="O85" s="64">
        <v>0</v>
      </c>
      <c r="P85" s="64">
        <v>0.45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48" t="s">
        <v>2146</v>
      </c>
      <c r="B86" s="64">
        <v>8</v>
      </c>
      <c r="C86" s="64">
        <v>3.11</v>
      </c>
      <c r="D86" s="64">
        <v>11.81</v>
      </c>
      <c r="E86" s="64">
        <v>3.17</v>
      </c>
      <c r="F86" s="64">
        <v>3.72</v>
      </c>
      <c r="G86" s="64">
        <v>34.86</v>
      </c>
      <c r="H86" s="209" t="s">
        <v>36</v>
      </c>
      <c r="I86" s="64">
        <v>1.84</v>
      </c>
      <c r="J86" s="64">
        <v>0.79</v>
      </c>
      <c r="K86" s="64">
        <v>151.29</v>
      </c>
      <c r="L86" s="64">
        <v>29.86</v>
      </c>
      <c r="M86" s="64">
        <v>91.36</v>
      </c>
      <c r="N86" s="64">
        <v>25.6</v>
      </c>
      <c r="O86" s="64">
        <v>0</v>
      </c>
      <c r="P86" s="64">
        <v>0.45</v>
      </c>
      <c r="Q86" s="64">
        <v>9.41</v>
      </c>
      <c r="R86" s="198"/>
      <c r="S86" s="198"/>
      <c r="T86" s="198"/>
      <c r="U86" s="198"/>
    </row>
    <row r="87" spans="1:26" s="12" customFormat="1" x14ac:dyDescent="0.25">
      <c r="A87" s="248" t="s">
        <v>2147</v>
      </c>
      <c r="B87" s="64">
        <v>7.99</v>
      </c>
      <c r="C87" s="64">
        <v>3</v>
      </c>
      <c r="D87" s="64">
        <v>11.75</v>
      </c>
      <c r="E87" s="64">
        <v>3.19</v>
      </c>
      <c r="F87" s="64">
        <v>3.56</v>
      </c>
      <c r="G87" s="64">
        <v>58.8</v>
      </c>
      <c r="H87" s="209" t="s">
        <v>36</v>
      </c>
      <c r="I87" s="64">
        <v>2.33</v>
      </c>
      <c r="J87" s="64">
        <v>0.46</v>
      </c>
      <c r="K87" s="64">
        <v>143.37</v>
      </c>
      <c r="L87" s="64">
        <v>29.7</v>
      </c>
      <c r="M87" s="64">
        <v>91.43</v>
      </c>
      <c r="N87" s="64">
        <v>25.7</v>
      </c>
      <c r="O87" s="64">
        <v>0</v>
      </c>
      <c r="P87" s="64">
        <v>0.45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48" t="s">
        <v>2148</v>
      </c>
      <c r="B88" s="64">
        <v>8.01</v>
      </c>
      <c r="C88" s="64">
        <v>3</v>
      </c>
      <c r="D88" s="64">
        <v>11.76</v>
      </c>
      <c r="E88" s="64">
        <v>3.09</v>
      </c>
      <c r="F88" s="64">
        <v>3.57</v>
      </c>
      <c r="G88" s="64">
        <v>58.8</v>
      </c>
      <c r="H88" s="209" t="s">
        <v>36</v>
      </c>
      <c r="I88" s="64">
        <v>2.63</v>
      </c>
      <c r="J88" s="64">
        <v>0.4</v>
      </c>
      <c r="K88" s="64">
        <v>335.07</v>
      </c>
      <c r="L88" s="64">
        <v>29.45</v>
      </c>
      <c r="M88" s="64">
        <v>96.74</v>
      </c>
      <c r="N88" s="64">
        <v>28.2</v>
      </c>
      <c r="O88" s="64">
        <v>0</v>
      </c>
      <c r="P88" s="64">
        <v>0.46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48" t="s">
        <v>2149</v>
      </c>
      <c r="B89" s="64">
        <v>8.02</v>
      </c>
      <c r="C89" s="64">
        <v>2.99</v>
      </c>
      <c r="D89" s="64">
        <v>11.77</v>
      </c>
      <c r="E89" s="64">
        <v>3.6</v>
      </c>
      <c r="F89" s="64">
        <v>3.53</v>
      </c>
      <c r="G89" s="64">
        <v>58.8</v>
      </c>
      <c r="H89" s="209" t="s">
        <v>36</v>
      </c>
      <c r="I89" s="64">
        <v>2.96</v>
      </c>
      <c r="J89" s="64">
        <v>0.08</v>
      </c>
      <c r="K89" s="64">
        <v>63</v>
      </c>
      <c r="L89" s="64">
        <v>27.66</v>
      </c>
      <c r="M89" s="64">
        <v>101.78</v>
      </c>
      <c r="N89" s="64">
        <v>27.7</v>
      </c>
      <c r="O89" s="64">
        <v>0</v>
      </c>
      <c r="P89" s="64">
        <v>0.48</v>
      </c>
      <c r="Q89" s="64">
        <v>9.49</v>
      </c>
      <c r="R89" s="198"/>
      <c r="S89" s="198"/>
      <c r="T89" s="198"/>
      <c r="U89" s="198"/>
    </row>
    <row r="90" spans="1:26" s="12" customFormat="1" x14ac:dyDescent="0.25">
      <c r="A90" s="248" t="s">
        <v>2150</v>
      </c>
      <c r="B90" s="64">
        <v>8</v>
      </c>
      <c r="C90" s="64">
        <v>2.96</v>
      </c>
      <c r="D90" s="64">
        <v>11.73</v>
      </c>
      <c r="E90" s="64">
        <v>4.13</v>
      </c>
      <c r="F90" s="64">
        <v>3.87</v>
      </c>
      <c r="G90" s="64">
        <v>58.03</v>
      </c>
      <c r="H90" s="209" t="s">
        <v>36</v>
      </c>
      <c r="I90" s="64">
        <v>3.13</v>
      </c>
      <c r="J90" s="64">
        <v>0.68</v>
      </c>
      <c r="K90" s="64">
        <v>119.63</v>
      </c>
      <c r="L90" s="64">
        <v>27.26</v>
      </c>
      <c r="M90" s="64">
        <v>101.74</v>
      </c>
      <c r="N90" s="64">
        <v>27.3</v>
      </c>
      <c r="O90" s="64">
        <v>0</v>
      </c>
      <c r="P90" s="64">
        <v>0.49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48" t="s">
        <v>2151</v>
      </c>
      <c r="B91" s="64">
        <v>7.95</v>
      </c>
      <c r="C91" s="64">
        <v>2.96</v>
      </c>
      <c r="D91" s="64">
        <v>11.7</v>
      </c>
      <c r="E91" s="64">
        <v>4.04</v>
      </c>
      <c r="F91" s="64">
        <v>4.8499999999999996</v>
      </c>
      <c r="G91" s="64">
        <v>54.93</v>
      </c>
      <c r="H91" s="209" t="s">
        <v>36</v>
      </c>
      <c r="I91" s="64">
        <v>3.33</v>
      </c>
      <c r="J91" s="64">
        <v>0.02</v>
      </c>
      <c r="K91" s="64">
        <v>341.14</v>
      </c>
      <c r="L91" s="64">
        <v>27.13</v>
      </c>
      <c r="M91" s="64">
        <v>101.58</v>
      </c>
      <c r="N91" s="64">
        <v>25.8</v>
      </c>
      <c r="O91" s="64">
        <v>0</v>
      </c>
      <c r="P91" s="64">
        <v>0.5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48" t="s">
        <v>2152</v>
      </c>
      <c r="B92" s="64">
        <v>7.95</v>
      </c>
      <c r="C92" s="64">
        <v>2.98</v>
      </c>
      <c r="D92" s="64">
        <v>11.7</v>
      </c>
      <c r="E92" s="64">
        <v>4.45</v>
      </c>
      <c r="F92" s="64">
        <v>3.52</v>
      </c>
      <c r="G92" s="64">
        <v>54.93</v>
      </c>
      <c r="H92" s="209" t="s">
        <v>36</v>
      </c>
      <c r="I92" s="64">
        <v>3.61</v>
      </c>
      <c r="J92" s="64">
        <v>7.0000000000000007E-2</v>
      </c>
      <c r="K92" s="64">
        <v>13.72</v>
      </c>
      <c r="L92" s="64">
        <v>26.99</v>
      </c>
      <c r="M92" s="64">
        <v>101.68</v>
      </c>
      <c r="N92" s="64">
        <v>25.3</v>
      </c>
      <c r="O92" s="64">
        <v>0</v>
      </c>
      <c r="P92" s="64">
        <v>0.54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48" t="s">
        <v>2153</v>
      </c>
      <c r="B93" s="64">
        <v>7.96</v>
      </c>
      <c r="C93" s="64">
        <v>2.98</v>
      </c>
      <c r="D93" s="64">
        <v>11.71</v>
      </c>
      <c r="E93" s="64">
        <v>4.5</v>
      </c>
      <c r="F93" s="64">
        <v>2.35</v>
      </c>
      <c r="G93" s="64">
        <v>54.93</v>
      </c>
      <c r="H93" s="209" t="s">
        <v>36</v>
      </c>
      <c r="I93" s="64">
        <v>3.61</v>
      </c>
      <c r="J93" s="64">
        <v>0.05</v>
      </c>
      <c r="K93" s="64">
        <v>60.22</v>
      </c>
      <c r="L93" s="64">
        <v>26.96</v>
      </c>
      <c r="M93" s="64">
        <v>101.69</v>
      </c>
      <c r="N93" s="64">
        <v>25.6</v>
      </c>
      <c r="O93" s="64">
        <v>0</v>
      </c>
      <c r="P93" s="64">
        <v>0.59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48" t="s">
        <v>2154</v>
      </c>
      <c r="B94" s="64">
        <v>7.98</v>
      </c>
      <c r="C94" s="64">
        <v>2.97</v>
      </c>
      <c r="D94" s="64">
        <v>11.73</v>
      </c>
      <c r="E94" s="64">
        <v>3.92</v>
      </c>
      <c r="F94" s="64">
        <v>3.44</v>
      </c>
      <c r="G94" s="64">
        <v>52.46</v>
      </c>
      <c r="H94" s="209" t="s">
        <v>36</v>
      </c>
      <c r="I94" s="64">
        <v>3.72</v>
      </c>
      <c r="J94" s="64">
        <v>0.12</v>
      </c>
      <c r="K94" s="64">
        <v>79.52</v>
      </c>
      <c r="L94" s="64">
        <v>26.71</v>
      </c>
      <c r="M94" s="64">
        <v>101.34</v>
      </c>
      <c r="N94" s="64">
        <v>26.3</v>
      </c>
      <c r="O94" s="64">
        <v>0</v>
      </c>
      <c r="P94" s="64">
        <v>0.61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48" t="s">
        <v>2155</v>
      </c>
      <c r="B95" s="64">
        <v>8.01</v>
      </c>
      <c r="C95" s="64">
        <v>3.04</v>
      </c>
      <c r="D95" s="64">
        <v>11.79</v>
      </c>
      <c r="E95" s="64">
        <v>4.2</v>
      </c>
      <c r="F95" s="64">
        <v>4.58</v>
      </c>
      <c r="G95" s="64">
        <v>42.59</v>
      </c>
      <c r="H95" s="209" t="s">
        <v>36</v>
      </c>
      <c r="I95" s="64">
        <v>3.88</v>
      </c>
      <c r="J95" s="64">
        <v>0.11</v>
      </c>
      <c r="K95" s="64">
        <v>72.709999999999994</v>
      </c>
      <c r="L95" s="64">
        <v>26.52</v>
      </c>
      <c r="M95" s="64">
        <v>101.81</v>
      </c>
      <c r="N95" s="64">
        <v>26.2</v>
      </c>
      <c r="O95" s="64">
        <v>0</v>
      </c>
      <c r="P95" s="64">
        <v>0.65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48" t="s">
        <v>2156</v>
      </c>
      <c r="B96" s="64">
        <v>7.97</v>
      </c>
      <c r="C96" s="64">
        <v>2.97</v>
      </c>
      <c r="D96" s="64">
        <v>11.72</v>
      </c>
      <c r="E96" s="64">
        <v>4.0999999999999996</v>
      </c>
      <c r="F96" s="64">
        <v>3.65</v>
      </c>
      <c r="G96" s="64">
        <v>42.59</v>
      </c>
      <c r="H96" s="209" t="s">
        <v>36</v>
      </c>
      <c r="I96" s="64">
        <v>4</v>
      </c>
      <c r="J96" s="64">
        <v>0.09</v>
      </c>
      <c r="K96" s="64">
        <v>80.650000000000006</v>
      </c>
      <c r="L96" s="64">
        <v>26.32</v>
      </c>
      <c r="M96" s="64">
        <v>101.6</v>
      </c>
      <c r="N96" s="64">
        <v>25.9</v>
      </c>
      <c r="O96" s="64">
        <v>0</v>
      </c>
      <c r="P96" s="64">
        <v>0.67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2157</v>
      </c>
      <c r="B97" s="64">
        <v>8.01</v>
      </c>
      <c r="C97" s="64">
        <v>3.04</v>
      </c>
      <c r="D97" s="64">
        <v>11.78</v>
      </c>
      <c r="E97" s="64">
        <v>4.01</v>
      </c>
      <c r="F97" s="64">
        <v>2.38</v>
      </c>
      <c r="G97" s="64">
        <v>42.59</v>
      </c>
      <c r="H97" s="209" t="s">
        <v>36</v>
      </c>
      <c r="I97" s="64">
        <v>3.99</v>
      </c>
      <c r="J97" s="64">
        <v>0.06</v>
      </c>
      <c r="K97" s="64">
        <v>96.87</v>
      </c>
      <c r="L97" s="64">
        <v>26.5</v>
      </c>
      <c r="M97" s="64">
        <v>102.05</v>
      </c>
      <c r="N97" s="64">
        <v>25.4</v>
      </c>
      <c r="O97" s="64">
        <v>0</v>
      </c>
      <c r="P97" s="64">
        <v>0.71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48" t="s">
        <v>2158</v>
      </c>
      <c r="B98" s="64">
        <v>8.02</v>
      </c>
      <c r="C98" s="64">
        <v>3.09</v>
      </c>
      <c r="D98" s="64">
        <v>11.82</v>
      </c>
      <c r="E98" s="64">
        <v>4.28</v>
      </c>
      <c r="F98" s="64">
        <v>4.01</v>
      </c>
      <c r="G98" s="64">
        <v>39.65</v>
      </c>
      <c r="H98" s="209" t="s">
        <v>36</v>
      </c>
      <c r="I98" s="64">
        <v>4.1399999999999997</v>
      </c>
      <c r="J98" s="64">
        <v>0.03</v>
      </c>
      <c r="K98" s="64">
        <v>219.03</v>
      </c>
      <c r="L98" s="64">
        <v>26.38</v>
      </c>
      <c r="M98" s="64">
        <v>101.67</v>
      </c>
      <c r="N98" s="64">
        <v>25.4</v>
      </c>
      <c r="O98" s="64">
        <v>0</v>
      </c>
      <c r="P98" s="64">
        <v>0.76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48" t="s">
        <v>2159</v>
      </c>
      <c r="B99" s="64">
        <v>8</v>
      </c>
      <c r="C99" s="64">
        <v>3.02</v>
      </c>
      <c r="D99" s="64">
        <v>11.76</v>
      </c>
      <c r="E99" s="64">
        <v>4.3499999999999996</v>
      </c>
      <c r="F99" s="64">
        <v>3.95</v>
      </c>
      <c r="G99" s="64">
        <v>27.88</v>
      </c>
      <c r="H99" s="209" t="s">
        <v>36</v>
      </c>
      <c r="I99" s="64">
        <v>4.3600000000000003</v>
      </c>
      <c r="J99" s="64">
        <v>0.15</v>
      </c>
      <c r="K99" s="64">
        <v>329.07</v>
      </c>
      <c r="L99" s="64">
        <v>26.73</v>
      </c>
      <c r="M99" s="64">
        <v>101.14</v>
      </c>
      <c r="N99" s="64">
        <v>25.2</v>
      </c>
      <c r="O99" s="64">
        <v>0</v>
      </c>
      <c r="P99" s="64">
        <v>0.8</v>
      </c>
      <c r="Q99" s="64">
        <v>9.75</v>
      </c>
      <c r="R99" s="198"/>
      <c r="S99" s="198"/>
      <c r="T99" s="198"/>
      <c r="U99" s="198"/>
    </row>
    <row r="100" spans="1:33" s="12" customFormat="1" x14ac:dyDescent="0.25">
      <c r="A100" s="248" t="s">
        <v>2160</v>
      </c>
      <c r="B100" s="64">
        <v>8.06</v>
      </c>
      <c r="C100" s="64">
        <v>3.07</v>
      </c>
      <c r="D100" s="64">
        <v>11.84</v>
      </c>
      <c r="E100" s="64">
        <v>4.21</v>
      </c>
      <c r="F100" s="64">
        <v>2.54</v>
      </c>
      <c r="G100" s="64">
        <v>27.88</v>
      </c>
      <c r="H100" s="209" t="s">
        <v>36</v>
      </c>
      <c r="I100" s="64">
        <v>4.47</v>
      </c>
      <c r="J100" s="64">
        <v>0.09</v>
      </c>
      <c r="K100" s="64">
        <v>290.94</v>
      </c>
      <c r="L100" s="64">
        <v>26.67</v>
      </c>
      <c r="M100" s="64">
        <v>100.53</v>
      </c>
      <c r="N100" s="64">
        <v>25.5</v>
      </c>
      <c r="O100" s="64">
        <v>0</v>
      </c>
      <c r="P100" s="64">
        <v>0.82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2161</v>
      </c>
      <c r="B101" s="64">
        <v>8.07</v>
      </c>
      <c r="C101" s="64">
        <v>3.06</v>
      </c>
      <c r="D101" s="64">
        <v>11.84</v>
      </c>
      <c r="E101" s="64">
        <v>3.99</v>
      </c>
      <c r="F101" s="64">
        <v>3.09</v>
      </c>
      <c r="G101" s="64">
        <v>27.88</v>
      </c>
      <c r="H101" s="209" t="s">
        <v>36</v>
      </c>
      <c r="I101" s="64">
        <v>4.57</v>
      </c>
      <c r="J101" s="64">
        <v>0.03</v>
      </c>
      <c r="K101" s="64">
        <v>87.93</v>
      </c>
      <c r="L101" s="64">
        <v>26.61</v>
      </c>
      <c r="M101" s="64">
        <v>101.05</v>
      </c>
      <c r="N101" s="64">
        <v>25</v>
      </c>
      <c r="O101" s="64">
        <v>0</v>
      </c>
      <c r="P101" s="64">
        <v>0.85</v>
      </c>
      <c r="Q101" s="64">
        <v>9.75</v>
      </c>
      <c r="R101" s="198"/>
      <c r="S101" s="198"/>
      <c r="T101" s="198"/>
      <c r="U101" s="198"/>
    </row>
    <row r="102" spans="1:33" s="12" customFormat="1" x14ac:dyDescent="0.25">
      <c r="A102" s="248" t="s">
        <v>2162</v>
      </c>
      <c r="B102" s="64">
        <v>8.07</v>
      </c>
      <c r="C102" s="64">
        <v>3.08</v>
      </c>
      <c r="D102" s="64">
        <v>11.85</v>
      </c>
      <c r="E102" s="64">
        <v>4.3899999999999997</v>
      </c>
      <c r="F102" s="64">
        <v>3.29</v>
      </c>
      <c r="G102" s="64">
        <v>29.28</v>
      </c>
      <c r="H102" s="209" t="s">
        <v>36</v>
      </c>
      <c r="I102" s="64">
        <v>4.91</v>
      </c>
      <c r="J102" s="64">
        <v>0.12</v>
      </c>
      <c r="K102" s="64">
        <v>86.77</v>
      </c>
      <c r="L102" s="64">
        <v>26.62</v>
      </c>
      <c r="M102" s="64">
        <v>101.19</v>
      </c>
      <c r="N102" s="64">
        <v>7.6</v>
      </c>
      <c r="O102" s="64">
        <v>0</v>
      </c>
      <c r="P102" s="64">
        <v>0.88</v>
      </c>
      <c r="Q102" s="64">
        <v>9.83</v>
      </c>
      <c r="R102" s="198"/>
      <c r="S102" s="198"/>
      <c r="T102" s="198"/>
      <c r="U102" s="198"/>
    </row>
    <row r="103" spans="1:33" s="12" customFormat="1" x14ac:dyDescent="0.25">
      <c r="A103" s="248" t="s">
        <v>2163</v>
      </c>
      <c r="B103" s="64">
        <v>8.06</v>
      </c>
      <c r="C103" s="64">
        <v>3.06</v>
      </c>
      <c r="D103" s="64">
        <v>11.84</v>
      </c>
      <c r="E103" s="64">
        <v>4.21</v>
      </c>
      <c r="F103" s="64">
        <v>3.06</v>
      </c>
      <c r="G103" s="64">
        <v>34.9</v>
      </c>
      <c r="H103" s="209" t="s">
        <v>36</v>
      </c>
      <c r="I103" s="64">
        <v>5.21</v>
      </c>
      <c r="J103" s="64">
        <v>0.1</v>
      </c>
      <c r="K103" s="64">
        <v>106.02</v>
      </c>
      <c r="L103" s="64">
        <v>26.73</v>
      </c>
      <c r="M103" s="64">
        <v>100.86</v>
      </c>
      <c r="N103" s="64">
        <v>0</v>
      </c>
      <c r="O103" s="64">
        <v>0</v>
      </c>
      <c r="P103" s="64">
        <v>0.89</v>
      </c>
      <c r="Q103" s="64">
        <v>9.8800000000000008</v>
      </c>
      <c r="R103" s="198"/>
      <c r="S103" s="198"/>
      <c r="T103" s="198"/>
      <c r="U103" s="198"/>
    </row>
    <row r="104" spans="1:33" s="12" customFormat="1" x14ac:dyDescent="0.25">
      <c r="A104" s="248" t="s">
        <v>2164</v>
      </c>
      <c r="B104" s="64">
        <v>8.0500000000000007</v>
      </c>
      <c r="C104" s="64">
        <v>3.02</v>
      </c>
      <c r="D104" s="64">
        <v>11.81</v>
      </c>
      <c r="E104" s="64">
        <v>4.63</v>
      </c>
      <c r="F104" s="64">
        <v>3.13</v>
      </c>
      <c r="G104" s="64">
        <v>34.9</v>
      </c>
      <c r="H104" s="209" t="s">
        <v>36</v>
      </c>
      <c r="I104" s="64">
        <v>5.53</v>
      </c>
      <c r="J104" s="64">
        <v>0.19</v>
      </c>
      <c r="K104" s="64">
        <v>126.68</v>
      </c>
      <c r="L104" s="64">
        <v>26.67</v>
      </c>
      <c r="M104" s="64">
        <v>101.23</v>
      </c>
      <c r="N104" s="64">
        <v>19.8</v>
      </c>
      <c r="O104" s="64">
        <v>0</v>
      </c>
      <c r="P104" s="64">
        <v>0.9</v>
      </c>
      <c r="Q104" s="64">
        <v>9.92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2.93</v>
      </c>
      <c r="D106" s="67">
        <f t="shared" ref="D106:Q106" si="0">MIN(D9:D104)</f>
        <v>11.67</v>
      </c>
      <c r="E106" s="67">
        <f t="shared" si="0"/>
        <v>3.09</v>
      </c>
      <c r="F106" s="67">
        <f t="shared" si="0"/>
        <v>2.2599999999999998</v>
      </c>
      <c r="G106" s="67">
        <f t="shared" si="0"/>
        <v>24.69</v>
      </c>
      <c r="H106" s="67">
        <f t="shared" si="0"/>
        <v>0</v>
      </c>
      <c r="I106" s="67">
        <f t="shared" si="0"/>
        <v>0.74</v>
      </c>
      <c r="J106" s="67">
        <f t="shared" si="0"/>
        <v>0.02</v>
      </c>
      <c r="K106" s="67">
        <f t="shared" si="0"/>
        <v>1.59</v>
      </c>
      <c r="L106" s="67">
        <f t="shared" si="0"/>
        <v>26.32</v>
      </c>
      <c r="M106" s="67">
        <f t="shared" si="0"/>
        <v>82.26</v>
      </c>
      <c r="N106" s="67">
        <f t="shared" si="0"/>
        <v>0</v>
      </c>
      <c r="O106" s="67">
        <f t="shared" si="0"/>
        <v>0</v>
      </c>
      <c r="P106" s="67">
        <f t="shared" si="0"/>
        <v>0.24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8.4700000000000006</v>
      </c>
      <c r="C107" s="66">
        <f t="shared" ref="C107:Q107" si="1">MAX(C9:C104)</f>
        <v>4.72</v>
      </c>
      <c r="D107" s="66">
        <f t="shared" si="1"/>
        <v>12.97</v>
      </c>
      <c r="E107" s="66">
        <f t="shared" si="1"/>
        <v>5.92</v>
      </c>
      <c r="F107" s="66">
        <f t="shared" si="1"/>
        <v>20.82</v>
      </c>
      <c r="G107" s="66">
        <f t="shared" si="1"/>
        <v>71.56</v>
      </c>
      <c r="H107" s="66">
        <f t="shared" si="1"/>
        <v>0</v>
      </c>
      <c r="I107" s="66">
        <f t="shared" si="1"/>
        <v>5.53</v>
      </c>
      <c r="J107" s="66">
        <f t="shared" si="1"/>
        <v>1.29</v>
      </c>
      <c r="K107" s="66">
        <f t="shared" si="1"/>
        <v>357.57</v>
      </c>
      <c r="L107" s="66">
        <f t="shared" si="1"/>
        <v>31.46</v>
      </c>
      <c r="M107" s="66">
        <f t="shared" si="1"/>
        <v>103.67</v>
      </c>
      <c r="N107" s="66">
        <f t="shared" si="1"/>
        <v>372.9</v>
      </c>
      <c r="O107" s="66">
        <f t="shared" si="1"/>
        <v>0</v>
      </c>
      <c r="P107" s="66">
        <f t="shared" si="1"/>
        <v>0.9</v>
      </c>
      <c r="Q107" s="66">
        <f t="shared" si="1"/>
        <v>9.92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7.9972916666666682</v>
      </c>
      <c r="C108" s="67">
        <f t="shared" ref="C108:Q108" si="2">AVERAGE(C9:C104)</f>
        <v>3.0689583333333341</v>
      </c>
      <c r="D108" s="67">
        <f t="shared" si="2"/>
        <v>11.790833333333332</v>
      </c>
      <c r="E108" s="67">
        <f t="shared" si="2"/>
        <v>4.3397916666666658</v>
      </c>
      <c r="F108" s="67">
        <f t="shared" si="2"/>
        <v>5.6513541666666667</v>
      </c>
      <c r="G108" s="67">
        <f t="shared" si="2"/>
        <v>41.757604166666695</v>
      </c>
      <c r="H108" s="67" t="e">
        <f t="shared" si="2"/>
        <v>#DIV/0!</v>
      </c>
      <c r="I108" s="67">
        <f t="shared" si="2"/>
        <v>2.572291666666668</v>
      </c>
      <c r="J108" s="67">
        <f t="shared" si="2"/>
        <v>0.21083333333333332</v>
      </c>
      <c r="K108" s="67">
        <f t="shared" si="2"/>
        <v>220.45499999999996</v>
      </c>
      <c r="L108" s="67">
        <f t="shared" si="2"/>
        <v>28.612708333333334</v>
      </c>
      <c r="M108" s="67">
        <f t="shared" si="2"/>
        <v>96.914479166666624</v>
      </c>
      <c r="N108" s="67">
        <f t="shared" si="2"/>
        <v>80.640624999999986</v>
      </c>
      <c r="O108" s="67">
        <f t="shared" si="2"/>
        <v>0</v>
      </c>
      <c r="P108" s="67">
        <f t="shared" si="2"/>
        <v>0.41874999999999996</v>
      </c>
      <c r="Q108" s="67">
        <f t="shared" si="2"/>
        <v>9.1757291666666685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7.857251651103711E-2</v>
      </c>
      <c r="C109" s="67">
        <f t="shared" ref="C109:Q109" si="3">STDEV(C9:C104)</f>
        <v>0.26944574365153706</v>
      </c>
      <c r="D109" s="67">
        <f t="shared" si="3"/>
        <v>0.19987188879335832</v>
      </c>
      <c r="E109" s="67">
        <f t="shared" si="3"/>
        <v>0.64925378894246311</v>
      </c>
      <c r="F109" s="67">
        <f t="shared" si="3"/>
        <v>4.1315226248395884</v>
      </c>
      <c r="G109" s="67">
        <f t="shared" si="3"/>
        <v>10.194316243537001</v>
      </c>
      <c r="H109" s="67" t="e">
        <f t="shared" si="3"/>
        <v>#DIV/0!</v>
      </c>
      <c r="I109" s="67">
        <f t="shared" si="3"/>
        <v>1.1202429052070175</v>
      </c>
      <c r="J109" s="67">
        <f t="shared" si="3"/>
        <v>0.19996666388842585</v>
      </c>
      <c r="K109" s="67">
        <f t="shared" si="3"/>
        <v>106.38539416964893</v>
      </c>
      <c r="L109" s="67">
        <f t="shared" si="3"/>
        <v>1.7314785158578181</v>
      </c>
      <c r="M109" s="67">
        <f t="shared" si="3"/>
        <v>7.3994313963327683</v>
      </c>
      <c r="N109" s="67">
        <f t="shared" si="3"/>
        <v>94.167069423529341</v>
      </c>
      <c r="O109" s="67">
        <f t="shared" si="3"/>
        <v>0</v>
      </c>
      <c r="P109" s="67">
        <f t="shared" si="3"/>
        <v>0.16436960917716104</v>
      </c>
      <c r="Q109" s="67">
        <f t="shared" si="3"/>
        <v>1.3573276723354779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COUNT(H9:H104)+96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2165</v>
      </c>
      <c r="B9" s="64">
        <v>8.08</v>
      </c>
      <c r="C9" s="64">
        <v>3.07</v>
      </c>
      <c r="D9" s="64">
        <v>11.86</v>
      </c>
      <c r="E9" s="64">
        <v>5.15</v>
      </c>
      <c r="F9" s="64">
        <v>3.37</v>
      </c>
      <c r="G9" s="64">
        <v>34.9</v>
      </c>
      <c r="H9" s="209" t="s">
        <v>36</v>
      </c>
      <c r="I9" s="64">
        <v>5.78</v>
      </c>
      <c r="J9" s="64">
        <v>7.0000000000000007E-2</v>
      </c>
      <c r="K9" s="64">
        <v>154.88999999999999</v>
      </c>
      <c r="L9" s="64">
        <v>26.6</v>
      </c>
      <c r="M9" s="64">
        <v>101.43</v>
      </c>
      <c r="N9" s="64">
        <v>26.4</v>
      </c>
      <c r="O9" s="64">
        <v>0</v>
      </c>
      <c r="P9" s="64">
        <v>0.89</v>
      </c>
      <c r="Q9" s="64">
        <v>9.9700000000000006</v>
      </c>
      <c r="R9" s="198"/>
      <c r="S9" s="198"/>
      <c r="T9" s="198"/>
      <c r="U9" s="198"/>
    </row>
    <row r="10" spans="1:21" s="12" customFormat="1" x14ac:dyDescent="0.25">
      <c r="A10" s="248" t="s">
        <v>2166</v>
      </c>
      <c r="B10" s="64">
        <v>8.1199999999999992</v>
      </c>
      <c r="C10" s="64">
        <v>3.14</v>
      </c>
      <c r="D10" s="64">
        <v>11.92</v>
      </c>
      <c r="E10" s="64">
        <v>5.1100000000000003</v>
      </c>
      <c r="F10" s="64">
        <v>3.27</v>
      </c>
      <c r="G10" s="64">
        <v>35.69</v>
      </c>
      <c r="H10" s="209" t="s">
        <v>36</v>
      </c>
      <c r="I10" s="64">
        <v>6.02</v>
      </c>
      <c r="J10" s="64">
        <v>0.13</v>
      </c>
      <c r="K10" s="64">
        <v>297.82</v>
      </c>
      <c r="L10" s="64">
        <v>26.54</v>
      </c>
      <c r="M10" s="64">
        <v>101.24</v>
      </c>
      <c r="N10" s="64">
        <v>25.8</v>
      </c>
      <c r="O10" s="64">
        <v>0</v>
      </c>
      <c r="P10" s="64">
        <v>0.88</v>
      </c>
      <c r="Q10" s="64">
        <v>9.99</v>
      </c>
      <c r="R10" s="198"/>
      <c r="S10" s="198"/>
      <c r="T10" s="198"/>
      <c r="U10" s="198"/>
    </row>
    <row r="11" spans="1:21" s="12" customFormat="1" x14ac:dyDescent="0.25">
      <c r="A11" s="248" t="s">
        <v>2167</v>
      </c>
      <c r="B11" s="64">
        <v>8.15</v>
      </c>
      <c r="C11" s="64">
        <v>3.18</v>
      </c>
      <c r="D11" s="64">
        <v>11.97</v>
      </c>
      <c r="E11" s="64">
        <v>4.92</v>
      </c>
      <c r="F11" s="64">
        <v>3.8</v>
      </c>
      <c r="G11" s="64">
        <v>38.840000000000003</v>
      </c>
      <c r="H11" s="209" t="s">
        <v>36</v>
      </c>
      <c r="I11" s="64">
        <v>6.14</v>
      </c>
      <c r="J11" s="64">
        <v>0.18</v>
      </c>
      <c r="K11" s="64">
        <v>200.31</v>
      </c>
      <c r="L11" s="64">
        <v>26.49</v>
      </c>
      <c r="M11" s="64">
        <v>100.99</v>
      </c>
      <c r="N11" s="64">
        <v>25.9</v>
      </c>
      <c r="O11" s="64">
        <v>0</v>
      </c>
      <c r="P11" s="64">
        <v>0.88</v>
      </c>
      <c r="Q11" s="64">
        <v>10.02</v>
      </c>
      <c r="R11" s="198"/>
      <c r="S11" s="198"/>
      <c r="T11" s="198"/>
      <c r="U11" s="198"/>
    </row>
    <row r="12" spans="1:21" s="12" customFormat="1" x14ac:dyDescent="0.25">
      <c r="A12" s="248" t="s">
        <v>2168</v>
      </c>
      <c r="B12" s="64">
        <v>8.09</v>
      </c>
      <c r="C12" s="64">
        <v>3.13</v>
      </c>
      <c r="D12" s="64">
        <v>11.9</v>
      </c>
      <c r="E12" s="64">
        <v>5.0199999999999996</v>
      </c>
      <c r="F12" s="64">
        <v>4.18</v>
      </c>
      <c r="G12" s="64">
        <v>38.840000000000003</v>
      </c>
      <c r="H12" s="209" t="s">
        <v>36</v>
      </c>
      <c r="I12" s="64">
        <v>6.25</v>
      </c>
      <c r="J12" s="64">
        <v>0.14000000000000001</v>
      </c>
      <c r="K12" s="64">
        <v>210.71</v>
      </c>
      <c r="L12" s="64">
        <v>26.9</v>
      </c>
      <c r="M12" s="64">
        <v>101.21</v>
      </c>
      <c r="N12" s="64">
        <v>26.7</v>
      </c>
      <c r="O12" s="64">
        <v>0</v>
      </c>
      <c r="P12" s="64">
        <v>0.88</v>
      </c>
      <c r="Q12" s="64">
        <v>10</v>
      </c>
      <c r="R12" s="198"/>
      <c r="S12" s="198"/>
      <c r="T12" s="198"/>
      <c r="U12" s="198"/>
    </row>
    <row r="13" spans="1:21" s="12" customFormat="1" x14ac:dyDescent="0.25">
      <c r="A13" s="248" t="s">
        <v>2169</v>
      </c>
      <c r="B13" s="64">
        <v>8.0399999999999991</v>
      </c>
      <c r="C13" s="64">
        <v>3.11</v>
      </c>
      <c r="D13" s="64">
        <v>11.85</v>
      </c>
      <c r="E13" s="64">
        <v>4.9400000000000004</v>
      </c>
      <c r="F13" s="64">
        <v>2.57</v>
      </c>
      <c r="G13" s="64">
        <v>38.840000000000003</v>
      </c>
      <c r="H13" s="209" t="s">
        <v>36</v>
      </c>
      <c r="I13" s="64">
        <v>6.25</v>
      </c>
      <c r="J13" s="64">
        <v>0.02</v>
      </c>
      <c r="K13" s="64">
        <v>149.72999999999999</v>
      </c>
      <c r="L13" s="64">
        <v>26.76</v>
      </c>
      <c r="M13" s="64">
        <v>101.48</v>
      </c>
      <c r="N13" s="64">
        <v>26.1</v>
      </c>
      <c r="O13" s="64">
        <v>0</v>
      </c>
      <c r="P13" s="64">
        <v>0.73</v>
      </c>
      <c r="Q13" s="64">
        <v>9.91</v>
      </c>
      <c r="R13" s="198"/>
      <c r="S13" s="198"/>
      <c r="T13" s="198"/>
      <c r="U13" s="198"/>
    </row>
    <row r="14" spans="1:21" s="12" customFormat="1" x14ac:dyDescent="0.25">
      <c r="A14" s="248" t="s">
        <v>2170</v>
      </c>
      <c r="B14" s="64">
        <v>8.09</v>
      </c>
      <c r="C14" s="64">
        <v>3.13</v>
      </c>
      <c r="D14" s="64">
        <v>11.9</v>
      </c>
      <c r="E14" s="64">
        <v>4.4400000000000004</v>
      </c>
      <c r="F14" s="64">
        <v>3.7</v>
      </c>
      <c r="G14" s="64">
        <v>38.25</v>
      </c>
      <c r="H14" s="209" t="s">
        <v>36</v>
      </c>
      <c r="I14" s="64">
        <v>6.14</v>
      </c>
      <c r="J14" s="64">
        <v>0.03</v>
      </c>
      <c r="K14" s="64">
        <v>329.34</v>
      </c>
      <c r="L14" s="64">
        <v>26.63</v>
      </c>
      <c r="M14" s="64">
        <v>101.09</v>
      </c>
      <c r="N14" s="64">
        <v>26</v>
      </c>
      <c r="O14" s="64">
        <v>0</v>
      </c>
      <c r="P14" s="64">
        <v>0.74</v>
      </c>
      <c r="Q14" s="64">
        <v>9.92</v>
      </c>
      <c r="R14" s="198"/>
      <c r="S14" s="198"/>
      <c r="T14" s="198"/>
      <c r="U14" s="198"/>
    </row>
    <row r="15" spans="1:21" s="12" customFormat="1" x14ac:dyDescent="0.25">
      <c r="A15" s="248" t="s">
        <v>2171</v>
      </c>
      <c r="B15" s="64">
        <v>8.0299999999999994</v>
      </c>
      <c r="C15" s="64">
        <v>3.08</v>
      </c>
      <c r="D15" s="64">
        <v>11.82</v>
      </c>
      <c r="E15" s="64">
        <v>4.8499999999999996</v>
      </c>
      <c r="F15" s="64">
        <v>4.66</v>
      </c>
      <c r="G15" s="64">
        <v>35.9</v>
      </c>
      <c r="H15" s="209" t="s">
        <v>36</v>
      </c>
      <c r="I15" s="64">
        <v>5.98</v>
      </c>
      <c r="J15" s="64">
        <v>0.09</v>
      </c>
      <c r="K15" s="64">
        <v>332.09</v>
      </c>
      <c r="L15" s="64">
        <v>26.7</v>
      </c>
      <c r="M15" s="64">
        <v>101.45</v>
      </c>
      <c r="N15" s="64">
        <v>25.8</v>
      </c>
      <c r="O15" s="64">
        <v>0</v>
      </c>
      <c r="P15" s="64">
        <v>0.71</v>
      </c>
      <c r="Q15" s="64">
        <v>9.92</v>
      </c>
      <c r="R15" s="198"/>
      <c r="S15" s="198"/>
      <c r="T15" s="198"/>
      <c r="U15" s="198"/>
    </row>
    <row r="16" spans="1:21" s="12" customFormat="1" x14ac:dyDescent="0.25">
      <c r="A16" s="248" t="s">
        <v>2172</v>
      </c>
      <c r="B16" s="64">
        <v>8.0299999999999994</v>
      </c>
      <c r="C16" s="64">
        <v>3.07</v>
      </c>
      <c r="D16" s="64">
        <v>11.82</v>
      </c>
      <c r="E16" s="64">
        <v>4.8600000000000003</v>
      </c>
      <c r="F16" s="64">
        <v>2.31</v>
      </c>
      <c r="G16" s="64">
        <v>35.9</v>
      </c>
      <c r="H16" s="209" t="s">
        <v>36</v>
      </c>
      <c r="I16" s="64">
        <v>5.77</v>
      </c>
      <c r="J16" s="64">
        <v>0.17</v>
      </c>
      <c r="K16" s="64">
        <v>335.49</v>
      </c>
      <c r="L16" s="64">
        <v>26.65</v>
      </c>
      <c r="M16" s="64">
        <v>101.03</v>
      </c>
      <c r="N16" s="64">
        <v>27.1</v>
      </c>
      <c r="O16" s="64">
        <v>0</v>
      </c>
      <c r="P16" s="64">
        <v>0.68</v>
      </c>
      <c r="Q16" s="64">
        <v>9.84</v>
      </c>
      <c r="R16" s="198"/>
      <c r="S16" s="198"/>
      <c r="T16" s="198"/>
      <c r="U16" s="198"/>
    </row>
    <row r="17" spans="1:21" s="12" customFormat="1" x14ac:dyDescent="0.25">
      <c r="A17" s="248" t="s">
        <v>2173</v>
      </c>
      <c r="B17" s="64">
        <v>8.07</v>
      </c>
      <c r="C17" s="64">
        <v>3.17</v>
      </c>
      <c r="D17" s="64">
        <v>11.91</v>
      </c>
      <c r="E17" s="64">
        <v>4.7699999999999996</v>
      </c>
      <c r="F17" s="64">
        <v>3.31</v>
      </c>
      <c r="G17" s="64">
        <v>35.9</v>
      </c>
      <c r="H17" s="209" t="s">
        <v>36</v>
      </c>
      <c r="I17" s="64">
        <v>5.57</v>
      </c>
      <c r="J17" s="64">
        <v>7.0000000000000007E-2</v>
      </c>
      <c r="K17" s="64">
        <v>345.11</v>
      </c>
      <c r="L17" s="64">
        <v>26.25</v>
      </c>
      <c r="M17" s="64">
        <v>101.42</v>
      </c>
      <c r="N17" s="64">
        <v>26.8</v>
      </c>
      <c r="O17" s="64">
        <v>0</v>
      </c>
      <c r="P17" s="64">
        <v>0.63</v>
      </c>
      <c r="Q17" s="64">
        <v>9.7899999999999991</v>
      </c>
      <c r="R17" s="198"/>
      <c r="S17" s="198"/>
      <c r="T17" s="198"/>
      <c r="U17" s="198"/>
    </row>
    <row r="18" spans="1:21" s="12" customFormat="1" x14ac:dyDescent="0.25">
      <c r="A18" s="248" t="s">
        <v>2174</v>
      </c>
      <c r="B18" s="64">
        <v>8.0299999999999994</v>
      </c>
      <c r="C18" s="64">
        <v>3.09</v>
      </c>
      <c r="D18" s="64">
        <v>11.83</v>
      </c>
      <c r="E18" s="64">
        <v>4.17</v>
      </c>
      <c r="F18" s="64">
        <v>4.5</v>
      </c>
      <c r="G18" s="64">
        <v>34.17</v>
      </c>
      <c r="H18" s="209" t="s">
        <v>36</v>
      </c>
      <c r="I18" s="64">
        <v>5.12</v>
      </c>
      <c r="J18" s="64">
        <v>0.02</v>
      </c>
      <c r="K18" s="64">
        <v>328.65</v>
      </c>
      <c r="L18" s="64">
        <v>25.97</v>
      </c>
      <c r="M18" s="64">
        <v>101.14</v>
      </c>
      <c r="N18" s="64">
        <v>20.5</v>
      </c>
      <c r="O18" s="64">
        <v>0</v>
      </c>
      <c r="P18" s="64">
        <v>0.61</v>
      </c>
      <c r="Q18" s="64">
        <v>9.7899999999999991</v>
      </c>
      <c r="R18" s="198"/>
      <c r="S18" s="198"/>
      <c r="T18" s="198"/>
      <c r="U18" s="198"/>
    </row>
    <row r="19" spans="1:21" s="12" customFormat="1" x14ac:dyDescent="0.25">
      <c r="A19" s="248" t="s">
        <v>2175</v>
      </c>
      <c r="B19" s="64">
        <v>8</v>
      </c>
      <c r="C19" s="64">
        <v>3.03</v>
      </c>
      <c r="D19" s="64">
        <v>11.77</v>
      </c>
      <c r="E19" s="64">
        <v>4.82</v>
      </c>
      <c r="F19" s="64">
        <v>3.14</v>
      </c>
      <c r="G19" s="64">
        <v>27.28</v>
      </c>
      <c r="H19" s="209" t="s">
        <v>36</v>
      </c>
      <c r="I19" s="64">
        <v>4.74</v>
      </c>
      <c r="J19" s="64">
        <v>0.08</v>
      </c>
      <c r="K19" s="64">
        <v>12.68</v>
      </c>
      <c r="L19" s="64">
        <v>26.02</v>
      </c>
      <c r="M19" s="64">
        <v>101.49</v>
      </c>
      <c r="N19" s="64">
        <v>0</v>
      </c>
      <c r="O19" s="64">
        <v>0</v>
      </c>
      <c r="P19" s="64">
        <v>0.6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48" t="s">
        <v>2176</v>
      </c>
      <c r="B20" s="64">
        <v>8</v>
      </c>
      <c r="C20" s="64">
        <v>3.05</v>
      </c>
      <c r="D20" s="64">
        <v>11.79</v>
      </c>
      <c r="E20" s="64">
        <v>4.76</v>
      </c>
      <c r="F20" s="64">
        <v>3.16</v>
      </c>
      <c r="G20" s="64">
        <v>27.28</v>
      </c>
      <c r="H20" s="209" t="s">
        <v>36</v>
      </c>
      <c r="I20" s="64">
        <v>4.5999999999999996</v>
      </c>
      <c r="J20" s="64">
        <v>0.04</v>
      </c>
      <c r="K20" s="64">
        <v>260.91000000000003</v>
      </c>
      <c r="L20" s="64">
        <v>25.79</v>
      </c>
      <c r="M20" s="64">
        <v>101.3</v>
      </c>
      <c r="N20" s="64">
        <v>22.5</v>
      </c>
      <c r="O20" s="64">
        <v>0</v>
      </c>
      <c r="P20" s="64">
        <v>0.56000000000000005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48" t="s">
        <v>2177</v>
      </c>
      <c r="B21" s="64">
        <v>8.0299999999999994</v>
      </c>
      <c r="C21" s="64">
        <v>3.03</v>
      </c>
      <c r="D21" s="64">
        <v>11.8</v>
      </c>
      <c r="E21" s="64">
        <v>4.13</v>
      </c>
      <c r="F21" s="64">
        <v>3.4</v>
      </c>
      <c r="G21" s="64">
        <v>27.28</v>
      </c>
      <c r="H21" s="209" t="s">
        <v>36</v>
      </c>
      <c r="I21" s="64">
        <v>4.46</v>
      </c>
      <c r="J21" s="64">
        <v>0.08</v>
      </c>
      <c r="K21" s="64">
        <v>183.24</v>
      </c>
      <c r="L21" s="64">
        <v>25.4</v>
      </c>
      <c r="M21" s="64">
        <v>101.61</v>
      </c>
      <c r="N21" s="64">
        <v>25.2</v>
      </c>
      <c r="O21" s="64">
        <v>0</v>
      </c>
      <c r="P21" s="64">
        <v>0.55000000000000004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48" t="s">
        <v>2178</v>
      </c>
      <c r="B22" s="64">
        <v>8.01</v>
      </c>
      <c r="C22" s="64">
        <v>2.99</v>
      </c>
      <c r="D22" s="64">
        <v>11.76</v>
      </c>
      <c r="E22" s="64">
        <v>4.53</v>
      </c>
      <c r="F22" s="64">
        <v>3.42</v>
      </c>
      <c r="G22" s="64">
        <v>26.05</v>
      </c>
      <c r="H22" s="209" t="s">
        <v>36</v>
      </c>
      <c r="I22" s="64">
        <v>4.38</v>
      </c>
      <c r="J22" s="64">
        <v>0.14000000000000001</v>
      </c>
      <c r="K22" s="64">
        <v>102.73</v>
      </c>
      <c r="L22" s="64">
        <v>25.53</v>
      </c>
      <c r="M22" s="64">
        <v>101.61</v>
      </c>
      <c r="N22" s="64">
        <v>25.4</v>
      </c>
      <c r="O22" s="64">
        <v>0</v>
      </c>
      <c r="P22" s="64">
        <v>0.53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48" t="s">
        <v>2179</v>
      </c>
      <c r="B23" s="64">
        <v>8.01</v>
      </c>
      <c r="C23" s="64">
        <v>2.96</v>
      </c>
      <c r="D23" s="64">
        <v>11.74</v>
      </c>
      <c r="E23" s="64">
        <v>4.18</v>
      </c>
      <c r="F23" s="64">
        <v>2.6</v>
      </c>
      <c r="G23" s="64">
        <v>21.13</v>
      </c>
      <c r="H23" s="209" t="s">
        <v>36</v>
      </c>
      <c r="I23" s="64">
        <v>4.5199999999999996</v>
      </c>
      <c r="J23" s="64">
        <v>0.09</v>
      </c>
      <c r="K23" s="64">
        <v>126.06</v>
      </c>
      <c r="L23" s="64">
        <v>25.49</v>
      </c>
      <c r="M23" s="64">
        <v>101.5</v>
      </c>
      <c r="N23" s="64">
        <v>25.1</v>
      </c>
      <c r="O23" s="64">
        <v>0</v>
      </c>
      <c r="P23" s="64">
        <v>0.52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48" t="s">
        <v>2180</v>
      </c>
      <c r="B24" s="64">
        <v>8.0299999999999994</v>
      </c>
      <c r="C24" s="64">
        <v>2.99</v>
      </c>
      <c r="D24" s="64">
        <v>11.77</v>
      </c>
      <c r="E24" s="64">
        <v>4.1900000000000004</v>
      </c>
      <c r="F24" s="64">
        <v>3.29</v>
      </c>
      <c r="G24" s="64">
        <v>21.13</v>
      </c>
      <c r="H24" s="209" t="s">
        <v>36</v>
      </c>
      <c r="I24" s="64">
        <v>4.6900000000000004</v>
      </c>
      <c r="J24" s="64">
        <v>0.05</v>
      </c>
      <c r="K24" s="64">
        <v>285.24</v>
      </c>
      <c r="L24" s="64">
        <v>25.45</v>
      </c>
      <c r="M24" s="64">
        <v>101.78</v>
      </c>
      <c r="N24" s="64">
        <v>25.4</v>
      </c>
      <c r="O24" s="64">
        <v>0</v>
      </c>
      <c r="P24" s="64">
        <v>0.51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48" t="s">
        <v>2181</v>
      </c>
      <c r="B25" s="64">
        <v>8.02</v>
      </c>
      <c r="C25" s="64">
        <v>3.02</v>
      </c>
      <c r="D25" s="64">
        <v>11.78</v>
      </c>
      <c r="E25" s="64">
        <v>4.12</v>
      </c>
      <c r="F25" s="64">
        <v>3.62</v>
      </c>
      <c r="G25" s="64">
        <v>21.13</v>
      </c>
      <c r="H25" s="209" t="s">
        <v>36</v>
      </c>
      <c r="I25" s="64">
        <v>4.8600000000000003</v>
      </c>
      <c r="J25" s="64">
        <v>0.12</v>
      </c>
      <c r="K25" s="64">
        <v>138.16999999999999</v>
      </c>
      <c r="L25" s="64">
        <v>25.42</v>
      </c>
      <c r="M25" s="64">
        <v>101.9</v>
      </c>
      <c r="N25" s="64">
        <v>25.4</v>
      </c>
      <c r="O25" s="64">
        <v>0</v>
      </c>
      <c r="P25" s="64">
        <v>0.5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48" t="s">
        <v>2182</v>
      </c>
      <c r="B26" s="64">
        <v>8.0299999999999994</v>
      </c>
      <c r="C26" s="64">
        <v>3</v>
      </c>
      <c r="D26" s="64">
        <v>11.78</v>
      </c>
      <c r="E26" s="64">
        <v>3.88</v>
      </c>
      <c r="F26" s="64">
        <v>3.78</v>
      </c>
      <c r="G26" s="64">
        <v>20.309999999999999</v>
      </c>
      <c r="H26" s="209" t="s">
        <v>36</v>
      </c>
      <c r="I26" s="64">
        <v>4.9800000000000004</v>
      </c>
      <c r="J26" s="64">
        <v>7.0000000000000007E-2</v>
      </c>
      <c r="K26" s="64">
        <v>289.24</v>
      </c>
      <c r="L26" s="64">
        <v>25.57</v>
      </c>
      <c r="M26" s="64">
        <v>101.95</v>
      </c>
      <c r="N26" s="64">
        <v>25.5</v>
      </c>
      <c r="O26" s="64">
        <v>0</v>
      </c>
      <c r="P26" s="64">
        <v>0.49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48" t="s">
        <v>2183</v>
      </c>
      <c r="B27" s="64">
        <v>8.01</v>
      </c>
      <c r="C27" s="64">
        <v>2.93</v>
      </c>
      <c r="D27" s="64">
        <v>11.73</v>
      </c>
      <c r="E27" s="64">
        <v>4.1500000000000004</v>
      </c>
      <c r="F27" s="64">
        <v>3.86</v>
      </c>
      <c r="G27" s="64">
        <v>17.059999999999999</v>
      </c>
      <c r="H27" s="209" t="s">
        <v>36</v>
      </c>
      <c r="I27" s="64">
        <v>5.12</v>
      </c>
      <c r="J27" s="64">
        <v>0.08</v>
      </c>
      <c r="K27" s="64">
        <v>308.31</v>
      </c>
      <c r="L27" s="64">
        <v>25.55</v>
      </c>
      <c r="M27" s="64">
        <v>101.69</v>
      </c>
      <c r="N27" s="64">
        <v>25.3</v>
      </c>
      <c r="O27" s="64">
        <v>0</v>
      </c>
      <c r="P27" s="64">
        <v>0.48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48" t="s">
        <v>2184</v>
      </c>
      <c r="B28" s="64">
        <v>8</v>
      </c>
      <c r="C28" s="64">
        <v>2.96</v>
      </c>
      <c r="D28" s="64">
        <v>11.74</v>
      </c>
      <c r="E28" s="64">
        <v>3.98</v>
      </c>
      <c r="F28" s="64">
        <v>4.91</v>
      </c>
      <c r="G28" s="64">
        <v>17.059999999999999</v>
      </c>
      <c r="H28" s="209" t="s">
        <v>36</v>
      </c>
      <c r="I28" s="64">
        <v>5.22</v>
      </c>
      <c r="J28" s="64">
        <v>0.09</v>
      </c>
      <c r="K28" s="64">
        <v>304.12</v>
      </c>
      <c r="L28" s="64">
        <v>25.51</v>
      </c>
      <c r="M28" s="64">
        <v>101.93</v>
      </c>
      <c r="N28" s="64">
        <v>25.6</v>
      </c>
      <c r="O28" s="64">
        <v>0</v>
      </c>
      <c r="P28" s="64">
        <v>0.49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48" t="s">
        <v>2185</v>
      </c>
      <c r="B29" s="64">
        <v>7.97</v>
      </c>
      <c r="C29" s="64">
        <v>3.01</v>
      </c>
      <c r="D29" s="64">
        <v>11.74</v>
      </c>
      <c r="E29" s="64">
        <v>4.25</v>
      </c>
      <c r="F29" s="64">
        <v>3.56</v>
      </c>
      <c r="G29" s="64">
        <v>17.059999999999999</v>
      </c>
      <c r="H29" s="209" t="s">
        <v>36</v>
      </c>
      <c r="I29" s="64">
        <v>5.33</v>
      </c>
      <c r="J29" s="64">
        <v>0.03</v>
      </c>
      <c r="K29" s="64">
        <v>324.29000000000002</v>
      </c>
      <c r="L29" s="64">
        <v>25.74</v>
      </c>
      <c r="M29" s="64">
        <v>101.93</v>
      </c>
      <c r="N29" s="64">
        <v>25.5</v>
      </c>
      <c r="O29" s="64">
        <v>0</v>
      </c>
      <c r="P29" s="64">
        <v>0.49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48" t="s">
        <v>2186</v>
      </c>
      <c r="B30" s="64">
        <v>7.97</v>
      </c>
      <c r="C30" s="64">
        <v>2.97</v>
      </c>
      <c r="D30" s="64">
        <v>11.72</v>
      </c>
      <c r="E30" s="64">
        <v>4.42</v>
      </c>
      <c r="F30" s="64">
        <v>2.33</v>
      </c>
      <c r="G30" s="64">
        <v>18.8</v>
      </c>
      <c r="H30" s="209" t="s">
        <v>36</v>
      </c>
      <c r="I30" s="64">
        <v>5.24</v>
      </c>
      <c r="J30" s="64">
        <v>0.1</v>
      </c>
      <c r="K30" s="64">
        <v>154.83000000000001</v>
      </c>
      <c r="L30" s="64">
        <v>25.87</v>
      </c>
      <c r="M30" s="64">
        <v>101.97</v>
      </c>
      <c r="N30" s="64">
        <v>25.8</v>
      </c>
      <c r="O30" s="64">
        <v>0</v>
      </c>
      <c r="P30" s="64">
        <v>0.45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48" t="s">
        <v>2187</v>
      </c>
      <c r="B31" s="64">
        <v>8.0500000000000007</v>
      </c>
      <c r="C31" s="64">
        <v>3.03</v>
      </c>
      <c r="D31" s="64">
        <v>11.81</v>
      </c>
      <c r="E31" s="64">
        <v>3.99</v>
      </c>
      <c r="F31" s="64">
        <v>4.03</v>
      </c>
      <c r="G31" s="64">
        <v>25.77</v>
      </c>
      <c r="H31" s="209" t="s">
        <v>36</v>
      </c>
      <c r="I31" s="64">
        <v>5.1100000000000003</v>
      </c>
      <c r="J31" s="64">
        <v>0.35</v>
      </c>
      <c r="K31" s="64">
        <v>146.97999999999999</v>
      </c>
      <c r="L31" s="64">
        <v>25.94</v>
      </c>
      <c r="M31" s="64">
        <v>101.97</v>
      </c>
      <c r="N31" s="64">
        <v>26.4</v>
      </c>
      <c r="O31" s="64">
        <v>0</v>
      </c>
      <c r="P31" s="64">
        <v>0.44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48" t="s">
        <v>2188</v>
      </c>
      <c r="B32" s="64">
        <v>8.02</v>
      </c>
      <c r="C32" s="64">
        <v>3.03</v>
      </c>
      <c r="D32" s="64">
        <v>11.79</v>
      </c>
      <c r="E32" s="64">
        <v>4.04</v>
      </c>
      <c r="F32" s="64">
        <v>4.51</v>
      </c>
      <c r="G32" s="64">
        <v>25.77</v>
      </c>
      <c r="H32" s="209" t="s">
        <v>36</v>
      </c>
      <c r="I32" s="64">
        <v>4.91</v>
      </c>
      <c r="J32" s="64">
        <v>0.14000000000000001</v>
      </c>
      <c r="K32" s="64">
        <v>174.27</v>
      </c>
      <c r="L32" s="64">
        <v>26.1</v>
      </c>
      <c r="M32" s="64">
        <v>101.8</v>
      </c>
      <c r="N32" s="64">
        <v>28.2</v>
      </c>
      <c r="O32" s="64">
        <v>0</v>
      </c>
      <c r="P32" s="64">
        <v>0.45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48" t="s">
        <v>2189</v>
      </c>
      <c r="B33" s="64">
        <v>7.98</v>
      </c>
      <c r="C33" s="64">
        <v>3.02</v>
      </c>
      <c r="D33" s="64">
        <v>11.75</v>
      </c>
      <c r="E33" s="64">
        <v>4.37</v>
      </c>
      <c r="F33" s="64">
        <v>2.46</v>
      </c>
      <c r="G33" s="64">
        <v>25.77</v>
      </c>
      <c r="H33" s="209" t="s">
        <v>36</v>
      </c>
      <c r="I33" s="64">
        <v>4.8499999999999996</v>
      </c>
      <c r="J33" s="64">
        <v>0.56999999999999995</v>
      </c>
      <c r="K33" s="64">
        <v>135.80000000000001</v>
      </c>
      <c r="L33" s="64">
        <v>26.26</v>
      </c>
      <c r="M33" s="64">
        <v>101.74</v>
      </c>
      <c r="N33" s="64">
        <v>0</v>
      </c>
      <c r="O33" s="64">
        <v>0</v>
      </c>
      <c r="P33" s="64">
        <v>0.43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48" t="s">
        <v>2190</v>
      </c>
      <c r="B34" s="64">
        <v>7.96</v>
      </c>
      <c r="C34" s="64">
        <v>3</v>
      </c>
      <c r="D34" s="64">
        <v>11.73</v>
      </c>
      <c r="E34" s="64">
        <v>4.32</v>
      </c>
      <c r="F34" s="64">
        <v>3.21</v>
      </c>
      <c r="G34" s="64">
        <v>24.84</v>
      </c>
      <c r="H34" s="209" t="s">
        <v>36</v>
      </c>
      <c r="I34" s="64">
        <v>4.83</v>
      </c>
      <c r="J34" s="64">
        <v>0.35</v>
      </c>
      <c r="K34" s="64">
        <v>134.93</v>
      </c>
      <c r="L34" s="64">
        <v>26.29</v>
      </c>
      <c r="M34" s="64">
        <v>101.85</v>
      </c>
      <c r="N34" s="64">
        <v>0</v>
      </c>
      <c r="O34" s="64">
        <v>0</v>
      </c>
      <c r="P34" s="64">
        <v>0.41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48" t="s">
        <v>2191</v>
      </c>
      <c r="B35" s="64">
        <v>7.97</v>
      </c>
      <c r="C35" s="64">
        <v>3.02</v>
      </c>
      <c r="D35" s="64">
        <v>11.75</v>
      </c>
      <c r="E35" s="64">
        <v>4.2300000000000004</v>
      </c>
      <c r="F35" s="64">
        <v>4.45</v>
      </c>
      <c r="G35" s="64">
        <v>21.1</v>
      </c>
      <c r="H35" s="209" t="s">
        <v>36</v>
      </c>
      <c r="I35" s="64">
        <v>4.8600000000000003</v>
      </c>
      <c r="J35" s="64">
        <v>0.11</v>
      </c>
      <c r="K35" s="64">
        <v>158.94999999999999</v>
      </c>
      <c r="L35" s="64">
        <v>26.43</v>
      </c>
      <c r="M35" s="64">
        <v>101.86</v>
      </c>
      <c r="N35" s="64">
        <v>0</v>
      </c>
      <c r="O35" s="64">
        <v>0</v>
      </c>
      <c r="P35" s="64">
        <v>0.42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48" t="s">
        <v>2192</v>
      </c>
      <c r="B36" s="64">
        <v>7.98</v>
      </c>
      <c r="C36" s="64">
        <v>3</v>
      </c>
      <c r="D36" s="64">
        <v>11.75</v>
      </c>
      <c r="E36" s="64">
        <v>4.2300000000000004</v>
      </c>
      <c r="F36" s="64">
        <v>3.07</v>
      </c>
      <c r="G36" s="64">
        <v>21.1</v>
      </c>
      <c r="H36" s="209" t="s">
        <v>36</v>
      </c>
      <c r="I36" s="64">
        <v>4.76</v>
      </c>
      <c r="J36" s="64">
        <v>0.19</v>
      </c>
      <c r="K36" s="64">
        <v>137.27000000000001</v>
      </c>
      <c r="L36" s="64">
        <v>26.61</v>
      </c>
      <c r="M36" s="64">
        <v>101.89</v>
      </c>
      <c r="N36" s="64">
        <v>0</v>
      </c>
      <c r="O36" s="64">
        <v>0</v>
      </c>
      <c r="P36" s="64">
        <v>0.41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48" t="s">
        <v>2193</v>
      </c>
      <c r="B37" s="64">
        <v>8.0299999999999994</v>
      </c>
      <c r="C37" s="64">
        <v>3.04</v>
      </c>
      <c r="D37" s="64">
        <v>11.81</v>
      </c>
      <c r="E37" s="64">
        <v>4.32</v>
      </c>
      <c r="F37" s="64">
        <v>3.15</v>
      </c>
      <c r="G37" s="64">
        <v>21.1</v>
      </c>
      <c r="H37" s="209" t="s">
        <v>36</v>
      </c>
      <c r="I37" s="64">
        <v>4.67</v>
      </c>
      <c r="J37" s="64">
        <v>0.1</v>
      </c>
      <c r="K37" s="64">
        <v>153.21</v>
      </c>
      <c r="L37" s="64">
        <v>26.89</v>
      </c>
      <c r="M37" s="64">
        <v>101.98</v>
      </c>
      <c r="N37" s="64">
        <v>0</v>
      </c>
      <c r="O37" s="64">
        <v>0</v>
      </c>
      <c r="P37" s="64">
        <v>0.41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48" t="s">
        <v>2194</v>
      </c>
      <c r="B38" s="64">
        <v>8.01</v>
      </c>
      <c r="C38" s="64">
        <v>2.97</v>
      </c>
      <c r="D38" s="64">
        <v>11.75</v>
      </c>
      <c r="E38" s="64">
        <v>4.03</v>
      </c>
      <c r="F38" s="64">
        <v>3.69</v>
      </c>
      <c r="G38" s="64">
        <v>21.34</v>
      </c>
      <c r="H38" s="209" t="s">
        <v>36</v>
      </c>
      <c r="I38" s="64">
        <v>4.5999999999999996</v>
      </c>
      <c r="J38" s="64">
        <v>0.18</v>
      </c>
      <c r="K38" s="64">
        <v>147.1</v>
      </c>
      <c r="L38" s="64">
        <v>27.15</v>
      </c>
      <c r="M38" s="64">
        <v>102</v>
      </c>
      <c r="N38" s="64">
        <v>0</v>
      </c>
      <c r="O38" s="64">
        <v>0</v>
      </c>
      <c r="P38" s="64">
        <v>0.43</v>
      </c>
      <c r="Q38" s="64">
        <v>9.56</v>
      </c>
      <c r="R38" s="198"/>
      <c r="S38" s="198"/>
      <c r="T38" s="198"/>
      <c r="U38" s="198"/>
    </row>
    <row r="39" spans="1:21" s="12" customFormat="1" x14ac:dyDescent="0.25">
      <c r="A39" s="248" t="s">
        <v>2195</v>
      </c>
      <c r="B39" s="64">
        <v>8.06</v>
      </c>
      <c r="C39" s="64">
        <v>3.06</v>
      </c>
      <c r="D39" s="64">
        <v>11.84</v>
      </c>
      <c r="E39" s="64">
        <v>3.77</v>
      </c>
      <c r="F39" s="64">
        <v>3.49</v>
      </c>
      <c r="G39" s="64">
        <v>22.28</v>
      </c>
      <c r="H39" s="209" t="s">
        <v>36</v>
      </c>
      <c r="I39" s="64">
        <v>4.6500000000000004</v>
      </c>
      <c r="J39" s="64">
        <v>0.57999999999999996</v>
      </c>
      <c r="K39" s="64">
        <v>134.96</v>
      </c>
      <c r="L39" s="64">
        <v>27.55</v>
      </c>
      <c r="M39" s="64">
        <v>102.02</v>
      </c>
      <c r="N39" s="64">
        <v>0</v>
      </c>
      <c r="O39" s="64">
        <v>0</v>
      </c>
      <c r="P39" s="64">
        <v>0.42</v>
      </c>
      <c r="Q39" s="64">
        <v>9.57</v>
      </c>
      <c r="R39" s="198"/>
      <c r="S39" s="198"/>
      <c r="T39" s="198"/>
      <c r="U39" s="198"/>
    </row>
    <row r="40" spans="1:21" s="12" customFormat="1" x14ac:dyDescent="0.25">
      <c r="A40" s="248" t="s">
        <v>2196</v>
      </c>
      <c r="B40" s="64">
        <v>8.0399999999999991</v>
      </c>
      <c r="C40" s="64">
        <v>3.03</v>
      </c>
      <c r="D40" s="64">
        <v>11.81</v>
      </c>
      <c r="E40" s="64">
        <v>4.5</v>
      </c>
      <c r="F40" s="64">
        <v>3.31</v>
      </c>
      <c r="G40" s="64">
        <v>22.28</v>
      </c>
      <c r="H40" s="209" t="s">
        <v>36</v>
      </c>
      <c r="I40" s="64">
        <v>4.8</v>
      </c>
      <c r="J40" s="64">
        <v>0.56999999999999995</v>
      </c>
      <c r="K40" s="64">
        <v>150.47999999999999</v>
      </c>
      <c r="L40" s="64">
        <v>28.39</v>
      </c>
      <c r="M40" s="64">
        <v>101.44</v>
      </c>
      <c r="N40" s="64">
        <v>0</v>
      </c>
      <c r="O40" s="64">
        <v>0</v>
      </c>
      <c r="P40" s="64">
        <v>0.41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48" t="s">
        <v>2197</v>
      </c>
      <c r="B41" s="64">
        <v>8.0299999999999994</v>
      </c>
      <c r="C41" s="64">
        <v>3.08</v>
      </c>
      <c r="D41" s="64">
        <v>11.82</v>
      </c>
      <c r="E41" s="64">
        <v>5.08</v>
      </c>
      <c r="F41" s="64">
        <v>3.12</v>
      </c>
      <c r="G41" s="64">
        <v>22.28</v>
      </c>
      <c r="H41" s="209" t="s">
        <v>36</v>
      </c>
      <c r="I41" s="64">
        <v>5.0199999999999996</v>
      </c>
      <c r="J41" s="64">
        <v>0.83</v>
      </c>
      <c r="K41" s="64">
        <v>139.35</v>
      </c>
      <c r="L41" s="64">
        <v>29.1</v>
      </c>
      <c r="M41" s="64">
        <v>100.02</v>
      </c>
      <c r="N41" s="64">
        <v>0</v>
      </c>
      <c r="O41" s="64">
        <v>0</v>
      </c>
      <c r="P41" s="64">
        <v>0.41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48" t="s">
        <v>2198</v>
      </c>
      <c r="B42" s="64">
        <v>8.02</v>
      </c>
      <c r="C42" s="64">
        <v>3.02</v>
      </c>
      <c r="D42" s="64">
        <v>11.78</v>
      </c>
      <c r="E42" s="64">
        <v>5.13</v>
      </c>
      <c r="F42" s="64">
        <v>3.23</v>
      </c>
      <c r="G42" s="64">
        <v>23.98</v>
      </c>
      <c r="H42" s="209" t="s">
        <v>36</v>
      </c>
      <c r="I42" s="64">
        <v>5.15</v>
      </c>
      <c r="J42" s="64">
        <v>0.27</v>
      </c>
      <c r="K42" s="64">
        <v>145.78</v>
      </c>
      <c r="L42" s="64">
        <v>29.65</v>
      </c>
      <c r="M42" s="64">
        <v>99.53</v>
      </c>
      <c r="N42" s="64">
        <v>0</v>
      </c>
      <c r="O42" s="64">
        <v>0</v>
      </c>
      <c r="P42" s="64">
        <v>0.4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48" t="s">
        <v>2199</v>
      </c>
      <c r="B43" s="64">
        <v>7.98</v>
      </c>
      <c r="C43" s="64">
        <v>2.96</v>
      </c>
      <c r="D43" s="64">
        <v>11.72</v>
      </c>
      <c r="E43" s="64">
        <v>5</v>
      </c>
      <c r="F43" s="64">
        <v>3.48</v>
      </c>
      <c r="G43" s="64">
        <v>30.75</v>
      </c>
      <c r="H43" s="209" t="s">
        <v>36</v>
      </c>
      <c r="I43" s="64">
        <v>5.32</v>
      </c>
      <c r="J43" s="64">
        <v>0.72</v>
      </c>
      <c r="K43" s="64">
        <v>141.63</v>
      </c>
      <c r="L43" s="64">
        <v>30.11</v>
      </c>
      <c r="M43" s="64">
        <v>99.2</v>
      </c>
      <c r="N43" s="64">
        <v>0</v>
      </c>
      <c r="O43" s="64">
        <v>0</v>
      </c>
      <c r="P43" s="64">
        <v>0.39</v>
      </c>
      <c r="Q43" s="64">
        <v>9.59</v>
      </c>
      <c r="R43" s="198"/>
      <c r="S43" s="198"/>
      <c r="T43" s="198"/>
      <c r="U43" s="198"/>
    </row>
    <row r="44" spans="1:21" s="12" customFormat="1" x14ac:dyDescent="0.25">
      <c r="A44" s="248" t="s">
        <v>2200</v>
      </c>
      <c r="B44" s="64">
        <v>7.99</v>
      </c>
      <c r="C44" s="64">
        <v>2.96</v>
      </c>
      <c r="D44" s="64">
        <v>11.73</v>
      </c>
      <c r="E44" s="64">
        <v>4.95</v>
      </c>
      <c r="F44" s="64">
        <v>3.98</v>
      </c>
      <c r="G44" s="64">
        <v>30.75</v>
      </c>
      <c r="H44" s="209" t="s">
        <v>36</v>
      </c>
      <c r="I44" s="64">
        <v>5.07</v>
      </c>
      <c r="J44" s="64">
        <v>0.01</v>
      </c>
      <c r="K44" s="64">
        <v>17.170000000000002</v>
      </c>
      <c r="L44" s="64">
        <v>31.19</v>
      </c>
      <c r="M44" s="64">
        <v>92.68</v>
      </c>
      <c r="N44" s="64">
        <v>0</v>
      </c>
      <c r="O44" s="64">
        <v>0</v>
      </c>
      <c r="P44" s="64">
        <v>0.38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48" t="s">
        <v>2201</v>
      </c>
      <c r="B45" s="64">
        <v>7.97</v>
      </c>
      <c r="C45" s="64">
        <v>3.01</v>
      </c>
      <c r="D45" s="64">
        <v>11.73</v>
      </c>
      <c r="E45" s="64">
        <v>5.21</v>
      </c>
      <c r="F45" s="64">
        <v>4.9400000000000004</v>
      </c>
      <c r="G45" s="64">
        <v>30.75</v>
      </c>
      <c r="H45" s="209" t="s">
        <v>36</v>
      </c>
      <c r="I45" s="64">
        <v>5.04</v>
      </c>
      <c r="J45" s="64">
        <v>0.12</v>
      </c>
      <c r="K45" s="64">
        <v>331.09</v>
      </c>
      <c r="L45" s="64">
        <v>31.99</v>
      </c>
      <c r="M45" s="64">
        <v>85.83</v>
      </c>
      <c r="N45" s="64">
        <v>0</v>
      </c>
      <c r="O45" s="64">
        <v>0</v>
      </c>
      <c r="P45" s="64">
        <v>0.39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48" t="s">
        <v>2202</v>
      </c>
      <c r="B46" s="64">
        <v>7.97</v>
      </c>
      <c r="C46" s="64">
        <v>3.03</v>
      </c>
      <c r="D46" s="64">
        <v>11.74</v>
      </c>
      <c r="E46" s="64">
        <v>5.43</v>
      </c>
      <c r="F46" s="64">
        <v>2.58</v>
      </c>
      <c r="G46" s="64">
        <v>30.48</v>
      </c>
      <c r="H46" s="209" t="s">
        <v>36</v>
      </c>
      <c r="I46" s="64">
        <v>4.99</v>
      </c>
      <c r="J46" s="64">
        <v>7.0000000000000007E-2</v>
      </c>
      <c r="K46" s="64">
        <v>323.42</v>
      </c>
      <c r="L46" s="64">
        <v>33.53</v>
      </c>
      <c r="M46" s="64">
        <v>80.03</v>
      </c>
      <c r="N46" s="64">
        <v>0</v>
      </c>
      <c r="O46" s="64">
        <v>0</v>
      </c>
      <c r="P46" s="64">
        <v>0.38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48" t="s">
        <v>2203</v>
      </c>
      <c r="B47" s="64">
        <v>7.99</v>
      </c>
      <c r="C47" s="64">
        <v>3.05</v>
      </c>
      <c r="D47" s="64">
        <v>11.77</v>
      </c>
      <c r="E47" s="64">
        <v>5.36</v>
      </c>
      <c r="F47" s="64">
        <v>3.11</v>
      </c>
      <c r="G47" s="64">
        <v>29.42</v>
      </c>
      <c r="H47" s="209" t="s">
        <v>36</v>
      </c>
      <c r="I47" s="64">
        <v>4.6900000000000004</v>
      </c>
      <c r="J47" s="64">
        <v>0.14000000000000001</v>
      </c>
      <c r="K47" s="64">
        <v>1.05</v>
      </c>
      <c r="L47" s="64">
        <v>34.31</v>
      </c>
      <c r="M47" s="64">
        <v>76.25</v>
      </c>
      <c r="N47" s="64">
        <v>0</v>
      </c>
      <c r="O47" s="64">
        <v>0</v>
      </c>
      <c r="P47" s="64">
        <v>0.38</v>
      </c>
      <c r="Q47" s="64">
        <v>9.52</v>
      </c>
      <c r="R47" s="198"/>
      <c r="S47" s="198"/>
      <c r="T47" s="198"/>
      <c r="U47" s="198"/>
    </row>
    <row r="48" spans="1:21" s="12" customFormat="1" x14ac:dyDescent="0.25">
      <c r="A48" s="248" t="s">
        <v>2204</v>
      </c>
      <c r="B48" s="64">
        <v>7.98</v>
      </c>
      <c r="C48" s="64">
        <v>2.99</v>
      </c>
      <c r="D48" s="64">
        <v>11.73</v>
      </c>
      <c r="E48" s="64">
        <v>4.95</v>
      </c>
      <c r="F48" s="64">
        <v>4.9400000000000004</v>
      </c>
      <c r="G48" s="64">
        <v>29.42</v>
      </c>
      <c r="H48" s="209" t="s">
        <v>36</v>
      </c>
      <c r="I48" s="64">
        <v>4.38</v>
      </c>
      <c r="J48" s="64">
        <v>0.16</v>
      </c>
      <c r="K48" s="64">
        <v>320.52999999999997</v>
      </c>
      <c r="L48" s="64">
        <v>33.99</v>
      </c>
      <c r="M48" s="64">
        <v>77.13</v>
      </c>
      <c r="N48" s="64">
        <v>0</v>
      </c>
      <c r="O48" s="64">
        <v>0</v>
      </c>
      <c r="P48" s="64">
        <v>0.39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48" t="s">
        <v>2205</v>
      </c>
      <c r="B49" s="64">
        <v>7.97</v>
      </c>
      <c r="C49" s="64">
        <v>3.01</v>
      </c>
      <c r="D49" s="64">
        <v>11.74</v>
      </c>
      <c r="E49" s="64">
        <v>5.07</v>
      </c>
      <c r="F49" s="64">
        <v>3.11</v>
      </c>
      <c r="G49" s="64">
        <v>29.42</v>
      </c>
      <c r="H49" s="209" t="s">
        <v>36</v>
      </c>
      <c r="I49" s="64">
        <v>4.07</v>
      </c>
      <c r="J49" s="64">
        <v>0.16</v>
      </c>
      <c r="K49" s="64">
        <v>314.99</v>
      </c>
      <c r="L49" s="64">
        <v>33.71</v>
      </c>
      <c r="M49" s="64">
        <v>76.94</v>
      </c>
      <c r="N49" s="64">
        <v>0</v>
      </c>
      <c r="O49" s="64">
        <v>0</v>
      </c>
      <c r="P49" s="64">
        <v>0.39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48" t="s">
        <v>2206</v>
      </c>
      <c r="B50" s="64">
        <v>7.99</v>
      </c>
      <c r="C50" s="64">
        <v>3.03</v>
      </c>
      <c r="D50" s="64">
        <v>11.77</v>
      </c>
      <c r="E50" s="64">
        <v>5.08</v>
      </c>
      <c r="F50" s="64">
        <v>3.34</v>
      </c>
      <c r="G50" s="64">
        <v>29.81</v>
      </c>
      <c r="H50" s="209" t="s">
        <v>36</v>
      </c>
      <c r="I50" s="64">
        <v>4.2</v>
      </c>
      <c r="J50" s="64">
        <v>7.0000000000000007E-2</v>
      </c>
      <c r="K50" s="64">
        <v>294.18</v>
      </c>
      <c r="L50" s="64">
        <v>33.950000000000003</v>
      </c>
      <c r="M50" s="64">
        <v>74.819999999999993</v>
      </c>
      <c r="N50" s="64">
        <v>458.4</v>
      </c>
      <c r="O50" s="64">
        <v>0</v>
      </c>
      <c r="P50" s="64">
        <v>0.4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48" t="s">
        <v>2207</v>
      </c>
      <c r="B51" s="64">
        <v>8.01</v>
      </c>
      <c r="C51" s="64">
        <v>3.03</v>
      </c>
      <c r="D51" s="64">
        <v>11.78</v>
      </c>
      <c r="E51" s="64">
        <v>5.12</v>
      </c>
      <c r="F51" s="64">
        <v>3.92</v>
      </c>
      <c r="G51" s="64">
        <v>31.35</v>
      </c>
      <c r="H51" s="209" t="s">
        <v>36</v>
      </c>
      <c r="I51" s="64">
        <v>3.94</v>
      </c>
      <c r="J51" s="64">
        <v>0.1</v>
      </c>
      <c r="K51" s="64">
        <v>161.79</v>
      </c>
      <c r="L51" s="64">
        <v>33.89</v>
      </c>
      <c r="M51" s="64">
        <v>75.150000000000006</v>
      </c>
      <c r="N51" s="64">
        <v>806.2</v>
      </c>
      <c r="O51" s="64">
        <v>0</v>
      </c>
      <c r="P51" s="64">
        <v>0.39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48" t="s">
        <v>2208</v>
      </c>
      <c r="B52" s="64">
        <v>7.99</v>
      </c>
      <c r="C52" s="64">
        <v>3.09</v>
      </c>
      <c r="D52" s="64">
        <v>11.8</v>
      </c>
      <c r="E52" s="64">
        <v>4.93</v>
      </c>
      <c r="F52" s="64">
        <v>5.68</v>
      </c>
      <c r="G52" s="64">
        <v>31.35</v>
      </c>
      <c r="H52" s="209" t="s">
        <v>36</v>
      </c>
      <c r="I52" s="64">
        <v>3.65</v>
      </c>
      <c r="J52" s="64">
        <v>0.1</v>
      </c>
      <c r="K52" s="64">
        <v>221.95</v>
      </c>
      <c r="L52" s="64">
        <v>33.58</v>
      </c>
      <c r="M52" s="64">
        <v>73.59</v>
      </c>
      <c r="N52" s="64">
        <v>799.4</v>
      </c>
      <c r="O52" s="64">
        <v>0</v>
      </c>
      <c r="P52" s="64">
        <v>0.39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48" t="s">
        <v>2209</v>
      </c>
      <c r="B53" s="64">
        <v>7.96</v>
      </c>
      <c r="C53" s="64">
        <v>3.04</v>
      </c>
      <c r="D53" s="64">
        <v>11.75</v>
      </c>
      <c r="E53" s="64">
        <v>5.34</v>
      </c>
      <c r="F53" s="64">
        <v>3.69</v>
      </c>
      <c r="G53" s="64">
        <v>31.35</v>
      </c>
      <c r="H53" s="209" t="s">
        <v>36</v>
      </c>
      <c r="I53" s="64">
        <v>3.55</v>
      </c>
      <c r="J53" s="64">
        <v>0.17</v>
      </c>
      <c r="K53" s="64">
        <v>341.49</v>
      </c>
      <c r="L53" s="64">
        <v>34.19</v>
      </c>
      <c r="M53" s="64">
        <v>70.37</v>
      </c>
      <c r="N53" s="64">
        <v>403.3</v>
      </c>
      <c r="O53" s="64">
        <v>0</v>
      </c>
      <c r="P53" s="64">
        <v>0.37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48" t="s">
        <v>2210</v>
      </c>
      <c r="B54" s="64">
        <v>7.96</v>
      </c>
      <c r="C54" s="64">
        <v>2.99</v>
      </c>
      <c r="D54" s="64">
        <v>11.72</v>
      </c>
      <c r="E54" s="64">
        <v>5.14</v>
      </c>
      <c r="F54" s="64">
        <v>4.82</v>
      </c>
      <c r="G54" s="64">
        <v>31.54</v>
      </c>
      <c r="H54" s="209" t="s">
        <v>36</v>
      </c>
      <c r="I54" s="64">
        <v>3.32</v>
      </c>
      <c r="J54" s="64">
        <v>0.23</v>
      </c>
      <c r="K54" s="64">
        <v>327.5</v>
      </c>
      <c r="L54" s="64">
        <v>35.590000000000003</v>
      </c>
      <c r="M54" s="64">
        <v>65.489999999999995</v>
      </c>
      <c r="N54" s="64">
        <v>550.6</v>
      </c>
      <c r="O54" s="64">
        <v>0</v>
      </c>
      <c r="P54" s="64">
        <v>0.36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48" t="s">
        <v>2211</v>
      </c>
      <c r="B55" s="64">
        <v>7.98</v>
      </c>
      <c r="C55" s="64">
        <v>3.04</v>
      </c>
      <c r="D55" s="64">
        <v>11.76</v>
      </c>
      <c r="E55" s="64">
        <v>5.19</v>
      </c>
      <c r="F55" s="64">
        <v>5.66</v>
      </c>
      <c r="G55" s="64">
        <v>32.29</v>
      </c>
      <c r="H55" s="209" t="s">
        <v>36</v>
      </c>
      <c r="I55" s="64">
        <v>2.89</v>
      </c>
      <c r="J55" s="64">
        <v>0.13</v>
      </c>
      <c r="K55" s="64">
        <v>319.52</v>
      </c>
      <c r="L55" s="64">
        <v>34.270000000000003</v>
      </c>
      <c r="M55" s="64">
        <v>68.61</v>
      </c>
      <c r="N55" s="64">
        <v>0</v>
      </c>
      <c r="O55" s="64">
        <v>0</v>
      </c>
      <c r="P55" s="64">
        <v>0.36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48" t="s">
        <v>2212</v>
      </c>
      <c r="B56" s="64">
        <v>7.97</v>
      </c>
      <c r="C56" s="64">
        <v>2.96</v>
      </c>
      <c r="D56" s="64">
        <v>11.71</v>
      </c>
      <c r="E56" s="64">
        <v>4.43</v>
      </c>
      <c r="F56" s="64">
        <v>4.84</v>
      </c>
      <c r="G56" s="64">
        <v>32.29</v>
      </c>
      <c r="H56" s="209" t="s">
        <v>36</v>
      </c>
      <c r="I56" s="64">
        <v>2.67</v>
      </c>
      <c r="J56" s="64">
        <v>0.11</v>
      </c>
      <c r="K56" s="64">
        <v>285.82</v>
      </c>
      <c r="L56" s="64">
        <v>34.520000000000003</v>
      </c>
      <c r="M56" s="64">
        <v>68.38</v>
      </c>
      <c r="N56" s="64">
        <v>0</v>
      </c>
      <c r="O56" s="64">
        <v>0</v>
      </c>
      <c r="P56" s="64">
        <v>0.35</v>
      </c>
      <c r="Q56" s="64">
        <v>9.3800000000000008</v>
      </c>
      <c r="R56" s="198"/>
      <c r="S56" s="198"/>
      <c r="T56" s="198"/>
      <c r="U56" s="198"/>
    </row>
    <row r="57" spans="1:21" s="12" customFormat="1" x14ac:dyDescent="0.25">
      <c r="A57" s="248" t="s">
        <v>2213</v>
      </c>
      <c r="B57" s="64">
        <v>7.95</v>
      </c>
      <c r="C57" s="64">
        <v>2.94</v>
      </c>
      <c r="D57" s="64">
        <v>11.69</v>
      </c>
      <c r="E57" s="64">
        <v>4.3899999999999997</v>
      </c>
      <c r="F57" s="64">
        <v>6.49</v>
      </c>
      <c r="G57" s="64">
        <v>32.29</v>
      </c>
      <c r="H57" s="209" t="s">
        <v>36</v>
      </c>
      <c r="I57" s="64">
        <v>2.44</v>
      </c>
      <c r="J57" s="64">
        <v>0.17</v>
      </c>
      <c r="K57" s="64">
        <v>342.67</v>
      </c>
      <c r="L57" s="64">
        <v>35</v>
      </c>
      <c r="M57" s="64">
        <v>67.05</v>
      </c>
      <c r="N57" s="64">
        <v>0</v>
      </c>
      <c r="O57" s="64">
        <v>0</v>
      </c>
      <c r="P57" s="64">
        <v>0.33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48" t="s">
        <v>2214</v>
      </c>
      <c r="B58" s="64">
        <v>7.97</v>
      </c>
      <c r="C58" s="64">
        <v>2.98</v>
      </c>
      <c r="D58" s="64">
        <v>11.72</v>
      </c>
      <c r="E58" s="64">
        <v>4.3899999999999997</v>
      </c>
      <c r="F58" s="64">
        <v>5.74</v>
      </c>
      <c r="G58" s="64">
        <v>30.47</v>
      </c>
      <c r="H58" s="209" t="s">
        <v>36</v>
      </c>
      <c r="I58" s="64">
        <v>2.48</v>
      </c>
      <c r="J58" s="64">
        <v>0.24</v>
      </c>
      <c r="K58" s="64">
        <v>309.02</v>
      </c>
      <c r="L58" s="64">
        <v>34.64</v>
      </c>
      <c r="M58" s="64">
        <v>67.489999999999995</v>
      </c>
      <c r="N58" s="64">
        <v>0</v>
      </c>
      <c r="O58" s="64">
        <v>0</v>
      </c>
      <c r="P58" s="64">
        <v>0.32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48" t="s">
        <v>2215</v>
      </c>
      <c r="B59" s="64">
        <v>7.97</v>
      </c>
      <c r="C59" s="64">
        <v>3.03</v>
      </c>
      <c r="D59" s="64">
        <v>11.75</v>
      </c>
      <c r="E59" s="64">
        <v>4.3499999999999996</v>
      </c>
      <c r="F59" s="64">
        <v>4.47</v>
      </c>
      <c r="G59" s="64">
        <v>23.16</v>
      </c>
      <c r="H59" s="209" t="s">
        <v>36</v>
      </c>
      <c r="I59" s="64">
        <v>2.23</v>
      </c>
      <c r="J59" s="64">
        <v>0.11</v>
      </c>
      <c r="K59" s="64">
        <v>328</v>
      </c>
      <c r="L59" s="64">
        <v>34.479999999999997</v>
      </c>
      <c r="M59" s="64">
        <v>67.459999999999994</v>
      </c>
      <c r="N59" s="64">
        <v>0</v>
      </c>
      <c r="O59" s="64">
        <v>0</v>
      </c>
      <c r="P59" s="64">
        <v>0.32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48" t="s">
        <v>2216</v>
      </c>
      <c r="B60" s="64">
        <v>7.98</v>
      </c>
      <c r="C60" s="64">
        <v>3.01</v>
      </c>
      <c r="D60" s="64">
        <v>11.74</v>
      </c>
      <c r="E60" s="64">
        <v>4.22</v>
      </c>
      <c r="F60" s="64">
        <v>4.99</v>
      </c>
      <c r="G60" s="64">
        <v>23.16</v>
      </c>
      <c r="H60" s="209" t="s">
        <v>36</v>
      </c>
      <c r="I60" s="64">
        <v>2.14</v>
      </c>
      <c r="J60" s="64">
        <v>0.18</v>
      </c>
      <c r="K60" s="64">
        <v>311.88</v>
      </c>
      <c r="L60" s="64">
        <v>34.5</v>
      </c>
      <c r="M60" s="64">
        <v>69.569999999999993</v>
      </c>
      <c r="N60" s="64">
        <v>0</v>
      </c>
      <c r="O60" s="64">
        <v>0</v>
      </c>
      <c r="P60" s="64">
        <v>0.32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48" t="s">
        <v>2217</v>
      </c>
      <c r="B61" s="64">
        <v>7.96</v>
      </c>
      <c r="C61" s="64">
        <v>2.99</v>
      </c>
      <c r="D61" s="64">
        <v>11.72</v>
      </c>
      <c r="E61" s="64">
        <v>3.96</v>
      </c>
      <c r="F61" s="64">
        <v>5.62</v>
      </c>
      <c r="G61" s="64">
        <v>23.16</v>
      </c>
      <c r="H61" s="209" t="s">
        <v>36</v>
      </c>
      <c r="I61" s="64">
        <v>2.12</v>
      </c>
      <c r="J61" s="64">
        <v>0.14000000000000001</v>
      </c>
      <c r="K61" s="64">
        <v>317.06</v>
      </c>
      <c r="L61" s="64">
        <v>34.99</v>
      </c>
      <c r="M61" s="64">
        <v>67.989999999999995</v>
      </c>
      <c r="N61" s="64">
        <v>0</v>
      </c>
      <c r="O61" s="64">
        <v>0</v>
      </c>
      <c r="P61" s="64">
        <v>0.32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48" t="s">
        <v>2218</v>
      </c>
      <c r="B62" s="64">
        <v>7.95</v>
      </c>
      <c r="C62" s="64">
        <v>2.99</v>
      </c>
      <c r="D62" s="64">
        <v>11.71</v>
      </c>
      <c r="E62" s="64">
        <v>4.3099999999999996</v>
      </c>
      <c r="F62" s="64">
        <v>3.22</v>
      </c>
      <c r="G62" s="64">
        <v>27.14</v>
      </c>
      <c r="H62" s="209" t="s">
        <v>36</v>
      </c>
      <c r="I62" s="64">
        <v>2.13</v>
      </c>
      <c r="J62" s="64">
        <v>0.12</v>
      </c>
      <c r="K62" s="64">
        <v>347.36</v>
      </c>
      <c r="L62" s="64">
        <v>34.229999999999997</v>
      </c>
      <c r="M62" s="64">
        <v>67.31</v>
      </c>
      <c r="N62" s="64">
        <v>0.2</v>
      </c>
      <c r="O62" s="64">
        <v>0</v>
      </c>
      <c r="P62" s="64">
        <v>0.34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8" t="s">
        <v>2219</v>
      </c>
      <c r="B63" s="64">
        <v>7.94</v>
      </c>
      <c r="C63" s="64">
        <v>2.97</v>
      </c>
      <c r="D63" s="64">
        <v>11.69</v>
      </c>
      <c r="E63" s="64">
        <v>4.53</v>
      </c>
      <c r="F63" s="64">
        <v>4.3</v>
      </c>
      <c r="G63" s="64">
        <v>43.06</v>
      </c>
      <c r="H63" s="209" t="s">
        <v>36</v>
      </c>
      <c r="I63" s="64">
        <v>2.2799999999999998</v>
      </c>
      <c r="J63" s="64">
        <v>0.15</v>
      </c>
      <c r="K63" s="64">
        <v>319.35000000000002</v>
      </c>
      <c r="L63" s="64">
        <v>34.43</v>
      </c>
      <c r="M63" s="64">
        <v>68.28</v>
      </c>
      <c r="N63" s="64">
        <v>152.6</v>
      </c>
      <c r="O63" s="64">
        <v>0</v>
      </c>
      <c r="P63" s="64">
        <v>0.35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48" t="s">
        <v>2220</v>
      </c>
      <c r="B64" s="64">
        <v>7.95</v>
      </c>
      <c r="C64" s="64">
        <v>2.98</v>
      </c>
      <c r="D64" s="64">
        <v>11.71</v>
      </c>
      <c r="E64" s="64">
        <v>4.34</v>
      </c>
      <c r="F64" s="64">
        <v>5.08</v>
      </c>
      <c r="G64" s="64">
        <v>43.06</v>
      </c>
      <c r="H64" s="209" t="s">
        <v>36</v>
      </c>
      <c r="I64" s="64">
        <v>2.21</v>
      </c>
      <c r="J64" s="64">
        <v>0.05</v>
      </c>
      <c r="K64" s="64">
        <v>195.54</v>
      </c>
      <c r="L64" s="64">
        <v>33.369999999999997</v>
      </c>
      <c r="M64" s="64">
        <v>70.88</v>
      </c>
      <c r="N64" s="64">
        <v>370.4</v>
      </c>
      <c r="O64" s="64">
        <v>0</v>
      </c>
      <c r="P64" s="64">
        <v>0.35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48" t="s">
        <v>2221</v>
      </c>
      <c r="B65" s="64">
        <v>7.96</v>
      </c>
      <c r="C65" s="64">
        <v>2.98</v>
      </c>
      <c r="D65" s="64">
        <v>11.71</v>
      </c>
      <c r="E65" s="64">
        <v>3.72</v>
      </c>
      <c r="F65" s="64">
        <v>4.6100000000000003</v>
      </c>
      <c r="G65" s="64">
        <v>43.06</v>
      </c>
      <c r="H65" s="209" t="s">
        <v>36</v>
      </c>
      <c r="I65" s="64">
        <v>2.25</v>
      </c>
      <c r="J65" s="64">
        <v>0.02</v>
      </c>
      <c r="K65" s="64">
        <v>115.5</v>
      </c>
      <c r="L65" s="64">
        <v>32.950000000000003</v>
      </c>
      <c r="M65" s="64">
        <v>72.39</v>
      </c>
      <c r="N65" s="64">
        <v>205.8</v>
      </c>
      <c r="O65" s="64">
        <v>0</v>
      </c>
      <c r="P65" s="64">
        <v>0.34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48" t="s">
        <v>2222</v>
      </c>
      <c r="B66" s="64">
        <v>7.98</v>
      </c>
      <c r="C66" s="64">
        <v>2.98</v>
      </c>
      <c r="D66" s="64">
        <v>11.73</v>
      </c>
      <c r="E66" s="64">
        <v>4.0199999999999996</v>
      </c>
      <c r="F66" s="64">
        <v>4.3600000000000003</v>
      </c>
      <c r="G66" s="64">
        <v>39.729999999999997</v>
      </c>
      <c r="H66" s="209" t="s">
        <v>36</v>
      </c>
      <c r="I66" s="64">
        <v>2.25</v>
      </c>
      <c r="J66" s="64">
        <v>0.1</v>
      </c>
      <c r="K66" s="64">
        <v>189.82</v>
      </c>
      <c r="L66" s="64">
        <v>32.9</v>
      </c>
      <c r="M66" s="64">
        <v>71.69</v>
      </c>
      <c r="N66" s="64">
        <v>228.4</v>
      </c>
      <c r="O66" s="64">
        <v>0</v>
      </c>
      <c r="P66" s="64">
        <v>0.34</v>
      </c>
      <c r="Q66" s="64">
        <v>9.44</v>
      </c>
      <c r="R66" s="198"/>
      <c r="S66" s="198"/>
      <c r="T66" s="198"/>
      <c r="U66" s="198"/>
    </row>
    <row r="67" spans="1:21" s="12" customFormat="1" x14ac:dyDescent="0.25">
      <c r="A67" s="248" t="s">
        <v>2223</v>
      </c>
      <c r="B67" s="64">
        <v>7.96</v>
      </c>
      <c r="C67" s="64">
        <v>2.96</v>
      </c>
      <c r="D67" s="64">
        <v>11.7</v>
      </c>
      <c r="E67" s="64">
        <v>4.1100000000000003</v>
      </c>
      <c r="F67" s="64">
        <v>4.67</v>
      </c>
      <c r="G67" s="64">
        <v>26.43</v>
      </c>
      <c r="H67" s="209" t="s">
        <v>36</v>
      </c>
      <c r="I67" s="64">
        <v>2.29</v>
      </c>
      <c r="J67" s="64">
        <v>0.02</v>
      </c>
      <c r="K67" s="64">
        <v>15.64</v>
      </c>
      <c r="L67" s="64">
        <v>33.11</v>
      </c>
      <c r="M67" s="64">
        <v>70.66</v>
      </c>
      <c r="N67" s="64">
        <v>231.7</v>
      </c>
      <c r="O67" s="64">
        <v>0</v>
      </c>
      <c r="P67" s="64">
        <v>0.34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48" t="s">
        <v>2224</v>
      </c>
      <c r="B68" s="64">
        <v>7.94</v>
      </c>
      <c r="C68" s="64">
        <v>2.95</v>
      </c>
      <c r="D68" s="64">
        <v>11.68</v>
      </c>
      <c r="E68" s="64">
        <v>4.08</v>
      </c>
      <c r="F68" s="64">
        <v>4.0999999999999996</v>
      </c>
      <c r="G68" s="64">
        <v>26.43</v>
      </c>
      <c r="H68" s="209" t="s">
        <v>36</v>
      </c>
      <c r="I68" s="64">
        <v>2.17</v>
      </c>
      <c r="J68" s="64">
        <v>0.04</v>
      </c>
      <c r="K68" s="64">
        <v>153.72</v>
      </c>
      <c r="L68" s="64">
        <v>33.15</v>
      </c>
      <c r="M68" s="64">
        <v>71.540000000000006</v>
      </c>
      <c r="N68" s="64">
        <v>239.4</v>
      </c>
      <c r="O68" s="64">
        <v>0</v>
      </c>
      <c r="P68" s="64">
        <v>0.33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48" t="s">
        <v>2225</v>
      </c>
      <c r="B69" s="64">
        <v>7.96</v>
      </c>
      <c r="C69" s="64">
        <v>2.95</v>
      </c>
      <c r="D69" s="64">
        <v>11.7</v>
      </c>
      <c r="E69" s="64">
        <v>4.08</v>
      </c>
      <c r="F69" s="64">
        <v>4.42</v>
      </c>
      <c r="G69" s="64">
        <v>26.43</v>
      </c>
      <c r="H69" s="209" t="s">
        <v>36</v>
      </c>
      <c r="I69" s="64">
        <v>2.31</v>
      </c>
      <c r="J69" s="64">
        <v>7.0000000000000007E-2</v>
      </c>
      <c r="K69" s="64">
        <v>88.79</v>
      </c>
      <c r="L69" s="64">
        <v>33.26</v>
      </c>
      <c r="M69" s="64">
        <v>71.75</v>
      </c>
      <c r="N69" s="64">
        <v>238.8</v>
      </c>
      <c r="O69" s="64">
        <v>0</v>
      </c>
      <c r="P69" s="64">
        <v>0.32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48" t="s">
        <v>2226</v>
      </c>
      <c r="B70" s="64">
        <v>7.99</v>
      </c>
      <c r="C70" s="64">
        <v>2.98</v>
      </c>
      <c r="D70" s="64">
        <v>11.74</v>
      </c>
      <c r="E70" s="64">
        <v>4.32</v>
      </c>
      <c r="F70" s="64">
        <v>4.0199999999999996</v>
      </c>
      <c r="G70" s="64">
        <v>32.03</v>
      </c>
      <c r="H70" s="209" t="s">
        <v>36</v>
      </c>
      <c r="I70" s="64">
        <v>2.23</v>
      </c>
      <c r="J70" s="64">
        <v>0.41</v>
      </c>
      <c r="K70" s="64">
        <v>139.54</v>
      </c>
      <c r="L70" s="64">
        <v>32.76</v>
      </c>
      <c r="M70" s="64">
        <v>75.61</v>
      </c>
      <c r="N70" s="64">
        <v>190.8</v>
      </c>
      <c r="O70" s="64">
        <v>0</v>
      </c>
      <c r="P70" s="64">
        <v>0.31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48" t="s">
        <v>2227</v>
      </c>
      <c r="B71" s="64">
        <v>7.98</v>
      </c>
      <c r="C71" s="64">
        <v>2.97</v>
      </c>
      <c r="D71" s="64">
        <v>11.73</v>
      </c>
      <c r="E71" s="64">
        <v>4.29</v>
      </c>
      <c r="F71" s="64">
        <v>8.86</v>
      </c>
      <c r="G71" s="64">
        <v>54.46</v>
      </c>
      <c r="H71" s="209" t="s">
        <v>36</v>
      </c>
      <c r="I71" s="64">
        <v>2.21</v>
      </c>
      <c r="J71" s="64">
        <v>0.12</v>
      </c>
      <c r="K71" s="64">
        <v>107.44</v>
      </c>
      <c r="L71" s="64">
        <v>32.6</v>
      </c>
      <c r="M71" s="64">
        <v>75.989999999999995</v>
      </c>
      <c r="N71" s="64">
        <v>148.69999999999999</v>
      </c>
      <c r="O71" s="64">
        <v>0</v>
      </c>
      <c r="P71" s="64">
        <v>0.28999999999999998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48" t="s">
        <v>2228</v>
      </c>
      <c r="B72" s="64">
        <v>7.97</v>
      </c>
      <c r="C72" s="64">
        <v>2.95</v>
      </c>
      <c r="D72" s="64">
        <v>11.71</v>
      </c>
      <c r="E72" s="64">
        <v>5.04</v>
      </c>
      <c r="F72" s="64">
        <v>6.81</v>
      </c>
      <c r="G72" s="64">
        <v>54.46</v>
      </c>
      <c r="H72" s="209" t="s">
        <v>36</v>
      </c>
      <c r="I72" s="64">
        <v>2.35</v>
      </c>
      <c r="J72" s="64">
        <v>0.15</v>
      </c>
      <c r="K72" s="64">
        <v>14.89</v>
      </c>
      <c r="L72" s="64">
        <v>32.04</v>
      </c>
      <c r="M72" s="64">
        <v>80.260000000000005</v>
      </c>
      <c r="N72" s="64">
        <v>95.1</v>
      </c>
      <c r="O72" s="64">
        <v>0</v>
      </c>
      <c r="P72" s="64">
        <v>0.27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48" t="s">
        <v>2229</v>
      </c>
      <c r="B73" s="64">
        <v>7.97</v>
      </c>
      <c r="C73" s="64">
        <v>2.97</v>
      </c>
      <c r="D73" s="64">
        <v>11.72</v>
      </c>
      <c r="E73" s="64">
        <v>4.91</v>
      </c>
      <c r="F73" s="64">
        <v>8.66</v>
      </c>
      <c r="G73" s="64">
        <v>54.46</v>
      </c>
      <c r="H73" s="209" t="s">
        <v>36</v>
      </c>
      <c r="I73" s="64">
        <v>1.97</v>
      </c>
      <c r="J73" s="64">
        <v>1.48</v>
      </c>
      <c r="K73" s="64">
        <v>335.57</v>
      </c>
      <c r="L73" s="64">
        <v>30.82</v>
      </c>
      <c r="M73" s="64">
        <v>85.88</v>
      </c>
      <c r="N73" s="64">
        <v>70.2</v>
      </c>
      <c r="O73" s="64">
        <v>0</v>
      </c>
      <c r="P73" s="64">
        <v>0.32</v>
      </c>
      <c r="Q73" s="64">
        <v>9.4499999999999993</v>
      </c>
      <c r="R73" s="198"/>
      <c r="S73" s="198"/>
      <c r="T73" s="198"/>
      <c r="U73" s="198"/>
    </row>
    <row r="74" spans="1:21" s="12" customFormat="1" x14ac:dyDescent="0.25">
      <c r="A74" s="248" t="s">
        <v>2230</v>
      </c>
      <c r="B74" s="64">
        <v>7.96</v>
      </c>
      <c r="C74" s="64">
        <v>2.99</v>
      </c>
      <c r="D74" s="64">
        <v>11.72</v>
      </c>
      <c r="E74" s="64">
        <v>4.6100000000000003</v>
      </c>
      <c r="F74" s="64">
        <v>4.91</v>
      </c>
      <c r="G74" s="64">
        <v>54.46</v>
      </c>
      <c r="H74" s="209" t="s">
        <v>36</v>
      </c>
      <c r="I74" s="64">
        <v>2</v>
      </c>
      <c r="J74" s="64">
        <v>1.46</v>
      </c>
      <c r="K74" s="64">
        <v>335.62</v>
      </c>
      <c r="L74" s="64">
        <v>29.68</v>
      </c>
      <c r="M74" s="64">
        <v>87.84</v>
      </c>
      <c r="N74" s="64">
        <v>84.1</v>
      </c>
      <c r="O74" s="64">
        <v>0</v>
      </c>
      <c r="P74" s="64">
        <v>0.34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48" t="s">
        <v>2231</v>
      </c>
      <c r="B75" s="64">
        <v>8.01</v>
      </c>
      <c r="C75" s="64">
        <v>3</v>
      </c>
      <c r="D75" s="64">
        <v>11.76</v>
      </c>
      <c r="E75" s="64">
        <v>5.19</v>
      </c>
      <c r="F75" s="64">
        <v>4.41</v>
      </c>
      <c r="G75" s="209" t="s">
        <v>36</v>
      </c>
      <c r="H75" s="209" t="s">
        <v>36</v>
      </c>
      <c r="I75" s="64">
        <v>2.13</v>
      </c>
      <c r="J75" s="64">
        <v>1.47</v>
      </c>
      <c r="K75" s="64">
        <v>336.11</v>
      </c>
      <c r="L75" s="64">
        <v>29.21</v>
      </c>
      <c r="M75" s="64">
        <v>88.25</v>
      </c>
      <c r="N75" s="64">
        <v>85.5</v>
      </c>
      <c r="O75" s="64">
        <v>0</v>
      </c>
      <c r="P75" s="64">
        <v>0.35</v>
      </c>
      <c r="Q75" s="64">
        <v>9.44</v>
      </c>
      <c r="R75" s="198"/>
      <c r="S75" s="198"/>
      <c r="T75" s="198"/>
      <c r="U75" s="198"/>
    </row>
    <row r="76" spans="1:21" s="12" customFormat="1" x14ac:dyDescent="0.25">
      <c r="A76" s="248" t="s">
        <v>2232</v>
      </c>
      <c r="B76" s="64">
        <v>8.02</v>
      </c>
      <c r="C76" s="64">
        <v>3.06</v>
      </c>
      <c r="D76" s="64">
        <v>11.8</v>
      </c>
      <c r="E76" s="64">
        <v>4.93</v>
      </c>
      <c r="F76" s="64">
        <v>4.12</v>
      </c>
      <c r="G76" s="209" t="s">
        <v>36</v>
      </c>
      <c r="H76" s="209" t="s">
        <v>36</v>
      </c>
      <c r="I76" s="64">
        <v>2.12</v>
      </c>
      <c r="J76" s="64">
        <v>0.75</v>
      </c>
      <c r="K76" s="64">
        <v>337.75</v>
      </c>
      <c r="L76" s="64">
        <v>29.36</v>
      </c>
      <c r="M76" s="64">
        <v>91.58</v>
      </c>
      <c r="N76" s="64">
        <v>78.7</v>
      </c>
      <c r="O76" s="64">
        <v>0</v>
      </c>
      <c r="P76" s="64">
        <v>0.37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48" t="s">
        <v>2233</v>
      </c>
      <c r="B77" s="64">
        <v>8.01</v>
      </c>
      <c r="C77" s="64">
        <v>3.05</v>
      </c>
      <c r="D77" s="64">
        <v>11.79</v>
      </c>
      <c r="E77" s="64">
        <v>4.7699999999999996</v>
      </c>
      <c r="F77" s="64">
        <v>3.6</v>
      </c>
      <c r="G77" s="209" t="s">
        <v>36</v>
      </c>
      <c r="H77" s="209" t="s">
        <v>36</v>
      </c>
      <c r="I77" s="64">
        <v>2.12</v>
      </c>
      <c r="J77" s="64">
        <v>0.46</v>
      </c>
      <c r="K77" s="64">
        <v>338.56</v>
      </c>
      <c r="L77" s="64">
        <v>29.73</v>
      </c>
      <c r="M77" s="64">
        <v>92.59</v>
      </c>
      <c r="N77" s="64">
        <v>66.099999999999994</v>
      </c>
      <c r="O77" s="64">
        <v>0</v>
      </c>
      <c r="P77" s="64">
        <v>0.4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48" t="s">
        <v>2234</v>
      </c>
      <c r="B78" s="64">
        <v>7.99</v>
      </c>
      <c r="C78" s="64">
        <v>3.03</v>
      </c>
      <c r="D78" s="64">
        <v>11.76</v>
      </c>
      <c r="E78" s="64">
        <v>4.63</v>
      </c>
      <c r="F78" s="64">
        <v>5.67</v>
      </c>
      <c r="G78" s="209" t="s">
        <v>36</v>
      </c>
      <c r="H78" s="209" t="s">
        <v>36</v>
      </c>
      <c r="I78" s="64">
        <v>2.23</v>
      </c>
      <c r="J78" s="64">
        <v>0.31</v>
      </c>
      <c r="K78" s="64">
        <v>318.33999999999997</v>
      </c>
      <c r="L78" s="64">
        <v>29.78</v>
      </c>
      <c r="M78" s="64">
        <v>88.71</v>
      </c>
      <c r="N78" s="64">
        <v>47.1</v>
      </c>
      <c r="O78" s="64">
        <v>0</v>
      </c>
      <c r="P78" s="64">
        <v>0.44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48" t="s">
        <v>2235</v>
      </c>
      <c r="B79" s="64">
        <v>7.97</v>
      </c>
      <c r="C79" s="64">
        <v>3.02</v>
      </c>
      <c r="D79" s="64">
        <v>11.74</v>
      </c>
      <c r="E79" s="64">
        <v>5.24</v>
      </c>
      <c r="F79" s="64">
        <v>3.7</v>
      </c>
      <c r="G79" s="209" t="s">
        <v>36</v>
      </c>
      <c r="H79" s="209" t="s">
        <v>36</v>
      </c>
      <c r="I79" s="64">
        <v>2.52</v>
      </c>
      <c r="J79" s="64">
        <v>0.46</v>
      </c>
      <c r="K79" s="64">
        <v>335.44</v>
      </c>
      <c r="L79" s="64">
        <v>29.54</v>
      </c>
      <c r="M79" s="64">
        <v>82.75</v>
      </c>
      <c r="N79" s="64">
        <v>39.5</v>
      </c>
      <c r="O79" s="64">
        <v>0</v>
      </c>
      <c r="P79" s="64">
        <v>0.49</v>
      </c>
      <c r="Q79" s="64">
        <v>9.5299999999999994</v>
      </c>
      <c r="R79" s="198"/>
      <c r="S79" s="198"/>
      <c r="T79" s="198"/>
      <c r="U79" s="198"/>
    </row>
    <row r="80" spans="1:21" s="12" customFormat="1" x14ac:dyDescent="0.25">
      <c r="A80" s="248" t="s">
        <v>2236</v>
      </c>
      <c r="B80" s="64">
        <v>7.96</v>
      </c>
      <c r="C80" s="64">
        <v>2.99</v>
      </c>
      <c r="D80" s="64">
        <v>11.73</v>
      </c>
      <c r="E80" s="64">
        <v>5.13</v>
      </c>
      <c r="F80" s="64">
        <v>2.82</v>
      </c>
      <c r="G80" s="209" t="s">
        <v>36</v>
      </c>
      <c r="H80" s="209" t="s">
        <v>36</v>
      </c>
      <c r="I80" s="64">
        <v>2.86</v>
      </c>
      <c r="J80" s="64">
        <v>0.59</v>
      </c>
      <c r="K80" s="64">
        <v>340.15</v>
      </c>
      <c r="L80" s="64">
        <v>29.44</v>
      </c>
      <c r="M80" s="64">
        <v>92.63</v>
      </c>
      <c r="N80" s="64">
        <v>32.799999999999997</v>
      </c>
      <c r="O80" s="64">
        <v>0</v>
      </c>
      <c r="P80" s="64">
        <v>0.51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48" t="s">
        <v>2237</v>
      </c>
      <c r="B81" s="64">
        <v>7.98</v>
      </c>
      <c r="C81" s="64">
        <v>3.04</v>
      </c>
      <c r="D81" s="64">
        <v>11.76</v>
      </c>
      <c r="E81" s="64">
        <v>4.6500000000000004</v>
      </c>
      <c r="F81" s="64">
        <v>4.18</v>
      </c>
      <c r="G81" s="209" t="s">
        <v>36</v>
      </c>
      <c r="H81" s="209" t="s">
        <v>36</v>
      </c>
      <c r="I81" s="64">
        <v>2.79</v>
      </c>
      <c r="J81" s="64">
        <v>0.18</v>
      </c>
      <c r="K81" s="64">
        <v>11.42</v>
      </c>
      <c r="L81" s="64">
        <v>28.98</v>
      </c>
      <c r="M81" s="64">
        <v>96.82</v>
      </c>
      <c r="N81" s="64">
        <v>28.4</v>
      </c>
      <c r="O81" s="64">
        <v>0</v>
      </c>
      <c r="P81" s="64">
        <v>0.56999999999999995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48" t="s">
        <v>2238</v>
      </c>
      <c r="B82" s="64">
        <v>7.96</v>
      </c>
      <c r="C82" s="64">
        <v>3.05</v>
      </c>
      <c r="D82" s="64">
        <v>11.76</v>
      </c>
      <c r="E82" s="64">
        <v>4.67</v>
      </c>
      <c r="F82" s="64">
        <v>3.91</v>
      </c>
      <c r="G82" s="64">
        <v>87.64</v>
      </c>
      <c r="H82" s="209" t="s">
        <v>36</v>
      </c>
      <c r="I82" s="64">
        <v>2.72</v>
      </c>
      <c r="J82" s="64">
        <v>1.05</v>
      </c>
      <c r="K82" s="64">
        <v>338.4</v>
      </c>
      <c r="L82" s="64">
        <v>28.78</v>
      </c>
      <c r="M82" s="64">
        <v>100.83</v>
      </c>
      <c r="N82" s="64">
        <v>27.5</v>
      </c>
      <c r="O82" s="64">
        <v>0</v>
      </c>
      <c r="P82" s="64">
        <v>0.59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48" t="s">
        <v>2239</v>
      </c>
      <c r="B83" s="64">
        <v>7.95</v>
      </c>
      <c r="C83" s="64">
        <v>2.99</v>
      </c>
      <c r="D83" s="64">
        <v>11.72</v>
      </c>
      <c r="E83" s="64">
        <v>5.18</v>
      </c>
      <c r="F83" s="64">
        <v>2.91</v>
      </c>
      <c r="G83" s="64">
        <v>87.64</v>
      </c>
      <c r="H83" s="209" t="s">
        <v>36</v>
      </c>
      <c r="I83" s="64">
        <v>2.96</v>
      </c>
      <c r="J83" s="64">
        <v>1.23</v>
      </c>
      <c r="K83" s="64">
        <v>337.78</v>
      </c>
      <c r="L83" s="64">
        <v>28.42</v>
      </c>
      <c r="M83" s="64">
        <v>100.44</v>
      </c>
      <c r="N83" s="64">
        <v>27.5</v>
      </c>
      <c r="O83" s="64">
        <v>0</v>
      </c>
      <c r="P83" s="64">
        <v>0.59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48" t="s">
        <v>2240</v>
      </c>
      <c r="B84" s="64">
        <v>7.96</v>
      </c>
      <c r="C84" s="64">
        <v>2.91</v>
      </c>
      <c r="D84" s="64">
        <v>11.67</v>
      </c>
      <c r="E84" s="64">
        <v>4.83</v>
      </c>
      <c r="F84" s="64">
        <v>4.49</v>
      </c>
      <c r="G84" s="64">
        <v>87.64</v>
      </c>
      <c r="H84" s="209" t="s">
        <v>36</v>
      </c>
      <c r="I84" s="64">
        <v>3.02</v>
      </c>
      <c r="J84" s="64">
        <v>0.72</v>
      </c>
      <c r="K84" s="64">
        <v>338.59</v>
      </c>
      <c r="L84" s="64">
        <v>28.14</v>
      </c>
      <c r="M84" s="64">
        <v>101.35</v>
      </c>
      <c r="N84" s="64">
        <v>26.9</v>
      </c>
      <c r="O84" s="64">
        <v>0</v>
      </c>
      <c r="P84" s="64">
        <v>0.59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48" t="s">
        <v>2241</v>
      </c>
      <c r="B85" s="64">
        <v>7.97</v>
      </c>
      <c r="C85" s="64">
        <v>2.94</v>
      </c>
      <c r="D85" s="64">
        <v>11.7</v>
      </c>
      <c r="E85" s="64">
        <v>5.08</v>
      </c>
      <c r="F85" s="64">
        <v>3.23</v>
      </c>
      <c r="G85" s="64">
        <v>87.64</v>
      </c>
      <c r="H85" s="209" t="s">
        <v>36</v>
      </c>
      <c r="I85" s="64">
        <v>2.78</v>
      </c>
      <c r="J85" s="64">
        <v>0.32</v>
      </c>
      <c r="K85" s="64">
        <v>336.36</v>
      </c>
      <c r="L85" s="64">
        <v>28.21</v>
      </c>
      <c r="M85" s="64">
        <v>101.46</v>
      </c>
      <c r="N85" s="64">
        <v>16.5</v>
      </c>
      <c r="O85" s="64">
        <v>0</v>
      </c>
      <c r="P85" s="64">
        <v>0.6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48" t="s">
        <v>2242</v>
      </c>
      <c r="B86" s="64">
        <v>8.0500000000000007</v>
      </c>
      <c r="C86" s="64">
        <v>3.1</v>
      </c>
      <c r="D86" s="64">
        <v>11.85</v>
      </c>
      <c r="E86" s="64">
        <v>4.9800000000000004</v>
      </c>
      <c r="F86" s="64">
        <v>3.39</v>
      </c>
      <c r="G86" s="64">
        <v>85.46</v>
      </c>
      <c r="H86" s="209" t="s">
        <v>36</v>
      </c>
      <c r="I86" s="64">
        <v>2.78</v>
      </c>
      <c r="J86" s="64">
        <v>0.26</v>
      </c>
      <c r="K86" s="64">
        <v>344.08</v>
      </c>
      <c r="L86" s="64">
        <v>28.33</v>
      </c>
      <c r="M86" s="64">
        <v>100.91</v>
      </c>
      <c r="N86" s="64">
        <v>26.8</v>
      </c>
      <c r="O86" s="64">
        <v>0</v>
      </c>
      <c r="P86" s="64">
        <v>0.64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48" t="s">
        <v>2243</v>
      </c>
      <c r="B87" s="64">
        <v>8.0299999999999994</v>
      </c>
      <c r="C87" s="64">
        <v>3.06</v>
      </c>
      <c r="D87" s="64">
        <v>11.82</v>
      </c>
      <c r="E87" s="64">
        <v>5.04</v>
      </c>
      <c r="F87" s="64">
        <v>3.13</v>
      </c>
      <c r="G87" s="64">
        <v>85.36</v>
      </c>
      <c r="H87" s="209" t="s">
        <v>36</v>
      </c>
      <c r="I87" s="64">
        <v>2.95</v>
      </c>
      <c r="J87" s="64">
        <v>7.0000000000000007E-2</v>
      </c>
      <c r="K87" s="64">
        <v>115.01</v>
      </c>
      <c r="L87" s="64">
        <v>28.06</v>
      </c>
      <c r="M87" s="64">
        <v>101.71</v>
      </c>
      <c r="N87" s="64">
        <v>26.8</v>
      </c>
      <c r="O87" s="64">
        <v>0</v>
      </c>
      <c r="P87" s="64">
        <v>0.65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48" t="s">
        <v>2244</v>
      </c>
      <c r="B88" s="64">
        <v>8.0399999999999991</v>
      </c>
      <c r="C88" s="64">
        <v>3.11</v>
      </c>
      <c r="D88" s="64">
        <v>11.85</v>
      </c>
      <c r="E88" s="64">
        <v>4.29</v>
      </c>
      <c r="F88" s="64">
        <v>3.85</v>
      </c>
      <c r="G88" s="64">
        <v>85.36</v>
      </c>
      <c r="H88" s="209" t="s">
        <v>36</v>
      </c>
      <c r="I88" s="64">
        <v>3.31</v>
      </c>
      <c r="J88" s="64">
        <v>0.05</v>
      </c>
      <c r="K88" s="64">
        <v>46.08</v>
      </c>
      <c r="L88" s="64">
        <v>28.23</v>
      </c>
      <c r="M88" s="64">
        <v>101.01</v>
      </c>
      <c r="N88" s="64">
        <v>26.5</v>
      </c>
      <c r="O88" s="64">
        <v>0</v>
      </c>
      <c r="P88" s="64">
        <v>0.67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48" t="s">
        <v>2245</v>
      </c>
      <c r="B89" s="64">
        <v>8.02</v>
      </c>
      <c r="C89" s="64">
        <v>3.07</v>
      </c>
      <c r="D89" s="64">
        <v>11.8</v>
      </c>
      <c r="E89" s="64">
        <v>3.84</v>
      </c>
      <c r="F89" s="64">
        <v>3.9</v>
      </c>
      <c r="G89" s="64">
        <v>85.36</v>
      </c>
      <c r="H89" s="209" t="s">
        <v>36</v>
      </c>
      <c r="I89" s="64">
        <v>3.67</v>
      </c>
      <c r="J89" s="64">
        <v>0.14000000000000001</v>
      </c>
      <c r="K89" s="64">
        <v>101.72</v>
      </c>
      <c r="L89" s="64">
        <v>28.43</v>
      </c>
      <c r="M89" s="64">
        <v>97.11</v>
      </c>
      <c r="N89" s="64">
        <v>26.1</v>
      </c>
      <c r="O89" s="64">
        <v>0</v>
      </c>
      <c r="P89" s="64">
        <v>0.69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48" t="s">
        <v>2246</v>
      </c>
      <c r="B90" s="64">
        <v>8.0399999999999991</v>
      </c>
      <c r="C90" s="64">
        <v>3</v>
      </c>
      <c r="D90" s="64">
        <v>11.78</v>
      </c>
      <c r="E90" s="64">
        <v>3.75</v>
      </c>
      <c r="F90" s="64">
        <v>3.33</v>
      </c>
      <c r="G90" s="64">
        <v>73.44</v>
      </c>
      <c r="H90" s="209" t="s">
        <v>36</v>
      </c>
      <c r="I90" s="64">
        <v>4.03</v>
      </c>
      <c r="J90" s="64">
        <v>0.28000000000000003</v>
      </c>
      <c r="K90" s="64">
        <v>123.2</v>
      </c>
      <c r="L90" s="64">
        <v>28.64</v>
      </c>
      <c r="M90" s="64">
        <v>95.1</v>
      </c>
      <c r="N90" s="64">
        <v>26.4</v>
      </c>
      <c r="O90" s="64">
        <v>0</v>
      </c>
      <c r="P90" s="64">
        <v>0.72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48" t="s">
        <v>2247</v>
      </c>
      <c r="B91" s="64">
        <v>8.0299999999999994</v>
      </c>
      <c r="C91" s="64">
        <v>3.02</v>
      </c>
      <c r="D91" s="64">
        <v>11.8</v>
      </c>
      <c r="E91" s="64">
        <v>4</v>
      </c>
      <c r="F91" s="64">
        <v>3.14</v>
      </c>
      <c r="G91" s="64">
        <v>72.89</v>
      </c>
      <c r="H91" s="209" t="s">
        <v>36</v>
      </c>
      <c r="I91" s="64">
        <v>4.3499999999999996</v>
      </c>
      <c r="J91" s="64">
        <v>0.35</v>
      </c>
      <c r="K91" s="64">
        <v>108.95</v>
      </c>
      <c r="L91" s="64">
        <v>28.89</v>
      </c>
      <c r="M91" s="64">
        <v>93.31</v>
      </c>
      <c r="N91" s="64">
        <v>26.5</v>
      </c>
      <c r="O91" s="64">
        <v>0</v>
      </c>
      <c r="P91" s="64">
        <v>0.72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48" t="s">
        <v>2248</v>
      </c>
      <c r="B92" s="64">
        <v>8.02</v>
      </c>
      <c r="C92" s="64">
        <v>3.07</v>
      </c>
      <c r="D92" s="64">
        <v>11.81</v>
      </c>
      <c r="E92" s="64">
        <v>3.98</v>
      </c>
      <c r="F92" s="64">
        <v>3.36</v>
      </c>
      <c r="G92" s="64">
        <v>72.89</v>
      </c>
      <c r="H92" s="209" t="s">
        <v>36</v>
      </c>
      <c r="I92" s="64">
        <v>4.78</v>
      </c>
      <c r="J92" s="64">
        <v>0.51</v>
      </c>
      <c r="K92" s="64">
        <v>148.41</v>
      </c>
      <c r="L92" s="64">
        <v>28.87</v>
      </c>
      <c r="M92" s="64">
        <v>94.71</v>
      </c>
      <c r="N92" s="64">
        <v>27</v>
      </c>
      <c r="O92" s="64">
        <v>0</v>
      </c>
      <c r="P92" s="64">
        <v>0.72</v>
      </c>
      <c r="Q92" s="64">
        <v>9.7200000000000006</v>
      </c>
      <c r="R92" s="198"/>
      <c r="S92" s="198"/>
      <c r="T92" s="198"/>
      <c r="U92" s="198"/>
    </row>
    <row r="93" spans="1:26" s="12" customFormat="1" x14ac:dyDescent="0.25">
      <c r="A93" s="248" t="s">
        <v>2249</v>
      </c>
      <c r="B93" s="64">
        <v>7.99</v>
      </c>
      <c r="C93" s="64">
        <v>3.04</v>
      </c>
      <c r="D93" s="64">
        <v>11.77</v>
      </c>
      <c r="E93" s="64">
        <v>4.07</v>
      </c>
      <c r="F93" s="64">
        <v>3.27</v>
      </c>
      <c r="G93" s="64">
        <v>72.89</v>
      </c>
      <c r="H93" s="209" t="s">
        <v>36</v>
      </c>
      <c r="I93" s="64">
        <v>5.09</v>
      </c>
      <c r="J93" s="64">
        <v>0.34</v>
      </c>
      <c r="K93" s="64">
        <v>169.08</v>
      </c>
      <c r="L93" s="64">
        <v>27.29</v>
      </c>
      <c r="M93" s="64">
        <v>99.64</v>
      </c>
      <c r="N93" s="64">
        <v>29.2</v>
      </c>
      <c r="O93" s="64">
        <v>0</v>
      </c>
      <c r="P93" s="64">
        <v>0.7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48" t="s">
        <v>2250</v>
      </c>
      <c r="B94" s="64">
        <v>8.01</v>
      </c>
      <c r="C94" s="64">
        <v>3.06</v>
      </c>
      <c r="D94" s="64">
        <v>11.79</v>
      </c>
      <c r="E94" s="64">
        <v>4.01</v>
      </c>
      <c r="F94" s="64">
        <v>4.18</v>
      </c>
      <c r="G94" s="64">
        <v>55.59</v>
      </c>
      <c r="H94" s="209" t="s">
        <v>36</v>
      </c>
      <c r="I94" s="64">
        <v>5.39</v>
      </c>
      <c r="J94" s="64">
        <v>1.19</v>
      </c>
      <c r="K94" s="64">
        <v>142.16</v>
      </c>
      <c r="L94" s="64">
        <v>25.8</v>
      </c>
      <c r="M94" s="64">
        <v>102.34</v>
      </c>
      <c r="N94" s="64">
        <v>29.1</v>
      </c>
      <c r="O94" s="64">
        <v>0</v>
      </c>
      <c r="P94" s="64">
        <v>0.65</v>
      </c>
      <c r="Q94" s="64">
        <v>9.73</v>
      </c>
      <c r="R94" s="198"/>
      <c r="S94" s="198"/>
      <c r="T94" s="198"/>
      <c r="U94" s="198"/>
    </row>
    <row r="95" spans="1:26" s="12" customFormat="1" x14ac:dyDescent="0.25">
      <c r="A95" s="248" t="s">
        <v>2251</v>
      </c>
      <c r="B95" s="64">
        <v>7.98</v>
      </c>
      <c r="C95" s="64">
        <v>3</v>
      </c>
      <c r="D95" s="64">
        <v>11.74</v>
      </c>
      <c r="E95" s="64">
        <v>4.6399999999999997</v>
      </c>
      <c r="F95" s="64">
        <v>5.14</v>
      </c>
      <c r="G95" s="64">
        <v>54.58</v>
      </c>
      <c r="H95" s="209" t="s">
        <v>36</v>
      </c>
      <c r="I95" s="64">
        <v>5.27</v>
      </c>
      <c r="J95" s="64">
        <v>1.63</v>
      </c>
      <c r="K95" s="64">
        <v>142.32</v>
      </c>
      <c r="L95" s="64">
        <v>24.84</v>
      </c>
      <c r="M95" s="64">
        <v>102.47</v>
      </c>
      <c r="N95" s="64">
        <v>30.2</v>
      </c>
      <c r="O95" s="64">
        <v>0</v>
      </c>
      <c r="P95" s="64">
        <v>0.62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48" t="s">
        <v>2252</v>
      </c>
      <c r="B96" s="64">
        <v>7.97</v>
      </c>
      <c r="C96" s="64">
        <v>3.04</v>
      </c>
      <c r="D96" s="64">
        <v>11.75</v>
      </c>
      <c r="E96" s="64">
        <v>4.4000000000000004</v>
      </c>
      <c r="F96" s="64">
        <v>2.5099999999999998</v>
      </c>
      <c r="G96" s="64">
        <v>54.58</v>
      </c>
      <c r="H96" s="209" t="s">
        <v>36</v>
      </c>
      <c r="I96" s="64">
        <v>5.09</v>
      </c>
      <c r="J96" s="64">
        <v>1.99</v>
      </c>
      <c r="K96" s="64">
        <v>143.36000000000001</v>
      </c>
      <c r="L96" s="64">
        <v>24.2</v>
      </c>
      <c r="M96" s="64">
        <v>102.57</v>
      </c>
      <c r="N96" s="64">
        <v>27.1</v>
      </c>
      <c r="O96" s="64">
        <v>0</v>
      </c>
      <c r="P96" s="64">
        <v>0.59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2253</v>
      </c>
      <c r="B97" s="64">
        <v>7.97</v>
      </c>
      <c r="C97" s="64">
        <v>2.96</v>
      </c>
      <c r="D97" s="64">
        <v>11.71</v>
      </c>
      <c r="E97" s="64">
        <v>4.43</v>
      </c>
      <c r="F97" s="64">
        <v>4.92</v>
      </c>
      <c r="G97" s="64">
        <v>54.58</v>
      </c>
      <c r="H97" s="209" t="s">
        <v>36</v>
      </c>
      <c r="I97" s="64">
        <v>5.1100000000000003</v>
      </c>
      <c r="J97" s="64">
        <v>0.93</v>
      </c>
      <c r="K97" s="64">
        <v>149.81</v>
      </c>
      <c r="L97" s="64">
        <v>24.02</v>
      </c>
      <c r="M97" s="64">
        <v>102.6</v>
      </c>
      <c r="N97" s="64">
        <v>27.4</v>
      </c>
      <c r="O97" s="64">
        <v>0</v>
      </c>
      <c r="P97" s="64">
        <v>0.56000000000000005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48" t="s">
        <v>2254</v>
      </c>
      <c r="B98" s="64">
        <v>8.01</v>
      </c>
      <c r="C98" s="64">
        <v>3.06</v>
      </c>
      <c r="D98" s="64">
        <v>11.79</v>
      </c>
      <c r="E98" s="64">
        <v>4.1100000000000003</v>
      </c>
      <c r="F98" s="64">
        <v>2.87</v>
      </c>
      <c r="G98" s="64">
        <v>31.44</v>
      </c>
      <c r="H98" s="209" t="s">
        <v>36</v>
      </c>
      <c r="I98" s="64">
        <v>5.36</v>
      </c>
      <c r="J98" s="64">
        <v>0.44</v>
      </c>
      <c r="K98" s="64">
        <v>110.66</v>
      </c>
      <c r="L98" s="64">
        <v>24.03</v>
      </c>
      <c r="M98" s="64">
        <v>102.83</v>
      </c>
      <c r="N98" s="64">
        <v>26.8</v>
      </c>
      <c r="O98" s="64">
        <v>0</v>
      </c>
      <c r="P98" s="64">
        <v>0.54</v>
      </c>
      <c r="Q98" s="64">
        <v>9.57</v>
      </c>
      <c r="R98" s="198"/>
      <c r="S98" s="198"/>
      <c r="T98" s="198"/>
      <c r="U98" s="198"/>
    </row>
    <row r="99" spans="1:33" s="12" customFormat="1" x14ac:dyDescent="0.25">
      <c r="A99" s="248" t="s">
        <v>2255</v>
      </c>
      <c r="B99" s="64">
        <v>7.99</v>
      </c>
      <c r="C99" s="64">
        <v>2.97</v>
      </c>
      <c r="D99" s="64">
        <v>11.73</v>
      </c>
      <c r="E99" s="64">
        <v>4.05</v>
      </c>
      <c r="F99" s="64">
        <v>4.8</v>
      </c>
      <c r="G99" s="64">
        <v>30.36</v>
      </c>
      <c r="H99" s="209" t="s">
        <v>36</v>
      </c>
      <c r="I99" s="64">
        <v>5.32</v>
      </c>
      <c r="J99" s="64">
        <v>0.96</v>
      </c>
      <c r="K99" s="64">
        <v>116.48</v>
      </c>
      <c r="L99" s="64">
        <v>24.22</v>
      </c>
      <c r="M99" s="64">
        <v>102.91</v>
      </c>
      <c r="N99" s="64">
        <v>23.5</v>
      </c>
      <c r="O99" s="64">
        <v>0</v>
      </c>
      <c r="P99" s="64">
        <v>0.53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48" t="s">
        <v>2256</v>
      </c>
      <c r="B100" s="64">
        <v>7.96</v>
      </c>
      <c r="C100" s="64">
        <v>2.98</v>
      </c>
      <c r="D100" s="64">
        <v>11.72</v>
      </c>
      <c r="E100" s="64">
        <v>4.46</v>
      </c>
      <c r="F100" s="64">
        <v>2.58</v>
      </c>
      <c r="G100" s="64">
        <v>30.36</v>
      </c>
      <c r="H100" s="209" t="s">
        <v>36</v>
      </c>
      <c r="I100" s="64">
        <v>5.14</v>
      </c>
      <c r="J100" s="64">
        <v>0.93</v>
      </c>
      <c r="K100" s="64">
        <v>113.54</v>
      </c>
      <c r="L100" s="64">
        <v>24.12</v>
      </c>
      <c r="M100" s="64">
        <v>102.99</v>
      </c>
      <c r="N100" s="64">
        <v>0</v>
      </c>
      <c r="O100" s="64">
        <v>0</v>
      </c>
      <c r="P100" s="64">
        <v>0.51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2257</v>
      </c>
      <c r="B101" s="64">
        <v>7.96</v>
      </c>
      <c r="C101" s="64">
        <v>3</v>
      </c>
      <c r="D101" s="64">
        <v>11.73</v>
      </c>
      <c r="E101" s="64">
        <v>4.18</v>
      </c>
      <c r="F101" s="64">
        <v>4.76</v>
      </c>
      <c r="G101" s="64">
        <v>30.36</v>
      </c>
      <c r="H101" s="209" t="s">
        <v>36</v>
      </c>
      <c r="I101" s="64">
        <v>4.78</v>
      </c>
      <c r="J101" s="64">
        <v>0.56000000000000005</v>
      </c>
      <c r="K101" s="64">
        <v>117.87</v>
      </c>
      <c r="L101" s="64">
        <v>24.12</v>
      </c>
      <c r="M101" s="64">
        <v>103.09</v>
      </c>
      <c r="N101" s="64">
        <v>0</v>
      </c>
      <c r="O101" s="64">
        <v>0</v>
      </c>
      <c r="P101" s="64">
        <v>0.5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48" t="s">
        <v>2258</v>
      </c>
      <c r="B102" s="64">
        <v>7.94</v>
      </c>
      <c r="C102" s="64">
        <v>3</v>
      </c>
      <c r="D102" s="64">
        <v>11.7</v>
      </c>
      <c r="E102" s="64">
        <v>4.54</v>
      </c>
      <c r="F102" s="64">
        <v>2.46</v>
      </c>
      <c r="G102" s="64">
        <v>18.22</v>
      </c>
      <c r="H102" s="209" t="s">
        <v>36</v>
      </c>
      <c r="I102" s="64">
        <v>5.08</v>
      </c>
      <c r="J102" s="64">
        <v>1.49</v>
      </c>
      <c r="K102" s="64">
        <v>115.99</v>
      </c>
      <c r="L102" s="64">
        <v>24.24</v>
      </c>
      <c r="M102" s="64">
        <v>103.27</v>
      </c>
      <c r="N102" s="64">
        <v>0</v>
      </c>
      <c r="O102" s="64">
        <v>0</v>
      </c>
      <c r="P102" s="64">
        <v>0.48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48" t="s">
        <v>2259</v>
      </c>
      <c r="B103" s="64">
        <v>7.96</v>
      </c>
      <c r="C103" s="64">
        <v>2.98</v>
      </c>
      <c r="D103" s="64">
        <v>11.71</v>
      </c>
      <c r="E103" s="64">
        <v>3.91</v>
      </c>
      <c r="F103" s="64">
        <v>3.88</v>
      </c>
      <c r="G103" s="64">
        <v>17.66</v>
      </c>
      <c r="H103" s="209" t="s">
        <v>36</v>
      </c>
      <c r="I103" s="64">
        <v>4.91</v>
      </c>
      <c r="J103" s="64">
        <v>0.03</v>
      </c>
      <c r="K103" s="64">
        <v>45.85</v>
      </c>
      <c r="L103" s="64">
        <v>24.48</v>
      </c>
      <c r="M103" s="64">
        <v>104.39</v>
      </c>
      <c r="N103" s="64">
        <v>0</v>
      </c>
      <c r="O103" s="64">
        <v>0</v>
      </c>
      <c r="P103" s="64">
        <v>0.47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48" t="s">
        <v>2260</v>
      </c>
      <c r="B104" s="64">
        <v>7.98</v>
      </c>
      <c r="C104" s="64">
        <v>3.01</v>
      </c>
      <c r="D104" s="64">
        <v>11.75</v>
      </c>
      <c r="E104" s="64">
        <v>4.01</v>
      </c>
      <c r="F104" s="64">
        <v>3.15</v>
      </c>
      <c r="G104" s="64">
        <v>17.66</v>
      </c>
      <c r="H104" s="209" t="s">
        <v>36</v>
      </c>
      <c r="I104" s="64">
        <v>4.8</v>
      </c>
      <c r="J104" s="64">
        <v>7.0000000000000007E-2</v>
      </c>
      <c r="K104" s="64">
        <v>341.49</v>
      </c>
      <c r="L104" s="64">
        <v>24.7</v>
      </c>
      <c r="M104" s="64">
        <v>106.28</v>
      </c>
      <c r="N104" s="64">
        <v>13.8</v>
      </c>
      <c r="O104" s="64">
        <v>0</v>
      </c>
      <c r="P104" s="64">
        <v>0.45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7.94</v>
      </c>
      <c r="C106" s="67">
        <f>MIN(C9:C104)</f>
        <v>2.91</v>
      </c>
      <c r="D106" s="67">
        <f t="shared" ref="D106:Q106" si="0">MIN(D9:D104)</f>
        <v>11.67</v>
      </c>
      <c r="E106" s="67">
        <f t="shared" si="0"/>
        <v>3.72</v>
      </c>
      <c r="F106" s="67">
        <f t="shared" si="0"/>
        <v>2.31</v>
      </c>
      <c r="G106" s="67">
        <f t="shared" si="0"/>
        <v>17.059999999999999</v>
      </c>
      <c r="H106" s="67">
        <f t="shared" si="0"/>
        <v>0</v>
      </c>
      <c r="I106" s="67">
        <f t="shared" si="0"/>
        <v>1.97</v>
      </c>
      <c r="J106" s="67">
        <f t="shared" si="0"/>
        <v>0.01</v>
      </c>
      <c r="K106" s="67">
        <f t="shared" si="0"/>
        <v>1.05</v>
      </c>
      <c r="L106" s="67">
        <f t="shared" si="0"/>
        <v>24.02</v>
      </c>
      <c r="M106" s="67">
        <f t="shared" si="0"/>
        <v>65.489999999999995</v>
      </c>
      <c r="N106" s="67">
        <f t="shared" si="0"/>
        <v>0</v>
      </c>
      <c r="O106" s="67">
        <f t="shared" si="0"/>
        <v>0</v>
      </c>
      <c r="P106" s="67">
        <f t="shared" si="0"/>
        <v>0.27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8.15</v>
      </c>
      <c r="C107" s="66">
        <f t="shared" ref="C107:Q107" si="1">MAX(C9:C104)</f>
        <v>3.18</v>
      </c>
      <c r="D107" s="66">
        <f t="shared" si="1"/>
        <v>11.97</v>
      </c>
      <c r="E107" s="66">
        <f t="shared" si="1"/>
        <v>5.43</v>
      </c>
      <c r="F107" s="66">
        <f t="shared" si="1"/>
        <v>8.86</v>
      </c>
      <c r="G107" s="66">
        <f t="shared" si="1"/>
        <v>87.64</v>
      </c>
      <c r="H107" s="66">
        <f t="shared" si="1"/>
        <v>0</v>
      </c>
      <c r="I107" s="66">
        <f t="shared" si="1"/>
        <v>6.25</v>
      </c>
      <c r="J107" s="66">
        <f t="shared" si="1"/>
        <v>1.99</v>
      </c>
      <c r="K107" s="66">
        <f t="shared" si="1"/>
        <v>347.36</v>
      </c>
      <c r="L107" s="66">
        <f t="shared" si="1"/>
        <v>35.590000000000003</v>
      </c>
      <c r="M107" s="66">
        <f t="shared" si="1"/>
        <v>106.28</v>
      </c>
      <c r="N107" s="66">
        <f t="shared" si="1"/>
        <v>806.2</v>
      </c>
      <c r="O107" s="66">
        <f t="shared" si="1"/>
        <v>0</v>
      </c>
      <c r="P107" s="66">
        <f t="shared" si="1"/>
        <v>0.89</v>
      </c>
      <c r="Q107" s="66">
        <f t="shared" si="1"/>
        <v>10.02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7.9972916666666718</v>
      </c>
      <c r="C108" s="67">
        <f t="shared" ref="C108:Q108" si="2">AVERAGE(C9:C104)</f>
        <v>3.0185416666666671</v>
      </c>
      <c r="D108" s="67">
        <f t="shared" si="2"/>
        <v>11.76458333333334</v>
      </c>
      <c r="E108" s="67">
        <f t="shared" si="2"/>
        <v>4.5365625000000014</v>
      </c>
      <c r="F108" s="67">
        <f t="shared" si="2"/>
        <v>3.9952083333333355</v>
      </c>
      <c r="G108" s="67">
        <f t="shared" si="2"/>
        <v>37.914943820224714</v>
      </c>
      <c r="H108" s="67" t="e">
        <f t="shared" si="2"/>
        <v>#DIV/0!</v>
      </c>
      <c r="I108" s="67">
        <f t="shared" si="2"/>
        <v>4.0486458333333317</v>
      </c>
      <c r="J108" s="67">
        <f t="shared" si="2"/>
        <v>0.34593750000000006</v>
      </c>
      <c r="K108" s="67">
        <f t="shared" si="2"/>
        <v>212.16187500000012</v>
      </c>
      <c r="L108" s="67">
        <f t="shared" si="2"/>
        <v>28.97937499999999</v>
      </c>
      <c r="M108" s="67">
        <f t="shared" si="2"/>
        <v>91.6875</v>
      </c>
      <c r="N108" s="67">
        <f t="shared" si="2"/>
        <v>70.127083333333346</v>
      </c>
      <c r="O108" s="67">
        <f t="shared" si="2"/>
        <v>0</v>
      </c>
      <c r="P108" s="67">
        <f t="shared" si="2"/>
        <v>0.48875000000000007</v>
      </c>
      <c r="Q108" s="67">
        <f t="shared" si="2"/>
        <v>9.5883333333333347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4.011769964194601E-2</v>
      </c>
      <c r="C109" s="67">
        <f t="shared" ref="C109:Q109" si="3">STDEV(C9:C104)</f>
        <v>5.251524423624989E-2</v>
      </c>
      <c r="D109" s="67">
        <f t="shared" si="3"/>
        <v>5.6043529447942962E-2</v>
      </c>
      <c r="E109" s="67">
        <f t="shared" si="3"/>
        <v>0.45463653064838505</v>
      </c>
      <c r="F109" s="67">
        <f t="shared" si="3"/>
        <v>1.1619439058538326</v>
      </c>
      <c r="G109" s="67">
        <f t="shared" si="3"/>
        <v>20.114486758394477</v>
      </c>
      <c r="H109" s="67" t="e">
        <f t="shared" si="3"/>
        <v>#DIV/0!</v>
      </c>
      <c r="I109" s="67">
        <f t="shared" si="3"/>
        <v>1.3188875853230704</v>
      </c>
      <c r="J109" s="67">
        <f t="shared" si="3"/>
        <v>0.42609753794419564</v>
      </c>
      <c r="K109" s="67">
        <f t="shared" si="3"/>
        <v>106.91558316149759</v>
      </c>
      <c r="L109" s="67">
        <f t="shared" si="3"/>
        <v>3.5056005754702131</v>
      </c>
      <c r="M109" s="67">
        <f t="shared" si="3"/>
        <v>13.275418994279701</v>
      </c>
      <c r="N109" s="67">
        <f t="shared" si="3"/>
        <v>146.79269412421596</v>
      </c>
      <c r="O109" s="67">
        <f t="shared" si="3"/>
        <v>0</v>
      </c>
      <c r="P109" s="67">
        <f t="shared" si="3"/>
        <v>0.148375412915667</v>
      </c>
      <c r="Q109" s="67">
        <f t="shared" si="3"/>
        <v>0.14459137825841037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COUNT(G9:G104)+7</f>
        <v>96</v>
      </c>
      <c r="H110" s="66">
        <f>COUNT(H9:H104)+96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3" sqref="H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2261</v>
      </c>
      <c r="B9" s="64">
        <v>8.0299999999999994</v>
      </c>
      <c r="C9" s="64">
        <v>3.05</v>
      </c>
      <c r="D9" s="64">
        <v>11.8</v>
      </c>
      <c r="E9" s="64">
        <v>3.61</v>
      </c>
      <c r="F9" s="64">
        <v>3.32</v>
      </c>
      <c r="G9" s="64">
        <v>17.66</v>
      </c>
      <c r="H9" s="209" t="s">
        <v>36</v>
      </c>
      <c r="I9" s="64">
        <v>4.8499999999999996</v>
      </c>
      <c r="J9" s="64">
        <v>0.27</v>
      </c>
      <c r="K9" s="64">
        <v>337.96</v>
      </c>
      <c r="L9" s="64">
        <v>24.88</v>
      </c>
      <c r="M9" s="64">
        <v>105.05</v>
      </c>
      <c r="N9" s="64">
        <v>26.2</v>
      </c>
      <c r="O9" s="64">
        <v>0</v>
      </c>
      <c r="P9" s="64">
        <v>0.45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48" t="s">
        <v>2262</v>
      </c>
      <c r="B10" s="64">
        <v>8.0299999999999994</v>
      </c>
      <c r="C10" s="64">
        <v>3.04</v>
      </c>
      <c r="D10" s="64">
        <v>11.8</v>
      </c>
      <c r="E10" s="64">
        <v>4.1399999999999997</v>
      </c>
      <c r="F10" s="64">
        <v>3.34</v>
      </c>
      <c r="G10" s="64">
        <v>15.04</v>
      </c>
      <c r="H10" s="209" t="s">
        <v>36</v>
      </c>
      <c r="I10" s="64">
        <v>4.72</v>
      </c>
      <c r="J10" s="64">
        <v>0.41</v>
      </c>
      <c r="K10" s="64">
        <v>115.18</v>
      </c>
      <c r="L10" s="64">
        <v>24.69</v>
      </c>
      <c r="M10" s="64">
        <v>103.97</v>
      </c>
      <c r="N10" s="64">
        <v>26.6</v>
      </c>
      <c r="O10" s="64">
        <v>0</v>
      </c>
      <c r="P10" s="64">
        <v>0.45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48" t="s">
        <v>2263</v>
      </c>
      <c r="B11" s="64">
        <v>7.99</v>
      </c>
      <c r="C11" s="64">
        <v>2.97</v>
      </c>
      <c r="D11" s="64">
        <v>11.73</v>
      </c>
      <c r="E11" s="64">
        <v>3.9</v>
      </c>
      <c r="F11" s="64">
        <v>3.54</v>
      </c>
      <c r="G11" s="64">
        <v>14.92</v>
      </c>
      <c r="H11" s="209" t="s">
        <v>36</v>
      </c>
      <c r="I11" s="64">
        <v>4.67</v>
      </c>
      <c r="J11" s="64">
        <v>0.21</v>
      </c>
      <c r="K11" s="64">
        <v>105.45</v>
      </c>
      <c r="L11" s="64">
        <v>24.74</v>
      </c>
      <c r="M11" s="64">
        <v>104.92</v>
      </c>
      <c r="N11" s="64">
        <v>23.6</v>
      </c>
      <c r="O11" s="64">
        <v>0</v>
      </c>
      <c r="P11" s="64">
        <v>0.44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48" t="s">
        <v>2264</v>
      </c>
      <c r="B12" s="64">
        <v>7.98</v>
      </c>
      <c r="C12" s="64">
        <v>2.97</v>
      </c>
      <c r="D12" s="64">
        <v>11.73</v>
      </c>
      <c r="E12" s="64">
        <v>3.88</v>
      </c>
      <c r="F12" s="64">
        <v>2.95</v>
      </c>
      <c r="G12" s="64">
        <v>14.92</v>
      </c>
      <c r="H12" s="209" t="s">
        <v>36</v>
      </c>
      <c r="I12" s="64">
        <v>4.9400000000000004</v>
      </c>
      <c r="J12" s="64">
        <v>0.19</v>
      </c>
      <c r="K12" s="64">
        <v>183.04</v>
      </c>
      <c r="L12" s="64">
        <v>24.88</v>
      </c>
      <c r="M12" s="64">
        <v>104.55</v>
      </c>
      <c r="N12" s="64">
        <v>3.6</v>
      </c>
      <c r="O12" s="64">
        <v>0</v>
      </c>
      <c r="P12" s="64">
        <v>0.43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48" t="s">
        <v>2265</v>
      </c>
      <c r="B13" s="64">
        <v>7.99</v>
      </c>
      <c r="C13" s="64">
        <v>2.97</v>
      </c>
      <c r="D13" s="64">
        <v>11.74</v>
      </c>
      <c r="E13" s="64">
        <v>3.72</v>
      </c>
      <c r="F13" s="64">
        <v>3.11</v>
      </c>
      <c r="G13" s="64">
        <v>14.92</v>
      </c>
      <c r="H13" s="209" t="s">
        <v>36</v>
      </c>
      <c r="I13" s="64">
        <v>5.01</v>
      </c>
      <c r="J13" s="64">
        <v>0.16</v>
      </c>
      <c r="K13" s="64">
        <v>147.94999999999999</v>
      </c>
      <c r="L13" s="64">
        <v>24.94</v>
      </c>
      <c r="M13" s="64">
        <v>104.82</v>
      </c>
      <c r="N13" s="64">
        <v>17.399999999999999</v>
      </c>
      <c r="O13" s="64">
        <v>0</v>
      </c>
      <c r="P13" s="64">
        <v>0.41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48" t="s">
        <v>2266</v>
      </c>
      <c r="B14" s="64">
        <v>8.0299999999999994</v>
      </c>
      <c r="C14" s="64">
        <v>3.03</v>
      </c>
      <c r="D14" s="64">
        <v>11.8</v>
      </c>
      <c r="E14" s="64">
        <v>4.22</v>
      </c>
      <c r="F14" s="64">
        <v>3.21</v>
      </c>
      <c r="G14" s="64">
        <v>14.3</v>
      </c>
      <c r="H14" s="209" t="s">
        <v>36</v>
      </c>
      <c r="I14" s="64">
        <v>4.8</v>
      </c>
      <c r="J14" s="64">
        <v>0.12</v>
      </c>
      <c r="K14" s="64">
        <v>197.76</v>
      </c>
      <c r="L14" s="64">
        <v>24.96</v>
      </c>
      <c r="M14" s="64">
        <v>105.11</v>
      </c>
      <c r="N14" s="64">
        <v>27</v>
      </c>
      <c r="O14" s="64">
        <v>0</v>
      </c>
      <c r="P14" s="64">
        <v>0.41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48" t="s">
        <v>2267</v>
      </c>
      <c r="B15" s="64">
        <v>7.99</v>
      </c>
      <c r="C15" s="64">
        <v>2.99</v>
      </c>
      <c r="D15" s="64">
        <v>11.74</v>
      </c>
      <c r="E15" s="64">
        <v>3.72</v>
      </c>
      <c r="F15" s="64">
        <v>3.58</v>
      </c>
      <c r="G15" s="64">
        <v>14.27</v>
      </c>
      <c r="H15" s="209" t="s">
        <v>36</v>
      </c>
      <c r="I15" s="64">
        <v>4.7699999999999996</v>
      </c>
      <c r="J15" s="64">
        <v>0.21</v>
      </c>
      <c r="K15" s="64">
        <v>194.65</v>
      </c>
      <c r="L15" s="64">
        <v>24.82</v>
      </c>
      <c r="M15" s="64">
        <v>104.8</v>
      </c>
      <c r="N15" s="64">
        <v>27.2</v>
      </c>
      <c r="O15" s="64">
        <v>0</v>
      </c>
      <c r="P15" s="64">
        <v>0.41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48" t="s">
        <v>2268</v>
      </c>
      <c r="B16" s="64">
        <v>7.97</v>
      </c>
      <c r="C16" s="64">
        <v>2.98</v>
      </c>
      <c r="D16" s="64">
        <v>11.73</v>
      </c>
      <c r="E16" s="64">
        <v>3.85</v>
      </c>
      <c r="F16" s="64">
        <v>4.17</v>
      </c>
      <c r="G16" s="64">
        <v>14.27</v>
      </c>
      <c r="H16" s="209" t="s">
        <v>36</v>
      </c>
      <c r="I16" s="64">
        <v>4.8499999999999996</v>
      </c>
      <c r="J16" s="64">
        <v>0.28999999999999998</v>
      </c>
      <c r="K16" s="64">
        <v>155.77000000000001</v>
      </c>
      <c r="L16" s="64">
        <v>24.83</v>
      </c>
      <c r="M16" s="64">
        <v>104.92</v>
      </c>
      <c r="N16" s="64">
        <v>12.3</v>
      </c>
      <c r="O16" s="64">
        <v>0</v>
      </c>
      <c r="P16" s="64">
        <v>0.4</v>
      </c>
      <c r="Q16" s="64">
        <v>9.5399999999999991</v>
      </c>
      <c r="R16" s="198"/>
      <c r="S16" s="198"/>
      <c r="T16" s="198"/>
      <c r="U16" s="198"/>
    </row>
    <row r="17" spans="1:21" s="12" customFormat="1" x14ac:dyDescent="0.25">
      <c r="A17" s="248" t="s">
        <v>2269</v>
      </c>
      <c r="B17" s="64">
        <v>7.93</v>
      </c>
      <c r="C17" s="64">
        <v>3</v>
      </c>
      <c r="D17" s="64">
        <v>11.7</v>
      </c>
      <c r="E17" s="64">
        <v>4.29</v>
      </c>
      <c r="F17" s="64">
        <v>3.32</v>
      </c>
      <c r="G17" s="64">
        <v>14.27</v>
      </c>
      <c r="H17" s="209" t="s">
        <v>36</v>
      </c>
      <c r="I17" s="64">
        <v>4.78</v>
      </c>
      <c r="J17" s="64">
        <v>0.05</v>
      </c>
      <c r="K17" s="64">
        <v>274.67</v>
      </c>
      <c r="L17" s="64">
        <v>24.96</v>
      </c>
      <c r="M17" s="64">
        <v>105.18</v>
      </c>
      <c r="N17" s="64">
        <v>0</v>
      </c>
      <c r="O17" s="64">
        <v>0</v>
      </c>
      <c r="P17" s="64">
        <v>0.39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48" t="s">
        <v>2270</v>
      </c>
      <c r="B18" s="64">
        <v>7.97</v>
      </c>
      <c r="C18" s="64">
        <v>3.01</v>
      </c>
      <c r="D18" s="64">
        <v>11.74</v>
      </c>
      <c r="E18" s="64">
        <v>3.76</v>
      </c>
      <c r="F18" s="64">
        <v>5.21</v>
      </c>
      <c r="G18" s="64">
        <v>12.11</v>
      </c>
      <c r="H18" s="209" t="s">
        <v>36</v>
      </c>
      <c r="I18" s="64">
        <v>4.63</v>
      </c>
      <c r="J18" s="64">
        <v>0.04</v>
      </c>
      <c r="K18" s="64">
        <v>150.72</v>
      </c>
      <c r="L18" s="64">
        <v>24.86</v>
      </c>
      <c r="M18" s="64">
        <v>105.78</v>
      </c>
      <c r="N18" s="64">
        <v>4.8</v>
      </c>
      <c r="O18" s="64">
        <v>0</v>
      </c>
      <c r="P18" s="64">
        <v>0.39</v>
      </c>
      <c r="Q18" s="64">
        <v>9.52</v>
      </c>
      <c r="R18" s="198"/>
      <c r="S18" s="198"/>
      <c r="T18" s="198"/>
      <c r="U18" s="198"/>
    </row>
    <row r="19" spans="1:21" s="12" customFormat="1" x14ac:dyDescent="0.25">
      <c r="A19" s="248" t="s">
        <v>2271</v>
      </c>
      <c r="B19" s="64">
        <v>7.97</v>
      </c>
      <c r="C19" s="64">
        <v>2.97</v>
      </c>
      <c r="D19" s="64">
        <v>11.72</v>
      </c>
      <c r="E19" s="64">
        <v>4.22</v>
      </c>
      <c r="F19" s="64">
        <v>2.3199999999999998</v>
      </c>
      <c r="G19" s="64">
        <v>12.01</v>
      </c>
      <c r="H19" s="209" t="s">
        <v>36</v>
      </c>
      <c r="I19" s="64">
        <v>4.4800000000000004</v>
      </c>
      <c r="J19" s="64">
        <v>0</v>
      </c>
      <c r="K19" s="64">
        <v>42.15</v>
      </c>
      <c r="L19" s="64">
        <v>24.88</v>
      </c>
      <c r="M19" s="64">
        <v>108.62</v>
      </c>
      <c r="N19" s="64">
        <v>26.9</v>
      </c>
      <c r="O19" s="64">
        <v>0</v>
      </c>
      <c r="P19" s="64">
        <v>0.37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48" t="s">
        <v>2272</v>
      </c>
      <c r="B20" s="64">
        <v>7.98</v>
      </c>
      <c r="C20" s="64">
        <v>2.97</v>
      </c>
      <c r="D20" s="64">
        <v>11.72</v>
      </c>
      <c r="E20" s="64">
        <v>3.94</v>
      </c>
      <c r="F20" s="64">
        <v>4.0999999999999996</v>
      </c>
      <c r="G20" s="64">
        <v>12.01</v>
      </c>
      <c r="H20" s="209" t="s">
        <v>36</v>
      </c>
      <c r="I20" s="64">
        <v>4.33</v>
      </c>
      <c r="J20" s="64">
        <v>0.12</v>
      </c>
      <c r="K20" s="64">
        <v>134.63999999999999</v>
      </c>
      <c r="L20" s="64">
        <v>24.95</v>
      </c>
      <c r="M20" s="64">
        <v>106.34</v>
      </c>
      <c r="N20" s="64">
        <v>26.8</v>
      </c>
      <c r="O20" s="64">
        <v>0</v>
      </c>
      <c r="P20" s="64">
        <v>0.36</v>
      </c>
      <c r="Q20" s="64">
        <v>9.49</v>
      </c>
      <c r="R20" s="198"/>
      <c r="S20" s="198"/>
      <c r="T20" s="198"/>
      <c r="U20" s="198"/>
    </row>
    <row r="21" spans="1:21" s="12" customFormat="1" x14ac:dyDescent="0.25">
      <c r="A21" s="248" t="s">
        <v>2273</v>
      </c>
      <c r="B21" s="64">
        <v>7.94</v>
      </c>
      <c r="C21" s="64">
        <v>2.98</v>
      </c>
      <c r="D21" s="64">
        <v>11.7</v>
      </c>
      <c r="E21" s="64">
        <v>3.96</v>
      </c>
      <c r="F21" s="64">
        <v>2.78</v>
      </c>
      <c r="G21" s="64">
        <v>12.01</v>
      </c>
      <c r="H21" s="209" t="s">
        <v>36</v>
      </c>
      <c r="I21" s="64">
        <v>4.1500000000000004</v>
      </c>
      <c r="J21" s="64">
        <v>0.54</v>
      </c>
      <c r="K21" s="64">
        <v>144.82</v>
      </c>
      <c r="L21" s="64">
        <v>25</v>
      </c>
      <c r="M21" s="64">
        <v>105.64</v>
      </c>
      <c r="N21" s="64">
        <v>27.1</v>
      </c>
      <c r="O21" s="64">
        <v>0</v>
      </c>
      <c r="P21" s="64">
        <v>0.35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48" t="s">
        <v>2274</v>
      </c>
      <c r="B22" s="64">
        <v>7.96</v>
      </c>
      <c r="C22" s="64">
        <v>2.93</v>
      </c>
      <c r="D22" s="64">
        <v>11.69</v>
      </c>
      <c r="E22" s="64">
        <v>3.89</v>
      </c>
      <c r="F22" s="64">
        <v>4.45</v>
      </c>
      <c r="G22" s="64">
        <v>8.4700000000000006</v>
      </c>
      <c r="H22" s="209" t="s">
        <v>36</v>
      </c>
      <c r="I22" s="64">
        <v>4.04</v>
      </c>
      <c r="J22" s="64">
        <v>0.55000000000000004</v>
      </c>
      <c r="K22" s="64">
        <v>153.37</v>
      </c>
      <c r="L22" s="64">
        <v>25.11</v>
      </c>
      <c r="M22" s="64">
        <v>105.65</v>
      </c>
      <c r="N22" s="64">
        <v>24.4</v>
      </c>
      <c r="O22" s="64">
        <v>0</v>
      </c>
      <c r="P22" s="64">
        <v>0.35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48" t="s">
        <v>2275</v>
      </c>
      <c r="B23" s="64">
        <v>7.96</v>
      </c>
      <c r="C23" s="64">
        <v>2.98</v>
      </c>
      <c r="D23" s="64">
        <v>11.72</v>
      </c>
      <c r="E23" s="64">
        <v>4.01</v>
      </c>
      <c r="F23" s="64">
        <v>2.41</v>
      </c>
      <c r="G23" s="64">
        <v>8.3000000000000007</v>
      </c>
      <c r="H23" s="209" t="s">
        <v>36</v>
      </c>
      <c r="I23" s="64">
        <v>3.98</v>
      </c>
      <c r="J23" s="64">
        <v>0.46</v>
      </c>
      <c r="K23" s="64">
        <v>155.74</v>
      </c>
      <c r="L23" s="64">
        <v>25.17</v>
      </c>
      <c r="M23" s="64">
        <v>105.55</v>
      </c>
      <c r="N23" s="64">
        <v>27.3</v>
      </c>
      <c r="O23" s="64">
        <v>0</v>
      </c>
      <c r="P23" s="64">
        <v>0.33</v>
      </c>
      <c r="Q23" s="64">
        <v>9.4700000000000006</v>
      </c>
      <c r="R23" s="198"/>
      <c r="S23" s="198"/>
      <c r="T23" s="198"/>
      <c r="U23" s="198"/>
    </row>
    <row r="24" spans="1:21" s="12" customFormat="1" x14ac:dyDescent="0.25">
      <c r="A24" s="248" t="s">
        <v>2276</v>
      </c>
      <c r="B24" s="64">
        <v>7.97</v>
      </c>
      <c r="C24" s="64">
        <v>3.03</v>
      </c>
      <c r="D24" s="64">
        <v>11.75</v>
      </c>
      <c r="E24" s="64">
        <v>5.56</v>
      </c>
      <c r="F24" s="64">
        <v>3.47</v>
      </c>
      <c r="G24" s="64">
        <v>8.3000000000000007</v>
      </c>
      <c r="H24" s="209" t="s">
        <v>36</v>
      </c>
      <c r="I24" s="64">
        <v>4.01</v>
      </c>
      <c r="J24" s="64">
        <v>0.03</v>
      </c>
      <c r="K24" s="64">
        <v>134.19999999999999</v>
      </c>
      <c r="L24" s="64">
        <v>25.28</v>
      </c>
      <c r="M24" s="64">
        <v>105.45</v>
      </c>
      <c r="N24" s="64">
        <v>27</v>
      </c>
      <c r="O24" s="64">
        <v>0</v>
      </c>
      <c r="P24" s="64">
        <v>0.32</v>
      </c>
      <c r="Q24" s="64">
        <v>9.4600000000000009</v>
      </c>
      <c r="R24" s="198"/>
      <c r="S24" s="198"/>
      <c r="T24" s="198"/>
      <c r="U24" s="198"/>
    </row>
    <row r="25" spans="1:21" s="12" customFormat="1" x14ac:dyDescent="0.25">
      <c r="A25" s="248" t="s">
        <v>2277</v>
      </c>
      <c r="B25" s="64">
        <v>7.99</v>
      </c>
      <c r="C25" s="64">
        <v>2.99</v>
      </c>
      <c r="D25" s="64">
        <v>11.75</v>
      </c>
      <c r="E25" s="64">
        <v>4</v>
      </c>
      <c r="F25" s="64">
        <v>3.2</v>
      </c>
      <c r="G25" s="64">
        <v>8.3000000000000007</v>
      </c>
      <c r="H25" s="209" t="s">
        <v>36</v>
      </c>
      <c r="I25" s="64">
        <v>3.91</v>
      </c>
      <c r="J25" s="64">
        <v>0</v>
      </c>
      <c r="K25" s="64">
        <v>115.96</v>
      </c>
      <c r="L25" s="64">
        <v>25.32</v>
      </c>
      <c r="M25" s="64">
        <v>105.4</v>
      </c>
      <c r="N25" s="64">
        <v>26.9</v>
      </c>
      <c r="O25" s="64">
        <v>0</v>
      </c>
      <c r="P25" s="64">
        <v>0.32</v>
      </c>
      <c r="Q25" s="64">
        <v>9.4700000000000006</v>
      </c>
      <c r="R25" s="198"/>
      <c r="S25" s="198"/>
      <c r="T25" s="198"/>
      <c r="U25" s="198"/>
    </row>
    <row r="26" spans="1:21" s="12" customFormat="1" x14ac:dyDescent="0.25">
      <c r="A26" s="248" t="s">
        <v>2278</v>
      </c>
      <c r="B26" s="64">
        <v>8</v>
      </c>
      <c r="C26" s="64">
        <v>2.98</v>
      </c>
      <c r="D26" s="64">
        <v>11.75</v>
      </c>
      <c r="E26" s="64">
        <v>4.41</v>
      </c>
      <c r="F26" s="64">
        <v>3.12</v>
      </c>
      <c r="G26" s="64">
        <v>14.36</v>
      </c>
      <c r="H26" s="209" t="s">
        <v>36</v>
      </c>
      <c r="I26" s="64">
        <v>3.88</v>
      </c>
      <c r="J26" s="64">
        <v>7.0000000000000007E-2</v>
      </c>
      <c r="K26" s="64">
        <v>210.96</v>
      </c>
      <c r="L26" s="64">
        <v>25.43</v>
      </c>
      <c r="M26" s="64">
        <v>105.1</v>
      </c>
      <c r="N26" s="64">
        <v>26.8</v>
      </c>
      <c r="O26" s="64">
        <v>0</v>
      </c>
      <c r="P26" s="64">
        <v>0.32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48" t="s">
        <v>2279</v>
      </c>
      <c r="B27" s="64">
        <v>7.99</v>
      </c>
      <c r="C27" s="64">
        <v>2.97</v>
      </c>
      <c r="D27" s="64">
        <v>11.74</v>
      </c>
      <c r="E27" s="64">
        <v>4.16</v>
      </c>
      <c r="F27" s="64">
        <v>3.4</v>
      </c>
      <c r="G27" s="64">
        <v>14.64</v>
      </c>
      <c r="H27" s="209" t="s">
        <v>36</v>
      </c>
      <c r="I27" s="64">
        <v>3.95</v>
      </c>
      <c r="J27" s="64">
        <v>0.08</v>
      </c>
      <c r="K27" s="64">
        <v>212.87</v>
      </c>
      <c r="L27" s="64">
        <v>25.43</v>
      </c>
      <c r="M27" s="64">
        <v>105.06</v>
      </c>
      <c r="N27" s="64">
        <v>26.9</v>
      </c>
      <c r="O27" s="64">
        <v>0</v>
      </c>
      <c r="P27" s="64">
        <v>0.32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48" t="s">
        <v>2280</v>
      </c>
      <c r="B28" s="64">
        <v>7.97</v>
      </c>
      <c r="C28" s="64">
        <v>2.96</v>
      </c>
      <c r="D28" s="64">
        <v>11.72</v>
      </c>
      <c r="E28" s="64">
        <v>4.43</v>
      </c>
      <c r="F28" s="64">
        <v>3.29</v>
      </c>
      <c r="G28" s="64">
        <v>14.64</v>
      </c>
      <c r="H28" s="209" t="s">
        <v>36</v>
      </c>
      <c r="I28" s="64">
        <v>4.05</v>
      </c>
      <c r="J28" s="64">
        <v>0.02</v>
      </c>
      <c r="K28" s="64">
        <v>279.92</v>
      </c>
      <c r="L28" s="64">
        <v>25.39</v>
      </c>
      <c r="M28" s="64">
        <v>105.09</v>
      </c>
      <c r="N28" s="64">
        <v>26.9</v>
      </c>
      <c r="O28" s="64">
        <v>0</v>
      </c>
      <c r="P28" s="64">
        <v>0.31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48" t="s">
        <v>2281</v>
      </c>
      <c r="B29" s="64">
        <v>7.98</v>
      </c>
      <c r="C29" s="64">
        <v>2.93</v>
      </c>
      <c r="D29" s="64">
        <v>11.71</v>
      </c>
      <c r="E29" s="64">
        <v>4.5199999999999996</v>
      </c>
      <c r="F29" s="64">
        <v>3.33</v>
      </c>
      <c r="G29" s="64">
        <v>14.64</v>
      </c>
      <c r="H29" s="209" t="s">
        <v>36</v>
      </c>
      <c r="I29" s="64">
        <v>4.1500000000000004</v>
      </c>
      <c r="J29" s="64">
        <v>0.12</v>
      </c>
      <c r="K29" s="64">
        <v>173.91</v>
      </c>
      <c r="L29" s="64">
        <v>25.39</v>
      </c>
      <c r="M29" s="64">
        <v>105.11</v>
      </c>
      <c r="N29" s="64">
        <v>26.8</v>
      </c>
      <c r="O29" s="64">
        <v>0</v>
      </c>
      <c r="P29" s="64">
        <v>0.31</v>
      </c>
      <c r="Q29" s="64">
        <v>9.52</v>
      </c>
      <c r="R29" s="198"/>
      <c r="S29" s="198"/>
      <c r="T29" s="198"/>
      <c r="U29" s="198"/>
    </row>
    <row r="30" spans="1:21" s="12" customFormat="1" x14ac:dyDescent="0.25">
      <c r="A30" s="248" t="s">
        <v>2282</v>
      </c>
      <c r="B30" s="64">
        <v>7.98</v>
      </c>
      <c r="C30" s="64">
        <v>2.9</v>
      </c>
      <c r="D30" s="64">
        <v>11.69</v>
      </c>
      <c r="E30" s="64">
        <v>4.46</v>
      </c>
      <c r="F30" s="64">
        <v>3.14</v>
      </c>
      <c r="G30" s="64">
        <v>10.73</v>
      </c>
      <c r="H30" s="209" t="s">
        <v>36</v>
      </c>
      <c r="I30" s="64">
        <v>4.2</v>
      </c>
      <c r="J30" s="64">
        <v>0.03</v>
      </c>
      <c r="K30" s="64">
        <v>347.39</v>
      </c>
      <c r="L30" s="64">
        <v>25.47</v>
      </c>
      <c r="M30" s="64">
        <v>104.85</v>
      </c>
      <c r="N30" s="64">
        <v>26.8</v>
      </c>
      <c r="O30" s="64">
        <v>0</v>
      </c>
      <c r="P30" s="64">
        <v>0.31</v>
      </c>
      <c r="Q30" s="64">
        <v>9.52</v>
      </c>
      <c r="R30" s="198"/>
      <c r="S30" s="198"/>
      <c r="T30" s="198"/>
      <c r="U30" s="198"/>
    </row>
    <row r="31" spans="1:21" s="12" customFormat="1" x14ac:dyDescent="0.25">
      <c r="A31" s="248" t="s">
        <v>2283</v>
      </c>
      <c r="B31" s="64">
        <v>7.98</v>
      </c>
      <c r="C31" s="64">
        <v>2.93</v>
      </c>
      <c r="D31" s="64">
        <v>11.71</v>
      </c>
      <c r="E31" s="64">
        <v>4.74</v>
      </c>
      <c r="F31" s="64">
        <v>3.12</v>
      </c>
      <c r="G31" s="64">
        <v>10.55</v>
      </c>
      <c r="H31" s="209" t="s">
        <v>36</v>
      </c>
      <c r="I31" s="64">
        <v>4.26</v>
      </c>
      <c r="J31" s="64">
        <v>0.02</v>
      </c>
      <c r="K31" s="64">
        <v>6.17</v>
      </c>
      <c r="L31" s="64">
        <v>25.49</v>
      </c>
      <c r="M31" s="64">
        <v>104.83</v>
      </c>
      <c r="N31" s="64">
        <v>26.9</v>
      </c>
      <c r="O31" s="64">
        <v>0</v>
      </c>
      <c r="P31" s="64">
        <v>0.3</v>
      </c>
      <c r="Q31" s="64">
        <v>9.52</v>
      </c>
      <c r="R31" s="198"/>
      <c r="S31" s="198"/>
      <c r="T31" s="198"/>
      <c r="U31" s="198"/>
    </row>
    <row r="32" spans="1:21" s="12" customFormat="1" x14ac:dyDescent="0.25">
      <c r="A32" s="248" t="s">
        <v>2284</v>
      </c>
      <c r="B32" s="64">
        <v>7.98</v>
      </c>
      <c r="C32" s="64">
        <v>2.96</v>
      </c>
      <c r="D32" s="64">
        <v>11.72</v>
      </c>
      <c r="E32" s="64">
        <v>4.63</v>
      </c>
      <c r="F32" s="64">
        <v>4.41</v>
      </c>
      <c r="G32" s="64">
        <v>10.55</v>
      </c>
      <c r="H32" s="209" t="s">
        <v>36</v>
      </c>
      <c r="I32" s="64">
        <v>4.3499999999999996</v>
      </c>
      <c r="J32" s="64">
        <v>0.06</v>
      </c>
      <c r="K32" s="64">
        <v>31.05</v>
      </c>
      <c r="L32" s="64">
        <v>25.52</v>
      </c>
      <c r="M32" s="64">
        <v>104.86</v>
      </c>
      <c r="N32" s="64">
        <v>13.4</v>
      </c>
      <c r="O32" s="64">
        <v>0</v>
      </c>
      <c r="P32" s="64">
        <v>0.31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48" t="s">
        <v>2285</v>
      </c>
      <c r="B33" s="64">
        <v>7.95</v>
      </c>
      <c r="C33" s="64">
        <v>2.98</v>
      </c>
      <c r="D33" s="64">
        <v>11.71</v>
      </c>
      <c r="E33" s="64">
        <v>4.46</v>
      </c>
      <c r="F33" s="64">
        <v>3.67</v>
      </c>
      <c r="G33" s="64">
        <v>10.55</v>
      </c>
      <c r="H33" s="209" t="s">
        <v>36</v>
      </c>
      <c r="I33" s="64">
        <v>4.3600000000000003</v>
      </c>
      <c r="J33" s="64">
        <v>0.04</v>
      </c>
      <c r="K33" s="64">
        <v>0.93</v>
      </c>
      <c r="L33" s="64">
        <v>25.51</v>
      </c>
      <c r="M33" s="64">
        <v>104.95</v>
      </c>
      <c r="N33" s="64">
        <v>0</v>
      </c>
      <c r="O33" s="64">
        <v>0</v>
      </c>
      <c r="P33" s="64">
        <v>0.31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48" t="s">
        <v>2286</v>
      </c>
      <c r="B34" s="64">
        <v>7.97</v>
      </c>
      <c r="C34" s="64">
        <v>3.04</v>
      </c>
      <c r="D34" s="64">
        <v>11.75</v>
      </c>
      <c r="E34" s="64">
        <v>4.5199999999999996</v>
      </c>
      <c r="F34" s="64">
        <v>3.49</v>
      </c>
      <c r="G34" s="64">
        <v>7.67</v>
      </c>
      <c r="H34" s="209" t="s">
        <v>36</v>
      </c>
      <c r="I34" s="64">
        <v>4.26</v>
      </c>
      <c r="J34" s="64">
        <v>7.0000000000000007E-2</v>
      </c>
      <c r="K34" s="64">
        <v>358.66</v>
      </c>
      <c r="L34" s="64">
        <v>25.54</v>
      </c>
      <c r="M34" s="64">
        <v>104.99</v>
      </c>
      <c r="N34" s="64">
        <v>0</v>
      </c>
      <c r="O34" s="64">
        <v>0</v>
      </c>
      <c r="P34" s="64">
        <v>0.28999999999999998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48" t="s">
        <v>2287</v>
      </c>
      <c r="B35" s="64">
        <v>7.99</v>
      </c>
      <c r="C35" s="64">
        <v>3.08</v>
      </c>
      <c r="D35" s="64">
        <v>11.79</v>
      </c>
      <c r="E35" s="64">
        <v>4.33</v>
      </c>
      <c r="F35" s="64">
        <v>4.51</v>
      </c>
      <c r="G35" s="64">
        <v>7.54</v>
      </c>
      <c r="H35" s="209" t="s">
        <v>36</v>
      </c>
      <c r="I35" s="64">
        <v>4.13</v>
      </c>
      <c r="J35" s="64">
        <v>7.0000000000000007E-2</v>
      </c>
      <c r="K35" s="64">
        <v>20.37</v>
      </c>
      <c r="L35" s="64">
        <v>25.51</v>
      </c>
      <c r="M35" s="64">
        <v>105.07</v>
      </c>
      <c r="N35" s="64">
        <v>0</v>
      </c>
      <c r="O35" s="64">
        <v>0</v>
      </c>
      <c r="P35" s="64">
        <v>0.3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48" t="s">
        <v>2288</v>
      </c>
      <c r="B36" s="64">
        <v>7.96</v>
      </c>
      <c r="C36" s="64">
        <v>3.04</v>
      </c>
      <c r="D36" s="64">
        <v>11.74</v>
      </c>
      <c r="E36" s="64">
        <v>4.4800000000000004</v>
      </c>
      <c r="F36" s="64">
        <v>2.2000000000000002</v>
      </c>
      <c r="G36" s="64">
        <v>7.54</v>
      </c>
      <c r="H36" s="209" t="s">
        <v>36</v>
      </c>
      <c r="I36" s="64">
        <v>3.98</v>
      </c>
      <c r="J36" s="64">
        <v>0.06</v>
      </c>
      <c r="K36" s="64">
        <v>342.51</v>
      </c>
      <c r="L36" s="64">
        <v>25.54</v>
      </c>
      <c r="M36" s="64">
        <v>105.1</v>
      </c>
      <c r="N36" s="64">
        <v>0</v>
      </c>
      <c r="O36" s="64">
        <v>0</v>
      </c>
      <c r="P36" s="64">
        <v>0.28999999999999998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48" t="s">
        <v>2289</v>
      </c>
      <c r="B37" s="64">
        <v>7.96</v>
      </c>
      <c r="C37" s="64">
        <v>2.99</v>
      </c>
      <c r="D37" s="64">
        <v>11.71</v>
      </c>
      <c r="E37" s="64">
        <v>4.4000000000000004</v>
      </c>
      <c r="F37" s="64">
        <v>4.17</v>
      </c>
      <c r="G37" s="64">
        <v>7.54</v>
      </c>
      <c r="H37" s="209" t="s">
        <v>36</v>
      </c>
      <c r="I37" s="64">
        <v>4.08</v>
      </c>
      <c r="J37" s="64">
        <v>0.02</v>
      </c>
      <c r="K37" s="64">
        <v>230.79</v>
      </c>
      <c r="L37" s="64">
        <v>25.55</v>
      </c>
      <c r="M37" s="64">
        <v>105.13</v>
      </c>
      <c r="N37" s="64">
        <v>0</v>
      </c>
      <c r="O37" s="64">
        <v>0</v>
      </c>
      <c r="P37" s="64">
        <v>0.28999999999999998</v>
      </c>
      <c r="Q37" s="64">
        <v>9.43</v>
      </c>
      <c r="R37" s="198"/>
      <c r="S37" s="198"/>
      <c r="T37" s="198"/>
      <c r="U37" s="198"/>
    </row>
    <row r="38" spans="1:21" s="12" customFormat="1" x14ac:dyDescent="0.25">
      <c r="A38" s="248" t="s">
        <v>2290</v>
      </c>
      <c r="B38" s="64">
        <v>7.95</v>
      </c>
      <c r="C38" s="64">
        <v>2.97</v>
      </c>
      <c r="D38" s="64">
        <v>11.7</v>
      </c>
      <c r="E38" s="64">
        <v>4.49</v>
      </c>
      <c r="F38" s="64">
        <v>3.74</v>
      </c>
      <c r="G38" s="64">
        <v>13.84</v>
      </c>
      <c r="H38" s="209" t="s">
        <v>36</v>
      </c>
      <c r="I38" s="64">
        <v>3.66</v>
      </c>
      <c r="J38" s="64">
        <v>0</v>
      </c>
      <c r="K38" s="64">
        <v>264.49</v>
      </c>
      <c r="L38" s="64">
        <v>25.53</v>
      </c>
      <c r="M38" s="64">
        <v>105.23</v>
      </c>
      <c r="N38" s="64">
        <v>0</v>
      </c>
      <c r="O38" s="64">
        <v>0</v>
      </c>
      <c r="P38" s="64">
        <v>0.31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48" t="s">
        <v>2291</v>
      </c>
      <c r="B39" s="64">
        <v>7.95</v>
      </c>
      <c r="C39" s="64">
        <v>2.96</v>
      </c>
      <c r="D39" s="64">
        <v>11.7</v>
      </c>
      <c r="E39" s="64">
        <v>4.54</v>
      </c>
      <c r="F39" s="64">
        <v>2.77</v>
      </c>
      <c r="G39" s="64">
        <v>14.13</v>
      </c>
      <c r="H39" s="209" t="s">
        <v>36</v>
      </c>
      <c r="I39" s="64">
        <v>3.59</v>
      </c>
      <c r="J39" s="64">
        <v>0</v>
      </c>
      <c r="K39" s="64">
        <v>21.69</v>
      </c>
      <c r="L39" s="64">
        <v>25.58</v>
      </c>
      <c r="M39" s="64">
        <v>105.28</v>
      </c>
      <c r="N39" s="64">
        <v>0</v>
      </c>
      <c r="O39" s="64">
        <v>0</v>
      </c>
      <c r="P39" s="64">
        <v>0.28999999999999998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48" t="s">
        <v>2292</v>
      </c>
      <c r="B40" s="64">
        <v>7.98</v>
      </c>
      <c r="C40" s="64">
        <v>2.99</v>
      </c>
      <c r="D40" s="64">
        <v>11.74</v>
      </c>
      <c r="E40" s="64">
        <v>4.3899999999999997</v>
      </c>
      <c r="F40" s="64">
        <v>4.9000000000000004</v>
      </c>
      <c r="G40" s="64">
        <v>14.13</v>
      </c>
      <c r="H40" s="209" t="s">
        <v>36</v>
      </c>
      <c r="I40" s="64">
        <v>3.55</v>
      </c>
      <c r="J40" s="64">
        <v>0.04</v>
      </c>
      <c r="K40" s="64">
        <v>347.04</v>
      </c>
      <c r="L40" s="64">
        <v>25.61</v>
      </c>
      <c r="M40" s="64">
        <v>105.33</v>
      </c>
      <c r="N40" s="64">
        <v>0</v>
      </c>
      <c r="O40" s="64">
        <v>0</v>
      </c>
      <c r="P40" s="64">
        <v>0.3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48" t="s">
        <v>2293</v>
      </c>
      <c r="B41" s="64">
        <v>7.95</v>
      </c>
      <c r="C41" s="64">
        <v>2.98</v>
      </c>
      <c r="D41" s="64">
        <v>11.71</v>
      </c>
      <c r="E41" s="64">
        <v>4.54</v>
      </c>
      <c r="F41" s="64">
        <v>3.2</v>
      </c>
      <c r="G41" s="64">
        <v>14.13</v>
      </c>
      <c r="H41" s="209" t="s">
        <v>36</v>
      </c>
      <c r="I41" s="64">
        <v>3.39</v>
      </c>
      <c r="J41" s="64">
        <v>0.06</v>
      </c>
      <c r="K41" s="64">
        <v>339.03</v>
      </c>
      <c r="L41" s="64">
        <v>25.81</v>
      </c>
      <c r="M41" s="64">
        <v>105.35</v>
      </c>
      <c r="N41" s="64">
        <v>0</v>
      </c>
      <c r="O41" s="64">
        <v>0</v>
      </c>
      <c r="P41" s="64">
        <v>0.31</v>
      </c>
      <c r="Q41" s="64">
        <v>9.41</v>
      </c>
      <c r="R41" s="198"/>
      <c r="S41" s="198"/>
      <c r="T41" s="198"/>
      <c r="U41" s="198"/>
    </row>
    <row r="42" spans="1:21" s="12" customFormat="1" x14ac:dyDescent="0.25">
      <c r="A42" s="248" t="s">
        <v>2294</v>
      </c>
      <c r="B42" s="64">
        <v>7.96</v>
      </c>
      <c r="C42" s="64">
        <v>2.94</v>
      </c>
      <c r="D42" s="64">
        <v>11.69</v>
      </c>
      <c r="E42" s="64">
        <v>4.66</v>
      </c>
      <c r="F42" s="64">
        <v>3.46</v>
      </c>
      <c r="G42" s="64">
        <v>10.5</v>
      </c>
      <c r="H42" s="209" t="s">
        <v>36</v>
      </c>
      <c r="I42" s="64">
        <v>3.6</v>
      </c>
      <c r="J42" s="64">
        <v>0.12</v>
      </c>
      <c r="K42" s="64">
        <v>177.12</v>
      </c>
      <c r="L42" s="64">
        <v>25.81</v>
      </c>
      <c r="M42" s="64">
        <v>105.33</v>
      </c>
      <c r="N42" s="64">
        <v>0</v>
      </c>
      <c r="O42" s="64">
        <v>0</v>
      </c>
      <c r="P42" s="64">
        <v>0.31</v>
      </c>
      <c r="Q42" s="64">
        <v>9.43</v>
      </c>
      <c r="R42" s="198"/>
      <c r="S42" s="198"/>
      <c r="T42" s="198"/>
      <c r="U42" s="198"/>
    </row>
    <row r="43" spans="1:21" s="12" customFormat="1" x14ac:dyDescent="0.25">
      <c r="A43" s="248" t="s">
        <v>2295</v>
      </c>
      <c r="B43" s="64">
        <v>7.98</v>
      </c>
      <c r="C43" s="64">
        <v>2.98</v>
      </c>
      <c r="D43" s="64">
        <v>11.73</v>
      </c>
      <c r="E43" s="64">
        <v>4.05</v>
      </c>
      <c r="F43" s="64">
        <v>3.33</v>
      </c>
      <c r="G43" s="64">
        <v>10.34</v>
      </c>
      <c r="H43" s="209" t="s">
        <v>36</v>
      </c>
      <c r="I43" s="64">
        <v>3.47</v>
      </c>
      <c r="J43" s="64">
        <v>0.02</v>
      </c>
      <c r="K43" s="64">
        <v>13.54</v>
      </c>
      <c r="L43" s="64">
        <v>25.8</v>
      </c>
      <c r="M43" s="64">
        <v>105.32</v>
      </c>
      <c r="N43" s="64">
        <v>0</v>
      </c>
      <c r="O43" s="64">
        <v>0</v>
      </c>
      <c r="P43" s="64">
        <v>0.32</v>
      </c>
      <c r="Q43" s="64">
        <v>9.49</v>
      </c>
      <c r="R43" s="198"/>
      <c r="S43" s="198"/>
      <c r="T43" s="198"/>
      <c r="U43" s="198"/>
    </row>
    <row r="44" spans="1:21" s="12" customFormat="1" x14ac:dyDescent="0.25">
      <c r="A44" s="248" t="s">
        <v>2296</v>
      </c>
      <c r="B44" s="64">
        <v>7.99</v>
      </c>
      <c r="C44" s="64">
        <v>2.95</v>
      </c>
      <c r="D44" s="64">
        <v>11.72</v>
      </c>
      <c r="E44" s="64">
        <v>4.3600000000000003</v>
      </c>
      <c r="F44" s="64">
        <v>3.31</v>
      </c>
      <c r="G44" s="64">
        <v>10.34</v>
      </c>
      <c r="H44" s="209" t="s">
        <v>36</v>
      </c>
      <c r="I44" s="64">
        <v>3.71</v>
      </c>
      <c r="J44" s="64">
        <v>0.05</v>
      </c>
      <c r="K44" s="64">
        <v>352.58</v>
      </c>
      <c r="L44" s="64">
        <v>25.89</v>
      </c>
      <c r="M44" s="64">
        <v>105.33</v>
      </c>
      <c r="N44" s="64">
        <v>0</v>
      </c>
      <c r="O44" s="64">
        <v>0</v>
      </c>
      <c r="P44" s="64">
        <v>0.33</v>
      </c>
      <c r="Q44" s="64">
        <v>9.52</v>
      </c>
      <c r="R44" s="198"/>
      <c r="S44" s="198"/>
      <c r="T44" s="198"/>
      <c r="U44" s="198"/>
    </row>
    <row r="45" spans="1:21" s="12" customFormat="1" x14ac:dyDescent="0.25">
      <c r="A45" s="248" t="s">
        <v>2297</v>
      </c>
      <c r="B45" s="64">
        <v>8.01</v>
      </c>
      <c r="C45" s="64">
        <v>3.04</v>
      </c>
      <c r="D45" s="64">
        <v>11.78</v>
      </c>
      <c r="E45" s="64">
        <v>4.59</v>
      </c>
      <c r="F45" s="64">
        <v>3.26</v>
      </c>
      <c r="G45" s="64">
        <v>10.34</v>
      </c>
      <c r="H45" s="209" t="s">
        <v>36</v>
      </c>
      <c r="I45" s="64">
        <v>3.89</v>
      </c>
      <c r="J45" s="64">
        <v>0.09</v>
      </c>
      <c r="K45" s="64">
        <v>340.94</v>
      </c>
      <c r="L45" s="64">
        <v>25.63</v>
      </c>
      <c r="M45" s="64">
        <v>105.44</v>
      </c>
      <c r="N45" s="64">
        <v>0</v>
      </c>
      <c r="O45" s="64">
        <v>0</v>
      </c>
      <c r="P45" s="64">
        <v>0.35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48" t="s">
        <v>2298</v>
      </c>
      <c r="B46" s="64">
        <v>8.0500000000000007</v>
      </c>
      <c r="C46" s="64">
        <v>3.04</v>
      </c>
      <c r="D46" s="64">
        <v>11.82</v>
      </c>
      <c r="E46" s="64">
        <v>4.49</v>
      </c>
      <c r="F46" s="64">
        <v>3.11</v>
      </c>
      <c r="G46" s="64">
        <v>9.15</v>
      </c>
      <c r="H46" s="209" t="s">
        <v>36</v>
      </c>
      <c r="I46" s="64">
        <v>4.09</v>
      </c>
      <c r="J46" s="64">
        <v>0.43</v>
      </c>
      <c r="K46" s="64">
        <v>135.38999999999999</v>
      </c>
      <c r="L46" s="64">
        <v>25.33</v>
      </c>
      <c r="M46" s="64">
        <v>105.49</v>
      </c>
      <c r="N46" s="64">
        <v>0</v>
      </c>
      <c r="O46" s="64">
        <v>0</v>
      </c>
      <c r="P46" s="64">
        <v>0.35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48" t="s">
        <v>2299</v>
      </c>
      <c r="B47" s="64">
        <v>8.01</v>
      </c>
      <c r="C47" s="64">
        <v>3</v>
      </c>
      <c r="D47" s="64">
        <v>11.77</v>
      </c>
      <c r="E47" s="64">
        <v>4.24</v>
      </c>
      <c r="F47" s="64">
        <v>3.09</v>
      </c>
      <c r="G47" s="64">
        <v>9.09</v>
      </c>
      <c r="H47" s="209" t="s">
        <v>36</v>
      </c>
      <c r="I47" s="64">
        <v>4.21</v>
      </c>
      <c r="J47" s="64">
        <v>0.04</v>
      </c>
      <c r="K47" s="64">
        <v>116.52</v>
      </c>
      <c r="L47" s="64">
        <v>25.57</v>
      </c>
      <c r="M47" s="64">
        <v>105.48</v>
      </c>
      <c r="N47" s="64">
        <v>0.3</v>
      </c>
      <c r="O47" s="64">
        <v>0</v>
      </c>
      <c r="P47" s="64">
        <v>0.36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48" t="s">
        <v>2300</v>
      </c>
      <c r="B48" s="64">
        <v>7.99</v>
      </c>
      <c r="C48" s="64">
        <v>2.98</v>
      </c>
      <c r="D48" s="64">
        <v>11.74</v>
      </c>
      <c r="E48" s="64">
        <v>4.13</v>
      </c>
      <c r="F48" s="64">
        <v>3.26</v>
      </c>
      <c r="G48" s="64">
        <v>9.09</v>
      </c>
      <c r="H48" s="209" t="s">
        <v>36</v>
      </c>
      <c r="I48" s="64">
        <v>4.4400000000000004</v>
      </c>
      <c r="J48" s="64">
        <v>0.17</v>
      </c>
      <c r="K48" s="64">
        <v>171.8</v>
      </c>
      <c r="L48" s="64">
        <v>25.68</v>
      </c>
      <c r="M48" s="64">
        <v>105.47</v>
      </c>
      <c r="N48" s="64">
        <v>0</v>
      </c>
      <c r="O48" s="64">
        <v>0</v>
      </c>
      <c r="P48" s="64">
        <v>0.37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48" t="s">
        <v>2301</v>
      </c>
      <c r="B49" s="64">
        <v>7.97</v>
      </c>
      <c r="C49" s="64">
        <v>3</v>
      </c>
      <c r="D49" s="64">
        <v>11.73</v>
      </c>
      <c r="E49" s="64">
        <v>4.67</v>
      </c>
      <c r="F49" s="64">
        <v>3.83</v>
      </c>
      <c r="G49" s="64">
        <v>9.09</v>
      </c>
      <c r="H49" s="209" t="s">
        <v>36</v>
      </c>
      <c r="I49" s="64">
        <v>4.6900000000000004</v>
      </c>
      <c r="J49" s="64">
        <v>0.19</v>
      </c>
      <c r="K49" s="64">
        <v>174.44</v>
      </c>
      <c r="L49" s="64">
        <v>25.73</v>
      </c>
      <c r="M49" s="64">
        <v>105.55</v>
      </c>
      <c r="N49" s="64">
        <v>0</v>
      </c>
      <c r="O49" s="64">
        <v>0</v>
      </c>
      <c r="P49" s="64">
        <v>0.38</v>
      </c>
      <c r="Q49" s="64">
        <v>9.7200000000000006</v>
      </c>
      <c r="R49" s="198"/>
      <c r="S49" s="198"/>
      <c r="T49" s="198"/>
      <c r="U49" s="198"/>
    </row>
    <row r="50" spans="1:21" s="12" customFormat="1" x14ac:dyDescent="0.25">
      <c r="A50" s="248" t="s">
        <v>2302</v>
      </c>
      <c r="B50" s="64">
        <v>8.0299999999999994</v>
      </c>
      <c r="C50" s="64">
        <v>3.11</v>
      </c>
      <c r="D50" s="64">
        <v>11.84</v>
      </c>
      <c r="E50" s="64">
        <v>4.4400000000000004</v>
      </c>
      <c r="F50" s="64">
        <v>3.47</v>
      </c>
      <c r="G50" s="64">
        <v>12.7</v>
      </c>
      <c r="H50" s="209" t="s">
        <v>36</v>
      </c>
      <c r="I50" s="64">
        <v>4.7699999999999996</v>
      </c>
      <c r="J50" s="64">
        <v>0.33</v>
      </c>
      <c r="K50" s="64">
        <v>152.47</v>
      </c>
      <c r="L50" s="64">
        <v>25.85</v>
      </c>
      <c r="M50" s="64">
        <v>105.5</v>
      </c>
      <c r="N50" s="64">
        <v>5.2</v>
      </c>
      <c r="O50" s="64">
        <v>0</v>
      </c>
      <c r="P50" s="64">
        <v>0.39</v>
      </c>
      <c r="Q50" s="64">
        <v>9.6999999999999993</v>
      </c>
      <c r="R50" s="198"/>
      <c r="S50" s="198"/>
      <c r="T50" s="198"/>
      <c r="U50" s="198"/>
    </row>
    <row r="51" spans="1:21" s="12" customFormat="1" x14ac:dyDescent="0.25">
      <c r="A51" s="248" t="s">
        <v>2303</v>
      </c>
      <c r="B51" s="64">
        <v>8.0399999999999991</v>
      </c>
      <c r="C51" s="64">
        <v>3.12</v>
      </c>
      <c r="D51" s="64">
        <v>11.85</v>
      </c>
      <c r="E51" s="64">
        <v>4.34</v>
      </c>
      <c r="F51" s="64">
        <v>4.3099999999999996</v>
      </c>
      <c r="G51" s="64">
        <v>12.87</v>
      </c>
      <c r="H51" s="209" t="s">
        <v>36</v>
      </c>
      <c r="I51" s="64">
        <v>4.68</v>
      </c>
      <c r="J51" s="64">
        <v>0.13</v>
      </c>
      <c r="K51" s="64">
        <v>161.19</v>
      </c>
      <c r="L51" s="64">
        <v>25.9</v>
      </c>
      <c r="M51" s="64">
        <v>105.44</v>
      </c>
      <c r="N51" s="64">
        <v>1.1000000000000001</v>
      </c>
      <c r="O51" s="64">
        <v>0</v>
      </c>
      <c r="P51" s="64">
        <v>0.4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48" t="s">
        <v>2304</v>
      </c>
      <c r="B52" s="64">
        <v>7.99</v>
      </c>
      <c r="C52" s="64">
        <v>3.04</v>
      </c>
      <c r="D52" s="64">
        <v>11.77</v>
      </c>
      <c r="E52" s="64">
        <v>4.72</v>
      </c>
      <c r="F52" s="64">
        <v>3.04</v>
      </c>
      <c r="G52" s="64">
        <v>12.87</v>
      </c>
      <c r="H52" s="209" t="s">
        <v>36</v>
      </c>
      <c r="I52" s="64">
        <v>4.6900000000000004</v>
      </c>
      <c r="J52" s="64">
        <v>0.17</v>
      </c>
      <c r="K52" s="64">
        <v>98.47</v>
      </c>
      <c r="L52" s="64">
        <v>25.84</v>
      </c>
      <c r="M52" s="64">
        <v>105.3</v>
      </c>
      <c r="N52" s="64">
        <v>5.5</v>
      </c>
      <c r="O52" s="64">
        <v>0</v>
      </c>
      <c r="P52" s="64">
        <v>0.4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48" t="s">
        <v>2305</v>
      </c>
      <c r="B53" s="64">
        <v>7.98</v>
      </c>
      <c r="C53" s="64">
        <v>2.95</v>
      </c>
      <c r="D53" s="64">
        <v>11.72</v>
      </c>
      <c r="E53" s="64">
        <v>4.8099999999999996</v>
      </c>
      <c r="F53" s="64">
        <v>4.3</v>
      </c>
      <c r="G53" s="64">
        <v>12.87</v>
      </c>
      <c r="H53" s="209" t="s">
        <v>36</v>
      </c>
      <c r="I53" s="64">
        <v>4.63</v>
      </c>
      <c r="J53" s="64">
        <v>0.35</v>
      </c>
      <c r="K53" s="64">
        <v>99.82</v>
      </c>
      <c r="L53" s="64">
        <v>25.92</v>
      </c>
      <c r="M53" s="64">
        <v>105.28</v>
      </c>
      <c r="N53" s="64">
        <v>19.8</v>
      </c>
      <c r="O53" s="64">
        <v>0</v>
      </c>
      <c r="P53" s="64">
        <v>0.42</v>
      </c>
      <c r="Q53" s="64">
        <v>9.76</v>
      </c>
      <c r="R53" s="198"/>
      <c r="S53" s="198"/>
      <c r="T53" s="198"/>
      <c r="U53" s="198"/>
    </row>
    <row r="54" spans="1:21" s="12" customFormat="1" x14ac:dyDescent="0.25">
      <c r="A54" s="248" t="s">
        <v>2306</v>
      </c>
      <c r="B54" s="64">
        <v>7.99</v>
      </c>
      <c r="C54" s="64">
        <v>3.04</v>
      </c>
      <c r="D54" s="64">
        <v>11.77</v>
      </c>
      <c r="E54" s="64">
        <v>4.53</v>
      </c>
      <c r="F54" s="64">
        <v>2.77</v>
      </c>
      <c r="G54" s="64">
        <v>11</v>
      </c>
      <c r="H54" s="209" t="s">
        <v>36</v>
      </c>
      <c r="I54" s="64">
        <v>4.71</v>
      </c>
      <c r="J54" s="64">
        <v>0.26</v>
      </c>
      <c r="K54" s="64">
        <v>107.71</v>
      </c>
      <c r="L54" s="64">
        <v>26.02</v>
      </c>
      <c r="M54" s="64">
        <v>105.25</v>
      </c>
      <c r="N54" s="64">
        <v>14.8</v>
      </c>
      <c r="O54" s="64">
        <v>0</v>
      </c>
      <c r="P54" s="64">
        <v>0.41</v>
      </c>
      <c r="Q54" s="64">
        <v>9.76</v>
      </c>
      <c r="R54" s="198"/>
      <c r="S54" s="198"/>
      <c r="T54" s="198"/>
      <c r="U54" s="198"/>
    </row>
    <row r="55" spans="1:21" s="12" customFormat="1" x14ac:dyDescent="0.25">
      <c r="A55" s="248" t="s">
        <v>2307</v>
      </c>
      <c r="B55" s="64">
        <v>7.97</v>
      </c>
      <c r="C55" s="64">
        <v>3.03</v>
      </c>
      <c r="D55" s="64">
        <v>11.75</v>
      </c>
      <c r="E55" s="64">
        <v>4.71</v>
      </c>
      <c r="F55" s="64">
        <v>4.3099999999999996</v>
      </c>
      <c r="G55" s="64">
        <v>10.92</v>
      </c>
      <c r="H55" s="209" t="s">
        <v>36</v>
      </c>
      <c r="I55" s="64">
        <v>4.8099999999999996</v>
      </c>
      <c r="J55" s="64">
        <v>0.24</v>
      </c>
      <c r="K55" s="64">
        <v>125.02</v>
      </c>
      <c r="L55" s="64">
        <v>26.1</v>
      </c>
      <c r="M55" s="64">
        <v>105.26</v>
      </c>
      <c r="N55" s="64">
        <v>39.4</v>
      </c>
      <c r="O55" s="64">
        <v>0</v>
      </c>
      <c r="P55" s="64">
        <v>0.42</v>
      </c>
      <c r="Q55" s="64">
        <v>9.75</v>
      </c>
      <c r="R55" s="198"/>
      <c r="S55" s="198"/>
      <c r="T55" s="198"/>
      <c r="U55" s="198"/>
    </row>
    <row r="56" spans="1:21" s="12" customFormat="1" x14ac:dyDescent="0.25">
      <c r="A56" s="248" t="s">
        <v>2308</v>
      </c>
      <c r="B56" s="64">
        <v>8</v>
      </c>
      <c r="C56" s="64">
        <v>3.03</v>
      </c>
      <c r="D56" s="64">
        <v>11.77</v>
      </c>
      <c r="E56" s="64">
        <v>3.66</v>
      </c>
      <c r="F56" s="64">
        <v>2.4</v>
      </c>
      <c r="G56" s="64">
        <v>10.92</v>
      </c>
      <c r="H56" s="209" t="s">
        <v>36</v>
      </c>
      <c r="I56" s="64">
        <v>4.97</v>
      </c>
      <c r="J56" s="64">
        <v>0.18</v>
      </c>
      <c r="K56" s="64">
        <v>107.17</v>
      </c>
      <c r="L56" s="64">
        <v>26.27</v>
      </c>
      <c r="M56" s="64">
        <v>105.24</v>
      </c>
      <c r="N56" s="64">
        <v>67.3</v>
      </c>
      <c r="O56" s="64">
        <v>0</v>
      </c>
      <c r="P56" s="64">
        <v>0.41</v>
      </c>
      <c r="Q56" s="64">
        <v>9.6999999999999993</v>
      </c>
      <c r="R56" s="198"/>
      <c r="S56" s="198"/>
      <c r="T56" s="198"/>
      <c r="U56" s="198"/>
    </row>
    <row r="57" spans="1:21" s="12" customFormat="1" x14ac:dyDescent="0.25">
      <c r="A57" s="248" t="s">
        <v>2309</v>
      </c>
      <c r="B57" s="64">
        <v>8.02</v>
      </c>
      <c r="C57" s="64">
        <v>3.04</v>
      </c>
      <c r="D57" s="64">
        <v>11.79</v>
      </c>
      <c r="E57" s="64">
        <v>4.1100000000000003</v>
      </c>
      <c r="F57" s="64">
        <v>3.89</v>
      </c>
      <c r="G57" s="64">
        <v>10.92</v>
      </c>
      <c r="H57" s="209" t="s">
        <v>36</v>
      </c>
      <c r="I57" s="64">
        <v>4.97</v>
      </c>
      <c r="J57" s="64">
        <v>0.28000000000000003</v>
      </c>
      <c r="K57" s="64">
        <v>131.47</v>
      </c>
      <c r="L57" s="64">
        <v>26.4</v>
      </c>
      <c r="M57" s="64">
        <v>105.25</v>
      </c>
      <c r="N57" s="64">
        <v>146.69999999999999</v>
      </c>
      <c r="O57" s="64">
        <v>0</v>
      </c>
      <c r="P57" s="64">
        <v>0.42</v>
      </c>
      <c r="Q57" s="64">
        <v>9.7100000000000009</v>
      </c>
      <c r="R57" s="198"/>
      <c r="S57" s="198"/>
      <c r="T57" s="198"/>
      <c r="U57" s="198"/>
    </row>
    <row r="58" spans="1:21" s="12" customFormat="1" x14ac:dyDescent="0.25">
      <c r="A58" s="248" t="s">
        <v>2310</v>
      </c>
      <c r="B58" s="64">
        <v>8.01</v>
      </c>
      <c r="C58" s="64">
        <v>3.08</v>
      </c>
      <c r="D58" s="64">
        <v>11.8</v>
      </c>
      <c r="E58" s="64">
        <v>4.2</v>
      </c>
      <c r="F58" s="64">
        <v>3.07</v>
      </c>
      <c r="G58" s="64">
        <v>9.02</v>
      </c>
      <c r="H58" s="209" t="s">
        <v>36</v>
      </c>
      <c r="I58" s="64">
        <v>4.9000000000000004</v>
      </c>
      <c r="J58" s="64">
        <v>0.81</v>
      </c>
      <c r="K58" s="64">
        <v>153.53</v>
      </c>
      <c r="L58" s="64">
        <v>26.53</v>
      </c>
      <c r="M58" s="64">
        <v>105.23</v>
      </c>
      <c r="N58" s="64">
        <v>180.9</v>
      </c>
      <c r="O58" s="64">
        <v>0</v>
      </c>
      <c r="P58" s="64">
        <v>0.4</v>
      </c>
      <c r="Q58" s="64">
        <v>9.68</v>
      </c>
      <c r="R58" s="198"/>
      <c r="S58" s="198"/>
      <c r="T58" s="198"/>
      <c r="U58" s="198"/>
    </row>
    <row r="59" spans="1:21" s="12" customFormat="1" x14ac:dyDescent="0.25">
      <c r="A59" s="248" t="s">
        <v>2311</v>
      </c>
      <c r="B59" s="64">
        <v>8.01</v>
      </c>
      <c r="C59" s="64">
        <v>3.04</v>
      </c>
      <c r="D59" s="64">
        <v>11.79</v>
      </c>
      <c r="E59" s="64">
        <v>3.83</v>
      </c>
      <c r="F59" s="64">
        <v>3.45</v>
      </c>
      <c r="G59" s="64">
        <v>8.93</v>
      </c>
      <c r="H59" s="209" t="s">
        <v>36</v>
      </c>
      <c r="I59" s="64">
        <v>4.97</v>
      </c>
      <c r="J59" s="64">
        <v>0.82</v>
      </c>
      <c r="K59" s="64">
        <v>144.47</v>
      </c>
      <c r="L59" s="64">
        <v>26.75</v>
      </c>
      <c r="M59" s="64">
        <v>105.21</v>
      </c>
      <c r="N59" s="64">
        <v>199.3</v>
      </c>
      <c r="O59" s="64">
        <v>0</v>
      </c>
      <c r="P59" s="64">
        <v>0.4</v>
      </c>
      <c r="Q59" s="64">
        <v>9.7100000000000009</v>
      </c>
      <c r="R59" s="198"/>
      <c r="S59" s="198"/>
      <c r="T59" s="198"/>
      <c r="U59" s="198"/>
    </row>
    <row r="60" spans="1:21" s="12" customFormat="1" x14ac:dyDescent="0.25">
      <c r="A60" s="248" t="s">
        <v>2312</v>
      </c>
      <c r="B60" s="64">
        <v>8.0399999999999991</v>
      </c>
      <c r="C60" s="64">
        <v>3.03</v>
      </c>
      <c r="D60" s="64">
        <v>11.81</v>
      </c>
      <c r="E60" s="64">
        <v>4.0199999999999996</v>
      </c>
      <c r="F60" s="64">
        <v>3.21</v>
      </c>
      <c r="G60" s="64">
        <v>8.93</v>
      </c>
      <c r="H60" s="209" t="s">
        <v>36</v>
      </c>
      <c r="I60" s="64">
        <v>5.0199999999999996</v>
      </c>
      <c r="J60" s="64">
        <v>0.78</v>
      </c>
      <c r="K60" s="64">
        <v>152.04</v>
      </c>
      <c r="L60" s="64">
        <v>26.98</v>
      </c>
      <c r="M60" s="64">
        <v>105.17</v>
      </c>
      <c r="N60" s="64">
        <v>193.1</v>
      </c>
      <c r="O60" s="64">
        <v>0</v>
      </c>
      <c r="P60" s="64">
        <v>0.4</v>
      </c>
      <c r="Q60" s="64">
        <v>9.73</v>
      </c>
      <c r="R60" s="198"/>
      <c r="S60" s="198"/>
      <c r="T60" s="198"/>
      <c r="U60" s="198"/>
    </row>
    <row r="61" spans="1:21" s="12" customFormat="1" x14ac:dyDescent="0.25">
      <c r="A61" s="248" t="s">
        <v>2313</v>
      </c>
      <c r="B61" s="64">
        <v>8.07</v>
      </c>
      <c r="C61" s="64">
        <v>3.1</v>
      </c>
      <c r="D61" s="64">
        <v>11.87</v>
      </c>
      <c r="E61" s="64">
        <v>4.21</v>
      </c>
      <c r="F61" s="64">
        <v>3.22</v>
      </c>
      <c r="G61" s="64">
        <v>8.93</v>
      </c>
      <c r="H61" s="209" t="s">
        <v>36</v>
      </c>
      <c r="I61" s="64">
        <v>5.15</v>
      </c>
      <c r="J61" s="64">
        <v>0.74</v>
      </c>
      <c r="K61" s="64">
        <v>138.63</v>
      </c>
      <c r="L61" s="64">
        <v>27.19</v>
      </c>
      <c r="M61" s="64">
        <v>105.17</v>
      </c>
      <c r="N61" s="64">
        <v>236.6</v>
      </c>
      <c r="O61" s="64">
        <v>0</v>
      </c>
      <c r="P61" s="64">
        <v>0.38</v>
      </c>
      <c r="Q61" s="64">
        <v>9.7200000000000006</v>
      </c>
      <c r="R61" s="198"/>
      <c r="S61" s="198"/>
      <c r="T61" s="198"/>
      <c r="U61" s="198"/>
    </row>
    <row r="62" spans="1:21" s="12" customFormat="1" x14ac:dyDescent="0.25">
      <c r="A62" s="248" t="s">
        <v>2314</v>
      </c>
      <c r="B62" s="64">
        <v>8.08</v>
      </c>
      <c r="C62" s="64">
        <v>3.12</v>
      </c>
      <c r="D62" s="64">
        <v>11.88</v>
      </c>
      <c r="E62" s="64">
        <v>3.9</v>
      </c>
      <c r="F62" s="64">
        <v>3.13</v>
      </c>
      <c r="G62" s="64">
        <v>10.8</v>
      </c>
      <c r="H62" s="209" t="s">
        <v>36</v>
      </c>
      <c r="I62" s="64">
        <v>5.24</v>
      </c>
      <c r="J62" s="64">
        <v>0.27</v>
      </c>
      <c r="K62" s="64">
        <v>166.68</v>
      </c>
      <c r="L62" s="64">
        <v>27.54</v>
      </c>
      <c r="M62" s="64">
        <v>105.17</v>
      </c>
      <c r="N62" s="64">
        <v>105.9</v>
      </c>
      <c r="O62" s="64">
        <v>0</v>
      </c>
      <c r="P62" s="64">
        <v>0.39</v>
      </c>
      <c r="Q62" s="64">
        <v>9.73</v>
      </c>
      <c r="R62" s="198"/>
      <c r="S62" s="198"/>
      <c r="T62" s="198"/>
      <c r="U62" s="198"/>
    </row>
    <row r="63" spans="1:21" s="12" customFormat="1" x14ac:dyDescent="0.25">
      <c r="A63" s="248" t="s">
        <v>2315</v>
      </c>
      <c r="B63" s="64">
        <v>8.0500000000000007</v>
      </c>
      <c r="C63" s="64">
        <v>3.08</v>
      </c>
      <c r="D63" s="64">
        <v>11.84</v>
      </c>
      <c r="E63" s="64">
        <v>4.4800000000000004</v>
      </c>
      <c r="F63" s="64">
        <v>3</v>
      </c>
      <c r="G63" s="64">
        <v>10.88</v>
      </c>
      <c r="H63" s="209" t="s">
        <v>36</v>
      </c>
      <c r="I63" s="64">
        <v>5.31</v>
      </c>
      <c r="J63" s="64">
        <v>0.37</v>
      </c>
      <c r="K63" s="64">
        <v>139.83000000000001</v>
      </c>
      <c r="L63" s="64">
        <v>27.92</v>
      </c>
      <c r="M63" s="64">
        <v>105.15</v>
      </c>
      <c r="N63" s="64">
        <v>95.3</v>
      </c>
      <c r="O63" s="64">
        <v>0</v>
      </c>
      <c r="P63" s="64">
        <v>0.38</v>
      </c>
      <c r="Q63" s="64">
        <v>9.7200000000000006</v>
      </c>
      <c r="R63" s="198"/>
      <c r="S63" s="198"/>
      <c r="T63" s="198"/>
      <c r="U63" s="198"/>
    </row>
    <row r="64" spans="1:21" s="12" customFormat="1" x14ac:dyDescent="0.25">
      <c r="A64" s="248" t="s">
        <v>2316</v>
      </c>
      <c r="B64" s="64">
        <v>8.0399999999999991</v>
      </c>
      <c r="C64" s="64">
        <v>3.08</v>
      </c>
      <c r="D64" s="64">
        <v>11.83</v>
      </c>
      <c r="E64" s="64">
        <v>4.32</v>
      </c>
      <c r="F64" s="64">
        <v>3.41</v>
      </c>
      <c r="G64" s="64">
        <v>10.88</v>
      </c>
      <c r="H64" s="209" t="s">
        <v>36</v>
      </c>
      <c r="I64" s="64">
        <v>5.32</v>
      </c>
      <c r="J64" s="64">
        <v>0.1</v>
      </c>
      <c r="K64" s="64">
        <v>157.1</v>
      </c>
      <c r="L64" s="64">
        <v>28.33</v>
      </c>
      <c r="M64" s="64">
        <v>105.11</v>
      </c>
      <c r="N64" s="64">
        <v>145.1</v>
      </c>
      <c r="O64" s="64">
        <v>0</v>
      </c>
      <c r="P64" s="64">
        <v>0.37</v>
      </c>
      <c r="Q64" s="64">
        <v>9.67</v>
      </c>
      <c r="R64" s="198"/>
      <c r="S64" s="198"/>
      <c r="T64" s="198"/>
      <c r="U64" s="198"/>
    </row>
    <row r="65" spans="1:21" s="12" customFormat="1" x14ac:dyDescent="0.25">
      <c r="A65" s="248" t="s">
        <v>2317</v>
      </c>
      <c r="B65" s="64">
        <v>8.0299999999999994</v>
      </c>
      <c r="C65" s="64">
        <v>3.07</v>
      </c>
      <c r="D65" s="64">
        <v>11.81</v>
      </c>
      <c r="E65" s="64">
        <v>4.21</v>
      </c>
      <c r="F65" s="64">
        <v>3.2</v>
      </c>
      <c r="G65" s="64">
        <v>10.88</v>
      </c>
      <c r="H65" s="209" t="s">
        <v>36</v>
      </c>
      <c r="I65" s="64">
        <v>5.27</v>
      </c>
      <c r="J65" s="64">
        <v>0.05</v>
      </c>
      <c r="K65" s="64">
        <v>314.47000000000003</v>
      </c>
      <c r="L65" s="64">
        <v>28.78</v>
      </c>
      <c r="M65" s="64">
        <v>105.14</v>
      </c>
      <c r="N65" s="64">
        <v>166.9</v>
      </c>
      <c r="O65" s="64">
        <v>0</v>
      </c>
      <c r="P65" s="64">
        <v>0.37</v>
      </c>
      <c r="Q65" s="64">
        <v>9.6999999999999993</v>
      </c>
      <c r="R65" s="198"/>
      <c r="S65" s="198"/>
      <c r="T65" s="198"/>
      <c r="U65" s="198"/>
    </row>
    <row r="66" spans="1:21" s="12" customFormat="1" x14ac:dyDescent="0.25">
      <c r="A66" s="248" t="s">
        <v>2318</v>
      </c>
      <c r="B66" s="64">
        <v>8</v>
      </c>
      <c r="C66" s="64">
        <v>3.06</v>
      </c>
      <c r="D66" s="64">
        <v>11.79</v>
      </c>
      <c r="E66" s="64">
        <v>4.05</v>
      </c>
      <c r="F66" s="64">
        <v>3.66</v>
      </c>
      <c r="G66" s="64">
        <v>10.79</v>
      </c>
      <c r="H66" s="209" t="s">
        <v>36</v>
      </c>
      <c r="I66" s="64">
        <v>5.21</v>
      </c>
      <c r="J66" s="64">
        <v>0.11</v>
      </c>
      <c r="K66" s="64">
        <v>330.72</v>
      </c>
      <c r="L66" s="64">
        <v>29.25</v>
      </c>
      <c r="M66" s="64">
        <v>105.64</v>
      </c>
      <c r="N66" s="64">
        <v>62.9</v>
      </c>
      <c r="O66" s="64">
        <v>0</v>
      </c>
      <c r="P66" s="64">
        <v>0.38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48" t="s">
        <v>2319</v>
      </c>
      <c r="B67" s="64">
        <v>7.98</v>
      </c>
      <c r="C67" s="64">
        <v>3.01</v>
      </c>
      <c r="D67" s="64">
        <v>11.74</v>
      </c>
      <c r="E67" s="64">
        <v>4.4000000000000004</v>
      </c>
      <c r="F67" s="64">
        <v>3.46</v>
      </c>
      <c r="G67" s="64">
        <v>10.79</v>
      </c>
      <c r="H67" s="209" t="s">
        <v>36</v>
      </c>
      <c r="I67" s="64">
        <v>5.0599999999999996</v>
      </c>
      <c r="J67" s="64">
        <v>0.09</v>
      </c>
      <c r="K67" s="64">
        <v>312.88</v>
      </c>
      <c r="L67" s="64">
        <v>29.36</v>
      </c>
      <c r="M67" s="64">
        <v>105.49</v>
      </c>
      <c r="N67" s="64">
        <v>100.6</v>
      </c>
      <c r="O67" s="64">
        <v>0</v>
      </c>
      <c r="P67" s="64">
        <v>0.38</v>
      </c>
      <c r="Q67" s="64">
        <v>9.67</v>
      </c>
      <c r="R67" s="198"/>
      <c r="S67" s="198"/>
      <c r="T67" s="198"/>
      <c r="U67" s="198"/>
    </row>
    <row r="68" spans="1:21" s="12" customFormat="1" x14ac:dyDescent="0.25">
      <c r="A68" s="248" t="s">
        <v>2320</v>
      </c>
      <c r="B68" s="64">
        <v>7.99</v>
      </c>
      <c r="C68" s="64">
        <v>3.04</v>
      </c>
      <c r="D68" s="64">
        <v>11.77</v>
      </c>
      <c r="E68" s="64">
        <v>4.3600000000000003</v>
      </c>
      <c r="F68" s="64">
        <v>4.13</v>
      </c>
      <c r="G68" s="64">
        <v>10.79</v>
      </c>
      <c r="H68" s="209" t="s">
        <v>36</v>
      </c>
      <c r="I68" s="64">
        <v>4.8499999999999996</v>
      </c>
      <c r="J68" s="64">
        <v>0.73</v>
      </c>
      <c r="K68" s="64">
        <v>138.04</v>
      </c>
      <c r="L68" s="64">
        <v>29.33</v>
      </c>
      <c r="M68" s="64">
        <v>105.45</v>
      </c>
      <c r="N68" s="64">
        <v>109.8</v>
      </c>
      <c r="O68" s="64">
        <v>0</v>
      </c>
      <c r="P68" s="64">
        <v>0.38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48" t="s">
        <v>2321</v>
      </c>
      <c r="B69" s="64">
        <v>7.96</v>
      </c>
      <c r="C69" s="64">
        <v>3.01</v>
      </c>
      <c r="D69" s="64">
        <v>11.73</v>
      </c>
      <c r="E69" s="64">
        <v>4.1100000000000003</v>
      </c>
      <c r="F69" s="64">
        <v>2.97</v>
      </c>
      <c r="G69" s="64">
        <v>10.79</v>
      </c>
      <c r="H69" s="209" t="s">
        <v>36</v>
      </c>
      <c r="I69" s="64">
        <v>4.59</v>
      </c>
      <c r="J69" s="64">
        <v>0.42</v>
      </c>
      <c r="K69" s="64">
        <v>137.53</v>
      </c>
      <c r="L69" s="64">
        <v>29.43</v>
      </c>
      <c r="M69" s="64">
        <v>105.09</v>
      </c>
      <c r="N69" s="64">
        <v>124.4</v>
      </c>
      <c r="O69" s="64">
        <v>0</v>
      </c>
      <c r="P69" s="64">
        <v>0.36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48" t="s">
        <v>2322</v>
      </c>
      <c r="B70" s="64">
        <v>8.01</v>
      </c>
      <c r="C70" s="64">
        <v>3.01</v>
      </c>
      <c r="D70" s="64">
        <v>11.77</v>
      </c>
      <c r="E70" s="64">
        <v>4.05</v>
      </c>
      <c r="F70" s="64">
        <v>4.9000000000000004</v>
      </c>
      <c r="G70" s="64">
        <v>17.3</v>
      </c>
      <c r="H70" s="209" t="s">
        <v>36</v>
      </c>
      <c r="I70" s="64">
        <v>4.42</v>
      </c>
      <c r="J70" s="64">
        <v>0.08</v>
      </c>
      <c r="K70" s="64">
        <v>357.56</v>
      </c>
      <c r="L70" s="64">
        <v>29.24</v>
      </c>
      <c r="M70" s="64">
        <v>104.99</v>
      </c>
      <c r="N70" s="64">
        <v>77.099999999999994</v>
      </c>
      <c r="O70" s="64">
        <v>0</v>
      </c>
      <c r="P70" s="64">
        <v>0.37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48" t="s">
        <v>2323</v>
      </c>
      <c r="B71" s="64">
        <v>8.02</v>
      </c>
      <c r="C71" s="64">
        <v>3.1</v>
      </c>
      <c r="D71" s="64">
        <v>11.83</v>
      </c>
      <c r="E71" s="64">
        <v>4.41</v>
      </c>
      <c r="F71" s="64">
        <v>2.64</v>
      </c>
      <c r="G71" s="64">
        <v>17.600000000000001</v>
      </c>
      <c r="H71" s="209" t="s">
        <v>36</v>
      </c>
      <c r="I71" s="64">
        <v>4.29</v>
      </c>
      <c r="J71" s="64">
        <v>0.13</v>
      </c>
      <c r="K71" s="64">
        <v>151.58000000000001</v>
      </c>
      <c r="L71" s="64">
        <v>26.24</v>
      </c>
      <c r="M71" s="64">
        <v>105.44</v>
      </c>
      <c r="N71" s="64">
        <v>66.8</v>
      </c>
      <c r="O71" s="64">
        <v>0</v>
      </c>
      <c r="P71" s="64">
        <v>0.37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48" t="s">
        <v>2324</v>
      </c>
      <c r="B72" s="64">
        <v>8.0299999999999994</v>
      </c>
      <c r="C72" s="64">
        <v>3.11</v>
      </c>
      <c r="D72" s="64">
        <v>11.84</v>
      </c>
      <c r="E72" s="64">
        <v>3.56</v>
      </c>
      <c r="F72" s="64">
        <v>4.12</v>
      </c>
      <c r="G72" s="64">
        <v>17.600000000000001</v>
      </c>
      <c r="H72" s="209" t="s">
        <v>36</v>
      </c>
      <c r="I72" s="64">
        <v>4.28</v>
      </c>
      <c r="J72" s="64">
        <v>0.23</v>
      </c>
      <c r="K72" s="64">
        <v>147.22999999999999</v>
      </c>
      <c r="L72" s="64">
        <v>25.01</v>
      </c>
      <c r="M72" s="64">
        <v>105.46</v>
      </c>
      <c r="N72" s="64">
        <v>75.900000000000006</v>
      </c>
      <c r="O72" s="64">
        <v>0</v>
      </c>
      <c r="P72" s="64">
        <v>0.35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48" t="s">
        <v>2325</v>
      </c>
      <c r="B73" s="64">
        <v>7.97</v>
      </c>
      <c r="C73" s="64">
        <v>2.99</v>
      </c>
      <c r="D73" s="64">
        <v>11.73</v>
      </c>
      <c r="E73" s="64">
        <v>3.22</v>
      </c>
      <c r="F73" s="64">
        <v>3.4</v>
      </c>
      <c r="G73" s="64">
        <v>17.600000000000001</v>
      </c>
      <c r="H73" s="209" t="s">
        <v>36</v>
      </c>
      <c r="I73" s="64">
        <v>3.9</v>
      </c>
      <c r="J73" s="64">
        <v>0.02</v>
      </c>
      <c r="K73" s="64">
        <v>298.99</v>
      </c>
      <c r="L73" s="64">
        <v>25.4</v>
      </c>
      <c r="M73" s="64">
        <v>105.47</v>
      </c>
      <c r="N73" s="64">
        <v>42.4</v>
      </c>
      <c r="O73" s="64">
        <v>0</v>
      </c>
      <c r="P73" s="64">
        <v>0.38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48" t="s">
        <v>2326</v>
      </c>
      <c r="B74" s="64">
        <v>7.98</v>
      </c>
      <c r="C74" s="64">
        <v>2.98</v>
      </c>
      <c r="D74" s="64">
        <v>11.73</v>
      </c>
      <c r="E74" s="64">
        <v>3.39</v>
      </c>
      <c r="F74" s="64">
        <v>2.76</v>
      </c>
      <c r="G74" s="64">
        <v>17</v>
      </c>
      <c r="H74" s="209" t="s">
        <v>36</v>
      </c>
      <c r="I74" s="64">
        <v>3.83</v>
      </c>
      <c r="J74" s="64">
        <v>0.06</v>
      </c>
      <c r="K74" s="64">
        <v>46.13</v>
      </c>
      <c r="L74" s="64">
        <v>25.5</v>
      </c>
      <c r="M74" s="64">
        <v>105.41</v>
      </c>
      <c r="N74" s="64">
        <v>68.099999999999994</v>
      </c>
      <c r="O74" s="64">
        <v>0</v>
      </c>
      <c r="P74" s="64">
        <v>0.38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48" t="s">
        <v>2327</v>
      </c>
      <c r="B75" s="64">
        <v>8.01</v>
      </c>
      <c r="C75" s="64">
        <v>3.04</v>
      </c>
      <c r="D75" s="64">
        <v>11.79</v>
      </c>
      <c r="E75" s="64">
        <v>2.93</v>
      </c>
      <c r="F75" s="64">
        <v>3.45</v>
      </c>
      <c r="G75" s="64">
        <v>16.97</v>
      </c>
      <c r="H75" s="209" t="s">
        <v>36</v>
      </c>
      <c r="I75" s="64">
        <v>3.78</v>
      </c>
      <c r="J75" s="64">
        <v>0.05</v>
      </c>
      <c r="K75" s="64">
        <v>333.3</v>
      </c>
      <c r="L75" s="64">
        <v>25.82</v>
      </c>
      <c r="M75" s="64">
        <v>105.37</v>
      </c>
      <c r="N75" s="64">
        <v>92</v>
      </c>
      <c r="O75" s="64">
        <v>0</v>
      </c>
      <c r="P75" s="64">
        <v>0.39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48" t="s">
        <v>2328</v>
      </c>
      <c r="B76" s="64">
        <v>8.01</v>
      </c>
      <c r="C76" s="64">
        <v>3.04</v>
      </c>
      <c r="D76" s="64">
        <v>11.78</v>
      </c>
      <c r="E76" s="64">
        <v>3.1</v>
      </c>
      <c r="F76" s="64">
        <v>3.12</v>
      </c>
      <c r="G76" s="64">
        <v>16.97</v>
      </c>
      <c r="H76" s="209" t="s">
        <v>36</v>
      </c>
      <c r="I76" s="64">
        <v>3.71</v>
      </c>
      <c r="J76" s="64">
        <v>0.04</v>
      </c>
      <c r="K76" s="64">
        <v>188.74</v>
      </c>
      <c r="L76" s="64">
        <v>26.2</v>
      </c>
      <c r="M76" s="64">
        <v>105.35</v>
      </c>
      <c r="N76" s="64">
        <v>104.1</v>
      </c>
      <c r="O76" s="64">
        <v>0</v>
      </c>
      <c r="P76" s="64">
        <v>0.41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48" t="s">
        <v>2329</v>
      </c>
      <c r="B77" s="64">
        <v>8.01</v>
      </c>
      <c r="C77" s="64">
        <v>2.99</v>
      </c>
      <c r="D77" s="64">
        <v>11.76</v>
      </c>
      <c r="E77" s="64">
        <v>3.13</v>
      </c>
      <c r="F77" s="64">
        <v>3.32</v>
      </c>
      <c r="G77" s="64">
        <v>16.97</v>
      </c>
      <c r="H77" s="209" t="s">
        <v>36</v>
      </c>
      <c r="I77" s="64">
        <v>3.83</v>
      </c>
      <c r="J77" s="64">
        <v>0.01</v>
      </c>
      <c r="K77" s="64">
        <v>205.66</v>
      </c>
      <c r="L77" s="64">
        <v>26.54</v>
      </c>
      <c r="M77" s="64">
        <v>105.33</v>
      </c>
      <c r="N77" s="64">
        <v>92.5</v>
      </c>
      <c r="O77" s="64">
        <v>0</v>
      </c>
      <c r="P77" s="64">
        <v>0.41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48" t="s">
        <v>2330</v>
      </c>
      <c r="B78" s="64">
        <v>8.0399999999999991</v>
      </c>
      <c r="C78" s="64">
        <v>3.01</v>
      </c>
      <c r="D78" s="64">
        <v>11.79</v>
      </c>
      <c r="E78" s="64">
        <v>3.34</v>
      </c>
      <c r="F78" s="64">
        <v>3.37</v>
      </c>
      <c r="G78" s="64">
        <v>20.51</v>
      </c>
      <c r="H78" s="209" t="s">
        <v>36</v>
      </c>
      <c r="I78" s="64">
        <v>4.03</v>
      </c>
      <c r="J78" s="64">
        <v>0.1</v>
      </c>
      <c r="K78" s="64">
        <v>217.31</v>
      </c>
      <c r="L78" s="64">
        <v>26.68</v>
      </c>
      <c r="M78" s="64">
        <v>105.32</v>
      </c>
      <c r="N78" s="64">
        <v>48.8</v>
      </c>
      <c r="O78" s="64">
        <v>0</v>
      </c>
      <c r="P78" s="64">
        <v>0.43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48" t="s">
        <v>2331</v>
      </c>
      <c r="B79" s="64">
        <v>8.0500000000000007</v>
      </c>
      <c r="C79" s="64">
        <v>3.05</v>
      </c>
      <c r="D79" s="64">
        <v>11.83</v>
      </c>
      <c r="E79" s="64">
        <v>3.5</v>
      </c>
      <c r="F79" s="64">
        <v>3.2</v>
      </c>
      <c r="G79" s="64">
        <v>20.67</v>
      </c>
      <c r="H79" s="209" t="s">
        <v>36</v>
      </c>
      <c r="I79" s="64">
        <v>4.42</v>
      </c>
      <c r="J79" s="64">
        <v>0.33</v>
      </c>
      <c r="K79" s="64">
        <v>145.30000000000001</v>
      </c>
      <c r="L79" s="64">
        <v>26.62</v>
      </c>
      <c r="M79" s="64">
        <v>105.29</v>
      </c>
      <c r="N79" s="64">
        <v>36.5</v>
      </c>
      <c r="O79" s="64">
        <v>0</v>
      </c>
      <c r="P79" s="64">
        <v>0.45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48" t="s">
        <v>2332</v>
      </c>
      <c r="B80" s="64">
        <v>8</v>
      </c>
      <c r="C80" s="64">
        <v>3.01</v>
      </c>
      <c r="D80" s="64">
        <v>11.76</v>
      </c>
      <c r="E80" s="64">
        <v>2.98</v>
      </c>
      <c r="F80" s="64">
        <v>3.33</v>
      </c>
      <c r="G80" s="64">
        <v>20.67</v>
      </c>
      <c r="H80" s="209" t="s">
        <v>36</v>
      </c>
      <c r="I80" s="64">
        <v>4.6399999999999997</v>
      </c>
      <c r="J80" s="64">
        <v>0.04</v>
      </c>
      <c r="K80" s="64">
        <v>183.98</v>
      </c>
      <c r="L80" s="64">
        <v>26.57</v>
      </c>
      <c r="M80" s="64">
        <v>105.3</v>
      </c>
      <c r="N80" s="64">
        <v>31.4</v>
      </c>
      <c r="O80" s="64">
        <v>0</v>
      </c>
      <c r="P80" s="64">
        <v>0.45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48" t="s">
        <v>2333</v>
      </c>
      <c r="B81" s="64">
        <v>8.01</v>
      </c>
      <c r="C81" s="64">
        <v>3</v>
      </c>
      <c r="D81" s="64">
        <v>11.76</v>
      </c>
      <c r="E81" s="64">
        <v>3.44</v>
      </c>
      <c r="F81" s="64">
        <v>3.52</v>
      </c>
      <c r="G81" s="64">
        <v>20.67</v>
      </c>
      <c r="H81" s="209" t="s">
        <v>36</v>
      </c>
      <c r="I81" s="64">
        <v>4.8499999999999996</v>
      </c>
      <c r="J81" s="64">
        <v>0.25</v>
      </c>
      <c r="K81" s="64">
        <v>91.65</v>
      </c>
      <c r="L81" s="64">
        <v>26.73</v>
      </c>
      <c r="M81" s="64">
        <v>105.27</v>
      </c>
      <c r="N81" s="64">
        <v>30</v>
      </c>
      <c r="O81" s="64">
        <v>0</v>
      </c>
      <c r="P81" s="64">
        <v>0.47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48" t="s">
        <v>2334</v>
      </c>
      <c r="B82" s="64">
        <v>8.01</v>
      </c>
      <c r="C82" s="64">
        <v>2.99</v>
      </c>
      <c r="D82" s="64">
        <v>11.76</v>
      </c>
      <c r="E82" s="64">
        <v>3.57</v>
      </c>
      <c r="F82" s="64">
        <v>4.76</v>
      </c>
      <c r="G82" s="64">
        <v>23.08</v>
      </c>
      <c r="H82" s="209" t="s">
        <v>36</v>
      </c>
      <c r="I82" s="64">
        <v>5</v>
      </c>
      <c r="J82" s="64">
        <v>7.0000000000000007E-2</v>
      </c>
      <c r="K82" s="64">
        <v>241.77</v>
      </c>
      <c r="L82" s="64">
        <v>26.72</v>
      </c>
      <c r="M82" s="64">
        <v>105.32</v>
      </c>
      <c r="N82" s="64">
        <v>16.100000000000001</v>
      </c>
      <c r="O82" s="64">
        <v>0</v>
      </c>
      <c r="P82" s="64">
        <v>0.5</v>
      </c>
      <c r="Q82" s="64">
        <v>9.7200000000000006</v>
      </c>
      <c r="R82" s="198"/>
      <c r="S82" s="198"/>
      <c r="T82" s="198"/>
      <c r="U82" s="198"/>
    </row>
    <row r="83" spans="1:26" s="12" customFormat="1" x14ac:dyDescent="0.25">
      <c r="A83" s="248" t="s">
        <v>2335</v>
      </c>
      <c r="B83" s="64">
        <v>7.99</v>
      </c>
      <c r="C83" s="64">
        <v>3.01</v>
      </c>
      <c r="D83" s="64">
        <v>11.76</v>
      </c>
      <c r="E83" s="64">
        <v>3.94</v>
      </c>
      <c r="F83" s="64">
        <v>3.38</v>
      </c>
      <c r="G83" s="64">
        <v>23.19</v>
      </c>
      <c r="H83" s="209" t="s">
        <v>36</v>
      </c>
      <c r="I83" s="64">
        <v>4.99</v>
      </c>
      <c r="J83" s="64">
        <v>0.13</v>
      </c>
      <c r="K83" s="64">
        <v>205.08</v>
      </c>
      <c r="L83" s="64">
        <v>26.69</v>
      </c>
      <c r="M83" s="64">
        <v>105.32</v>
      </c>
      <c r="N83" s="64">
        <v>0</v>
      </c>
      <c r="O83" s="64">
        <v>0</v>
      </c>
      <c r="P83" s="64">
        <v>0.53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48" t="s">
        <v>2336</v>
      </c>
      <c r="B84" s="64">
        <v>8.02</v>
      </c>
      <c r="C84" s="64">
        <v>3.06</v>
      </c>
      <c r="D84" s="64">
        <v>11.81</v>
      </c>
      <c r="E84" s="64">
        <v>3.86</v>
      </c>
      <c r="F84" s="64">
        <v>2.98</v>
      </c>
      <c r="G84" s="64">
        <v>23.19</v>
      </c>
      <c r="H84" s="209" t="s">
        <v>36</v>
      </c>
      <c r="I84" s="64">
        <v>5.39</v>
      </c>
      <c r="J84" s="64">
        <v>0.06</v>
      </c>
      <c r="K84" s="64">
        <v>297.49</v>
      </c>
      <c r="L84" s="64">
        <v>26.7</v>
      </c>
      <c r="M84" s="64">
        <v>105.25</v>
      </c>
      <c r="N84" s="64">
        <v>7.3</v>
      </c>
      <c r="O84" s="64">
        <v>0</v>
      </c>
      <c r="P84" s="64">
        <v>0.56999999999999995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48" t="s">
        <v>2337</v>
      </c>
      <c r="B85" s="64">
        <v>8.0399999999999991</v>
      </c>
      <c r="C85" s="64">
        <v>3.08</v>
      </c>
      <c r="D85" s="64">
        <v>11.83</v>
      </c>
      <c r="E85" s="64">
        <v>3.54</v>
      </c>
      <c r="F85" s="64">
        <v>4.3499999999999996</v>
      </c>
      <c r="G85" s="64">
        <v>23.19</v>
      </c>
      <c r="H85" s="209" t="s">
        <v>36</v>
      </c>
      <c r="I85" s="64">
        <v>5.38</v>
      </c>
      <c r="J85" s="64">
        <v>0.1</v>
      </c>
      <c r="K85" s="64">
        <v>220.06</v>
      </c>
      <c r="L85" s="64">
        <v>26.69</v>
      </c>
      <c r="M85" s="64">
        <v>104.32</v>
      </c>
      <c r="N85" s="64">
        <v>13.6</v>
      </c>
      <c r="O85" s="64">
        <v>0</v>
      </c>
      <c r="P85" s="64">
        <v>0.64</v>
      </c>
      <c r="Q85" s="64">
        <v>9.7200000000000006</v>
      </c>
      <c r="R85" s="198"/>
      <c r="S85" s="198"/>
      <c r="T85" s="198"/>
      <c r="U85" s="198"/>
    </row>
    <row r="86" spans="1:26" s="12" customFormat="1" x14ac:dyDescent="0.25">
      <c r="A86" s="248" t="s">
        <v>2338</v>
      </c>
      <c r="B86" s="64">
        <v>8.06</v>
      </c>
      <c r="C86" s="64">
        <v>3.13</v>
      </c>
      <c r="D86" s="64">
        <v>11.87</v>
      </c>
      <c r="E86" s="64">
        <v>3.75</v>
      </c>
      <c r="F86" s="64">
        <v>2.15</v>
      </c>
      <c r="G86" s="64">
        <v>35.76</v>
      </c>
      <c r="H86" s="209" t="s">
        <v>36</v>
      </c>
      <c r="I86" s="64">
        <v>5.4</v>
      </c>
      <c r="J86" s="64">
        <v>0.01</v>
      </c>
      <c r="K86" s="64">
        <v>11.17</v>
      </c>
      <c r="L86" s="64">
        <v>26.71</v>
      </c>
      <c r="M86" s="64">
        <v>104.24</v>
      </c>
      <c r="N86" s="64">
        <v>10.7</v>
      </c>
      <c r="O86" s="64">
        <v>0</v>
      </c>
      <c r="P86" s="64">
        <v>0.69</v>
      </c>
      <c r="Q86" s="64">
        <v>9.74</v>
      </c>
      <c r="R86" s="198"/>
      <c r="S86" s="198"/>
      <c r="T86" s="198"/>
      <c r="U86" s="198"/>
    </row>
    <row r="87" spans="1:26" s="12" customFormat="1" x14ac:dyDescent="0.25">
      <c r="A87" s="248" t="s">
        <v>2339</v>
      </c>
      <c r="B87" s="64">
        <v>8.0299999999999994</v>
      </c>
      <c r="C87" s="64">
        <v>3.1</v>
      </c>
      <c r="D87" s="64">
        <v>11.84</v>
      </c>
      <c r="E87" s="64">
        <v>3.31</v>
      </c>
      <c r="F87" s="64">
        <v>4.0999999999999996</v>
      </c>
      <c r="G87" s="64">
        <v>36.35</v>
      </c>
      <c r="H87" s="209" t="s">
        <v>36</v>
      </c>
      <c r="I87" s="64">
        <v>5.51</v>
      </c>
      <c r="J87" s="64">
        <v>0.31</v>
      </c>
      <c r="K87" s="64">
        <v>172.42</v>
      </c>
      <c r="L87" s="64">
        <v>26.7</v>
      </c>
      <c r="M87" s="64">
        <v>104.26</v>
      </c>
      <c r="N87" s="64">
        <v>28.3</v>
      </c>
      <c r="O87" s="64">
        <v>0</v>
      </c>
      <c r="P87" s="64">
        <v>0.72</v>
      </c>
      <c r="Q87" s="64">
        <v>9.83</v>
      </c>
      <c r="R87" s="198"/>
      <c r="S87" s="198"/>
      <c r="T87" s="198"/>
      <c r="U87" s="198"/>
    </row>
    <row r="88" spans="1:26" s="12" customFormat="1" x14ac:dyDescent="0.25">
      <c r="A88" s="248" t="s">
        <v>2340</v>
      </c>
      <c r="B88" s="64">
        <v>8.06</v>
      </c>
      <c r="C88" s="64">
        <v>3.12</v>
      </c>
      <c r="D88" s="64">
        <v>11.87</v>
      </c>
      <c r="E88" s="64">
        <v>4.8</v>
      </c>
      <c r="F88" s="64">
        <v>3.55</v>
      </c>
      <c r="G88" s="64">
        <v>36.35</v>
      </c>
      <c r="H88" s="209" t="s">
        <v>36</v>
      </c>
      <c r="I88" s="64">
        <v>5.54</v>
      </c>
      <c r="J88" s="64">
        <v>0.16</v>
      </c>
      <c r="K88" s="64">
        <v>353.31</v>
      </c>
      <c r="L88" s="64">
        <v>25.37</v>
      </c>
      <c r="M88" s="64">
        <v>104.24</v>
      </c>
      <c r="N88" s="64">
        <v>10.9</v>
      </c>
      <c r="O88" s="64">
        <v>0</v>
      </c>
      <c r="P88" s="64">
        <v>0.71</v>
      </c>
      <c r="Q88" s="64">
        <v>9.91</v>
      </c>
      <c r="R88" s="198"/>
      <c r="S88" s="198"/>
      <c r="T88" s="198"/>
      <c r="U88" s="198"/>
    </row>
    <row r="89" spans="1:26" s="12" customFormat="1" x14ac:dyDescent="0.25">
      <c r="A89" s="248" t="s">
        <v>2341</v>
      </c>
      <c r="B89" s="64">
        <v>8.08</v>
      </c>
      <c r="C89" s="64">
        <v>3.12</v>
      </c>
      <c r="D89" s="64">
        <v>11.88</v>
      </c>
      <c r="E89" s="64">
        <v>4.95</v>
      </c>
      <c r="F89" s="64">
        <v>2.8</v>
      </c>
      <c r="G89" s="64">
        <v>36.35</v>
      </c>
      <c r="H89" s="209" t="s">
        <v>36</v>
      </c>
      <c r="I89" s="64">
        <v>5.63</v>
      </c>
      <c r="J89" s="64">
        <v>0.25</v>
      </c>
      <c r="K89" s="64">
        <v>125.76</v>
      </c>
      <c r="L89" s="64">
        <v>24.46</v>
      </c>
      <c r="M89" s="64">
        <v>104.27</v>
      </c>
      <c r="N89" s="64">
        <v>0</v>
      </c>
      <c r="O89" s="64">
        <v>0</v>
      </c>
      <c r="P89" s="64">
        <v>0.67</v>
      </c>
      <c r="Q89" s="64">
        <v>9.91</v>
      </c>
      <c r="R89" s="198"/>
      <c r="S89" s="198"/>
      <c r="T89" s="198"/>
      <c r="U89" s="198"/>
    </row>
    <row r="90" spans="1:26" s="12" customFormat="1" x14ac:dyDescent="0.25">
      <c r="A90" s="248" t="s">
        <v>2342</v>
      </c>
      <c r="B90" s="64">
        <v>8</v>
      </c>
      <c r="C90" s="64">
        <v>3.06</v>
      </c>
      <c r="D90" s="64">
        <v>11.79</v>
      </c>
      <c r="E90" s="64">
        <v>4.79</v>
      </c>
      <c r="F90" s="64">
        <v>4.66</v>
      </c>
      <c r="G90" s="64">
        <v>33.36</v>
      </c>
      <c r="H90" s="209" t="s">
        <v>36</v>
      </c>
      <c r="I90" s="64">
        <v>5.35</v>
      </c>
      <c r="J90" s="64">
        <v>0.11</v>
      </c>
      <c r="K90" s="64">
        <v>128.46</v>
      </c>
      <c r="L90" s="64">
        <v>23.74</v>
      </c>
      <c r="M90" s="64">
        <v>104.32</v>
      </c>
      <c r="N90" s="64">
        <v>0</v>
      </c>
      <c r="O90" s="64">
        <v>0</v>
      </c>
      <c r="P90" s="64">
        <v>0.66</v>
      </c>
      <c r="Q90" s="64">
        <v>9.91</v>
      </c>
      <c r="R90" s="198"/>
      <c r="S90" s="198"/>
      <c r="T90" s="198"/>
      <c r="U90" s="198"/>
    </row>
    <row r="91" spans="1:26" s="12" customFormat="1" x14ac:dyDescent="0.25">
      <c r="A91" s="248" t="s">
        <v>2343</v>
      </c>
      <c r="B91" s="64">
        <v>8.02</v>
      </c>
      <c r="C91" s="64">
        <v>3.07</v>
      </c>
      <c r="D91" s="64">
        <v>11.81</v>
      </c>
      <c r="E91" s="64">
        <v>5.0599999999999996</v>
      </c>
      <c r="F91" s="64">
        <v>3.15</v>
      </c>
      <c r="G91" s="64">
        <v>33.22</v>
      </c>
      <c r="H91" s="209" t="s">
        <v>36</v>
      </c>
      <c r="I91" s="64">
        <v>4.91</v>
      </c>
      <c r="J91" s="64">
        <v>0.04</v>
      </c>
      <c r="K91" s="64">
        <v>255.38</v>
      </c>
      <c r="L91" s="64">
        <v>23.8</v>
      </c>
      <c r="M91" s="64">
        <v>104.33</v>
      </c>
      <c r="N91" s="64">
        <v>0</v>
      </c>
      <c r="O91" s="64">
        <v>0</v>
      </c>
      <c r="P91" s="64">
        <v>0.64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48" t="s">
        <v>2344</v>
      </c>
      <c r="B92" s="64">
        <v>8.08</v>
      </c>
      <c r="C92" s="64">
        <v>3.18</v>
      </c>
      <c r="D92" s="64">
        <v>11.92</v>
      </c>
      <c r="E92" s="64">
        <v>4.8899999999999997</v>
      </c>
      <c r="F92" s="64">
        <v>3.69</v>
      </c>
      <c r="G92" s="64">
        <v>33.22</v>
      </c>
      <c r="H92" s="209" t="s">
        <v>36</v>
      </c>
      <c r="I92" s="64">
        <v>4.8099999999999996</v>
      </c>
      <c r="J92" s="64">
        <v>0.06</v>
      </c>
      <c r="K92" s="64">
        <v>225.09</v>
      </c>
      <c r="L92" s="64">
        <v>23.97</v>
      </c>
      <c r="M92" s="64">
        <v>104.33</v>
      </c>
      <c r="N92" s="64">
        <v>18.8</v>
      </c>
      <c r="O92" s="64">
        <v>0</v>
      </c>
      <c r="P92" s="64">
        <v>0.62</v>
      </c>
      <c r="Q92" s="64">
        <v>9.7899999999999991</v>
      </c>
      <c r="R92" s="198"/>
      <c r="S92" s="198"/>
      <c r="T92" s="198"/>
      <c r="U92" s="198"/>
    </row>
    <row r="93" spans="1:26" s="12" customFormat="1" x14ac:dyDescent="0.25">
      <c r="A93" s="248" t="s">
        <v>2345</v>
      </c>
      <c r="B93" s="64">
        <v>8.08</v>
      </c>
      <c r="C93" s="64">
        <v>3.2</v>
      </c>
      <c r="D93" s="64">
        <v>11.93</v>
      </c>
      <c r="E93" s="64">
        <v>4.8099999999999996</v>
      </c>
      <c r="F93" s="64">
        <v>3.23</v>
      </c>
      <c r="G93" s="64">
        <v>33.22</v>
      </c>
      <c r="H93" s="209" t="s">
        <v>36</v>
      </c>
      <c r="I93" s="64">
        <v>4.63</v>
      </c>
      <c r="J93" s="64">
        <v>0.08</v>
      </c>
      <c r="K93" s="64">
        <v>331.48</v>
      </c>
      <c r="L93" s="64">
        <v>24.1</v>
      </c>
      <c r="M93" s="64">
        <v>104.34</v>
      </c>
      <c r="N93" s="64">
        <v>25.8</v>
      </c>
      <c r="O93" s="64">
        <v>0</v>
      </c>
      <c r="P93" s="64">
        <v>0.62</v>
      </c>
      <c r="Q93" s="64">
        <v>9.81</v>
      </c>
      <c r="R93" s="198"/>
      <c r="S93" s="198"/>
      <c r="T93" s="198"/>
      <c r="U93" s="198"/>
    </row>
    <row r="94" spans="1:26" s="12" customFormat="1" x14ac:dyDescent="0.25">
      <c r="A94" s="248" t="s">
        <v>2346</v>
      </c>
      <c r="B94" s="64">
        <v>8.0399999999999991</v>
      </c>
      <c r="C94" s="64">
        <v>3.1</v>
      </c>
      <c r="D94" s="64">
        <v>11.84</v>
      </c>
      <c r="E94" s="64">
        <v>4.66</v>
      </c>
      <c r="F94" s="64">
        <v>3.01</v>
      </c>
      <c r="G94" s="64">
        <v>22.26</v>
      </c>
      <c r="H94" s="209" t="s">
        <v>36</v>
      </c>
      <c r="I94" s="64">
        <v>4.66</v>
      </c>
      <c r="J94" s="64">
        <v>7.0000000000000007E-2</v>
      </c>
      <c r="K94" s="64">
        <v>315.23</v>
      </c>
      <c r="L94" s="64">
        <v>24.04</v>
      </c>
      <c r="M94" s="64">
        <v>104.35</v>
      </c>
      <c r="N94" s="64">
        <v>25.9</v>
      </c>
      <c r="O94" s="64">
        <v>0</v>
      </c>
      <c r="P94" s="64">
        <v>0.62</v>
      </c>
      <c r="Q94" s="64">
        <v>9.83</v>
      </c>
      <c r="R94" s="198"/>
      <c r="S94" s="198"/>
      <c r="T94" s="198"/>
      <c r="U94" s="198"/>
    </row>
    <row r="95" spans="1:26" s="12" customFormat="1" x14ac:dyDescent="0.25">
      <c r="A95" s="248" t="s">
        <v>2347</v>
      </c>
      <c r="B95" s="64">
        <v>8.02</v>
      </c>
      <c r="C95" s="64">
        <v>3.04</v>
      </c>
      <c r="D95" s="64">
        <v>11.8</v>
      </c>
      <c r="E95" s="64">
        <v>4.76</v>
      </c>
      <c r="F95" s="64">
        <v>3.36</v>
      </c>
      <c r="G95" s="64">
        <v>21.75</v>
      </c>
      <c r="H95" s="209" t="s">
        <v>36</v>
      </c>
      <c r="I95" s="64">
        <v>4.7</v>
      </c>
      <c r="J95" s="64">
        <v>7.0000000000000007E-2</v>
      </c>
      <c r="K95" s="64">
        <v>334.92</v>
      </c>
      <c r="L95" s="64">
        <v>24.16</v>
      </c>
      <c r="M95" s="64">
        <v>104.4</v>
      </c>
      <c r="N95" s="64">
        <v>25.7</v>
      </c>
      <c r="O95" s="64">
        <v>0</v>
      </c>
      <c r="P95" s="64">
        <v>0.61</v>
      </c>
      <c r="Q95" s="64">
        <v>9.83</v>
      </c>
      <c r="R95" s="198"/>
      <c r="S95" s="198"/>
      <c r="T95" s="198"/>
      <c r="U95" s="198"/>
    </row>
    <row r="96" spans="1:26" s="12" customFormat="1" x14ac:dyDescent="0.25">
      <c r="A96" s="248" t="s">
        <v>2348</v>
      </c>
      <c r="B96" s="64">
        <v>8.0500000000000007</v>
      </c>
      <c r="C96" s="64">
        <v>3.1</v>
      </c>
      <c r="D96" s="64">
        <v>11.85</v>
      </c>
      <c r="E96" s="64">
        <v>4.8499999999999996</v>
      </c>
      <c r="F96" s="64">
        <v>3.15</v>
      </c>
      <c r="G96" s="64">
        <v>21.75</v>
      </c>
      <c r="H96" s="209" t="s">
        <v>36</v>
      </c>
      <c r="I96" s="64">
        <v>4.8099999999999996</v>
      </c>
      <c r="J96" s="64">
        <v>0.11</v>
      </c>
      <c r="K96" s="64">
        <v>345.63</v>
      </c>
      <c r="L96" s="64">
        <v>24.33</v>
      </c>
      <c r="M96" s="64">
        <v>104.39</v>
      </c>
      <c r="N96" s="64">
        <v>25.7</v>
      </c>
      <c r="O96" s="64">
        <v>0</v>
      </c>
      <c r="P96" s="64">
        <v>0.61</v>
      </c>
      <c r="Q96" s="64">
        <v>9.82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2349</v>
      </c>
      <c r="B97" s="64">
        <v>8.0299999999999994</v>
      </c>
      <c r="C97" s="64">
        <v>3.1</v>
      </c>
      <c r="D97" s="64">
        <v>11.84</v>
      </c>
      <c r="E97" s="64">
        <v>4.7699999999999996</v>
      </c>
      <c r="F97" s="64">
        <v>3.47</v>
      </c>
      <c r="G97" s="64">
        <v>21.75</v>
      </c>
      <c r="H97" s="209" t="s">
        <v>36</v>
      </c>
      <c r="I97" s="64">
        <v>4.8600000000000003</v>
      </c>
      <c r="J97" s="64">
        <v>0.17</v>
      </c>
      <c r="K97" s="64">
        <v>351.55</v>
      </c>
      <c r="L97" s="64">
        <v>24.68</v>
      </c>
      <c r="M97" s="64">
        <v>104.43</v>
      </c>
      <c r="N97" s="64">
        <v>25.5</v>
      </c>
      <c r="O97" s="64">
        <v>0</v>
      </c>
      <c r="P97" s="64">
        <v>0.59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48" t="s">
        <v>2350</v>
      </c>
      <c r="B98" s="64">
        <v>8.0500000000000007</v>
      </c>
      <c r="C98" s="64">
        <v>3.14</v>
      </c>
      <c r="D98" s="64">
        <v>11.87</v>
      </c>
      <c r="E98" s="64">
        <v>4.97</v>
      </c>
      <c r="F98" s="64">
        <v>2.88</v>
      </c>
      <c r="G98" s="64">
        <v>15.34</v>
      </c>
      <c r="H98" s="209" t="s">
        <v>36</v>
      </c>
      <c r="I98" s="64">
        <v>4.84</v>
      </c>
      <c r="J98" s="64">
        <v>0.17</v>
      </c>
      <c r="K98" s="64">
        <v>358.38</v>
      </c>
      <c r="L98" s="64">
        <v>24.91</v>
      </c>
      <c r="M98" s="64">
        <v>104.48</v>
      </c>
      <c r="N98" s="64">
        <v>25.7</v>
      </c>
      <c r="O98" s="64">
        <v>0</v>
      </c>
      <c r="P98" s="64">
        <v>0.56999999999999995</v>
      </c>
      <c r="Q98" s="64">
        <v>9.8000000000000007</v>
      </c>
      <c r="R98" s="198"/>
      <c r="S98" s="198"/>
      <c r="T98" s="198"/>
      <c r="U98" s="198"/>
    </row>
    <row r="99" spans="1:33" s="12" customFormat="1" x14ac:dyDescent="0.25">
      <c r="A99" s="248" t="s">
        <v>2351</v>
      </c>
      <c r="B99" s="64">
        <v>8</v>
      </c>
      <c r="C99" s="64">
        <v>3.06</v>
      </c>
      <c r="D99" s="64">
        <v>11.79</v>
      </c>
      <c r="E99" s="64">
        <v>4.8600000000000003</v>
      </c>
      <c r="F99" s="64">
        <v>3.8</v>
      </c>
      <c r="G99" s="64">
        <v>15.04</v>
      </c>
      <c r="H99" s="209" t="s">
        <v>36</v>
      </c>
      <c r="I99" s="64">
        <v>4.66</v>
      </c>
      <c r="J99" s="64">
        <v>0.2</v>
      </c>
      <c r="K99" s="64">
        <v>358.98</v>
      </c>
      <c r="L99" s="64">
        <v>24.98</v>
      </c>
      <c r="M99" s="64">
        <v>104.55</v>
      </c>
      <c r="N99" s="64">
        <v>11</v>
      </c>
      <c r="O99" s="64">
        <v>0</v>
      </c>
      <c r="P99" s="64">
        <v>0.55000000000000004</v>
      </c>
      <c r="Q99" s="64">
        <v>9.7899999999999991</v>
      </c>
      <c r="R99" s="198"/>
      <c r="S99" s="198"/>
      <c r="T99" s="198"/>
      <c r="U99" s="198"/>
    </row>
    <row r="100" spans="1:33" s="12" customFormat="1" x14ac:dyDescent="0.25">
      <c r="A100" s="248" t="s">
        <v>2352</v>
      </c>
      <c r="B100" s="64">
        <v>7.97</v>
      </c>
      <c r="C100" s="64">
        <v>3.01</v>
      </c>
      <c r="D100" s="64">
        <v>11.73</v>
      </c>
      <c r="E100" s="64">
        <v>4.8600000000000003</v>
      </c>
      <c r="F100" s="64">
        <v>3.25</v>
      </c>
      <c r="G100" s="64">
        <v>15.04</v>
      </c>
      <c r="H100" s="209" t="s">
        <v>36</v>
      </c>
      <c r="I100" s="64">
        <v>4.41</v>
      </c>
      <c r="J100" s="64">
        <v>0.23</v>
      </c>
      <c r="K100" s="64">
        <v>357.52</v>
      </c>
      <c r="L100" s="64">
        <v>24.94</v>
      </c>
      <c r="M100" s="64">
        <v>104.58</v>
      </c>
      <c r="N100" s="64">
        <v>18.899999999999999</v>
      </c>
      <c r="O100" s="64">
        <v>0</v>
      </c>
      <c r="P100" s="64">
        <v>0.51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2353</v>
      </c>
      <c r="B101" s="64">
        <v>7.96</v>
      </c>
      <c r="C101" s="64">
        <v>2.97</v>
      </c>
      <c r="D101" s="64">
        <v>11.7</v>
      </c>
      <c r="E101" s="64">
        <v>4.8499999999999996</v>
      </c>
      <c r="F101" s="64">
        <v>4.54</v>
      </c>
      <c r="G101" s="64">
        <v>15.04</v>
      </c>
      <c r="H101" s="209" t="s">
        <v>36</v>
      </c>
      <c r="I101" s="64">
        <v>4.17</v>
      </c>
      <c r="J101" s="64">
        <v>0.28000000000000003</v>
      </c>
      <c r="K101" s="64">
        <v>358.47</v>
      </c>
      <c r="L101" s="64">
        <v>24.88</v>
      </c>
      <c r="M101" s="64">
        <v>104.59</v>
      </c>
      <c r="N101" s="64">
        <v>18.600000000000001</v>
      </c>
      <c r="O101" s="64">
        <v>0</v>
      </c>
      <c r="P101" s="64">
        <v>0.49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48" t="s">
        <v>2354</v>
      </c>
      <c r="B102" s="64">
        <v>7.97</v>
      </c>
      <c r="C102" s="64">
        <v>3</v>
      </c>
      <c r="D102" s="64">
        <v>11.73</v>
      </c>
      <c r="E102" s="64">
        <v>4.78</v>
      </c>
      <c r="F102" s="64">
        <v>3.06</v>
      </c>
      <c r="G102" s="64">
        <v>15.09</v>
      </c>
      <c r="H102" s="209" t="s">
        <v>36</v>
      </c>
      <c r="I102" s="64">
        <v>3.76</v>
      </c>
      <c r="J102" s="64">
        <v>0.22</v>
      </c>
      <c r="K102" s="64">
        <v>356.08</v>
      </c>
      <c r="L102" s="64">
        <v>24.71</v>
      </c>
      <c r="M102" s="64">
        <v>104.59</v>
      </c>
      <c r="N102" s="64">
        <v>24.8</v>
      </c>
      <c r="O102" s="64">
        <v>0</v>
      </c>
      <c r="P102" s="64">
        <v>0.46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48" t="s">
        <v>2355</v>
      </c>
      <c r="B103" s="64">
        <v>7.98</v>
      </c>
      <c r="C103" s="64">
        <v>2.97</v>
      </c>
      <c r="D103" s="64">
        <v>11.73</v>
      </c>
      <c r="E103" s="64">
        <v>4.74</v>
      </c>
      <c r="F103" s="64">
        <v>4.3899999999999997</v>
      </c>
      <c r="G103" s="64">
        <v>15.09</v>
      </c>
      <c r="H103" s="209" t="s">
        <v>36</v>
      </c>
      <c r="I103" s="64">
        <v>3.55</v>
      </c>
      <c r="J103" s="64">
        <v>0.2</v>
      </c>
      <c r="K103" s="64">
        <v>4.51</v>
      </c>
      <c r="L103" s="64">
        <v>24.61</v>
      </c>
      <c r="M103" s="64">
        <v>104.62</v>
      </c>
      <c r="N103" s="64">
        <v>11.3</v>
      </c>
      <c r="O103" s="64">
        <v>0</v>
      </c>
      <c r="P103" s="64">
        <v>0.45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48" t="s">
        <v>2356</v>
      </c>
      <c r="B104" s="64">
        <v>7.95</v>
      </c>
      <c r="C104" s="64">
        <v>2.98</v>
      </c>
      <c r="D104" s="64">
        <v>11.7</v>
      </c>
      <c r="E104" s="64">
        <v>2.85</v>
      </c>
      <c r="F104" s="64">
        <v>2.62</v>
      </c>
      <c r="G104" s="64">
        <v>15.09</v>
      </c>
      <c r="H104" s="209" t="s">
        <v>36</v>
      </c>
      <c r="I104" s="64">
        <v>3.18</v>
      </c>
      <c r="J104" s="64">
        <v>0.13</v>
      </c>
      <c r="K104" s="64">
        <v>357.49</v>
      </c>
      <c r="L104" s="64">
        <v>24.57</v>
      </c>
      <c r="M104" s="64">
        <v>104.59</v>
      </c>
      <c r="N104" s="64">
        <v>18.8</v>
      </c>
      <c r="O104" s="64">
        <v>0</v>
      </c>
      <c r="P104" s="64">
        <v>0.42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</v>
      </c>
      <c r="D106" s="67">
        <f t="shared" ref="D106:Q106" si="0">MIN(D9:D104)</f>
        <v>11.69</v>
      </c>
      <c r="E106" s="67">
        <f t="shared" si="0"/>
        <v>2.85</v>
      </c>
      <c r="F106" s="67">
        <f t="shared" si="0"/>
        <v>2.15</v>
      </c>
      <c r="G106" s="67">
        <f t="shared" si="0"/>
        <v>7.54</v>
      </c>
      <c r="H106" s="67">
        <f t="shared" si="0"/>
        <v>0</v>
      </c>
      <c r="I106" s="67">
        <f t="shared" si="0"/>
        <v>3.18</v>
      </c>
      <c r="J106" s="67">
        <f t="shared" si="0"/>
        <v>0</v>
      </c>
      <c r="K106" s="67">
        <f t="shared" si="0"/>
        <v>0.93</v>
      </c>
      <c r="L106" s="67">
        <f t="shared" si="0"/>
        <v>23.74</v>
      </c>
      <c r="M106" s="67">
        <f t="shared" si="0"/>
        <v>103.97</v>
      </c>
      <c r="N106" s="67">
        <f t="shared" si="0"/>
        <v>0</v>
      </c>
      <c r="O106" s="67">
        <f t="shared" si="0"/>
        <v>0</v>
      </c>
      <c r="P106" s="67">
        <f t="shared" si="0"/>
        <v>0.28999999999999998</v>
      </c>
      <c r="Q106" s="67">
        <f t="shared" si="0"/>
        <v>9.41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8.08</v>
      </c>
      <c r="C107" s="66">
        <f t="shared" ref="C107:Q107" si="1">MAX(C9:C104)</f>
        <v>3.2</v>
      </c>
      <c r="D107" s="66">
        <f t="shared" si="1"/>
        <v>11.93</v>
      </c>
      <c r="E107" s="66">
        <f t="shared" si="1"/>
        <v>5.56</v>
      </c>
      <c r="F107" s="66">
        <f t="shared" si="1"/>
        <v>5.21</v>
      </c>
      <c r="G107" s="66">
        <f t="shared" si="1"/>
        <v>36.35</v>
      </c>
      <c r="H107" s="66">
        <f t="shared" si="1"/>
        <v>0</v>
      </c>
      <c r="I107" s="66">
        <f t="shared" si="1"/>
        <v>5.63</v>
      </c>
      <c r="J107" s="66">
        <f t="shared" si="1"/>
        <v>0.82</v>
      </c>
      <c r="K107" s="66">
        <f t="shared" si="1"/>
        <v>358.98</v>
      </c>
      <c r="L107" s="66">
        <f t="shared" si="1"/>
        <v>29.43</v>
      </c>
      <c r="M107" s="66">
        <f t="shared" si="1"/>
        <v>108.62</v>
      </c>
      <c r="N107" s="66">
        <f t="shared" si="1"/>
        <v>236.6</v>
      </c>
      <c r="O107" s="66">
        <f t="shared" si="1"/>
        <v>0</v>
      </c>
      <c r="P107" s="66">
        <f t="shared" si="1"/>
        <v>0.72</v>
      </c>
      <c r="Q107" s="66">
        <f t="shared" si="1"/>
        <v>9.91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8.0009374999999974</v>
      </c>
      <c r="C108" s="67">
        <f t="shared" ref="C108:Q108" si="2">AVERAGE(C9:C104)</f>
        <v>3.0255208333333345</v>
      </c>
      <c r="D108" s="67">
        <f t="shared" si="2"/>
        <v>11.771562499999995</v>
      </c>
      <c r="E108" s="67">
        <f t="shared" si="2"/>
        <v>4.2087500000000029</v>
      </c>
      <c r="F108" s="67">
        <f t="shared" si="2"/>
        <v>3.4526041666666676</v>
      </c>
      <c r="G108" s="67">
        <f t="shared" si="2"/>
        <v>15.447187499999989</v>
      </c>
      <c r="H108" s="67" t="e">
        <f t="shared" si="2"/>
        <v>#DIV/0!</v>
      </c>
      <c r="I108" s="67">
        <f t="shared" si="2"/>
        <v>4.5010416666666675</v>
      </c>
      <c r="J108" s="67">
        <f t="shared" si="2"/>
        <v>0.18041666666666664</v>
      </c>
      <c r="K108" s="67">
        <f t="shared" si="2"/>
        <v>199.13583333333327</v>
      </c>
      <c r="L108" s="67">
        <f t="shared" si="2"/>
        <v>25.799062499999991</v>
      </c>
      <c r="M108" s="67">
        <f t="shared" si="2"/>
        <v>105.10562499999997</v>
      </c>
      <c r="N108" s="67">
        <f t="shared" si="2"/>
        <v>38.328125000000007</v>
      </c>
      <c r="O108" s="67">
        <f t="shared" si="2"/>
        <v>0</v>
      </c>
      <c r="P108" s="67">
        <f t="shared" si="2"/>
        <v>0.42072916666666665</v>
      </c>
      <c r="Q108" s="67">
        <f t="shared" si="2"/>
        <v>9.6198958333333326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3.5245847086459725E-2</v>
      </c>
      <c r="C109" s="67">
        <f t="shared" ref="C109:Q109" si="3">STDEV(C9:C104)</f>
        <v>5.8613269409555996E-2</v>
      </c>
      <c r="D109" s="67">
        <f t="shared" si="3"/>
        <v>5.5900816772114011E-2</v>
      </c>
      <c r="E109" s="67">
        <f t="shared" si="3"/>
        <v>0.53573412494590722</v>
      </c>
      <c r="F109" s="67">
        <f t="shared" si="3"/>
        <v>0.617133005866491</v>
      </c>
      <c r="G109" s="67">
        <f t="shared" si="3"/>
        <v>7.1493257250155251</v>
      </c>
      <c r="H109" s="67" t="e">
        <f t="shared" si="3"/>
        <v>#DIV/0!</v>
      </c>
      <c r="I109" s="67">
        <f t="shared" si="3"/>
        <v>0.56211158129374239</v>
      </c>
      <c r="J109" s="67">
        <f t="shared" si="3"/>
        <v>0.18735789936946973</v>
      </c>
      <c r="K109" s="67">
        <f t="shared" si="3"/>
        <v>105.66033272177985</v>
      </c>
      <c r="L109" s="67">
        <f t="shared" si="3"/>
        <v>1.2442051600371855</v>
      </c>
      <c r="M109" s="67">
        <f t="shared" si="3"/>
        <v>0.56522713180306272</v>
      </c>
      <c r="N109" s="67">
        <f t="shared" si="3"/>
        <v>50.365888003112822</v>
      </c>
      <c r="O109" s="67">
        <f t="shared" si="3"/>
        <v>0</v>
      </c>
      <c r="P109" s="67">
        <f t="shared" si="3"/>
        <v>0.10916182860579694</v>
      </c>
      <c r="Q109" s="67">
        <f t="shared" si="3"/>
        <v>0.12904911175833036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COUNT(H9:H104)+96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4" sqref="H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2357</v>
      </c>
      <c r="B9" s="64">
        <v>7.94</v>
      </c>
      <c r="C9" s="64">
        <v>2.95</v>
      </c>
      <c r="D9" s="64">
        <v>11.69</v>
      </c>
      <c r="E9" s="64">
        <v>3.74</v>
      </c>
      <c r="F9" s="64">
        <v>4.67</v>
      </c>
      <c r="G9" s="64">
        <v>15.09</v>
      </c>
      <c r="H9" s="210" t="s">
        <v>43</v>
      </c>
      <c r="I9" s="64">
        <v>3.04</v>
      </c>
      <c r="J9" s="64">
        <v>0.09</v>
      </c>
      <c r="K9" s="64">
        <v>19.309999999999999</v>
      </c>
      <c r="L9" s="64">
        <v>24.51</v>
      </c>
      <c r="M9" s="64">
        <v>104.63</v>
      </c>
      <c r="N9" s="64">
        <v>14.2</v>
      </c>
      <c r="O9" s="64">
        <v>0</v>
      </c>
      <c r="P9" s="64">
        <v>0.42</v>
      </c>
      <c r="Q9" s="64">
        <v>9.56</v>
      </c>
      <c r="S9" s="198"/>
      <c r="T9" s="198"/>
      <c r="U9" s="198"/>
    </row>
    <row r="10" spans="1:21" s="12" customFormat="1" x14ac:dyDescent="0.25">
      <c r="A10" s="248" t="s">
        <v>2358</v>
      </c>
      <c r="B10" s="64">
        <v>7.96</v>
      </c>
      <c r="C10" s="64">
        <v>2.94</v>
      </c>
      <c r="D10" s="64">
        <v>11.69</v>
      </c>
      <c r="E10" s="64">
        <v>3.82</v>
      </c>
      <c r="F10" s="64">
        <v>2.62</v>
      </c>
      <c r="G10" s="64">
        <v>11.68</v>
      </c>
      <c r="H10" s="210" t="s">
        <v>43</v>
      </c>
      <c r="I10" s="64">
        <v>2.77</v>
      </c>
      <c r="J10" s="64">
        <v>7.0000000000000007E-2</v>
      </c>
      <c r="K10" s="64">
        <v>121.81</v>
      </c>
      <c r="L10" s="64">
        <v>24.48</v>
      </c>
      <c r="M10" s="64">
        <v>104.62</v>
      </c>
      <c r="N10" s="64">
        <v>20</v>
      </c>
      <c r="O10" s="64">
        <v>0</v>
      </c>
      <c r="P10" s="64">
        <v>0.38</v>
      </c>
      <c r="Q10" s="64">
        <v>9.5299999999999994</v>
      </c>
      <c r="S10" s="198"/>
      <c r="T10" s="198"/>
      <c r="U10" s="198"/>
    </row>
    <row r="11" spans="1:21" s="12" customFormat="1" x14ac:dyDescent="0.25">
      <c r="A11" s="248" t="s">
        <v>2359</v>
      </c>
      <c r="B11" s="64">
        <v>7.96</v>
      </c>
      <c r="C11" s="64">
        <v>2.93</v>
      </c>
      <c r="D11" s="64">
        <v>11.69</v>
      </c>
      <c r="E11" s="64">
        <v>3.74</v>
      </c>
      <c r="F11" s="64">
        <v>4.05</v>
      </c>
      <c r="G11" s="64">
        <v>11.53</v>
      </c>
      <c r="H11" s="210" t="s">
        <v>43</v>
      </c>
      <c r="I11" s="64">
        <v>2.75</v>
      </c>
      <c r="J11" s="64">
        <v>0.05</v>
      </c>
      <c r="K11" s="64">
        <v>26.33</v>
      </c>
      <c r="L11" s="64">
        <v>24.46</v>
      </c>
      <c r="M11" s="64">
        <v>104.61</v>
      </c>
      <c r="N11" s="64">
        <v>18.7</v>
      </c>
      <c r="O11" s="64">
        <v>0</v>
      </c>
      <c r="P11" s="64">
        <v>0.39</v>
      </c>
      <c r="Q11" s="64">
        <v>9.5399999999999991</v>
      </c>
      <c r="S11" s="198"/>
      <c r="T11" s="198"/>
      <c r="U11" s="198"/>
    </row>
    <row r="12" spans="1:21" s="12" customFormat="1" x14ac:dyDescent="0.25">
      <c r="A12" s="248" t="s">
        <v>2360</v>
      </c>
      <c r="B12" s="64">
        <v>7.96</v>
      </c>
      <c r="C12" s="64">
        <v>3</v>
      </c>
      <c r="D12" s="64">
        <v>11.72</v>
      </c>
      <c r="E12" s="64">
        <v>4.1100000000000003</v>
      </c>
      <c r="F12" s="64">
        <v>3.82</v>
      </c>
      <c r="G12" s="64">
        <v>11.53</v>
      </c>
      <c r="H12" s="210" t="s">
        <v>43</v>
      </c>
      <c r="I12" s="64">
        <v>2.63</v>
      </c>
      <c r="J12" s="64">
        <v>0.13</v>
      </c>
      <c r="K12" s="64">
        <v>341.62</v>
      </c>
      <c r="L12" s="64">
        <v>24.51</v>
      </c>
      <c r="M12" s="64">
        <v>104.6</v>
      </c>
      <c r="N12" s="64">
        <v>26.1</v>
      </c>
      <c r="O12" s="64">
        <v>0</v>
      </c>
      <c r="P12" s="64">
        <v>0.37</v>
      </c>
      <c r="Q12" s="64">
        <v>9.51</v>
      </c>
      <c r="S12" s="198"/>
      <c r="T12" s="198"/>
      <c r="U12" s="198"/>
    </row>
    <row r="13" spans="1:21" s="12" customFormat="1" x14ac:dyDescent="0.25">
      <c r="A13" s="248" t="s">
        <v>2361</v>
      </c>
      <c r="B13" s="64">
        <v>7.96</v>
      </c>
      <c r="C13" s="64">
        <v>3</v>
      </c>
      <c r="D13" s="64">
        <v>11.72</v>
      </c>
      <c r="E13" s="64">
        <v>3.85</v>
      </c>
      <c r="F13" s="64">
        <v>3.43</v>
      </c>
      <c r="G13" s="64">
        <v>11.53</v>
      </c>
      <c r="H13" s="210" t="s">
        <v>43</v>
      </c>
      <c r="I13" s="64">
        <v>2.64</v>
      </c>
      <c r="J13" s="64">
        <v>0.16</v>
      </c>
      <c r="K13" s="64">
        <v>343.85</v>
      </c>
      <c r="L13" s="64">
        <v>24.64</v>
      </c>
      <c r="M13" s="64">
        <v>104.61</v>
      </c>
      <c r="N13" s="64">
        <v>25.2</v>
      </c>
      <c r="O13" s="64">
        <v>0</v>
      </c>
      <c r="P13" s="64">
        <v>0.35</v>
      </c>
      <c r="Q13" s="64">
        <v>9.51</v>
      </c>
      <c r="S13" s="198"/>
      <c r="T13" s="198"/>
      <c r="U13" s="198"/>
    </row>
    <row r="14" spans="1:21" s="12" customFormat="1" x14ac:dyDescent="0.25">
      <c r="A14" s="248" t="s">
        <v>2362</v>
      </c>
      <c r="B14" s="64">
        <v>7.97</v>
      </c>
      <c r="C14" s="64">
        <v>2.95</v>
      </c>
      <c r="D14" s="64">
        <v>11.71</v>
      </c>
      <c r="E14" s="64">
        <v>3.76</v>
      </c>
      <c r="F14" s="64">
        <v>3.28</v>
      </c>
      <c r="G14" s="64">
        <v>13.98</v>
      </c>
      <c r="H14" s="210" t="s">
        <v>43</v>
      </c>
      <c r="I14" s="64">
        <v>2.64</v>
      </c>
      <c r="J14" s="64">
        <v>0.08</v>
      </c>
      <c r="K14" s="64">
        <v>348.43</v>
      </c>
      <c r="L14" s="64">
        <v>24.71</v>
      </c>
      <c r="M14" s="64">
        <v>104.63</v>
      </c>
      <c r="N14" s="64">
        <v>25.8</v>
      </c>
      <c r="O14" s="64">
        <v>0</v>
      </c>
      <c r="P14" s="64">
        <v>0.35</v>
      </c>
      <c r="Q14" s="64">
        <v>9.52</v>
      </c>
      <c r="S14" s="198"/>
      <c r="T14" s="198"/>
      <c r="U14" s="198"/>
    </row>
    <row r="15" spans="1:21" s="12" customFormat="1" x14ac:dyDescent="0.25">
      <c r="A15" s="248" t="s">
        <v>2363</v>
      </c>
      <c r="B15" s="64">
        <v>7.98</v>
      </c>
      <c r="C15" s="64">
        <v>2.95</v>
      </c>
      <c r="D15" s="64">
        <v>11.72</v>
      </c>
      <c r="E15" s="64">
        <v>3.36</v>
      </c>
      <c r="F15" s="64">
        <v>3.24</v>
      </c>
      <c r="G15" s="64">
        <v>14.1</v>
      </c>
      <c r="H15" s="210" t="s">
        <v>43</v>
      </c>
      <c r="I15" s="64">
        <v>2.56</v>
      </c>
      <c r="J15" s="64">
        <v>7.0000000000000007E-2</v>
      </c>
      <c r="K15" s="64">
        <v>331.03</v>
      </c>
      <c r="L15" s="64">
        <v>24.67</v>
      </c>
      <c r="M15" s="64">
        <v>104.63</v>
      </c>
      <c r="N15" s="64">
        <v>25.7</v>
      </c>
      <c r="O15" s="64">
        <v>0</v>
      </c>
      <c r="P15" s="64">
        <v>0.34</v>
      </c>
      <c r="Q15" s="64">
        <v>9.5299999999999994</v>
      </c>
      <c r="S15" s="198"/>
      <c r="T15" s="198"/>
      <c r="U15" s="198"/>
    </row>
    <row r="16" spans="1:21" s="12" customFormat="1" x14ac:dyDescent="0.25">
      <c r="A16" s="248" t="s">
        <v>2364</v>
      </c>
      <c r="B16" s="64">
        <v>7.97</v>
      </c>
      <c r="C16" s="64">
        <v>2.97</v>
      </c>
      <c r="D16" s="64">
        <v>11.72</v>
      </c>
      <c r="E16" s="64">
        <v>3.9</v>
      </c>
      <c r="F16" s="64">
        <v>3.12</v>
      </c>
      <c r="G16" s="64">
        <v>14.1</v>
      </c>
      <c r="H16" s="210" t="s">
        <v>43</v>
      </c>
      <c r="I16" s="64">
        <v>2.61</v>
      </c>
      <c r="J16" s="64">
        <v>0.05</v>
      </c>
      <c r="K16" s="64">
        <v>345.64</v>
      </c>
      <c r="L16" s="64">
        <v>24.65</v>
      </c>
      <c r="M16" s="64">
        <v>104.62</v>
      </c>
      <c r="N16" s="64">
        <v>25.7</v>
      </c>
      <c r="O16" s="64">
        <v>0</v>
      </c>
      <c r="P16" s="64">
        <v>0.33</v>
      </c>
      <c r="Q16" s="64">
        <v>9.52</v>
      </c>
      <c r="S16" s="198"/>
      <c r="T16" s="198"/>
      <c r="U16" s="198"/>
    </row>
    <row r="17" spans="1:21" s="12" customFormat="1" x14ac:dyDescent="0.25">
      <c r="A17" s="248" t="s">
        <v>2365</v>
      </c>
      <c r="B17" s="64">
        <v>7.99</v>
      </c>
      <c r="C17" s="64">
        <v>3.01</v>
      </c>
      <c r="D17" s="64">
        <v>11.75</v>
      </c>
      <c r="E17" s="64">
        <v>3.74</v>
      </c>
      <c r="F17" s="64">
        <v>3.15</v>
      </c>
      <c r="G17" s="64">
        <v>14.1</v>
      </c>
      <c r="H17" s="210" t="s">
        <v>43</v>
      </c>
      <c r="I17" s="64">
        <v>2.65</v>
      </c>
      <c r="J17" s="64">
        <v>0.11</v>
      </c>
      <c r="K17" s="64">
        <v>333.59</v>
      </c>
      <c r="L17" s="64">
        <v>24.68</v>
      </c>
      <c r="M17" s="64">
        <v>104.63</v>
      </c>
      <c r="N17" s="64">
        <v>25.8</v>
      </c>
      <c r="O17" s="64">
        <v>0</v>
      </c>
      <c r="P17" s="64">
        <v>0.32</v>
      </c>
      <c r="Q17" s="64">
        <v>9.52</v>
      </c>
      <c r="S17" s="198"/>
      <c r="T17" s="198"/>
      <c r="U17" s="198"/>
    </row>
    <row r="18" spans="1:21" s="12" customFormat="1" x14ac:dyDescent="0.25">
      <c r="A18" s="248" t="s">
        <v>2366</v>
      </c>
      <c r="B18" s="64">
        <v>7.98</v>
      </c>
      <c r="C18" s="64">
        <v>3</v>
      </c>
      <c r="D18" s="64">
        <v>11.74</v>
      </c>
      <c r="E18" s="64">
        <v>3.64</v>
      </c>
      <c r="F18" s="64">
        <v>3.12</v>
      </c>
      <c r="G18" s="64">
        <v>10.41</v>
      </c>
      <c r="H18" s="210" t="s">
        <v>43</v>
      </c>
      <c r="I18" s="64">
        <v>2.7</v>
      </c>
      <c r="J18" s="64">
        <v>0.11</v>
      </c>
      <c r="K18" s="64">
        <v>340.23</v>
      </c>
      <c r="L18" s="64">
        <v>24.71</v>
      </c>
      <c r="M18" s="64">
        <v>104.6</v>
      </c>
      <c r="N18" s="64">
        <v>26</v>
      </c>
      <c r="O18" s="64">
        <v>0</v>
      </c>
      <c r="P18" s="64">
        <v>0.32</v>
      </c>
      <c r="Q18" s="64">
        <v>9.5299999999999994</v>
      </c>
      <c r="S18" s="198"/>
      <c r="T18" s="198"/>
      <c r="U18" s="198"/>
    </row>
    <row r="19" spans="1:21" s="12" customFormat="1" x14ac:dyDescent="0.25">
      <c r="A19" s="248" t="s">
        <v>2367</v>
      </c>
      <c r="B19" s="64">
        <v>7.96</v>
      </c>
      <c r="C19" s="64">
        <v>2.96</v>
      </c>
      <c r="D19" s="64">
        <v>11.71</v>
      </c>
      <c r="E19" s="64">
        <v>3.77</v>
      </c>
      <c r="F19" s="64">
        <v>3.18</v>
      </c>
      <c r="G19" s="64">
        <v>10.24</v>
      </c>
      <c r="H19" s="210" t="s">
        <v>43</v>
      </c>
      <c r="I19" s="64">
        <v>2.7</v>
      </c>
      <c r="J19" s="64">
        <v>0.1</v>
      </c>
      <c r="K19" s="64">
        <v>355.75</v>
      </c>
      <c r="L19" s="64">
        <v>24.73</v>
      </c>
      <c r="M19" s="64">
        <v>104.61</v>
      </c>
      <c r="N19" s="64">
        <v>26.1</v>
      </c>
      <c r="O19" s="64">
        <v>0</v>
      </c>
      <c r="P19" s="64">
        <v>0.31</v>
      </c>
      <c r="Q19" s="64">
        <v>9.52</v>
      </c>
      <c r="S19" s="198"/>
      <c r="T19" s="198"/>
      <c r="U19" s="198"/>
    </row>
    <row r="20" spans="1:21" s="12" customFormat="1" x14ac:dyDescent="0.25">
      <c r="A20" s="248" t="s">
        <v>2368</v>
      </c>
      <c r="B20" s="64">
        <v>7.94</v>
      </c>
      <c r="C20" s="64">
        <v>2.92</v>
      </c>
      <c r="D20" s="64">
        <v>11.67</v>
      </c>
      <c r="E20" s="64">
        <v>3.33</v>
      </c>
      <c r="F20" s="64">
        <v>3.78</v>
      </c>
      <c r="G20" s="64">
        <v>10.24</v>
      </c>
      <c r="H20" s="210" t="s">
        <v>43</v>
      </c>
      <c r="I20" s="64">
        <v>2.72</v>
      </c>
      <c r="J20" s="64">
        <v>0.05</v>
      </c>
      <c r="K20" s="64">
        <v>320.87</v>
      </c>
      <c r="L20" s="64">
        <v>24.63</v>
      </c>
      <c r="M20" s="64">
        <v>104.64</v>
      </c>
      <c r="N20" s="64">
        <v>7.8</v>
      </c>
      <c r="O20" s="64">
        <v>0</v>
      </c>
      <c r="P20" s="64">
        <v>0.31</v>
      </c>
      <c r="Q20" s="64">
        <v>9.52</v>
      </c>
      <c r="S20" s="198"/>
      <c r="T20" s="198"/>
      <c r="U20" s="198"/>
    </row>
    <row r="21" spans="1:21" s="12" customFormat="1" x14ac:dyDescent="0.25">
      <c r="A21" s="248" t="s">
        <v>2369</v>
      </c>
      <c r="B21" s="64">
        <v>7.95</v>
      </c>
      <c r="C21" s="64">
        <v>2.93</v>
      </c>
      <c r="D21" s="64">
        <v>11.68</v>
      </c>
      <c r="E21" s="64">
        <v>4.18</v>
      </c>
      <c r="F21" s="64">
        <v>3.55</v>
      </c>
      <c r="G21" s="64">
        <v>10.24</v>
      </c>
      <c r="H21" s="210" t="s">
        <v>43</v>
      </c>
      <c r="I21" s="64">
        <v>2.4700000000000002</v>
      </c>
      <c r="J21" s="64">
        <v>0.09</v>
      </c>
      <c r="K21" s="64">
        <v>323.72000000000003</v>
      </c>
      <c r="L21" s="64">
        <v>24.53</v>
      </c>
      <c r="M21" s="64">
        <v>104.57</v>
      </c>
      <c r="N21" s="64">
        <v>25.5</v>
      </c>
      <c r="O21" s="64">
        <v>0</v>
      </c>
      <c r="P21" s="64">
        <v>0.28999999999999998</v>
      </c>
      <c r="Q21" s="64">
        <v>9.51</v>
      </c>
      <c r="S21" s="198"/>
      <c r="T21" s="198"/>
      <c r="U21" s="198"/>
    </row>
    <row r="22" spans="1:21" s="12" customFormat="1" x14ac:dyDescent="0.25">
      <c r="A22" s="248" t="s">
        <v>2370</v>
      </c>
      <c r="B22" s="64">
        <v>7.98</v>
      </c>
      <c r="C22" s="64">
        <v>2.97</v>
      </c>
      <c r="D22" s="64">
        <v>11.72</v>
      </c>
      <c r="E22" s="64">
        <v>3.79</v>
      </c>
      <c r="F22" s="64">
        <v>4.42</v>
      </c>
      <c r="G22" s="64">
        <v>11.83</v>
      </c>
      <c r="H22" s="210" t="s">
        <v>43</v>
      </c>
      <c r="I22" s="64">
        <v>2.4500000000000002</v>
      </c>
      <c r="J22" s="64">
        <v>0.08</v>
      </c>
      <c r="K22" s="64">
        <v>343.48</v>
      </c>
      <c r="L22" s="64">
        <v>24.44</v>
      </c>
      <c r="M22" s="64">
        <v>104.59</v>
      </c>
      <c r="N22" s="64">
        <v>24.2</v>
      </c>
      <c r="O22" s="64">
        <v>0</v>
      </c>
      <c r="P22" s="64">
        <v>0.3</v>
      </c>
      <c r="Q22" s="64">
        <v>9.5399999999999991</v>
      </c>
      <c r="S22" s="198"/>
      <c r="T22" s="198"/>
      <c r="U22" s="198"/>
    </row>
    <row r="23" spans="1:21" s="12" customFormat="1" x14ac:dyDescent="0.25">
      <c r="A23" s="248" t="s">
        <v>2371</v>
      </c>
      <c r="B23" s="64">
        <v>7.96</v>
      </c>
      <c r="C23" s="64">
        <v>2.99</v>
      </c>
      <c r="D23" s="64">
        <v>11.72</v>
      </c>
      <c r="E23" s="64">
        <v>3.93</v>
      </c>
      <c r="F23" s="64">
        <v>3.19</v>
      </c>
      <c r="G23" s="64">
        <v>11.9</v>
      </c>
      <c r="H23" s="210" t="s">
        <v>43</v>
      </c>
      <c r="I23" s="64">
        <v>2.38</v>
      </c>
      <c r="J23" s="64">
        <v>0.02</v>
      </c>
      <c r="K23" s="64">
        <v>352.55</v>
      </c>
      <c r="L23" s="64">
        <v>24.43</v>
      </c>
      <c r="M23" s="64">
        <v>104.56</v>
      </c>
      <c r="N23" s="64">
        <v>18.100000000000001</v>
      </c>
      <c r="O23" s="64">
        <v>0</v>
      </c>
      <c r="P23" s="64">
        <v>0.28000000000000003</v>
      </c>
      <c r="Q23" s="64">
        <v>9.51</v>
      </c>
      <c r="S23" s="198"/>
      <c r="T23" s="198"/>
      <c r="U23" s="198"/>
    </row>
    <row r="24" spans="1:21" s="12" customFormat="1" x14ac:dyDescent="0.25">
      <c r="A24" s="248" t="s">
        <v>2372</v>
      </c>
      <c r="B24" s="64">
        <v>7.98</v>
      </c>
      <c r="C24" s="64">
        <v>2.99</v>
      </c>
      <c r="D24" s="64">
        <v>11.73</v>
      </c>
      <c r="E24" s="64">
        <v>4.45</v>
      </c>
      <c r="F24" s="64">
        <v>4.0199999999999996</v>
      </c>
      <c r="G24" s="64">
        <v>11.9</v>
      </c>
      <c r="H24" s="210" t="s">
        <v>43</v>
      </c>
      <c r="I24" s="64">
        <v>2.38</v>
      </c>
      <c r="J24" s="64">
        <v>0.08</v>
      </c>
      <c r="K24" s="64">
        <v>327.60000000000002</v>
      </c>
      <c r="L24" s="64">
        <v>24.43</v>
      </c>
      <c r="M24" s="64">
        <v>104.55</v>
      </c>
      <c r="N24" s="64">
        <v>18.7</v>
      </c>
      <c r="O24" s="64">
        <v>0</v>
      </c>
      <c r="P24" s="64">
        <v>0.28999999999999998</v>
      </c>
      <c r="Q24" s="64">
        <v>9.51</v>
      </c>
      <c r="S24" s="198"/>
      <c r="T24" s="198"/>
      <c r="U24" s="198"/>
    </row>
    <row r="25" spans="1:21" s="12" customFormat="1" x14ac:dyDescent="0.25">
      <c r="A25" s="248" t="s">
        <v>2373</v>
      </c>
      <c r="B25" s="64">
        <v>7.98</v>
      </c>
      <c r="C25" s="64">
        <v>2.93</v>
      </c>
      <c r="D25" s="64">
        <v>11.7</v>
      </c>
      <c r="E25" s="64">
        <v>3.36</v>
      </c>
      <c r="F25" s="64">
        <v>2.8</v>
      </c>
      <c r="G25" s="64">
        <v>11.9</v>
      </c>
      <c r="H25" s="210" t="s">
        <v>43</v>
      </c>
      <c r="I25" s="64">
        <v>2.31</v>
      </c>
      <c r="J25" s="64">
        <v>0.09</v>
      </c>
      <c r="K25" s="64">
        <v>335.46</v>
      </c>
      <c r="L25" s="64">
        <v>24.43</v>
      </c>
      <c r="M25" s="64">
        <v>104.53</v>
      </c>
      <c r="N25" s="64">
        <v>25.7</v>
      </c>
      <c r="O25" s="64">
        <v>0</v>
      </c>
      <c r="P25" s="64">
        <v>0.27</v>
      </c>
      <c r="Q25" s="64">
        <v>9.49</v>
      </c>
      <c r="S25" s="198"/>
      <c r="T25" s="198"/>
      <c r="U25" s="198"/>
    </row>
    <row r="26" spans="1:21" s="12" customFormat="1" x14ac:dyDescent="0.25">
      <c r="A26" s="248" t="s">
        <v>2374</v>
      </c>
      <c r="B26" s="64">
        <v>7.97</v>
      </c>
      <c r="C26" s="64">
        <v>2.98</v>
      </c>
      <c r="D26" s="64">
        <v>11.72</v>
      </c>
      <c r="E26" s="64">
        <v>3.57</v>
      </c>
      <c r="F26" s="64">
        <v>4.59</v>
      </c>
      <c r="G26" s="64">
        <v>8.6300000000000008</v>
      </c>
      <c r="H26" s="210" t="s">
        <v>43</v>
      </c>
      <c r="I26" s="64">
        <v>2.2999999999999998</v>
      </c>
      <c r="J26" s="64">
        <v>0.03</v>
      </c>
      <c r="K26" s="64">
        <v>350.87</v>
      </c>
      <c r="L26" s="64">
        <v>24.43</v>
      </c>
      <c r="M26" s="64">
        <v>104.53</v>
      </c>
      <c r="N26" s="64">
        <v>15.2</v>
      </c>
      <c r="O26" s="64">
        <v>0</v>
      </c>
      <c r="P26" s="64">
        <v>0.27</v>
      </c>
      <c r="Q26" s="64">
        <v>9.49</v>
      </c>
      <c r="S26" s="198"/>
      <c r="T26" s="198"/>
      <c r="U26" s="198"/>
    </row>
    <row r="27" spans="1:21" s="12" customFormat="1" x14ac:dyDescent="0.25">
      <c r="A27" s="248" t="s">
        <v>2375</v>
      </c>
      <c r="B27" s="64">
        <v>7.96</v>
      </c>
      <c r="C27" s="64">
        <v>2.92</v>
      </c>
      <c r="D27" s="64">
        <v>11.68</v>
      </c>
      <c r="E27" s="64">
        <v>3.76</v>
      </c>
      <c r="F27" s="64">
        <v>2.85</v>
      </c>
      <c r="G27" s="64">
        <v>8.48</v>
      </c>
      <c r="H27" s="210" t="s">
        <v>43</v>
      </c>
      <c r="I27" s="64">
        <v>2.2200000000000002</v>
      </c>
      <c r="J27" s="64">
        <v>0.02</v>
      </c>
      <c r="K27" s="64">
        <v>5.6</v>
      </c>
      <c r="L27" s="64">
        <v>24.41</v>
      </c>
      <c r="M27" s="64">
        <v>104.55</v>
      </c>
      <c r="N27" s="64">
        <v>12.6</v>
      </c>
      <c r="O27" s="64">
        <v>0</v>
      </c>
      <c r="P27" s="64">
        <v>0.26</v>
      </c>
      <c r="Q27" s="64">
        <v>9.48</v>
      </c>
      <c r="S27" s="198"/>
      <c r="T27" s="198"/>
      <c r="U27" s="198"/>
    </row>
    <row r="28" spans="1:21" s="12" customFormat="1" x14ac:dyDescent="0.25">
      <c r="A28" s="248" t="s">
        <v>2376</v>
      </c>
      <c r="B28" s="64">
        <v>7.99</v>
      </c>
      <c r="C28" s="64">
        <v>3</v>
      </c>
      <c r="D28" s="64">
        <v>11.74</v>
      </c>
      <c r="E28" s="64">
        <v>3.31</v>
      </c>
      <c r="F28" s="64">
        <v>3.41</v>
      </c>
      <c r="G28" s="64">
        <v>8.48</v>
      </c>
      <c r="H28" s="210" t="s">
        <v>43</v>
      </c>
      <c r="I28" s="64">
        <v>2.39</v>
      </c>
      <c r="J28" s="64">
        <v>7.0000000000000007E-2</v>
      </c>
      <c r="K28" s="64">
        <v>317.07</v>
      </c>
      <c r="L28" s="64">
        <v>24.42</v>
      </c>
      <c r="M28" s="64">
        <v>104.55</v>
      </c>
      <c r="N28" s="64">
        <v>26.1</v>
      </c>
      <c r="O28" s="64">
        <v>0</v>
      </c>
      <c r="P28" s="64">
        <v>0.26</v>
      </c>
      <c r="Q28" s="64">
        <v>9.4600000000000009</v>
      </c>
      <c r="S28" s="198"/>
      <c r="T28" s="198"/>
      <c r="U28" s="198"/>
    </row>
    <row r="29" spans="1:21" s="12" customFormat="1" x14ac:dyDescent="0.25">
      <c r="A29" s="248" t="s">
        <v>2377</v>
      </c>
      <c r="B29" s="64">
        <v>8</v>
      </c>
      <c r="C29" s="64">
        <v>3.03</v>
      </c>
      <c r="D29" s="64">
        <v>11.77</v>
      </c>
      <c r="E29" s="64">
        <v>3.59</v>
      </c>
      <c r="F29" s="64">
        <v>3.26</v>
      </c>
      <c r="G29" s="64">
        <v>8.48</v>
      </c>
      <c r="H29" s="210" t="s">
        <v>43</v>
      </c>
      <c r="I29" s="64">
        <v>2.35</v>
      </c>
      <c r="J29" s="64">
        <v>0.08</v>
      </c>
      <c r="K29" s="64">
        <v>324.62</v>
      </c>
      <c r="L29" s="64">
        <v>24.43</v>
      </c>
      <c r="M29" s="64">
        <v>104.53</v>
      </c>
      <c r="N29" s="64">
        <v>26.1</v>
      </c>
      <c r="O29" s="64">
        <v>0</v>
      </c>
      <c r="P29" s="64">
        <v>0.25</v>
      </c>
      <c r="Q29" s="64">
        <v>9.4700000000000006</v>
      </c>
      <c r="S29" s="198"/>
      <c r="T29" s="198"/>
      <c r="U29" s="198"/>
    </row>
    <row r="30" spans="1:21" s="12" customFormat="1" x14ac:dyDescent="0.25">
      <c r="A30" s="248" t="s">
        <v>2378</v>
      </c>
      <c r="B30" s="64">
        <v>7.99</v>
      </c>
      <c r="C30" s="64">
        <v>2.99</v>
      </c>
      <c r="D30" s="64">
        <v>11.74</v>
      </c>
      <c r="E30" s="64">
        <v>3.4</v>
      </c>
      <c r="F30" s="64">
        <v>3.41</v>
      </c>
      <c r="G30" s="64">
        <v>10.57</v>
      </c>
      <c r="H30" s="210" t="s">
        <v>43</v>
      </c>
      <c r="I30" s="64">
        <v>2.2000000000000002</v>
      </c>
      <c r="J30" s="64">
        <v>0.04</v>
      </c>
      <c r="K30" s="64">
        <v>317.52</v>
      </c>
      <c r="L30" s="64">
        <v>24.42</v>
      </c>
      <c r="M30" s="64">
        <v>104.56</v>
      </c>
      <c r="N30" s="64">
        <v>26.1</v>
      </c>
      <c r="O30" s="64">
        <v>0</v>
      </c>
      <c r="P30" s="64">
        <v>0.26</v>
      </c>
      <c r="Q30" s="64">
        <v>9.4700000000000006</v>
      </c>
      <c r="S30" s="198"/>
      <c r="T30" s="198"/>
      <c r="U30" s="198"/>
    </row>
    <row r="31" spans="1:21" s="12" customFormat="1" x14ac:dyDescent="0.25">
      <c r="A31" s="248" t="s">
        <v>2379</v>
      </c>
      <c r="B31" s="64">
        <v>7.98</v>
      </c>
      <c r="C31" s="64">
        <v>2.97</v>
      </c>
      <c r="D31" s="64">
        <v>11.73</v>
      </c>
      <c r="E31" s="64">
        <v>3.68</v>
      </c>
      <c r="F31" s="64">
        <v>2.9</v>
      </c>
      <c r="G31" s="64">
        <v>10.67</v>
      </c>
      <c r="H31" s="210" t="s">
        <v>43</v>
      </c>
      <c r="I31" s="64">
        <v>2.4300000000000002</v>
      </c>
      <c r="J31" s="64">
        <v>7.0000000000000007E-2</v>
      </c>
      <c r="K31" s="64">
        <v>357.91</v>
      </c>
      <c r="L31" s="64">
        <v>24.5</v>
      </c>
      <c r="M31" s="64">
        <v>104.56</v>
      </c>
      <c r="N31" s="64">
        <v>26.3</v>
      </c>
      <c r="O31" s="64">
        <v>0</v>
      </c>
      <c r="P31" s="64">
        <v>0.25</v>
      </c>
      <c r="Q31" s="64">
        <v>9.48</v>
      </c>
      <c r="S31" s="198"/>
      <c r="T31" s="198"/>
      <c r="U31" s="198"/>
    </row>
    <row r="32" spans="1:21" s="12" customFormat="1" x14ac:dyDescent="0.25">
      <c r="A32" s="248" t="s">
        <v>2380</v>
      </c>
      <c r="B32" s="64">
        <v>7.98</v>
      </c>
      <c r="C32" s="64">
        <v>2.98</v>
      </c>
      <c r="D32" s="64">
        <v>11.73</v>
      </c>
      <c r="E32" s="64">
        <v>3.67</v>
      </c>
      <c r="F32" s="64">
        <v>3.39</v>
      </c>
      <c r="G32" s="64">
        <v>10.67</v>
      </c>
      <c r="H32" s="210" t="s">
        <v>43</v>
      </c>
      <c r="I32" s="64">
        <v>2.64</v>
      </c>
      <c r="J32" s="64">
        <v>0.08</v>
      </c>
      <c r="K32" s="64">
        <v>331.31</v>
      </c>
      <c r="L32" s="64">
        <v>24.56</v>
      </c>
      <c r="M32" s="64">
        <v>104.51</v>
      </c>
      <c r="N32" s="64">
        <v>28.2</v>
      </c>
      <c r="O32" s="64">
        <v>0</v>
      </c>
      <c r="P32" s="64">
        <v>0.26</v>
      </c>
      <c r="Q32" s="64">
        <v>9.51</v>
      </c>
      <c r="S32" s="198"/>
      <c r="T32" s="198"/>
      <c r="U32" s="198"/>
    </row>
    <row r="33" spans="1:21" s="12" customFormat="1" x14ac:dyDescent="0.25">
      <c r="A33" s="248" t="s">
        <v>2381</v>
      </c>
      <c r="B33" s="64">
        <v>7.97</v>
      </c>
      <c r="C33" s="64">
        <v>2.97</v>
      </c>
      <c r="D33" s="64">
        <v>11.72</v>
      </c>
      <c r="E33" s="64">
        <v>3.99</v>
      </c>
      <c r="F33" s="64">
        <v>3.23</v>
      </c>
      <c r="G33" s="64">
        <v>10.67</v>
      </c>
      <c r="H33" s="210" t="s">
        <v>43</v>
      </c>
      <c r="I33" s="64">
        <v>2.62</v>
      </c>
      <c r="J33" s="64">
        <v>7.0000000000000007E-2</v>
      </c>
      <c r="K33" s="64">
        <v>349.24</v>
      </c>
      <c r="L33" s="64">
        <v>24.62</v>
      </c>
      <c r="M33" s="64">
        <v>104.53</v>
      </c>
      <c r="N33" s="64">
        <v>32</v>
      </c>
      <c r="O33" s="64">
        <v>0</v>
      </c>
      <c r="P33" s="64">
        <v>0.25</v>
      </c>
      <c r="Q33" s="64">
        <v>9.5</v>
      </c>
      <c r="S33" s="198"/>
      <c r="T33" s="198"/>
      <c r="U33" s="198"/>
    </row>
    <row r="34" spans="1:21" s="12" customFormat="1" x14ac:dyDescent="0.25">
      <c r="A34" s="248" t="s">
        <v>2382</v>
      </c>
      <c r="B34" s="64">
        <v>7.97</v>
      </c>
      <c r="C34" s="64">
        <v>2.99</v>
      </c>
      <c r="D34" s="64">
        <v>11.73</v>
      </c>
      <c r="E34" s="64">
        <v>3.79</v>
      </c>
      <c r="F34" s="64">
        <v>2.82</v>
      </c>
      <c r="G34" s="64">
        <v>8.07</v>
      </c>
      <c r="H34" s="210" t="s">
        <v>43</v>
      </c>
      <c r="I34" s="64">
        <v>2.91</v>
      </c>
      <c r="J34" s="64">
        <v>0.05</v>
      </c>
      <c r="K34" s="64">
        <v>335.62</v>
      </c>
      <c r="L34" s="64">
        <v>24.67</v>
      </c>
      <c r="M34" s="64">
        <v>104.53</v>
      </c>
      <c r="N34" s="64">
        <v>38</v>
      </c>
      <c r="O34" s="64">
        <v>0</v>
      </c>
      <c r="P34" s="64">
        <v>0.25</v>
      </c>
      <c r="Q34" s="64">
        <v>9.49</v>
      </c>
      <c r="S34" s="198"/>
      <c r="T34" s="198"/>
      <c r="U34" s="198"/>
    </row>
    <row r="35" spans="1:21" s="12" customFormat="1" x14ac:dyDescent="0.25">
      <c r="A35" s="248" t="s">
        <v>2383</v>
      </c>
      <c r="B35" s="64">
        <v>7.98</v>
      </c>
      <c r="C35" s="64">
        <v>2.97</v>
      </c>
      <c r="D35" s="64">
        <v>11.73</v>
      </c>
      <c r="E35" s="64">
        <v>3.82</v>
      </c>
      <c r="F35" s="64">
        <v>2.97</v>
      </c>
      <c r="G35" s="64">
        <v>7.95</v>
      </c>
      <c r="H35" s="210" t="s">
        <v>43</v>
      </c>
      <c r="I35" s="64">
        <v>2.98</v>
      </c>
      <c r="J35" s="64">
        <v>0.06</v>
      </c>
      <c r="K35" s="64">
        <v>339.2</v>
      </c>
      <c r="L35" s="64">
        <v>24.82</v>
      </c>
      <c r="M35" s="64">
        <v>104.53</v>
      </c>
      <c r="N35" s="64">
        <v>43.7</v>
      </c>
      <c r="O35" s="64">
        <v>0</v>
      </c>
      <c r="P35" s="64">
        <v>0.26</v>
      </c>
      <c r="Q35" s="64">
        <v>9.5</v>
      </c>
      <c r="S35" s="198"/>
      <c r="T35" s="198"/>
      <c r="U35" s="198"/>
    </row>
    <row r="36" spans="1:21" s="12" customFormat="1" x14ac:dyDescent="0.25">
      <c r="A36" s="248" t="s">
        <v>2384</v>
      </c>
      <c r="B36" s="64">
        <v>7.98</v>
      </c>
      <c r="C36" s="64">
        <v>2.95</v>
      </c>
      <c r="D36" s="64">
        <v>11.71</v>
      </c>
      <c r="E36" s="64">
        <v>3.83</v>
      </c>
      <c r="F36" s="64">
        <v>3.56</v>
      </c>
      <c r="G36" s="64">
        <v>7.95</v>
      </c>
      <c r="H36" s="210" t="s">
        <v>43</v>
      </c>
      <c r="I36" s="64">
        <v>2.93</v>
      </c>
      <c r="J36" s="64">
        <v>0.04</v>
      </c>
      <c r="K36" s="64">
        <v>340.02</v>
      </c>
      <c r="L36" s="64">
        <v>24.95</v>
      </c>
      <c r="M36" s="64">
        <v>104.57</v>
      </c>
      <c r="N36" s="64">
        <v>33.4</v>
      </c>
      <c r="O36" s="64">
        <v>0</v>
      </c>
      <c r="P36" s="64">
        <v>0.27</v>
      </c>
      <c r="Q36" s="64">
        <v>9.5</v>
      </c>
      <c r="S36" s="198"/>
      <c r="T36" s="198"/>
      <c r="U36" s="198"/>
    </row>
    <row r="37" spans="1:21" s="12" customFormat="1" x14ac:dyDescent="0.25">
      <c r="A37" s="248" t="s">
        <v>2385</v>
      </c>
      <c r="B37" s="64">
        <v>7.95</v>
      </c>
      <c r="C37" s="64">
        <v>2.97</v>
      </c>
      <c r="D37" s="64">
        <v>11.7</v>
      </c>
      <c r="E37" s="64">
        <v>3.97</v>
      </c>
      <c r="F37" s="64">
        <v>3.59</v>
      </c>
      <c r="G37" s="64">
        <v>7.95</v>
      </c>
      <c r="H37" s="210" t="s">
        <v>43</v>
      </c>
      <c r="I37" s="64">
        <v>3.18</v>
      </c>
      <c r="J37" s="64">
        <v>0.05</v>
      </c>
      <c r="K37" s="64">
        <v>316.89</v>
      </c>
      <c r="L37" s="64">
        <v>24.97</v>
      </c>
      <c r="M37" s="64">
        <v>104.58</v>
      </c>
      <c r="N37" s="64">
        <v>0</v>
      </c>
      <c r="O37" s="64">
        <v>0</v>
      </c>
      <c r="P37" s="64">
        <v>0.32</v>
      </c>
      <c r="Q37" s="64">
        <v>9.52</v>
      </c>
      <c r="S37" s="198"/>
      <c r="T37" s="198"/>
      <c r="U37" s="198"/>
    </row>
    <row r="38" spans="1:21" s="12" customFormat="1" x14ac:dyDescent="0.25">
      <c r="A38" s="248" t="s">
        <v>2386</v>
      </c>
      <c r="B38" s="64">
        <v>7.98</v>
      </c>
      <c r="C38" s="64">
        <v>3.03</v>
      </c>
      <c r="D38" s="64">
        <v>11.76</v>
      </c>
      <c r="E38" s="64">
        <v>3.64</v>
      </c>
      <c r="F38" s="64">
        <v>4.1100000000000003</v>
      </c>
      <c r="G38" s="64">
        <v>7.16</v>
      </c>
      <c r="H38" s="210" t="s">
        <v>43</v>
      </c>
      <c r="I38" s="64">
        <v>3.04</v>
      </c>
      <c r="J38" s="64">
        <v>0.06</v>
      </c>
      <c r="K38" s="64">
        <v>33.81</v>
      </c>
      <c r="L38" s="64">
        <v>25.12</v>
      </c>
      <c r="M38" s="64">
        <v>104.57</v>
      </c>
      <c r="N38" s="64">
        <v>31.5</v>
      </c>
      <c r="O38" s="64">
        <v>0</v>
      </c>
      <c r="P38" s="64">
        <v>0.32</v>
      </c>
      <c r="Q38" s="64">
        <v>9.5500000000000007</v>
      </c>
      <c r="S38" s="198"/>
      <c r="T38" s="198"/>
      <c r="U38" s="198"/>
    </row>
    <row r="39" spans="1:21" s="12" customFormat="1" x14ac:dyDescent="0.25">
      <c r="A39" s="248" t="s">
        <v>2387</v>
      </c>
      <c r="B39" s="64">
        <v>7.98</v>
      </c>
      <c r="C39" s="64">
        <v>3.05</v>
      </c>
      <c r="D39" s="64">
        <v>11.77</v>
      </c>
      <c r="E39" s="64">
        <v>3.74</v>
      </c>
      <c r="F39" s="64">
        <v>2.83</v>
      </c>
      <c r="G39" s="64">
        <v>7.13</v>
      </c>
      <c r="H39" s="210" t="s">
        <v>43</v>
      </c>
      <c r="I39" s="64">
        <v>3.07</v>
      </c>
      <c r="J39" s="64">
        <v>7.0000000000000007E-2</v>
      </c>
      <c r="K39" s="64">
        <v>307.2</v>
      </c>
      <c r="L39" s="64">
        <v>25.34</v>
      </c>
      <c r="M39" s="64">
        <v>104.58</v>
      </c>
      <c r="N39" s="64">
        <v>4.5</v>
      </c>
      <c r="O39" s="64">
        <v>0</v>
      </c>
      <c r="P39" s="64">
        <v>0.34</v>
      </c>
      <c r="Q39" s="64">
        <v>9.56</v>
      </c>
      <c r="S39" s="198"/>
      <c r="T39" s="198"/>
      <c r="U39" s="198"/>
    </row>
    <row r="40" spans="1:21" s="12" customFormat="1" x14ac:dyDescent="0.25">
      <c r="A40" s="248" t="s">
        <v>2388</v>
      </c>
      <c r="B40" s="64">
        <v>7.99</v>
      </c>
      <c r="C40" s="64">
        <v>3</v>
      </c>
      <c r="D40" s="64">
        <v>11.75</v>
      </c>
      <c r="E40" s="64">
        <v>3.84</v>
      </c>
      <c r="F40" s="64">
        <v>3.75</v>
      </c>
      <c r="G40" s="64">
        <v>7.13</v>
      </c>
      <c r="H40" s="210" t="s">
        <v>43</v>
      </c>
      <c r="I40" s="64">
        <v>3.04</v>
      </c>
      <c r="J40" s="64">
        <v>0.06</v>
      </c>
      <c r="K40" s="64">
        <v>283.51</v>
      </c>
      <c r="L40" s="64">
        <v>25.48</v>
      </c>
      <c r="M40" s="64">
        <v>104.55</v>
      </c>
      <c r="N40" s="64">
        <v>89.3</v>
      </c>
      <c r="O40" s="64">
        <v>0</v>
      </c>
      <c r="P40" s="64">
        <v>0.35</v>
      </c>
      <c r="Q40" s="64">
        <v>9.57</v>
      </c>
      <c r="S40" s="198"/>
      <c r="T40" s="198"/>
      <c r="U40" s="198"/>
    </row>
    <row r="41" spans="1:21" s="12" customFormat="1" x14ac:dyDescent="0.25">
      <c r="A41" s="248" t="s">
        <v>2389</v>
      </c>
      <c r="B41" s="64">
        <v>7.97</v>
      </c>
      <c r="C41" s="64">
        <v>2.96</v>
      </c>
      <c r="D41" s="64">
        <v>11.71</v>
      </c>
      <c r="E41" s="64">
        <v>4.53</v>
      </c>
      <c r="F41" s="64">
        <v>3.62</v>
      </c>
      <c r="G41" s="64">
        <v>7.13</v>
      </c>
      <c r="H41" s="210" t="s">
        <v>43</v>
      </c>
      <c r="I41" s="64">
        <v>3.05</v>
      </c>
      <c r="J41" s="64">
        <v>0.01</v>
      </c>
      <c r="K41" s="64">
        <v>346.86</v>
      </c>
      <c r="L41" s="64">
        <v>25.8</v>
      </c>
      <c r="M41" s="64">
        <v>104.58</v>
      </c>
      <c r="N41" s="64">
        <v>2.4</v>
      </c>
      <c r="O41" s="64">
        <v>0</v>
      </c>
      <c r="P41" s="64">
        <v>0.36</v>
      </c>
      <c r="Q41" s="64">
        <v>9.58</v>
      </c>
      <c r="S41" s="198"/>
      <c r="T41" s="198"/>
      <c r="U41" s="198"/>
    </row>
    <row r="42" spans="1:21" s="12" customFormat="1" x14ac:dyDescent="0.25">
      <c r="A42" s="248" t="s">
        <v>2390</v>
      </c>
      <c r="B42" s="64">
        <v>7.99</v>
      </c>
      <c r="C42" s="64">
        <v>3</v>
      </c>
      <c r="D42" s="64">
        <v>11.74</v>
      </c>
      <c r="E42" s="64">
        <v>4.58</v>
      </c>
      <c r="F42" s="64">
        <v>2.57</v>
      </c>
      <c r="G42" s="64">
        <v>15.13</v>
      </c>
      <c r="H42" s="210" t="s">
        <v>43</v>
      </c>
      <c r="I42" s="64">
        <v>2.97</v>
      </c>
      <c r="J42" s="64">
        <v>0.06</v>
      </c>
      <c r="K42" s="64">
        <v>310.31</v>
      </c>
      <c r="L42" s="64">
        <v>26.05</v>
      </c>
      <c r="M42" s="64">
        <v>104.53</v>
      </c>
      <c r="N42" s="64">
        <v>69.7</v>
      </c>
      <c r="O42" s="64">
        <v>0</v>
      </c>
      <c r="P42" s="64">
        <v>0.36</v>
      </c>
      <c r="Q42" s="64">
        <v>9.57</v>
      </c>
      <c r="S42" s="198"/>
      <c r="T42" s="198"/>
      <c r="U42" s="198"/>
    </row>
    <row r="43" spans="1:21" s="12" customFormat="1" x14ac:dyDescent="0.25">
      <c r="A43" s="248" t="s">
        <v>2391</v>
      </c>
      <c r="B43" s="64">
        <v>7.98</v>
      </c>
      <c r="C43" s="64">
        <v>2.97</v>
      </c>
      <c r="D43" s="64">
        <v>11.72</v>
      </c>
      <c r="E43" s="64">
        <v>4.51</v>
      </c>
      <c r="F43" s="64">
        <v>4.47</v>
      </c>
      <c r="G43" s="64">
        <v>15.5</v>
      </c>
      <c r="H43" s="210" t="s">
        <v>43</v>
      </c>
      <c r="I43" s="64">
        <v>2.97</v>
      </c>
      <c r="J43" s="64">
        <v>0.13</v>
      </c>
      <c r="K43" s="64">
        <v>340.31</v>
      </c>
      <c r="L43" s="64">
        <v>26.2</v>
      </c>
      <c r="M43" s="64">
        <v>104.55</v>
      </c>
      <c r="N43" s="64">
        <v>121</v>
      </c>
      <c r="O43" s="64">
        <v>0</v>
      </c>
      <c r="P43" s="64">
        <v>0.37</v>
      </c>
      <c r="Q43" s="64">
        <v>9.6</v>
      </c>
      <c r="S43" s="198"/>
      <c r="T43" s="198"/>
      <c r="U43" s="198"/>
    </row>
    <row r="44" spans="1:21" s="12" customFormat="1" x14ac:dyDescent="0.25">
      <c r="A44" s="248" t="s">
        <v>2392</v>
      </c>
      <c r="B44" s="64">
        <v>8</v>
      </c>
      <c r="C44" s="64">
        <v>3.06</v>
      </c>
      <c r="D44" s="64">
        <v>11.79</v>
      </c>
      <c r="E44" s="64">
        <v>4.32</v>
      </c>
      <c r="F44" s="64">
        <v>2.73</v>
      </c>
      <c r="G44" s="64">
        <v>15.5</v>
      </c>
      <c r="H44" s="210" t="s">
        <v>43</v>
      </c>
      <c r="I44" s="64">
        <v>2.93</v>
      </c>
      <c r="J44" s="64">
        <v>0.11</v>
      </c>
      <c r="K44" s="64">
        <v>336.18</v>
      </c>
      <c r="L44" s="64">
        <v>26.18</v>
      </c>
      <c r="M44" s="64">
        <v>104.54</v>
      </c>
      <c r="N44" s="64">
        <v>158.5</v>
      </c>
      <c r="O44" s="64">
        <v>0</v>
      </c>
      <c r="P44" s="64">
        <v>0.37</v>
      </c>
      <c r="Q44" s="64">
        <v>9.57</v>
      </c>
      <c r="S44" s="198"/>
      <c r="T44" s="198"/>
      <c r="U44" s="198"/>
    </row>
    <row r="45" spans="1:21" s="12" customFormat="1" x14ac:dyDescent="0.25">
      <c r="A45" s="248" t="s">
        <v>2393</v>
      </c>
      <c r="B45" s="64">
        <v>8</v>
      </c>
      <c r="C45" s="64">
        <v>3.01</v>
      </c>
      <c r="D45" s="64">
        <v>11.77</v>
      </c>
      <c r="E45" s="64">
        <v>4.3499999999999996</v>
      </c>
      <c r="F45" s="64">
        <v>3.83</v>
      </c>
      <c r="G45" s="64">
        <v>15.5</v>
      </c>
      <c r="H45" s="210" t="s">
        <v>43</v>
      </c>
      <c r="I45" s="64">
        <v>2.86</v>
      </c>
      <c r="J45" s="64">
        <v>0.1</v>
      </c>
      <c r="K45" s="64">
        <v>342.13</v>
      </c>
      <c r="L45" s="64">
        <v>26.95</v>
      </c>
      <c r="M45" s="64">
        <v>104.51</v>
      </c>
      <c r="N45" s="64">
        <v>205.4</v>
      </c>
      <c r="O45" s="64">
        <v>0</v>
      </c>
      <c r="P45" s="64">
        <v>0.37</v>
      </c>
      <c r="Q45" s="64">
        <v>9.5299999999999994</v>
      </c>
      <c r="S45" s="198"/>
      <c r="T45" s="198"/>
      <c r="U45" s="198"/>
    </row>
    <row r="46" spans="1:21" s="12" customFormat="1" x14ac:dyDescent="0.25">
      <c r="A46" s="248" t="s">
        <v>2394</v>
      </c>
      <c r="B46" s="64">
        <v>7.98</v>
      </c>
      <c r="C46" s="64">
        <v>2.93</v>
      </c>
      <c r="D46" s="64">
        <v>11.71</v>
      </c>
      <c r="E46" s="64">
        <v>4.3899999999999997</v>
      </c>
      <c r="F46" s="64">
        <v>3.61</v>
      </c>
      <c r="G46" s="64">
        <v>14.31</v>
      </c>
      <c r="H46" s="210" t="s">
        <v>43</v>
      </c>
      <c r="I46" s="64">
        <v>2.73</v>
      </c>
      <c r="J46" s="64">
        <v>0.09</v>
      </c>
      <c r="K46" s="64">
        <v>321.32</v>
      </c>
      <c r="L46" s="64">
        <v>27.05</v>
      </c>
      <c r="M46" s="64">
        <v>104.5</v>
      </c>
      <c r="N46" s="64">
        <v>177.1</v>
      </c>
      <c r="O46" s="64">
        <v>0</v>
      </c>
      <c r="P46" s="64">
        <v>0.38</v>
      </c>
      <c r="Q46" s="64">
        <v>9.5399999999999991</v>
      </c>
      <c r="S46" s="198"/>
      <c r="T46" s="198"/>
      <c r="U46" s="198"/>
    </row>
    <row r="47" spans="1:21" s="12" customFormat="1" x14ac:dyDescent="0.25">
      <c r="A47" s="248" t="s">
        <v>2395</v>
      </c>
      <c r="B47" s="64">
        <v>8.02</v>
      </c>
      <c r="C47" s="64">
        <v>3</v>
      </c>
      <c r="D47" s="64">
        <v>11.77</v>
      </c>
      <c r="E47" s="64">
        <v>4.0999999999999996</v>
      </c>
      <c r="F47" s="64">
        <v>3.56</v>
      </c>
      <c r="G47" s="64">
        <v>14.26</v>
      </c>
      <c r="H47" s="210" t="s">
        <v>43</v>
      </c>
      <c r="I47" s="64">
        <v>2.69</v>
      </c>
      <c r="J47" s="64">
        <v>0.15</v>
      </c>
      <c r="K47" s="64">
        <v>344.77</v>
      </c>
      <c r="L47" s="64">
        <v>27.56</v>
      </c>
      <c r="M47" s="64">
        <v>104.39</v>
      </c>
      <c r="N47" s="64">
        <v>323.39999999999998</v>
      </c>
      <c r="O47" s="64">
        <v>0</v>
      </c>
      <c r="P47" s="64">
        <v>0.38</v>
      </c>
      <c r="Q47" s="64">
        <v>9.5500000000000007</v>
      </c>
      <c r="S47" s="198"/>
      <c r="T47" s="198"/>
      <c r="U47" s="198"/>
    </row>
    <row r="48" spans="1:21" s="12" customFormat="1" x14ac:dyDescent="0.25">
      <c r="A48" s="248" t="s">
        <v>2396</v>
      </c>
      <c r="B48" s="64">
        <v>8.02</v>
      </c>
      <c r="C48" s="64">
        <v>3.06</v>
      </c>
      <c r="D48" s="64">
        <v>11.81</v>
      </c>
      <c r="E48" s="64">
        <v>4.59</v>
      </c>
      <c r="F48" s="64">
        <v>3.54</v>
      </c>
      <c r="G48" s="64">
        <v>14.26</v>
      </c>
      <c r="H48" s="210" t="s">
        <v>43</v>
      </c>
      <c r="I48" s="64">
        <v>2.71</v>
      </c>
      <c r="J48" s="64">
        <v>0.15</v>
      </c>
      <c r="K48" s="64">
        <v>341.78</v>
      </c>
      <c r="L48" s="64">
        <v>29.14</v>
      </c>
      <c r="M48" s="64">
        <v>99.48</v>
      </c>
      <c r="N48" s="64">
        <v>398.4</v>
      </c>
      <c r="O48" s="64">
        <v>0</v>
      </c>
      <c r="P48" s="64">
        <v>0.39</v>
      </c>
      <c r="Q48" s="64">
        <v>9.56</v>
      </c>
      <c r="S48" s="198"/>
      <c r="T48" s="198"/>
      <c r="U48" s="198"/>
    </row>
    <row r="49" spans="1:21" s="12" customFormat="1" x14ac:dyDescent="0.25">
      <c r="A49" s="248" t="s">
        <v>2397</v>
      </c>
      <c r="B49" s="64">
        <v>8</v>
      </c>
      <c r="C49" s="64">
        <v>3</v>
      </c>
      <c r="D49" s="64">
        <v>11.76</v>
      </c>
      <c r="E49" s="64">
        <v>4.51</v>
      </c>
      <c r="F49" s="64">
        <v>3.22</v>
      </c>
      <c r="G49" s="64">
        <v>14.26</v>
      </c>
      <c r="H49" s="210" t="s">
        <v>43</v>
      </c>
      <c r="I49" s="64">
        <v>2.84</v>
      </c>
      <c r="J49" s="64">
        <v>0.19</v>
      </c>
      <c r="K49" s="64">
        <v>330.24</v>
      </c>
      <c r="L49" s="64">
        <v>30.18</v>
      </c>
      <c r="M49" s="64">
        <v>93.18</v>
      </c>
      <c r="N49" s="64">
        <v>408.4</v>
      </c>
      <c r="O49" s="64">
        <v>0</v>
      </c>
      <c r="P49" s="64">
        <v>0.41</v>
      </c>
      <c r="Q49" s="64">
        <v>9.58</v>
      </c>
      <c r="S49" s="198"/>
      <c r="T49" s="198"/>
      <c r="U49" s="198"/>
    </row>
    <row r="50" spans="1:21" s="12" customFormat="1" x14ac:dyDescent="0.25">
      <c r="A50" s="248" t="s">
        <v>2398</v>
      </c>
      <c r="B50" s="64">
        <v>8.01</v>
      </c>
      <c r="C50" s="64">
        <v>2.98</v>
      </c>
      <c r="D50" s="64">
        <v>11.75</v>
      </c>
      <c r="E50" s="64">
        <v>4.43</v>
      </c>
      <c r="F50" s="64">
        <v>3.42</v>
      </c>
      <c r="G50" s="64">
        <v>18.66</v>
      </c>
      <c r="H50" s="210" t="s">
        <v>43</v>
      </c>
      <c r="I50" s="64">
        <v>2.57</v>
      </c>
      <c r="J50" s="64">
        <v>0.22</v>
      </c>
      <c r="K50" s="64">
        <v>314.69</v>
      </c>
      <c r="L50" s="64">
        <v>31.4</v>
      </c>
      <c r="M50" s="64">
        <v>88.15</v>
      </c>
      <c r="N50" s="64">
        <v>657.5</v>
      </c>
      <c r="O50" s="64">
        <v>0</v>
      </c>
      <c r="P50" s="64">
        <v>0.43</v>
      </c>
      <c r="Q50" s="64">
        <v>9.57</v>
      </c>
      <c r="S50" s="198"/>
      <c r="T50" s="198"/>
      <c r="U50" s="198"/>
    </row>
    <row r="51" spans="1:21" s="12" customFormat="1" x14ac:dyDescent="0.25">
      <c r="A51" s="248" t="s">
        <v>2399</v>
      </c>
      <c r="B51" s="64">
        <v>8</v>
      </c>
      <c r="C51" s="64">
        <v>3.04</v>
      </c>
      <c r="D51" s="64">
        <v>11.78</v>
      </c>
      <c r="E51" s="64">
        <v>4.37</v>
      </c>
      <c r="F51" s="64">
        <v>3.33</v>
      </c>
      <c r="G51" s="64">
        <v>18.87</v>
      </c>
      <c r="H51" s="210" t="s">
        <v>43</v>
      </c>
      <c r="I51" s="64">
        <v>2.73</v>
      </c>
      <c r="J51" s="64">
        <v>0.27</v>
      </c>
      <c r="K51" s="64">
        <v>314.12</v>
      </c>
      <c r="L51" s="64">
        <v>32.909999999999997</v>
      </c>
      <c r="M51" s="64">
        <v>82.66</v>
      </c>
      <c r="N51" s="64">
        <v>7.8</v>
      </c>
      <c r="O51" s="64">
        <v>0</v>
      </c>
      <c r="P51" s="64">
        <v>0.45</v>
      </c>
      <c r="Q51" s="64">
        <v>9.57</v>
      </c>
      <c r="S51" s="198"/>
      <c r="T51" s="198"/>
      <c r="U51" s="198"/>
    </row>
    <row r="52" spans="1:21" s="12" customFormat="1" x14ac:dyDescent="0.25">
      <c r="A52" s="248" t="s">
        <v>2400</v>
      </c>
      <c r="B52" s="64">
        <v>8</v>
      </c>
      <c r="C52" s="64">
        <v>3.08</v>
      </c>
      <c r="D52" s="64">
        <v>11.8</v>
      </c>
      <c r="E52" s="64">
        <v>4.55</v>
      </c>
      <c r="F52" s="64">
        <v>4.26</v>
      </c>
      <c r="G52" s="64">
        <v>18.87</v>
      </c>
      <c r="H52" s="210" t="s">
        <v>43</v>
      </c>
      <c r="I52" s="64">
        <v>2.72</v>
      </c>
      <c r="J52" s="64">
        <v>0.18</v>
      </c>
      <c r="K52" s="64">
        <v>315.67</v>
      </c>
      <c r="L52" s="64">
        <v>32.72</v>
      </c>
      <c r="M52" s="64">
        <v>81.849999999999994</v>
      </c>
      <c r="N52" s="64">
        <v>76.599999999999994</v>
      </c>
      <c r="O52" s="64">
        <v>0</v>
      </c>
      <c r="P52" s="64">
        <v>0.48</v>
      </c>
      <c r="Q52" s="64">
        <v>9.6</v>
      </c>
      <c r="S52" s="198"/>
      <c r="T52" s="198"/>
      <c r="U52" s="198"/>
    </row>
    <row r="53" spans="1:21" s="12" customFormat="1" x14ac:dyDescent="0.25">
      <c r="A53" s="248" t="s">
        <v>2401</v>
      </c>
      <c r="B53" s="64">
        <v>7.95</v>
      </c>
      <c r="C53" s="64">
        <v>3</v>
      </c>
      <c r="D53" s="64">
        <v>11.72</v>
      </c>
      <c r="E53" s="64">
        <v>4.33</v>
      </c>
      <c r="F53" s="64">
        <v>4.66</v>
      </c>
      <c r="G53" s="64">
        <v>18.87</v>
      </c>
      <c r="H53" s="210" t="s">
        <v>43</v>
      </c>
      <c r="I53" s="64">
        <v>2.73</v>
      </c>
      <c r="J53" s="64">
        <v>0.16</v>
      </c>
      <c r="K53" s="64">
        <v>324.19</v>
      </c>
      <c r="L53" s="64">
        <v>31.27</v>
      </c>
      <c r="M53" s="64">
        <v>88.03</v>
      </c>
      <c r="N53" s="64">
        <v>10.1</v>
      </c>
      <c r="O53" s="64">
        <v>0</v>
      </c>
      <c r="P53" s="64">
        <v>0.54</v>
      </c>
      <c r="Q53" s="64">
        <v>9.6</v>
      </c>
      <c r="S53" s="198"/>
      <c r="T53" s="198"/>
      <c r="U53" s="198"/>
    </row>
    <row r="54" spans="1:21" s="12" customFormat="1" x14ac:dyDescent="0.25">
      <c r="A54" s="248" t="s">
        <v>2402</v>
      </c>
      <c r="B54" s="64">
        <v>7.97</v>
      </c>
      <c r="C54" s="64">
        <v>3.01</v>
      </c>
      <c r="D54" s="64">
        <v>11.73</v>
      </c>
      <c r="E54" s="64">
        <v>4.34</v>
      </c>
      <c r="F54" s="64">
        <v>2.89</v>
      </c>
      <c r="G54" s="64">
        <v>15.42</v>
      </c>
      <c r="H54" s="210" t="s">
        <v>43</v>
      </c>
      <c r="I54" s="64">
        <v>2.76</v>
      </c>
      <c r="J54" s="64">
        <v>0.15</v>
      </c>
      <c r="K54" s="64">
        <v>323.83999999999997</v>
      </c>
      <c r="L54" s="64">
        <v>31.42</v>
      </c>
      <c r="M54" s="64">
        <v>87.08</v>
      </c>
      <c r="N54" s="64">
        <v>126.5</v>
      </c>
      <c r="O54" s="64">
        <v>0</v>
      </c>
      <c r="P54" s="64">
        <v>0.57999999999999996</v>
      </c>
      <c r="Q54" s="64">
        <v>9.48</v>
      </c>
      <c r="S54" s="198"/>
      <c r="T54" s="198"/>
      <c r="U54" s="198"/>
    </row>
    <row r="55" spans="1:21" s="12" customFormat="1" x14ac:dyDescent="0.25">
      <c r="A55" s="248" t="s">
        <v>2403</v>
      </c>
      <c r="B55" s="64">
        <v>7.99</v>
      </c>
      <c r="C55" s="64">
        <v>3.13</v>
      </c>
      <c r="D55" s="64">
        <v>11.82</v>
      </c>
      <c r="E55" s="64">
        <v>4.25</v>
      </c>
      <c r="F55" s="64">
        <v>10.54</v>
      </c>
      <c r="G55" s="64">
        <v>15.26</v>
      </c>
      <c r="H55" s="210" t="s">
        <v>43</v>
      </c>
      <c r="I55" s="64">
        <v>2.65</v>
      </c>
      <c r="J55" s="64">
        <v>0.18</v>
      </c>
      <c r="K55" s="64">
        <v>335.59</v>
      </c>
      <c r="L55" s="64">
        <v>30.52</v>
      </c>
      <c r="M55" s="64">
        <v>89.19</v>
      </c>
      <c r="N55" s="64">
        <v>275.8</v>
      </c>
      <c r="O55" s="64">
        <v>0</v>
      </c>
      <c r="P55" s="64">
        <v>0.56000000000000005</v>
      </c>
      <c r="Q55" s="64">
        <v>9.4499999999999993</v>
      </c>
      <c r="S55" s="198"/>
      <c r="T55" s="198"/>
      <c r="U55" s="198"/>
    </row>
    <row r="56" spans="1:21" s="12" customFormat="1" x14ac:dyDescent="0.25">
      <c r="A56" s="248" t="s">
        <v>2404</v>
      </c>
      <c r="B56" s="64">
        <v>7.96</v>
      </c>
      <c r="C56" s="64">
        <v>3.02</v>
      </c>
      <c r="D56" s="64">
        <v>11.74</v>
      </c>
      <c r="E56" s="64">
        <v>4.1100000000000003</v>
      </c>
      <c r="F56" s="64">
        <v>7.12</v>
      </c>
      <c r="G56" s="64">
        <v>15.26</v>
      </c>
      <c r="H56" s="210" t="s">
        <v>43</v>
      </c>
      <c r="I56" s="64">
        <v>2.69</v>
      </c>
      <c r="J56" s="64">
        <v>0.33</v>
      </c>
      <c r="K56" s="64">
        <v>313.11</v>
      </c>
      <c r="L56" s="64">
        <v>31.91</v>
      </c>
      <c r="M56" s="64">
        <v>84.37</v>
      </c>
      <c r="N56" s="64">
        <v>306.3</v>
      </c>
      <c r="O56" s="64">
        <v>0</v>
      </c>
      <c r="P56" s="64">
        <v>0.56000000000000005</v>
      </c>
      <c r="Q56" s="64">
        <v>9.4499999999999993</v>
      </c>
      <c r="S56" s="198"/>
      <c r="T56" s="198"/>
      <c r="U56" s="198"/>
    </row>
    <row r="57" spans="1:21" s="12" customFormat="1" x14ac:dyDescent="0.25">
      <c r="A57" s="248" t="s">
        <v>2405</v>
      </c>
      <c r="B57" s="64">
        <v>7.95</v>
      </c>
      <c r="C57" s="64">
        <v>2.98</v>
      </c>
      <c r="D57" s="64">
        <v>11.71</v>
      </c>
      <c r="E57" s="64">
        <v>4.72</v>
      </c>
      <c r="F57" s="64">
        <v>2.4</v>
      </c>
      <c r="G57" s="64">
        <v>15.26</v>
      </c>
      <c r="H57" s="210" t="s">
        <v>43</v>
      </c>
      <c r="I57" s="64">
        <v>2.35</v>
      </c>
      <c r="J57" s="64">
        <v>0.28999999999999998</v>
      </c>
      <c r="K57" s="64">
        <v>316.64</v>
      </c>
      <c r="L57" s="64">
        <v>32.94</v>
      </c>
      <c r="M57" s="64">
        <v>79.680000000000007</v>
      </c>
      <c r="N57" s="64">
        <v>281</v>
      </c>
      <c r="O57" s="64">
        <v>0</v>
      </c>
      <c r="P57" s="64">
        <v>0.55000000000000004</v>
      </c>
      <c r="Q57" s="64">
        <v>9.3699999999999992</v>
      </c>
      <c r="S57" s="198"/>
      <c r="T57" s="198"/>
      <c r="U57" s="198"/>
    </row>
    <row r="58" spans="1:21" s="12" customFormat="1" x14ac:dyDescent="0.25">
      <c r="A58" s="248" t="s">
        <v>2406</v>
      </c>
      <c r="B58" s="64">
        <v>7.98</v>
      </c>
      <c r="C58" s="64">
        <v>3</v>
      </c>
      <c r="D58" s="64">
        <v>11.74</v>
      </c>
      <c r="E58" s="64">
        <v>4.54</v>
      </c>
      <c r="F58" s="64">
        <v>4.43</v>
      </c>
      <c r="G58" s="64">
        <v>22.45</v>
      </c>
      <c r="H58" s="210" t="s">
        <v>43</v>
      </c>
      <c r="I58" s="64">
        <v>2.31</v>
      </c>
      <c r="J58" s="64">
        <v>0.63</v>
      </c>
      <c r="K58" s="64">
        <v>317.61</v>
      </c>
      <c r="L58" s="64">
        <v>32.6</v>
      </c>
      <c r="M58" s="64">
        <v>81.02</v>
      </c>
      <c r="N58" s="64">
        <v>372.3</v>
      </c>
      <c r="O58" s="64">
        <v>0</v>
      </c>
      <c r="P58" s="64">
        <v>0.55000000000000004</v>
      </c>
      <c r="Q58" s="64">
        <v>9.36</v>
      </c>
      <c r="S58" s="198"/>
      <c r="T58" s="198"/>
      <c r="U58" s="198"/>
    </row>
    <row r="59" spans="1:21" s="12" customFormat="1" x14ac:dyDescent="0.25">
      <c r="A59" s="248" t="s">
        <v>2407</v>
      </c>
      <c r="B59" s="64">
        <v>7.96</v>
      </c>
      <c r="C59" s="64">
        <v>2.96</v>
      </c>
      <c r="D59" s="64">
        <v>11.7</v>
      </c>
      <c r="E59" s="64">
        <v>4.2300000000000004</v>
      </c>
      <c r="F59" s="64">
        <v>5.31</v>
      </c>
      <c r="G59" s="64">
        <v>22.79</v>
      </c>
      <c r="H59" s="210" t="s">
        <v>43</v>
      </c>
      <c r="I59" s="64">
        <v>2.21</v>
      </c>
      <c r="J59" s="64">
        <v>0.45</v>
      </c>
      <c r="K59" s="64">
        <v>316.49</v>
      </c>
      <c r="L59" s="64">
        <v>32.89</v>
      </c>
      <c r="M59" s="64">
        <v>80.95</v>
      </c>
      <c r="N59" s="64">
        <v>441.5</v>
      </c>
      <c r="O59" s="64">
        <v>0</v>
      </c>
      <c r="P59" s="64">
        <v>0.6</v>
      </c>
      <c r="Q59" s="64">
        <v>9.4499999999999993</v>
      </c>
      <c r="S59" s="198"/>
      <c r="T59" s="198"/>
      <c r="U59" s="198"/>
    </row>
    <row r="60" spans="1:21" s="12" customFormat="1" x14ac:dyDescent="0.25">
      <c r="A60" s="248" t="s">
        <v>2408</v>
      </c>
      <c r="B60" s="64">
        <v>7.94</v>
      </c>
      <c r="C60" s="64">
        <v>3.02</v>
      </c>
      <c r="D60" s="64">
        <v>11.72</v>
      </c>
      <c r="E60" s="64">
        <v>4.51</v>
      </c>
      <c r="F60" s="64">
        <v>3.59</v>
      </c>
      <c r="G60" s="64">
        <v>22.79</v>
      </c>
      <c r="H60" s="210" t="s">
        <v>43</v>
      </c>
      <c r="I60" s="64">
        <v>2.08</v>
      </c>
      <c r="J60" s="64">
        <v>0.68</v>
      </c>
      <c r="K60" s="64">
        <v>324.47000000000003</v>
      </c>
      <c r="L60" s="64">
        <v>33.15</v>
      </c>
      <c r="M60" s="64">
        <v>79.19</v>
      </c>
      <c r="N60" s="64">
        <v>401</v>
      </c>
      <c r="O60" s="64">
        <v>0</v>
      </c>
      <c r="P60" s="64">
        <v>0.61</v>
      </c>
      <c r="Q60" s="64">
        <v>9.4499999999999993</v>
      </c>
      <c r="S60" s="198"/>
      <c r="T60" s="198"/>
      <c r="U60" s="198"/>
    </row>
    <row r="61" spans="1:21" s="12" customFormat="1" x14ac:dyDescent="0.25">
      <c r="A61" s="248" t="s">
        <v>2409</v>
      </c>
      <c r="B61" s="64">
        <v>7.98</v>
      </c>
      <c r="C61" s="64">
        <v>3.08</v>
      </c>
      <c r="D61" s="64">
        <v>11.78</v>
      </c>
      <c r="E61" s="64">
        <v>4.16</v>
      </c>
      <c r="F61" s="64">
        <v>5.95</v>
      </c>
      <c r="G61" s="64">
        <v>22.79</v>
      </c>
      <c r="H61" s="210" t="s">
        <v>43</v>
      </c>
      <c r="I61" s="64">
        <v>2.16</v>
      </c>
      <c r="J61" s="64">
        <v>0.53</v>
      </c>
      <c r="K61" s="64">
        <v>323.19</v>
      </c>
      <c r="L61" s="64">
        <v>33.35</v>
      </c>
      <c r="M61" s="64">
        <v>78.680000000000007</v>
      </c>
      <c r="N61" s="64">
        <v>431.7</v>
      </c>
      <c r="O61" s="64">
        <v>0</v>
      </c>
      <c r="P61" s="64">
        <v>0.5</v>
      </c>
      <c r="Q61" s="64">
        <v>9.43</v>
      </c>
      <c r="S61" s="198"/>
      <c r="T61" s="198"/>
      <c r="U61" s="198"/>
    </row>
    <row r="62" spans="1:21" s="12" customFormat="1" x14ac:dyDescent="0.25">
      <c r="A62" s="248" t="s">
        <v>2410</v>
      </c>
      <c r="B62" s="64">
        <v>7.98</v>
      </c>
      <c r="C62" s="64">
        <v>3.09</v>
      </c>
      <c r="D62" s="64">
        <v>11.79</v>
      </c>
      <c r="E62" s="64">
        <v>4.13</v>
      </c>
      <c r="F62" s="64">
        <v>4.42</v>
      </c>
      <c r="G62" s="64">
        <v>34.44</v>
      </c>
      <c r="H62" s="210" t="s">
        <v>43</v>
      </c>
      <c r="I62" s="64">
        <v>2.1</v>
      </c>
      <c r="J62" s="64">
        <v>0.16</v>
      </c>
      <c r="K62" s="64">
        <v>309.58999999999997</v>
      </c>
      <c r="L62" s="64">
        <v>33.18</v>
      </c>
      <c r="M62" s="64">
        <v>78.42</v>
      </c>
      <c r="N62" s="64">
        <v>350.4</v>
      </c>
      <c r="O62" s="64">
        <v>0</v>
      </c>
      <c r="P62" s="64">
        <v>0.51</v>
      </c>
      <c r="Q62" s="64">
        <v>9.41</v>
      </c>
      <c r="S62" s="198"/>
      <c r="T62" s="198"/>
      <c r="U62" s="198"/>
    </row>
    <row r="63" spans="1:21" s="12" customFormat="1" x14ac:dyDescent="0.25">
      <c r="A63" s="248" t="s">
        <v>2411</v>
      </c>
      <c r="B63" s="64">
        <v>7.96</v>
      </c>
      <c r="C63" s="64">
        <v>2.99</v>
      </c>
      <c r="D63" s="64">
        <v>11.72</v>
      </c>
      <c r="E63" s="64">
        <v>4.45</v>
      </c>
      <c r="F63" s="64">
        <v>4.1500000000000004</v>
      </c>
      <c r="G63" s="64">
        <v>34.979999999999997</v>
      </c>
      <c r="H63" s="210" t="s">
        <v>43</v>
      </c>
      <c r="I63" s="64">
        <v>1.95</v>
      </c>
      <c r="J63" s="64">
        <v>0.06</v>
      </c>
      <c r="K63" s="64">
        <v>317.14</v>
      </c>
      <c r="L63" s="64">
        <v>32.57</v>
      </c>
      <c r="M63" s="64">
        <v>79.28</v>
      </c>
      <c r="N63" s="64">
        <v>272.7</v>
      </c>
      <c r="O63" s="64">
        <v>0</v>
      </c>
      <c r="P63" s="64">
        <v>0.5</v>
      </c>
      <c r="Q63" s="64">
        <v>9.44</v>
      </c>
      <c r="S63" s="198"/>
      <c r="T63" s="198"/>
      <c r="U63" s="198"/>
    </row>
    <row r="64" spans="1:21" s="12" customFormat="1" x14ac:dyDescent="0.25">
      <c r="A64" s="248" t="s">
        <v>2412</v>
      </c>
      <c r="B64" s="64">
        <v>7.95</v>
      </c>
      <c r="C64" s="64">
        <v>2.96</v>
      </c>
      <c r="D64" s="64">
        <v>11.69</v>
      </c>
      <c r="E64" s="64">
        <v>3.65</v>
      </c>
      <c r="F64" s="64">
        <v>4.1900000000000004</v>
      </c>
      <c r="G64" s="64">
        <v>34.979999999999997</v>
      </c>
      <c r="H64" s="210" t="s">
        <v>43</v>
      </c>
      <c r="I64" s="64">
        <v>1.93</v>
      </c>
      <c r="J64" s="64">
        <v>0.08</v>
      </c>
      <c r="K64" s="64">
        <v>248.24</v>
      </c>
      <c r="L64" s="64">
        <v>30.61</v>
      </c>
      <c r="M64" s="64">
        <v>87.54</v>
      </c>
      <c r="N64" s="64">
        <v>226</v>
      </c>
      <c r="O64" s="64">
        <v>0</v>
      </c>
      <c r="P64" s="64">
        <v>0.48</v>
      </c>
      <c r="Q64" s="64">
        <v>9.49</v>
      </c>
      <c r="S64" s="198"/>
      <c r="T64" s="198"/>
      <c r="U64" s="198"/>
    </row>
    <row r="65" spans="1:21" s="12" customFormat="1" x14ac:dyDescent="0.25">
      <c r="A65" s="248" t="s">
        <v>2413</v>
      </c>
      <c r="B65" s="64">
        <v>7.94</v>
      </c>
      <c r="C65" s="64">
        <v>3</v>
      </c>
      <c r="D65" s="64">
        <v>11.71</v>
      </c>
      <c r="E65" s="64">
        <v>3.86</v>
      </c>
      <c r="F65" s="64">
        <v>4.54</v>
      </c>
      <c r="G65" s="64">
        <v>34.979999999999997</v>
      </c>
      <c r="H65" s="210" t="s">
        <v>43</v>
      </c>
      <c r="I65" s="64">
        <v>2.0099999999999998</v>
      </c>
      <c r="J65" s="64">
        <v>0.06</v>
      </c>
      <c r="K65" s="64">
        <v>255.34</v>
      </c>
      <c r="L65" s="64">
        <v>30.51</v>
      </c>
      <c r="M65" s="64">
        <v>88.19</v>
      </c>
      <c r="N65" s="64">
        <v>192.5</v>
      </c>
      <c r="O65" s="64">
        <v>0</v>
      </c>
      <c r="P65" s="64">
        <v>0.45</v>
      </c>
      <c r="Q65" s="64">
        <v>9.52</v>
      </c>
      <c r="S65" s="198"/>
      <c r="T65" s="198"/>
      <c r="U65" s="198"/>
    </row>
    <row r="66" spans="1:21" s="12" customFormat="1" x14ac:dyDescent="0.25">
      <c r="A66" s="248" t="s">
        <v>2414</v>
      </c>
      <c r="B66" s="64">
        <v>7.95</v>
      </c>
      <c r="C66" s="64">
        <v>3</v>
      </c>
      <c r="D66" s="64">
        <v>11.71</v>
      </c>
      <c r="E66" s="64">
        <v>4.1399999999999997</v>
      </c>
      <c r="F66" s="64">
        <v>5.04</v>
      </c>
      <c r="G66" s="64">
        <v>33.94</v>
      </c>
      <c r="H66" s="210" t="s">
        <v>43</v>
      </c>
      <c r="I66" s="64">
        <v>2.1800000000000002</v>
      </c>
      <c r="J66" s="64">
        <v>0.14000000000000001</v>
      </c>
      <c r="K66" s="64">
        <v>171.72</v>
      </c>
      <c r="L66" s="64">
        <v>30.14</v>
      </c>
      <c r="M66" s="64">
        <v>90.89</v>
      </c>
      <c r="N66" s="64">
        <v>205.5</v>
      </c>
      <c r="O66" s="64">
        <v>0</v>
      </c>
      <c r="P66" s="64">
        <v>0.44</v>
      </c>
      <c r="Q66" s="64">
        <v>9.52</v>
      </c>
      <c r="S66" s="198"/>
      <c r="T66" s="198"/>
      <c r="U66" s="198"/>
    </row>
    <row r="67" spans="1:21" s="12" customFormat="1" x14ac:dyDescent="0.25">
      <c r="A67" s="248" t="s">
        <v>2415</v>
      </c>
      <c r="B67" s="64">
        <v>7.95</v>
      </c>
      <c r="C67" s="64">
        <v>3</v>
      </c>
      <c r="D67" s="64">
        <v>11.71</v>
      </c>
      <c r="E67" s="64">
        <v>4.3099999999999996</v>
      </c>
      <c r="F67" s="64">
        <v>7.86</v>
      </c>
      <c r="G67" s="64">
        <v>33.89</v>
      </c>
      <c r="H67" s="210" t="s">
        <v>43</v>
      </c>
      <c r="I67" s="64">
        <v>2.31</v>
      </c>
      <c r="J67" s="64">
        <v>0.79</v>
      </c>
      <c r="K67" s="64">
        <v>138.19</v>
      </c>
      <c r="L67" s="64">
        <v>30.25</v>
      </c>
      <c r="M67" s="64">
        <v>90.13</v>
      </c>
      <c r="N67" s="64">
        <v>244.1</v>
      </c>
      <c r="O67" s="64">
        <v>0</v>
      </c>
      <c r="P67" s="64">
        <v>0.36</v>
      </c>
      <c r="Q67" s="64">
        <v>9.5399999999999991</v>
      </c>
      <c r="S67" s="198"/>
      <c r="T67" s="198"/>
      <c r="U67" s="198"/>
    </row>
    <row r="68" spans="1:21" s="12" customFormat="1" x14ac:dyDescent="0.25">
      <c r="A68" s="248" t="s">
        <v>2416</v>
      </c>
      <c r="B68" s="64">
        <v>7.96</v>
      </c>
      <c r="C68" s="64">
        <v>3</v>
      </c>
      <c r="D68" s="64">
        <v>11.73</v>
      </c>
      <c r="E68" s="64">
        <v>4.09</v>
      </c>
      <c r="F68" s="64">
        <v>4.62</v>
      </c>
      <c r="G68" s="64">
        <v>33.89</v>
      </c>
      <c r="H68" s="210" t="s">
        <v>43</v>
      </c>
      <c r="I68" s="64">
        <v>2.68</v>
      </c>
      <c r="J68" s="64">
        <v>0.14000000000000001</v>
      </c>
      <c r="K68" s="64">
        <v>346.8</v>
      </c>
      <c r="L68" s="64">
        <v>30.82</v>
      </c>
      <c r="M68" s="64">
        <v>90.85</v>
      </c>
      <c r="N68" s="64">
        <v>203.9</v>
      </c>
      <c r="O68" s="64">
        <v>0</v>
      </c>
      <c r="P68" s="64">
        <v>0.35</v>
      </c>
      <c r="Q68" s="64">
        <v>9.52</v>
      </c>
      <c r="S68" s="198"/>
      <c r="T68" s="198"/>
      <c r="U68" s="198"/>
    </row>
    <row r="69" spans="1:21" s="12" customFormat="1" x14ac:dyDescent="0.25">
      <c r="A69" s="248" t="s">
        <v>2417</v>
      </c>
      <c r="B69" s="64">
        <v>7.96</v>
      </c>
      <c r="C69" s="64">
        <v>2.98</v>
      </c>
      <c r="D69" s="64">
        <v>11.72</v>
      </c>
      <c r="E69" s="64">
        <v>4.13</v>
      </c>
      <c r="F69" s="64">
        <v>5.15</v>
      </c>
      <c r="G69" s="64">
        <v>33.89</v>
      </c>
      <c r="H69" s="210" t="s">
        <v>43</v>
      </c>
      <c r="I69" s="64">
        <v>2.48</v>
      </c>
      <c r="J69" s="64">
        <v>0.08</v>
      </c>
      <c r="K69" s="64">
        <v>358.04</v>
      </c>
      <c r="L69" s="64">
        <v>31.25</v>
      </c>
      <c r="M69" s="64">
        <v>88.98</v>
      </c>
      <c r="N69" s="64">
        <v>147.30000000000001</v>
      </c>
      <c r="O69" s="64">
        <v>0</v>
      </c>
      <c r="P69" s="64">
        <v>0.37</v>
      </c>
      <c r="Q69" s="64">
        <v>9.51</v>
      </c>
      <c r="S69" s="198"/>
      <c r="T69" s="198"/>
      <c r="U69" s="198"/>
    </row>
    <row r="70" spans="1:21" s="12" customFormat="1" x14ac:dyDescent="0.25">
      <c r="A70" s="248" t="s">
        <v>2418</v>
      </c>
      <c r="B70" s="64">
        <v>7.92</v>
      </c>
      <c r="C70" s="64">
        <v>2.94</v>
      </c>
      <c r="D70" s="64">
        <v>11.67</v>
      </c>
      <c r="E70" s="64">
        <v>4.1100000000000003</v>
      </c>
      <c r="F70" s="64">
        <v>4.8099999999999996</v>
      </c>
      <c r="G70" s="64">
        <v>31.45</v>
      </c>
      <c r="H70" s="210" t="s">
        <v>43</v>
      </c>
      <c r="I70" s="64">
        <v>2.97</v>
      </c>
      <c r="J70" s="64">
        <v>0.03</v>
      </c>
      <c r="K70" s="64">
        <v>267.19</v>
      </c>
      <c r="L70" s="64">
        <v>30.33</v>
      </c>
      <c r="M70" s="64">
        <v>96.33</v>
      </c>
      <c r="N70" s="64">
        <v>68.599999999999994</v>
      </c>
      <c r="O70" s="64">
        <v>0</v>
      </c>
      <c r="P70" s="64">
        <v>0.4</v>
      </c>
      <c r="Q70" s="64">
        <v>9.5299999999999994</v>
      </c>
      <c r="S70" s="198"/>
      <c r="T70" s="198"/>
      <c r="U70" s="198"/>
    </row>
    <row r="71" spans="1:21" s="12" customFormat="1" x14ac:dyDescent="0.25">
      <c r="A71" s="248" t="s">
        <v>2419</v>
      </c>
      <c r="B71" s="64">
        <v>7.92</v>
      </c>
      <c r="C71" s="64">
        <v>3.01</v>
      </c>
      <c r="D71" s="64">
        <v>11.7</v>
      </c>
      <c r="E71" s="64">
        <v>4.57</v>
      </c>
      <c r="F71" s="64">
        <v>5.26</v>
      </c>
      <c r="G71" s="64">
        <v>31.34</v>
      </c>
      <c r="H71" s="210" t="s">
        <v>43</v>
      </c>
      <c r="I71" s="64">
        <v>3.01</v>
      </c>
      <c r="J71" s="64">
        <v>0.31</v>
      </c>
      <c r="K71" s="64">
        <v>338.18</v>
      </c>
      <c r="L71" s="64">
        <v>29.64</v>
      </c>
      <c r="M71" s="64">
        <v>102.58</v>
      </c>
      <c r="N71" s="64">
        <v>125.4</v>
      </c>
      <c r="O71" s="64">
        <v>0</v>
      </c>
      <c r="P71" s="64">
        <v>0.41</v>
      </c>
      <c r="Q71" s="64">
        <v>9.5</v>
      </c>
      <c r="S71" s="198"/>
      <c r="T71" s="198"/>
      <c r="U71" s="198"/>
    </row>
    <row r="72" spans="1:21" s="12" customFormat="1" x14ac:dyDescent="0.25">
      <c r="A72" s="248" t="s">
        <v>2420</v>
      </c>
      <c r="B72" s="64">
        <v>7.93</v>
      </c>
      <c r="C72" s="64">
        <v>3.02</v>
      </c>
      <c r="D72" s="64">
        <v>11.72</v>
      </c>
      <c r="E72" s="64">
        <v>4.87</v>
      </c>
      <c r="F72" s="64">
        <v>4.26</v>
      </c>
      <c r="G72" s="64">
        <v>31.34</v>
      </c>
      <c r="H72" s="210" t="s">
        <v>43</v>
      </c>
      <c r="I72" s="64">
        <v>3.15</v>
      </c>
      <c r="J72" s="64">
        <v>0.22</v>
      </c>
      <c r="K72" s="64">
        <v>328.47</v>
      </c>
      <c r="L72" s="64">
        <v>30.81</v>
      </c>
      <c r="M72" s="64">
        <v>92.53</v>
      </c>
      <c r="N72" s="64">
        <v>207.3</v>
      </c>
      <c r="O72" s="64">
        <v>0</v>
      </c>
      <c r="P72" s="64">
        <v>0.44</v>
      </c>
      <c r="Q72" s="64">
        <v>9.5</v>
      </c>
      <c r="S72" s="198"/>
      <c r="T72" s="198"/>
      <c r="U72" s="198"/>
    </row>
    <row r="73" spans="1:21" s="12" customFormat="1" x14ac:dyDescent="0.25">
      <c r="A73" s="248" t="s">
        <v>2421</v>
      </c>
      <c r="B73" s="64">
        <v>7.95</v>
      </c>
      <c r="C73" s="64">
        <v>3.03</v>
      </c>
      <c r="D73" s="64">
        <v>11.73</v>
      </c>
      <c r="E73" s="64">
        <v>3.86</v>
      </c>
      <c r="F73" s="64">
        <v>2.64</v>
      </c>
      <c r="G73" s="64">
        <v>31.34</v>
      </c>
      <c r="H73" s="210" t="s">
        <v>43</v>
      </c>
      <c r="I73" s="64">
        <v>3.16</v>
      </c>
      <c r="J73" s="64">
        <v>0.12</v>
      </c>
      <c r="K73" s="64">
        <v>320.12</v>
      </c>
      <c r="L73" s="64">
        <v>30.95</v>
      </c>
      <c r="M73" s="64">
        <v>90.2</v>
      </c>
      <c r="N73" s="64">
        <v>144.80000000000001</v>
      </c>
      <c r="O73" s="64">
        <v>0</v>
      </c>
      <c r="P73" s="64">
        <v>0.43</v>
      </c>
      <c r="Q73" s="64">
        <v>9.44</v>
      </c>
      <c r="S73" s="198"/>
      <c r="T73" s="198"/>
      <c r="U73" s="198"/>
    </row>
    <row r="74" spans="1:21" s="12" customFormat="1" x14ac:dyDescent="0.25">
      <c r="A74" s="248" t="s">
        <v>2422</v>
      </c>
      <c r="B74" s="64">
        <v>7.95</v>
      </c>
      <c r="C74" s="64">
        <v>2.98</v>
      </c>
      <c r="D74" s="64">
        <v>11.71</v>
      </c>
      <c r="E74" s="64">
        <v>3.66</v>
      </c>
      <c r="F74" s="64">
        <v>4.43</v>
      </c>
      <c r="G74" s="64">
        <v>52.08</v>
      </c>
      <c r="H74" s="210" t="s">
        <v>43</v>
      </c>
      <c r="I74" s="64">
        <v>3.15</v>
      </c>
      <c r="J74" s="64">
        <v>0.09</v>
      </c>
      <c r="K74" s="64">
        <v>329.25</v>
      </c>
      <c r="L74" s="64">
        <v>30.53</v>
      </c>
      <c r="M74" s="64">
        <v>91.84</v>
      </c>
      <c r="N74" s="64">
        <v>78.400000000000006</v>
      </c>
      <c r="O74" s="64">
        <v>0</v>
      </c>
      <c r="P74" s="64">
        <v>0.44</v>
      </c>
      <c r="Q74" s="64">
        <v>9.4700000000000006</v>
      </c>
      <c r="S74" s="198"/>
      <c r="T74" s="198"/>
      <c r="U74" s="198"/>
    </row>
    <row r="75" spans="1:21" s="12" customFormat="1" x14ac:dyDescent="0.25">
      <c r="A75" s="248" t="s">
        <v>2423</v>
      </c>
      <c r="B75" s="64">
        <v>7.96</v>
      </c>
      <c r="C75" s="64">
        <v>2.99</v>
      </c>
      <c r="D75" s="64">
        <v>11.72</v>
      </c>
      <c r="E75" s="64">
        <v>3.89</v>
      </c>
      <c r="F75" s="64">
        <v>3.49</v>
      </c>
      <c r="G75" s="64">
        <v>53.05</v>
      </c>
      <c r="H75" s="210" t="s">
        <v>43</v>
      </c>
      <c r="I75" s="64">
        <v>3.05</v>
      </c>
      <c r="J75" s="64">
        <v>0.75</v>
      </c>
      <c r="K75" s="64">
        <v>319.77</v>
      </c>
      <c r="L75" s="64">
        <v>28.99</v>
      </c>
      <c r="M75" s="64">
        <v>100.98</v>
      </c>
      <c r="N75" s="64">
        <v>58.4</v>
      </c>
      <c r="O75" s="64">
        <v>0</v>
      </c>
      <c r="P75" s="64">
        <v>0.44</v>
      </c>
      <c r="Q75" s="64">
        <v>9.51</v>
      </c>
      <c r="S75" s="198"/>
      <c r="T75" s="198"/>
      <c r="U75" s="198"/>
    </row>
    <row r="76" spans="1:21" s="12" customFormat="1" x14ac:dyDescent="0.25">
      <c r="A76" s="248" t="s">
        <v>2424</v>
      </c>
      <c r="B76" s="64">
        <v>7.95</v>
      </c>
      <c r="C76" s="64">
        <v>3.02</v>
      </c>
      <c r="D76" s="64">
        <v>11.73</v>
      </c>
      <c r="E76" s="64">
        <v>3.85</v>
      </c>
      <c r="F76" s="64">
        <v>4.45</v>
      </c>
      <c r="G76" s="64">
        <v>53.05</v>
      </c>
      <c r="H76" s="210" t="s">
        <v>43</v>
      </c>
      <c r="I76" s="64">
        <v>2.95</v>
      </c>
      <c r="J76" s="64">
        <v>0.31</v>
      </c>
      <c r="K76" s="64">
        <v>194.25</v>
      </c>
      <c r="L76" s="64">
        <v>24.78</v>
      </c>
      <c r="M76" s="64">
        <v>105.39</v>
      </c>
      <c r="N76" s="64">
        <v>52.1</v>
      </c>
      <c r="O76" s="64">
        <v>0</v>
      </c>
      <c r="P76" s="64">
        <v>0.41</v>
      </c>
      <c r="Q76" s="64">
        <v>9.48</v>
      </c>
      <c r="S76" s="198"/>
      <c r="T76" s="198"/>
      <c r="U76" s="198"/>
    </row>
    <row r="77" spans="1:21" s="12" customFormat="1" x14ac:dyDescent="0.25">
      <c r="A77" s="248" t="s">
        <v>2425</v>
      </c>
      <c r="B77" s="64">
        <v>7.94</v>
      </c>
      <c r="C77" s="64">
        <v>3.04</v>
      </c>
      <c r="D77" s="64">
        <v>11.73</v>
      </c>
      <c r="E77" s="64">
        <v>3.73</v>
      </c>
      <c r="F77" s="64">
        <v>3.52</v>
      </c>
      <c r="G77" s="64">
        <v>53.05</v>
      </c>
      <c r="H77" s="210" t="s">
        <v>43</v>
      </c>
      <c r="I77" s="64">
        <v>2.82</v>
      </c>
      <c r="J77" s="64">
        <v>0.16</v>
      </c>
      <c r="K77" s="64">
        <v>359.62</v>
      </c>
      <c r="L77" s="64">
        <v>24.63</v>
      </c>
      <c r="M77" s="64">
        <v>105.45</v>
      </c>
      <c r="N77" s="64">
        <v>50.1</v>
      </c>
      <c r="O77" s="64">
        <v>0</v>
      </c>
      <c r="P77" s="64">
        <v>0.41</v>
      </c>
      <c r="Q77" s="64">
        <v>9.52</v>
      </c>
      <c r="S77" s="198"/>
      <c r="T77" s="198"/>
      <c r="U77" s="198"/>
    </row>
    <row r="78" spans="1:21" s="12" customFormat="1" x14ac:dyDescent="0.25">
      <c r="A78" s="248" t="s">
        <v>2426</v>
      </c>
      <c r="B78" s="64">
        <v>7.97</v>
      </c>
      <c r="C78" s="64">
        <v>3.07</v>
      </c>
      <c r="D78" s="64">
        <v>11.77</v>
      </c>
      <c r="E78" s="64">
        <v>3.81</v>
      </c>
      <c r="F78" s="64">
        <v>3.32</v>
      </c>
      <c r="G78" s="64">
        <v>35.32</v>
      </c>
      <c r="H78" s="210" t="s">
        <v>43</v>
      </c>
      <c r="I78" s="64">
        <v>2.58</v>
      </c>
      <c r="J78" s="64">
        <v>0.14000000000000001</v>
      </c>
      <c r="K78" s="64">
        <v>339.43</v>
      </c>
      <c r="L78" s="64">
        <v>25.04</v>
      </c>
      <c r="M78" s="64">
        <v>105.4</v>
      </c>
      <c r="N78" s="64">
        <v>89.4</v>
      </c>
      <c r="O78" s="64">
        <v>0</v>
      </c>
      <c r="P78" s="64">
        <v>0.41</v>
      </c>
      <c r="Q78" s="64">
        <v>9.51</v>
      </c>
      <c r="S78" s="198"/>
      <c r="T78" s="198"/>
      <c r="U78" s="198"/>
    </row>
    <row r="79" spans="1:21" s="12" customFormat="1" x14ac:dyDescent="0.25">
      <c r="A79" s="248" t="s">
        <v>2427</v>
      </c>
      <c r="B79" s="64">
        <v>7.96</v>
      </c>
      <c r="C79" s="64">
        <v>3.03</v>
      </c>
      <c r="D79" s="64">
        <v>11.74</v>
      </c>
      <c r="E79" s="64">
        <v>3.5</v>
      </c>
      <c r="F79" s="64">
        <v>4.0999999999999996</v>
      </c>
      <c r="G79" s="64">
        <v>34.49</v>
      </c>
      <c r="H79" s="210" t="s">
        <v>43</v>
      </c>
      <c r="I79" s="64">
        <v>2.52</v>
      </c>
      <c r="J79" s="64">
        <v>0.17</v>
      </c>
      <c r="K79" s="64">
        <v>154.87</v>
      </c>
      <c r="L79" s="64">
        <v>24.95</v>
      </c>
      <c r="M79" s="64">
        <v>105.35</v>
      </c>
      <c r="N79" s="64">
        <v>59.3</v>
      </c>
      <c r="O79" s="64">
        <v>0</v>
      </c>
      <c r="P79" s="64">
        <v>0.4</v>
      </c>
      <c r="Q79" s="64">
        <v>9.5</v>
      </c>
      <c r="S79" s="198"/>
      <c r="T79" s="198"/>
      <c r="U79" s="198"/>
    </row>
    <row r="80" spans="1:21" s="12" customFormat="1" x14ac:dyDescent="0.25">
      <c r="A80" s="248" t="s">
        <v>2428</v>
      </c>
      <c r="B80" s="64">
        <v>7.97</v>
      </c>
      <c r="C80" s="64">
        <v>3.02</v>
      </c>
      <c r="D80" s="64">
        <v>11.74</v>
      </c>
      <c r="E80" s="64">
        <v>3.56</v>
      </c>
      <c r="F80" s="64">
        <v>3.92</v>
      </c>
      <c r="G80" s="64">
        <v>34.49</v>
      </c>
      <c r="H80" s="210" t="s">
        <v>43</v>
      </c>
      <c r="I80" s="64">
        <v>2.41</v>
      </c>
      <c r="J80" s="64">
        <v>0.26</v>
      </c>
      <c r="K80" s="64">
        <v>342.84</v>
      </c>
      <c r="L80" s="64">
        <v>24.84</v>
      </c>
      <c r="M80" s="64">
        <v>105.16</v>
      </c>
      <c r="N80" s="64">
        <v>69.2</v>
      </c>
      <c r="O80" s="64">
        <v>0</v>
      </c>
      <c r="P80" s="64">
        <v>0.4</v>
      </c>
      <c r="Q80" s="64">
        <v>9.5</v>
      </c>
      <c r="S80" s="198"/>
      <c r="T80" s="198"/>
      <c r="U80" s="198"/>
    </row>
    <row r="81" spans="1:26" s="12" customFormat="1" x14ac:dyDescent="0.25">
      <c r="A81" s="248" t="s">
        <v>2429</v>
      </c>
      <c r="B81" s="64">
        <v>7.96</v>
      </c>
      <c r="C81" s="64">
        <v>2.96</v>
      </c>
      <c r="D81" s="64">
        <v>11.71</v>
      </c>
      <c r="E81" s="64">
        <v>3.54</v>
      </c>
      <c r="F81" s="64">
        <v>3.87</v>
      </c>
      <c r="G81" s="64">
        <v>34.49</v>
      </c>
      <c r="H81" s="210" t="s">
        <v>43</v>
      </c>
      <c r="I81" s="64">
        <v>2.44</v>
      </c>
      <c r="J81" s="64">
        <v>0.1</v>
      </c>
      <c r="K81" s="64">
        <v>351.89</v>
      </c>
      <c r="L81" s="64">
        <v>25.03</v>
      </c>
      <c r="M81" s="64">
        <v>105.33</v>
      </c>
      <c r="N81" s="64">
        <v>48.3</v>
      </c>
      <c r="O81" s="64">
        <v>0</v>
      </c>
      <c r="P81" s="64">
        <v>0.39</v>
      </c>
      <c r="Q81" s="64">
        <v>9.52</v>
      </c>
      <c r="S81" s="198"/>
      <c r="T81" s="198"/>
      <c r="U81" s="198"/>
    </row>
    <row r="82" spans="1:26" s="12" customFormat="1" x14ac:dyDescent="0.25">
      <c r="A82" s="248" t="s">
        <v>2430</v>
      </c>
      <c r="B82" s="64">
        <v>7.99</v>
      </c>
      <c r="C82" s="64">
        <v>2.97</v>
      </c>
      <c r="D82" s="64">
        <v>11.73</v>
      </c>
      <c r="E82" s="64">
        <v>3.76</v>
      </c>
      <c r="F82" s="64">
        <v>4.12</v>
      </c>
      <c r="G82" s="64">
        <v>23.94</v>
      </c>
      <c r="H82" s="210" t="s">
        <v>43</v>
      </c>
      <c r="I82" s="64">
        <v>2.41</v>
      </c>
      <c r="J82" s="64">
        <v>7.0000000000000007E-2</v>
      </c>
      <c r="K82" s="64">
        <v>145.25</v>
      </c>
      <c r="L82" s="64">
        <v>25.14</v>
      </c>
      <c r="M82" s="64">
        <v>105.32</v>
      </c>
      <c r="N82" s="64">
        <v>29.4</v>
      </c>
      <c r="O82" s="64">
        <v>0</v>
      </c>
      <c r="P82" s="64">
        <v>0.39</v>
      </c>
      <c r="Q82" s="64">
        <v>9.5299999999999994</v>
      </c>
      <c r="S82" s="198"/>
      <c r="T82" s="198"/>
      <c r="U82" s="198"/>
    </row>
    <row r="83" spans="1:26" s="12" customFormat="1" x14ac:dyDescent="0.25">
      <c r="A83" s="248" t="s">
        <v>2431</v>
      </c>
      <c r="B83" s="64">
        <v>7.98</v>
      </c>
      <c r="C83" s="64">
        <v>3.02</v>
      </c>
      <c r="D83" s="64">
        <v>11.75</v>
      </c>
      <c r="E83" s="64">
        <v>3.73</v>
      </c>
      <c r="F83" s="64">
        <v>3.39</v>
      </c>
      <c r="G83" s="64">
        <v>23.45</v>
      </c>
      <c r="H83" s="210" t="s">
        <v>43</v>
      </c>
      <c r="I83" s="64">
        <v>2.3199999999999998</v>
      </c>
      <c r="J83" s="64">
        <v>0.06</v>
      </c>
      <c r="K83" s="64">
        <v>148.22</v>
      </c>
      <c r="L83" s="64">
        <v>25.26</v>
      </c>
      <c r="M83" s="64">
        <v>105.33</v>
      </c>
      <c r="N83" s="64">
        <v>26.3</v>
      </c>
      <c r="O83" s="64">
        <v>0</v>
      </c>
      <c r="P83" s="64">
        <v>0.39</v>
      </c>
      <c r="Q83" s="64">
        <v>9.5399999999999991</v>
      </c>
      <c r="S83" s="198"/>
      <c r="T83" s="198"/>
      <c r="U83" s="198"/>
    </row>
    <row r="84" spans="1:26" s="12" customFormat="1" x14ac:dyDescent="0.25">
      <c r="A84" s="248" t="s">
        <v>2432</v>
      </c>
      <c r="B84" s="64">
        <v>7.97</v>
      </c>
      <c r="C84" s="64">
        <v>2.94</v>
      </c>
      <c r="D84" s="64">
        <v>11.7</v>
      </c>
      <c r="E84" s="64">
        <v>3.41</v>
      </c>
      <c r="F84" s="64">
        <v>3.31</v>
      </c>
      <c r="G84" s="64">
        <v>23.45</v>
      </c>
      <c r="H84" s="210" t="s">
        <v>43</v>
      </c>
      <c r="I84" s="64">
        <v>2.4900000000000002</v>
      </c>
      <c r="J84" s="64">
        <v>0.47</v>
      </c>
      <c r="K84" s="64">
        <v>144.26</v>
      </c>
      <c r="L84" s="64">
        <v>25.38</v>
      </c>
      <c r="M84" s="64">
        <v>105.2</v>
      </c>
      <c r="N84" s="64">
        <v>26.3</v>
      </c>
      <c r="O84" s="64">
        <v>0</v>
      </c>
      <c r="P84" s="64">
        <v>0.39</v>
      </c>
      <c r="Q84" s="64">
        <v>9.5399999999999991</v>
      </c>
      <c r="S84" s="198"/>
      <c r="T84" s="198"/>
      <c r="U84" s="198"/>
    </row>
    <row r="85" spans="1:26" s="12" customFormat="1" x14ac:dyDescent="0.25">
      <c r="A85" s="248" t="s">
        <v>2433</v>
      </c>
      <c r="B85" s="64">
        <v>7.98</v>
      </c>
      <c r="C85" s="64">
        <v>2.97</v>
      </c>
      <c r="D85" s="64">
        <v>11.73</v>
      </c>
      <c r="E85" s="64">
        <v>3.76</v>
      </c>
      <c r="F85" s="64">
        <v>3.12</v>
      </c>
      <c r="G85" s="64">
        <v>23.45</v>
      </c>
      <c r="H85" s="210" t="s">
        <v>43</v>
      </c>
      <c r="I85" s="64">
        <v>2.67</v>
      </c>
      <c r="J85" s="64">
        <v>0.78</v>
      </c>
      <c r="K85" s="64">
        <v>138.85</v>
      </c>
      <c r="L85" s="64">
        <v>25.59</v>
      </c>
      <c r="M85" s="64">
        <v>104.72</v>
      </c>
      <c r="N85" s="64">
        <v>26.4</v>
      </c>
      <c r="O85" s="64">
        <v>0</v>
      </c>
      <c r="P85" s="64">
        <v>0.41</v>
      </c>
      <c r="Q85" s="64">
        <v>9.5500000000000007</v>
      </c>
      <c r="S85" s="198"/>
      <c r="T85" s="198"/>
      <c r="U85" s="198"/>
    </row>
    <row r="86" spans="1:26" s="12" customFormat="1" x14ac:dyDescent="0.25">
      <c r="A86" s="248" t="s">
        <v>2434</v>
      </c>
      <c r="B86" s="64">
        <v>7.97</v>
      </c>
      <c r="C86" s="64">
        <v>3</v>
      </c>
      <c r="D86" s="64">
        <v>11.73</v>
      </c>
      <c r="E86" s="64">
        <v>3.78</v>
      </c>
      <c r="F86" s="64">
        <v>4.01</v>
      </c>
      <c r="G86" s="64">
        <v>23.48</v>
      </c>
      <c r="H86" s="210" t="s">
        <v>43</v>
      </c>
      <c r="I86" s="64">
        <v>2.93</v>
      </c>
      <c r="J86" s="64">
        <v>0.4</v>
      </c>
      <c r="K86" s="64">
        <v>142.02000000000001</v>
      </c>
      <c r="L86" s="64">
        <v>25.64</v>
      </c>
      <c r="M86" s="64">
        <v>104.59</v>
      </c>
      <c r="N86" s="64">
        <v>26.4</v>
      </c>
      <c r="O86" s="64">
        <v>0</v>
      </c>
      <c r="P86" s="64">
        <v>0.45</v>
      </c>
      <c r="Q86" s="64">
        <v>9.58</v>
      </c>
      <c r="S86" s="198"/>
      <c r="T86" s="198"/>
      <c r="U86" s="198"/>
    </row>
    <row r="87" spans="1:26" s="12" customFormat="1" x14ac:dyDescent="0.25">
      <c r="A87" s="248" t="s">
        <v>2435</v>
      </c>
      <c r="B87" s="64">
        <v>7.94</v>
      </c>
      <c r="C87" s="64">
        <v>2.95</v>
      </c>
      <c r="D87" s="64">
        <v>11.68</v>
      </c>
      <c r="E87" s="64">
        <v>4.07</v>
      </c>
      <c r="F87" s="64">
        <v>5.2</v>
      </c>
      <c r="G87" s="64">
        <v>23.48</v>
      </c>
      <c r="H87" s="210" t="s">
        <v>43</v>
      </c>
      <c r="I87" s="64">
        <v>3.25</v>
      </c>
      <c r="J87" s="64">
        <v>0.84</v>
      </c>
      <c r="K87" s="64">
        <v>138.1</v>
      </c>
      <c r="L87" s="64">
        <v>25.57</v>
      </c>
      <c r="M87" s="64">
        <v>103.97</v>
      </c>
      <c r="N87" s="64">
        <v>12.8</v>
      </c>
      <c r="O87" s="64">
        <v>0</v>
      </c>
      <c r="P87" s="64">
        <v>0.46</v>
      </c>
      <c r="Q87" s="64">
        <v>9.5399999999999991</v>
      </c>
      <c r="S87" s="198"/>
      <c r="T87" s="198"/>
      <c r="U87" s="198"/>
    </row>
    <row r="88" spans="1:26" s="12" customFormat="1" x14ac:dyDescent="0.25">
      <c r="A88" s="248" t="s">
        <v>2436</v>
      </c>
      <c r="B88" s="64">
        <v>7.93</v>
      </c>
      <c r="C88" s="64">
        <v>2.92</v>
      </c>
      <c r="D88" s="64">
        <v>11.66</v>
      </c>
      <c r="E88" s="64">
        <v>4.75</v>
      </c>
      <c r="F88" s="64">
        <v>2.62</v>
      </c>
      <c r="G88" s="64">
        <v>23.48</v>
      </c>
      <c r="H88" s="210" t="s">
        <v>43</v>
      </c>
      <c r="I88" s="64">
        <v>3.43</v>
      </c>
      <c r="J88" s="64">
        <v>0.7</v>
      </c>
      <c r="K88" s="64">
        <v>139.52000000000001</v>
      </c>
      <c r="L88" s="64">
        <v>25.53</v>
      </c>
      <c r="M88" s="64">
        <v>103.95</v>
      </c>
      <c r="N88" s="64">
        <v>18.8</v>
      </c>
      <c r="O88" s="64">
        <v>0</v>
      </c>
      <c r="P88" s="64">
        <v>0.44</v>
      </c>
      <c r="Q88" s="64">
        <v>9.43</v>
      </c>
      <c r="S88" s="198"/>
      <c r="T88" s="198"/>
      <c r="U88" s="198"/>
    </row>
    <row r="89" spans="1:26" s="12" customFormat="1" x14ac:dyDescent="0.25">
      <c r="A89" s="248" t="s">
        <v>2437</v>
      </c>
      <c r="B89" s="64">
        <v>7.97</v>
      </c>
      <c r="C89" s="64">
        <v>2.98</v>
      </c>
      <c r="D89" s="64">
        <v>11.72</v>
      </c>
      <c r="E89" s="64">
        <v>4.8</v>
      </c>
      <c r="F89" s="64">
        <v>5.24</v>
      </c>
      <c r="G89" s="64">
        <v>23.48</v>
      </c>
      <c r="H89" s="210" t="s">
        <v>43</v>
      </c>
      <c r="I89" s="64">
        <v>3.42</v>
      </c>
      <c r="J89" s="64">
        <v>0.45</v>
      </c>
      <c r="K89" s="64">
        <v>132.85</v>
      </c>
      <c r="L89" s="64">
        <v>25.54</v>
      </c>
      <c r="M89" s="64">
        <v>103.96</v>
      </c>
      <c r="N89" s="64">
        <v>21.4</v>
      </c>
      <c r="O89" s="64">
        <v>0</v>
      </c>
      <c r="P89" s="64">
        <v>0.44</v>
      </c>
      <c r="Q89" s="64">
        <v>9.4700000000000006</v>
      </c>
      <c r="S89" s="198"/>
      <c r="T89" s="198"/>
      <c r="U89" s="198"/>
    </row>
    <row r="90" spans="1:26" s="12" customFormat="1" x14ac:dyDescent="0.25">
      <c r="A90" s="248" t="s">
        <v>2438</v>
      </c>
      <c r="B90" s="64">
        <v>7.97</v>
      </c>
      <c r="C90" s="64">
        <v>2.95</v>
      </c>
      <c r="D90" s="64">
        <v>11.7</v>
      </c>
      <c r="E90" s="64">
        <v>4.63</v>
      </c>
      <c r="F90" s="64">
        <v>2.52</v>
      </c>
      <c r="G90" s="64">
        <v>24.02</v>
      </c>
      <c r="H90" s="210" t="s">
        <v>43</v>
      </c>
      <c r="I90" s="64">
        <v>3.65</v>
      </c>
      <c r="J90" s="64">
        <v>0.32</v>
      </c>
      <c r="K90" s="64">
        <v>130.47</v>
      </c>
      <c r="L90" s="64">
        <v>25.58</v>
      </c>
      <c r="M90" s="64">
        <v>103.96</v>
      </c>
      <c r="N90" s="64">
        <v>24.3</v>
      </c>
      <c r="O90" s="64">
        <v>0</v>
      </c>
      <c r="P90" s="64">
        <v>0.44</v>
      </c>
      <c r="Q90" s="64">
        <v>9.44</v>
      </c>
      <c r="S90" s="198"/>
      <c r="T90" s="198"/>
      <c r="U90" s="198"/>
    </row>
    <row r="91" spans="1:26" s="12" customFormat="1" x14ac:dyDescent="0.25">
      <c r="A91" s="248" t="s">
        <v>2439</v>
      </c>
      <c r="B91" s="64">
        <v>7.96</v>
      </c>
      <c r="C91" s="64">
        <v>2.95</v>
      </c>
      <c r="D91" s="64">
        <v>11.7</v>
      </c>
      <c r="E91" s="64">
        <v>4.51</v>
      </c>
      <c r="F91" s="64">
        <v>4.92</v>
      </c>
      <c r="G91" s="64">
        <v>24.04</v>
      </c>
      <c r="H91" s="210" t="s">
        <v>43</v>
      </c>
      <c r="I91" s="64">
        <v>3.66</v>
      </c>
      <c r="J91" s="64">
        <v>0.03</v>
      </c>
      <c r="K91" s="64">
        <v>330.77</v>
      </c>
      <c r="L91" s="64">
        <v>25.55</v>
      </c>
      <c r="M91" s="64">
        <v>103.98</v>
      </c>
      <c r="N91" s="64">
        <v>16.600000000000001</v>
      </c>
      <c r="O91" s="64">
        <v>0</v>
      </c>
      <c r="P91" s="64">
        <v>0.45</v>
      </c>
      <c r="Q91" s="64">
        <v>9.49</v>
      </c>
      <c r="S91" s="198"/>
      <c r="T91" s="198"/>
      <c r="U91" s="198"/>
    </row>
    <row r="92" spans="1:26" s="12" customFormat="1" x14ac:dyDescent="0.25">
      <c r="A92" s="248" t="s">
        <v>2440</v>
      </c>
      <c r="B92" s="64">
        <v>7.96</v>
      </c>
      <c r="C92" s="64">
        <v>3.01</v>
      </c>
      <c r="D92" s="64">
        <v>11.73</v>
      </c>
      <c r="E92" s="64">
        <v>4.7300000000000004</v>
      </c>
      <c r="F92" s="64">
        <v>2.31</v>
      </c>
      <c r="G92" s="64">
        <v>24.04</v>
      </c>
      <c r="H92" s="210" t="s">
        <v>43</v>
      </c>
      <c r="I92" s="64">
        <v>3.71</v>
      </c>
      <c r="J92" s="64">
        <v>0.11</v>
      </c>
      <c r="K92" s="64">
        <v>132.22999999999999</v>
      </c>
      <c r="L92" s="64">
        <v>25.56</v>
      </c>
      <c r="M92" s="64">
        <v>104</v>
      </c>
      <c r="N92" s="64">
        <v>15.1</v>
      </c>
      <c r="O92" s="64">
        <v>0</v>
      </c>
      <c r="P92" s="64">
        <v>0.44</v>
      </c>
      <c r="Q92" s="64">
        <v>9.48</v>
      </c>
      <c r="S92" s="198"/>
      <c r="T92" s="198"/>
      <c r="U92" s="198"/>
    </row>
    <row r="93" spans="1:26" s="12" customFormat="1" x14ac:dyDescent="0.25">
      <c r="A93" s="248" t="s">
        <v>2441</v>
      </c>
      <c r="B93" s="64">
        <v>7.97</v>
      </c>
      <c r="C93" s="64">
        <v>2.99</v>
      </c>
      <c r="D93" s="64">
        <v>11.73</v>
      </c>
      <c r="E93" s="64">
        <v>4.33</v>
      </c>
      <c r="F93" s="64">
        <v>4.66</v>
      </c>
      <c r="G93" s="64">
        <v>24.04</v>
      </c>
      <c r="H93" s="210" t="s">
        <v>43</v>
      </c>
      <c r="I93" s="64">
        <v>3.65</v>
      </c>
      <c r="J93" s="64">
        <v>0.04</v>
      </c>
      <c r="K93" s="64">
        <v>176.27</v>
      </c>
      <c r="L93" s="64">
        <v>25.57</v>
      </c>
      <c r="M93" s="64">
        <v>104</v>
      </c>
      <c r="N93" s="64">
        <v>26.1</v>
      </c>
      <c r="O93" s="64">
        <v>0</v>
      </c>
      <c r="P93" s="64">
        <v>0.44</v>
      </c>
      <c r="Q93" s="64">
        <v>9.51</v>
      </c>
      <c r="S93" s="198"/>
      <c r="T93" s="198"/>
      <c r="U93" s="198"/>
    </row>
    <row r="94" spans="1:26" s="12" customFormat="1" x14ac:dyDescent="0.25">
      <c r="A94" s="248" t="s">
        <v>2442</v>
      </c>
      <c r="B94" s="64">
        <v>7.96</v>
      </c>
      <c r="C94" s="64">
        <v>2.92</v>
      </c>
      <c r="D94" s="64">
        <v>11.68</v>
      </c>
      <c r="E94" s="64">
        <v>4.6500000000000004</v>
      </c>
      <c r="F94" s="64">
        <v>4.3499999999999996</v>
      </c>
      <c r="G94" s="64">
        <v>19.52</v>
      </c>
      <c r="H94" s="210" t="s">
        <v>43</v>
      </c>
      <c r="I94" s="64">
        <v>3.59</v>
      </c>
      <c r="J94" s="64">
        <v>0.06</v>
      </c>
      <c r="K94" s="64">
        <v>211.53</v>
      </c>
      <c r="L94" s="64">
        <v>25.62</v>
      </c>
      <c r="M94" s="64">
        <v>104.05</v>
      </c>
      <c r="N94" s="64">
        <v>6.2</v>
      </c>
      <c r="O94" s="64">
        <v>0</v>
      </c>
      <c r="P94" s="64">
        <v>0.45</v>
      </c>
      <c r="Q94" s="64">
        <v>9.52</v>
      </c>
      <c r="S94" s="198"/>
      <c r="T94" s="198"/>
      <c r="U94" s="198"/>
    </row>
    <row r="95" spans="1:26" s="12" customFormat="1" x14ac:dyDescent="0.25">
      <c r="A95" s="248" t="s">
        <v>2443</v>
      </c>
      <c r="B95" s="64">
        <v>7.94</v>
      </c>
      <c r="C95" s="64">
        <v>2.93</v>
      </c>
      <c r="D95" s="64">
        <v>11.67</v>
      </c>
      <c r="E95" s="64">
        <v>4.55</v>
      </c>
      <c r="F95" s="64">
        <v>2.96</v>
      </c>
      <c r="G95" s="64">
        <v>19.309999999999999</v>
      </c>
      <c r="H95" s="210" t="s">
        <v>43</v>
      </c>
      <c r="I95" s="64">
        <v>3.53</v>
      </c>
      <c r="J95" s="64">
        <v>0.05</v>
      </c>
      <c r="K95" s="64">
        <v>143.35</v>
      </c>
      <c r="L95" s="64">
        <v>25.66</v>
      </c>
      <c r="M95" s="64">
        <v>104.08</v>
      </c>
      <c r="N95" s="64">
        <v>9.3000000000000007</v>
      </c>
      <c r="O95" s="64">
        <v>0</v>
      </c>
      <c r="P95" s="64">
        <v>0.44</v>
      </c>
      <c r="Q95" s="64">
        <v>9.48</v>
      </c>
      <c r="S95" s="198"/>
      <c r="T95" s="198"/>
      <c r="U95" s="198"/>
    </row>
    <row r="96" spans="1:26" s="12" customFormat="1" x14ac:dyDescent="0.25">
      <c r="A96" s="248" t="s">
        <v>2444</v>
      </c>
      <c r="B96" s="64">
        <v>7.98</v>
      </c>
      <c r="C96" s="64">
        <v>3</v>
      </c>
      <c r="D96" s="64">
        <v>11.74</v>
      </c>
      <c r="E96" s="64">
        <v>4.3499999999999996</v>
      </c>
      <c r="F96" s="64">
        <v>3.82</v>
      </c>
      <c r="G96" s="64">
        <v>19.309999999999999</v>
      </c>
      <c r="H96" s="210" t="s">
        <v>43</v>
      </c>
      <c r="I96" s="64">
        <v>3.51</v>
      </c>
      <c r="J96" s="64">
        <v>0.3</v>
      </c>
      <c r="K96" s="64">
        <v>138.61000000000001</v>
      </c>
      <c r="L96" s="64">
        <v>25.71</v>
      </c>
      <c r="M96" s="64">
        <v>104.08</v>
      </c>
      <c r="N96" s="64">
        <v>26.1</v>
      </c>
      <c r="O96" s="64">
        <v>0</v>
      </c>
      <c r="P96" s="64">
        <v>0.43</v>
      </c>
      <c r="Q96" s="64">
        <v>9.51</v>
      </c>
      <c r="S96" s="198"/>
      <c r="T96" s="198"/>
      <c r="U96" s="198"/>
      <c r="Z96" s="109"/>
    </row>
    <row r="97" spans="1:33" s="12" customFormat="1" x14ac:dyDescent="0.25">
      <c r="A97" s="248" t="s">
        <v>2445</v>
      </c>
      <c r="B97" s="64">
        <v>7.97</v>
      </c>
      <c r="C97" s="64">
        <v>2.99</v>
      </c>
      <c r="D97" s="64">
        <v>11.73</v>
      </c>
      <c r="E97" s="64">
        <v>4.43</v>
      </c>
      <c r="F97" s="64">
        <v>3.48</v>
      </c>
      <c r="G97" s="64">
        <v>19.309999999999999</v>
      </c>
      <c r="H97" s="210" t="s">
        <v>43</v>
      </c>
      <c r="I97" s="64">
        <v>3.52</v>
      </c>
      <c r="J97" s="64">
        <v>0.12</v>
      </c>
      <c r="K97" s="64">
        <v>140.93</v>
      </c>
      <c r="L97" s="64">
        <v>25.69</v>
      </c>
      <c r="M97" s="64">
        <v>104.08</v>
      </c>
      <c r="N97" s="64">
        <v>26.1</v>
      </c>
      <c r="O97" s="64">
        <v>0</v>
      </c>
      <c r="P97" s="64">
        <v>0.43</v>
      </c>
      <c r="Q97" s="64">
        <v>9.5399999999999991</v>
      </c>
      <c r="S97" s="198"/>
      <c r="T97" s="198"/>
      <c r="U97" s="198"/>
    </row>
    <row r="98" spans="1:33" s="12" customFormat="1" x14ac:dyDescent="0.25">
      <c r="A98" s="248" t="s">
        <v>2446</v>
      </c>
      <c r="B98" s="64">
        <v>7.98</v>
      </c>
      <c r="C98" s="64">
        <v>3</v>
      </c>
      <c r="D98" s="64">
        <v>11.74</v>
      </c>
      <c r="E98" s="64">
        <v>3.99</v>
      </c>
      <c r="F98" s="64">
        <v>3.56</v>
      </c>
      <c r="G98" s="64">
        <v>14.63</v>
      </c>
      <c r="H98" s="210" t="s">
        <v>43</v>
      </c>
      <c r="I98" s="64">
        <v>3.68</v>
      </c>
      <c r="J98" s="64">
        <v>0.03</v>
      </c>
      <c r="K98" s="64">
        <v>51.36</v>
      </c>
      <c r="L98" s="64">
        <v>25.68</v>
      </c>
      <c r="M98" s="64">
        <v>104.08</v>
      </c>
      <c r="N98" s="64">
        <v>26</v>
      </c>
      <c r="O98" s="64">
        <v>0</v>
      </c>
      <c r="P98" s="64">
        <v>0.43</v>
      </c>
      <c r="Q98" s="64">
        <v>9.58</v>
      </c>
      <c r="S98" s="198"/>
      <c r="T98" s="198"/>
      <c r="U98" s="198"/>
    </row>
    <row r="99" spans="1:33" s="12" customFormat="1" x14ac:dyDescent="0.25">
      <c r="A99" s="248" t="s">
        <v>2447</v>
      </c>
      <c r="B99" s="64">
        <v>7.98</v>
      </c>
      <c r="C99" s="64">
        <v>2.97</v>
      </c>
      <c r="D99" s="64">
        <v>11.73</v>
      </c>
      <c r="E99" s="64">
        <v>3.91</v>
      </c>
      <c r="F99" s="64">
        <v>3.21</v>
      </c>
      <c r="G99" s="64">
        <v>14.41</v>
      </c>
      <c r="H99" s="210" t="s">
        <v>43</v>
      </c>
      <c r="I99" s="64">
        <v>3.84</v>
      </c>
      <c r="J99" s="64">
        <v>0.19</v>
      </c>
      <c r="K99" s="64">
        <v>149.91</v>
      </c>
      <c r="L99" s="64">
        <v>25.69</v>
      </c>
      <c r="M99" s="64">
        <v>104.08</v>
      </c>
      <c r="N99" s="64">
        <v>25.8</v>
      </c>
      <c r="O99" s="64">
        <v>0</v>
      </c>
      <c r="P99" s="64">
        <v>0.43</v>
      </c>
      <c r="Q99" s="64">
        <v>9.61</v>
      </c>
      <c r="S99" s="198"/>
      <c r="T99" s="198"/>
      <c r="U99" s="198"/>
    </row>
    <row r="100" spans="1:33" s="12" customFormat="1" x14ac:dyDescent="0.25">
      <c r="A100" s="248" t="s">
        <v>2448</v>
      </c>
      <c r="B100" s="64">
        <v>7.98</v>
      </c>
      <c r="C100" s="64">
        <v>2.96</v>
      </c>
      <c r="D100" s="64">
        <v>11.72</v>
      </c>
      <c r="E100" s="64">
        <v>4.3600000000000003</v>
      </c>
      <c r="F100" s="64">
        <v>3.29</v>
      </c>
      <c r="G100" s="64">
        <v>14.41</v>
      </c>
      <c r="H100" s="210" t="s">
        <v>43</v>
      </c>
      <c r="I100" s="64">
        <v>3.98</v>
      </c>
      <c r="J100" s="64">
        <v>0.24</v>
      </c>
      <c r="K100" s="64">
        <v>148.38999999999999</v>
      </c>
      <c r="L100" s="64">
        <v>25.67</v>
      </c>
      <c r="M100" s="64">
        <v>104.08</v>
      </c>
      <c r="N100" s="64">
        <v>26.1</v>
      </c>
      <c r="O100" s="64">
        <v>0</v>
      </c>
      <c r="P100" s="64">
        <v>0.41</v>
      </c>
      <c r="Q100" s="64">
        <v>9.6</v>
      </c>
      <c r="S100" s="198"/>
      <c r="T100" s="198"/>
      <c r="U100" s="198"/>
      <c r="AB100" s="110"/>
      <c r="AG100" s="109"/>
    </row>
    <row r="101" spans="1:33" s="12" customFormat="1" x14ac:dyDescent="0.25">
      <c r="A101" s="248" t="s">
        <v>2449</v>
      </c>
      <c r="B101" s="64">
        <v>7.98</v>
      </c>
      <c r="C101" s="64">
        <v>2.94</v>
      </c>
      <c r="D101" s="64">
        <v>11.71</v>
      </c>
      <c r="E101" s="64">
        <v>4.3</v>
      </c>
      <c r="F101" s="64">
        <v>3.41</v>
      </c>
      <c r="G101" s="64">
        <v>14.41</v>
      </c>
      <c r="H101" s="210" t="s">
        <v>43</v>
      </c>
      <c r="I101" s="64">
        <v>4.07</v>
      </c>
      <c r="J101" s="64">
        <v>0.09</v>
      </c>
      <c r="K101" s="64">
        <v>128</v>
      </c>
      <c r="L101" s="64">
        <v>25.66</v>
      </c>
      <c r="M101" s="64">
        <v>104.09</v>
      </c>
      <c r="N101" s="64">
        <v>26</v>
      </c>
      <c r="O101" s="64">
        <v>0</v>
      </c>
      <c r="P101" s="64">
        <v>0.42</v>
      </c>
      <c r="Q101" s="64">
        <v>9.59</v>
      </c>
      <c r="S101" s="198"/>
      <c r="T101" s="198"/>
      <c r="U101" s="198"/>
    </row>
    <row r="102" spans="1:33" s="12" customFormat="1" x14ac:dyDescent="0.25">
      <c r="A102" s="248" t="s">
        <v>2450</v>
      </c>
      <c r="B102" s="64">
        <v>8</v>
      </c>
      <c r="C102" s="64">
        <v>2.95</v>
      </c>
      <c r="D102" s="64">
        <v>11.73</v>
      </c>
      <c r="E102" s="64">
        <v>4.3499999999999996</v>
      </c>
      <c r="F102" s="64">
        <v>3.38</v>
      </c>
      <c r="G102" s="64">
        <v>14.1</v>
      </c>
      <c r="H102" s="210" t="s">
        <v>43</v>
      </c>
      <c r="I102" s="64">
        <v>4.01</v>
      </c>
      <c r="J102" s="64">
        <v>0.1</v>
      </c>
      <c r="K102" s="64">
        <v>131.04</v>
      </c>
      <c r="L102" s="64">
        <v>25.65</v>
      </c>
      <c r="M102" s="64">
        <v>104.09</v>
      </c>
      <c r="N102" s="64">
        <v>25.8</v>
      </c>
      <c r="O102" s="64">
        <v>0</v>
      </c>
      <c r="P102" s="64">
        <v>0.41</v>
      </c>
      <c r="Q102" s="64">
        <v>9.61</v>
      </c>
      <c r="S102" s="198"/>
      <c r="T102" s="198"/>
      <c r="U102" s="198"/>
    </row>
    <row r="103" spans="1:33" s="12" customFormat="1" x14ac:dyDescent="0.25">
      <c r="A103" s="248" t="s">
        <v>2451</v>
      </c>
      <c r="B103" s="64">
        <v>7.99</v>
      </c>
      <c r="C103" s="64">
        <v>3.02</v>
      </c>
      <c r="D103" s="64">
        <v>11.76</v>
      </c>
      <c r="E103" s="64">
        <v>4.55</v>
      </c>
      <c r="F103" s="64">
        <v>4.53</v>
      </c>
      <c r="G103" s="64">
        <v>14.08</v>
      </c>
      <c r="H103" s="210" t="s">
        <v>43</v>
      </c>
      <c r="I103" s="64">
        <v>4.0999999999999996</v>
      </c>
      <c r="J103" s="64">
        <v>0.33</v>
      </c>
      <c r="K103" s="64">
        <v>135.88999999999999</v>
      </c>
      <c r="L103" s="64">
        <v>25.66</v>
      </c>
      <c r="M103" s="64">
        <v>104.11</v>
      </c>
      <c r="N103" s="64">
        <v>25.6</v>
      </c>
      <c r="O103" s="64">
        <v>0</v>
      </c>
      <c r="P103" s="64">
        <v>0.42</v>
      </c>
      <c r="Q103" s="64">
        <v>9.6</v>
      </c>
      <c r="S103" s="198"/>
      <c r="T103" s="198"/>
      <c r="U103" s="198"/>
    </row>
    <row r="104" spans="1:33" s="12" customFormat="1" x14ac:dyDescent="0.25">
      <c r="A104" s="248" t="s">
        <v>2452</v>
      </c>
      <c r="B104" s="64">
        <v>7.93</v>
      </c>
      <c r="C104" s="64">
        <v>2.96</v>
      </c>
      <c r="D104" s="64">
        <v>11.68</v>
      </c>
      <c r="E104" s="64">
        <v>4.8499999999999996</v>
      </c>
      <c r="F104" s="64">
        <v>3.42</v>
      </c>
      <c r="G104" s="64">
        <v>14.08</v>
      </c>
      <c r="H104" s="210" t="s">
        <v>43</v>
      </c>
      <c r="I104" s="64">
        <v>4.24</v>
      </c>
      <c r="J104" s="64">
        <v>0.12</v>
      </c>
      <c r="K104" s="64">
        <v>143.59</v>
      </c>
      <c r="L104" s="64">
        <v>25.66</v>
      </c>
      <c r="M104" s="64">
        <v>104.13</v>
      </c>
      <c r="N104" s="64">
        <v>17</v>
      </c>
      <c r="O104" s="64">
        <v>0</v>
      </c>
      <c r="P104" s="64">
        <v>0.41</v>
      </c>
      <c r="Q104" s="64">
        <v>9.5299999999999994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2.92</v>
      </c>
      <c r="D106" s="67">
        <f t="shared" ref="D106:Q106" si="0">MIN(D9:D104)</f>
        <v>11.66</v>
      </c>
      <c r="E106" s="67">
        <f t="shared" si="0"/>
        <v>3.31</v>
      </c>
      <c r="F106" s="67">
        <f t="shared" si="0"/>
        <v>2.31</v>
      </c>
      <c r="G106" s="67">
        <f t="shared" si="0"/>
        <v>7.13</v>
      </c>
      <c r="H106" s="67">
        <f t="shared" si="0"/>
        <v>0</v>
      </c>
      <c r="I106" s="67">
        <f t="shared" si="0"/>
        <v>1.93</v>
      </c>
      <c r="J106" s="67">
        <f t="shared" si="0"/>
        <v>0.01</v>
      </c>
      <c r="K106" s="67">
        <f t="shared" si="0"/>
        <v>5.6</v>
      </c>
      <c r="L106" s="67">
        <f t="shared" si="0"/>
        <v>24.41</v>
      </c>
      <c r="M106" s="67">
        <f t="shared" si="0"/>
        <v>78.42</v>
      </c>
      <c r="N106" s="67">
        <f t="shared" si="0"/>
        <v>0</v>
      </c>
      <c r="O106" s="67">
        <f t="shared" si="0"/>
        <v>0</v>
      </c>
      <c r="P106" s="67">
        <f t="shared" si="0"/>
        <v>0.25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8.02</v>
      </c>
      <c r="C107" s="66">
        <f t="shared" ref="C107:Q107" si="1">MAX(C9:C104)</f>
        <v>3.13</v>
      </c>
      <c r="D107" s="66">
        <f t="shared" si="1"/>
        <v>11.82</v>
      </c>
      <c r="E107" s="66">
        <f t="shared" si="1"/>
        <v>4.87</v>
      </c>
      <c r="F107" s="66">
        <f t="shared" si="1"/>
        <v>10.54</v>
      </c>
      <c r="G107" s="66">
        <f t="shared" si="1"/>
        <v>53.05</v>
      </c>
      <c r="H107" s="66">
        <f t="shared" si="1"/>
        <v>0</v>
      </c>
      <c r="I107" s="66">
        <f t="shared" si="1"/>
        <v>4.24</v>
      </c>
      <c r="J107" s="66">
        <f t="shared" si="1"/>
        <v>0.84</v>
      </c>
      <c r="K107" s="66">
        <f t="shared" si="1"/>
        <v>359.62</v>
      </c>
      <c r="L107" s="66">
        <f t="shared" si="1"/>
        <v>33.35</v>
      </c>
      <c r="M107" s="66">
        <f t="shared" si="1"/>
        <v>105.45</v>
      </c>
      <c r="N107" s="66">
        <f t="shared" si="1"/>
        <v>657.5</v>
      </c>
      <c r="O107" s="66">
        <f t="shared" si="1"/>
        <v>0</v>
      </c>
      <c r="P107" s="66">
        <f t="shared" si="1"/>
        <v>0.61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7.96927083333334</v>
      </c>
      <c r="C108" s="67">
        <f t="shared" ref="C108:Q108" si="2">AVERAGE(C9:C104)</f>
        <v>2.9885416666666664</v>
      </c>
      <c r="D108" s="67">
        <f t="shared" si="2"/>
        <v>11.726354166666674</v>
      </c>
      <c r="E108" s="67">
        <f t="shared" si="2"/>
        <v>4.0703125000000027</v>
      </c>
      <c r="F108" s="67">
        <f t="shared" si="2"/>
        <v>3.8753125000000002</v>
      </c>
      <c r="G108" s="67">
        <f t="shared" si="2"/>
        <v>19.810729166666665</v>
      </c>
      <c r="H108" s="67" t="e">
        <f t="shared" si="2"/>
        <v>#DIV/0!</v>
      </c>
      <c r="I108" s="67">
        <f t="shared" si="2"/>
        <v>2.8325000000000009</v>
      </c>
      <c r="J108" s="67">
        <f t="shared" si="2"/>
        <v>0.18135416666666668</v>
      </c>
      <c r="K108" s="67">
        <f t="shared" si="2"/>
        <v>263.41166666666663</v>
      </c>
      <c r="L108" s="67">
        <f t="shared" si="2"/>
        <v>26.969583333333343</v>
      </c>
      <c r="M108" s="67">
        <f t="shared" si="2"/>
        <v>99.690833333333316</v>
      </c>
      <c r="N108" s="67">
        <f t="shared" si="2"/>
        <v>98.62812499999994</v>
      </c>
      <c r="O108" s="67">
        <f t="shared" si="2"/>
        <v>0</v>
      </c>
      <c r="P108" s="67">
        <f t="shared" si="2"/>
        <v>0.39427083333333329</v>
      </c>
      <c r="Q108" s="67">
        <f t="shared" si="2"/>
        <v>9.5154166666666651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2.0583324454859955E-2</v>
      </c>
      <c r="C109" s="67">
        <f t="shared" ref="C109:Q109" si="3">STDEV(C9:C104)</f>
        <v>4.0807098625675546E-2</v>
      </c>
      <c r="D109" s="67">
        <f t="shared" si="3"/>
        <v>3.0953948533661423E-2</v>
      </c>
      <c r="E109" s="67">
        <f t="shared" si="3"/>
        <v>0.40206952298798954</v>
      </c>
      <c r="F109" s="67">
        <f t="shared" si="3"/>
        <v>1.1543199894993981</v>
      </c>
      <c r="G109" s="67">
        <f t="shared" si="3"/>
        <v>10.896460095857467</v>
      </c>
      <c r="H109" s="67" t="e">
        <f t="shared" si="3"/>
        <v>#DIV/0!</v>
      </c>
      <c r="I109" s="67">
        <f t="shared" si="3"/>
        <v>0.5227216226031195</v>
      </c>
      <c r="J109" s="67">
        <f t="shared" si="3"/>
        <v>0.19143568270841022</v>
      </c>
      <c r="K109" s="67">
        <f t="shared" si="3"/>
        <v>99.783445000362391</v>
      </c>
      <c r="L109" s="67">
        <f t="shared" si="3"/>
        <v>2.9465229880823709</v>
      </c>
      <c r="M109" s="67">
        <f t="shared" si="3"/>
        <v>8.4129776525589381</v>
      </c>
      <c r="N109" s="67">
        <f t="shared" si="3"/>
        <v>130.01904775687782</v>
      </c>
      <c r="O109" s="67">
        <f t="shared" si="3"/>
        <v>0</v>
      </c>
      <c r="P109" s="67">
        <f t="shared" si="3"/>
        <v>8.4351954292610637E-2</v>
      </c>
      <c r="Q109" s="67">
        <f t="shared" si="3"/>
        <v>4.9861210884586345E-2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2453</v>
      </c>
      <c r="B9" s="64">
        <v>7.97</v>
      </c>
      <c r="C9" s="64">
        <v>3</v>
      </c>
      <c r="D9" s="64">
        <v>11.73</v>
      </c>
      <c r="E9" s="64">
        <v>4.9800000000000004</v>
      </c>
      <c r="F9" s="64">
        <v>3.52</v>
      </c>
      <c r="G9" s="64">
        <v>14.08</v>
      </c>
      <c r="H9" s="210" t="s">
        <v>43</v>
      </c>
      <c r="I9" s="64">
        <v>4.1399999999999997</v>
      </c>
      <c r="J9" s="64">
        <v>0.23</v>
      </c>
      <c r="K9" s="64">
        <v>120.28</v>
      </c>
      <c r="L9" s="64">
        <v>25.67</v>
      </c>
      <c r="M9" s="64">
        <v>104.12</v>
      </c>
      <c r="N9" s="64">
        <v>25.8</v>
      </c>
      <c r="O9" s="64">
        <v>0</v>
      </c>
      <c r="P9" s="64">
        <v>0.4</v>
      </c>
      <c r="Q9" s="64">
        <v>9.5</v>
      </c>
      <c r="R9" s="198"/>
      <c r="S9" s="198"/>
      <c r="T9" s="198"/>
      <c r="U9" s="198"/>
    </row>
    <row r="10" spans="1:21" s="12" customFormat="1" x14ac:dyDescent="0.25">
      <c r="A10" s="248" t="s">
        <v>2454</v>
      </c>
      <c r="B10" s="64">
        <v>7.96</v>
      </c>
      <c r="C10" s="64">
        <v>3</v>
      </c>
      <c r="D10" s="64">
        <v>11.73</v>
      </c>
      <c r="E10" s="64">
        <v>5.04</v>
      </c>
      <c r="F10" s="64">
        <v>4.4000000000000004</v>
      </c>
      <c r="G10" s="64">
        <v>13.91</v>
      </c>
      <c r="H10" s="210" t="s">
        <v>43</v>
      </c>
      <c r="I10" s="64">
        <v>4.09</v>
      </c>
      <c r="J10" s="64">
        <v>0.04</v>
      </c>
      <c r="K10" s="64">
        <v>76.09</v>
      </c>
      <c r="L10" s="64">
        <v>25.68</v>
      </c>
      <c r="M10" s="64">
        <v>104.01</v>
      </c>
      <c r="N10" s="64">
        <v>16.899999999999999</v>
      </c>
      <c r="O10" s="64">
        <v>0</v>
      </c>
      <c r="P10" s="64">
        <v>0.4</v>
      </c>
      <c r="Q10" s="64">
        <v>9.5299999999999994</v>
      </c>
      <c r="R10" s="198"/>
      <c r="S10" s="198"/>
      <c r="T10" s="198"/>
      <c r="U10" s="198"/>
    </row>
    <row r="11" spans="1:21" s="12" customFormat="1" x14ac:dyDescent="0.25">
      <c r="A11" s="248" t="s">
        <v>2455</v>
      </c>
      <c r="B11" s="64">
        <v>7.95</v>
      </c>
      <c r="C11" s="64">
        <v>2.97</v>
      </c>
      <c r="D11" s="64">
        <v>11.7</v>
      </c>
      <c r="E11" s="64">
        <v>5.14</v>
      </c>
      <c r="F11" s="64">
        <v>2.62</v>
      </c>
      <c r="G11" s="64">
        <v>13.9</v>
      </c>
      <c r="H11" s="210" t="s">
        <v>43</v>
      </c>
      <c r="I11" s="64">
        <v>4.08</v>
      </c>
      <c r="J11" s="64">
        <v>0.03</v>
      </c>
      <c r="K11" s="64">
        <v>61.14</v>
      </c>
      <c r="L11" s="64">
        <v>25.69</v>
      </c>
      <c r="M11" s="64">
        <v>103.87</v>
      </c>
      <c r="N11" s="64">
        <v>25.9</v>
      </c>
      <c r="O11" s="64">
        <v>0</v>
      </c>
      <c r="P11" s="64">
        <v>0.38</v>
      </c>
      <c r="Q11" s="64">
        <v>9.5</v>
      </c>
      <c r="R11" s="198"/>
      <c r="S11" s="198"/>
      <c r="T11" s="198"/>
      <c r="U11" s="198"/>
    </row>
    <row r="12" spans="1:21" s="12" customFormat="1" x14ac:dyDescent="0.25">
      <c r="A12" s="248" t="s">
        <v>2456</v>
      </c>
      <c r="B12" s="64">
        <v>7.98</v>
      </c>
      <c r="C12" s="64">
        <v>3.02</v>
      </c>
      <c r="D12" s="64">
        <v>11.75</v>
      </c>
      <c r="E12" s="64">
        <v>5.07</v>
      </c>
      <c r="F12" s="64">
        <v>5.2</v>
      </c>
      <c r="G12" s="64">
        <v>13.9</v>
      </c>
      <c r="H12" s="210" t="s">
        <v>43</v>
      </c>
      <c r="I12" s="64">
        <v>4.04</v>
      </c>
      <c r="J12" s="64">
        <v>0</v>
      </c>
      <c r="K12" s="64">
        <v>215.18</v>
      </c>
      <c r="L12" s="64">
        <v>25.66</v>
      </c>
      <c r="M12" s="64">
        <v>104.13</v>
      </c>
      <c r="N12" s="64">
        <v>25.8</v>
      </c>
      <c r="O12" s="64">
        <v>0</v>
      </c>
      <c r="P12" s="64">
        <v>0.38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48" t="s">
        <v>2457</v>
      </c>
      <c r="B13" s="64">
        <v>7.96</v>
      </c>
      <c r="C13" s="64">
        <v>2.93</v>
      </c>
      <c r="D13" s="64">
        <v>11.69</v>
      </c>
      <c r="E13" s="64">
        <v>4.8099999999999996</v>
      </c>
      <c r="F13" s="64">
        <v>2.17</v>
      </c>
      <c r="G13" s="64">
        <v>13.9</v>
      </c>
      <c r="H13" s="210" t="s">
        <v>43</v>
      </c>
      <c r="I13" s="64">
        <v>3.94</v>
      </c>
      <c r="J13" s="64">
        <v>0.03</v>
      </c>
      <c r="K13" s="64">
        <v>358.07</v>
      </c>
      <c r="L13" s="64">
        <v>25.67</v>
      </c>
      <c r="M13" s="64">
        <v>104.13</v>
      </c>
      <c r="N13" s="64">
        <v>26</v>
      </c>
      <c r="O13" s="64">
        <v>0</v>
      </c>
      <c r="P13" s="64">
        <v>0.35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48" t="s">
        <v>2458</v>
      </c>
      <c r="B14" s="64">
        <v>7.99</v>
      </c>
      <c r="C14" s="64">
        <v>2.97</v>
      </c>
      <c r="D14" s="64">
        <v>11.74</v>
      </c>
      <c r="E14" s="64">
        <v>4.75</v>
      </c>
      <c r="F14" s="64">
        <v>3.91</v>
      </c>
      <c r="G14" s="64">
        <v>10.02</v>
      </c>
      <c r="H14" s="210" t="s">
        <v>43</v>
      </c>
      <c r="I14" s="64">
        <v>3.88</v>
      </c>
      <c r="J14" s="64">
        <v>0.04</v>
      </c>
      <c r="K14" s="64">
        <v>14.54</v>
      </c>
      <c r="L14" s="64">
        <v>25.65</v>
      </c>
      <c r="M14" s="64">
        <v>103.87</v>
      </c>
      <c r="N14" s="64">
        <v>25.9</v>
      </c>
      <c r="O14" s="64">
        <v>0</v>
      </c>
      <c r="P14" s="64">
        <v>0.36</v>
      </c>
      <c r="Q14" s="64">
        <v>9.52</v>
      </c>
      <c r="R14" s="198"/>
      <c r="S14" s="198"/>
      <c r="T14" s="198"/>
      <c r="U14" s="198"/>
    </row>
    <row r="15" spans="1:21" s="12" customFormat="1" x14ac:dyDescent="0.25">
      <c r="A15" s="248" t="s">
        <v>2459</v>
      </c>
      <c r="B15" s="64">
        <v>7.96</v>
      </c>
      <c r="C15" s="64">
        <v>2.98</v>
      </c>
      <c r="D15" s="64">
        <v>11.71</v>
      </c>
      <c r="E15" s="64">
        <v>4.72</v>
      </c>
      <c r="F15" s="64">
        <v>4.58</v>
      </c>
      <c r="G15" s="64">
        <v>9.84</v>
      </c>
      <c r="H15" s="210" t="s">
        <v>43</v>
      </c>
      <c r="I15" s="64">
        <v>3.71</v>
      </c>
      <c r="J15" s="64">
        <v>0.02</v>
      </c>
      <c r="K15" s="64">
        <v>299.99</v>
      </c>
      <c r="L15" s="64">
        <v>25.56</v>
      </c>
      <c r="M15" s="64">
        <v>104.03</v>
      </c>
      <c r="N15" s="64">
        <v>9.1999999999999993</v>
      </c>
      <c r="O15" s="64">
        <v>0</v>
      </c>
      <c r="P15" s="64">
        <v>0.37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48" t="s">
        <v>2460</v>
      </c>
      <c r="B16" s="64">
        <v>7.94</v>
      </c>
      <c r="C16" s="64">
        <v>2.9</v>
      </c>
      <c r="D16" s="64">
        <v>11.65</v>
      </c>
      <c r="E16" s="64">
        <v>4.74</v>
      </c>
      <c r="F16" s="64">
        <v>3.18</v>
      </c>
      <c r="G16" s="64">
        <v>9.84</v>
      </c>
      <c r="H16" s="210" t="s">
        <v>43</v>
      </c>
      <c r="I16" s="64">
        <v>3.57</v>
      </c>
      <c r="J16" s="64">
        <v>0.06</v>
      </c>
      <c r="K16" s="64">
        <v>160.91</v>
      </c>
      <c r="L16" s="64">
        <v>25.48</v>
      </c>
      <c r="M16" s="64">
        <v>104.15</v>
      </c>
      <c r="N16" s="64">
        <v>0.8</v>
      </c>
      <c r="O16" s="64">
        <v>0</v>
      </c>
      <c r="P16" s="64">
        <v>0.34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48" t="s">
        <v>2461</v>
      </c>
      <c r="B17" s="64">
        <v>7.96</v>
      </c>
      <c r="C17" s="64">
        <v>2.91</v>
      </c>
      <c r="D17" s="64">
        <v>11.68</v>
      </c>
      <c r="E17" s="64">
        <v>4.21</v>
      </c>
      <c r="F17" s="64">
        <v>3.6</v>
      </c>
      <c r="G17" s="64">
        <v>9.84</v>
      </c>
      <c r="H17" s="210" t="s">
        <v>43</v>
      </c>
      <c r="I17" s="64">
        <v>3.44</v>
      </c>
      <c r="J17" s="64">
        <v>0.03</v>
      </c>
      <c r="K17" s="64">
        <v>273.05</v>
      </c>
      <c r="L17" s="64">
        <v>25.48</v>
      </c>
      <c r="M17" s="64">
        <v>104.17</v>
      </c>
      <c r="N17" s="64">
        <v>26.1</v>
      </c>
      <c r="O17" s="64">
        <v>0</v>
      </c>
      <c r="P17" s="64">
        <v>0.34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48" t="s">
        <v>2462</v>
      </c>
      <c r="B18" s="64">
        <v>7.99</v>
      </c>
      <c r="C18" s="64">
        <v>2.92</v>
      </c>
      <c r="D18" s="64">
        <v>11.7</v>
      </c>
      <c r="E18" s="64">
        <v>4.54</v>
      </c>
      <c r="F18" s="64">
        <v>3.45</v>
      </c>
      <c r="G18" s="64">
        <v>7.45</v>
      </c>
      <c r="H18" s="210" t="s">
        <v>43</v>
      </c>
      <c r="I18" s="64">
        <v>3.47</v>
      </c>
      <c r="J18" s="64">
        <v>0.11</v>
      </c>
      <c r="K18" s="64">
        <v>342.18</v>
      </c>
      <c r="L18" s="64">
        <v>25.42</v>
      </c>
      <c r="M18" s="64">
        <v>103.72</v>
      </c>
      <c r="N18" s="64">
        <v>25.8</v>
      </c>
      <c r="O18" s="64">
        <v>0</v>
      </c>
      <c r="P18" s="64">
        <v>0.34</v>
      </c>
      <c r="Q18" s="64">
        <v>9.5299999999999994</v>
      </c>
      <c r="R18" s="198"/>
      <c r="S18" s="198"/>
      <c r="T18" s="198"/>
      <c r="U18" s="198"/>
    </row>
    <row r="19" spans="1:21" s="12" customFormat="1" x14ac:dyDescent="0.25">
      <c r="A19" s="248" t="s">
        <v>2463</v>
      </c>
      <c r="B19" s="64">
        <v>8</v>
      </c>
      <c r="C19" s="64">
        <v>2.99</v>
      </c>
      <c r="D19" s="64">
        <v>11.75</v>
      </c>
      <c r="E19" s="64">
        <v>4.75</v>
      </c>
      <c r="F19" s="64">
        <v>3.21</v>
      </c>
      <c r="G19" s="64">
        <v>7.34</v>
      </c>
      <c r="H19" s="210" t="s">
        <v>43</v>
      </c>
      <c r="I19" s="64">
        <v>3.64</v>
      </c>
      <c r="J19" s="64">
        <v>0.11</v>
      </c>
      <c r="K19" s="64">
        <v>324.56</v>
      </c>
      <c r="L19" s="64">
        <v>25.53</v>
      </c>
      <c r="M19" s="64">
        <v>104.11</v>
      </c>
      <c r="N19" s="64">
        <v>25.7</v>
      </c>
      <c r="O19" s="64">
        <v>0</v>
      </c>
      <c r="P19" s="64">
        <v>0.33</v>
      </c>
      <c r="Q19" s="64">
        <v>9.5399999999999991</v>
      </c>
      <c r="R19" s="198"/>
      <c r="S19" s="198"/>
      <c r="T19" s="198"/>
      <c r="U19" s="198"/>
    </row>
    <row r="20" spans="1:21" s="12" customFormat="1" x14ac:dyDescent="0.25">
      <c r="A20" s="248" t="s">
        <v>2464</v>
      </c>
      <c r="B20" s="64">
        <v>7.99</v>
      </c>
      <c r="C20" s="64">
        <v>3.02</v>
      </c>
      <c r="D20" s="64">
        <v>11.76</v>
      </c>
      <c r="E20" s="64">
        <v>4.5999999999999996</v>
      </c>
      <c r="F20" s="64">
        <v>3.03</v>
      </c>
      <c r="G20" s="64">
        <v>7.34</v>
      </c>
      <c r="H20" s="210" t="s">
        <v>43</v>
      </c>
      <c r="I20" s="64">
        <v>3.73</v>
      </c>
      <c r="J20" s="64">
        <v>0.05</v>
      </c>
      <c r="K20" s="64">
        <v>331.55</v>
      </c>
      <c r="L20" s="64">
        <v>25.5</v>
      </c>
      <c r="M20" s="64">
        <v>103.71</v>
      </c>
      <c r="N20" s="64">
        <v>25.9</v>
      </c>
      <c r="O20" s="64">
        <v>0</v>
      </c>
      <c r="P20" s="64">
        <v>0.32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48" t="s">
        <v>2465</v>
      </c>
      <c r="B21" s="64">
        <v>7.97</v>
      </c>
      <c r="C21" s="64">
        <v>2.97</v>
      </c>
      <c r="D21" s="64">
        <v>11.72</v>
      </c>
      <c r="E21" s="64">
        <v>4.6100000000000003</v>
      </c>
      <c r="F21" s="64">
        <v>2.81</v>
      </c>
      <c r="G21" s="64">
        <v>7.34</v>
      </c>
      <c r="H21" s="210" t="s">
        <v>43</v>
      </c>
      <c r="I21" s="64">
        <v>3.68</v>
      </c>
      <c r="J21" s="64">
        <v>0.03</v>
      </c>
      <c r="K21" s="64">
        <v>24.73</v>
      </c>
      <c r="L21" s="64">
        <v>25.55</v>
      </c>
      <c r="M21" s="64">
        <v>104.16</v>
      </c>
      <c r="N21" s="64">
        <v>26.1</v>
      </c>
      <c r="O21" s="64">
        <v>0</v>
      </c>
      <c r="P21" s="64">
        <v>0.32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48" t="s">
        <v>2466</v>
      </c>
      <c r="B22" s="64">
        <v>7.98</v>
      </c>
      <c r="C22" s="64">
        <v>2.97</v>
      </c>
      <c r="D22" s="64">
        <v>11.73</v>
      </c>
      <c r="E22" s="64">
        <v>4.1100000000000003</v>
      </c>
      <c r="F22" s="64">
        <v>2.98</v>
      </c>
      <c r="G22" s="64">
        <v>5.37</v>
      </c>
      <c r="H22" s="210" t="s">
        <v>43</v>
      </c>
      <c r="I22" s="64">
        <v>3.58</v>
      </c>
      <c r="J22" s="64">
        <v>7.0000000000000007E-2</v>
      </c>
      <c r="K22" s="64">
        <v>330.35</v>
      </c>
      <c r="L22" s="64">
        <v>25.45</v>
      </c>
      <c r="M22" s="64">
        <v>103.86</v>
      </c>
      <c r="N22" s="64">
        <v>26.1</v>
      </c>
      <c r="O22" s="64">
        <v>0</v>
      </c>
      <c r="P22" s="64">
        <v>0.31</v>
      </c>
      <c r="Q22" s="64">
        <v>9.5399999999999991</v>
      </c>
      <c r="R22" s="198"/>
      <c r="S22" s="198"/>
      <c r="T22" s="198"/>
      <c r="U22" s="198"/>
    </row>
    <row r="23" spans="1:21" s="12" customFormat="1" x14ac:dyDescent="0.25">
      <c r="A23" s="248" t="s">
        <v>2467</v>
      </c>
      <c r="B23" s="64">
        <v>7.97</v>
      </c>
      <c r="C23" s="64">
        <v>2.99</v>
      </c>
      <c r="D23" s="64">
        <v>11.73</v>
      </c>
      <c r="E23" s="64">
        <v>4.78</v>
      </c>
      <c r="F23" s="64">
        <v>3.8</v>
      </c>
      <c r="G23" s="64">
        <v>5.28</v>
      </c>
      <c r="H23" s="210" t="s">
        <v>43</v>
      </c>
      <c r="I23" s="64">
        <v>3.58</v>
      </c>
      <c r="J23" s="64">
        <v>7.0000000000000007E-2</v>
      </c>
      <c r="K23" s="64">
        <v>348.64</v>
      </c>
      <c r="L23" s="64">
        <v>25.53</v>
      </c>
      <c r="M23" s="64">
        <v>104.05</v>
      </c>
      <c r="N23" s="64">
        <v>26.1</v>
      </c>
      <c r="O23" s="64">
        <v>0</v>
      </c>
      <c r="P23" s="64">
        <v>0.31</v>
      </c>
      <c r="Q23" s="64">
        <v>9.5500000000000007</v>
      </c>
      <c r="R23" s="198"/>
      <c r="S23" s="198"/>
      <c r="T23" s="198"/>
      <c r="U23" s="198"/>
    </row>
    <row r="24" spans="1:21" s="12" customFormat="1" x14ac:dyDescent="0.25">
      <c r="A24" s="248" t="s">
        <v>2468</v>
      </c>
      <c r="B24" s="64">
        <v>7.94</v>
      </c>
      <c r="C24" s="64">
        <v>2.96</v>
      </c>
      <c r="D24" s="64">
        <v>11.69</v>
      </c>
      <c r="E24" s="64">
        <v>4.6900000000000004</v>
      </c>
      <c r="F24" s="64">
        <v>4.28</v>
      </c>
      <c r="G24" s="64">
        <v>5.28</v>
      </c>
      <c r="H24" s="210" t="s">
        <v>43</v>
      </c>
      <c r="I24" s="64">
        <v>3.59</v>
      </c>
      <c r="J24" s="64">
        <v>0.1</v>
      </c>
      <c r="K24" s="64">
        <v>357.05</v>
      </c>
      <c r="L24" s="64">
        <v>25.51</v>
      </c>
      <c r="M24" s="64">
        <v>103.67</v>
      </c>
      <c r="N24" s="64">
        <v>26.1</v>
      </c>
      <c r="O24" s="64">
        <v>0</v>
      </c>
      <c r="P24" s="64">
        <v>0.31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48" t="s">
        <v>2469</v>
      </c>
      <c r="B25" s="64">
        <v>7.94</v>
      </c>
      <c r="C25" s="64">
        <v>2.94</v>
      </c>
      <c r="D25" s="64">
        <v>11.68</v>
      </c>
      <c r="E25" s="64">
        <v>4.53</v>
      </c>
      <c r="F25" s="64">
        <v>2.88</v>
      </c>
      <c r="G25" s="64">
        <v>5.28</v>
      </c>
      <c r="H25" s="210" t="s">
        <v>43</v>
      </c>
      <c r="I25" s="64">
        <v>3.44</v>
      </c>
      <c r="J25" s="64">
        <v>0.1</v>
      </c>
      <c r="K25" s="64">
        <v>350.53</v>
      </c>
      <c r="L25" s="64">
        <v>25.34</v>
      </c>
      <c r="M25" s="64">
        <v>104.2</v>
      </c>
      <c r="N25" s="64">
        <v>25.8</v>
      </c>
      <c r="O25" s="64">
        <v>0</v>
      </c>
      <c r="P25" s="64">
        <v>0.3</v>
      </c>
      <c r="Q25" s="64">
        <v>9.48</v>
      </c>
      <c r="R25" s="198"/>
      <c r="S25" s="198"/>
      <c r="T25" s="198"/>
      <c r="U25" s="198"/>
    </row>
    <row r="26" spans="1:21" s="12" customFormat="1" x14ac:dyDescent="0.25">
      <c r="A26" s="248" t="s">
        <v>2470</v>
      </c>
      <c r="B26" s="64">
        <v>7.94</v>
      </c>
      <c r="C26" s="64">
        <v>2.91</v>
      </c>
      <c r="D26" s="64">
        <v>11.66</v>
      </c>
      <c r="E26" s="64">
        <v>4.9400000000000004</v>
      </c>
      <c r="F26" s="64">
        <v>4.7</v>
      </c>
      <c r="G26" s="64">
        <v>4.09</v>
      </c>
      <c r="H26" s="210" t="s">
        <v>43</v>
      </c>
      <c r="I26" s="64">
        <v>3.31</v>
      </c>
      <c r="J26" s="64">
        <v>0.02</v>
      </c>
      <c r="K26" s="64">
        <v>312.52</v>
      </c>
      <c r="L26" s="64">
        <v>25.18</v>
      </c>
      <c r="M26" s="64">
        <v>104</v>
      </c>
      <c r="N26" s="64">
        <v>25.4</v>
      </c>
      <c r="O26" s="64">
        <v>0</v>
      </c>
      <c r="P26" s="64">
        <v>0.3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48" t="s">
        <v>2471</v>
      </c>
      <c r="B27" s="64">
        <v>7.94</v>
      </c>
      <c r="C27" s="64">
        <v>2.98</v>
      </c>
      <c r="D27" s="64">
        <v>11.7</v>
      </c>
      <c r="E27" s="64">
        <v>4.8499999999999996</v>
      </c>
      <c r="F27" s="64">
        <v>3.21</v>
      </c>
      <c r="G27" s="64">
        <v>4.03</v>
      </c>
      <c r="H27" s="210" t="s">
        <v>43</v>
      </c>
      <c r="I27" s="64">
        <v>3.31</v>
      </c>
      <c r="J27" s="64">
        <v>0.08</v>
      </c>
      <c r="K27" s="64">
        <v>3.33</v>
      </c>
      <c r="L27" s="64">
        <v>25.19</v>
      </c>
      <c r="M27" s="64">
        <v>103.75</v>
      </c>
      <c r="N27" s="64">
        <v>25.4</v>
      </c>
      <c r="O27" s="64">
        <v>0</v>
      </c>
      <c r="P27" s="64">
        <v>0.28999999999999998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48" t="s">
        <v>2472</v>
      </c>
      <c r="B28" s="64">
        <v>7.95</v>
      </c>
      <c r="C28" s="64">
        <v>3.06</v>
      </c>
      <c r="D28" s="64">
        <v>11.75</v>
      </c>
      <c r="E28" s="64">
        <v>5.07</v>
      </c>
      <c r="F28" s="64">
        <v>3.82</v>
      </c>
      <c r="G28" s="64">
        <v>4.03</v>
      </c>
      <c r="H28" s="210" t="s">
        <v>43</v>
      </c>
      <c r="I28" s="64">
        <v>3.25</v>
      </c>
      <c r="J28" s="64">
        <v>0.09</v>
      </c>
      <c r="K28" s="64">
        <v>335.4</v>
      </c>
      <c r="L28" s="64">
        <v>25.18</v>
      </c>
      <c r="M28" s="64">
        <v>104.12</v>
      </c>
      <c r="N28" s="64">
        <v>23.6</v>
      </c>
      <c r="O28" s="64">
        <v>0</v>
      </c>
      <c r="P28" s="64">
        <v>0.3</v>
      </c>
      <c r="Q28" s="64">
        <v>9.4700000000000006</v>
      </c>
      <c r="R28" s="198"/>
      <c r="S28" s="198"/>
      <c r="T28" s="198"/>
      <c r="U28" s="198"/>
    </row>
    <row r="29" spans="1:21" s="12" customFormat="1" x14ac:dyDescent="0.25">
      <c r="A29" s="248" t="s">
        <v>2473</v>
      </c>
      <c r="B29" s="64">
        <v>7.98</v>
      </c>
      <c r="C29" s="64">
        <v>3.07</v>
      </c>
      <c r="D29" s="64">
        <v>11.78</v>
      </c>
      <c r="E29" s="64">
        <v>4.82</v>
      </c>
      <c r="F29" s="64">
        <v>3.49</v>
      </c>
      <c r="G29" s="64">
        <v>4.03</v>
      </c>
      <c r="H29" s="210" t="s">
        <v>43</v>
      </c>
      <c r="I29" s="64">
        <v>3.15</v>
      </c>
      <c r="J29" s="64">
        <v>0.08</v>
      </c>
      <c r="K29" s="64">
        <v>345.15</v>
      </c>
      <c r="L29" s="64">
        <v>25.11</v>
      </c>
      <c r="M29" s="64">
        <v>104.22</v>
      </c>
      <c r="N29" s="64">
        <v>25.4</v>
      </c>
      <c r="O29" s="64">
        <v>0</v>
      </c>
      <c r="P29" s="64">
        <v>0.28000000000000003</v>
      </c>
      <c r="Q29" s="64">
        <v>9.4700000000000006</v>
      </c>
      <c r="R29" s="198"/>
      <c r="S29" s="198"/>
      <c r="T29" s="198"/>
      <c r="U29" s="198"/>
    </row>
    <row r="30" spans="1:21" s="12" customFormat="1" x14ac:dyDescent="0.25">
      <c r="A30" s="248" t="s">
        <v>2474</v>
      </c>
      <c r="B30" s="64">
        <v>7.96</v>
      </c>
      <c r="C30" s="64">
        <v>3.01</v>
      </c>
      <c r="D30" s="64">
        <v>11.73</v>
      </c>
      <c r="E30" s="64">
        <v>4.75</v>
      </c>
      <c r="F30" s="64">
        <v>4.12</v>
      </c>
      <c r="G30" s="64">
        <v>5.13</v>
      </c>
      <c r="H30" s="210" t="s">
        <v>43</v>
      </c>
      <c r="I30" s="64">
        <v>3.09</v>
      </c>
      <c r="J30" s="64">
        <v>0.08</v>
      </c>
      <c r="K30" s="64">
        <v>326.64999999999998</v>
      </c>
      <c r="L30" s="64">
        <v>25.17</v>
      </c>
      <c r="M30" s="64">
        <v>104.02</v>
      </c>
      <c r="N30" s="64">
        <v>14.7</v>
      </c>
      <c r="O30" s="64">
        <v>0</v>
      </c>
      <c r="P30" s="64">
        <v>0.28999999999999998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48" t="s">
        <v>2475</v>
      </c>
      <c r="B31" s="64">
        <v>7.95</v>
      </c>
      <c r="C31" s="64">
        <v>2.95</v>
      </c>
      <c r="D31" s="64">
        <v>11.69</v>
      </c>
      <c r="E31" s="64">
        <v>4.6500000000000004</v>
      </c>
      <c r="F31" s="64">
        <v>2.87</v>
      </c>
      <c r="G31" s="64">
        <v>5.18</v>
      </c>
      <c r="H31" s="210" t="s">
        <v>43</v>
      </c>
      <c r="I31" s="64">
        <v>2.92</v>
      </c>
      <c r="J31" s="64">
        <v>0.04</v>
      </c>
      <c r="K31" s="64">
        <v>354.39</v>
      </c>
      <c r="L31" s="64">
        <v>25.12</v>
      </c>
      <c r="M31" s="64">
        <v>103.76</v>
      </c>
      <c r="N31" s="64">
        <v>20.5</v>
      </c>
      <c r="O31" s="64">
        <v>0</v>
      </c>
      <c r="P31" s="64">
        <v>0.28000000000000003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48" t="s">
        <v>2476</v>
      </c>
      <c r="B32" s="64">
        <v>7.93</v>
      </c>
      <c r="C32" s="64">
        <v>2.97</v>
      </c>
      <c r="D32" s="64">
        <v>11.69</v>
      </c>
      <c r="E32" s="64">
        <v>4.8600000000000003</v>
      </c>
      <c r="F32" s="64">
        <v>3.9</v>
      </c>
      <c r="G32" s="64">
        <v>5.18</v>
      </c>
      <c r="H32" s="210" t="s">
        <v>43</v>
      </c>
      <c r="I32" s="64">
        <v>2.92</v>
      </c>
      <c r="J32" s="64">
        <v>0.04</v>
      </c>
      <c r="K32" s="64">
        <v>326.14999999999998</v>
      </c>
      <c r="L32" s="64">
        <v>25.27</v>
      </c>
      <c r="M32" s="64">
        <v>104.18</v>
      </c>
      <c r="N32" s="64">
        <v>21.8</v>
      </c>
      <c r="O32" s="64">
        <v>0</v>
      </c>
      <c r="P32" s="64">
        <v>0.28999999999999998</v>
      </c>
      <c r="Q32" s="64">
        <v>9.4700000000000006</v>
      </c>
      <c r="R32" s="198"/>
      <c r="S32" s="198"/>
      <c r="T32" s="198"/>
      <c r="U32" s="198"/>
    </row>
    <row r="33" spans="1:21" s="12" customFormat="1" x14ac:dyDescent="0.25">
      <c r="A33" s="248" t="s">
        <v>2477</v>
      </c>
      <c r="B33" s="64">
        <v>7.97</v>
      </c>
      <c r="C33" s="64">
        <v>2.99</v>
      </c>
      <c r="D33" s="64">
        <v>11.73</v>
      </c>
      <c r="E33" s="64">
        <v>4.5599999999999996</v>
      </c>
      <c r="F33" s="64">
        <v>3.72</v>
      </c>
      <c r="G33" s="64">
        <v>5.18</v>
      </c>
      <c r="H33" s="210" t="s">
        <v>43</v>
      </c>
      <c r="I33" s="64">
        <v>2.82</v>
      </c>
      <c r="J33" s="64">
        <v>0.04</v>
      </c>
      <c r="K33" s="64">
        <v>345.08</v>
      </c>
      <c r="L33" s="64">
        <v>25.28</v>
      </c>
      <c r="M33" s="64">
        <v>104.15</v>
      </c>
      <c r="N33" s="64">
        <v>40</v>
      </c>
      <c r="O33" s="64">
        <v>0</v>
      </c>
      <c r="P33" s="64">
        <v>0.27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48" t="s">
        <v>2478</v>
      </c>
      <c r="B34" s="64">
        <v>7.97</v>
      </c>
      <c r="C34" s="64">
        <v>2.97</v>
      </c>
      <c r="D34" s="64">
        <v>11.72</v>
      </c>
      <c r="E34" s="64">
        <v>4.5599999999999996</v>
      </c>
      <c r="F34" s="64">
        <v>3.59</v>
      </c>
      <c r="G34" s="64">
        <v>4.24</v>
      </c>
      <c r="H34" s="210" t="s">
        <v>43</v>
      </c>
      <c r="I34" s="64">
        <v>2.75</v>
      </c>
      <c r="J34" s="64">
        <v>0.04</v>
      </c>
      <c r="K34" s="64">
        <v>281.3</v>
      </c>
      <c r="L34" s="64">
        <v>25.47</v>
      </c>
      <c r="M34" s="64">
        <v>103.92</v>
      </c>
      <c r="N34" s="64">
        <v>50.2</v>
      </c>
      <c r="O34" s="64">
        <v>0</v>
      </c>
      <c r="P34" s="64">
        <v>0.27</v>
      </c>
      <c r="Q34" s="64">
        <v>9.48</v>
      </c>
      <c r="R34" s="198"/>
      <c r="S34" s="198"/>
      <c r="T34" s="198"/>
      <c r="U34" s="198"/>
    </row>
    <row r="35" spans="1:21" s="12" customFormat="1" x14ac:dyDescent="0.25">
      <c r="A35" s="248" t="s">
        <v>2479</v>
      </c>
      <c r="B35" s="64">
        <v>7.97</v>
      </c>
      <c r="C35" s="64">
        <v>2.97</v>
      </c>
      <c r="D35" s="64">
        <v>11.72</v>
      </c>
      <c r="E35" s="64">
        <v>4.7300000000000004</v>
      </c>
      <c r="F35" s="64">
        <v>3.22</v>
      </c>
      <c r="G35" s="64">
        <v>4.2</v>
      </c>
      <c r="H35" s="210" t="s">
        <v>43</v>
      </c>
      <c r="I35" s="64">
        <v>2.81</v>
      </c>
      <c r="J35" s="64">
        <v>0.09</v>
      </c>
      <c r="K35" s="64">
        <v>353.31</v>
      </c>
      <c r="L35" s="64">
        <v>25.71</v>
      </c>
      <c r="M35" s="64">
        <v>104.18</v>
      </c>
      <c r="N35" s="64">
        <v>104.7</v>
      </c>
      <c r="O35" s="64">
        <v>0</v>
      </c>
      <c r="P35" s="64">
        <v>0.28000000000000003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48" t="s">
        <v>2480</v>
      </c>
      <c r="B36" s="64">
        <v>7.97</v>
      </c>
      <c r="C36" s="64">
        <v>2.93</v>
      </c>
      <c r="D36" s="64">
        <v>11.7</v>
      </c>
      <c r="E36" s="64">
        <v>4.53</v>
      </c>
      <c r="F36" s="64">
        <v>3.17</v>
      </c>
      <c r="G36" s="64">
        <v>4.2</v>
      </c>
      <c r="H36" s="210" t="s">
        <v>43</v>
      </c>
      <c r="I36" s="64">
        <v>2.95</v>
      </c>
      <c r="J36" s="64">
        <v>0.09</v>
      </c>
      <c r="K36" s="64">
        <v>322.95999999999998</v>
      </c>
      <c r="L36" s="64">
        <v>26.02</v>
      </c>
      <c r="M36" s="64">
        <v>103.81</v>
      </c>
      <c r="N36" s="64">
        <v>98.8</v>
      </c>
      <c r="O36" s="64">
        <v>0</v>
      </c>
      <c r="P36" s="64">
        <v>0.28000000000000003</v>
      </c>
      <c r="Q36" s="64">
        <v>9.5</v>
      </c>
      <c r="R36" s="198"/>
      <c r="S36" s="198"/>
      <c r="T36" s="198"/>
      <c r="U36" s="198"/>
    </row>
    <row r="37" spans="1:21" s="12" customFormat="1" x14ac:dyDescent="0.25">
      <c r="A37" s="248" t="s">
        <v>2481</v>
      </c>
      <c r="B37" s="64">
        <v>7.97</v>
      </c>
      <c r="C37" s="64">
        <v>2.93</v>
      </c>
      <c r="D37" s="64">
        <v>11.69</v>
      </c>
      <c r="E37" s="64">
        <v>4.57</v>
      </c>
      <c r="F37" s="64">
        <v>3.33</v>
      </c>
      <c r="G37" s="64">
        <v>4.2</v>
      </c>
      <c r="H37" s="210" t="s">
        <v>43</v>
      </c>
      <c r="I37" s="64">
        <v>3.03</v>
      </c>
      <c r="J37" s="64">
        <v>0.01</v>
      </c>
      <c r="K37" s="64">
        <v>187.53</v>
      </c>
      <c r="L37" s="64">
        <v>26.05</v>
      </c>
      <c r="M37" s="64">
        <v>104.22</v>
      </c>
      <c r="N37" s="64">
        <v>110.7</v>
      </c>
      <c r="O37" s="64">
        <v>0</v>
      </c>
      <c r="P37" s="64">
        <v>0.27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48" t="s">
        <v>2482</v>
      </c>
      <c r="B38" s="64">
        <v>7.98</v>
      </c>
      <c r="C38" s="64">
        <v>2.91</v>
      </c>
      <c r="D38" s="64">
        <v>11.69</v>
      </c>
      <c r="E38" s="64">
        <v>4.51</v>
      </c>
      <c r="F38" s="64">
        <v>3.36</v>
      </c>
      <c r="G38" s="64">
        <v>9.15</v>
      </c>
      <c r="H38" s="210" t="s">
        <v>43</v>
      </c>
      <c r="I38" s="64">
        <v>2.99</v>
      </c>
      <c r="J38" s="64">
        <v>0.09</v>
      </c>
      <c r="K38" s="64">
        <v>327.58999999999997</v>
      </c>
      <c r="L38" s="64">
        <v>26.37</v>
      </c>
      <c r="M38" s="64">
        <v>103.89</v>
      </c>
      <c r="N38" s="64">
        <v>200.1</v>
      </c>
      <c r="O38" s="64">
        <v>0</v>
      </c>
      <c r="P38" s="64">
        <v>0.28000000000000003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48" t="s">
        <v>2483</v>
      </c>
      <c r="B39" s="64">
        <v>7.98</v>
      </c>
      <c r="C39" s="64">
        <v>2.96</v>
      </c>
      <c r="D39" s="64">
        <v>11.72</v>
      </c>
      <c r="E39" s="64">
        <v>5.0599999999999996</v>
      </c>
      <c r="F39" s="64">
        <v>3.48</v>
      </c>
      <c r="G39" s="64">
        <v>9.3800000000000008</v>
      </c>
      <c r="H39" s="210" t="s">
        <v>43</v>
      </c>
      <c r="I39" s="64">
        <v>2.99</v>
      </c>
      <c r="J39" s="64">
        <v>0.15</v>
      </c>
      <c r="K39" s="64">
        <v>349.5</v>
      </c>
      <c r="L39" s="64">
        <v>27.24</v>
      </c>
      <c r="M39" s="64">
        <v>104.06</v>
      </c>
      <c r="N39" s="64">
        <v>192.4</v>
      </c>
      <c r="O39" s="64">
        <v>0</v>
      </c>
      <c r="P39" s="64">
        <v>0.3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48" t="s">
        <v>2484</v>
      </c>
      <c r="B40" s="64">
        <v>7.97</v>
      </c>
      <c r="C40" s="64">
        <v>2.95</v>
      </c>
      <c r="D40" s="64">
        <v>11.71</v>
      </c>
      <c r="E40" s="64">
        <v>4.21</v>
      </c>
      <c r="F40" s="64">
        <v>3.74</v>
      </c>
      <c r="G40" s="64">
        <v>9.3800000000000008</v>
      </c>
      <c r="H40" s="210" t="s">
        <v>43</v>
      </c>
      <c r="I40" s="64">
        <v>3.01</v>
      </c>
      <c r="J40" s="64">
        <v>0.13</v>
      </c>
      <c r="K40" s="64">
        <v>347.74</v>
      </c>
      <c r="L40" s="64">
        <v>26.98</v>
      </c>
      <c r="M40" s="64">
        <v>103.65</v>
      </c>
      <c r="N40" s="64">
        <v>151.6</v>
      </c>
      <c r="O40" s="64">
        <v>0</v>
      </c>
      <c r="P40" s="64">
        <v>0.3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48" t="s">
        <v>2485</v>
      </c>
      <c r="B41" s="64">
        <v>7.94</v>
      </c>
      <c r="C41" s="64">
        <v>3.02</v>
      </c>
      <c r="D41" s="64">
        <v>11.72</v>
      </c>
      <c r="E41" s="64">
        <v>4.76</v>
      </c>
      <c r="F41" s="64">
        <v>4.01</v>
      </c>
      <c r="G41" s="64">
        <v>9.3800000000000008</v>
      </c>
      <c r="H41" s="210" t="s">
        <v>43</v>
      </c>
      <c r="I41" s="64">
        <v>2.76</v>
      </c>
      <c r="J41" s="64">
        <v>0.21</v>
      </c>
      <c r="K41" s="64">
        <v>346.21</v>
      </c>
      <c r="L41" s="64">
        <v>26.51</v>
      </c>
      <c r="M41" s="64">
        <v>104.13</v>
      </c>
      <c r="N41" s="64">
        <v>171.5</v>
      </c>
      <c r="O41" s="64">
        <v>0</v>
      </c>
      <c r="P41" s="64">
        <v>0.31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48" t="s">
        <v>2486</v>
      </c>
      <c r="B42" s="64">
        <v>7.99</v>
      </c>
      <c r="C42" s="64">
        <v>3.08</v>
      </c>
      <c r="D42" s="64">
        <v>11.79</v>
      </c>
      <c r="E42" s="64">
        <v>4.2</v>
      </c>
      <c r="F42" s="64">
        <v>4.42</v>
      </c>
      <c r="G42" s="64">
        <v>7.66</v>
      </c>
      <c r="H42" s="210" t="s">
        <v>43</v>
      </c>
      <c r="I42" s="64">
        <v>2.59</v>
      </c>
      <c r="J42" s="64">
        <v>0.25</v>
      </c>
      <c r="K42" s="64">
        <v>343.46</v>
      </c>
      <c r="L42" s="64">
        <v>26.43</v>
      </c>
      <c r="M42" s="64">
        <v>103.76</v>
      </c>
      <c r="N42" s="64">
        <v>189.4</v>
      </c>
      <c r="O42" s="64">
        <v>0</v>
      </c>
      <c r="P42" s="64">
        <v>0.31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48" t="s">
        <v>2487</v>
      </c>
      <c r="B43" s="64">
        <v>7.94</v>
      </c>
      <c r="C43" s="64">
        <v>3.02</v>
      </c>
      <c r="D43" s="64">
        <v>11.72</v>
      </c>
      <c r="E43" s="64">
        <v>4.07</v>
      </c>
      <c r="F43" s="64">
        <v>4.29</v>
      </c>
      <c r="G43" s="64">
        <v>7.58</v>
      </c>
      <c r="H43" s="210" t="s">
        <v>43</v>
      </c>
      <c r="I43" s="64">
        <v>2.41</v>
      </c>
      <c r="J43" s="64">
        <v>0.22</v>
      </c>
      <c r="K43" s="64">
        <v>353.23</v>
      </c>
      <c r="L43" s="64">
        <v>26.66</v>
      </c>
      <c r="M43" s="64">
        <v>103.04</v>
      </c>
      <c r="N43" s="64">
        <v>241.7</v>
      </c>
      <c r="O43" s="64">
        <v>0</v>
      </c>
      <c r="P43" s="64">
        <v>0.32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48" t="s">
        <v>2488</v>
      </c>
      <c r="B44" s="64">
        <v>7.94</v>
      </c>
      <c r="C44" s="64">
        <v>2.99</v>
      </c>
      <c r="D44" s="64">
        <v>11.7</v>
      </c>
      <c r="E44" s="64">
        <v>4.67</v>
      </c>
      <c r="F44" s="64">
        <v>4.42</v>
      </c>
      <c r="G44" s="64">
        <v>7.58</v>
      </c>
      <c r="H44" s="210" t="s">
        <v>43</v>
      </c>
      <c r="I44" s="64">
        <v>2.2000000000000002</v>
      </c>
      <c r="J44" s="64">
        <v>0.21</v>
      </c>
      <c r="K44" s="64">
        <v>353.1</v>
      </c>
      <c r="L44" s="64">
        <v>27.15</v>
      </c>
      <c r="M44" s="64">
        <v>101.71</v>
      </c>
      <c r="N44" s="64">
        <v>272</v>
      </c>
      <c r="O44" s="64">
        <v>0</v>
      </c>
      <c r="P44" s="64">
        <v>0.32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48" t="s">
        <v>2489</v>
      </c>
      <c r="B45" s="64">
        <v>7.94</v>
      </c>
      <c r="C45" s="64">
        <v>3</v>
      </c>
      <c r="D45" s="64">
        <v>11.71</v>
      </c>
      <c r="E45" s="64">
        <v>4.22</v>
      </c>
      <c r="F45" s="64">
        <v>4.13</v>
      </c>
      <c r="G45" s="64">
        <v>7.58</v>
      </c>
      <c r="H45" s="210" t="s">
        <v>43</v>
      </c>
      <c r="I45" s="64">
        <v>2.0499999999999998</v>
      </c>
      <c r="J45" s="64">
        <v>0.17</v>
      </c>
      <c r="K45" s="64">
        <v>346.47</v>
      </c>
      <c r="L45" s="64">
        <v>26.98</v>
      </c>
      <c r="M45" s="64">
        <v>102.36</v>
      </c>
      <c r="N45" s="64">
        <v>152.4</v>
      </c>
      <c r="O45" s="64">
        <v>0</v>
      </c>
      <c r="P45" s="64">
        <v>0.33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48" t="s">
        <v>2490</v>
      </c>
      <c r="B46" s="64">
        <v>7.98</v>
      </c>
      <c r="C46" s="64">
        <v>3</v>
      </c>
      <c r="D46" s="64">
        <v>11.74</v>
      </c>
      <c r="E46" s="64">
        <v>3.98</v>
      </c>
      <c r="F46" s="64">
        <v>4.08</v>
      </c>
      <c r="G46" s="64">
        <v>9.18</v>
      </c>
      <c r="H46" s="210" t="s">
        <v>43</v>
      </c>
      <c r="I46" s="64">
        <v>1.87</v>
      </c>
      <c r="J46" s="64">
        <v>0.26</v>
      </c>
      <c r="K46" s="64">
        <v>345.71</v>
      </c>
      <c r="L46" s="64">
        <v>26.59</v>
      </c>
      <c r="M46" s="64">
        <v>103.91</v>
      </c>
      <c r="N46" s="64">
        <v>197.9</v>
      </c>
      <c r="O46" s="64">
        <v>0</v>
      </c>
      <c r="P46" s="64">
        <v>0.32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48" t="s">
        <v>2491</v>
      </c>
      <c r="B47" s="64">
        <v>7.96</v>
      </c>
      <c r="C47" s="64">
        <v>2.91</v>
      </c>
      <c r="D47" s="64">
        <v>11.68</v>
      </c>
      <c r="E47" s="64">
        <v>4.5999999999999996</v>
      </c>
      <c r="F47" s="64">
        <v>5.21</v>
      </c>
      <c r="G47" s="64">
        <v>9.25</v>
      </c>
      <c r="H47" s="210" t="s">
        <v>43</v>
      </c>
      <c r="I47" s="64">
        <v>1.77</v>
      </c>
      <c r="J47" s="64">
        <v>0.2</v>
      </c>
      <c r="K47" s="64">
        <v>336.31</v>
      </c>
      <c r="L47" s="64">
        <v>26.97</v>
      </c>
      <c r="M47" s="64">
        <v>102.27</v>
      </c>
      <c r="N47" s="64">
        <v>172.4</v>
      </c>
      <c r="O47" s="64">
        <v>0</v>
      </c>
      <c r="P47" s="64">
        <v>0.34</v>
      </c>
      <c r="Q47" s="64">
        <v>9.48</v>
      </c>
      <c r="R47" s="198"/>
      <c r="S47" s="198"/>
      <c r="T47" s="198"/>
      <c r="U47" s="198"/>
    </row>
    <row r="48" spans="1:21" s="12" customFormat="1" x14ac:dyDescent="0.25">
      <c r="A48" s="248" t="s">
        <v>2492</v>
      </c>
      <c r="B48" s="64">
        <v>7.94</v>
      </c>
      <c r="C48" s="64">
        <v>2.96</v>
      </c>
      <c r="D48" s="64">
        <v>11.69</v>
      </c>
      <c r="E48" s="64">
        <v>4.54</v>
      </c>
      <c r="F48" s="64">
        <v>3.23</v>
      </c>
      <c r="G48" s="64">
        <v>9.25</v>
      </c>
      <c r="H48" s="210" t="s">
        <v>43</v>
      </c>
      <c r="I48" s="64">
        <v>1.63</v>
      </c>
      <c r="J48" s="64">
        <v>0.2</v>
      </c>
      <c r="K48" s="64">
        <v>335.27</v>
      </c>
      <c r="L48" s="64">
        <v>27.74</v>
      </c>
      <c r="M48" s="64">
        <v>99.62</v>
      </c>
      <c r="N48" s="64">
        <v>275.39999999999998</v>
      </c>
      <c r="O48" s="64">
        <v>0</v>
      </c>
      <c r="P48" s="64">
        <v>0.34</v>
      </c>
      <c r="Q48" s="64">
        <v>9.42</v>
      </c>
      <c r="R48" s="198"/>
      <c r="S48" s="198"/>
      <c r="T48" s="198"/>
      <c r="U48" s="198"/>
    </row>
    <row r="49" spans="1:21" s="12" customFormat="1" x14ac:dyDescent="0.25">
      <c r="A49" s="248" t="s">
        <v>2493</v>
      </c>
      <c r="B49" s="64">
        <v>7.95</v>
      </c>
      <c r="C49" s="64">
        <v>2.98</v>
      </c>
      <c r="D49" s="64">
        <v>11.7</v>
      </c>
      <c r="E49" s="64">
        <v>4.57</v>
      </c>
      <c r="F49" s="64">
        <v>3.61</v>
      </c>
      <c r="G49" s="64">
        <v>9.25</v>
      </c>
      <c r="H49" s="210" t="s">
        <v>43</v>
      </c>
      <c r="I49" s="64">
        <v>1.58</v>
      </c>
      <c r="J49" s="64">
        <v>0.22</v>
      </c>
      <c r="K49" s="64">
        <v>334.21</v>
      </c>
      <c r="L49" s="64">
        <v>27.96</v>
      </c>
      <c r="M49" s="64">
        <v>97.24</v>
      </c>
      <c r="N49" s="64">
        <v>284.60000000000002</v>
      </c>
      <c r="O49" s="64">
        <v>0</v>
      </c>
      <c r="P49" s="64">
        <v>0.34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48" t="s">
        <v>2494</v>
      </c>
      <c r="B50" s="64">
        <v>7.98</v>
      </c>
      <c r="C50" s="64">
        <v>2.96</v>
      </c>
      <c r="D50" s="64">
        <v>11.72</v>
      </c>
      <c r="E50" s="64">
        <v>4.1900000000000004</v>
      </c>
      <c r="F50" s="64">
        <v>4.37</v>
      </c>
      <c r="G50" s="64">
        <v>9.77</v>
      </c>
      <c r="H50" s="210" t="s">
        <v>43</v>
      </c>
      <c r="I50" s="64">
        <v>1.44</v>
      </c>
      <c r="J50" s="64">
        <v>0.21</v>
      </c>
      <c r="K50" s="64">
        <v>350.62</v>
      </c>
      <c r="L50" s="64">
        <v>28.49</v>
      </c>
      <c r="M50" s="64">
        <v>93.25</v>
      </c>
      <c r="N50" s="64">
        <v>514.9</v>
      </c>
      <c r="O50" s="64">
        <v>0</v>
      </c>
      <c r="P50" s="64">
        <v>0.34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48" t="s">
        <v>2495</v>
      </c>
      <c r="B51" s="64">
        <v>7.98</v>
      </c>
      <c r="C51" s="64">
        <v>3</v>
      </c>
      <c r="D51" s="64">
        <v>11.74</v>
      </c>
      <c r="E51" s="64">
        <v>4.18</v>
      </c>
      <c r="F51" s="64">
        <v>4.79</v>
      </c>
      <c r="G51" s="64">
        <v>9.8000000000000007</v>
      </c>
      <c r="H51" s="210" t="s">
        <v>43</v>
      </c>
      <c r="I51" s="64">
        <v>1.54</v>
      </c>
      <c r="J51" s="64">
        <v>0.22</v>
      </c>
      <c r="K51" s="64">
        <v>337.34</v>
      </c>
      <c r="L51" s="64">
        <v>28.48</v>
      </c>
      <c r="M51" s="64">
        <v>92.4</v>
      </c>
      <c r="N51" s="64">
        <v>400.3</v>
      </c>
      <c r="O51" s="64">
        <v>0</v>
      </c>
      <c r="P51" s="64">
        <v>0.35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48" t="s">
        <v>2496</v>
      </c>
      <c r="B52" s="64">
        <v>7.98</v>
      </c>
      <c r="C52" s="64">
        <v>2.99</v>
      </c>
      <c r="D52" s="64">
        <v>11.74</v>
      </c>
      <c r="E52" s="64">
        <v>4</v>
      </c>
      <c r="F52" s="64">
        <v>7.63</v>
      </c>
      <c r="G52" s="64">
        <v>9.8000000000000007</v>
      </c>
      <c r="H52" s="210" t="s">
        <v>43</v>
      </c>
      <c r="I52" s="64">
        <v>1.36</v>
      </c>
      <c r="J52" s="64">
        <v>0.12</v>
      </c>
      <c r="K52" s="64">
        <v>318.83999999999997</v>
      </c>
      <c r="L52" s="64">
        <v>28.16</v>
      </c>
      <c r="M52" s="64">
        <v>95.85</v>
      </c>
      <c r="N52" s="64">
        <v>354.7</v>
      </c>
      <c r="O52" s="64">
        <v>0</v>
      </c>
      <c r="P52" s="64">
        <v>0.34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48" t="s">
        <v>2497</v>
      </c>
      <c r="B53" s="64">
        <v>7.96</v>
      </c>
      <c r="C53" s="64">
        <v>2.98</v>
      </c>
      <c r="D53" s="64">
        <v>11.71</v>
      </c>
      <c r="E53" s="64">
        <v>4.18</v>
      </c>
      <c r="F53" s="64">
        <v>14.84</v>
      </c>
      <c r="G53" s="64">
        <v>9.8000000000000007</v>
      </c>
      <c r="H53" s="210" t="s">
        <v>43</v>
      </c>
      <c r="I53" s="64">
        <v>1.26</v>
      </c>
      <c r="J53" s="64">
        <v>0.11</v>
      </c>
      <c r="K53" s="64">
        <v>316.41000000000003</v>
      </c>
      <c r="L53" s="64">
        <v>28.34</v>
      </c>
      <c r="M53" s="64">
        <v>94.15</v>
      </c>
      <c r="N53" s="64">
        <v>463.8</v>
      </c>
      <c r="O53" s="64">
        <v>0</v>
      </c>
      <c r="P53" s="64">
        <v>0.26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48" t="s">
        <v>2498</v>
      </c>
      <c r="B54" s="64">
        <v>7.94</v>
      </c>
      <c r="C54" s="64">
        <v>2.96</v>
      </c>
      <c r="D54" s="64">
        <v>11.69</v>
      </c>
      <c r="E54" s="64">
        <v>4.49</v>
      </c>
      <c r="F54" s="64">
        <v>13.93</v>
      </c>
      <c r="G54" s="64">
        <v>6.99</v>
      </c>
      <c r="H54" s="210" t="s">
        <v>43</v>
      </c>
      <c r="I54" s="64">
        <v>1.1499999999999999</v>
      </c>
      <c r="J54" s="64">
        <v>0.13</v>
      </c>
      <c r="K54" s="64">
        <v>353.65</v>
      </c>
      <c r="L54" s="64">
        <v>28.35</v>
      </c>
      <c r="M54" s="64">
        <v>94.44</v>
      </c>
      <c r="N54" s="64">
        <v>376.6</v>
      </c>
      <c r="O54" s="64">
        <v>0</v>
      </c>
      <c r="P54" s="64">
        <v>0.27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48" t="s">
        <v>2499</v>
      </c>
      <c r="B55" s="64">
        <v>7.96</v>
      </c>
      <c r="C55" s="64">
        <v>3</v>
      </c>
      <c r="D55" s="64">
        <v>11.72</v>
      </c>
      <c r="E55" s="64">
        <v>4.34</v>
      </c>
      <c r="F55" s="64">
        <v>17.41</v>
      </c>
      <c r="G55" s="64">
        <v>6.86</v>
      </c>
      <c r="H55" s="210" t="s">
        <v>43</v>
      </c>
      <c r="I55" s="64">
        <v>0.56999999999999995</v>
      </c>
      <c r="J55" s="64">
        <v>0.11</v>
      </c>
      <c r="K55" s="64">
        <v>342.6</v>
      </c>
      <c r="L55" s="64">
        <v>28.76</v>
      </c>
      <c r="M55" s="64">
        <v>92.32</v>
      </c>
      <c r="N55" s="64">
        <v>253.4</v>
      </c>
      <c r="O55" s="64">
        <v>0</v>
      </c>
      <c r="P55" s="64">
        <v>0.34</v>
      </c>
      <c r="Q55" s="64">
        <v>9.32</v>
      </c>
      <c r="R55" s="198"/>
      <c r="S55" s="198"/>
      <c r="T55" s="198"/>
      <c r="U55" s="198"/>
    </row>
    <row r="56" spans="1:21" s="12" customFormat="1" x14ac:dyDescent="0.25">
      <c r="A56" s="248" t="s">
        <v>2500</v>
      </c>
      <c r="B56" s="64">
        <v>7.94</v>
      </c>
      <c r="C56" s="64">
        <v>2.99</v>
      </c>
      <c r="D56" s="64">
        <v>11.7</v>
      </c>
      <c r="E56" s="64">
        <v>3.95</v>
      </c>
      <c r="F56" s="64">
        <v>16.38</v>
      </c>
      <c r="G56" s="64">
        <v>6.86</v>
      </c>
      <c r="H56" s="210" t="s">
        <v>43</v>
      </c>
      <c r="I56" s="64">
        <v>0.59</v>
      </c>
      <c r="J56" s="64">
        <v>0.21</v>
      </c>
      <c r="K56" s="64">
        <v>346</v>
      </c>
      <c r="L56" s="64">
        <v>28.44</v>
      </c>
      <c r="M56" s="64">
        <v>93.91</v>
      </c>
      <c r="N56" s="64">
        <v>252.4</v>
      </c>
      <c r="O56" s="64">
        <v>0</v>
      </c>
      <c r="P56" s="64">
        <v>0.34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48" t="s">
        <v>2501</v>
      </c>
      <c r="B57" s="64">
        <v>7.91</v>
      </c>
      <c r="C57" s="64">
        <v>2.94</v>
      </c>
      <c r="D57" s="64">
        <v>11.66</v>
      </c>
      <c r="E57" s="64">
        <v>4.22</v>
      </c>
      <c r="F57" s="64">
        <v>8.66</v>
      </c>
      <c r="G57" s="64">
        <v>6.86</v>
      </c>
      <c r="H57" s="210" t="s">
        <v>43</v>
      </c>
      <c r="I57" s="64">
        <v>0.69</v>
      </c>
      <c r="J57" s="64">
        <v>0.27</v>
      </c>
      <c r="K57" s="64">
        <v>347.03</v>
      </c>
      <c r="L57" s="64">
        <v>28.68</v>
      </c>
      <c r="M57" s="64">
        <v>92.23</v>
      </c>
      <c r="N57" s="64">
        <v>202.6</v>
      </c>
      <c r="O57" s="64">
        <v>0</v>
      </c>
      <c r="P57" s="64">
        <v>0.32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48" t="s">
        <v>2502</v>
      </c>
      <c r="B58" s="64">
        <v>7.92</v>
      </c>
      <c r="C58" s="64">
        <v>2.92</v>
      </c>
      <c r="D58" s="64">
        <v>11.65</v>
      </c>
      <c r="E58" s="64">
        <v>3.99</v>
      </c>
      <c r="F58" s="64">
        <v>8.24</v>
      </c>
      <c r="G58" s="64">
        <v>15.09</v>
      </c>
      <c r="H58" s="210" t="s">
        <v>43</v>
      </c>
      <c r="I58" s="64">
        <v>0.73</v>
      </c>
      <c r="J58" s="64">
        <v>0.17</v>
      </c>
      <c r="K58" s="64">
        <v>346.9</v>
      </c>
      <c r="L58" s="64">
        <v>28.47</v>
      </c>
      <c r="M58" s="64">
        <v>94.52</v>
      </c>
      <c r="N58" s="64">
        <v>378.2</v>
      </c>
      <c r="O58" s="64">
        <v>0</v>
      </c>
      <c r="P58" s="64">
        <v>0.31</v>
      </c>
      <c r="Q58" s="64">
        <v>9.3000000000000007</v>
      </c>
      <c r="R58" s="198"/>
      <c r="S58" s="198"/>
      <c r="T58" s="198"/>
      <c r="U58" s="198"/>
    </row>
    <row r="59" spans="1:21" s="12" customFormat="1" x14ac:dyDescent="0.25">
      <c r="A59" s="248" t="s">
        <v>2503</v>
      </c>
      <c r="B59" s="64">
        <v>7.92</v>
      </c>
      <c r="C59" s="64">
        <v>2.93</v>
      </c>
      <c r="D59" s="64">
        <v>11.66</v>
      </c>
      <c r="E59" s="64">
        <v>3.95</v>
      </c>
      <c r="F59" s="64">
        <v>15.6</v>
      </c>
      <c r="G59" s="64">
        <v>15.48</v>
      </c>
      <c r="H59" s="210" t="s">
        <v>43</v>
      </c>
      <c r="I59" s="64">
        <v>0.73</v>
      </c>
      <c r="J59" s="64">
        <v>0.1</v>
      </c>
      <c r="K59" s="64">
        <v>343.69</v>
      </c>
      <c r="L59" s="64">
        <v>28.74</v>
      </c>
      <c r="M59" s="64">
        <v>94.21</v>
      </c>
      <c r="N59" s="64">
        <v>443.1</v>
      </c>
      <c r="O59" s="64">
        <v>0</v>
      </c>
      <c r="P59" s="64">
        <v>0.26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48" t="s">
        <v>2504</v>
      </c>
      <c r="B60" s="64">
        <v>7.93</v>
      </c>
      <c r="C60" s="64">
        <v>2.92</v>
      </c>
      <c r="D60" s="64">
        <v>11.66</v>
      </c>
      <c r="E60" s="64">
        <v>5.23</v>
      </c>
      <c r="F60" s="64">
        <v>15.56</v>
      </c>
      <c r="G60" s="209" t="s">
        <v>36</v>
      </c>
      <c r="H60" s="210" t="s">
        <v>43</v>
      </c>
      <c r="I60" s="64">
        <v>0.72</v>
      </c>
      <c r="J60" s="64">
        <v>0.18</v>
      </c>
      <c r="K60" s="64">
        <v>332.11</v>
      </c>
      <c r="L60" s="64">
        <v>28.7</v>
      </c>
      <c r="M60" s="64">
        <v>93.98</v>
      </c>
      <c r="N60" s="64">
        <v>335.8</v>
      </c>
      <c r="O60" s="64">
        <v>0</v>
      </c>
      <c r="P60" s="64">
        <v>0.27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48" t="s">
        <v>2505</v>
      </c>
      <c r="B61" s="64">
        <v>7.94</v>
      </c>
      <c r="C61" s="64">
        <v>2.92</v>
      </c>
      <c r="D61" s="64">
        <v>11.67</v>
      </c>
      <c r="E61" s="64">
        <v>5.74</v>
      </c>
      <c r="F61" s="64">
        <v>14.8</v>
      </c>
      <c r="G61" s="209" t="s">
        <v>36</v>
      </c>
      <c r="H61" s="210" t="s">
        <v>43</v>
      </c>
      <c r="I61" s="64">
        <v>0.55000000000000004</v>
      </c>
      <c r="J61" s="64">
        <v>0.2</v>
      </c>
      <c r="K61" s="64">
        <v>316.36</v>
      </c>
      <c r="L61" s="64">
        <v>29.12</v>
      </c>
      <c r="M61" s="64">
        <v>92.42</v>
      </c>
      <c r="N61" s="64">
        <v>524.6</v>
      </c>
      <c r="O61" s="64">
        <v>0</v>
      </c>
      <c r="P61" s="64">
        <v>0.28000000000000003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48" t="s">
        <v>2506</v>
      </c>
      <c r="B62" s="64">
        <v>7.95</v>
      </c>
      <c r="C62" s="64">
        <v>2.92</v>
      </c>
      <c r="D62" s="64">
        <v>11.68</v>
      </c>
      <c r="E62" s="64">
        <v>5.51</v>
      </c>
      <c r="F62" s="64">
        <v>18.420000000000002</v>
      </c>
      <c r="G62" s="209" t="s">
        <v>36</v>
      </c>
      <c r="H62" s="210" t="s">
        <v>43</v>
      </c>
      <c r="I62" s="64">
        <v>0.53</v>
      </c>
      <c r="J62" s="64">
        <v>0.15</v>
      </c>
      <c r="K62" s="64">
        <v>347.84</v>
      </c>
      <c r="L62" s="64">
        <v>29.04</v>
      </c>
      <c r="M62" s="64">
        <v>93.78</v>
      </c>
      <c r="N62" s="64">
        <v>249.3</v>
      </c>
      <c r="O62" s="64">
        <v>0</v>
      </c>
      <c r="P62" s="64">
        <v>0.26</v>
      </c>
      <c r="Q62" s="64">
        <v>0</v>
      </c>
      <c r="R62" s="198"/>
      <c r="S62" s="198"/>
      <c r="T62" s="198"/>
      <c r="U62" s="198"/>
    </row>
    <row r="63" spans="1:21" s="12" customFormat="1" x14ac:dyDescent="0.25">
      <c r="A63" s="248" t="s">
        <v>2507</v>
      </c>
      <c r="B63" s="64">
        <v>7.95</v>
      </c>
      <c r="C63" s="64">
        <v>2.96</v>
      </c>
      <c r="D63" s="64">
        <v>11.69</v>
      </c>
      <c r="E63" s="64">
        <v>6.26</v>
      </c>
      <c r="F63" s="64">
        <v>12.88</v>
      </c>
      <c r="G63" s="209" t="s">
        <v>36</v>
      </c>
      <c r="H63" s="210" t="s">
        <v>43</v>
      </c>
      <c r="I63" s="64">
        <v>0.59</v>
      </c>
      <c r="J63" s="64">
        <v>0.21</v>
      </c>
      <c r="K63" s="64">
        <v>343.98</v>
      </c>
      <c r="L63" s="64">
        <v>29.03</v>
      </c>
      <c r="M63" s="64">
        <v>93.16</v>
      </c>
      <c r="N63" s="64">
        <v>253.1</v>
      </c>
      <c r="O63" s="64">
        <v>0</v>
      </c>
      <c r="P63" s="64">
        <v>0.26</v>
      </c>
      <c r="Q63" s="64">
        <v>0</v>
      </c>
      <c r="R63" s="198"/>
      <c r="S63" s="198"/>
      <c r="T63" s="198"/>
      <c r="U63" s="198"/>
    </row>
    <row r="64" spans="1:21" s="12" customFormat="1" x14ac:dyDescent="0.25">
      <c r="A64" s="248" t="s">
        <v>2508</v>
      </c>
      <c r="B64" s="64">
        <v>7.95</v>
      </c>
      <c r="C64" s="64">
        <v>2.95</v>
      </c>
      <c r="D64" s="64">
        <v>11.69</v>
      </c>
      <c r="E64" s="64">
        <v>5.58</v>
      </c>
      <c r="F64" s="64">
        <v>10.1</v>
      </c>
      <c r="G64" s="209" t="s">
        <v>36</v>
      </c>
      <c r="H64" s="210" t="s">
        <v>43</v>
      </c>
      <c r="I64" s="64">
        <v>0.48</v>
      </c>
      <c r="J64" s="64">
        <v>0.21</v>
      </c>
      <c r="K64" s="64">
        <v>347.16</v>
      </c>
      <c r="L64" s="64">
        <v>28.94</v>
      </c>
      <c r="M64" s="64">
        <v>91.53</v>
      </c>
      <c r="N64" s="64">
        <v>258.8</v>
      </c>
      <c r="O64" s="64">
        <v>0</v>
      </c>
      <c r="P64" s="64">
        <v>0.27</v>
      </c>
      <c r="Q64" s="64">
        <v>0</v>
      </c>
      <c r="R64" s="198"/>
      <c r="S64" s="198"/>
      <c r="T64" s="198"/>
      <c r="U64" s="198"/>
    </row>
    <row r="65" spans="1:21" s="12" customFormat="1" x14ac:dyDescent="0.25">
      <c r="A65" s="248" t="s">
        <v>2509</v>
      </c>
      <c r="B65" s="64">
        <v>7.95</v>
      </c>
      <c r="C65" s="64">
        <v>2.95</v>
      </c>
      <c r="D65" s="64">
        <v>11.69</v>
      </c>
      <c r="E65" s="64">
        <v>5.85</v>
      </c>
      <c r="F65" s="64">
        <v>4.55</v>
      </c>
      <c r="G65" s="209" t="s">
        <v>36</v>
      </c>
      <c r="H65" s="210" t="s">
        <v>43</v>
      </c>
      <c r="I65" s="64">
        <v>0.51</v>
      </c>
      <c r="J65" s="64">
        <v>0.18</v>
      </c>
      <c r="K65" s="64">
        <v>350.75</v>
      </c>
      <c r="L65" s="64">
        <v>29.38</v>
      </c>
      <c r="M65" s="64">
        <v>90.3</v>
      </c>
      <c r="N65" s="64">
        <v>202</v>
      </c>
      <c r="O65" s="64">
        <v>0</v>
      </c>
      <c r="P65" s="64">
        <v>0.27</v>
      </c>
      <c r="Q65" s="64">
        <v>0</v>
      </c>
      <c r="R65" s="198"/>
      <c r="S65" s="198"/>
      <c r="T65" s="198"/>
      <c r="U65" s="198"/>
    </row>
    <row r="66" spans="1:21" s="12" customFormat="1" x14ac:dyDescent="0.25">
      <c r="A66" s="248" t="s">
        <v>2510</v>
      </c>
      <c r="B66" s="64">
        <v>7.96</v>
      </c>
      <c r="C66" s="64">
        <v>2.94</v>
      </c>
      <c r="D66" s="64">
        <v>11.69</v>
      </c>
      <c r="E66" s="64">
        <v>5.44</v>
      </c>
      <c r="F66" s="64">
        <v>5.49</v>
      </c>
      <c r="G66" s="209" t="s">
        <v>36</v>
      </c>
      <c r="H66" s="210" t="s">
        <v>43</v>
      </c>
      <c r="I66" s="64">
        <v>0.59</v>
      </c>
      <c r="J66" s="64">
        <v>0.09</v>
      </c>
      <c r="K66" s="64">
        <v>353.85</v>
      </c>
      <c r="L66" s="64">
        <v>28.58</v>
      </c>
      <c r="M66" s="64">
        <v>96.91</v>
      </c>
      <c r="N66" s="64">
        <v>209.5</v>
      </c>
      <c r="O66" s="64">
        <v>0</v>
      </c>
      <c r="P66" s="64">
        <v>0.26</v>
      </c>
      <c r="Q66" s="64">
        <v>0</v>
      </c>
      <c r="R66" s="198"/>
      <c r="S66" s="198"/>
      <c r="T66" s="198"/>
      <c r="U66" s="198"/>
    </row>
    <row r="67" spans="1:21" s="12" customFormat="1" x14ac:dyDescent="0.25">
      <c r="A67" s="248" t="s">
        <v>2511</v>
      </c>
      <c r="B67" s="64">
        <v>7.96</v>
      </c>
      <c r="C67" s="64">
        <v>2.95</v>
      </c>
      <c r="D67" s="64">
        <v>11.7</v>
      </c>
      <c r="E67" s="64">
        <v>5.29</v>
      </c>
      <c r="F67" s="64">
        <v>8.36</v>
      </c>
      <c r="G67" s="209" t="s">
        <v>36</v>
      </c>
      <c r="H67" s="210" t="s">
        <v>43</v>
      </c>
      <c r="I67" s="64">
        <v>0.66</v>
      </c>
      <c r="J67" s="64">
        <v>0.04</v>
      </c>
      <c r="K67" s="64">
        <v>164.85</v>
      </c>
      <c r="L67" s="64">
        <v>28.36</v>
      </c>
      <c r="M67" s="64">
        <v>99.02</v>
      </c>
      <c r="N67" s="64">
        <v>202.7</v>
      </c>
      <c r="O67" s="64">
        <v>0</v>
      </c>
      <c r="P67" s="64">
        <v>0.26</v>
      </c>
      <c r="Q67" s="64">
        <v>0</v>
      </c>
      <c r="R67" s="198"/>
      <c r="S67" s="198"/>
      <c r="T67" s="198"/>
      <c r="U67" s="198"/>
    </row>
    <row r="68" spans="1:21" s="12" customFormat="1" x14ac:dyDescent="0.25">
      <c r="A68" s="248" t="s">
        <v>2512</v>
      </c>
      <c r="B68" s="64">
        <v>7.96</v>
      </c>
      <c r="C68" s="64">
        <v>2.96</v>
      </c>
      <c r="D68" s="64">
        <v>11.71</v>
      </c>
      <c r="E68" s="64">
        <v>4.7</v>
      </c>
      <c r="F68" s="64">
        <v>8.27</v>
      </c>
      <c r="G68" s="209" t="s">
        <v>36</v>
      </c>
      <c r="H68" s="210" t="s">
        <v>43</v>
      </c>
      <c r="I68" s="64">
        <v>0.66</v>
      </c>
      <c r="J68" s="64">
        <v>0.33</v>
      </c>
      <c r="K68" s="64">
        <v>145.47999999999999</v>
      </c>
      <c r="L68" s="64">
        <v>29.05</v>
      </c>
      <c r="M68" s="64">
        <v>94.05</v>
      </c>
      <c r="N68" s="64">
        <v>246.9</v>
      </c>
      <c r="O68" s="64">
        <v>0</v>
      </c>
      <c r="P68" s="64">
        <v>0.24</v>
      </c>
      <c r="Q68" s="64">
        <v>0</v>
      </c>
      <c r="R68" s="198"/>
      <c r="S68" s="198"/>
      <c r="T68" s="198"/>
      <c r="U68" s="198"/>
    </row>
    <row r="69" spans="1:21" s="12" customFormat="1" x14ac:dyDescent="0.25">
      <c r="A69" s="248" t="s">
        <v>2513</v>
      </c>
      <c r="B69" s="64">
        <v>7.97</v>
      </c>
      <c r="C69" s="64">
        <v>2.98</v>
      </c>
      <c r="D69" s="64">
        <v>11.72</v>
      </c>
      <c r="E69" s="64">
        <v>3.49</v>
      </c>
      <c r="F69" s="64">
        <v>14.12</v>
      </c>
      <c r="G69" s="209" t="s">
        <v>36</v>
      </c>
      <c r="H69" s="210" t="s">
        <v>43</v>
      </c>
      <c r="I69" s="64">
        <v>0.65</v>
      </c>
      <c r="J69" s="64">
        <v>0.06</v>
      </c>
      <c r="K69" s="64">
        <v>269.97000000000003</v>
      </c>
      <c r="L69" s="64">
        <v>29.17</v>
      </c>
      <c r="M69" s="64">
        <v>90.28</v>
      </c>
      <c r="N69" s="64">
        <v>228</v>
      </c>
      <c r="O69" s="64">
        <v>0</v>
      </c>
      <c r="P69" s="64">
        <v>0.24</v>
      </c>
      <c r="Q69" s="64">
        <v>0</v>
      </c>
      <c r="R69" s="198"/>
      <c r="S69" s="198"/>
      <c r="T69" s="198"/>
      <c r="U69" s="198"/>
    </row>
    <row r="70" spans="1:21" s="12" customFormat="1" x14ac:dyDescent="0.25">
      <c r="A70" s="248" t="s">
        <v>2514</v>
      </c>
      <c r="B70" s="64">
        <v>7.94</v>
      </c>
      <c r="C70" s="64">
        <v>2.93</v>
      </c>
      <c r="D70" s="64">
        <v>11.67</v>
      </c>
      <c r="E70" s="64">
        <v>4.0599999999999996</v>
      </c>
      <c r="F70" s="64">
        <v>15.2</v>
      </c>
      <c r="G70" s="209" t="s">
        <v>36</v>
      </c>
      <c r="H70" s="210" t="s">
        <v>43</v>
      </c>
      <c r="I70" s="64">
        <v>0.78</v>
      </c>
      <c r="J70" s="64">
        <v>0.08</v>
      </c>
      <c r="K70" s="64">
        <v>183.14</v>
      </c>
      <c r="L70" s="64">
        <v>29.4</v>
      </c>
      <c r="M70" s="64">
        <v>89.55</v>
      </c>
      <c r="N70" s="64">
        <v>41.7</v>
      </c>
      <c r="O70" s="64">
        <v>0</v>
      </c>
      <c r="P70" s="64">
        <v>0.24</v>
      </c>
      <c r="Q70" s="64">
        <v>0</v>
      </c>
      <c r="R70" s="198"/>
      <c r="S70" s="198"/>
      <c r="T70" s="198"/>
      <c r="U70" s="198"/>
    </row>
    <row r="71" spans="1:21" s="12" customFormat="1" x14ac:dyDescent="0.25">
      <c r="A71" s="248" t="s">
        <v>2515</v>
      </c>
      <c r="B71" s="64">
        <v>7.92</v>
      </c>
      <c r="C71" s="64">
        <v>2.96</v>
      </c>
      <c r="D71" s="64">
        <v>11.67</v>
      </c>
      <c r="E71" s="64">
        <v>4.47</v>
      </c>
      <c r="F71" s="64">
        <v>14.82</v>
      </c>
      <c r="G71" s="209" t="s">
        <v>36</v>
      </c>
      <c r="H71" s="210" t="s">
        <v>43</v>
      </c>
      <c r="I71" s="64">
        <v>0.54</v>
      </c>
      <c r="J71" s="64">
        <v>0.04</v>
      </c>
      <c r="K71" s="64">
        <v>314.16000000000003</v>
      </c>
      <c r="L71" s="64">
        <v>29.27</v>
      </c>
      <c r="M71" s="64">
        <v>89.01</v>
      </c>
      <c r="N71" s="64">
        <v>0.7</v>
      </c>
      <c r="O71" s="64">
        <v>0</v>
      </c>
      <c r="P71" s="64">
        <v>0.25</v>
      </c>
      <c r="Q71" s="64">
        <v>0</v>
      </c>
      <c r="R71" s="198"/>
      <c r="S71" s="198"/>
      <c r="T71" s="198"/>
      <c r="U71" s="198"/>
    </row>
    <row r="72" spans="1:21" s="12" customFormat="1" x14ac:dyDescent="0.25">
      <c r="A72" s="248" t="s">
        <v>2516</v>
      </c>
      <c r="B72" s="64">
        <v>7.91</v>
      </c>
      <c r="C72" s="64">
        <v>2.97</v>
      </c>
      <c r="D72" s="64">
        <v>11.67</v>
      </c>
      <c r="E72" s="64">
        <v>4.7300000000000004</v>
      </c>
      <c r="F72" s="64">
        <v>13.43</v>
      </c>
      <c r="G72" s="209" t="s">
        <v>36</v>
      </c>
      <c r="H72" s="210" t="s">
        <v>43</v>
      </c>
      <c r="I72" s="64">
        <v>0.53</v>
      </c>
      <c r="J72" s="64">
        <v>0.02</v>
      </c>
      <c r="K72" s="64">
        <v>219.28</v>
      </c>
      <c r="L72" s="64">
        <v>29.17</v>
      </c>
      <c r="M72" s="64">
        <v>89.71</v>
      </c>
      <c r="N72" s="64">
        <v>39.700000000000003</v>
      </c>
      <c r="O72" s="64">
        <v>0</v>
      </c>
      <c r="P72" s="64">
        <v>0.22</v>
      </c>
      <c r="Q72" s="64">
        <v>0</v>
      </c>
      <c r="R72" s="198"/>
      <c r="S72" s="198"/>
      <c r="T72" s="198"/>
      <c r="U72" s="198"/>
    </row>
    <row r="73" spans="1:21" s="12" customFormat="1" x14ac:dyDescent="0.25">
      <c r="A73" s="248" t="s">
        <v>2517</v>
      </c>
      <c r="B73" s="64">
        <v>7.91</v>
      </c>
      <c r="C73" s="64">
        <v>2.91</v>
      </c>
      <c r="D73" s="64">
        <v>11.64</v>
      </c>
      <c r="E73" s="64">
        <v>4.96</v>
      </c>
      <c r="F73" s="64">
        <v>11.09</v>
      </c>
      <c r="G73" s="209" t="s">
        <v>36</v>
      </c>
      <c r="H73" s="210" t="s">
        <v>43</v>
      </c>
      <c r="I73" s="64">
        <v>0.47</v>
      </c>
      <c r="J73" s="64">
        <v>0.3</v>
      </c>
      <c r="K73" s="64">
        <v>164.24</v>
      </c>
      <c r="L73" s="64">
        <v>28.88</v>
      </c>
      <c r="M73" s="64">
        <v>90.35</v>
      </c>
      <c r="N73" s="64">
        <v>27.8</v>
      </c>
      <c r="O73" s="64">
        <v>0</v>
      </c>
      <c r="P73" s="64">
        <v>0.22</v>
      </c>
      <c r="Q73" s="64">
        <v>0</v>
      </c>
      <c r="R73" s="198"/>
      <c r="S73" s="198"/>
      <c r="T73" s="198"/>
      <c r="U73" s="198"/>
    </row>
    <row r="74" spans="1:21" s="12" customFormat="1" x14ac:dyDescent="0.25">
      <c r="A74" s="248" t="s">
        <v>2518</v>
      </c>
      <c r="B74" s="64">
        <v>7.91</v>
      </c>
      <c r="C74" s="64">
        <v>2.96</v>
      </c>
      <c r="D74" s="64">
        <v>11.66</v>
      </c>
      <c r="E74" s="64">
        <v>5.21</v>
      </c>
      <c r="F74" s="64">
        <v>13.13</v>
      </c>
      <c r="G74" s="209" t="s">
        <v>36</v>
      </c>
      <c r="H74" s="210" t="s">
        <v>43</v>
      </c>
      <c r="I74" s="64">
        <v>0.41</v>
      </c>
      <c r="J74" s="64">
        <v>0.17</v>
      </c>
      <c r="K74" s="64">
        <v>167.93</v>
      </c>
      <c r="L74" s="64">
        <v>28.76</v>
      </c>
      <c r="M74" s="64">
        <v>90.5</v>
      </c>
      <c r="N74" s="64">
        <v>15.6</v>
      </c>
      <c r="O74" s="64">
        <v>0</v>
      </c>
      <c r="P74" s="64">
        <v>0.23</v>
      </c>
      <c r="Q74" s="64">
        <v>0</v>
      </c>
      <c r="R74" s="198"/>
      <c r="S74" s="198"/>
      <c r="T74" s="198"/>
      <c r="U74" s="198"/>
    </row>
    <row r="75" spans="1:21" s="12" customFormat="1" x14ac:dyDescent="0.25">
      <c r="A75" s="248" t="s">
        <v>2519</v>
      </c>
      <c r="B75" s="64">
        <v>7.93</v>
      </c>
      <c r="C75" s="64">
        <v>3.04</v>
      </c>
      <c r="D75" s="64">
        <v>11.72</v>
      </c>
      <c r="E75" s="64">
        <v>5.31</v>
      </c>
      <c r="F75" s="64">
        <v>19.27</v>
      </c>
      <c r="G75" s="64">
        <v>0.82</v>
      </c>
      <c r="H75" s="210" t="s">
        <v>43</v>
      </c>
      <c r="I75" s="64">
        <v>0.42</v>
      </c>
      <c r="J75" s="64">
        <v>0.23</v>
      </c>
      <c r="K75" s="64">
        <v>172.74</v>
      </c>
      <c r="L75" s="64">
        <v>28.75</v>
      </c>
      <c r="M75" s="64">
        <v>90.2</v>
      </c>
      <c r="N75" s="64">
        <v>58.1</v>
      </c>
      <c r="O75" s="64">
        <v>0</v>
      </c>
      <c r="P75" s="64">
        <v>0.24</v>
      </c>
      <c r="Q75" s="64">
        <v>0</v>
      </c>
      <c r="R75" s="198"/>
      <c r="S75" s="198"/>
      <c r="T75" s="198"/>
      <c r="U75" s="198"/>
    </row>
    <row r="76" spans="1:21" s="12" customFormat="1" x14ac:dyDescent="0.25">
      <c r="A76" s="248" t="s">
        <v>2520</v>
      </c>
      <c r="B76" s="64">
        <v>7.93</v>
      </c>
      <c r="C76" s="64">
        <v>2.93</v>
      </c>
      <c r="D76" s="64">
        <v>11.66</v>
      </c>
      <c r="E76" s="64">
        <v>5.51</v>
      </c>
      <c r="F76" s="64">
        <v>16.7</v>
      </c>
      <c r="G76" s="64">
        <v>2.1800000000000002</v>
      </c>
      <c r="H76" s="210" t="s">
        <v>43</v>
      </c>
      <c r="I76" s="64">
        <v>0.42</v>
      </c>
      <c r="J76" s="64">
        <v>0.17</v>
      </c>
      <c r="K76" s="64">
        <v>140.72</v>
      </c>
      <c r="L76" s="64">
        <v>28.68</v>
      </c>
      <c r="M76" s="64">
        <v>91.06</v>
      </c>
      <c r="N76" s="64">
        <v>118.6</v>
      </c>
      <c r="O76" s="64">
        <v>0</v>
      </c>
      <c r="P76" s="64">
        <v>0.23</v>
      </c>
      <c r="Q76" s="64">
        <v>9.49</v>
      </c>
      <c r="R76" s="198"/>
      <c r="S76" s="198"/>
      <c r="T76" s="198"/>
      <c r="U76" s="198"/>
    </row>
    <row r="77" spans="1:21" s="12" customFormat="1" x14ac:dyDescent="0.25">
      <c r="A77" s="248" t="s">
        <v>2521</v>
      </c>
      <c r="B77" s="64">
        <v>7.95</v>
      </c>
      <c r="C77" s="64">
        <v>2.94</v>
      </c>
      <c r="D77" s="64">
        <v>11.69</v>
      </c>
      <c r="E77" s="64">
        <v>5</v>
      </c>
      <c r="F77" s="64">
        <v>8.82</v>
      </c>
      <c r="G77" s="64">
        <v>2.1800000000000002</v>
      </c>
      <c r="H77" s="210" t="s">
        <v>43</v>
      </c>
      <c r="I77" s="64">
        <v>0.39</v>
      </c>
      <c r="J77" s="64">
        <v>0.1</v>
      </c>
      <c r="K77" s="64">
        <v>175.77</v>
      </c>
      <c r="L77" s="64">
        <v>28.52</v>
      </c>
      <c r="M77" s="64">
        <v>91.97</v>
      </c>
      <c r="N77" s="64">
        <v>103.7</v>
      </c>
      <c r="O77" s="64">
        <v>0</v>
      </c>
      <c r="P77" s="64">
        <v>0.23</v>
      </c>
      <c r="Q77" s="64">
        <v>9.4600000000000009</v>
      </c>
      <c r="R77" s="198"/>
      <c r="S77" s="198"/>
      <c r="T77" s="198"/>
      <c r="U77" s="198"/>
    </row>
    <row r="78" spans="1:21" s="12" customFormat="1" x14ac:dyDescent="0.25">
      <c r="A78" s="248" t="s">
        <v>2522</v>
      </c>
      <c r="B78" s="64">
        <v>7.94</v>
      </c>
      <c r="C78" s="64">
        <v>2.95</v>
      </c>
      <c r="D78" s="64">
        <v>11.69</v>
      </c>
      <c r="E78" s="64">
        <v>4.76</v>
      </c>
      <c r="F78" s="64">
        <v>8.68</v>
      </c>
      <c r="G78" s="64">
        <v>2.1800000000000002</v>
      </c>
      <c r="H78" s="210" t="s">
        <v>43</v>
      </c>
      <c r="I78" s="64">
        <v>0.42</v>
      </c>
      <c r="J78" s="64">
        <v>0.21</v>
      </c>
      <c r="K78" s="64">
        <v>151.72999999999999</v>
      </c>
      <c r="L78" s="64">
        <v>28.22</v>
      </c>
      <c r="M78" s="64">
        <v>92.2</v>
      </c>
      <c r="N78" s="64">
        <v>78.7</v>
      </c>
      <c r="O78" s="64">
        <v>0</v>
      </c>
      <c r="P78" s="64">
        <v>0.24</v>
      </c>
      <c r="Q78" s="64">
        <v>9.49</v>
      </c>
      <c r="R78" s="198"/>
      <c r="S78" s="198"/>
      <c r="T78" s="198"/>
      <c r="U78" s="198"/>
    </row>
    <row r="79" spans="1:21" s="12" customFormat="1" x14ac:dyDescent="0.25">
      <c r="A79" s="248" t="s">
        <v>2523</v>
      </c>
      <c r="B79" s="64">
        <v>7.93</v>
      </c>
      <c r="C79" s="64">
        <v>2.95</v>
      </c>
      <c r="D79" s="64">
        <v>11.67</v>
      </c>
      <c r="E79" s="64">
        <v>4.72</v>
      </c>
      <c r="F79" s="64">
        <v>9.15</v>
      </c>
      <c r="G79" s="64">
        <v>3.22</v>
      </c>
      <c r="H79" s="210" t="s">
        <v>43</v>
      </c>
      <c r="I79" s="64">
        <v>0.55000000000000004</v>
      </c>
      <c r="J79" s="64">
        <v>0.31</v>
      </c>
      <c r="K79" s="64">
        <v>136.75</v>
      </c>
      <c r="L79" s="64">
        <v>28</v>
      </c>
      <c r="M79" s="64">
        <v>93.61</v>
      </c>
      <c r="N79" s="64">
        <v>63.7</v>
      </c>
      <c r="O79" s="64">
        <v>0</v>
      </c>
      <c r="P79" s="64">
        <v>0.24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48" t="s">
        <v>2524</v>
      </c>
      <c r="B80" s="64">
        <v>7.93</v>
      </c>
      <c r="C80" s="64">
        <v>2.98</v>
      </c>
      <c r="D80" s="64">
        <v>11.69</v>
      </c>
      <c r="E80" s="64">
        <v>4.84</v>
      </c>
      <c r="F80" s="64">
        <v>6.01</v>
      </c>
      <c r="G80" s="64">
        <v>4.93</v>
      </c>
      <c r="H80" s="64">
        <v>0.8</v>
      </c>
      <c r="I80" s="64">
        <v>0.67</v>
      </c>
      <c r="J80" s="64">
        <v>0.09</v>
      </c>
      <c r="K80" s="64">
        <v>105.62</v>
      </c>
      <c r="L80" s="64">
        <v>27.82</v>
      </c>
      <c r="M80" s="64">
        <v>95.56</v>
      </c>
      <c r="N80" s="64">
        <v>47.2</v>
      </c>
      <c r="O80" s="64">
        <v>0</v>
      </c>
      <c r="P80" s="64">
        <v>0.24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48" t="s">
        <v>2525</v>
      </c>
      <c r="B81" s="64">
        <v>7.94</v>
      </c>
      <c r="C81" s="64">
        <v>2.95</v>
      </c>
      <c r="D81" s="64">
        <v>11.68</v>
      </c>
      <c r="E81" s="64">
        <v>4.8600000000000003</v>
      </c>
      <c r="F81" s="64">
        <v>3.34</v>
      </c>
      <c r="G81" s="64">
        <v>4.93</v>
      </c>
      <c r="H81" s="64">
        <v>0.8</v>
      </c>
      <c r="I81" s="64">
        <v>0.61</v>
      </c>
      <c r="J81" s="64">
        <v>0.21</v>
      </c>
      <c r="K81" s="64">
        <v>156.38</v>
      </c>
      <c r="L81" s="64">
        <v>27.66</v>
      </c>
      <c r="M81" s="64">
        <v>96.71</v>
      </c>
      <c r="N81" s="64">
        <v>33.700000000000003</v>
      </c>
      <c r="O81" s="64">
        <v>0</v>
      </c>
      <c r="P81" s="64">
        <v>0.25</v>
      </c>
      <c r="Q81" s="64">
        <v>9.5299999999999994</v>
      </c>
      <c r="R81" s="198"/>
      <c r="S81" s="198"/>
      <c r="T81" s="198"/>
      <c r="U81" s="198"/>
    </row>
    <row r="82" spans="1:26" s="12" customFormat="1" x14ac:dyDescent="0.25">
      <c r="A82" s="248" t="s">
        <v>2526</v>
      </c>
      <c r="B82" s="64">
        <v>7.93</v>
      </c>
      <c r="C82" s="64">
        <v>2.91</v>
      </c>
      <c r="D82" s="64">
        <v>11.66</v>
      </c>
      <c r="E82" s="64">
        <v>4.76</v>
      </c>
      <c r="F82" s="64">
        <v>3.09</v>
      </c>
      <c r="G82" s="64">
        <v>4.93</v>
      </c>
      <c r="H82" s="64">
        <v>0.8</v>
      </c>
      <c r="I82" s="64">
        <v>0.91</v>
      </c>
      <c r="J82" s="64">
        <v>0.35</v>
      </c>
      <c r="K82" s="64">
        <v>133.06</v>
      </c>
      <c r="L82" s="64">
        <v>27.52</v>
      </c>
      <c r="M82" s="64">
        <v>98.6</v>
      </c>
      <c r="N82" s="64">
        <v>27.3</v>
      </c>
      <c r="O82" s="64">
        <v>0</v>
      </c>
      <c r="P82" s="64">
        <v>0.25</v>
      </c>
      <c r="Q82" s="64">
        <v>9.51</v>
      </c>
      <c r="R82" s="198"/>
      <c r="S82" s="198"/>
      <c r="T82" s="198"/>
      <c r="U82" s="198"/>
    </row>
    <row r="83" spans="1:26" s="12" customFormat="1" x14ac:dyDescent="0.25">
      <c r="A83" s="248" t="s">
        <v>2527</v>
      </c>
      <c r="B83" s="64">
        <v>7.94</v>
      </c>
      <c r="C83" s="64">
        <v>2.93</v>
      </c>
      <c r="D83" s="64">
        <v>11.68</v>
      </c>
      <c r="E83" s="64">
        <v>4.75</v>
      </c>
      <c r="F83" s="64">
        <v>3.6</v>
      </c>
      <c r="G83" s="64">
        <v>10.06</v>
      </c>
      <c r="H83" s="64">
        <v>0.86</v>
      </c>
      <c r="I83" s="64">
        <v>0.98</v>
      </c>
      <c r="J83" s="64">
        <v>0.38</v>
      </c>
      <c r="K83" s="64">
        <v>145.43</v>
      </c>
      <c r="L83" s="64">
        <v>27.43</v>
      </c>
      <c r="M83" s="64">
        <v>100.34</v>
      </c>
      <c r="N83" s="64">
        <v>25.7</v>
      </c>
      <c r="O83" s="64">
        <v>0</v>
      </c>
      <c r="P83" s="64">
        <v>0.25</v>
      </c>
      <c r="Q83" s="64">
        <v>9.52</v>
      </c>
      <c r="R83" s="198"/>
      <c r="S83" s="198"/>
      <c r="T83" s="198"/>
      <c r="U83" s="198"/>
    </row>
    <row r="84" spans="1:26" s="12" customFormat="1" x14ac:dyDescent="0.25">
      <c r="A84" s="248" t="s">
        <v>2528</v>
      </c>
      <c r="B84" s="64">
        <v>7.96</v>
      </c>
      <c r="C84" s="64">
        <v>2.92</v>
      </c>
      <c r="D84" s="64">
        <v>11.69</v>
      </c>
      <c r="E84" s="64">
        <v>4.4400000000000004</v>
      </c>
      <c r="F84" s="64">
        <v>3.49</v>
      </c>
      <c r="G84" s="64">
        <v>18.5</v>
      </c>
      <c r="H84" s="64">
        <v>0.96</v>
      </c>
      <c r="I84" s="64">
        <v>1.1000000000000001</v>
      </c>
      <c r="J84" s="64">
        <v>0.22</v>
      </c>
      <c r="K84" s="64">
        <v>149.53</v>
      </c>
      <c r="L84" s="64">
        <v>27.31</v>
      </c>
      <c r="M84" s="64">
        <v>101.54</v>
      </c>
      <c r="N84" s="64">
        <v>25.4</v>
      </c>
      <c r="O84" s="64">
        <v>0</v>
      </c>
      <c r="P84" s="64">
        <v>0.25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48" t="s">
        <v>2529</v>
      </c>
      <c r="B85" s="64">
        <v>7.97</v>
      </c>
      <c r="C85" s="64">
        <v>2.96</v>
      </c>
      <c r="D85" s="64">
        <v>11.71</v>
      </c>
      <c r="E85" s="64">
        <v>4.59</v>
      </c>
      <c r="F85" s="64">
        <v>3.32</v>
      </c>
      <c r="G85" s="64">
        <v>18.5</v>
      </c>
      <c r="H85" s="64">
        <v>0.96</v>
      </c>
      <c r="I85" s="64">
        <v>1.41</v>
      </c>
      <c r="J85" s="64">
        <v>0.15</v>
      </c>
      <c r="K85" s="64">
        <v>154.15</v>
      </c>
      <c r="L85" s="64">
        <v>27.25</v>
      </c>
      <c r="M85" s="64">
        <v>102.79</v>
      </c>
      <c r="N85" s="64">
        <v>25.2</v>
      </c>
      <c r="O85" s="64">
        <v>0</v>
      </c>
      <c r="P85" s="64">
        <v>0.25</v>
      </c>
      <c r="Q85" s="64">
        <v>9.5500000000000007</v>
      </c>
      <c r="R85" s="198"/>
      <c r="S85" s="198"/>
      <c r="T85" s="198"/>
      <c r="U85" s="198"/>
    </row>
    <row r="86" spans="1:26" s="12" customFormat="1" x14ac:dyDescent="0.25">
      <c r="A86" s="248" t="s">
        <v>2530</v>
      </c>
      <c r="B86" s="64">
        <v>7.97</v>
      </c>
      <c r="C86" s="64">
        <v>2.94</v>
      </c>
      <c r="D86" s="64">
        <v>11.7</v>
      </c>
      <c r="E86" s="64">
        <v>4.79</v>
      </c>
      <c r="F86" s="64">
        <v>3.45</v>
      </c>
      <c r="G86" s="64">
        <v>18.5</v>
      </c>
      <c r="H86" s="64">
        <v>0.96</v>
      </c>
      <c r="I86" s="64">
        <v>1.69</v>
      </c>
      <c r="J86" s="64">
        <v>0.53</v>
      </c>
      <c r="K86" s="64">
        <v>138.9</v>
      </c>
      <c r="L86" s="64">
        <v>27.21</v>
      </c>
      <c r="M86" s="64">
        <v>103.72</v>
      </c>
      <c r="N86" s="64">
        <v>25.2</v>
      </c>
      <c r="O86" s="64">
        <v>0</v>
      </c>
      <c r="P86" s="64">
        <v>0.27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48" t="s">
        <v>2531</v>
      </c>
      <c r="B87" s="64">
        <v>7.98</v>
      </c>
      <c r="C87" s="64">
        <v>2.93</v>
      </c>
      <c r="D87" s="64">
        <v>11.7</v>
      </c>
      <c r="E87" s="64">
        <v>4.8899999999999997</v>
      </c>
      <c r="F87" s="64">
        <v>3.29</v>
      </c>
      <c r="G87" s="64">
        <v>19.09</v>
      </c>
      <c r="H87" s="64">
        <v>6.54</v>
      </c>
      <c r="I87" s="64">
        <v>1.92</v>
      </c>
      <c r="J87" s="64">
        <v>0.45</v>
      </c>
      <c r="K87" s="64">
        <v>137.94</v>
      </c>
      <c r="L87" s="64">
        <v>27.21</v>
      </c>
      <c r="M87" s="64">
        <v>102.91</v>
      </c>
      <c r="N87" s="64">
        <v>25.2</v>
      </c>
      <c r="O87" s="64">
        <v>0</v>
      </c>
      <c r="P87" s="64">
        <v>0.27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48" t="s">
        <v>2532</v>
      </c>
      <c r="B88" s="64">
        <v>7.98</v>
      </c>
      <c r="C88" s="64">
        <v>2.94</v>
      </c>
      <c r="D88" s="64">
        <v>11.71</v>
      </c>
      <c r="E88" s="64">
        <v>4.8499999999999996</v>
      </c>
      <c r="F88" s="64">
        <v>3.42</v>
      </c>
      <c r="G88" s="64">
        <v>20.05</v>
      </c>
      <c r="H88" s="64">
        <v>24.99</v>
      </c>
      <c r="I88" s="64">
        <v>2.15</v>
      </c>
      <c r="J88" s="64">
        <v>0.61</v>
      </c>
      <c r="K88" s="64">
        <v>152.97999999999999</v>
      </c>
      <c r="L88" s="64">
        <v>27.17</v>
      </c>
      <c r="M88" s="64">
        <v>102.54</v>
      </c>
      <c r="N88" s="64">
        <v>25.3</v>
      </c>
      <c r="O88" s="64">
        <v>0</v>
      </c>
      <c r="P88" s="64">
        <v>0.27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48" t="s">
        <v>2533</v>
      </c>
      <c r="B89" s="64">
        <v>7.98</v>
      </c>
      <c r="C89" s="64">
        <v>2.96</v>
      </c>
      <c r="D89" s="64">
        <v>11.72</v>
      </c>
      <c r="E89" s="64">
        <v>5.23</v>
      </c>
      <c r="F89" s="64">
        <v>3.28</v>
      </c>
      <c r="G89" s="64">
        <v>20.05</v>
      </c>
      <c r="H89" s="64">
        <v>24.99</v>
      </c>
      <c r="I89" s="64">
        <v>2.58</v>
      </c>
      <c r="J89" s="64">
        <v>0.5</v>
      </c>
      <c r="K89" s="64">
        <v>145.93</v>
      </c>
      <c r="L89" s="64">
        <v>27.04</v>
      </c>
      <c r="M89" s="64">
        <v>103.57</v>
      </c>
      <c r="N89" s="64">
        <v>25.4</v>
      </c>
      <c r="O89" s="64">
        <v>0</v>
      </c>
      <c r="P89" s="64">
        <v>0.28000000000000003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48" t="s">
        <v>2534</v>
      </c>
      <c r="B90" s="64">
        <v>7.97</v>
      </c>
      <c r="C90" s="64">
        <v>3</v>
      </c>
      <c r="D90" s="64">
        <v>11.73</v>
      </c>
      <c r="E90" s="64">
        <v>5.5</v>
      </c>
      <c r="F90" s="64">
        <v>4.47</v>
      </c>
      <c r="G90" s="64">
        <v>20.05</v>
      </c>
      <c r="H90" s="64">
        <v>24.99</v>
      </c>
      <c r="I90" s="64">
        <v>2.81</v>
      </c>
      <c r="J90" s="64">
        <v>0.32</v>
      </c>
      <c r="K90" s="64">
        <v>146.03</v>
      </c>
      <c r="L90" s="64">
        <v>26.89</v>
      </c>
      <c r="M90" s="64">
        <v>102.56</v>
      </c>
      <c r="N90" s="64">
        <v>25.4</v>
      </c>
      <c r="O90" s="64">
        <v>0</v>
      </c>
      <c r="P90" s="64">
        <v>0.28999999999999998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48" t="s">
        <v>2535</v>
      </c>
      <c r="B91" s="64">
        <v>7.95</v>
      </c>
      <c r="C91" s="64">
        <v>2.96</v>
      </c>
      <c r="D91" s="64">
        <v>11.7</v>
      </c>
      <c r="E91" s="64">
        <v>5.52</v>
      </c>
      <c r="F91" s="64">
        <v>4.92</v>
      </c>
      <c r="G91" s="64">
        <v>19.05</v>
      </c>
      <c r="H91" s="64">
        <v>18.62</v>
      </c>
      <c r="I91" s="64">
        <v>3.07</v>
      </c>
      <c r="J91" s="64">
        <v>0.22</v>
      </c>
      <c r="K91" s="64">
        <v>149.57</v>
      </c>
      <c r="L91" s="64">
        <v>26.73</v>
      </c>
      <c r="M91" s="64">
        <v>102.74</v>
      </c>
      <c r="N91" s="64">
        <v>25.3</v>
      </c>
      <c r="O91" s="64">
        <v>0</v>
      </c>
      <c r="P91" s="64">
        <v>0.3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48" t="s">
        <v>2536</v>
      </c>
      <c r="B92" s="64">
        <v>7.94</v>
      </c>
      <c r="C92" s="64">
        <v>2.91</v>
      </c>
      <c r="D92" s="64">
        <v>11.66</v>
      </c>
      <c r="E92" s="64">
        <v>5.38</v>
      </c>
      <c r="F92" s="64">
        <v>2.33</v>
      </c>
      <c r="G92" s="64">
        <v>17.39</v>
      </c>
      <c r="H92" s="64">
        <v>12.25</v>
      </c>
      <c r="I92" s="64">
        <v>3.03</v>
      </c>
      <c r="J92" s="64">
        <v>0.13</v>
      </c>
      <c r="K92" s="64">
        <v>155.04</v>
      </c>
      <c r="L92" s="64">
        <v>26.67</v>
      </c>
      <c r="M92" s="64">
        <v>103.51</v>
      </c>
      <c r="N92" s="64">
        <v>25</v>
      </c>
      <c r="O92" s="64">
        <v>0</v>
      </c>
      <c r="P92" s="64">
        <v>0.28999999999999998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48" t="s">
        <v>2537</v>
      </c>
      <c r="B93" s="64">
        <v>7.95</v>
      </c>
      <c r="C93" s="64">
        <v>2.9</v>
      </c>
      <c r="D93" s="64">
        <v>11.67</v>
      </c>
      <c r="E93" s="64">
        <v>5.23</v>
      </c>
      <c r="F93" s="64">
        <v>5.47</v>
      </c>
      <c r="G93" s="64">
        <v>17.39</v>
      </c>
      <c r="H93" s="64">
        <v>12.25</v>
      </c>
      <c r="I93" s="64">
        <v>2.91</v>
      </c>
      <c r="J93" s="64">
        <v>0.21</v>
      </c>
      <c r="K93" s="64">
        <v>172.69</v>
      </c>
      <c r="L93" s="64">
        <v>26.59</v>
      </c>
      <c r="M93" s="64">
        <v>104.09</v>
      </c>
      <c r="N93" s="64">
        <v>25</v>
      </c>
      <c r="O93" s="64">
        <v>0</v>
      </c>
      <c r="P93" s="64">
        <v>0.28999999999999998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48" t="s">
        <v>2538</v>
      </c>
      <c r="B94" s="64">
        <v>7.95</v>
      </c>
      <c r="C94" s="64">
        <v>2.93</v>
      </c>
      <c r="D94" s="64">
        <v>11.68</v>
      </c>
      <c r="E94" s="64">
        <v>5.62</v>
      </c>
      <c r="F94" s="64">
        <v>2.29</v>
      </c>
      <c r="G94" s="64">
        <v>17.39</v>
      </c>
      <c r="H94" s="64">
        <v>12.25</v>
      </c>
      <c r="I94" s="64">
        <v>2.81</v>
      </c>
      <c r="J94" s="64">
        <v>0.11</v>
      </c>
      <c r="K94" s="64">
        <v>19.43</v>
      </c>
      <c r="L94" s="64">
        <v>26.54</v>
      </c>
      <c r="M94" s="64">
        <v>104.48</v>
      </c>
      <c r="N94" s="64">
        <v>25.1</v>
      </c>
      <c r="O94" s="64">
        <v>0</v>
      </c>
      <c r="P94" s="64">
        <v>0.28999999999999998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48" t="s">
        <v>2539</v>
      </c>
      <c r="B95" s="64">
        <v>7.96</v>
      </c>
      <c r="C95" s="64">
        <v>2.98</v>
      </c>
      <c r="D95" s="64">
        <v>11.71</v>
      </c>
      <c r="E95" s="64">
        <v>5.43</v>
      </c>
      <c r="F95" s="64">
        <v>4.24</v>
      </c>
      <c r="G95" s="64">
        <v>17.11</v>
      </c>
      <c r="H95" s="64">
        <v>8.44</v>
      </c>
      <c r="I95" s="64">
        <v>2.68</v>
      </c>
      <c r="J95" s="64">
        <v>0.28000000000000003</v>
      </c>
      <c r="K95" s="64">
        <v>1.1000000000000001</v>
      </c>
      <c r="L95" s="64">
        <v>25.58</v>
      </c>
      <c r="M95" s="64">
        <v>104.75</v>
      </c>
      <c r="N95" s="64">
        <v>27.7</v>
      </c>
      <c r="O95" s="64">
        <v>0</v>
      </c>
      <c r="P95" s="64">
        <v>0.28999999999999998</v>
      </c>
      <c r="Q95" s="64">
        <v>8.68</v>
      </c>
      <c r="R95" s="198"/>
      <c r="S95" s="198"/>
      <c r="T95" s="198"/>
      <c r="U95" s="198"/>
    </row>
    <row r="96" spans="1:26" s="12" customFormat="1" x14ac:dyDescent="0.25">
      <c r="A96" s="248" t="s">
        <v>2540</v>
      </c>
      <c r="B96" s="64">
        <v>7.93</v>
      </c>
      <c r="C96" s="64">
        <v>2.93</v>
      </c>
      <c r="D96" s="64">
        <v>11.67</v>
      </c>
      <c r="E96" s="64">
        <v>5.51</v>
      </c>
      <c r="F96" s="64">
        <v>3.5</v>
      </c>
      <c r="G96" s="64">
        <v>16.64</v>
      </c>
      <c r="H96" s="64">
        <v>4.6399999999999997</v>
      </c>
      <c r="I96" s="64">
        <v>2.54</v>
      </c>
      <c r="J96" s="64">
        <v>0.1</v>
      </c>
      <c r="K96" s="64">
        <v>55.44</v>
      </c>
      <c r="L96" s="64">
        <v>24.2</v>
      </c>
      <c r="M96" s="64">
        <v>104.82</v>
      </c>
      <c r="N96" s="64">
        <v>17.8</v>
      </c>
      <c r="O96" s="64">
        <v>0</v>
      </c>
      <c r="P96" s="64">
        <v>0.3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2541</v>
      </c>
      <c r="B97" s="64">
        <v>7.94</v>
      </c>
      <c r="C97" s="64">
        <v>2.92</v>
      </c>
      <c r="D97" s="64">
        <v>11.67</v>
      </c>
      <c r="E97" s="64">
        <v>5.49</v>
      </c>
      <c r="F97" s="64">
        <v>3.88</v>
      </c>
      <c r="G97" s="64">
        <v>16.64</v>
      </c>
      <c r="H97" s="64">
        <v>4.6399999999999997</v>
      </c>
      <c r="I97" s="64">
        <v>2.36</v>
      </c>
      <c r="J97" s="64">
        <v>0.02</v>
      </c>
      <c r="K97" s="64">
        <v>111.13</v>
      </c>
      <c r="L97" s="64">
        <v>23.91</v>
      </c>
      <c r="M97" s="64">
        <v>104.86</v>
      </c>
      <c r="N97" s="64">
        <v>24.9</v>
      </c>
      <c r="O97" s="64">
        <v>0</v>
      </c>
      <c r="P97" s="64">
        <v>0.28000000000000003</v>
      </c>
      <c r="Q97" s="64">
        <v>9.48</v>
      </c>
      <c r="R97" s="198"/>
      <c r="S97" s="198"/>
      <c r="T97" s="198"/>
      <c r="U97" s="198"/>
    </row>
    <row r="98" spans="1:33" s="12" customFormat="1" x14ac:dyDescent="0.25">
      <c r="A98" s="248" t="s">
        <v>2542</v>
      </c>
      <c r="B98" s="64">
        <v>7.94</v>
      </c>
      <c r="C98" s="64">
        <v>2.93</v>
      </c>
      <c r="D98" s="64">
        <v>11.67</v>
      </c>
      <c r="E98" s="64">
        <v>5.45</v>
      </c>
      <c r="F98" s="64">
        <v>3.52</v>
      </c>
      <c r="G98" s="64">
        <v>16.64</v>
      </c>
      <c r="H98" s="64">
        <v>4.6399999999999997</v>
      </c>
      <c r="I98" s="64">
        <v>2.12</v>
      </c>
      <c r="J98" s="64">
        <v>0.04</v>
      </c>
      <c r="K98" s="64">
        <v>166.22</v>
      </c>
      <c r="L98" s="64">
        <v>23.94</v>
      </c>
      <c r="M98" s="64">
        <v>104.88</v>
      </c>
      <c r="N98" s="64">
        <v>19.5</v>
      </c>
      <c r="O98" s="64">
        <v>0</v>
      </c>
      <c r="P98" s="64">
        <v>0.28999999999999998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48" t="s">
        <v>2543</v>
      </c>
      <c r="B99" s="64">
        <v>7.96</v>
      </c>
      <c r="C99" s="64">
        <v>2.96</v>
      </c>
      <c r="D99" s="64">
        <v>11.71</v>
      </c>
      <c r="E99" s="64">
        <v>5.29</v>
      </c>
      <c r="F99" s="64">
        <v>3.34</v>
      </c>
      <c r="G99" s="64">
        <v>15.35</v>
      </c>
      <c r="H99" s="64">
        <v>4</v>
      </c>
      <c r="I99" s="64">
        <v>2.2400000000000002</v>
      </c>
      <c r="J99" s="64">
        <v>0.08</v>
      </c>
      <c r="K99" s="64">
        <v>293.08</v>
      </c>
      <c r="L99" s="64">
        <v>24.04</v>
      </c>
      <c r="M99" s="64">
        <v>104.9</v>
      </c>
      <c r="N99" s="64">
        <v>24.7</v>
      </c>
      <c r="O99" s="64">
        <v>0</v>
      </c>
      <c r="P99" s="64">
        <v>0.28999999999999998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48" t="s">
        <v>2544</v>
      </c>
      <c r="B100" s="64">
        <v>7.98</v>
      </c>
      <c r="C100" s="64">
        <v>2.99</v>
      </c>
      <c r="D100" s="64">
        <v>11.73</v>
      </c>
      <c r="E100" s="64">
        <v>5.0599999999999996</v>
      </c>
      <c r="F100" s="64">
        <v>3.53</v>
      </c>
      <c r="G100" s="64">
        <v>13.22</v>
      </c>
      <c r="H100" s="64">
        <v>3.37</v>
      </c>
      <c r="I100" s="64">
        <v>2.0099999999999998</v>
      </c>
      <c r="J100" s="64">
        <v>7.0000000000000007E-2</v>
      </c>
      <c r="K100" s="64">
        <v>136.01</v>
      </c>
      <c r="L100" s="64">
        <v>24.15</v>
      </c>
      <c r="M100" s="64">
        <v>104.88</v>
      </c>
      <c r="N100" s="64">
        <v>24.7</v>
      </c>
      <c r="O100" s="64">
        <v>0</v>
      </c>
      <c r="P100" s="64">
        <v>0.28000000000000003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2545</v>
      </c>
      <c r="B101" s="64">
        <v>7.98</v>
      </c>
      <c r="C101" s="64">
        <v>2.96</v>
      </c>
      <c r="D101" s="64">
        <v>11.72</v>
      </c>
      <c r="E101" s="64">
        <v>4.82</v>
      </c>
      <c r="F101" s="64">
        <v>3.47</v>
      </c>
      <c r="G101" s="64">
        <v>13.22</v>
      </c>
      <c r="H101" s="64">
        <v>3.37</v>
      </c>
      <c r="I101" s="64">
        <v>2</v>
      </c>
      <c r="J101" s="64">
        <v>0.13</v>
      </c>
      <c r="K101" s="64">
        <v>141.44</v>
      </c>
      <c r="L101" s="64">
        <v>24.36</v>
      </c>
      <c r="M101" s="64">
        <v>104.88</v>
      </c>
      <c r="N101" s="64">
        <v>24.6</v>
      </c>
      <c r="O101" s="64">
        <v>0</v>
      </c>
      <c r="P101" s="64">
        <v>0.28999999999999998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48" t="s">
        <v>2546</v>
      </c>
      <c r="B102" s="64">
        <v>8</v>
      </c>
      <c r="C102" s="64">
        <v>2.97</v>
      </c>
      <c r="D102" s="64">
        <v>11.74</v>
      </c>
      <c r="E102" s="64">
        <v>5.34</v>
      </c>
      <c r="F102" s="64">
        <v>3.62</v>
      </c>
      <c r="G102" s="64">
        <v>13.22</v>
      </c>
      <c r="H102" s="64">
        <v>3.37</v>
      </c>
      <c r="I102" s="64">
        <v>2.1</v>
      </c>
      <c r="J102" s="64">
        <v>0.2</v>
      </c>
      <c r="K102" s="64">
        <v>143.01</v>
      </c>
      <c r="L102" s="64">
        <v>24.54</v>
      </c>
      <c r="M102" s="64">
        <v>104.89</v>
      </c>
      <c r="N102" s="64">
        <v>24.7</v>
      </c>
      <c r="O102" s="64">
        <v>0</v>
      </c>
      <c r="P102" s="64">
        <v>0.28000000000000003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48" t="s">
        <v>2547</v>
      </c>
      <c r="B103" s="64">
        <v>8.01</v>
      </c>
      <c r="C103" s="64">
        <v>3</v>
      </c>
      <c r="D103" s="64">
        <v>11.76</v>
      </c>
      <c r="E103" s="64">
        <v>4.8899999999999997</v>
      </c>
      <c r="F103" s="64">
        <v>3.2</v>
      </c>
      <c r="G103" s="64">
        <v>11.78</v>
      </c>
      <c r="H103" s="64">
        <v>2.88</v>
      </c>
      <c r="I103" s="64">
        <v>2.2400000000000002</v>
      </c>
      <c r="J103" s="64">
        <v>0.14000000000000001</v>
      </c>
      <c r="K103" s="64">
        <v>168.6</v>
      </c>
      <c r="L103" s="64">
        <v>24.75</v>
      </c>
      <c r="M103" s="64">
        <v>104.92</v>
      </c>
      <c r="N103" s="64">
        <v>24.7</v>
      </c>
      <c r="O103" s="64">
        <v>0</v>
      </c>
      <c r="P103" s="64">
        <v>0.28000000000000003</v>
      </c>
      <c r="Q103" s="64">
        <v>9.5399999999999991</v>
      </c>
      <c r="R103" s="198"/>
      <c r="S103" s="198"/>
      <c r="T103" s="198"/>
      <c r="U103" s="198"/>
    </row>
    <row r="104" spans="1:33" s="12" customFormat="1" x14ac:dyDescent="0.25">
      <c r="A104" s="248" t="s">
        <v>2548</v>
      </c>
      <c r="B104" s="64">
        <v>8.01</v>
      </c>
      <c r="C104" s="64">
        <v>2.98</v>
      </c>
      <c r="D104" s="64">
        <v>11.75</v>
      </c>
      <c r="E104" s="64">
        <v>4.75</v>
      </c>
      <c r="F104" s="64">
        <v>3.51</v>
      </c>
      <c r="G104" s="64">
        <v>9.42</v>
      </c>
      <c r="H104" s="64">
        <v>1.25</v>
      </c>
      <c r="I104" s="64">
        <v>2.35</v>
      </c>
      <c r="J104" s="64">
        <v>0.32</v>
      </c>
      <c r="K104" s="64">
        <v>140.30000000000001</v>
      </c>
      <c r="L104" s="64">
        <v>24.97</v>
      </c>
      <c r="M104" s="64">
        <v>104.92</v>
      </c>
      <c r="N104" s="64">
        <v>25.6</v>
      </c>
      <c r="O104" s="64">
        <v>0</v>
      </c>
      <c r="P104" s="64">
        <v>0.28000000000000003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7.91</v>
      </c>
      <c r="C106" s="67">
        <f>MIN(C9:C104)</f>
        <v>2.9</v>
      </c>
      <c r="D106" s="67">
        <f t="shared" ref="D106:Q106" si="0">MIN(D9:D104)</f>
        <v>11.64</v>
      </c>
      <c r="E106" s="67">
        <f t="shared" si="0"/>
        <v>3.49</v>
      </c>
      <c r="F106" s="67">
        <f t="shared" si="0"/>
        <v>2.17</v>
      </c>
      <c r="G106" s="67">
        <f t="shared" si="0"/>
        <v>0.82</v>
      </c>
      <c r="H106" s="67">
        <f t="shared" si="0"/>
        <v>0.8</v>
      </c>
      <c r="I106" s="67">
        <f t="shared" si="0"/>
        <v>0.39</v>
      </c>
      <c r="J106" s="67">
        <f t="shared" si="0"/>
        <v>0</v>
      </c>
      <c r="K106" s="67">
        <f t="shared" si="0"/>
        <v>1.1000000000000001</v>
      </c>
      <c r="L106" s="67">
        <f t="shared" si="0"/>
        <v>23.91</v>
      </c>
      <c r="M106" s="67">
        <f t="shared" si="0"/>
        <v>89.01</v>
      </c>
      <c r="N106" s="67">
        <f t="shared" si="0"/>
        <v>0.7</v>
      </c>
      <c r="O106" s="67">
        <f t="shared" si="0"/>
        <v>0</v>
      </c>
      <c r="P106" s="67">
        <f t="shared" si="0"/>
        <v>0.22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8.01</v>
      </c>
      <c r="C107" s="66">
        <f t="shared" ref="C107:Q107" si="1">MAX(C9:C104)</f>
        <v>3.08</v>
      </c>
      <c r="D107" s="66">
        <f t="shared" si="1"/>
        <v>11.79</v>
      </c>
      <c r="E107" s="66">
        <f t="shared" si="1"/>
        <v>6.26</v>
      </c>
      <c r="F107" s="66">
        <f t="shared" si="1"/>
        <v>19.27</v>
      </c>
      <c r="G107" s="66">
        <f t="shared" si="1"/>
        <v>20.05</v>
      </c>
      <c r="H107" s="66">
        <f t="shared" si="1"/>
        <v>24.99</v>
      </c>
      <c r="I107" s="66">
        <f t="shared" si="1"/>
        <v>4.1399999999999997</v>
      </c>
      <c r="J107" s="66">
        <f t="shared" si="1"/>
        <v>0.61</v>
      </c>
      <c r="K107" s="66">
        <f t="shared" si="1"/>
        <v>358.07</v>
      </c>
      <c r="L107" s="66">
        <f t="shared" si="1"/>
        <v>29.4</v>
      </c>
      <c r="M107" s="66">
        <f t="shared" si="1"/>
        <v>104.92</v>
      </c>
      <c r="N107" s="66">
        <f t="shared" si="1"/>
        <v>524.6</v>
      </c>
      <c r="O107" s="66">
        <f t="shared" si="1"/>
        <v>0</v>
      </c>
      <c r="P107" s="66">
        <f t="shared" si="1"/>
        <v>0.4</v>
      </c>
      <c r="Q107" s="66">
        <f t="shared" si="1"/>
        <v>9.56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7.9561458333333377</v>
      </c>
      <c r="C108" s="67">
        <f t="shared" ref="C108:Q108" si="2">AVERAGE(C9:C104)</f>
        <v>2.9620833333333327</v>
      </c>
      <c r="D108" s="67">
        <f t="shared" si="2"/>
        <v>11.702187500000006</v>
      </c>
      <c r="E108" s="67">
        <f t="shared" si="2"/>
        <v>4.8014583333333327</v>
      </c>
      <c r="F108" s="67">
        <f t="shared" si="2"/>
        <v>6.2188541666666675</v>
      </c>
      <c r="G108" s="67">
        <f t="shared" si="2"/>
        <v>9.8785185185185167</v>
      </c>
      <c r="H108" s="67">
        <f t="shared" si="2"/>
        <v>7.3447999999999976</v>
      </c>
      <c r="I108" s="67">
        <f t="shared" si="2"/>
        <v>2.0831249999999994</v>
      </c>
      <c r="J108" s="67">
        <f t="shared" si="2"/>
        <v>0.1554166666666667</v>
      </c>
      <c r="K108" s="67">
        <f t="shared" si="2"/>
        <v>241.89906249999993</v>
      </c>
      <c r="L108" s="67">
        <f t="shared" si="2"/>
        <v>26.834479166666668</v>
      </c>
      <c r="M108" s="67">
        <f t="shared" si="2"/>
        <v>100.01208333333329</v>
      </c>
      <c r="N108" s="67">
        <f t="shared" si="2"/>
        <v>114.60312500000011</v>
      </c>
      <c r="O108" s="67">
        <f t="shared" si="2"/>
        <v>0</v>
      </c>
      <c r="P108" s="67">
        <f t="shared" si="2"/>
        <v>0.29218749999999993</v>
      </c>
      <c r="Q108" s="67">
        <f t="shared" si="2"/>
        <v>8.092708333333329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2.258876253765256E-2</v>
      </c>
      <c r="C109" s="67">
        <f t="shared" ref="C109:Q109" si="3">STDEV(C9:C104)</f>
        <v>3.7216766642176824E-2</v>
      </c>
      <c r="D109" s="67">
        <f t="shared" si="3"/>
        <v>3.009469703242898E-2</v>
      </c>
      <c r="E109" s="67">
        <f t="shared" si="3"/>
        <v>0.49494280194078066</v>
      </c>
      <c r="F109" s="67">
        <f t="shared" si="3"/>
        <v>4.5349758589949127</v>
      </c>
      <c r="G109" s="67">
        <f t="shared" si="3"/>
        <v>5.2067684582452713</v>
      </c>
      <c r="H109" s="67">
        <f t="shared" si="3"/>
        <v>8.0769373940044069</v>
      </c>
      <c r="I109" s="67">
        <f t="shared" si="3"/>
        <v>1.1974625035333772</v>
      </c>
      <c r="J109" s="67">
        <f t="shared" si="3"/>
        <v>0.11806257633062456</v>
      </c>
      <c r="K109" s="67">
        <f t="shared" si="3"/>
        <v>108.8290742700693</v>
      </c>
      <c r="L109" s="67">
        <f t="shared" si="3"/>
        <v>1.5637901796203966</v>
      </c>
      <c r="M109" s="67">
        <f t="shared" si="3"/>
        <v>5.3570557342957423</v>
      </c>
      <c r="N109" s="67">
        <f t="shared" si="3"/>
        <v>131.1079406267778</v>
      </c>
      <c r="O109" s="67">
        <f t="shared" si="3"/>
        <v>0</v>
      </c>
      <c r="P109" s="67">
        <f t="shared" si="3"/>
        <v>4.0189108893880589E-2</v>
      </c>
      <c r="Q109" s="67">
        <f t="shared" si="3"/>
        <v>3.362922125071925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COUNT(H9:H104)+71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2549</v>
      </c>
      <c r="B9" s="64">
        <v>7.99</v>
      </c>
      <c r="C9" s="64">
        <v>2.96</v>
      </c>
      <c r="D9" s="64">
        <v>11.73</v>
      </c>
      <c r="E9" s="64">
        <v>4.3499999999999996</v>
      </c>
      <c r="F9" s="64">
        <v>3</v>
      </c>
      <c r="G9" s="64">
        <v>9.42</v>
      </c>
      <c r="H9" s="64">
        <v>1.25</v>
      </c>
      <c r="I9" s="64">
        <v>2.4300000000000002</v>
      </c>
      <c r="J9" s="64">
        <v>0.49</v>
      </c>
      <c r="K9" s="64">
        <v>139.97</v>
      </c>
      <c r="L9" s="64">
        <v>24.91</v>
      </c>
      <c r="M9" s="64">
        <v>104.92</v>
      </c>
      <c r="N9" s="64">
        <v>26.3</v>
      </c>
      <c r="O9" s="64">
        <v>0</v>
      </c>
      <c r="P9" s="64">
        <v>0.28000000000000003</v>
      </c>
      <c r="Q9" s="64">
        <v>9.56</v>
      </c>
      <c r="R9" s="198"/>
      <c r="S9" s="198"/>
      <c r="T9" s="198"/>
      <c r="U9" s="198"/>
    </row>
    <row r="10" spans="1:21" s="12" customFormat="1" x14ac:dyDescent="0.25">
      <c r="A10" s="248" t="s">
        <v>2550</v>
      </c>
      <c r="B10" s="64">
        <v>7.98</v>
      </c>
      <c r="C10" s="64">
        <v>2.99</v>
      </c>
      <c r="D10" s="64">
        <v>11.74</v>
      </c>
      <c r="E10" s="64">
        <v>4.6900000000000004</v>
      </c>
      <c r="F10" s="64">
        <v>3.32</v>
      </c>
      <c r="G10" s="64">
        <v>9.42</v>
      </c>
      <c r="H10" s="64">
        <v>1.25</v>
      </c>
      <c r="I10" s="64">
        <v>2.58</v>
      </c>
      <c r="J10" s="64">
        <v>0.22</v>
      </c>
      <c r="K10" s="64">
        <v>147.41</v>
      </c>
      <c r="L10" s="64">
        <v>24.65</v>
      </c>
      <c r="M10" s="64">
        <v>104.96</v>
      </c>
      <c r="N10" s="64">
        <v>26.4</v>
      </c>
      <c r="O10" s="64">
        <v>0</v>
      </c>
      <c r="P10" s="64">
        <v>0.27</v>
      </c>
      <c r="Q10" s="64">
        <v>9.57</v>
      </c>
      <c r="R10" s="198"/>
      <c r="S10" s="198"/>
      <c r="T10" s="198"/>
      <c r="U10" s="198"/>
    </row>
    <row r="11" spans="1:21" s="12" customFormat="1" x14ac:dyDescent="0.25">
      <c r="A11" s="248" t="s">
        <v>2551</v>
      </c>
      <c r="B11" s="64">
        <v>7.96</v>
      </c>
      <c r="C11" s="64">
        <v>2.96</v>
      </c>
      <c r="D11" s="64">
        <v>11.7</v>
      </c>
      <c r="E11" s="64">
        <v>4.46</v>
      </c>
      <c r="F11" s="64">
        <v>4.82</v>
      </c>
      <c r="G11" s="64">
        <v>10.5</v>
      </c>
      <c r="H11" s="64">
        <v>1.54</v>
      </c>
      <c r="I11" s="64">
        <v>2.87</v>
      </c>
      <c r="J11" s="64">
        <v>0.17</v>
      </c>
      <c r="K11" s="64">
        <v>144.94999999999999</v>
      </c>
      <c r="L11" s="64">
        <v>24.44</v>
      </c>
      <c r="M11" s="64">
        <v>104.96</v>
      </c>
      <c r="N11" s="64">
        <v>26.1</v>
      </c>
      <c r="O11" s="64">
        <v>0</v>
      </c>
      <c r="P11" s="64">
        <v>0.28000000000000003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48" t="s">
        <v>2552</v>
      </c>
      <c r="B12" s="64">
        <v>7.93</v>
      </c>
      <c r="C12" s="64">
        <v>2.91</v>
      </c>
      <c r="D12" s="64">
        <v>11.66</v>
      </c>
      <c r="E12" s="64">
        <v>4.28</v>
      </c>
      <c r="F12" s="64">
        <v>2.96</v>
      </c>
      <c r="G12" s="64">
        <v>12.29</v>
      </c>
      <c r="H12" s="64">
        <v>1.83</v>
      </c>
      <c r="I12" s="64">
        <v>2.94</v>
      </c>
      <c r="J12" s="64">
        <v>0.17</v>
      </c>
      <c r="K12" s="64">
        <v>117.27</v>
      </c>
      <c r="L12" s="64">
        <v>24.36</v>
      </c>
      <c r="M12" s="64">
        <v>104.97</v>
      </c>
      <c r="N12" s="64">
        <v>16.3</v>
      </c>
      <c r="O12" s="64">
        <v>0</v>
      </c>
      <c r="P12" s="64">
        <v>0.28000000000000003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48" t="s">
        <v>2553</v>
      </c>
      <c r="B13" s="64">
        <v>7.94</v>
      </c>
      <c r="C13" s="64">
        <v>2.94</v>
      </c>
      <c r="D13" s="64">
        <v>11.68</v>
      </c>
      <c r="E13" s="64">
        <v>3.87</v>
      </c>
      <c r="F13" s="64">
        <v>5.03</v>
      </c>
      <c r="G13" s="64">
        <v>12.29</v>
      </c>
      <c r="H13" s="64">
        <v>1.83</v>
      </c>
      <c r="I13" s="64">
        <v>2.81</v>
      </c>
      <c r="J13" s="64">
        <v>0.27</v>
      </c>
      <c r="K13" s="64">
        <v>149.37</v>
      </c>
      <c r="L13" s="64">
        <v>24.31</v>
      </c>
      <c r="M13" s="64">
        <v>104.96</v>
      </c>
      <c r="N13" s="64">
        <v>25.9</v>
      </c>
      <c r="O13" s="64">
        <v>0</v>
      </c>
      <c r="P13" s="64">
        <v>0.26</v>
      </c>
      <c r="Q13" s="64">
        <v>9.4499999999999993</v>
      </c>
      <c r="R13" s="198"/>
      <c r="S13" s="198"/>
      <c r="T13" s="198"/>
      <c r="U13" s="198"/>
    </row>
    <row r="14" spans="1:21" s="12" customFormat="1" x14ac:dyDescent="0.25">
      <c r="A14" s="248" t="s">
        <v>2554</v>
      </c>
      <c r="B14" s="64">
        <v>7.94</v>
      </c>
      <c r="C14" s="64">
        <v>2.93</v>
      </c>
      <c r="D14" s="64">
        <v>11.68</v>
      </c>
      <c r="E14" s="64">
        <v>4.26</v>
      </c>
      <c r="F14" s="64">
        <v>2.91</v>
      </c>
      <c r="G14" s="64">
        <v>12.29</v>
      </c>
      <c r="H14" s="64">
        <v>1.83</v>
      </c>
      <c r="I14" s="64">
        <v>2.71</v>
      </c>
      <c r="J14" s="64">
        <v>0.21</v>
      </c>
      <c r="K14" s="64">
        <v>158.63</v>
      </c>
      <c r="L14" s="64">
        <v>24.36</v>
      </c>
      <c r="M14" s="64">
        <v>104.93</v>
      </c>
      <c r="N14" s="64">
        <v>25.7</v>
      </c>
      <c r="O14" s="64">
        <v>0</v>
      </c>
      <c r="P14" s="64">
        <v>0.27</v>
      </c>
      <c r="Q14" s="64">
        <v>9.4499999999999993</v>
      </c>
      <c r="R14" s="198"/>
      <c r="S14" s="198"/>
      <c r="T14" s="198"/>
      <c r="U14" s="198"/>
    </row>
    <row r="15" spans="1:21" s="12" customFormat="1" x14ac:dyDescent="0.25">
      <c r="A15" s="248" t="s">
        <v>2555</v>
      </c>
      <c r="B15" s="64">
        <v>7.94</v>
      </c>
      <c r="C15" s="64">
        <v>2.92</v>
      </c>
      <c r="D15" s="64">
        <v>11.67</v>
      </c>
      <c r="E15" s="64">
        <v>4.34</v>
      </c>
      <c r="F15" s="64">
        <v>4.72</v>
      </c>
      <c r="G15" s="64">
        <v>11.06</v>
      </c>
      <c r="H15" s="64">
        <v>1.71</v>
      </c>
      <c r="I15" s="64">
        <v>2.64</v>
      </c>
      <c r="J15" s="64">
        <v>0.2</v>
      </c>
      <c r="K15" s="64">
        <v>170.59</v>
      </c>
      <c r="L15" s="64">
        <v>24.38</v>
      </c>
      <c r="M15" s="64">
        <v>104.93</v>
      </c>
      <c r="N15" s="64">
        <v>23.5</v>
      </c>
      <c r="O15" s="64">
        <v>0</v>
      </c>
      <c r="P15" s="64">
        <v>0.27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48" t="s">
        <v>2556</v>
      </c>
      <c r="B16" s="64">
        <v>7.95</v>
      </c>
      <c r="C16" s="64">
        <v>2.9</v>
      </c>
      <c r="D16" s="64">
        <v>11.67</v>
      </c>
      <c r="E16" s="64">
        <v>4.2699999999999996</v>
      </c>
      <c r="F16" s="64">
        <v>2.82</v>
      </c>
      <c r="G16" s="64">
        <v>8.94</v>
      </c>
      <c r="H16" s="64">
        <v>1.57</v>
      </c>
      <c r="I16" s="64">
        <v>2.56</v>
      </c>
      <c r="J16" s="64">
        <v>0.09</v>
      </c>
      <c r="K16" s="64">
        <v>212.19</v>
      </c>
      <c r="L16" s="64">
        <v>24.23</v>
      </c>
      <c r="M16" s="64">
        <v>104.95</v>
      </c>
      <c r="N16" s="64">
        <v>20.100000000000001</v>
      </c>
      <c r="O16" s="64">
        <v>0</v>
      </c>
      <c r="P16" s="64">
        <v>0.25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48" t="s">
        <v>2557</v>
      </c>
      <c r="B17" s="64">
        <v>7.96</v>
      </c>
      <c r="C17" s="64">
        <v>2.95</v>
      </c>
      <c r="D17" s="64">
        <v>11.69</v>
      </c>
      <c r="E17" s="64">
        <v>4.04</v>
      </c>
      <c r="F17" s="64">
        <v>4.99</v>
      </c>
      <c r="G17" s="64">
        <v>8.94</v>
      </c>
      <c r="H17" s="64">
        <v>1.57</v>
      </c>
      <c r="I17" s="64">
        <v>2.48</v>
      </c>
      <c r="J17" s="64">
        <v>0.11</v>
      </c>
      <c r="K17" s="64">
        <v>74.69</v>
      </c>
      <c r="L17" s="64">
        <v>23.91</v>
      </c>
      <c r="M17" s="64">
        <v>104.97</v>
      </c>
      <c r="N17" s="64">
        <v>19.5</v>
      </c>
      <c r="O17" s="64">
        <v>0</v>
      </c>
      <c r="P17" s="64">
        <v>0.26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48" t="s">
        <v>2558</v>
      </c>
      <c r="B18" s="64">
        <v>7.95</v>
      </c>
      <c r="C18" s="64">
        <v>2.95</v>
      </c>
      <c r="D18" s="64">
        <v>11.69</v>
      </c>
      <c r="E18" s="64">
        <v>4.3099999999999996</v>
      </c>
      <c r="F18" s="64">
        <v>3.28</v>
      </c>
      <c r="G18" s="64">
        <v>8.94</v>
      </c>
      <c r="H18" s="64">
        <v>1.57</v>
      </c>
      <c r="I18" s="64">
        <v>2.31</v>
      </c>
      <c r="J18" s="64">
        <v>0.22</v>
      </c>
      <c r="K18" s="64">
        <v>359.94</v>
      </c>
      <c r="L18" s="64">
        <v>23.72</v>
      </c>
      <c r="M18" s="64">
        <v>104.95</v>
      </c>
      <c r="N18" s="64">
        <v>23.5</v>
      </c>
      <c r="O18" s="64">
        <v>0</v>
      </c>
      <c r="P18" s="64">
        <v>0.25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48" t="s">
        <v>2559</v>
      </c>
      <c r="B19" s="64">
        <v>7.95</v>
      </c>
      <c r="C19" s="64">
        <v>2.91</v>
      </c>
      <c r="D19" s="64">
        <v>11.67</v>
      </c>
      <c r="E19" s="64">
        <v>4.2</v>
      </c>
      <c r="F19" s="64">
        <v>5.19</v>
      </c>
      <c r="G19" s="64">
        <v>8.0500000000000007</v>
      </c>
      <c r="H19" s="64">
        <v>0.96</v>
      </c>
      <c r="I19" s="64">
        <v>2.2000000000000002</v>
      </c>
      <c r="J19" s="64">
        <v>0.12</v>
      </c>
      <c r="K19" s="64">
        <v>343.04</v>
      </c>
      <c r="L19" s="64">
        <v>23.69</v>
      </c>
      <c r="M19" s="64">
        <v>104.98</v>
      </c>
      <c r="N19" s="64">
        <v>15.6</v>
      </c>
      <c r="O19" s="64">
        <v>0</v>
      </c>
      <c r="P19" s="64">
        <v>0.26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48" t="s">
        <v>2560</v>
      </c>
      <c r="B20" s="64">
        <v>7.96</v>
      </c>
      <c r="C20" s="64">
        <v>2.91</v>
      </c>
      <c r="D20" s="64">
        <v>11.68</v>
      </c>
      <c r="E20" s="64">
        <v>4.62</v>
      </c>
      <c r="F20" s="64">
        <v>3.94</v>
      </c>
      <c r="G20" s="64">
        <v>6.52</v>
      </c>
      <c r="H20" s="64">
        <v>0.28000000000000003</v>
      </c>
      <c r="I20" s="64">
        <v>1.93</v>
      </c>
      <c r="J20" s="64">
        <v>0.2</v>
      </c>
      <c r="K20" s="64">
        <v>344.46</v>
      </c>
      <c r="L20" s="64">
        <v>23.73</v>
      </c>
      <c r="M20" s="64">
        <v>105</v>
      </c>
      <c r="N20" s="64">
        <v>7.6</v>
      </c>
      <c r="O20" s="64">
        <v>0</v>
      </c>
      <c r="P20" s="64">
        <v>0.24</v>
      </c>
      <c r="Q20" s="64">
        <v>9.44</v>
      </c>
      <c r="R20" s="198"/>
      <c r="S20" s="198"/>
      <c r="T20" s="198"/>
      <c r="U20" s="198"/>
    </row>
    <row r="21" spans="1:21" s="12" customFormat="1" x14ac:dyDescent="0.25">
      <c r="A21" s="248" t="s">
        <v>2561</v>
      </c>
      <c r="B21" s="64">
        <v>7.99</v>
      </c>
      <c r="C21" s="64">
        <v>2.97</v>
      </c>
      <c r="D21" s="64">
        <v>11.73</v>
      </c>
      <c r="E21" s="64">
        <v>4.3099999999999996</v>
      </c>
      <c r="F21" s="64">
        <v>4.68</v>
      </c>
      <c r="G21" s="64">
        <v>6.52</v>
      </c>
      <c r="H21" s="64">
        <v>0.28000000000000003</v>
      </c>
      <c r="I21" s="64">
        <v>1.81</v>
      </c>
      <c r="J21" s="64">
        <v>0.11</v>
      </c>
      <c r="K21" s="64">
        <v>342.87</v>
      </c>
      <c r="L21" s="64">
        <v>23.39</v>
      </c>
      <c r="M21" s="64">
        <v>105.01</v>
      </c>
      <c r="N21" s="64">
        <v>25.7</v>
      </c>
      <c r="O21" s="64">
        <v>0</v>
      </c>
      <c r="P21" s="64">
        <v>0.23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48" t="s">
        <v>2562</v>
      </c>
      <c r="B22" s="64">
        <v>7.98</v>
      </c>
      <c r="C22" s="64">
        <v>2.95</v>
      </c>
      <c r="D22" s="64">
        <v>11.71</v>
      </c>
      <c r="E22" s="64">
        <v>4.3</v>
      </c>
      <c r="F22" s="64">
        <v>4.5199999999999996</v>
      </c>
      <c r="G22" s="64">
        <v>6.52</v>
      </c>
      <c r="H22" s="64">
        <v>0.28000000000000003</v>
      </c>
      <c r="I22" s="64">
        <v>1.59</v>
      </c>
      <c r="J22" s="64">
        <v>0.14000000000000001</v>
      </c>
      <c r="K22" s="64">
        <v>354.4</v>
      </c>
      <c r="L22" s="64">
        <v>23.14</v>
      </c>
      <c r="M22" s="64">
        <v>105.04</v>
      </c>
      <c r="N22" s="64">
        <v>25.4</v>
      </c>
      <c r="O22" s="64">
        <v>0</v>
      </c>
      <c r="P22" s="64">
        <v>0.23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48" t="s">
        <v>2563</v>
      </c>
      <c r="B23" s="64">
        <v>7.98</v>
      </c>
      <c r="C23" s="64">
        <v>2.93</v>
      </c>
      <c r="D23" s="64">
        <v>11.7</v>
      </c>
      <c r="E23" s="64">
        <v>4.0199999999999996</v>
      </c>
      <c r="F23" s="64">
        <v>4.2300000000000004</v>
      </c>
      <c r="G23" s="64">
        <v>5.81</v>
      </c>
      <c r="H23" s="64">
        <v>0.23</v>
      </c>
      <c r="I23" s="64">
        <v>1.39</v>
      </c>
      <c r="J23" s="64">
        <v>0.15</v>
      </c>
      <c r="K23" s="64">
        <v>351.47</v>
      </c>
      <c r="L23" s="64">
        <v>23.2</v>
      </c>
      <c r="M23" s="64">
        <v>105.05</v>
      </c>
      <c r="N23" s="64">
        <v>25.1</v>
      </c>
      <c r="O23" s="64">
        <v>0</v>
      </c>
      <c r="P23" s="64">
        <v>0.23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48" t="s">
        <v>2564</v>
      </c>
      <c r="B24" s="64">
        <v>7.98</v>
      </c>
      <c r="C24" s="64">
        <v>2.99</v>
      </c>
      <c r="D24" s="64">
        <v>11.73</v>
      </c>
      <c r="E24" s="64">
        <v>3.22</v>
      </c>
      <c r="F24" s="64">
        <v>3.96</v>
      </c>
      <c r="G24" s="64">
        <v>4.59</v>
      </c>
      <c r="H24" s="64">
        <v>0.06</v>
      </c>
      <c r="I24" s="64">
        <v>1.27</v>
      </c>
      <c r="J24" s="64">
        <v>0.05</v>
      </c>
      <c r="K24" s="64">
        <v>329.34</v>
      </c>
      <c r="L24" s="64">
        <v>23.3</v>
      </c>
      <c r="M24" s="64">
        <v>105.04</v>
      </c>
      <c r="N24" s="64">
        <v>25.3</v>
      </c>
      <c r="O24" s="64">
        <v>0</v>
      </c>
      <c r="P24" s="64">
        <v>0.23</v>
      </c>
      <c r="Q24" s="64">
        <v>9.4700000000000006</v>
      </c>
      <c r="R24" s="198"/>
      <c r="S24" s="198"/>
      <c r="T24" s="198"/>
      <c r="U24" s="198"/>
    </row>
    <row r="25" spans="1:21" s="12" customFormat="1" x14ac:dyDescent="0.25">
      <c r="A25" s="248" t="s">
        <v>2565</v>
      </c>
      <c r="B25" s="64">
        <v>7.99</v>
      </c>
      <c r="C25" s="64">
        <v>3.01</v>
      </c>
      <c r="D25" s="64">
        <v>11.75</v>
      </c>
      <c r="E25" s="64">
        <v>3.79</v>
      </c>
      <c r="F25" s="64">
        <v>3.69</v>
      </c>
      <c r="G25" s="64">
        <v>4.59</v>
      </c>
      <c r="H25" s="64">
        <v>0.06</v>
      </c>
      <c r="I25" s="64">
        <v>1.19</v>
      </c>
      <c r="J25" s="64">
        <v>0.03</v>
      </c>
      <c r="K25" s="64">
        <v>353.2</v>
      </c>
      <c r="L25" s="64">
        <v>23.45</v>
      </c>
      <c r="M25" s="64">
        <v>105.01</v>
      </c>
      <c r="N25" s="64">
        <v>25.3</v>
      </c>
      <c r="O25" s="64">
        <v>0</v>
      </c>
      <c r="P25" s="64">
        <v>0.22</v>
      </c>
      <c r="Q25" s="64">
        <v>9.4700000000000006</v>
      </c>
      <c r="R25" s="198"/>
      <c r="S25" s="198"/>
      <c r="T25" s="198"/>
      <c r="U25" s="198"/>
    </row>
    <row r="26" spans="1:21" s="12" customFormat="1" x14ac:dyDescent="0.25">
      <c r="A26" s="248" t="s">
        <v>2566</v>
      </c>
      <c r="B26" s="64">
        <v>7.98</v>
      </c>
      <c r="C26" s="64">
        <v>2.98</v>
      </c>
      <c r="D26" s="64">
        <v>11.73</v>
      </c>
      <c r="E26" s="64">
        <v>3.55</v>
      </c>
      <c r="F26" s="64">
        <v>3.77</v>
      </c>
      <c r="G26" s="64">
        <v>4.59</v>
      </c>
      <c r="H26" s="64">
        <v>0.06</v>
      </c>
      <c r="I26" s="64">
        <v>1.2</v>
      </c>
      <c r="J26" s="64">
        <v>0.03</v>
      </c>
      <c r="K26" s="64">
        <v>335.22</v>
      </c>
      <c r="L26" s="64">
        <v>23.57</v>
      </c>
      <c r="M26" s="64">
        <v>105</v>
      </c>
      <c r="N26" s="64">
        <v>25.6</v>
      </c>
      <c r="O26" s="64">
        <v>0</v>
      </c>
      <c r="P26" s="64">
        <v>0.23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48" t="s">
        <v>2567</v>
      </c>
      <c r="B27" s="64">
        <v>7.97</v>
      </c>
      <c r="C27" s="64">
        <v>2.95</v>
      </c>
      <c r="D27" s="64">
        <v>11.71</v>
      </c>
      <c r="E27" s="64">
        <v>3.65</v>
      </c>
      <c r="F27" s="64">
        <v>4.0999999999999996</v>
      </c>
      <c r="G27" s="64">
        <v>4.1399999999999997</v>
      </c>
      <c r="H27" s="64">
        <v>0.11</v>
      </c>
      <c r="I27" s="64">
        <v>1.21</v>
      </c>
      <c r="J27" s="64">
        <v>0.03</v>
      </c>
      <c r="K27" s="64">
        <v>349.23</v>
      </c>
      <c r="L27" s="64">
        <v>23.67</v>
      </c>
      <c r="M27" s="64">
        <v>105</v>
      </c>
      <c r="N27" s="64">
        <v>25.7</v>
      </c>
      <c r="O27" s="64">
        <v>0</v>
      </c>
      <c r="P27" s="64">
        <v>0.22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48" t="s">
        <v>2568</v>
      </c>
      <c r="B28" s="64">
        <v>7.96</v>
      </c>
      <c r="C28" s="64">
        <v>2.95</v>
      </c>
      <c r="D28" s="64">
        <v>11.7</v>
      </c>
      <c r="E28" s="64">
        <v>3.76</v>
      </c>
      <c r="F28" s="64">
        <v>4.28</v>
      </c>
      <c r="G28" s="64">
        <v>3.41</v>
      </c>
      <c r="H28" s="64">
        <v>0.17</v>
      </c>
      <c r="I28" s="64">
        <v>1.31</v>
      </c>
      <c r="J28" s="64">
        <v>0.1</v>
      </c>
      <c r="K28" s="64">
        <v>10.23</v>
      </c>
      <c r="L28" s="64">
        <v>23.79</v>
      </c>
      <c r="M28" s="64">
        <v>105</v>
      </c>
      <c r="N28" s="64">
        <v>25.6</v>
      </c>
      <c r="O28" s="64">
        <v>0</v>
      </c>
      <c r="P28" s="64">
        <v>0.23</v>
      </c>
      <c r="Q28" s="64">
        <v>9.4700000000000006</v>
      </c>
      <c r="R28" s="198"/>
      <c r="S28" s="198"/>
      <c r="T28" s="198"/>
      <c r="U28" s="198"/>
    </row>
    <row r="29" spans="1:21" s="12" customFormat="1" x14ac:dyDescent="0.25">
      <c r="A29" s="248" t="s">
        <v>2569</v>
      </c>
      <c r="B29" s="64">
        <v>7.96</v>
      </c>
      <c r="C29" s="64">
        <v>2.97</v>
      </c>
      <c r="D29" s="64">
        <v>11.7</v>
      </c>
      <c r="E29" s="64">
        <v>3.88</v>
      </c>
      <c r="F29" s="64">
        <v>3.1</v>
      </c>
      <c r="G29" s="64">
        <v>3.41</v>
      </c>
      <c r="H29" s="64">
        <v>0.17</v>
      </c>
      <c r="I29" s="64">
        <v>1.41</v>
      </c>
      <c r="J29" s="64">
        <v>0.06</v>
      </c>
      <c r="K29" s="64">
        <v>337.58</v>
      </c>
      <c r="L29" s="64">
        <v>23.89</v>
      </c>
      <c r="M29" s="64">
        <v>105</v>
      </c>
      <c r="N29" s="64">
        <v>25.7</v>
      </c>
      <c r="O29" s="64">
        <v>0</v>
      </c>
      <c r="P29" s="64">
        <v>0.22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48" t="s">
        <v>2570</v>
      </c>
      <c r="B30" s="64">
        <v>7.95</v>
      </c>
      <c r="C30" s="64">
        <v>2.97</v>
      </c>
      <c r="D30" s="64">
        <v>11.7</v>
      </c>
      <c r="E30" s="64">
        <v>3.64</v>
      </c>
      <c r="F30" s="64">
        <v>3.74</v>
      </c>
      <c r="G30" s="64">
        <v>3.41</v>
      </c>
      <c r="H30" s="64">
        <v>0.17</v>
      </c>
      <c r="I30" s="64">
        <v>1.44</v>
      </c>
      <c r="J30" s="64">
        <v>0.03</v>
      </c>
      <c r="K30" s="64">
        <v>1.93</v>
      </c>
      <c r="L30" s="64">
        <v>23.94</v>
      </c>
      <c r="M30" s="64">
        <v>104.99</v>
      </c>
      <c r="N30" s="64">
        <v>25.8</v>
      </c>
      <c r="O30" s="64">
        <v>0</v>
      </c>
      <c r="P30" s="64">
        <v>0.24</v>
      </c>
      <c r="Q30" s="64">
        <v>9.4499999999999993</v>
      </c>
      <c r="R30" s="198"/>
      <c r="S30" s="198"/>
      <c r="T30" s="198"/>
      <c r="U30" s="198"/>
    </row>
    <row r="31" spans="1:21" s="12" customFormat="1" x14ac:dyDescent="0.25">
      <c r="A31" s="248" t="s">
        <v>2571</v>
      </c>
      <c r="B31" s="64">
        <v>7.95</v>
      </c>
      <c r="C31" s="64">
        <v>2.96</v>
      </c>
      <c r="D31" s="64">
        <v>11.7</v>
      </c>
      <c r="E31" s="64">
        <v>3.37</v>
      </c>
      <c r="F31" s="64">
        <v>3.49</v>
      </c>
      <c r="G31" s="64">
        <v>3.63</v>
      </c>
      <c r="H31" s="64">
        <v>0.37</v>
      </c>
      <c r="I31" s="64">
        <v>1.42</v>
      </c>
      <c r="J31" s="64">
        <v>0.08</v>
      </c>
      <c r="K31" s="64">
        <v>336.76</v>
      </c>
      <c r="L31" s="64">
        <v>23.95</v>
      </c>
      <c r="M31" s="64">
        <v>104.98</v>
      </c>
      <c r="N31" s="64">
        <v>26</v>
      </c>
      <c r="O31" s="64">
        <v>0</v>
      </c>
      <c r="P31" s="64">
        <v>0.23</v>
      </c>
      <c r="Q31" s="64">
        <v>9.4700000000000006</v>
      </c>
      <c r="R31" s="198"/>
      <c r="S31" s="198"/>
      <c r="T31" s="198"/>
      <c r="U31" s="198"/>
    </row>
    <row r="32" spans="1:21" s="12" customFormat="1" x14ac:dyDescent="0.25">
      <c r="A32" s="248" t="s">
        <v>2572</v>
      </c>
      <c r="B32" s="64">
        <v>7.94</v>
      </c>
      <c r="C32" s="64">
        <v>2.94</v>
      </c>
      <c r="D32" s="64">
        <v>11.68</v>
      </c>
      <c r="E32" s="64">
        <v>3.3</v>
      </c>
      <c r="F32" s="64">
        <v>3.84</v>
      </c>
      <c r="G32" s="64">
        <v>3.99</v>
      </c>
      <c r="H32" s="64">
        <v>0.59</v>
      </c>
      <c r="I32" s="64">
        <v>1.45</v>
      </c>
      <c r="J32" s="64">
        <v>0.08</v>
      </c>
      <c r="K32" s="64">
        <v>313.08</v>
      </c>
      <c r="L32" s="64">
        <v>24.02</v>
      </c>
      <c r="M32" s="64">
        <v>104.96</v>
      </c>
      <c r="N32" s="64">
        <v>28.4</v>
      </c>
      <c r="O32" s="64">
        <v>0</v>
      </c>
      <c r="P32" s="64">
        <v>0.24</v>
      </c>
      <c r="Q32" s="64">
        <v>9.49</v>
      </c>
      <c r="R32" s="198"/>
      <c r="S32" s="198"/>
      <c r="T32" s="198"/>
      <c r="U32" s="198"/>
    </row>
    <row r="33" spans="1:21" s="12" customFormat="1" x14ac:dyDescent="0.25">
      <c r="A33" s="248" t="s">
        <v>2573</v>
      </c>
      <c r="B33" s="64">
        <v>7.94</v>
      </c>
      <c r="C33" s="64">
        <v>2.97</v>
      </c>
      <c r="D33" s="64">
        <v>11.69</v>
      </c>
      <c r="E33" s="64">
        <v>3.6</v>
      </c>
      <c r="F33" s="64">
        <v>3.91</v>
      </c>
      <c r="G33" s="64">
        <v>3.99</v>
      </c>
      <c r="H33" s="64">
        <v>0.59</v>
      </c>
      <c r="I33" s="64">
        <v>1.44</v>
      </c>
      <c r="J33" s="64">
        <v>0.08</v>
      </c>
      <c r="K33" s="64">
        <v>7.27</v>
      </c>
      <c r="L33" s="64">
        <v>24.08</v>
      </c>
      <c r="M33" s="64">
        <v>104.93</v>
      </c>
      <c r="N33" s="64">
        <v>34.299999999999997</v>
      </c>
      <c r="O33" s="64">
        <v>0</v>
      </c>
      <c r="P33" s="64">
        <v>0.23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48" t="s">
        <v>2574</v>
      </c>
      <c r="B34" s="64">
        <v>7.93</v>
      </c>
      <c r="C34" s="64">
        <v>2.96</v>
      </c>
      <c r="D34" s="64">
        <v>11.68</v>
      </c>
      <c r="E34" s="64">
        <v>3.98</v>
      </c>
      <c r="F34" s="64">
        <v>3.48</v>
      </c>
      <c r="G34" s="64">
        <v>3.99</v>
      </c>
      <c r="H34" s="64">
        <v>0.59</v>
      </c>
      <c r="I34" s="64">
        <v>1.45</v>
      </c>
      <c r="J34" s="64">
        <v>0.15</v>
      </c>
      <c r="K34" s="64">
        <v>359.97</v>
      </c>
      <c r="L34" s="64">
        <v>24.16</v>
      </c>
      <c r="M34" s="64">
        <v>104.93</v>
      </c>
      <c r="N34" s="64">
        <v>20.8</v>
      </c>
      <c r="O34" s="64">
        <v>0</v>
      </c>
      <c r="P34" s="64">
        <v>0.24</v>
      </c>
      <c r="Q34" s="64">
        <v>9.49</v>
      </c>
      <c r="R34" s="198"/>
      <c r="S34" s="198"/>
      <c r="T34" s="198"/>
      <c r="U34" s="198"/>
    </row>
    <row r="35" spans="1:21" s="12" customFormat="1" x14ac:dyDescent="0.25">
      <c r="A35" s="248" t="s">
        <v>2575</v>
      </c>
      <c r="B35" s="64">
        <v>7.92</v>
      </c>
      <c r="C35" s="64">
        <v>2.93</v>
      </c>
      <c r="D35" s="64">
        <v>11.66</v>
      </c>
      <c r="E35" s="64">
        <v>3.47</v>
      </c>
      <c r="F35" s="64">
        <v>4.57</v>
      </c>
      <c r="G35" s="64">
        <v>3.79</v>
      </c>
      <c r="H35" s="64">
        <v>0.83</v>
      </c>
      <c r="I35" s="64">
        <v>1.42</v>
      </c>
      <c r="J35" s="64">
        <v>0.05</v>
      </c>
      <c r="K35" s="64">
        <v>348.35</v>
      </c>
      <c r="L35" s="64">
        <v>24.28</v>
      </c>
      <c r="M35" s="64">
        <v>104.91</v>
      </c>
      <c r="N35" s="64">
        <v>45.6</v>
      </c>
      <c r="O35" s="64">
        <v>0</v>
      </c>
      <c r="P35" s="64">
        <v>0.24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48" t="s">
        <v>2576</v>
      </c>
      <c r="B36" s="64">
        <v>7.94</v>
      </c>
      <c r="C36" s="64">
        <v>2.98</v>
      </c>
      <c r="D36" s="64">
        <v>11.7</v>
      </c>
      <c r="E36" s="64">
        <v>3.58</v>
      </c>
      <c r="F36" s="64">
        <v>3.2</v>
      </c>
      <c r="G36" s="64">
        <v>3.43</v>
      </c>
      <c r="H36" s="64">
        <v>1.1000000000000001</v>
      </c>
      <c r="I36" s="64">
        <v>1.43</v>
      </c>
      <c r="J36" s="64">
        <v>0.12</v>
      </c>
      <c r="K36" s="64">
        <v>349.35</v>
      </c>
      <c r="L36" s="64">
        <v>24.35</v>
      </c>
      <c r="M36" s="64">
        <v>104.91</v>
      </c>
      <c r="N36" s="64">
        <v>18.2</v>
      </c>
      <c r="O36" s="64">
        <v>0</v>
      </c>
      <c r="P36" s="64">
        <v>0.24</v>
      </c>
      <c r="Q36" s="64">
        <v>9.49</v>
      </c>
      <c r="R36" s="198"/>
      <c r="S36" s="198"/>
      <c r="T36" s="198"/>
      <c r="U36" s="198"/>
    </row>
    <row r="37" spans="1:21" s="12" customFormat="1" x14ac:dyDescent="0.25">
      <c r="A37" s="248" t="s">
        <v>2577</v>
      </c>
      <c r="B37" s="64">
        <v>7.96</v>
      </c>
      <c r="C37" s="64">
        <v>2.96</v>
      </c>
      <c r="D37" s="64">
        <v>11.71</v>
      </c>
      <c r="E37" s="64">
        <v>3.48</v>
      </c>
      <c r="F37" s="64">
        <v>3.66</v>
      </c>
      <c r="G37" s="64">
        <v>3.43</v>
      </c>
      <c r="H37" s="64">
        <v>1.1000000000000001</v>
      </c>
      <c r="I37" s="64">
        <v>1.4</v>
      </c>
      <c r="J37" s="64">
        <v>0.08</v>
      </c>
      <c r="K37" s="64">
        <v>345.85</v>
      </c>
      <c r="L37" s="64">
        <v>24.44</v>
      </c>
      <c r="M37" s="64">
        <v>104.91</v>
      </c>
      <c r="N37" s="64">
        <v>58</v>
      </c>
      <c r="O37" s="64">
        <v>0</v>
      </c>
      <c r="P37" s="64">
        <v>0.23</v>
      </c>
      <c r="Q37" s="64">
        <v>9.49</v>
      </c>
      <c r="R37" s="198"/>
      <c r="S37" s="198"/>
      <c r="T37" s="198"/>
      <c r="U37" s="198"/>
    </row>
    <row r="38" spans="1:21" s="12" customFormat="1" x14ac:dyDescent="0.25">
      <c r="A38" s="248" t="s">
        <v>2578</v>
      </c>
      <c r="B38" s="64">
        <v>7.97</v>
      </c>
      <c r="C38" s="64">
        <v>2.92</v>
      </c>
      <c r="D38" s="64">
        <v>11.7</v>
      </c>
      <c r="E38" s="64">
        <v>3.26</v>
      </c>
      <c r="F38" s="64">
        <v>3.29</v>
      </c>
      <c r="G38" s="64">
        <v>3.43</v>
      </c>
      <c r="H38" s="64">
        <v>1.1000000000000001</v>
      </c>
      <c r="I38" s="64">
        <v>1.38</v>
      </c>
      <c r="J38" s="64">
        <v>0.11</v>
      </c>
      <c r="K38" s="64">
        <v>356.91</v>
      </c>
      <c r="L38" s="64">
        <v>24.54</v>
      </c>
      <c r="M38" s="64">
        <v>104.88</v>
      </c>
      <c r="N38" s="64">
        <v>60.5</v>
      </c>
      <c r="O38" s="64">
        <v>0</v>
      </c>
      <c r="P38" s="64">
        <v>0.23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48" t="s">
        <v>2579</v>
      </c>
      <c r="B39" s="64">
        <v>7.98</v>
      </c>
      <c r="C39" s="64">
        <v>2.9</v>
      </c>
      <c r="D39" s="64">
        <v>11.69</v>
      </c>
      <c r="E39" s="64">
        <v>3.35</v>
      </c>
      <c r="F39" s="64">
        <v>3.41</v>
      </c>
      <c r="G39" s="64">
        <v>3.37</v>
      </c>
      <c r="H39" s="64">
        <v>1.92</v>
      </c>
      <c r="I39" s="64">
        <v>1.41</v>
      </c>
      <c r="J39" s="64">
        <v>0.06</v>
      </c>
      <c r="K39" s="64">
        <v>322.42</v>
      </c>
      <c r="L39" s="64">
        <v>24.69</v>
      </c>
      <c r="M39" s="64">
        <v>104.88</v>
      </c>
      <c r="N39" s="64">
        <v>75</v>
      </c>
      <c r="O39" s="64">
        <v>0</v>
      </c>
      <c r="P39" s="64">
        <v>0.24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48" t="s">
        <v>2580</v>
      </c>
      <c r="B40" s="64">
        <v>7.99</v>
      </c>
      <c r="C40" s="64">
        <v>2.95</v>
      </c>
      <c r="D40" s="64">
        <v>11.72</v>
      </c>
      <c r="E40" s="64">
        <v>3.44</v>
      </c>
      <c r="F40" s="64">
        <v>3.25</v>
      </c>
      <c r="G40" s="64">
        <v>3.26</v>
      </c>
      <c r="H40" s="64">
        <v>4.5199999999999996</v>
      </c>
      <c r="I40" s="64">
        <v>1.42</v>
      </c>
      <c r="J40" s="64">
        <v>0.17</v>
      </c>
      <c r="K40" s="64">
        <v>349.95</v>
      </c>
      <c r="L40" s="64">
        <v>24.82</v>
      </c>
      <c r="M40" s="64">
        <v>104.87</v>
      </c>
      <c r="N40" s="64">
        <v>82.2</v>
      </c>
      <c r="O40" s="64">
        <v>0</v>
      </c>
      <c r="P40" s="64">
        <v>0.24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48" t="s">
        <v>2581</v>
      </c>
      <c r="B41" s="64">
        <v>8.01</v>
      </c>
      <c r="C41" s="64">
        <v>2.98</v>
      </c>
      <c r="D41" s="64">
        <v>11.75</v>
      </c>
      <c r="E41" s="64">
        <v>4.0599999999999996</v>
      </c>
      <c r="F41" s="64">
        <v>3.53</v>
      </c>
      <c r="G41" s="64">
        <v>3.26</v>
      </c>
      <c r="H41" s="64">
        <v>4.5199999999999996</v>
      </c>
      <c r="I41" s="64">
        <v>1.45</v>
      </c>
      <c r="J41" s="64">
        <v>0.2</v>
      </c>
      <c r="K41" s="64">
        <v>346.02</v>
      </c>
      <c r="L41" s="64">
        <v>25.01</v>
      </c>
      <c r="M41" s="64">
        <v>104.86</v>
      </c>
      <c r="N41" s="64">
        <v>118.8</v>
      </c>
      <c r="O41" s="64">
        <v>0</v>
      </c>
      <c r="P41" s="64">
        <v>0.24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48" t="s">
        <v>2582</v>
      </c>
      <c r="B42" s="64">
        <v>7.99</v>
      </c>
      <c r="C42" s="64">
        <v>2.93</v>
      </c>
      <c r="D42" s="64">
        <v>11.71</v>
      </c>
      <c r="E42" s="64">
        <v>3.96</v>
      </c>
      <c r="F42" s="64">
        <v>4.0199999999999996</v>
      </c>
      <c r="G42" s="64">
        <v>3.26</v>
      </c>
      <c r="H42" s="64">
        <v>4.5199999999999996</v>
      </c>
      <c r="I42" s="64">
        <v>1.46</v>
      </c>
      <c r="J42" s="64">
        <v>0.23</v>
      </c>
      <c r="K42" s="64">
        <v>350.78</v>
      </c>
      <c r="L42" s="64">
        <v>25.24</v>
      </c>
      <c r="M42" s="64">
        <v>104.68</v>
      </c>
      <c r="N42" s="64">
        <v>157.4</v>
      </c>
      <c r="O42" s="64">
        <v>0</v>
      </c>
      <c r="P42" s="64">
        <v>0.25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48" t="s">
        <v>2583</v>
      </c>
      <c r="B43" s="64">
        <v>7.99</v>
      </c>
      <c r="C43" s="64">
        <v>2.95</v>
      </c>
      <c r="D43" s="64">
        <v>11.72</v>
      </c>
      <c r="E43" s="64">
        <v>4.18</v>
      </c>
      <c r="F43" s="64">
        <v>3.75</v>
      </c>
      <c r="G43" s="64">
        <v>3.18</v>
      </c>
      <c r="H43" s="64">
        <v>3.4</v>
      </c>
      <c r="I43" s="64">
        <v>1.38</v>
      </c>
      <c r="J43" s="64">
        <v>0.2</v>
      </c>
      <c r="K43" s="64">
        <v>342.71</v>
      </c>
      <c r="L43" s="64">
        <v>25.41</v>
      </c>
      <c r="M43" s="64">
        <v>104.61</v>
      </c>
      <c r="N43" s="64">
        <v>133.80000000000001</v>
      </c>
      <c r="O43" s="64">
        <v>0</v>
      </c>
      <c r="P43" s="64">
        <v>0.26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48" t="s">
        <v>2584</v>
      </c>
      <c r="B44" s="64">
        <v>7.98</v>
      </c>
      <c r="C44" s="64">
        <v>2.96</v>
      </c>
      <c r="D44" s="64">
        <v>11.72</v>
      </c>
      <c r="E44" s="64">
        <v>4.05</v>
      </c>
      <c r="F44" s="64">
        <v>4.84</v>
      </c>
      <c r="G44" s="64">
        <v>3.02</v>
      </c>
      <c r="H44" s="64">
        <v>2.1800000000000002</v>
      </c>
      <c r="I44" s="64">
        <v>1.32</v>
      </c>
      <c r="J44" s="64">
        <v>0.16</v>
      </c>
      <c r="K44" s="64">
        <v>337.27</v>
      </c>
      <c r="L44" s="64">
        <v>25.45</v>
      </c>
      <c r="M44" s="64">
        <v>104.6</v>
      </c>
      <c r="N44" s="64">
        <v>144.30000000000001</v>
      </c>
      <c r="O44" s="64">
        <v>0</v>
      </c>
      <c r="P44" s="64">
        <v>0.26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48" t="s">
        <v>2585</v>
      </c>
      <c r="B45" s="64">
        <v>7.94</v>
      </c>
      <c r="C45" s="64">
        <v>2.92</v>
      </c>
      <c r="D45" s="64">
        <v>11.66</v>
      </c>
      <c r="E45" s="64">
        <v>4.3499999999999996</v>
      </c>
      <c r="F45" s="64">
        <v>3.08</v>
      </c>
      <c r="G45" s="64">
        <v>3.02</v>
      </c>
      <c r="H45" s="64">
        <v>2.1800000000000002</v>
      </c>
      <c r="I45" s="64">
        <v>1.25</v>
      </c>
      <c r="J45" s="64">
        <v>0.28000000000000003</v>
      </c>
      <c r="K45" s="64">
        <v>343.01</v>
      </c>
      <c r="L45" s="64">
        <v>25.56</v>
      </c>
      <c r="M45" s="64">
        <v>104.54</v>
      </c>
      <c r="N45" s="64">
        <v>149.1</v>
      </c>
      <c r="O45" s="64">
        <v>0</v>
      </c>
      <c r="P45" s="64">
        <v>0.27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48" t="s">
        <v>2586</v>
      </c>
      <c r="B46" s="64">
        <v>7.96</v>
      </c>
      <c r="C46" s="64">
        <v>2.98</v>
      </c>
      <c r="D46" s="64">
        <v>11.71</v>
      </c>
      <c r="E46" s="64">
        <v>4.04</v>
      </c>
      <c r="F46" s="64">
        <v>5.33</v>
      </c>
      <c r="G46" s="64">
        <v>3.02</v>
      </c>
      <c r="H46" s="64">
        <v>2.1800000000000002</v>
      </c>
      <c r="I46" s="64">
        <v>1.22</v>
      </c>
      <c r="J46" s="64">
        <v>0.3</v>
      </c>
      <c r="K46" s="64">
        <v>345.78</v>
      </c>
      <c r="L46" s="64">
        <v>25.68</v>
      </c>
      <c r="M46" s="64">
        <v>104.01</v>
      </c>
      <c r="N46" s="64">
        <v>151.30000000000001</v>
      </c>
      <c r="O46" s="64">
        <v>0</v>
      </c>
      <c r="P46" s="64">
        <v>0.28000000000000003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48" t="s">
        <v>2587</v>
      </c>
      <c r="B47" s="64">
        <v>7.95</v>
      </c>
      <c r="C47" s="64">
        <v>2.95</v>
      </c>
      <c r="D47" s="64">
        <v>11.69</v>
      </c>
      <c r="E47" s="64">
        <v>4.24</v>
      </c>
      <c r="F47" s="64">
        <v>3.59</v>
      </c>
      <c r="G47" s="64">
        <v>5.29</v>
      </c>
      <c r="H47" s="64">
        <v>1.57</v>
      </c>
      <c r="I47" s="64">
        <v>1.1599999999999999</v>
      </c>
      <c r="J47" s="64">
        <v>0.35</v>
      </c>
      <c r="K47" s="64">
        <v>339.37</v>
      </c>
      <c r="L47" s="64">
        <v>25.81</v>
      </c>
      <c r="M47" s="64">
        <v>103.72</v>
      </c>
      <c r="N47" s="64">
        <v>277.89999999999998</v>
      </c>
      <c r="O47" s="64">
        <v>0</v>
      </c>
      <c r="P47" s="64">
        <v>0.28000000000000003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48" t="s">
        <v>2588</v>
      </c>
      <c r="B48" s="64">
        <v>7.94</v>
      </c>
      <c r="C48" s="64">
        <v>2.95</v>
      </c>
      <c r="D48" s="64">
        <v>11.68</v>
      </c>
      <c r="E48" s="64">
        <v>4.3600000000000003</v>
      </c>
      <c r="F48" s="64">
        <v>4.38</v>
      </c>
      <c r="G48" s="64">
        <v>9.0299999999999994</v>
      </c>
      <c r="H48" s="64">
        <v>0.9</v>
      </c>
      <c r="I48" s="64">
        <v>1.02</v>
      </c>
      <c r="J48" s="64">
        <v>0.23</v>
      </c>
      <c r="K48" s="64">
        <v>354.27</v>
      </c>
      <c r="L48" s="64">
        <v>26.15</v>
      </c>
      <c r="M48" s="64">
        <v>102.92</v>
      </c>
      <c r="N48" s="64">
        <v>216.6</v>
      </c>
      <c r="O48" s="64">
        <v>0</v>
      </c>
      <c r="P48" s="64">
        <v>0.3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48" t="s">
        <v>2589</v>
      </c>
      <c r="B49" s="64">
        <v>7.95</v>
      </c>
      <c r="C49" s="64">
        <v>2.9</v>
      </c>
      <c r="D49" s="64">
        <v>11.67</v>
      </c>
      <c r="E49" s="64">
        <v>4.0599999999999996</v>
      </c>
      <c r="F49" s="64">
        <v>3.49</v>
      </c>
      <c r="G49" s="64">
        <v>9.0299999999999994</v>
      </c>
      <c r="H49" s="64">
        <v>0.9</v>
      </c>
      <c r="I49" s="64">
        <v>0.94</v>
      </c>
      <c r="J49" s="64">
        <v>0.27</v>
      </c>
      <c r="K49" s="64">
        <v>344.64</v>
      </c>
      <c r="L49" s="64">
        <v>26.05</v>
      </c>
      <c r="M49" s="64">
        <v>102.15</v>
      </c>
      <c r="N49" s="64">
        <v>151.6</v>
      </c>
      <c r="O49" s="64">
        <v>0</v>
      </c>
      <c r="P49" s="64">
        <v>0.3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48" t="s">
        <v>2590</v>
      </c>
      <c r="B50" s="64">
        <v>7.95</v>
      </c>
      <c r="C50" s="64">
        <v>2.93</v>
      </c>
      <c r="D50" s="64">
        <v>11.68</v>
      </c>
      <c r="E50" s="64">
        <v>4.01</v>
      </c>
      <c r="F50" s="64">
        <v>3.54</v>
      </c>
      <c r="G50" s="64">
        <v>9.0299999999999994</v>
      </c>
      <c r="H50" s="64">
        <v>0.9</v>
      </c>
      <c r="I50" s="64">
        <v>0.92</v>
      </c>
      <c r="J50" s="64">
        <v>0.28999999999999998</v>
      </c>
      <c r="K50" s="64">
        <v>346.39</v>
      </c>
      <c r="L50" s="64">
        <v>25.82</v>
      </c>
      <c r="M50" s="64">
        <v>102.72</v>
      </c>
      <c r="N50" s="64">
        <v>151.19999999999999</v>
      </c>
      <c r="O50" s="64">
        <v>0</v>
      </c>
      <c r="P50" s="64">
        <v>0.31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48" t="s">
        <v>2591</v>
      </c>
      <c r="B51" s="64">
        <v>7.95</v>
      </c>
      <c r="C51" s="64">
        <v>2.99</v>
      </c>
      <c r="D51" s="64">
        <v>11.71</v>
      </c>
      <c r="E51" s="64">
        <v>3.95</v>
      </c>
      <c r="F51" s="64">
        <v>3.83</v>
      </c>
      <c r="G51" s="64">
        <v>8.1199999999999992</v>
      </c>
      <c r="H51" s="64">
        <v>1.41</v>
      </c>
      <c r="I51" s="64">
        <v>0.9</v>
      </c>
      <c r="J51" s="64">
        <v>0.24</v>
      </c>
      <c r="K51" s="64">
        <v>353.47</v>
      </c>
      <c r="L51" s="64">
        <v>26.01</v>
      </c>
      <c r="M51" s="64">
        <v>103.18</v>
      </c>
      <c r="N51" s="64">
        <v>164.6</v>
      </c>
      <c r="O51" s="64">
        <v>0</v>
      </c>
      <c r="P51" s="64">
        <v>0.3</v>
      </c>
      <c r="Q51" s="64">
        <v>9.4600000000000009</v>
      </c>
      <c r="R51" s="198"/>
      <c r="S51" s="198"/>
      <c r="T51" s="198"/>
      <c r="U51" s="198"/>
    </row>
    <row r="52" spans="1:21" s="12" customFormat="1" x14ac:dyDescent="0.25">
      <c r="A52" s="248" t="s">
        <v>2592</v>
      </c>
      <c r="B52" s="64">
        <v>7.94</v>
      </c>
      <c r="C52" s="64">
        <v>2.94</v>
      </c>
      <c r="D52" s="64">
        <v>11.68</v>
      </c>
      <c r="E52" s="64">
        <v>3.8</v>
      </c>
      <c r="F52" s="64">
        <v>3.47</v>
      </c>
      <c r="G52" s="64">
        <v>6.54</v>
      </c>
      <c r="H52" s="64">
        <v>1.98</v>
      </c>
      <c r="I52" s="64">
        <v>0.88</v>
      </c>
      <c r="J52" s="64">
        <v>0.27</v>
      </c>
      <c r="K52" s="64">
        <v>339.86</v>
      </c>
      <c r="L52" s="64">
        <v>26.13</v>
      </c>
      <c r="M52" s="64">
        <v>102.03</v>
      </c>
      <c r="N52" s="64">
        <v>144.5</v>
      </c>
      <c r="O52" s="64">
        <v>0</v>
      </c>
      <c r="P52" s="64">
        <v>0.32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48" t="s">
        <v>2593</v>
      </c>
      <c r="B53" s="64">
        <v>7.94</v>
      </c>
      <c r="C53" s="64">
        <v>2.93</v>
      </c>
      <c r="D53" s="64">
        <v>11.67</v>
      </c>
      <c r="E53" s="64">
        <v>3.82</v>
      </c>
      <c r="F53" s="64">
        <v>3.46</v>
      </c>
      <c r="G53" s="64">
        <v>6.54</v>
      </c>
      <c r="H53" s="64">
        <v>1.98</v>
      </c>
      <c r="I53" s="64">
        <v>0.86</v>
      </c>
      <c r="J53" s="64">
        <v>0.18</v>
      </c>
      <c r="K53" s="64">
        <v>336.46</v>
      </c>
      <c r="L53" s="64">
        <v>26.13</v>
      </c>
      <c r="M53" s="64">
        <v>102.39</v>
      </c>
      <c r="N53" s="64">
        <v>156</v>
      </c>
      <c r="O53" s="64">
        <v>0</v>
      </c>
      <c r="P53" s="64">
        <v>0.31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48" t="s">
        <v>2594</v>
      </c>
      <c r="B54" s="64">
        <v>7.97</v>
      </c>
      <c r="C54" s="64">
        <v>2.95</v>
      </c>
      <c r="D54" s="64">
        <v>11.71</v>
      </c>
      <c r="E54" s="64">
        <v>3.82</v>
      </c>
      <c r="F54" s="64">
        <v>3.7</v>
      </c>
      <c r="G54" s="64">
        <v>6.54</v>
      </c>
      <c r="H54" s="64">
        <v>1.98</v>
      </c>
      <c r="I54" s="64">
        <v>0.88</v>
      </c>
      <c r="J54" s="64">
        <v>0.2</v>
      </c>
      <c r="K54" s="64">
        <v>355.33</v>
      </c>
      <c r="L54" s="64">
        <v>26.52</v>
      </c>
      <c r="M54" s="64">
        <v>100.69</v>
      </c>
      <c r="N54" s="64">
        <v>180.4</v>
      </c>
      <c r="O54" s="64">
        <v>0</v>
      </c>
      <c r="P54" s="64">
        <v>0.32</v>
      </c>
      <c r="Q54" s="64">
        <v>9.5</v>
      </c>
      <c r="R54" s="198"/>
      <c r="S54" s="198"/>
      <c r="T54" s="198"/>
      <c r="U54" s="198"/>
    </row>
    <row r="55" spans="1:21" s="12" customFormat="1" x14ac:dyDescent="0.25">
      <c r="A55" s="248" t="s">
        <v>2595</v>
      </c>
      <c r="B55" s="64">
        <v>7.97</v>
      </c>
      <c r="C55" s="64">
        <v>2.96</v>
      </c>
      <c r="D55" s="64">
        <v>11.71</v>
      </c>
      <c r="E55" s="64">
        <v>3.66</v>
      </c>
      <c r="F55" s="64">
        <v>4.0599999999999996</v>
      </c>
      <c r="G55" s="64">
        <v>9.42</v>
      </c>
      <c r="H55" s="64">
        <v>2.58</v>
      </c>
      <c r="I55" s="64">
        <v>0.95</v>
      </c>
      <c r="J55" s="64">
        <v>0.32</v>
      </c>
      <c r="K55" s="64">
        <v>344.95</v>
      </c>
      <c r="L55" s="64">
        <v>26.62</v>
      </c>
      <c r="M55" s="64">
        <v>98.96</v>
      </c>
      <c r="N55" s="64">
        <v>205.5</v>
      </c>
      <c r="O55" s="64">
        <v>0</v>
      </c>
      <c r="P55" s="64">
        <v>0.33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48" t="s">
        <v>2596</v>
      </c>
      <c r="B56" s="64">
        <v>7.98</v>
      </c>
      <c r="C56" s="64">
        <v>2.99</v>
      </c>
      <c r="D56" s="64">
        <v>11.74</v>
      </c>
      <c r="E56" s="64">
        <v>3.95</v>
      </c>
      <c r="F56" s="64">
        <v>3.89</v>
      </c>
      <c r="G56" s="64">
        <v>14.16</v>
      </c>
      <c r="H56" s="64">
        <v>4.5</v>
      </c>
      <c r="I56" s="64">
        <v>0.94</v>
      </c>
      <c r="J56" s="64">
        <v>0.25</v>
      </c>
      <c r="K56" s="64">
        <v>347.23</v>
      </c>
      <c r="L56" s="64">
        <v>25.92</v>
      </c>
      <c r="M56" s="64">
        <v>104.02</v>
      </c>
      <c r="N56" s="64">
        <v>120.5</v>
      </c>
      <c r="O56" s="64">
        <v>0</v>
      </c>
      <c r="P56" s="64">
        <v>0.34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48" t="s">
        <v>2597</v>
      </c>
      <c r="B57" s="64">
        <v>8.01</v>
      </c>
      <c r="C57" s="64">
        <v>3.02</v>
      </c>
      <c r="D57" s="64">
        <v>11.77</v>
      </c>
      <c r="E57" s="64">
        <v>4.1900000000000004</v>
      </c>
      <c r="F57" s="64">
        <v>3.64</v>
      </c>
      <c r="G57" s="64">
        <v>14.16</v>
      </c>
      <c r="H57" s="64">
        <v>4.5</v>
      </c>
      <c r="I57" s="64">
        <v>0.94</v>
      </c>
      <c r="J57" s="64">
        <v>0.14000000000000001</v>
      </c>
      <c r="K57" s="64">
        <v>346.19</v>
      </c>
      <c r="L57" s="64">
        <v>26.12</v>
      </c>
      <c r="M57" s="64">
        <v>103.41</v>
      </c>
      <c r="N57" s="64">
        <v>177</v>
      </c>
      <c r="O57" s="64">
        <v>0</v>
      </c>
      <c r="P57" s="64">
        <v>0.34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48" t="s">
        <v>2598</v>
      </c>
      <c r="B58" s="64">
        <v>8</v>
      </c>
      <c r="C58" s="64">
        <v>3.01</v>
      </c>
      <c r="D58" s="64">
        <v>11.76</v>
      </c>
      <c r="E58" s="64">
        <v>3.94</v>
      </c>
      <c r="F58" s="64">
        <v>3.53</v>
      </c>
      <c r="G58" s="64">
        <v>14.16</v>
      </c>
      <c r="H58" s="64">
        <v>4.5</v>
      </c>
      <c r="I58" s="64">
        <v>0.92</v>
      </c>
      <c r="J58" s="64">
        <v>0.14000000000000001</v>
      </c>
      <c r="K58" s="64">
        <v>350.11</v>
      </c>
      <c r="L58" s="64">
        <v>26.26</v>
      </c>
      <c r="M58" s="64">
        <v>103.11</v>
      </c>
      <c r="N58" s="64">
        <v>156.19999999999999</v>
      </c>
      <c r="O58" s="64">
        <v>0</v>
      </c>
      <c r="P58" s="64">
        <v>0.34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48" t="s">
        <v>2599</v>
      </c>
      <c r="B59" s="64">
        <v>7.98</v>
      </c>
      <c r="C59" s="64">
        <v>2.97</v>
      </c>
      <c r="D59" s="64">
        <v>11.72</v>
      </c>
      <c r="E59" s="64">
        <v>4.1500000000000004</v>
      </c>
      <c r="F59" s="64">
        <v>3.84</v>
      </c>
      <c r="G59" s="64">
        <v>13.37</v>
      </c>
      <c r="H59" s="64">
        <v>3.42</v>
      </c>
      <c r="I59" s="64">
        <v>0.93</v>
      </c>
      <c r="J59" s="64">
        <v>0.24</v>
      </c>
      <c r="K59" s="64">
        <v>345.06</v>
      </c>
      <c r="L59" s="64">
        <v>26.07</v>
      </c>
      <c r="M59" s="64">
        <v>103.61</v>
      </c>
      <c r="N59" s="64">
        <v>145.69999999999999</v>
      </c>
      <c r="O59" s="64">
        <v>0</v>
      </c>
      <c r="P59" s="64">
        <v>0.34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48" t="s">
        <v>2600</v>
      </c>
      <c r="B60" s="64">
        <v>7.99</v>
      </c>
      <c r="C60" s="64">
        <v>3.01</v>
      </c>
      <c r="D60" s="64">
        <v>11.75</v>
      </c>
      <c r="E60" s="64">
        <v>3.56</v>
      </c>
      <c r="F60" s="64">
        <v>4</v>
      </c>
      <c r="G60" s="64">
        <v>12.06</v>
      </c>
      <c r="H60" s="64">
        <v>2.2200000000000002</v>
      </c>
      <c r="I60" s="64">
        <v>0.91</v>
      </c>
      <c r="J60" s="64">
        <v>0.13</v>
      </c>
      <c r="K60" s="64">
        <v>344.53</v>
      </c>
      <c r="L60" s="64">
        <v>25.83</v>
      </c>
      <c r="M60" s="64">
        <v>104.62</v>
      </c>
      <c r="N60" s="64">
        <v>133.80000000000001</v>
      </c>
      <c r="O60" s="64">
        <v>0</v>
      </c>
      <c r="P60" s="64">
        <v>0.34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48" t="s">
        <v>2601</v>
      </c>
      <c r="B61" s="64">
        <v>7.97</v>
      </c>
      <c r="C61" s="64">
        <v>2.98</v>
      </c>
      <c r="D61" s="64">
        <v>11.73</v>
      </c>
      <c r="E61" s="64">
        <v>3.93</v>
      </c>
      <c r="F61" s="64">
        <v>4.79</v>
      </c>
      <c r="G61" s="64">
        <v>12.06</v>
      </c>
      <c r="H61" s="64">
        <v>2.2200000000000002</v>
      </c>
      <c r="I61" s="64">
        <v>0.94</v>
      </c>
      <c r="J61" s="64">
        <v>0.05</v>
      </c>
      <c r="K61" s="64">
        <v>106.28</v>
      </c>
      <c r="L61" s="64">
        <v>25.97</v>
      </c>
      <c r="M61" s="64">
        <v>104.62</v>
      </c>
      <c r="N61" s="64">
        <v>170.8</v>
      </c>
      <c r="O61" s="64">
        <v>0</v>
      </c>
      <c r="P61" s="64">
        <v>0.32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48" t="s">
        <v>2602</v>
      </c>
      <c r="B62" s="64">
        <v>7.97</v>
      </c>
      <c r="C62" s="64">
        <v>2.98</v>
      </c>
      <c r="D62" s="64">
        <v>11.72</v>
      </c>
      <c r="E62" s="64">
        <v>4.2300000000000004</v>
      </c>
      <c r="F62" s="64">
        <v>2.63</v>
      </c>
      <c r="G62" s="64">
        <v>12.06</v>
      </c>
      <c r="H62" s="64">
        <v>2.2200000000000002</v>
      </c>
      <c r="I62" s="64">
        <v>0.93</v>
      </c>
      <c r="J62" s="64">
        <v>0.08</v>
      </c>
      <c r="K62" s="64">
        <v>302.76</v>
      </c>
      <c r="L62" s="64">
        <v>26.67</v>
      </c>
      <c r="M62" s="64">
        <v>104.38</v>
      </c>
      <c r="N62" s="64">
        <v>8.4</v>
      </c>
      <c r="O62" s="64">
        <v>0</v>
      </c>
      <c r="P62" s="64">
        <v>0.32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48" t="s">
        <v>2603</v>
      </c>
      <c r="B63" s="64">
        <v>7.96</v>
      </c>
      <c r="C63" s="64">
        <v>3.03</v>
      </c>
      <c r="D63" s="64">
        <v>11.74</v>
      </c>
      <c r="E63" s="64">
        <v>4.3600000000000003</v>
      </c>
      <c r="F63" s="64">
        <v>4.79</v>
      </c>
      <c r="G63" s="64">
        <v>13.32</v>
      </c>
      <c r="H63" s="64">
        <v>3.6</v>
      </c>
      <c r="I63" s="64">
        <v>1.1200000000000001</v>
      </c>
      <c r="J63" s="64">
        <v>0.05</v>
      </c>
      <c r="K63" s="64">
        <v>29.25</v>
      </c>
      <c r="L63" s="64">
        <v>27.1</v>
      </c>
      <c r="M63" s="64">
        <v>102.55</v>
      </c>
      <c r="N63" s="64">
        <v>130.69999999999999</v>
      </c>
      <c r="O63" s="64">
        <v>0</v>
      </c>
      <c r="P63" s="64">
        <v>0.33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48" t="s">
        <v>2604</v>
      </c>
      <c r="B64" s="64">
        <v>7.94</v>
      </c>
      <c r="C64" s="64">
        <v>2.99</v>
      </c>
      <c r="D64" s="64">
        <v>11.7</v>
      </c>
      <c r="E64" s="64">
        <v>4.0599999999999996</v>
      </c>
      <c r="F64" s="64">
        <v>2.33</v>
      </c>
      <c r="G64" s="64">
        <v>15.4</v>
      </c>
      <c r="H64" s="64">
        <v>5.0999999999999996</v>
      </c>
      <c r="I64" s="64">
        <v>1.05</v>
      </c>
      <c r="J64" s="64">
        <v>0.14000000000000001</v>
      </c>
      <c r="K64" s="64">
        <v>324.47000000000003</v>
      </c>
      <c r="L64" s="64">
        <v>27.01</v>
      </c>
      <c r="M64" s="64">
        <v>100.08</v>
      </c>
      <c r="N64" s="64">
        <v>124.6</v>
      </c>
      <c r="O64" s="64">
        <v>0</v>
      </c>
      <c r="P64" s="64">
        <v>0.32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48" t="s">
        <v>2605</v>
      </c>
      <c r="B65" s="64">
        <v>7.96</v>
      </c>
      <c r="C65" s="64">
        <v>2.94</v>
      </c>
      <c r="D65" s="64">
        <v>11.69</v>
      </c>
      <c r="E65" s="64">
        <v>3.79</v>
      </c>
      <c r="F65" s="64">
        <v>4.4000000000000004</v>
      </c>
      <c r="G65" s="64">
        <v>15.4</v>
      </c>
      <c r="H65" s="64">
        <v>5.0999999999999996</v>
      </c>
      <c r="I65" s="64">
        <v>1.1100000000000001</v>
      </c>
      <c r="J65" s="64">
        <v>0.18</v>
      </c>
      <c r="K65" s="64">
        <v>342.59</v>
      </c>
      <c r="L65" s="64">
        <v>27.24</v>
      </c>
      <c r="M65" s="64">
        <v>98.95</v>
      </c>
      <c r="N65" s="64">
        <v>219</v>
      </c>
      <c r="O65" s="64">
        <v>0</v>
      </c>
      <c r="P65" s="64">
        <v>0.32</v>
      </c>
      <c r="Q65" s="64">
        <v>9.5399999999999991</v>
      </c>
      <c r="R65" s="198"/>
      <c r="S65" s="198"/>
      <c r="T65" s="198"/>
      <c r="U65" s="198"/>
    </row>
    <row r="66" spans="1:21" s="12" customFormat="1" x14ac:dyDescent="0.25">
      <c r="A66" s="248" t="s">
        <v>2606</v>
      </c>
      <c r="B66" s="64">
        <v>7.96</v>
      </c>
      <c r="C66" s="64">
        <v>2.94</v>
      </c>
      <c r="D66" s="64">
        <v>11.7</v>
      </c>
      <c r="E66" s="64">
        <v>3.97</v>
      </c>
      <c r="F66" s="64">
        <v>2.7</v>
      </c>
      <c r="G66" s="64">
        <v>15.4</v>
      </c>
      <c r="H66" s="64">
        <v>5.0999999999999996</v>
      </c>
      <c r="I66" s="64">
        <v>1.24</v>
      </c>
      <c r="J66" s="64">
        <v>0.17</v>
      </c>
      <c r="K66" s="64">
        <v>339.91</v>
      </c>
      <c r="L66" s="64">
        <v>27.53</v>
      </c>
      <c r="M66" s="64">
        <v>95.5</v>
      </c>
      <c r="N66" s="64">
        <v>184.1</v>
      </c>
      <c r="O66" s="64">
        <v>0</v>
      </c>
      <c r="P66" s="64">
        <v>0.33</v>
      </c>
      <c r="Q66" s="64">
        <v>9.51</v>
      </c>
      <c r="R66" s="198"/>
      <c r="S66" s="198"/>
      <c r="T66" s="198"/>
      <c r="U66" s="198"/>
    </row>
    <row r="67" spans="1:21" s="12" customFormat="1" x14ac:dyDescent="0.25">
      <c r="A67" s="248" t="s">
        <v>2607</v>
      </c>
      <c r="B67" s="64">
        <v>7.94</v>
      </c>
      <c r="C67" s="64">
        <v>2.94</v>
      </c>
      <c r="D67" s="64">
        <v>11.68</v>
      </c>
      <c r="E67" s="64">
        <v>4.3099999999999996</v>
      </c>
      <c r="F67" s="64">
        <v>5.26</v>
      </c>
      <c r="G67" s="64">
        <v>15.09</v>
      </c>
      <c r="H67" s="64">
        <v>4.78</v>
      </c>
      <c r="I67" s="64">
        <v>1.1399999999999999</v>
      </c>
      <c r="J67" s="64">
        <v>0.18</v>
      </c>
      <c r="K67" s="64">
        <v>347.03</v>
      </c>
      <c r="L67" s="64">
        <v>27.54</v>
      </c>
      <c r="M67" s="64">
        <v>95.94</v>
      </c>
      <c r="N67" s="64">
        <v>169.3</v>
      </c>
      <c r="O67" s="64">
        <v>0</v>
      </c>
      <c r="P67" s="64">
        <v>0.34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48" t="s">
        <v>2608</v>
      </c>
      <c r="B68" s="64">
        <v>7.95</v>
      </c>
      <c r="C68" s="64">
        <v>2.94</v>
      </c>
      <c r="D68" s="64">
        <v>11.68</v>
      </c>
      <c r="E68" s="64">
        <v>3.94</v>
      </c>
      <c r="F68" s="64">
        <v>2.5499999999999998</v>
      </c>
      <c r="G68" s="64">
        <v>14.59</v>
      </c>
      <c r="H68" s="64">
        <v>4.42</v>
      </c>
      <c r="I68" s="64">
        <v>1.25</v>
      </c>
      <c r="J68" s="64">
        <v>0.16</v>
      </c>
      <c r="K68" s="64">
        <v>345.48</v>
      </c>
      <c r="L68" s="64">
        <v>27.58</v>
      </c>
      <c r="M68" s="64">
        <v>97.06</v>
      </c>
      <c r="N68" s="64">
        <v>145.80000000000001</v>
      </c>
      <c r="O68" s="64">
        <v>0</v>
      </c>
      <c r="P68" s="64">
        <v>0.34</v>
      </c>
      <c r="Q68" s="64">
        <v>9.5299999999999994</v>
      </c>
      <c r="R68" s="198"/>
      <c r="S68" s="198"/>
      <c r="T68" s="198"/>
      <c r="U68" s="198"/>
    </row>
    <row r="69" spans="1:21" s="12" customFormat="1" x14ac:dyDescent="0.25">
      <c r="A69" s="248" t="s">
        <v>2609</v>
      </c>
      <c r="B69" s="64">
        <v>7.97</v>
      </c>
      <c r="C69" s="64">
        <v>3.01</v>
      </c>
      <c r="D69" s="64">
        <v>11.74</v>
      </c>
      <c r="E69" s="64">
        <v>3.54</v>
      </c>
      <c r="F69" s="64">
        <v>4.8600000000000003</v>
      </c>
      <c r="G69" s="64">
        <v>14.59</v>
      </c>
      <c r="H69" s="64">
        <v>4.42</v>
      </c>
      <c r="I69" s="64">
        <v>1.1399999999999999</v>
      </c>
      <c r="J69" s="64">
        <v>0.19</v>
      </c>
      <c r="K69" s="64">
        <v>346.84</v>
      </c>
      <c r="L69" s="64">
        <v>27.66</v>
      </c>
      <c r="M69" s="64">
        <v>96.64</v>
      </c>
      <c r="N69" s="64">
        <v>191.7</v>
      </c>
      <c r="O69" s="64">
        <v>0</v>
      </c>
      <c r="P69" s="64">
        <v>0.35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48" t="s">
        <v>2610</v>
      </c>
      <c r="B70" s="64">
        <v>8</v>
      </c>
      <c r="C70" s="64">
        <v>3.02</v>
      </c>
      <c r="D70" s="64">
        <v>11.77</v>
      </c>
      <c r="E70" s="64">
        <v>4.07</v>
      </c>
      <c r="F70" s="64">
        <v>3.08</v>
      </c>
      <c r="G70" s="64">
        <v>14.59</v>
      </c>
      <c r="H70" s="64">
        <v>4.42</v>
      </c>
      <c r="I70" s="64">
        <v>1.17</v>
      </c>
      <c r="J70" s="64">
        <v>0.17</v>
      </c>
      <c r="K70" s="64">
        <v>346.01</v>
      </c>
      <c r="L70" s="64">
        <v>27.81</v>
      </c>
      <c r="M70" s="64">
        <v>94.62</v>
      </c>
      <c r="N70" s="64">
        <v>100.4</v>
      </c>
      <c r="O70" s="64">
        <v>0</v>
      </c>
      <c r="P70" s="64">
        <v>0.34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48" t="s">
        <v>2611</v>
      </c>
      <c r="B71" s="64">
        <v>8</v>
      </c>
      <c r="C71" s="64">
        <v>2.93</v>
      </c>
      <c r="D71" s="64">
        <v>11.72</v>
      </c>
      <c r="E71" s="64">
        <v>4.0199999999999996</v>
      </c>
      <c r="F71" s="64">
        <v>3.78</v>
      </c>
      <c r="G71" s="64">
        <v>16.98</v>
      </c>
      <c r="H71" s="64">
        <v>4.32</v>
      </c>
      <c r="I71" s="64">
        <v>1.1399999999999999</v>
      </c>
      <c r="J71" s="64">
        <v>0.15</v>
      </c>
      <c r="K71" s="64">
        <v>351.72</v>
      </c>
      <c r="L71" s="64">
        <v>27.96</v>
      </c>
      <c r="M71" s="64">
        <v>94.88</v>
      </c>
      <c r="N71" s="64">
        <v>175.3</v>
      </c>
      <c r="O71" s="64">
        <v>0</v>
      </c>
      <c r="P71" s="64">
        <v>0.34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48" t="s">
        <v>2612</v>
      </c>
      <c r="B72" s="64">
        <v>8</v>
      </c>
      <c r="C72" s="64">
        <v>2.97</v>
      </c>
      <c r="D72" s="64">
        <v>11.74</v>
      </c>
      <c r="E72" s="64">
        <v>5.04</v>
      </c>
      <c r="F72" s="64">
        <v>3.56</v>
      </c>
      <c r="G72" s="64">
        <v>20.91</v>
      </c>
      <c r="H72" s="64">
        <v>4.01</v>
      </c>
      <c r="I72" s="64">
        <v>1.1200000000000001</v>
      </c>
      <c r="J72" s="64">
        <v>0.28000000000000003</v>
      </c>
      <c r="K72" s="64">
        <v>348.26</v>
      </c>
      <c r="L72" s="64">
        <v>27.57</v>
      </c>
      <c r="M72" s="64">
        <v>94.11</v>
      </c>
      <c r="N72" s="64">
        <v>159.4</v>
      </c>
      <c r="O72" s="64">
        <v>0</v>
      </c>
      <c r="P72" s="64">
        <v>0.34</v>
      </c>
      <c r="Q72" s="64">
        <v>9.5399999999999991</v>
      </c>
      <c r="R72" s="198"/>
      <c r="S72" s="198"/>
      <c r="T72" s="198"/>
      <c r="U72" s="198"/>
    </row>
    <row r="73" spans="1:21" s="12" customFormat="1" x14ac:dyDescent="0.25">
      <c r="A73" s="248" t="s">
        <v>2613</v>
      </c>
      <c r="B73" s="64">
        <v>8</v>
      </c>
      <c r="C73" s="64">
        <v>2.97</v>
      </c>
      <c r="D73" s="64">
        <v>11.74</v>
      </c>
      <c r="E73" s="64">
        <v>4.24</v>
      </c>
      <c r="F73" s="64">
        <v>3.81</v>
      </c>
      <c r="G73" s="64">
        <v>20.91</v>
      </c>
      <c r="H73" s="64">
        <v>4.01</v>
      </c>
      <c r="I73" s="64">
        <v>1.1399999999999999</v>
      </c>
      <c r="J73" s="64">
        <v>0.16</v>
      </c>
      <c r="K73" s="64">
        <v>343.84</v>
      </c>
      <c r="L73" s="64">
        <v>27.52</v>
      </c>
      <c r="M73" s="64">
        <v>95.27</v>
      </c>
      <c r="N73" s="64">
        <v>105.3</v>
      </c>
      <c r="O73" s="64">
        <v>0</v>
      </c>
      <c r="P73" s="64">
        <v>0.34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48" t="s">
        <v>2614</v>
      </c>
      <c r="B74" s="64">
        <v>7.99</v>
      </c>
      <c r="C74" s="64">
        <v>2.95</v>
      </c>
      <c r="D74" s="64">
        <v>11.72</v>
      </c>
      <c r="E74" s="64">
        <v>4.41</v>
      </c>
      <c r="F74" s="64">
        <v>3.23</v>
      </c>
      <c r="G74" s="64">
        <v>20.91</v>
      </c>
      <c r="H74" s="64">
        <v>4.01</v>
      </c>
      <c r="I74" s="64">
        <v>1.2</v>
      </c>
      <c r="J74" s="64">
        <v>0.18</v>
      </c>
      <c r="K74" s="64">
        <v>354.24</v>
      </c>
      <c r="L74" s="64">
        <v>27.55</v>
      </c>
      <c r="M74" s="64">
        <v>95.91</v>
      </c>
      <c r="N74" s="64">
        <v>127.4</v>
      </c>
      <c r="O74" s="64">
        <v>0</v>
      </c>
      <c r="P74" s="64">
        <v>0.34</v>
      </c>
      <c r="Q74" s="64">
        <v>9.5500000000000007</v>
      </c>
      <c r="R74" s="198"/>
      <c r="S74" s="198"/>
      <c r="T74" s="198"/>
      <c r="U74" s="198"/>
    </row>
    <row r="75" spans="1:21" s="12" customFormat="1" x14ac:dyDescent="0.25">
      <c r="A75" s="248" t="s">
        <v>2615</v>
      </c>
      <c r="B75" s="64">
        <v>8.01</v>
      </c>
      <c r="C75" s="64">
        <v>2.93</v>
      </c>
      <c r="D75" s="64">
        <v>11.73</v>
      </c>
      <c r="E75" s="64">
        <v>4.6900000000000004</v>
      </c>
      <c r="F75" s="64">
        <v>3.61</v>
      </c>
      <c r="G75" s="64">
        <v>19.91</v>
      </c>
      <c r="H75" s="64">
        <v>3.1</v>
      </c>
      <c r="I75" s="64">
        <v>1.18</v>
      </c>
      <c r="J75" s="64">
        <v>0.19</v>
      </c>
      <c r="K75" s="64">
        <v>346.26</v>
      </c>
      <c r="L75" s="64">
        <v>27.65</v>
      </c>
      <c r="M75" s="64">
        <v>95.87</v>
      </c>
      <c r="N75" s="64">
        <v>128</v>
      </c>
      <c r="O75" s="64">
        <v>0</v>
      </c>
      <c r="P75" s="64">
        <v>0.35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48" t="s">
        <v>2616</v>
      </c>
      <c r="B76" s="64">
        <v>8</v>
      </c>
      <c r="C76" s="64">
        <v>2.91</v>
      </c>
      <c r="D76" s="64">
        <v>11.71</v>
      </c>
      <c r="E76" s="64">
        <v>4.37</v>
      </c>
      <c r="F76" s="64">
        <v>3.68</v>
      </c>
      <c r="G76" s="64">
        <v>18.28</v>
      </c>
      <c r="H76" s="64">
        <v>2.11</v>
      </c>
      <c r="I76" s="64">
        <v>1.2</v>
      </c>
      <c r="J76" s="64">
        <v>0.21</v>
      </c>
      <c r="K76" s="64">
        <v>355.31</v>
      </c>
      <c r="L76" s="64">
        <v>27.28</v>
      </c>
      <c r="M76" s="64">
        <v>96.84</v>
      </c>
      <c r="N76" s="64">
        <v>63.1</v>
      </c>
      <c r="O76" s="64">
        <v>0</v>
      </c>
      <c r="P76" s="64">
        <v>0.35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48" t="s">
        <v>2617</v>
      </c>
      <c r="B77" s="64">
        <v>7.98</v>
      </c>
      <c r="C77" s="64">
        <v>2.96</v>
      </c>
      <c r="D77" s="64">
        <v>11.73</v>
      </c>
      <c r="E77" s="64">
        <v>4.92</v>
      </c>
      <c r="F77" s="64">
        <v>3.72</v>
      </c>
      <c r="G77" s="64">
        <v>18.28</v>
      </c>
      <c r="H77" s="64">
        <v>2.11</v>
      </c>
      <c r="I77" s="64">
        <v>1.22</v>
      </c>
      <c r="J77" s="64">
        <v>0.28999999999999998</v>
      </c>
      <c r="K77" s="64">
        <v>353.94</v>
      </c>
      <c r="L77" s="64">
        <v>27</v>
      </c>
      <c r="M77" s="64">
        <v>96.28</v>
      </c>
      <c r="N77" s="64">
        <v>50.2</v>
      </c>
      <c r="O77" s="64">
        <v>0</v>
      </c>
      <c r="P77" s="64">
        <v>0.35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48" t="s">
        <v>2618</v>
      </c>
      <c r="B78" s="64">
        <v>7.93</v>
      </c>
      <c r="C78" s="64">
        <v>2.94</v>
      </c>
      <c r="D78" s="64">
        <v>11.67</v>
      </c>
      <c r="E78" s="64">
        <v>4.6100000000000003</v>
      </c>
      <c r="F78" s="64">
        <v>3.71</v>
      </c>
      <c r="G78" s="64">
        <v>18.28</v>
      </c>
      <c r="H78" s="64">
        <v>2.11</v>
      </c>
      <c r="I78" s="64">
        <v>1.24</v>
      </c>
      <c r="J78" s="64">
        <v>0.22</v>
      </c>
      <c r="K78" s="64">
        <v>353.36</v>
      </c>
      <c r="L78" s="64">
        <v>26.66</v>
      </c>
      <c r="M78" s="64">
        <v>98.52</v>
      </c>
      <c r="N78" s="64">
        <v>48.5</v>
      </c>
      <c r="O78" s="64">
        <v>0</v>
      </c>
      <c r="P78" s="64">
        <v>0.36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48" t="s">
        <v>2619</v>
      </c>
      <c r="B79" s="64">
        <v>7.93</v>
      </c>
      <c r="C79" s="64">
        <v>2.96</v>
      </c>
      <c r="D79" s="64">
        <v>11.68</v>
      </c>
      <c r="E79" s="64">
        <v>4.62</v>
      </c>
      <c r="F79" s="64">
        <v>4.32</v>
      </c>
      <c r="G79" s="64">
        <v>17.68</v>
      </c>
      <c r="H79" s="64">
        <v>1.68</v>
      </c>
      <c r="I79" s="64">
        <v>1.19</v>
      </c>
      <c r="J79" s="64">
        <v>0.2</v>
      </c>
      <c r="K79" s="64">
        <v>351</v>
      </c>
      <c r="L79" s="64">
        <v>26.49</v>
      </c>
      <c r="M79" s="64">
        <v>101.01</v>
      </c>
      <c r="N79" s="64">
        <v>48.7</v>
      </c>
      <c r="O79" s="64">
        <v>0</v>
      </c>
      <c r="P79" s="64">
        <v>0.37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48" t="s">
        <v>2620</v>
      </c>
      <c r="B80" s="64">
        <v>7.94</v>
      </c>
      <c r="C80" s="64">
        <v>2.94</v>
      </c>
      <c r="D80" s="64">
        <v>11.68</v>
      </c>
      <c r="E80" s="64">
        <v>4.46</v>
      </c>
      <c r="F80" s="64">
        <v>3.36</v>
      </c>
      <c r="G80" s="64">
        <v>16.690000000000001</v>
      </c>
      <c r="H80" s="64">
        <v>1.21</v>
      </c>
      <c r="I80" s="64">
        <v>1.1599999999999999</v>
      </c>
      <c r="J80" s="64">
        <v>0.21</v>
      </c>
      <c r="K80" s="64">
        <v>355.5</v>
      </c>
      <c r="L80" s="64">
        <v>26.29</v>
      </c>
      <c r="M80" s="64">
        <v>102.85</v>
      </c>
      <c r="N80" s="64">
        <v>43.4</v>
      </c>
      <c r="O80" s="64">
        <v>0</v>
      </c>
      <c r="P80" s="64">
        <v>0.37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48" t="s">
        <v>2621</v>
      </c>
      <c r="B81" s="64">
        <v>7.96</v>
      </c>
      <c r="C81" s="64">
        <v>2.97</v>
      </c>
      <c r="D81" s="64">
        <v>11.7</v>
      </c>
      <c r="E81" s="64">
        <v>4.42</v>
      </c>
      <c r="F81" s="64">
        <v>3.72</v>
      </c>
      <c r="G81" s="64">
        <v>16.690000000000001</v>
      </c>
      <c r="H81" s="64">
        <v>1.21</v>
      </c>
      <c r="I81" s="64">
        <v>1.3</v>
      </c>
      <c r="J81" s="64">
        <v>0.19</v>
      </c>
      <c r="K81" s="64">
        <v>3.37</v>
      </c>
      <c r="L81" s="64">
        <v>26.22</v>
      </c>
      <c r="M81" s="64">
        <v>102.39</v>
      </c>
      <c r="N81" s="64">
        <v>30</v>
      </c>
      <c r="O81" s="64">
        <v>0</v>
      </c>
      <c r="P81" s="64">
        <v>0.39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48" t="s">
        <v>2622</v>
      </c>
      <c r="B82" s="64">
        <v>7.98</v>
      </c>
      <c r="C82" s="64">
        <v>2.94</v>
      </c>
      <c r="D82" s="64">
        <v>11.71</v>
      </c>
      <c r="E82" s="64">
        <v>4.82</v>
      </c>
      <c r="F82" s="64">
        <v>3.87</v>
      </c>
      <c r="G82" s="64">
        <v>16.690000000000001</v>
      </c>
      <c r="H82" s="64">
        <v>1.21</v>
      </c>
      <c r="I82" s="64">
        <v>1.21</v>
      </c>
      <c r="J82" s="64">
        <v>0.19</v>
      </c>
      <c r="K82" s="64">
        <v>3.4</v>
      </c>
      <c r="L82" s="64">
        <v>26.2</v>
      </c>
      <c r="M82" s="64">
        <v>101.46</v>
      </c>
      <c r="N82" s="64">
        <v>26.6</v>
      </c>
      <c r="O82" s="64">
        <v>0</v>
      </c>
      <c r="P82" s="64">
        <v>0.39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48" t="s">
        <v>2623</v>
      </c>
      <c r="B83" s="64">
        <v>7.98</v>
      </c>
      <c r="C83" s="64">
        <v>2.99</v>
      </c>
      <c r="D83" s="64">
        <v>11.74</v>
      </c>
      <c r="E83" s="64">
        <v>4.53</v>
      </c>
      <c r="F83" s="64">
        <v>3.52</v>
      </c>
      <c r="G83" s="64">
        <v>18.47</v>
      </c>
      <c r="H83" s="64">
        <v>0.98</v>
      </c>
      <c r="I83" s="64">
        <v>1.26</v>
      </c>
      <c r="J83" s="64">
        <v>0.19</v>
      </c>
      <c r="K83" s="64">
        <v>8.91</v>
      </c>
      <c r="L83" s="64">
        <v>26.09</v>
      </c>
      <c r="M83" s="64">
        <v>101.77</v>
      </c>
      <c r="N83" s="64">
        <v>25.8</v>
      </c>
      <c r="O83" s="64">
        <v>0</v>
      </c>
      <c r="P83" s="64">
        <v>0.41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48" t="s">
        <v>2624</v>
      </c>
      <c r="B84" s="64">
        <v>7.98</v>
      </c>
      <c r="C84" s="64">
        <v>3</v>
      </c>
      <c r="D84" s="64">
        <v>11.74</v>
      </c>
      <c r="E84" s="64">
        <v>4.33</v>
      </c>
      <c r="F84" s="64">
        <v>3.85</v>
      </c>
      <c r="G84" s="64">
        <v>21.42</v>
      </c>
      <c r="H84" s="64">
        <v>0.72</v>
      </c>
      <c r="I84" s="64">
        <v>1.28</v>
      </c>
      <c r="J84" s="64">
        <v>0.26</v>
      </c>
      <c r="K84" s="64">
        <v>4.5999999999999996</v>
      </c>
      <c r="L84" s="64">
        <v>26</v>
      </c>
      <c r="M84" s="64">
        <v>101.94</v>
      </c>
      <c r="N84" s="64">
        <v>25.4</v>
      </c>
      <c r="O84" s="64">
        <v>0</v>
      </c>
      <c r="P84" s="64">
        <v>0.41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48" t="s">
        <v>2625</v>
      </c>
      <c r="B85" s="64">
        <v>7.98</v>
      </c>
      <c r="C85" s="64">
        <v>3.05</v>
      </c>
      <c r="D85" s="64">
        <v>11.77</v>
      </c>
      <c r="E85" s="64">
        <v>4.43</v>
      </c>
      <c r="F85" s="64">
        <v>3.69</v>
      </c>
      <c r="G85" s="64">
        <v>21.42</v>
      </c>
      <c r="H85" s="64">
        <v>0.72</v>
      </c>
      <c r="I85" s="64">
        <v>1.3</v>
      </c>
      <c r="J85" s="64">
        <v>0.18</v>
      </c>
      <c r="K85" s="64">
        <v>356.61</v>
      </c>
      <c r="L85" s="64">
        <v>25.97</v>
      </c>
      <c r="M85" s="64">
        <v>102.3</v>
      </c>
      <c r="N85" s="64">
        <v>25.4</v>
      </c>
      <c r="O85" s="64">
        <v>0</v>
      </c>
      <c r="P85" s="64">
        <v>0.4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48" t="s">
        <v>2626</v>
      </c>
      <c r="B86" s="64">
        <v>7.95</v>
      </c>
      <c r="C86" s="64">
        <v>3.03</v>
      </c>
      <c r="D86" s="64">
        <v>11.73</v>
      </c>
      <c r="E86" s="64">
        <v>4.6399999999999997</v>
      </c>
      <c r="F86" s="64">
        <v>3.33</v>
      </c>
      <c r="G86" s="64">
        <v>21.42</v>
      </c>
      <c r="H86" s="64">
        <v>0.72</v>
      </c>
      <c r="I86" s="64">
        <v>1.31</v>
      </c>
      <c r="J86" s="64">
        <v>0.21</v>
      </c>
      <c r="K86" s="64">
        <v>359.64</v>
      </c>
      <c r="L86" s="64">
        <v>25.89</v>
      </c>
      <c r="M86" s="64">
        <v>103.1</v>
      </c>
      <c r="N86" s="64">
        <v>25</v>
      </c>
      <c r="O86" s="64">
        <v>0</v>
      </c>
      <c r="P86" s="64">
        <v>0.44</v>
      </c>
      <c r="Q86" s="64">
        <v>9.58</v>
      </c>
      <c r="R86" s="198"/>
      <c r="S86" s="198"/>
      <c r="T86" s="198"/>
      <c r="U86" s="198"/>
    </row>
    <row r="87" spans="1:26" s="12" customFormat="1" x14ac:dyDescent="0.25">
      <c r="A87" s="248" t="s">
        <v>2627</v>
      </c>
      <c r="B87" s="64">
        <v>7.96</v>
      </c>
      <c r="C87" s="64">
        <v>3.01</v>
      </c>
      <c r="D87" s="64">
        <v>11.73</v>
      </c>
      <c r="E87" s="64">
        <v>4.67</v>
      </c>
      <c r="F87" s="64">
        <v>2.96</v>
      </c>
      <c r="G87" s="64">
        <v>21.58</v>
      </c>
      <c r="H87" s="64">
        <v>1.73</v>
      </c>
      <c r="I87" s="64">
        <v>1.33</v>
      </c>
      <c r="J87" s="64">
        <v>0.18</v>
      </c>
      <c r="K87" s="64">
        <v>3.72</v>
      </c>
      <c r="L87" s="64">
        <v>25.9</v>
      </c>
      <c r="M87" s="64">
        <v>103.7</v>
      </c>
      <c r="N87" s="64">
        <v>25.3</v>
      </c>
      <c r="O87" s="64">
        <v>0</v>
      </c>
      <c r="P87" s="64">
        <v>0.42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48" t="s">
        <v>2628</v>
      </c>
      <c r="B88" s="64">
        <v>7.99</v>
      </c>
      <c r="C88" s="64">
        <v>3.03</v>
      </c>
      <c r="D88" s="64">
        <v>11.77</v>
      </c>
      <c r="E88" s="64">
        <v>3.46</v>
      </c>
      <c r="F88" s="64">
        <v>3.28</v>
      </c>
      <c r="G88" s="64">
        <v>21.84</v>
      </c>
      <c r="H88" s="64">
        <v>4.97</v>
      </c>
      <c r="I88" s="64">
        <v>1.33</v>
      </c>
      <c r="J88" s="64">
        <v>0.1</v>
      </c>
      <c r="K88" s="64">
        <v>7.65</v>
      </c>
      <c r="L88" s="64">
        <v>25.78</v>
      </c>
      <c r="M88" s="64">
        <v>104.59</v>
      </c>
      <c r="N88" s="64">
        <v>25.4</v>
      </c>
      <c r="O88" s="64">
        <v>0</v>
      </c>
      <c r="P88" s="64">
        <v>0.43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48" t="s">
        <v>2629</v>
      </c>
      <c r="B89" s="64">
        <v>8</v>
      </c>
      <c r="C89" s="64">
        <v>2.99</v>
      </c>
      <c r="D89" s="64">
        <v>11.75</v>
      </c>
      <c r="E89" s="64">
        <v>3.6</v>
      </c>
      <c r="F89" s="64">
        <v>3.54</v>
      </c>
      <c r="G89" s="64">
        <v>21.84</v>
      </c>
      <c r="H89" s="64">
        <v>4.97</v>
      </c>
      <c r="I89" s="64">
        <v>1.35</v>
      </c>
      <c r="J89" s="64">
        <v>0.14000000000000001</v>
      </c>
      <c r="K89" s="64">
        <v>342.67</v>
      </c>
      <c r="L89" s="64">
        <v>25.71</v>
      </c>
      <c r="M89" s="64">
        <v>104.64</v>
      </c>
      <c r="N89" s="64">
        <v>25.4</v>
      </c>
      <c r="O89" s="64">
        <v>0</v>
      </c>
      <c r="P89" s="64">
        <v>0.45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48" t="s">
        <v>2630</v>
      </c>
      <c r="B90" s="64">
        <v>8.01</v>
      </c>
      <c r="C90" s="64">
        <v>2.96</v>
      </c>
      <c r="D90" s="64">
        <v>11.74</v>
      </c>
      <c r="E90" s="64">
        <v>4.09</v>
      </c>
      <c r="F90" s="64">
        <v>3.54</v>
      </c>
      <c r="G90" s="64">
        <v>21.84</v>
      </c>
      <c r="H90" s="64">
        <v>4.97</v>
      </c>
      <c r="I90" s="64">
        <v>1.46</v>
      </c>
      <c r="J90" s="64">
        <v>0.08</v>
      </c>
      <c r="K90" s="64">
        <v>0.25</v>
      </c>
      <c r="L90" s="64">
        <v>25.72</v>
      </c>
      <c r="M90" s="64">
        <v>104.66</v>
      </c>
      <c r="N90" s="64">
        <v>25.3</v>
      </c>
      <c r="O90" s="64">
        <v>0</v>
      </c>
      <c r="P90" s="64">
        <v>0.44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48" t="s">
        <v>2631</v>
      </c>
      <c r="B91" s="64">
        <v>7.99</v>
      </c>
      <c r="C91" s="64">
        <v>2.97</v>
      </c>
      <c r="D91" s="64">
        <v>11.73</v>
      </c>
      <c r="E91" s="64">
        <v>3.85</v>
      </c>
      <c r="F91" s="64">
        <v>3.32</v>
      </c>
      <c r="G91" s="64">
        <v>22.09</v>
      </c>
      <c r="H91" s="64">
        <v>4.01</v>
      </c>
      <c r="I91" s="64">
        <v>1.58</v>
      </c>
      <c r="J91" s="64">
        <v>0.02</v>
      </c>
      <c r="K91" s="64">
        <v>54.5</v>
      </c>
      <c r="L91" s="64">
        <v>25.64</v>
      </c>
      <c r="M91" s="64">
        <v>104.68</v>
      </c>
      <c r="N91" s="64">
        <v>25.4</v>
      </c>
      <c r="O91" s="64">
        <v>0</v>
      </c>
      <c r="P91" s="64">
        <v>0.46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48" t="s">
        <v>2632</v>
      </c>
      <c r="B92" s="64">
        <v>7.99</v>
      </c>
      <c r="C92" s="64">
        <v>2.99</v>
      </c>
      <c r="D92" s="64">
        <v>11.75</v>
      </c>
      <c r="E92" s="64">
        <v>4.05</v>
      </c>
      <c r="F92" s="64">
        <v>3.2</v>
      </c>
      <c r="G92" s="64">
        <v>22.5</v>
      </c>
      <c r="H92" s="64">
        <v>2.96</v>
      </c>
      <c r="I92" s="64">
        <v>1.68</v>
      </c>
      <c r="J92" s="64">
        <v>0.01</v>
      </c>
      <c r="K92" s="64">
        <v>78.680000000000007</v>
      </c>
      <c r="L92" s="64">
        <v>25.63</v>
      </c>
      <c r="M92" s="64">
        <v>104.7</v>
      </c>
      <c r="N92" s="64">
        <v>25.4</v>
      </c>
      <c r="O92" s="64">
        <v>0</v>
      </c>
      <c r="P92" s="64">
        <v>0.46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48" t="s">
        <v>2633</v>
      </c>
      <c r="B93" s="64">
        <v>8.01</v>
      </c>
      <c r="C93" s="64">
        <v>2.98</v>
      </c>
      <c r="D93" s="64">
        <v>11.75</v>
      </c>
      <c r="E93" s="64">
        <v>3.96</v>
      </c>
      <c r="F93" s="64">
        <v>3.31</v>
      </c>
      <c r="G93" s="64">
        <v>22.5</v>
      </c>
      <c r="H93" s="64">
        <v>2.96</v>
      </c>
      <c r="I93" s="64">
        <v>2.04</v>
      </c>
      <c r="J93" s="64">
        <v>0.01</v>
      </c>
      <c r="K93" s="64">
        <v>16.149999999999999</v>
      </c>
      <c r="L93" s="64">
        <v>25.61</v>
      </c>
      <c r="M93" s="64">
        <v>104.7</v>
      </c>
      <c r="N93" s="64">
        <v>25.4</v>
      </c>
      <c r="O93" s="64">
        <v>0</v>
      </c>
      <c r="P93" s="64">
        <v>0.46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48" t="s">
        <v>2634</v>
      </c>
      <c r="B94" s="64">
        <v>7.97</v>
      </c>
      <c r="C94" s="64">
        <v>2.96</v>
      </c>
      <c r="D94" s="64">
        <v>11.71</v>
      </c>
      <c r="E94" s="64">
        <v>3.72</v>
      </c>
      <c r="F94" s="64">
        <v>4.03</v>
      </c>
      <c r="G94" s="64">
        <v>22.5</v>
      </c>
      <c r="H94" s="64">
        <v>2.96</v>
      </c>
      <c r="I94" s="64">
        <v>2.2599999999999998</v>
      </c>
      <c r="J94" s="64">
        <v>0.04</v>
      </c>
      <c r="K94" s="64">
        <v>284.14999999999998</v>
      </c>
      <c r="L94" s="64">
        <v>25.58</v>
      </c>
      <c r="M94" s="64">
        <v>104.71</v>
      </c>
      <c r="N94" s="64">
        <v>25.4</v>
      </c>
      <c r="O94" s="64">
        <v>0</v>
      </c>
      <c r="P94" s="64">
        <v>0.46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48" t="s">
        <v>2635</v>
      </c>
      <c r="B95" s="64">
        <v>7.98</v>
      </c>
      <c r="C95" s="64">
        <v>2.98</v>
      </c>
      <c r="D95" s="64">
        <v>11.73</v>
      </c>
      <c r="E95" s="64">
        <v>4.08</v>
      </c>
      <c r="F95" s="64">
        <v>3.39</v>
      </c>
      <c r="G95" s="64">
        <v>24.07</v>
      </c>
      <c r="H95" s="64">
        <v>2.93</v>
      </c>
      <c r="I95" s="64">
        <v>2.4500000000000002</v>
      </c>
      <c r="J95" s="64">
        <v>0.08</v>
      </c>
      <c r="K95" s="64">
        <v>182.38</v>
      </c>
      <c r="L95" s="64">
        <v>25.54</v>
      </c>
      <c r="M95" s="64">
        <v>104.73</v>
      </c>
      <c r="N95" s="64">
        <v>25.3</v>
      </c>
      <c r="O95" s="64">
        <v>0</v>
      </c>
      <c r="P95" s="64">
        <v>0.46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48" t="s">
        <v>2636</v>
      </c>
      <c r="B96" s="64">
        <v>7.99</v>
      </c>
      <c r="C96" s="64">
        <v>3</v>
      </c>
      <c r="D96" s="64">
        <v>11.75</v>
      </c>
      <c r="E96" s="64">
        <v>4.1500000000000004</v>
      </c>
      <c r="F96" s="64">
        <v>3.47</v>
      </c>
      <c r="G96" s="64">
        <v>26.65</v>
      </c>
      <c r="H96" s="64">
        <v>2.89</v>
      </c>
      <c r="I96" s="64">
        <v>2.5299999999999998</v>
      </c>
      <c r="J96" s="64">
        <v>0.05</v>
      </c>
      <c r="K96" s="64">
        <v>142.30000000000001</v>
      </c>
      <c r="L96" s="64">
        <v>25.5</v>
      </c>
      <c r="M96" s="64">
        <v>104.75</v>
      </c>
      <c r="N96" s="64">
        <v>25.3</v>
      </c>
      <c r="O96" s="64">
        <v>0</v>
      </c>
      <c r="P96" s="64">
        <v>0.46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2637</v>
      </c>
      <c r="B97" s="64">
        <v>7.98</v>
      </c>
      <c r="C97" s="64">
        <v>3</v>
      </c>
      <c r="D97" s="64">
        <v>11.74</v>
      </c>
      <c r="E97" s="64">
        <v>4.01</v>
      </c>
      <c r="F97" s="64">
        <v>4.1900000000000004</v>
      </c>
      <c r="G97" s="64">
        <v>26.65</v>
      </c>
      <c r="H97" s="64">
        <v>2.89</v>
      </c>
      <c r="I97" s="64">
        <v>2.6</v>
      </c>
      <c r="J97" s="64">
        <v>0.14000000000000001</v>
      </c>
      <c r="K97" s="64">
        <v>154.66</v>
      </c>
      <c r="L97" s="64">
        <v>25.47</v>
      </c>
      <c r="M97" s="64">
        <v>104.76</v>
      </c>
      <c r="N97" s="64">
        <v>25.3</v>
      </c>
      <c r="O97" s="64">
        <v>0</v>
      </c>
      <c r="P97" s="64">
        <v>0.46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48" t="s">
        <v>2638</v>
      </c>
      <c r="B98" s="64">
        <v>7.94</v>
      </c>
      <c r="C98" s="64">
        <v>2.93</v>
      </c>
      <c r="D98" s="64">
        <v>11.67</v>
      </c>
      <c r="E98" s="64">
        <v>3.99</v>
      </c>
      <c r="F98" s="64">
        <v>3.46</v>
      </c>
      <c r="G98" s="64">
        <v>26.65</v>
      </c>
      <c r="H98" s="64">
        <v>2.89</v>
      </c>
      <c r="I98" s="64">
        <v>2.66</v>
      </c>
      <c r="J98" s="64">
        <v>0.17</v>
      </c>
      <c r="K98" s="64">
        <v>165.08</v>
      </c>
      <c r="L98" s="64">
        <v>25.42</v>
      </c>
      <c r="M98" s="64">
        <v>104.78</v>
      </c>
      <c r="N98" s="64">
        <v>25.3</v>
      </c>
      <c r="O98" s="64">
        <v>0</v>
      </c>
      <c r="P98" s="64">
        <v>0.45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48" t="s">
        <v>2639</v>
      </c>
      <c r="B99" s="64">
        <v>7.98</v>
      </c>
      <c r="C99" s="64">
        <v>2.99</v>
      </c>
      <c r="D99" s="64">
        <v>11.74</v>
      </c>
      <c r="E99" s="64">
        <v>4.22</v>
      </c>
      <c r="F99" s="64">
        <v>3.7</v>
      </c>
      <c r="G99" s="64">
        <v>26.75</v>
      </c>
      <c r="H99" s="64">
        <v>5.52</v>
      </c>
      <c r="I99" s="64">
        <v>2.71</v>
      </c>
      <c r="J99" s="64">
        <v>0.26</v>
      </c>
      <c r="K99" s="64">
        <v>142.5</v>
      </c>
      <c r="L99" s="64">
        <v>25.37</v>
      </c>
      <c r="M99" s="64">
        <v>104.78</v>
      </c>
      <c r="N99" s="64">
        <v>25.3</v>
      </c>
      <c r="O99" s="64">
        <v>0</v>
      </c>
      <c r="P99" s="64">
        <v>0.45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48" t="s">
        <v>2640</v>
      </c>
      <c r="B100" s="64">
        <v>7.96</v>
      </c>
      <c r="C100" s="64">
        <v>2.99</v>
      </c>
      <c r="D100" s="64">
        <v>11.72</v>
      </c>
      <c r="E100" s="64">
        <v>3.84</v>
      </c>
      <c r="F100" s="64">
        <v>3.74</v>
      </c>
      <c r="G100" s="64">
        <v>26.91</v>
      </c>
      <c r="H100" s="64">
        <v>8.4</v>
      </c>
      <c r="I100" s="64">
        <v>2.78</v>
      </c>
      <c r="J100" s="64">
        <v>0.54</v>
      </c>
      <c r="K100" s="64">
        <v>143.68</v>
      </c>
      <c r="L100" s="64">
        <v>25.32</v>
      </c>
      <c r="M100" s="64">
        <v>104.81</v>
      </c>
      <c r="N100" s="64">
        <v>25</v>
      </c>
      <c r="O100" s="64">
        <v>0</v>
      </c>
      <c r="P100" s="64">
        <v>0.44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2641</v>
      </c>
      <c r="B101" s="64">
        <v>7.96</v>
      </c>
      <c r="C101" s="64">
        <v>2.98</v>
      </c>
      <c r="D101" s="64">
        <v>11.71</v>
      </c>
      <c r="E101" s="64">
        <v>4.09</v>
      </c>
      <c r="F101" s="64">
        <v>3.55</v>
      </c>
      <c r="G101" s="64">
        <v>26.91</v>
      </c>
      <c r="H101" s="64">
        <v>8.4</v>
      </c>
      <c r="I101" s="64">
        <v>2.8</v>
      </c>
      <c r="J101" s="64">
        <v>0.3</v>
      </c>
      <c r="K101" s="64">
        <v>133.99</v>
      </c>
      <c r="L101" s="64">
        <v>25.3</v>
      </c>
      <c r="M101" s="64">
        <v>104.82</v>
      </c>
      <c r="N101" s="64">
        <v>25.1</v>
      </c>
      <c r="O101" s="64">
        <v>0</v>
      </c>
      <c r="P101" s="64">
        <v>0.43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48" t="s">
        <v>2642</v>
      </c>
      <c r="B102" s="64">
        <v>8.01</v>
      </c>
      <c r="C102" s="64">
        <v>2.97</v>
      </c>
      <c r="D102" s="64">
        <v>11.75</v>
      </c>
      <c r="E102" s="64">
        <v>4</v>
      </c>
      <c r="F102" s="64">
        <v>2.88</v>
      </c>
      <c r="G102" s="64">
        <v>26.91</v>
      </c>
      <c r="H102" s="64">
        <v>8.4</v>
      </c>
      <c r="I102" s="64">
        <v>2.86</v>
      </c>
      <c r="J102" s="64">
        <v>0.37</v>
      </c>
      <c r="K102" s="64">
        <v>137.05000000000001</v>
      </c>
      <c r="L102" s="64">
        <v>25.3</v>
      </c>
      <c r="M102" s="64">
        <v>104.83</v>
      </c>
      <c r="N102" s="64">
        <v>25</v>
      </c>
      <c r="O102" s="64">
        <v>0</v>
      </c>
      <c r="P102" s="64">
        <v>0.42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48" t="s">
        <v>2643</v>
      </c>
      <c r="B103" s="64">
        <v>8</v>
      </c>
      <c r="C103" s="64">
        <v>3.01</v>
      </c>
      <c r="D103" s="64">
        <v>11.76</v>
      </c>
      <c r="E103" s="64">
        <v>3.95</v>
      </c>
      <c r="F103" s="64">
        <v>3.29</v>
      </c>
      <c r="G103" s="64">
        <v>26.45</v>
      </c>
      <c r="H103" s="64">
        <v>8.48</v>
      </c>
      <c r="I103" s="64">
        <v>2.89</v>
      </c>
      <c r="J103" s="64">
        <v>0.24</v>
      </c>
      <c r="K103" s="64">
        <v>134.22999999999999</v>
      </c>
      <c r="L103" s="64">
        <v>25.31</v>
      </c>
      <c r="M103" s="64">
        <v>104.82</v>
      </c>
      <c r="N103" s="64">
        <v>25</v>
      </c>
      <c r="O103" s="64">
        <v>0</v>
      </c>
      <c r="P103" s="64">
        <v>0.41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48" t="s">
        <v>2644</v>
      </c>
      <c r="B104" s="64">
        <v>7.99</v>
      </c>
      <c r="C104" s="64">
        <v>2.97</v>
      </c>
      <c r="D104" s="64">
        <v>11.73</v>
      </c>
      <c r="E104" s="64">
        <v>5.22</v>
      </c>
      <c r="F104" s="64">
        <v>3.63</v>
      </c>
      <c r="G104" s="64">
        <v>25.7</v>
      </c>
      <c r="H104" s="64">
        <v>8.7100000000000009</v>
      </c>
      <c r="I104" s="64">
        <v>2.94</v>
      </c>
      <c r="J104" s="64">
        <v>0.1</v>
      </c>
      <c r="K104" s="64">
        <v>145.13999999999999</v>
      </c>
      <c r="L104" s="64">
        <v>25.37</v>
      </c>
      <c r="M104" s="64">
        <v>104.79</v>
      </c>
      <c r="N104" s="64">
        <v>25</v>
      </c>
      <c r="O104" s="64">
        <v>0</v>
      </c>
      <c r="P104" s="64">
        <v>0.41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</v>
      </c>
      <c r="D106" s="67">
        <f t="shared" ref="D106:Q106" si="0">MIN(D9:D104)</f>
        <v>11.66</v>
      </c>
      <c r="E106" s="67">
        <f t="shared" si="0"/>
        <v>3.22</v>
      </c>
      <c r="F106" s="67">
        <f t="shared" si="0"/>
        <v>2.33</v>
      </c>
      <c r="G106" s="67">
        <f t="shared" si="0"/>
        <v>3.02</v>
      </c>
      <c r="H106" s="67">
        <f t="shared" si="0"/>
        <v>0.06</v>
      </c>
      <c r="I106" s="67">
        <f t="shared" si="0"/>
        <v>0.86</v>
      </c>
      <c r="J106" s="67">
        <f t="shared" si="0"/>
        <v>0.01</v>
      </c>
      <c r="K106" s="67">
        <f t="shared" si="0"/>
        <v>0.25</v>
      </c>
      <c r="L106" s="67">
        <f t="shared" si="0"/>
        <v>23.14</v>
      </c>
      <c r="M106" s="67">
        <f t="shared" si="0"/>
        <v>94.11</v>
      </c>
      <c r="N106" s="67">
        <f t="shared" si="0"/>
        <v>7.6</v>
      </c>
      <c r="O106" s="67">
        <f t="shared" si="0"/>
        <v>0</v>
      </c>
      <c r="P106" s="67">
        <f t="shared" si="0"/>
        <v>0.22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8.01</v>
      </c>
      <c r="C107" s="66">
        <f t="shared" ref="C107:Q107" si="1">MAX(C9:C104)</f>
        <v>3.05</v>
      </c>
      <c r="D107" s="66">
        <f t="shared" si="1"/>
        <v>11.77</v>
      </c>
      <c r="E107" s="66">
        <f t="shared" si="1"/>
        <v>5.22</v>
      </c>
      <c r="F107" s="66">
        <f t="shared" si="1"/>
        <v>5.33</v>
      </c>
      <c r="G107" s="66">
        <f t="shared" si="1"/>
        <v>26.91</v>
      </c>
      <c r="H107" s="66">
        <f t="shared" si="1"/>
        <v>8.7100000000000009</v>
      </c>
      <c r="I107" s="66">
        <f t="shared" si="1"/>
        <v>2.94</v>
      </c>
      <c r="J107" s="66">
        <f t="shared" si="1"/>
        <v>0.54</v>
      </c>
      <c r="K107" s="66">
        <f t="shared" si="1"/>
        <v>359.97</v>
      </c>
      <c r="L107" s="66">
        <f t="shared" si="1"/>
        <v>27.96</v>
      </c>
      <c r="M107" s="66">
        <f t="shared" si="1"/>
        <v>105.05</v>
      </c>
      <c r="N107" s="66">
        <f t="shared" si="1"/>
        <v>277.89999999999998</v>
      </c>
      <c r="O107" s="66">
        <f t="shared" si="1"/>
        <v>0</v>
      </c>
      <c r="P107" s="66">
        <f t="shared" si="1"/>
        <v>0.46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7.9691666666666707</v>
      </c>
      <c r="C108" s="67">
        <f t="shared" ref="C108:Q108" si="2">AVERAGE(C9:C104)</f>
        <v>2.9636458333333349</v>
      </c>
      <c r="D108" s="67">
        <f t="shared" si="2"/>
        <v>11.713020833333339</v>
      </c>
      <c r="E108" s="67">
        <f t="shared" si="2"/>
        <v>4.0676041666666665</v>
      </c>
      <c r="F108" s="67">
        <f t="shared" si="2"/>
        <v>3.7369791666666665</v>
      </c>
      <c r="G108" s="67">
        <f t="shared" si="2"/>
        <v>12.978645833333339</v>
      </c>
      <c r="H108" s="67">
        <f t="shared" si="2"/>
        <v>2.5881250000000002</v>
      </c>
      <c r="I108" s="67">
        <f t="shared" si="2"/>
        <v>1.5679166666666668</v>
      </c>
      <c r="J108" s="67">
        <f t="shared" si="2"/>
        <v>0.16989583333333338</v>
      </c>
      <c r="K108" s="67">
        <f t="shared" si="2"/>
        <v>255.00708333333341</v>
      </c>
      <c r="L108" s="67">
        <f t="shared" si="2"/>
        <v>25.490312499999998</v>
      </c>
      <c r="M108" s="67">
        <f t="shared" si="2"/>
        <v>102.94479166666667</v>
      </c>
      <c r="N108" s="67">
        <f t="shared" si="2"/>
        <v>75.039583333333312</v>
      </c>
      <c r="O108" s="67">
        <f t="shared" si="2"/>
        <v>0</v>
      </c>
      <c r="P108" s="67">
        <f t="shared" si="2"/>
        <v>0.32364583333333358</v>
      </c>
      <c r="Q108" s="67">
        <f t="shared" si="2"/>
        <v>9.5286458333333304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2.3154704724465638E-2</v>
      </c>
      <c r="C109" s="67">
        <f t="shared" ref="C109:Q109" si="3">STDEV(C9:C104)</f>
        <v>3.2609969146248766E-2</v>
      </c>
      <c r="D109" s="67">
        <f t="shared" si="3"/>
        <v>2.8987103908159978E-2</v>
      </c>
      <c r="E109" s="67">
        <f t="shared" si="3"/>
        <v>0.40054895171414229</v>
      </c>
      <c r="F109" s="67">
        <f t="shared" si="3"/>
        <v>0.62119599380493895</v>
      </c>
      <c r="G109" s="67">
        <f t="shared" si="3"/>
        <v>7.7585107930502373</v>
      </c>
      <c r="H109" s="67">
        <f t="shared" si="3"/>
        <v>2.0724672875330832</v>
      </c>
      <c r="I109" s="67">
        <f t="shared" si="3"/>
        <v>0.63073710707838782</v>
      </c>
      <c r="J109" s="67">
        <f t="shared" si="3"/>
        <v>9.6501920260868651E-2</v>
      </c>
      <c r="K109" s="67">
        <f t="shared" si="3"/>
        <v>128.3497104166388</v>
      </c>
      <c r="L109" s="67">
        <f t="shared" si="3"/>
        <v>1.2454721811214282</v>
      </c>
      <c r="M109" s="67">
        <f t="shared" si="3"/>
        <v>3.1099527764790613</v>
      </c>
      <c r="N109" s="67">
        <f t="shared" si="3"/>
        <v>66.091530597094447</v>
      </c>
      <c r="O109" s="67">
        <f t="shared" si="3"/>
        <v>0</v>
      </c>
      <c r="P109" s="67">
        <f t="shared" si="3"/>
        <v>7.6682802459106469E-2</v>
      </c>
      <c r="Q109" s="67">
        <f t="shared" si="3"/>
        <v>5.844691323471813E-2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0" sqref="H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2645</v>
      </c>
      <c r="B9" s="64">
        <v>7.99</v>
      </c>
      <c r="C9" s="64">
        <v>2.99</v>
      </c>
      <c r="D9" s="64">
        <v>11.74</v>
      </c>
      <c r="E9" s="64">
        <v>4.8899999999999997</v>
      </c>
      <c r="F9" s="64">
        <v>3.49</v>
      </c>
      <c r="G9" s="64">
        <v>25.7</v>
      </c>
      <c r="H9" s="64">
        <v>8.7100000000000009</v>
      </c>
      <c r="I9" s="64">
        <v>3.01</v>
      </c>
      <c r="J9" s="64">
        <v>0.18</v>
      </c>
      <c r="K9" s="64">
        <v>152.36000000000001</v>
      </c>
      <c r="L9" s="64">
        <v>25.38</v>
      </c>
      <c r="M9" s="64">
        <v>104.8</v>
      </c>
      <c r="N9" s="64">
        <v>25</v>
      </c>
      <c r="O9" s="64">
        <v>0</v>
      </c>
      <c r="P9" s="64">
        <v>0.4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48" t="s">
        <v>2646</v>
      </c>
      <c r="B10" s="64">
        <v>8</v>
      </c>
      <c r="C10" s="64">
        <v>3.01</v>
      </c>
      <c r="D10" s="64">
        <v>11.76</v>
      </c>
      <c r="E10" s="64">
        <v>4.6500000000000004</v>
      </c>
      <c r="F10" s="64">
        <v>3.32</v>
      </c>
      <c r="G10" s="64">
        <v>25.7</v>
      </c>
      <c r="H10" s="64">
        <v>8.7100000000000009</v>
      </c>
      <c r="I10" s="64">
        <v>3.16</v>
      </c>
      <c r="J10" s="64">
        <v>0.32</v>
      </c>
      <c r="K10" s="64">
        <v>143.72</v>
      </c>
      <c r="L10" s="64">
        <v>25.34</v>
      </c>
      <c r="M10" s="64">
        <v>104.8</v>
      </c>
      <c r="N10" s="64">
        <v>25.2</v>
      </c>
      <c r="O10" s="64">
        <v>0</v>
      </c>
      <c r="P10" s="64">
        <v>0.39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48" t="s">
        <v>2647</v>
      </c>
      <c r="B11" s="64">
        <v>7.97</v>
      </c>
      <c r="C11" s="64">
        <v>2.98</v>
      </c>
      <c r="D11" s="64">
        <v>11.72</v>
      </c>
      <c r="E11" s="64">
        <v>4.41</v>
      </c>
      <c r="F11" s="64">
        <v>3.21</v>
      </c>
      <c r="G11" s="64">
        <v>24.08</v>
      </c>
      <c r="H11" s="64">
        <v>14.39</v>
      </c>
      <c r="I11" s="64">
        <v>3.24</v>
      </c>
      <c r="J11" s="64">
        <v>0.33</v>
      </c>
      <c r="K11" s="64">
        <v>132.53</v>
      </c>
      <c r="L11" s="64">
        <v>25.26</v>
      </c>
      <c r="M11" s="64">
        <v>104.8</v>
      </c>
      <c r="N11" s="64">
        <v>25.3</v>
      </c>
      <c r="O11" s="64">
        <v>0</v>
      </c>
      <c r="P11" s="64">
        <v>0.38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48" t="s">
        <v>2648</v>
      </c>
      <c r="B12" s="64">
        <v>7.98</v>
      </c>
      <c r="C12" s="64">
        <v>2.97</v>
      </c>
      <c r="D12" s="64">
        <v>11.72</v>
      </c>
      <c r="E12" s="64">
        <v>4.29</v>
      </c>
      <c r="F12" s="64">
        <v>3.36</v>
      </c>
      <c r="G12" s="64">
        <v>21.41</v>
      </c>
      <c r="H12" s="64">
        <v>20.59</v>
      </c>
      <c r="I12" s="64">
        <v>3.31</v>
      </c>
      <c r="J12" s="64">
        <v>0.38</v>
      </c>
      <c r="K12" s="64">
        <v>142.35</v>
      </c>
      <c r="L12" s="64">
        <v>25.19</v>
      </c>
      <c r="M12" s="64">
        <v>104.8</v>
      </c>
      <c r="N12" s="64">
        <v>25.3</v>
      </c>
      <c r="O12" s="64">
        <v>0</v>
      </c>
      <c r="P12" s="64">
        <v>0.38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48" t="s">
        <v>2649</v>
      </c>
      <c r="B13" s="64">
        <v>8</v>
      </c>
      <c r="C13" s="64">
        <v>2.97</v>
      </c>
      <c r="D13" s="64">
        <v>11.74</v>
      </c>
      <c r="E13" s="64">
        <v>4.72</v>
      </c>
      <c r="F13" s="64">
        <v>3.55</v>
      </c>
      <c r="G13" s="64">
        <v>21.41</v>
      </c>
      <c r="H13" s="64">
        <v>20.59</v>
      </c>
      <c r="I13" s="64">
        <v>3.45</v>
      </c>
      <c r="J13" s="64">
        <v>0.3</v>
      </c>
      <c r="K13" s="64">
        <v>145.41999999999999</v>
      </c>
      <c r="L13" s="64">
        <v>25.12</v>
      </c>
      <c r="M13" s="64">
        <v>104.8</v>
      </c>
      <c r="N13" s="64">
        <v>25.2</v>
      </c>
      <c r="O13" s="64">
        <v>0</v>
      </c>
      <c r="P13" s="64">
        <v>0.35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48" t="s">
        <v>2650</v>
      </c>
      <c r="B14" s="64">
        <v>8</v>
      </c>
      <c r="C14" s="64">
        <v>2.97</v>
      </c>
      <c r="D14" s="64">
        <v>11.75</v>
      </c>
      <c r="E14" s="64">
        <v>4.42</v>
      </c>
      <c r="F14" s="64">
        <v>3.6</v>
      </c>
      <c r="G14" s="64">
        <v>21.41</v>
      </c>
      <c r="H14" s="64">
        <v>20.59</v>
      </c>
      <c r="I14" s="64">
        <v>3.62</v>
      </c>
      <c r="J14" s="64">
        <v>0.19</v>
      </c>
      <c r="K14" s="64">
        <v>126.49</v>
      </c>
      <c r="L14" s="64">
        <v>25.09</v>
      </c>
      <c r="M14" s="64">
        <v>104.8</v>
      </c>
      <c r="N14" s="64">
        <v>25.2</v>
      </c>
      <c r="O14" s="64">
        <v>0</v>
      </c>
      <c r="P14" s="64">
        <v>0.36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48" t="s">
        <v>2651</v>
      </c>
      <c r="B15" s="64">
        <v>7.98</v>
      </c>
      <c r="C15" s="64">
        <v>2.96</v>
      </c>
      <c r="D15" s="64">
        <v>11.72</v>
      </c>
      <c r="E15" s="64">
        <v>4.84</v>
      </c>
      <c r="F15" s="64">
        <v>4.3099999999999996</v>
      </c>
      <c r="G15" s="64">
        <v>20.420000000000002</v>
      </c>
      <c r="H15" s="64">
        <v>17.5</v>
      </c>
      <c r="I15" s="64">
        <v>3.48</v>
      </c>
      <c r="J15" s="64">
        <v>0.09</v>
      </c>
      <c r="K15" s="64">
        <v>141.63</v>
      </c>
      <c r="L15" s="64">
        <v>25.04</v>
      </c>
      <c r="M15" s="64">
        <v>104.82</v>
      </c>
      <c r="N15" s="64">
        <v>25.2</v>
      </c>
      <c r="O15" s="64">
        <v>0</v>
      </c>
      <c r="P15" s="64">
        <v>0.37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48" t="s">
        <v>2652</v>
      </c>
      <c r="B16" s="64">
        <v>7.96</v>
      </c>
      <c r="C16" s="64">
        <v>2.95</v>
      </c>
      <c r="D16" s="64">
        <v>11.7</v>
      </c>
      <c r="E16" s="64">
        <v>4.45</v>
      </c>
      <c r="F16" s="64">
        <v>2.87</v>
      </c>
      <c r="G16" s="64">
        <v>18.79</v>
      </c>
      <c r="H16" s="64">
        <v>14.13</v>
      </c>
      <c r="I16" s="64">
        <v>3.57</v>
      </c>
      <c r="J16" s="64">
        <v>0.31</v>
      </c>
      <c r="K16" s="64">
        <v>138.88</v>
      </c>
      <c r="L16" s="64">
        <v>25.02</v>
      </c>
      <c r="M16" s="64">
        <v>104.81</v>
      </c>
      <c r="N16" s="64">
        <v>25</v>
      </c>
      <c r="O16" s="64">
        <v>0</v>
      </c>
      <c r="P16" s="64">
        <v>0.35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48" t="s">
        <v>2653</v>
      </c>
      <c r="B17" s="64">
        <v>7.95</v>
      </c>
      <c r="C17" s="64">
        <v>2.89</v>
      </c>
      <c r="D17" s="64">
        <v>11.66</v>
      </c>
      <c r="E17" s="64">
        <v>4.32</v>
      </c>
      <c r="F17" s="64">
        <v>3.43</v>
      </c>
      <c r="G17" s="64">
        <v>18.79</v>
      </c>
      <c r="H17" s="64">
        <v>14.13</v>
      </c>
      <c r="I17" s="64">
        <v>3.48</v>
      </c>
      <c r="J17" s="64">
        <v>0.03</v>
      </c>
      <c r="K17" s="64">
        <v>128.83000000000001</v>
      </c>
      <c r="L17" s="64">
        <v>25.02</v>
      </c>
      <c r="M17" s="64">
        <v>104.81</v>
      </c>
      <c r="N17" s="64">
        <v>25</v>
      </c>
      <c r="O17" s="64">
        <v>0</v>
      </c>
      <c r="P17" s="64">
        <v>0.34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48" t="s">
        <v>2654</v>
      </c>
      <c r="B18" s="64">
        <v>7.98</v>
      </c>
      <c r="C18" s="64">
        <v>2.96</v>
      </c>
      <c r="D18" s="64">
        <v>11.72</v>
      </c>
      <c r="E18" s="64">
        <v>4.5199999999999996</v>
      </c>
      <c r="F18" s="64">
        <v>4.0599999999999996</v>
      </c>
      <c r="G18" s="64">
        <v>18.79</v>
      </c>
      <c r="H18" s="64">
        <v>14.13</v>
      </c>
      <c r="I18" s="64">
        <v>3.41</v>
      </c>
      <c r="J18" s="64">
        <v>0.05</v>
      </c>
      <c r="K18" s="64">
        <v>150.41</v>
      </c>
      <c r="L18" s="64">
        <v>25.01</v>
      </c>
      <c r="M18" s="64">
        <v>104.81</v>
      </c>
      <c r="N18" s="64">
        <v>25</v>
      </c>
      <c r="O18" s="64">
        <v>0</v>
      </c>
      <c r="P18" s="64">
        <v>0.34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48" t="s">
        <v>2655</v>
      </c>
      <c r="B19" s="64">
        <v>7.96</v>
      </c>
      <c r="C19" s="64">
        <v>2.98</v>
      </c>
      <c r="D19" s="64">
        <v>11.72</v>
      </c>
      <c r="E19" s="64">
        <v>4.72</v>
      </c>
      <c r="F19" s="64">
        <v>3.21</v>
      </c>
      <c r="G19" s="64">
        <v>16.89</v>
      </c>
      <c r="H19" s="64">
        <v>14.24</v>
      </c>
      <c r="I19" s="64">
        <v>3.29</v>
      </c>
      <c r="J19" s="64">
        <v>0.06</v>
      </c>
      <c r="K19" s="64">
        <v>328.71</v>
      </c>
      <c r="L19" s="64">
        <v>25.03</v>
      </c>
      <c r="M19" s="64">
        <v>104.82</v>
      </c>
      <c r="N19" s="64">
        <v>25.1</v>
      </c>
      <c r="O19" s="64">
        <v>0</v>
      </c>
      <c r="P19" s="64">
        <v>0.33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48" t="s">
        <v>2656</v>
      </c>
      <c r="B20" s="64">
        <v>7.95</v>
      </c>
      <c r="C20" s="64">
        <v>3</v>
      </c>
      <c r="D20" s="64">
        <v>11.72</v>
      </c>
      <c r="E20" s="64">
        <v>4.92</v>
      </c>
      <c r="F20" s="64">
        <v>3.99</v>
      </c>
      <c r="G20" s="64">
        <v>13.77</v>
      </c>
      <c r="H20" s="64">
        <v>14.36</v>
      </c>
      <c r="I20" s="64">
        <v>3.19</v>
      </c>
      <c r="J20" s="64">
        <v>0.03</v>
      </c>
      <c r="K20" s="64">
        <v>106.4</v>
      </c>
      <c r="L20" s="64">
        <v>25</v>
      </c>
      <c r="M20" s="64">
        <v>104.84</v>
      </c>
      <c r="N20" s="64">
        <v>24.4</v>
      </c>
      <c r="O20" s="64">
        <v>0</v>
      </c>
      <c r="P20" s="64">
        <v>0.33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48" t="s">
        <v>2657</v>
      </c>
      <c r="B21" s="64">
        <v>7.97</v>
      </c>
      <c r="C21" s="64">
        <v>3</v>
      </c>
      <c r="D21" s="64">
        <v>11.73</v>
      </c>
      <c r="E21" s="64">
        <v>4.43</v>
      </c>
      <c r="F21" s="64">
        <v>3.87</v>
      </c>
      <c r="G21" s="64">
        <v>13.77</v>
      </c>
      <c r="H21" s="64">
        <v>14.36</v>
      </c>
      <c r="I21" s="64">
        <v>3.08</v>
      </c>
      <c r="J21" s="64">
        <v>0.4</v>
      </c>
      <c r="K21" s="64">
        <v>134.76</v>
      </c>
      <c r="L21" s="64">
        <v>24.93</v>
      </c>
      <c r="M21" s="64">
        <v>104.86</v>
      </c>
      <c r="N21" s="64">
        <v>25.1</v>
      </c>
      <c r="O21" s="64">
        <v>0</v>
      </c>
      <c r="P21" s="64">
        <v>0.31</v>
      </c>
      <c r="Q21" s="64">
        <v>9.57</v>
      </c>
      <c r="R21" s="198"/>
      <c r="S21" s="198"/>
      <c r="T21" s="198"/>
      <c r="U21" s="198"/>
    </row>
    <row r="22" spans="1:21" s="12" customFormat="1" x14ac:dyDescent="0.25">
      <c r="A22" s="248" t="s">
        <v>2658</v>
      </c>
      <c r="B22" s="64">
        <v>7.99</v>
      </c>
      <c r="C22" s="64">
        <v>2.99</v>
      </c>
      <c r="D22" s="64">
        <v>11.75</v>
      </c>
      <c r="E22" s="64">
        <v>4.68</v>
      </c>
      <c r="F22" s="64">
        <v>3.29</v>
      </c>
      <c r="G22" s="64">
        <v>13.77</v>
      </c>
      <c r="H22" s="64">
        <v>14.36</v>
      </c>
      <c r="I22" s="64">
        <v>2.96</v>
      </c>
      <c r="J22" s="64">
        <v>0.36</v>
      </c>
      <c r="K22" s="64">
        <v>144.66999999999999</v>
      </c>
      <c r="L22" s="64">
        <v>24.91</v>
      </c>
      <c r="M22" s="64">
        <v>104.88</v>
      </c>
      <c r="N22" s="64">
        <v>24.8</v>
      </c>
      <c r="O22" s="64">
        <v>0</v>
      </c>
      <c r="P22" s="64">
        <v>0.3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48" t="s">
        <v>2659</v>
      </c>
      <c r="B23" s="64">
        <v>7.99</v>
      </c>
      <c r="C23" s="64">
        <v>3</v>
      </c>
      <c r="D23" s="64">
        <v>11.75</v>
      </c>
      <c r="E23" s="64">
        <v>4.5</v>
      </c>
      <c r="F23" s="64">
        <v>3.95</v>
      </c>
      <c r="G23" s="64">
        <v>12.89</v>
      </c>
      <c r="H23" s="64">
        <v>13.35</v>
      </c>
      <c r="I23" s="64">
        <v>2.93</v>
      </c>
      <c r="J23" s="64">
        <v>0.46</v>
      </c>
      <c r="K23" s="64">
        <v>139.16999999999999</v>
      </c>
      <c r="L23" s="64">
        <v>24.89</v>
      </c>
      <c r="M23" s="64">
        <v>104.88</v>
      </c>
      <c r="N23" s="64">
        <v>24.9</v>
      </c>
      <c r="O23" s="64">
        <v>0</v>
      </c>
      <c r="P23" s="64">
        <v>0.3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48" t="s">
        <v>2660</v>
      </c>
      <c r="B24" s="64">
        <v>7.96</v>
      </c>
      <c r="C24" s="64">
        <v>2.94</v>
      </c>
      <c r="D24" s="64">
        <v>11.7</v>
      </c>
      <c r="E24" s="64">
        <v>4.3</v>
      </c>
      <c r="F24" s="64">
        <v>3.11</v>
      </c>
      <c r="G24" s="64">
        <v>11.43</v>
      </c>
      <c r="H24" s="64">
        <v>10.130000000000001</v>
      </c>
      <c r="I24" s="64">
        <v>2.89</v>
      </c>
      <c r="J24" s="64">
        <v>0.18</v>
      </c>
      <c r="K24" s="64">
        <v>145.97999999999999</v>
      </c>
      <c r="L24" s="64">
        <v>24.91</v>
      </c>
      <c r="M24" s="64">
        <v>104.88</v>
      </c>
      <c r="N24" s="64">
        <v>19.3</v>
      </c>
      <c r="O24" s="64">
        <v>0</v>
      </c>
      <c r="P24" s="64">
        <v>0.28999999999999998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48" t="s">
        <v>2661</v>
      </c>
      <c r="B25" s="64">
        <v>7.99</v>
      </c>
      <c r="C25" s="64">
        <v>2.97</v>
      </c>
      <c r="D25" s="64">
        <v>11.73</v>
      </c>
      <c r="E25" s="64">
        <v>4.42</v>
      </c>
      <c r="F25" s="64">
        <v>3.82</v>
      </c>
      <c r="G25" s="64">
        <v>11.43</v>
      </c>
      <c r="H25" s="64">
        <v>10.130000000000001</v>
      </c>
      <c r="I25" s="64">
        <v>2.9</v>
      </c>
      <c r="J25" s="64">
        <v>0.16</v>
      </c>
      <c r="K25" s="64">
        <v>150.43</v>
      </c>
      <c r="L25" s="64">
        <v>24.9</v>
      </c>
      <c r="M25" s="64">
        <v>104.89</v>
      </c>
      <c r="N25" s="64">
        <v>25</v>
      </c>
      <c r="O25" s="64">
        <v>0</v>
      </c>
      <c r="P25" s="64">
        <v>0.28000000000000003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48" t="s">
        <v>2662</v>
      </c>
      <c r="B26" s="64">
        <v>7.98</v>
      </c>
      <c r="C26" s="64">
        <v>2.97</v>
      </c>
      <c r="D26" s="64">
        <v>11.73</v>
      </c>
      <c r="E26" s="64">
        <v>4.5</v>
      </c>
      <c r="F26" s="64">
        <v>2.99</v>
      </c>
      <c r="G26" s="64">
        <v>11.43</v>
      </c>
      <c r="H26" s="64">
        <v>10.130000000000001</v>
      </c>
      <c r="I26" s="64">
        <v>2.96</v>
      </c>
      <c r="J26" s="64">
        <v>0.26</v>
      </c>
      <c r="K26" s="64">
        <v>139.61000000000001</v>
      </c>
      <c r="L26" s="64">
        <v>24.89</v>
      </c>
      <c r="M26" s="64">
        <v>104.86</v>
      </c>
      <c r="N26" s="64">
        <v>25</v>
      </c>
      <c r="O26" s="64">
        <v>0</v>
      </c>
      <c r="P26" s="64">
        <v>0.28999999999999998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48" t="s">
        <v>2663</v>
      </c>
      <c r="B27" s="64">
        <v>7.98</v>
      </c>
      <c r="C27" s="64">
        <v>2.96</v>
      </c>
      <c r="D27" s="64">
        <v>11.72</v>
      </c>
      <c r="E27" s="64">
        <v>4.54</v>
      </c>
      <c r="F27" s="64">
        <v>3.37</v>
      </c>
      <c r="G27" s="64">
        <v>10.79</v>
      </c>
      <c r="H27" s="64">
        <v>8.68</v>
      </c>
      <c r="I27" s="64">
        <v>3.04</v>
      </c>
      <c r="J27" s="64">
        <v>0.09</v>
      </c>
      <c r="K27" s="64">
        <v>107.05</v>
      </c>
      <c r="L27" s="64">
        <v>24.9</v>
      </c>
      <c r="M27" s="64">
        <v>104.86</v>
      </c>
      <c r="N27" s="64">
        <v>25</v>
      </c>
      <c r="O27" s="64">
        <v>0</v>
      </c>
      <c r="P27" s="64">
        <v>0.28000000000000003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48" t="s">
        <v>2664</v>
      </c>
      <c r="B28" s="64">
        <v>7.99</v>
      </c>
      <c r="C28" s="64">
        <v>2.95</v>
      </c>
      <c r="D28" s="64">
        <v>11.72</v>
      </c>
      <c r="E28" s="64">
        <v>4.6100000000000003</v>
      </c>
      <c r="F28" s="64">
        <v>3</v>
      </c>
      <c r="G28" s="64">
        <v>9.73</v>
      </c>
      <c r="H28" s="64">
        <v>7.09</v>
      </c>
      <c r="I28" s="64">
        <v>3.15</v>
      </c>
      <c r="J28" s="64">
        <v>0.14000000000000001</v>
      </c>
      <c r="K28" s="64">
        <v>137.91</v>
      </c>
      <c r="L28" s="64">
        <v>24.93</v>
      </c>
      <c r="M28" s="64">
        <v>104.87</v>
      </c>
      <c r="N28" s="64">
        <v>25</v>
      </c>
      <c r="O28" s="64">
        <v>0</v>
      </c>
      <c r="P28" s="64">
        <v>0.28000000000000003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48" t="s">
        <v>2665</v>
      </c>
      <c r="B29" s="64">
        <v>8.02</v>
      </c>
      <c r="C29" s="64">
        <v>2.97</v>
      </c>
      <c r="D29" s="64">
        <v>11.75</v>
      </c>
      <c r="E29" s="64">
        <v>4.54</v>
      </c>
      <c r="F29" s="64">
        <v>3.27</v>
      </c>
      <c r="G29" s="64">
        <v>9.73</v>
      </c>
      <c r="H29" s="64">
        <v>7.09</v>
      </c>
      <c r="I29" s="64">
        <v>3.29</v>
      </c>
      <c r="J29" s="64">
        <v>0.28000000000000003</v>
      </c>
      <c r="K29" s="64">
        <v>141.41</v>
      </c>
      <c r="L29" s="64">
        <v>24.93</v>
      </c>
      <c r="M29" s="64">
        <v>104.88</v>
      </c>
      <c r="N29" s="64">
        <v>25</v>
      </c>
      <c r="O29" s="64">
        <v>0</v>
      </c>
      <c r="P29" s="64">
        <v>0.27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48" t="s">
        <v>2666</v>
      </c>
      <c r="B30" s="64">
        <v>8.0299999999999994</v>
      </c>
      <c r="C30" s="64">
        <v>2.93</v>
      </c>
      <c r="D30" s="64">
        <v>11.75</v>
      </c>
      <c r="E30" s="64">
        <v>4.62</v>
      </c>
      <c r="F30" s="64">
        <v>3.31</v>
      </c>
      <c r="G30" s="64">
        <v>9.73</v>
      </c>
      <c r="H30" s="64">
        <v>7.09</v>
      </c>
      <c r="I30" s="64">
        <v>3.43</v>
      </c>
      <c r="J30" s="64">
        <v>0.03</v>
      </c>
      <c r="K30" s="64">
        <v>177.9</v>
      </c>
      <c r="L30" s="64">
        <v>24.95</v>
      </c>
      <c r="M30" s="64">
        <v>104.88</v>
      </c>
      <c r="N30" s="64">
        <v>25.1</v>
      </c>
      <c r="O30" s="64">
        <v>0</v>
      </c>
      <c r="P30" s="64">
        <v>0.27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48" t="s">
        <v>2667</v>
      </c>
      <c r="B31" s="64">
        <v>8.01</v>
      </c>
      <c r="C31" s="64">
        <v>2.91</v>
      </c>
      <c r="D31" s="64">
        <v>11.72</v>
      </c>
      <c r="E31" s="64">
        <v>4.55</v>
      </c>
      <c r="F31" s="64">
        <v>3.59</v>
      </c>
      <c r="G31" s="64">
        <v>10.85</v>
      </c>
      <c r="H31" s="64">
        <v>6.08</v>
      </c>
      <c r="I31" s="64">
        <v>3.53</v>
      </c>
      <c r="J31" s="64">
        <v>0.01</v>
      </c>
      <c r="K31" s="64">
        <v>38.9</v>
      </c>
      <c r="L31" s="64">
        <v>24.92</v>
      </c>
      <c r="M31" s="64">
        <v>104.89</v>
      </c>
      <c r="N31" s="64">
        <v>25.6</v>
      </c>
      <c r="O31" s="64">
        <v>0</v>
      </c>
      <c r="P31" s="64">
        <v>0.27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48" t="s">
        <v>2668</v>
      </c>
      <c r="B32" s="64">
        <v>7.97</v>
      </c>
      <c r="C32" s="64">
        <v>2.94</v>
      </c>
      <c r="D32" s="64">
        <v>11.7</v>
      </c>
      <c r="E32" s="64">
        <v>4.79</v>
      </c>
      <c r="F32" s="64">
        <v>3.72</v>
      </c>
      <c r="G32" s="64">
        <v>12.68</v>
      </c>
      <c r="H32" s="64">
        <v>4.97</v>
      </c>
      <c r="I32" s="64">
        <v>3.58</v>
      </c>
      <c r="J32" s="64">
        <v>0.08</v>
      </c>
      <c r="K32" s="64">
        <v>353.99</v>
      </c>
      <c r="L32" s="64">
        <v>24.94</v>
      </c>
      <c r="M32" s="64">
        <v>104.96</v>
      </c>
      <c r="N32" s="64">
        <v>29.4</v>
      </c>
      <c r="O32" s="64">
        <v>0</v>
      </c>
      <c r="P32" s="64">
        <v>0.27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48" t="s">
        <v>2669</v>
      </c>
      <c r="B33" s="64">
        <v>7.95</v>
      </c>
      <c r="C33" s="64">
        <v>2.96</v>
      </c>
      <c r="D33" s="64">
        <v>11.69</v>
      </c>
      <c r="E33" s="64">
        <v>4.79</v>
      </c>
      <c r="F33" s="64">
        <v>3.88</v>
      </c>
      <c r="G33" s="64">
        <v>12.68</v>
      </c>
      <c r="H33" s="64">
        <v>4.97</v>
      </c>
      <c r="I33" s="64">
        <v>3.77</v>
      </c>
      <c r="J33" s="64">
        <v>0.1</v>
      </c>
      <c r="K33" s="64">
        <v>340.13</v>
      </c>
      <c r="L33" s="64">
        <v>24.99</v>
      </c>
      <c r="M33" s="64">
        <v>104.97</v>
      </c>
      <c r="N33" s="64">
        <v>37.200000000000003</v>
      </c>
      <c r="O33" s="64">
        <v>0</v>
      </c>
      <c r="P33" s="64">
        <v>0.27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48" t="s">
        <v>2670</v>
      </c>
      <c r="B34" s="64">
        <v>7.94</v>
      </c>
      <c r="C34" s="64">
        <v>2.96</v>
      </c>
      <c r="D34" s="64">
        <v>11.69</v>
      </c>
      <c r="E34" s="64">
        <v>4.8099999999999996</v>
      </c>
      <c r="F34" s="64">
        <v>3.9</v>
      </c>
      <c r="G34" s="64">
        <v>12.68</v>
      </c>
      <c r="H34" s="64">
        <v>4.97</v>
      </c>
      <c r="I34" s="64">
        <v>3.66</v>
      </c>
      <c r="J34" s="64">
        <v>0.11</v>
      </c>
      <c r="K34" s="64">
        <v>351.07</v>
      </c>
      <c r="L34" s="64">
        <v>25.09</v>
      </c>
      <c r="M34" s="64">
        <v>104.95</v>
      </c>
      <c r="N34" s="64">
        <v>46.8</v>
      </c>
      <c r="O34" s="64">
        <v>0</v>
      </c>
      <c r="P34" s="64">
        <v>0.26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48" t="s">
        <v>2671</v>
      </c>
      <c r="B35" s="64">
        <v>7.93</v>
      </c>
      <c r="C35" s="64">
        <v>2.91</v>
      </c>
      <c r="D35" s="64">
        <v>11.66</v>
      </c>
      <c r="E35" s="64">
        <v>4.82</v>
      </c>
      <c r="F35" s="64">
        <v>3.42</v>
      </c>
      <c r="G35" s="64">
        <v>11.83</v>
      </c>
      <c r="H35" s="64">
        <v>4.25</v>
      </c>
      <c r="I35" s="64">
        <v>3.29</v>
      </c>
      <c r="J35" s="64">
        <v>0.11</v>
      </c>
      <c r="K35" s="64">
        <v>348.66</v>
      </c>
      <c r="L35" s="64">
        <v>25.17</v>
      </c>
      <c r="M35" s="64">
        <v>104.96</v>
      </c>
      <c r="N35" s="64">
        <v>60.9</v>
      </c>
      <c r="O35" s="64">
        <v>0</v>
      </c>
      <c r="P35" s="64">
        <v>0.26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48" t="s">
        <v>2672</v>
      </c>
      <c r="B36" s="64">
        <v>7.96</v>
      </c>
      <c r="C36" s="64">
        <v>2.94</v>
      </c>
      <c r="D36" s="64">
        <v>11.69</v>
      </c>
      <c r="E36" s="64">
        <v>4.59</v>
      </c>
      <c r="F36" s="64">
        <v>3.08</v>
      </c>
      <c r="G36" s="64">
        <v>10.44</v>
      </c>
      <c r="H36" s="64">
        <v>3.48</v>
      </c>
      <c r="I36" s="64">
        <v>3.28</v>
      </c>
      <c r="J36" s="64">
        <v>0.2</v>
      </c>
      <c r="K36" s="64">
        <v>345.6</v>
      </c>
      <c r="L36" s="64">
        <v>25.39</v>
      </c>
      <c r="M36" s="64">
        <v>104.96</v>
      </c>
      <c r="N36" s="64">
        <v>83.6</v>
      </c>
      <c r="O36" s="64">
        <v>0</v>
      </c>
      <c r="P36" s="64">
        <v>0.26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48" t="s">
        <v>2673</v>
      </c>
      <c r="B37" s="64">
        <v>7.98</v>
      </c>
      <c r="C37" s="64">
        <v>2.98</v>
      </c>
      <c r="D37" s="64">
        <v>11.73</v>
      </c>
      <c r="E37" s="64">
        <v>4.9000000000000004</v>
      </c>
      <c r="F37" s="64">
        <v>3.5</v>
      </c>
      <c r="G37" s="64">
        <v>10.44</v>
      </c>
      <c r="H37" s="64">
        <v>3.48</v>
      </c>
      <c r="I37" s="64">
        <v>3.13</v>
      </c>
      <c r="J37" s="64">
        <v>0.13</v>
      </c>
      <c r="K37" s="64">
        <v>327.98</v>
      </c>
      <c r="L37" s="64">
        <v>25.53</v>
      </c>
      <c r="M37" s="64">
        <v>104.94</v>
      </c>
      <c r="N37" s="64">
        <v>101.5</v>
      </c>
      <c r="O37" s="64">
        <v>0</v>
      </c>
      <c r="P37" s="64">
        <v>0.28000000000000003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48" t="s">
        <v>2674</v>
      </c>
      <c r="B38" s="64">
        <v>7.95</v>
      </c>
      <c r="C38" s="64">
        <v>2.95</v>
      </c>
      <c r="D38" s="64">
        <v>11.69</v>
      </c>
      <c r="E38" s="64">
        <v>4.7699999999999996</v>
      </c>
      <c r="F38" s="64">
        <v>3.27</v>
      </c>
      <c r="G38" s="64">
        <v>10.44</v>
      </c>
      <c r="H38" s="64">
        <v>3.48</v>
      </c>
      <c r="I38" s="64">
        <v>2.97</v>
      </c>
      <c r="J38" s="64">
        <v>0.19</v>
      </c>
      <c r="K38" s="64">
        <v>1.43</v>
      </c>
      <c r="L38" s="64">
        <v>25.78</v>
      </c>
      <c r="M38" s="64">
        <v>104.97</v>
      </c>
      <c r="N38" s="64">
        <v>111.6</v>
      </c>
      <c r="O38" s="64">
        <v>0</v>
      </c>
      <c r="P38" s="64">
        <v>0.3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48" t="s">
        <v>2675</v>
      </c>
      <c r="B39" s="64">
        <v>7.93</v>
      </c>
      <c r="C39" s="64">
        <v>2.94</v>
      </c>
      <c r="D39" s="64">
        <v>11.67</v>
      </c>
      <c r="E39" s="64">
        <v>4.7699999999999996</v>
      </c>
      <c r="F39" s="64">
        <v>3.76</v>
      </c>
      <c r="G39" s="64">
        <v>12.03</v>
      </c>
      <c r="H39" s="64">
        <v>3.23</v>
      </c>
      <c r="I39" s="64">
        <v>2.78</v>
      </c>
      <c r="J39" s="64">
        <v>0.22</v>
      </c>
      <c r="K39" s="64">
        <v>356.44</v>
      </c>
      <c r="L39" s="64">
        <v>25.95</v>
      </c>
      <c r="M39" s="64">
        <v>104.97</v>
      </c>
      <c r="N39" s="64">
        <v>139.4</v>
      </c>
      <c r="O39" s="64">
        <v>0</v>
      </c>
      <c r="P39" s="64">
        <v>0.3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48" t="s">
        <v>2676</v>
      </c>
      <c r="B40" s="64">
        <v>7.97</v>
      </c>
      <c r="C40" s="64">
        <v>2.97</v>
      </c>
      <c r="D40" s="64">
        <v>11.72</v>
      </c>
      <c r="E40" s="64">
        <v>5.17</v>
      </c>
      <c r="F40" s="64">
        <v>3.5</v>
      </c>
      <c r="G40" s="64">
        <v>14.64</v>
      </c>
      <c r="H40" s="64">
        <v>2.4300000000000002</v>
      </c>
      <c r="I40" s="64">
        <v>2.61</v>
      </c>
      <c r="J40" s="64">
        <v>0.11</v>
      </c>
      <c r="K40" s="64">
        <v>329.04</v>
      </c>
      <c r="L40" s="64">
        <v>26.33</v>
      </c>
      <c r="M40" s="64">
        <v>104.68</v>
      </c>
      <c r="N40" s="64">
        <v>166.3</v>
      </c>
      <c r="O40" s="64">
        <v>0</v>
      </c>
      <c r="P40" s="64">
        <v>0.28999999999999998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48" t="s">
        <v>2677</v>
      </c>
      <c r="B41" s="64">
        <v>8.01</v>
      </c>
      <c r="C41" s="64">
        <v>3.04</v>
      </c>
      <c r="D41" s="64">
        <v>11.79</v>
      </c>
      <c r="E41" s="64">
        <v>5.3</v>
      </c>
      <c r="F41" s="64">
        <v>3.08</v>
      </c>
      <c r="G41" s="64">
        <v>14.64</v>
      </c>
      <c r="H41" s="64">
        <v>2.4300000000000002</v>
      </c>
      <c r="I41" s="64">
        <v>2.48</v>
      </c>
      <c r="J41" s="64">
        <v>0.09</v>
      </c>
      <c r="K41" s="64">
        <v>347.39</v>
      </c>
      <c r="L41" s="64">
        <v>26.38</v>
      </c>
      <c r="M41" s="64">
        <v>104.32</v>
      </c>
      <c r="N41" s="64">
        <v>161.4</v>
      </c>
      <c r="O41" s="64">
        <v>0</v>
      </c>
      <c r="P41" s="64">
        <v>0.28999999999999998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48" t="s">
        <v>2678</v>
      </c>
      <c r="B42" s="64">
        <v>8.02</v>
      </c>
      <c r="C42" s="64">
        <v>3.04</v>
      </c>
      <c r="D42" s="64">
        <v>11.8</v>
      </c>
      <c r="E42" s="64">
        <v>5.35</v>
      </c>
      <c r="F42" s="64">
        <v>3.39</v>
      </c>
      <c r="G42" s="64">
        <v>14.64</v>
      </c>
      <c r="H42" s="64">
        <v>2.4300000000000002</v>
      </c>
      <c r="I42" s="64">
        <v>2.3199999999999998</v>
      </c>
      <c r="J42" s="64">
        <v>0.15</v>
      </c>
      <c r="K42" s="64">
        <v>340.31</v>
      </c>
      <c r="L42" s="64">
        <v>26.44</v>
      </c>
      <c r="M42" s="64">
        <v>104.05</v>
      </c>
      <c r="N42" s="64">
        <v>204</v>
      </c>
      <c r="O42" s="64">
        <v>0</v>
      </c>
      <c r="P42" s="64">
        <v>0.28999999999999998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48" t="s">
        <v>2679</v>
      </c>
      <c r="B43" s="64">
        <v>8</v>
      </c>
      <c r="C43" s="64">
        <v>3.03</v>
      </c>
      <c r="D43" s="64">
        <v>11.77</v>
      </c>
      <c r="E43" s="64">
        <v>4.84</v>
      </c>
      <c r="F43" s="64">
        <v>3.34</v>
      </c>
      <c r="G43" s="64">
        <v>13.17</v>
      </c>
      <c r="H43" s="64">
        <v>10.1</v>
      </c>
      <c r="I43" s="64">
        <v>2.21</v>
      </c>
      <c r="J43" s="64">
        <v>0.15</v>
      </c>
      <c r="K43" s="64">
        <v>348.87</v>
      </c>
      <c r="L43" s="64">
        <v>26.62</v>
      </c>
      <c r="M43" s="64">
        <v>103.45</v>
      </c>
      <c r="N43" s="64">
        <v>193.4</v>
      </c>
      <c r="O43" s="64">
        <v>0</v>
      </c>
      <c r="P43" s="64">
        <v>0.28999999999999998</v>
      </c>
      <c r="Q43" s="64">
        <v>9.58</v>
      </c>
      <c r="R43" s="198"/>
      <c r="S43" s="198"/>
      <c r="T43" s="198"/>
      <c r="U43" s="198"/>
    </row>
    <row r="44" spans="1:21" s="12" customFormat="1" x14ac:dyDescent="0.25">
      <c r="A44" s="248" t="s">
        <v>2680</v>
      </c>
      <c r="B44" s="64">
        <v>8</v>
      </c>
      <c r="C44" s="64">
        <v>3.01</v>
      </c>
      <c r="D44" s="64">
        <v>11.76</v>
      </c>
      <c r="E44" s="64">
        <v>5.37</v>
      </c>
      <c r="F44" s="64">
        <v>3.66</v>
      </c>
      <c r="G44" s="64">
        <v>10.73</v>
      </c>
      <c r="H44" s="64">
        <v>8.86</v>
      </c>
      <c r="I44" s="64">
        <v>1.92</v>
      </c>
      <c r="J44" s="64">
        <v>0.15</v>
      </c>
      <c r="K44" s="64">
        <v>310.27999999999997</v>
      </c>
      <c r="L44" s="64">
        <v>26.65</v>
      </c>
      <c r="M44" s="64">
        <v>102.52</v>
      </c>
      <c r="N44" s="64">
        <v>189.8</v>
      </c>
      <c r="O44" s="64">
        <v>0</v>
      </c>
      <c r="P44" s="64">
        <v>0.28999999999999998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48" t="s">
        <v>2681</v>
      </c>
      <c r="B45" s="64">
        <v>8.02</v>
      </c>
      <c r="C45" s="64">
        <v>2.98</v>
      </c>
      <c r="D45" s="64">
        <v>11.77</v>
      </c>
      <c r="E45" s="64">
        <v>5.28</v>
      </c>
      <c r="F45" s="64">
        <v>3.75</v>
      </c>
      <c r="G45" s="64">
        <v>10.73</v>
      </c>
      <c r="H45" s="64">
        <v>8.86</v>
      </c>
      <c r="I45" s="64">
        <v>1.93</v>
      </c>
      <c r="J45" s="64">
        <v>0.22</v>
      </c>
      <c r="K45" s="64">
        <v>339.64</v>
      </c>
      <c r="L45" s="64">
        <v>26.81</v>
      </c>
      <c r="M45" s="64">
        <v>101.33</v>
      </c>
      <c r="N45" s="64">
        <v>214.4</v>
      </c>
      <c r="O45" s="64">
        <v>0</v>
      </c>
      <c r="P45" s="64">
        <v>0.28999999999999998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48" t="s">
        <v>2682</v>
      </c>
      <c r="B46" s="64">
        <v>8</v>
      </c>
      <c r="C46" s="64">
        <v>2.95</v>
      </c>
      <c r="D46" s="64">
        <v>11.73</v>
      </c>
      <c r="E46" s="64">
        <v>5.31</v>
      </c>
      <c r="F46" s="64">
        <v>3.8</v>
      </c>
      <c r="G46" s="64">
        <v>10.73</v>
      </c>
      <c r="H46" s="64">
        <v>9.86</v>
      </c>
      <c r="I46" s="64">
        <v>1.67</v>
      </c>
      <c r="J46" s="64">
        <v>0.23</v>
      </c>
      <c r="K46" s="64">
        <v>349.84</v>
      </c>
      <c r="L46" s="64">
        <v>27.17</v>
      </c>
      <c r="M46" s="64">
        <v>99.42</v>
      </c>
      <c r="N46" s="64">
        <v>220.3</v>
      </c>
      <c r="O46" s="64">
        <v>0</v>
      </c>
      <c r="P46" s="64">
        <v>0.3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48" t="s">
        <v>2683</v>
      </c>
      <c r="B47" s="64">
        <v>7.99</v>
      </c>
      <c r="C47" s="64">
        <v>2.99</v>
      </c>
      <c r="D47" s="64">
        <v>11.75</v>
      </c>
      <c r="E47" s="64">
        <v>5.33</v>
      </c>
      <c r="F47" s="64">
        <v>3.7</v>
      </c>
      <c r="G47" s="64">
        <v>12.62</v>
      </c>
      <c r="H47" s="64">
        <v>7.74</v>
      </c>
      <c r="I47" s="64">
        <v>1.55</v>
      </c>
      <c r="J47" s="64">
        <v>0.19</v>
      </c>
      <c r="K47" s="64">
        <v>342.94</v>
      </c>
      <c r="L47" s="64">
        <v>27.38</v>
      </c>
      <c r="M47" s="64">
        <v>98.98</v>
      </c>
      <c r="N47" s="64">
        <v>196.6</v>
      </c>
      <c r="O47" s="64">
        <v>0</v>
      </c>
      <c r="P47" s="64">
        <v>0.3</v>
      </c>
      <c r="Q47" s="64">
        <v>9.56</v>
      </c>
      <c r="R47" s="198"/>
      <c r="S47" s="198"/>
      <c r="T47" s="198"/>
      <c r="U47" s="198"/>
    </row>
    <row r="48" spans="1:21" s="12" customFormat="1" x14ac:dyDescent="0.25">
      <c r="A48" s="248" t="s">
        <v>2684</v>
      </c>
      <c r="B48" s="64">
        <v>7.99</v>
      </c>
      <c r="C48" s="64">
        <v>2.98</v>
      </c>
      <c r="D48" s="64">
        <v>11.74</v>
      </c>
      <c r="E48" s="64">
        <v>5.41</v>
      </c>
      <c r="F48" s="64">
        <v>3.79</v>
      </c>
      <c r="G48" s="64">
        <v>15.74</v>
      </c>
      <c r="H48" s="64">
        <v>6.8</v>
      </c>
      <c r="I48" s="64">
        <v>1.45</v>
      </c>
      <c r="J48" s="64">
        <v>0.27</v>
      </c>
      <c r="K48" s="64">
        <v>347.97</v>
      </c>
      <c r="L48" s="64">
        <v>27.34</v>
      </c>
      <c r="M48" s="64">
        <v>98.24</v>
      </c>
      <c r="N48" s="64">
        <v>138.9</v>
      </c>
      <c r="O48" s="64">
        <v>0</v>
      </c>
      <c r="P48" s="64">
        <v>0.31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48" t="s">
        <v>2685</v>
      </c>
      <c r="B49" s="64">
        <v>7.96</v>
      </c>
      <c r="C49" s="64">
        <v>2.93</v>
      </c>
      <c r="D49" s="64">
        <v>11.69</v>
      </c>
      <c r="E49" s="64">
        <v>5.34</v>
      </c>
      <c r="F49" s="64">
        <v>3.8</v>
      </c>
      <c r="G49" s="64">
        <v>15.74</v>
      </c>
      <c r="H49" s="64">
        <v>6.8</v>
      </c>
      <c r="I49" s="64">
        <v>1.35</v>
      </c>
      <c r="J49" s="64">
        <v>0.22</v>
      </c>
      <c r="K49" s="64">
        <v>345.9</v>
      </c>
      <c r="L49" s="64">
        <v>27.13</v>
      </c>
      <c r="M49" s="64">
        <v>98.5</v>
      </c>
      <c r="N49" s="64">
        <v>117.4</v>
      </c>
      <c r="O49" s="64">
        <v>0</v>
      </c>
      <c r="P49" s="64">
        <v>0.33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48" t="s">
        <v>2686</v>
      </c>
      <c r="B50" s="64">
        <v>7.94</v>
      </c>
      <c r="C50" s="64">
        <v>2.92</v>
      </c>
      <c r="D50" s="64">
        <v>11.67</v>
      </c>
      <c r="E50" s="64">
        <v>5.41</v>
      </c>
      <c r="F50" s="64">
        <v>3.9</v>
      </c>
      <c r="G50" s="64">
        <v>15.74</v>
      </c>
      <c r="H50" s="64">
        <v>8.8000000000000007</v>
      </c>
      <c r="I50" s="64">
        <v>1.35</v>
      </c>
      <c r="J50" s="64">
        <v>0.23</v>
      </c>
      <c r="K50" s="64">
        <v>346.46</v>
      </c>
      <c r="L50" s="64">
        <v>27.21</v>
      </c>
      <c r="M50" s="64">
        <v>97.47</v>
      </c>
      <c r="N50" s="64">
        <v>154.9</v>
      </c>
      <c r="O50" s="64">
        <v>0</v>
      </c>
      <c r="P50" s="64">
        <v>0.33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48" t="s">
        <v>2687</v>
      </c>
      <c r="B51" s="64">
        <v>7.97</v>
      </c>
      <c r="C51" s="64">
        <v>3</v>
      </c>
      <c r="D51" s="64">
        <v>11.73</v>
      </c>
      <c r="E51" s="64">
        <v>5.24</v>
      </c>
      <c r="F51" s="64">
        <v>4.75</v>
      </c>
      <c r="G51" s="64">
        <v>15.74</v>
      </c>
      <c r="H51" s="64">
        <v>9.8000000000000007</v>
      </c>
      <c r="I51" s="64">
        <v>1.45</v>
      </c>
      <c r="J51" s="64">
        <v>0.28999999999999998</v>
      </c>
      <c r="K51" s="64">
        <v>353.67</v>
      </c>
      <c r="L51" s="64">
        <v>27.54</v>
      </c>
      <c r="M51" s="64">
        <v>96.12</v>
      </c>
      <c r="N51" s="64">
        <v>197.4</v>
      </c>
      <c r="O51" s="64">
        <v>0</v>
      </c>
      <c r="P51" s="64">
        <v>0.35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48" t="s">
        <v>2688</v>
      </c>
      <c r="B52" s="64">
        <v>7.97</v>
      </c>
      <c r="C52" s="64">
        <v>2.95</v>
      </c>
      <c r="D52" s="64">
        <v>11.71</v>
      </c>
      <c r="E52" s="64">
        <v>4.9400000000000004</v>
      </c>
      <c r="F52" s="64">
        <v>4.6900000000000004</v>
      </c>
      <c r="G52" s="64">
        <v>15.74</v>
      </c>
      <c r="H52" s="64">
        <v>11.8</v>
      </c>
      <c r="I52" s="64">
        <v>1.42</v>
      </c>
      <c r="J52" s="64">
        <v>0.23</v>
      </c>
      <c r="K52" s="64">
        <v>328.06</v>
      </c>
      <c r="L52" s="64">
        <v>28.12</v>
      </c>
      <c r="M52" s="64">
        <v>94.07</v>
      </c>
      <c r="N52" s="64">
        <v>209.6</v>
      </c>
      <c r="O52" s="64">
        <v>0</v>
      </c>
      <c r="P52" s="64">
        <v>0.35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48" t="s">
        <v>2689</v>
      </c>
      <c r="B53" s="64">
        <v>7.97</v>
      </c>
      <c r="C53" s="64">
        <v>3.01</v>
      </c>
      <c r="D53" s="64">
        <v>11.74</v>
      </c>
      <c r="E53" s="64">
        <v>4.62</v>
      </c>
      <c r="F53" s="64">
        <v>5.7</v>
      </c>
      <c r="G53" s="64">
        <v>15.74</v>
      </c>
      <c r="H53" s="64">
        <v>11.8</v>
      </c>
      <c r="I53" s="64">
        <v>1.25</v>
      </c>
      <c r="J53" s="64">
        <v>0.24</v>
      </c>
      <c r="K53" s="64">
        <v>334.64</v>
      </c>
      <c r="L53" s="64">
        <v>28.31</v>
      </c>
      <c r="M53" s="64">
        <v>92.66</v>
      </c>
      <c r="N53" s="64">
        <v>215.6</v>
      </c>
      <c r="O53" s="64">
        <v>0</v>
      </c>
      <c r="P53" s="64">
        <v>0.37</v>
      </c>
      <c r="Q53" s="64">
        <v>9.58</v>
      </c>
      <c r="R53" s="198"/>
      <c r="S53" s="198"/>
      <c r="T53" s="198"/>
      <c r="U53" s="198"/>
    </row>
    <row r="54" spans="1:21" s="12" customFormat="1" x14ac:dyDescent="0.25">
      <c r="A54" s="248" t="s">
        <v>2690</v>
      </c>
      <c r="B54" s="64">
        <v>7.97</v>
      </c>
      <c r="C54" s="64">
        <v>3</v>
      </c>
      <c r="D54" s="64">
        <v>11.73</v>
      </c>
      <c r="E54" s="64">
        <v>7.18</v>
      </c>
      <c r="F54" s="64">
        <v>6.11</v>
      </c>
      <c r="G54" s="64">
        <v>15.74</v>
      </c>
      <c r="H54" s="64">
        <v>12.8</v>
      </c>
      <c r="I54" s="64">
        <v>1.1000000000000001</v>
      </c>
      <c r="J54" s="64">
        <v>0.28000000000000003</v>
      </c>
      <c r="K54" s="64">
        <v>353.93</v>
      </c>
      <c r="L54" s="64">
        <v>29.71</v>
      </c>
      <c r="M54" s="64">
        <v>86.02</v>
      </c>
      <c r="N54" s="64">
        <v>474</v>
      </c>
      <c r="O54" s="64">
        <v>0</v>
      </c>
      <c r="P54" s="64">
        <v>0.36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48" t="s">
        <v>2691</v>
      </c>
      <c r="B55" s="64">
        <v>7.95</v>
      </c>
      <c r="C55" s="64">
        <v>2.99</v>
      </c>
      <c r="D55" s="64">
        <v>11.71</v>
      </c>
      <c r="E55" s="64">
        <v>3.32</v>
      </c>
      <c r="F55" s="64">
        <v>6.4</v>
      </c>
      <c r="G55" s="64">
        <v>15.74</v>
      </c>
      <c r="H55" s="64">
        <v>12.8</v>
      </c>
      <c r="I55" s="64">
        <v>1.02</v>
      </c>
      <c r="J55" s="64">
        <v>0.37</v>
      </c>
      <c r="K55" s="64">
        <v>339.95</v>
      </c>
      <c r="L55" s="64">
        <v>29.93</v>
      </c>
      <c r="M55" s="64">
        <v>83.46</v>
      </c>
      <c r="N55" s="64">
        <v>472.4</v>
      </c>
      <c r="O55" s="64">
        <v>0</v>
      </c>
      <c r="P55" s="64">
        <v>0.36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48" t="s">
        <v>2692</v>
      </c>
      <c r="B56" s="64">
        <v>7.94</v>
      </c>
      <c r="C56" s="64">
        <v>3.01</v>
      </c>
      <c r="D56" s="64">
        <v>11.72</v>
      </c>
      <c r="E56" s="64">
        <v>12.27</v>
      </c>
      <c r="F56" s="64">
        <v>5.41</v>
      </c>
      <c r="G56" s="64">
        <v>15.74</v>
      </c>
      <c r="H56" s="64">
        <v>10.8</v>
      </c>
      <c r="I56" s="64">
        <v>1.05</v>
      </c>
      <c r="J56" s="64">
        <v>0.32</v>
      </c>
      <c r="K56" s="64">
        <v>346.62</v>
      </c>
      <c r="L56" s="64">
        <v>29.56</v>
      </c>
      <c r="M56" s="64">
        <v>85.11</v>
      </c>
      <c r="N56" s="64">
        <v>378.4</v>
      </c>
      <c r="O56" s="64">
        <v>0</v>
      </c>
      <c r="P56" s="64">
        <v>0.33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48" t="s">
        <v>2693</v>
      </c>
      <c r="B57" s="64">
        <v>7.91</v>
      </c>
      <c r="C57" s="64">
        <v>3</v>
      </c>
      <c r="D57" s="64">
        <v>11.69</v>
      </c>
      <c r="E57" s="64">
        <v>84.35</v>
      </c>
      <c r="F57" s="64">
        <v>4.45</v>
      </c>
      <c r="G57" s="64">
        <v>15.74</v>
      </c>
      <c r="H57" s="64">
        <v>10.8</v>
      </c>
      <c r="I57" s="64">
        <v>1.1499999999999999</v>
      </c>
      <c r="J57" s="64">
        <v>0.28999999999999998</v>
      </c>
      <c r="K57" s="64">
        <v>346.4</v>
      </c>
      <c r="L57" s="64">
        <v>30.49</v>
      </c>
      <c r="M57" s="64">
        <v>81.67</v>
      </c>
      <c r="N57" s="64">
        <v>475.4</v>
      </c>
      <c r="O57" s="64">
        <v>0</v>
      </c>
      <c r="P57" s="64">
        <v>0.34</v>
      </c>
      <c r="Q57" s="64">
        <v>9.49</v>
      </c>
      <c r="R57" s="198"/>
      <c r="S57" s="198"/>
      <c r="T57" s="198"/>
      <c r="U57" s="198"/>
    </row>
    <row r="58" spans="1:21" s="12" customFormat="1" x14ac:dyDescent="0.25">
      <c r="A58" s="248" t="s">
        <v>2694</v>
      </c>
      <c r="B58" s="64">
        <v>8.0299999999999994</v>
      </c>
      <c r="C58" s="64">
        <v>3.09</v>
      </c>
      <c r="D58" s="64">
        <v>11.83</v>
      </c>
      <c r="E58" s="64">
        <v>139.11000000000001</v>
      </c>
      <c r="F58" s="64">
        <v>5.53</v>
      </c>
      <c r="G58" s="64">
        <v>15.74</v>
      </c>
      <c r="H58" s="64">
        <v>10.8</v>
      </c>
      <c r="I58" s="64">
        <v>2.21</v>
      </c>
      <c r="J58" s="64">
        <v>0.34</v>
      </c>
      <c r="K58" s="64">
        <v>329.37</v>
      </c>
      <c r="L58" s="64">
        <v>30.4</v>
      </c>
      <c r="M58" s="64">
        <v>80.77</v>
      </c>
      <c r="N58" s="64">
        <v>559.4</v>
      </c>
      <c r="O58" s="64">
        <v>0</v>
      </c>
      <c r="P58" s="64">
        <v>0.32</v>
      </c>
      <c r="Q58" s="64">
        <v>9.42</v>
      </c>
      <c r="R58" s="198"/>
      <c r="S58" s="198"/>
      <c r="T58" s="198"/>
      <c r="U58" s="198"/>
    </row>
    <row r="59" spans="1:21" s="12" customFormat="1" x14ac:dyDescent="0.25">
      <c r="A59" s="248" t="s">
        <v>2695</v>
      </c>
      <c r="B59" s="64">
        <v>9.35</v>
      </c>
      <c r="C59" s="64">
        <v>3.91</v>
      </c>
      <c r="D59" s="64">
        <v>13.32</v>
      </c>
      <c r="E59" s="64">
        <v>169.18</v>
      </c>
      <c r="F59" s="64">
        <v>5.53</v>
      </c>
      <c r="G59" s="64">
        <v>15.74</v>
      </c>
      <c r="H59" s="64">
        <v>11.8</v>
      </c>
      <c r="I59" s="64">
        <v>3.86</v>
      </c>
      <c r="J59" s="64">
        <v>0.35</v>
      </c>
      <c r="K59" s="64">
        <v>334.84</v>
      </c>
      <c r="L59" s="64">
        <v>30.55</v>
      </c>
      <c r="M59" s="64">
        <v>78.22</v>
      </c>
      <c r="N59" s="64">
        <v>500.6</v>
      </c>
      <c r="O59" s="64">
        <v>0</v>
      </c>
      <c r="P59" s="64">
        <v>0.31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48" t="s">
        <v>2696</v>
      </c>
      <c r="B60" s="64">
        <v>8.6999999999999993</v>
      </c>
      <c r="C60" s="64">
        <v>3.47</v>
      </c>
      <c r="D60" s="64">
        <v>12.56</v>
      </c>
      <c r="E60" s="64">
        <v>27.79</v>
      </c>
      <c r="F60" s="64">
        <v>5.44</v>
      </c>
      <c r="G60" s="64">
        <v>0.87</v>
      </c>
      <c r="H60" s="64">
        <v>0.71</v>
      </c>
      <c r="I60" s="64">
        <v>5.15</v>
      </c>
      <c r="J60" s="64">
        <v>0.27</v>
      </c>
      <c r="K60" s="64">
        <v>335.64</v>
      </c>
      <c r="L60" s="64">
        <v>30.1</v>
      </c>
      <c r="M60" s="64">
        <v>81.42</v>
      </c>
      <c r="N60" s="64">
        <v>401.1</v>
      </c>
      <c r="O60" s="64">
        <v>0</v>
      </c>
      <c r="P60" s="64">
        <v>0.31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48" t="s">
        <v>2697</v>
      </c>
      <c r="B61" s="64">
        <v>8.0399999999999991</v>
      </c>
      <c r="C61" s="64">
        <v>3.03</v>
      </c>
      <c r="D61" s="64">
        <v>11.8</v>
      </c>
      <c r="E61" s="64">
        <v>2.4</v>
      </c>
      <c r="F61" s="64">
        <v>5.14</v>
      </c>
      <c r="G61" s="211" t="s">
        <v>40</v>
      </c>
      <c r="H61" s="211" t="s">
        <v>40</v>
      </c>
      <c r="I61" s="64">
        <v>6.45</v>
      </c>
      <c r="J61" s="64">
        <v>0.25</v>
      </c>
      <c r="K61" s="64">
        <v>329</v>
      </c>
      <c r="L61" s="64">
        <v>30.53</v>
      </c>
      <c r="M61" s="64">
        <v>79.209999999999994</v>
      </c>
      <c r="N61" s="64">
        <v>555.4</v>
      </c>
      <c r="O61" s="64">
        <v>0</v>
      </c>
      <c r="P61" s="64">
        <v>0.31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48" t="s">
        <v>2698</v>
      </c>
      <c r="B62" s="64">
        <v>7.96</v>
      </c>
      <c r="C62" s="64">
        <v>2.97</v>
      </c>
      <c r="D62" s="64">
        <v>11.71</v>
      </c>
      <c r="E62" s="64">
        <v>2.78</v>
      </c>
      <c r="F62" s="64">
        <v>6.34</v>
      </c>
      <c r="G62" s="211" t="s">
        <v>40</v>
      </c>
      <c r="H62" s="211" t="s">
        <v>40</v>
      </c>
      <c r="I62" s="64">
        <v>6.67</v>
      </c>
      <c r="J62" s="64">
        <v>0.26</v>
      </c>
      <c r="K62" s="64">
        <v>320.86</v>
      </c>
      <c r="L62" s="64">
        <v>31.12</v>
      </c>
      <c r="M62" s="64">
        <v>78.67</v>
      </c>
      <c r="N62" s="64">
        <v>526.9</v>
      </c>
      <c r="O62" s="64">
        <v>0</v>
      </c>
      <c r="P62" s="64">
        <v>0.31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8" t="s">
        <v>2699</v>
      </c>
      <c r="B63" s="64">
        <v>7.97</v>
      </c>
      <c r="C63" s="64">
        <v>2.96</v>
      </c>
      <c r="D63" s="64">
        <v>11.71</v>
      </c>
      <c r="E63" s="64">
        <v>3.28</v>
      </c>
      <c r="F63" s="64">
        <v>6.64</v>
      </c>
      <c r="G63" s="211" t="s">
        <v>40</v>
      </c>
      <c r="H63" s="211" t="s">
        <v>40</v>
      </c>
      <c r="I63" s="64">
        <v>5.72</v>
      </c>
      <c r="J63" s="64">
        <v>0.25</v>
      </c>
      <c r="K63" s="64">
        <v>329.7</v>
      </c>
      <c r="L63" s="64">
        <v>31.33</v>
      </c>
      <c r="M63" s="64">
        <v>78.58</v>
      </c>
      <c r="N63" s="64">
        <v>383.2</v>
      </c>
      <c r="O63" s="64">
        <v>0</v>
      </c>
      <c r="P63" s="64">
        <v>0.31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48" t="s">
        <v>2700</v>
      </c>
      <c r="B64" s="64">
        <v>7.97</v>
      </c>
      <c r="C64" s="64">
        <v>2.95</v>
      </c>
      <c r="D64" s="64">
        <v>11.71</v>
      </c>
      <c r="E64" s="64">
        <v>2.93</v>
      </c>
      <c r="F64" s="64">
        <v>5.39</v>
      </c>
      <c r="G64" s="64">
        <v>36.82</v>
      </c>
      <c r="H64" s="212" t="s">
        <v>42</v>
      </c>
      <c r="I64" s="64">
        <v>4.8099999999999996</v>
      </c>
      <c r="J64" s="64">
        <v>0.25</v>
      </c>
      <c r="K64" s="64">
        <v>333.2</v>
      </c>
      <c r="L64" s="64">
        <v>30.81</v>
      </c>
      <c r="M64" s="64">
        <v>80.33</v>
      </c>
      <c r="N64" s="64">
        <v>372.9</v>
      </c>
      <c r="O64" s="64">
        <v>0</v>
      </c>
      <c r="P64" s="64">
        <v>0.32</v>
      </c>
      <c r="Q64" s="64">
        <v>9.5</v>
      </c>
      <c r="R64" s="198"/>
      <c r="S64" s="198"/>
      <c r="T64" s="198"/>
      <c r="U64" s="198"/>
    </row>
    <row r="65" spans="1:21" s="12" customFormat="1" x14ac:dyDescent="0.25">
      <c r="A65" s="248" t="s">
        <v>2701</v>
      </c>
      <c r="B65" s="64">
        <v>7.96</v>
      </c>
      <c r="C65" s="64">
        <v>2.98</v>
      </c>
      <c r="D65" s="64">
        <v>11.71</v>
      </c>
      <c r="E65" s="64">
        <v>2.84</v>
      </c>
      <c r="F65" s="64">
        <v>5.71</v>
      </c>
      <c r="G65" s="64">
        <v>38.53</v>
      </c>
      <c r="H65" s="212" t="s">
        <v>42</v>
      </c>
      <c r="I65" s="64">
        <v>3.88</v>
      </c>
      <c r="J65" s="64">
        <v>0.26</v>
      </c>
      <c r="K65" s="64">
        <v>345.6</v>
      </c>
      <c r="L65" s="64">
        <v>30.49</v>
      </c>
      <c r="M65" s="64">
        <v>78.540000000000006</v>
      </c>
      <c r="N65" s="64">
        <v>255</v>
      </c>
      <c r="O65" s="64">
        <v>0</v>
      </c>
      <c r="P65" s="64">
        <v>0.33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48" t="s">
        <v>2702</v>
      </c>
      <c r="B66" s="64">
        <v>7.95</v>
      </c>
      <c r="C66" s="64">
        <v>2.93</v>
      </c>
      <c r="D66" s="64">
        <v>11.68</v>
      </c>
      <c r="E66" s="64">
        <v>3.13</v>
      </c>
      <c r="F66" s="64">
        <v>5.78</v>
      </c>
      <c r="G66" s="64">
        <v>38.53</v>
      </c>
      <c r="H66" s="212" t="s">
        <v>42</v>
      </c>
      <c r="I66" s="64">
        <v>3.22</v>
      </c>
      <c r="J66" s="64">
        <v>0.37</v>
      </c>
      <c r="K66" s="64">
        <v>343.3</v>
      </c>
      <c r="L66" s="64">
        <v>30.75</v>
      </c>
      <c r="M66" s="64">
        <v>78.42</v>
      </c>
      <c r="N66" s="64">
        <v>263.39999999999998</v>
      </c>
      <c r="O66" s="64">
        <v>0</v>
      </c>
      <c r="P66" s="64">
        <v>0.35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48" t="s">
        <v>2703</v>
      </c>
      <c r="B67" s="64">
        <v>7.94</v>
      </c>
      <c r="C67" s="64">
        <v>2.93</v>
      </c>
      <c r="D67" s="64">
        <v>11.67</v>
      </c>
      <c r="E67" s="64">
        <v>3.53</v>
      </c>
      <c r="F67" s="64">
        <v>6.15</v>
      </c>
      <c r="G67" s="64">
        <v>38.53</v>
      </c>
      <c r="H67" s="212" t="s">
        <v>42</v>
      </c>
      <c r="I67" s="64">
        <v>2.88</v>
      </c>
      <c r="J67" s="64">
        <v>0.39</v>
      </c>
      <c r="K67" s="64">
        <v>334.64</v>
      </c>
      <c r="L67" s="64">
        <v>30.3</v>
      </c>
      <c r="M67" s="64">
        <v>80.16</v>
      </c>
      <c r="N67" s="64">
        <v>213.8</v>
      </c>
      <c r="O67" s="64">
        <v>0</v>
      </c>
      <c r="P67" s="64">
        <v>0.35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48" t="s">
        <v>2704</v>
      </c>
      <c r="B68" s="64">
        <v>7.93</v>
      </c>
      <c r="C68" s="64">
        <v>2.92</v>
      </c>
      <c r="D68" s="64">
        <v>11.66</v>
      </c>
      <c r="E68" s="64">
        <v>3.15</v>
      </c>
      <c r="F68" s="64">
        <v>2.88</v>
      </c>
      <c r="G68" s="64">
        <v>36.450000000000003</v>
      </c>
      <c r="H68" s="212" t="s">
        <v>42</v>
      </c>
      <c r="I68" s="64">
        <v>2.2599999999999998</v>
      </c>
      <c r="J68" s="64">
        <v>0.27</v>
      </c>
      <c r="K68" s="64">
        <v>339.77</v>
      </c>
      <c r="L68" s="64">
        <v>30.86</v>
      </c>
      <c r="M68" s="64">
        <v>78.17</v>
      </c>
      <c r="N68" s="64">
        <v>202.1</v>
      </c>
      <c r="O68" s="64">
        <v>0</v>
      </c>
      <c r="P68" s="64">
        <v>0.34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48" t="s">
        <v>2705</v>
      </c>
      <c r="B69" s="64">
        <v>7.93</v>
      </c>
      <c r="C69" s="64">
        <v>2.91</v>
      </c>
      <c r="D69" s="64">
        <v>11.66</v>
      </c>
      <c r="E69" s="64">
        <v>2.88</v>
      </c>
      <c r="F69" s="64">
        <v>4.9000000000000004</v>
      </c>
      <c r="G69" s="64">
        <v>36.35</v>
      </c>
      <c r="H69" s="212" t="s">
        <v>42</v>
      </c>
      <c r="I69" s="64">
        <v>2.0499999999999998</v>
      </c>
      <c r="J69" s="64">
        <v>0.32</v>
      </c>
      <c r="K69" s="64">
        <v>343.46</v>
      </c>
      <c r="L69" s="64">
        <v>30.5</v>
      </c>
      <c r="M69" s="64">
        <v>79.91</v>
      </c>
      <c r="N69" s="64">
        <v>155.5</v>
      </c>
      <c r="O69" s="64">
        <v>0</v>
      </c>
      <c r="P69" s="64">
        <v>0.34</v>
      </c>
      <c r="Q69" s="64">
        <v>9.56</v>
      </c>
      <c r="R69" s="198"/>
      <c r="S69" s="198"/>
      <c r="T69" s="198"/>
      <c r="U69" s="198"/>
    </row>
    <row r="70" spans="1:21" s="12" customFormat="1" x14ac:dyDescent="0.25">
      <c r="A70" s="248" t="s">
        <v>2706</v>
      </c>
      <c r="B70" s="64">
        <v>7.92</v>
      </c>
      <c r="C70" s="64">
        <v>2.89</v>
      </c>
      <c r="D70" s="64">
        <v>11.64</v>
      </c>
      <c r="E70" s="64">
        <v>3.2</v>
      </c>
      <c r="F70" s="64">
        <v>5</v>
      </c>
      <c r="G70" s="64">
        <v>36.35</v>
      </c>
      <c r="H70" s="212" t="s">
        <v>42</v>
      </c>
      <c r="I70" s="64">
        <v>1.78</v>
      </c>
      <c r="J70" s="64">
        <v>0.35</v>
      </c>
      <c r="K70" s="64">
        <v>334.13</v>
      </c>
      <c r="L70" s="64">
        <v>30.43</v>
      </c>
      <c r="M70" s="64">
        <v>77.900000000000006</v>
      </c>
      <c r="N70" s="64">
        <v>122.6</v>
      </c>
      <c r="O70" s="64">
        <v>0</v>
      </c>
      <c r="P70" s="64">
        <v>0.34</v>
      </c>
      <c r="Q70" s="64">
        <v>9.57</v>
      </c>
      <c r="R70" s="198"/>
      <c r="S70" s="198"/>
      <c r="T70" s="198"/>
      <c r="U70" s="198"/>
    </row>
    <row r="71" spans="1:21" s="12" customFormat="1" x14ac:dyDescent="0.25">
      <c r="A71" s="248" t="s">
        <v>2707</v>
      </c>
      <c r="B71" s="64">
        <v>7.93</v>
      </c>
      <c r="C71" s="64">
        <v>2.9</v>
      </c>
      <c r="D71" s="64">
        <v>11.65</v>
      </c>
      <c r="E71" s="64">
        <v>3.22</v>
      </c>
      <c r="F71" s="64">
        <v>3.86</v>
      </c>
      <c r="G71" s="64">
        <v>36.35</v>
      </c>
      <c r="H71" s="212" t="s">
        <v>42</v>
      </c>
      <c r="I71" s="64">
        <v>1.64</v>
      </c>
      <c r="J71" s="64">
        <v>0.31</v>
      </c>
      <c r="K71" s="64">
        <v>349.99</v>
      </c>
      <c r="L71" s="64">
        <v>30.14</v>
      </c>
      <c r="M71" s="64">
        <v>80.349999999999994</v>
      </c>
      <c r="N71" s="64">
        <v>146.9</v>
      </c>
      <c r="O71" s="64">
        <v>0</v>
      </c>
      <c r="P71" s="64">
        <v>0.33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48" t="s">
        <v>2708</v>
      </c>
      <c r="B72" s="64">
        <v>7.94</v>
      </c>
      <c r="C72" s="64">
        <v>2.96</v>
      </c>
      <c r="D72" s="64">
        <v>11.69</v>
      </c>
      <c r="E72" s="64">
        <v>5.38</v>
      </c>
      <c r="F72" s="64">
        <v>5.43</v>
      </c>
      <c r="G72" s="64">
        <v>42.23</v>
      </c>
      <c r="H72" s="64">
        <v>5.42</v>
      </c>
      <c r="I72" s="64">
        <v>1.62</v>
      </c>
      <c r="J72" s="64">
        <v>0.3</v>
      </c>
      <c r="K72" s="64">
        <v>342.88</v>
      </c>
      <c r="L72" s="64">
        <v>30.11</v>
      </c>
      <c r="M72" s="64">
        <v>80.430000000000007</v>
      </c>
      <c r="N72" s="64">
        <v>162.4</v>
      </c>
      <c r="O72" s="64">
        <v>0</v>
      </c>
      <c r="P72" s="64">
        <v>0.36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48" t="s">
        <v>2709</v>
      </c>
      <c r="B73" s="64">
        <v>7.95</v>
      </c>
      <c r="C73" s="64">
        <v>2.96</v>
      </c>
      <c r="D73" s="64">
        <v>11.7</v>
      </c>
      <c r="E73" s="64">
        <v>5.73</v>
      </c>
      <c r="F73" s="64">
        <v>3.25</v>
      </c>
      <c r="G73" s="64">
        <v>42.5</v>
      </c>
      <c r="H73" s="64">
        <v>3.6</v>
      </c>
      <c r="I73" s="64">
        <v>1.45</v>
      </c>
      <c r="J73" s="64">
        <v>0.27</v>
      </c>
      <c r="K73" s="64">
        <v>348.09</v>
      </c>
      <c r="L73" s="64">
        <v>29.98</v>
      </c>
      <c r="M73" s="64">
        <v>81.22</v>
      </c>
      <c r="N73" s="64">
        <v>126.7</v>
      </c>
      <c r="O73" s="64">
        <v>0</v>
      </c>
      <c r="P73" s="64">
        <v>0.35</v>
      </c>
      <c r="Q73" s="64">
        <v>9.58</v>
      </c>
      <c r="R73" s="198"/>
      <c r="S73" s="198"/>
      <c r="T73" s="198"/>
      <c r="U73" s="198"/>
    </row>
    <row r="74" spans="1:21" s="12" customFormat="1" x14ac:dyDescent="0.25">
      <c r="A74" s="248" t="s">
        <v>2710</v>
      </c>
      <c r="B74" s="64">
        <v>7.97</v>
      </c>
      <c r="C74" s="64">
        <v>2.94</v>
      </c>
      <c r="D74" s="64">
        <v>11.7</v>
      </c>
      <c r="E74" s="64">
        <v>5.58</v>
      </c>
      <c r="F74" s="64">
        <v>4.1900000000000004</v>
      </c>
      <c r="G74" s="64">
        <v>42.5</v>
      </c>
      <c r="H74" s="64">
        <v>3.6</v>
      </c>
      <c r="I74" s="64">
        <v>1.59</v>
      </c>
      <c r="J74" s="64">
        <v>0.21</v>
      </c>
      <c r="K74" s="64">
        <v>358.43</v>
      </c>
      <c r="L74" s="64">
        <v>29.86</v>
      </c>
      <c r="M74" s="64">
        <v>82.05</v>
      </c>
      <c r="N74" s="64">
        <v>108</v>
      </c>
      <c r="O74" s="64">
        <v>0</v>
      </c>
      <c r="P74" s="64">
        <v>0.35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48" t="s">
        <v>2711</v>
      </c>
      <c r="B75" s="64">
        <v>7.97</v>
      </c>
      <c r="C75" s="64">
        <v>2.94</v>
      </c>
      <c r="D75" s="64">
        <v>11.7</v>
      </c>
      <c r="E75" s="64">
        <v>5.43</v>
      </c>
      <c r="F75" s="64">
        <v>4.25</v>
      </c>
      <c r="G75" s="64">
        <v>42.5</v>
      </c>
      <c r="H75" s="64">
        <v>3.6</v>
      </c>
      <c r="I75" s="64">
        <v>1.45</v>
      </c>
      <c r="J75" s="64">
        <v>0.23</v>
      </c>
      <c r="K75" s="64">
        <v>348.86</v>
      </c>
      <c r="L75" s="64">
        <v>29.61</v>
      </c>
      <c r="M75" s="64">
        <v>82.72</v>
      </c>
      <c r="N75" s="64">
        <v>101</v>
      </c>
      <c r="O75" s="64">
        <v>0</v>
      </c>
      <c r="P75" s="64">
        <v>0.35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48" t="s">
        <v>2712</v>
      </c>
      <c r="B76" s="64">
        <v>8</v>
      </c>
      <c r="C76" s="64">
        <v>3.01</v>
      </c>
      <c r="D76" s="64">
        <v>11.76</v>
      </c>
      <c r="E76" s="64">
        <v>5.48</v>
      </c>
      <c r="F76" s="64">
        <v>4.03</v>
      </c>
      <c r="G76" s="64">
        <v>37.020000000000003</v>
      </c>
      <c r="H76" s="64">
        <v>6.34</v>
      </c>
      <c r="I76" s="64">
        <v>1.38</v>
      </c>
      <c r="J76" s="64">
        <v>0.28000000000000003</v>
      </c>
      <c r="K76" s="64">
        <v>352.06</v>
      </c>
      <c r="L76" s="64">
        <v>29.59</v>
      </c>
      <c r="M76" s="64">
        <v>83.04</v>
      </c>
      <c r="N76" s="64">
        <v>74.8</v>
      </c>
      <c r="O76" s="64">
        <v>0</v>
      </c>
      <c r="P76" s="64">
        <v>0.36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48" t="s">
        <v>2713</v>
      </c>
      <c r="B77" s="64">
        <v>8.01</v>
      </c>
      <c r="C77" s="64">
        <v>2.99</v>
      </c>
      <c r="D77" s="64">
        <v>11.76</v>
      </c>
      <c r="E77" s="64">
        <v>5.88</v>
      </c>
      <c r="F77" s="64">
        <v>4.24</v>
      </c>
      <c r="G77" s="64">
        <v>36.770000000000003</v>
      </c>
      <c r="H77" s="64">
        <v>6.34</v>
      </c>
      <c r="I77" s="64">
        <v>1.36</v>
      </c>
      <c r="J77" s="64">
        <v>0.28000000000000003</v>
      </c>
      <c r="K77" s="64">
        <v>2.0499999999999998</v>
      </c>
      <c r="L77" s="64">
        <v>29.51</v>
      </c>
      <c r="M77" s="64">
        <v>83.71</v>
      </c>
      <c r="N77" s="64">
        <v>62.3</v>
      </c>
      <c r="O77" s="64">
        <v>0</v>
      </c>
      <c r="P77" s="64">
        <v>0.36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48" t="s">
        <v>2714</v>
      </c>
      <c r="B78" s="64">
        <v>8</v>
      </c>
      <c r="C78" s="64">
        <v>2.97</v>
      </c>
      <c r="D78" s="64">
        <v>11.74</v>
      </c>
      <c r="E78" s="64">
        <v>5.48</v>
      </c>
      <c r="F78" s="64">
        <v>4.1500000000000004</v>
      </c>
      <c r="G78" s="64">
        <v>36.770000000000003</v>
      </c>
      <c r="H78" s="64">
        <v>6.34</v>
      </c>
      <c r="I78" s="64">
        <v>1.33</v>
      </c>
      <c r="J78" s="64">
        <v>0.28000000000000003</v>
      </c>
      <c r="K78" s="64">
        <v>354.85</v>
      </c>
      <c r="L78" s="64">
        <v>29.42</v>
      </c>
      <c r="M78" s="64">
        <v>84.37</v>
      </c>
      <c r="N78" s="64">
        <v>55.9</v>
      </c>
      <c r="O78" s="64">
        <v>0</v>
      </c>
      <c r="P78" s="64">
        <v>0.37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48" t="s">
        <v>2715</v>
      </c>
      <c r="B79" s="64">
        <v>8</v>
      </c>
      <c r="C79" s="64">
        <v>2.99</v>
      </c>
      <c r="D79" s="64">
        <v>11.75</v>
      </c>
      <c r="E79" s="64">
        <v>5.62</v>
      </c>
      <c r="F79" s="64">
        <v>4.05</v>
      </c>
      <c r="G79" s="64">
        <v>36.770000000000003</v>
      </c>
      <c r="H79" s="64">
        <v>6.34</v>
      </c>
      <c r="I79" s="64">
        <v>1.3</v>
      </c>
      <c r="J79" s="64">
        <v>0.32</v>
      </c>
      <c r="K79" s="64">
        <v>359.41</v>
      </c>
      <c r="L79" s="64">
        <v>29.3</v>
      </c>
      <c r="M79" s="64">
        <v>84.64</v>
      </c>
      <c r="N79" s="64">
        <v>49</v>
      </c>
      <c r="O79" s="64">
        <v>0</v>
      </c>
      <c r="P79" s="64">
        <v>0.37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48" t="s">
        <v>2716</v>
      </c>
      <c r="B80" s="64">
        <v>7.98</v>
      </c>
      <c r="C80" s="64">
        <v>3</v>
      </c>
      <c r="D80" s="64">
        <v>11.74</v>
      </c>
      <c r="E80" s="64">
        <v>5.82</v>
      </c>
      <c r="F80" s="64">
        <v>4.1100000000000003</v>
      </c>
      <c r="G80" s="64">
        <v>32.090000000000003</v>
      </c>
      <c r="H80" s="64">
        <v>11.67</v>
      </c>
      <c r="I80" s="64">
        <v>1.28</v>
      </c>
      <c r="J80" s="64">
        <v>0.18</v>
      </c>
      <c r="K80" s="64">
        <v>1.01</v>
      </c>
      <c r="L80" s="64">
        <v>29.11</v>
      </c>
      <c r="M80" s="64">
        <v>86.24</v>
      </c>
      <c r="N80" s="64">
        <v>39.5</v>
      </c>
      <c r="O80" s="64">
        <v>0</v>
      </c>
      <c r="P80" s="64">
        <v>0.37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48" t="s">
        <v>2717</v>
      </c>
      <c r="B81" s="64">
        <v>7.97</v>
      </c>
      <c r="C81" s="64">
        <v>2.94</v>
      </c>
      <c r="D81" s="64">
        <v>11.7</v>
      </c>
      <c r="E81" s="64">
        <v>5.9</v>
      </c>
      <c r="F81" s="64">
        <v>3.82</v>
      </c>
      <c r="G81" s="64">
        <v>31.88</v>
      </c>
      <c r="H81" s="64">
        <v>11.67</v>
      </c>
      <c r="I81" s="64">
        <v>1.3</v>
      </c>
      <c r="J81" s="64">
        <v>0.23</v>
      </c>
      <c r="K81" s="64">
        <v>352.83</v>
      </c>
      <c r="L81" s="64">
        <v>28.74</v>
      </c>
      <c r="M81" s="64">
        <v>85.71</v>
      </c>
      <c r="N81" s="64">
        <v>32.4</v>
      </c>
      <c r="O81" s="64">
        <v>0</v>
      </c>
      <c r="P81" s="64">
        <v>0.38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48" t="s">
        <v>2718</v>
      </c>
      <c r="B82" s="64">
        <v>7.95</v>
      </c>
      <c r="C82" s="64">
        <v>2.93</v>
      </c>
      <c r="D82" s="64">
        <v>11.68</v>
      </c>
      <c r="E82" s="64">
        <v>6</v>
      </c>
      <c r="F82" s="64">
        <v>5.2</v>
      </c>
      <c r="G82" s="64">
        <v>31.88</v>
      </c>
      <c r="H82" s="64">
        <v>11.67</v>
      </c>
      <c r="I82" s="64">
        <v>1.38</v>
      </c>
      <c r="J82" s="64">
        <v>0.2</v>
      </c>
      <c r="K82" s="64">
        <v>3.65</v>
      </c>
      <c r="L82" s="64">
        <v>28.55</v>
      </c>
      <c r="M82" s="64">
        <v>87.78</v>
      </c>
      <c r="N82" s="64">
        <v>27.6</v>
      </c>
      <c r="O82" s="64">
        <v>0</v>
      </c>
      <c r="P82" s="64">
        <v>0.4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48" t="s">
        <v>2719</v>
      </c>
      <c r="B83" s="64">
        <v>7.95</v>
      </c>
      <c r="C83" s="64">
        <v>2.96</v>
      </c>
      <c r="D83" s="64">
        <v>11.69</v>
      </c>
      <c r="E83" s="64">
        <v>5.87</v>
      </c>
      <c r="F83" s="64">
        <v>2.33</v>
      </c>
      <c r="G83" s="64">
        <v>31.88</v>
      </c>
      <c r="H83" s="64">
        <v>11.67</v>
      </c>
      <c r="I83" s="64">
        <v>1.44</v>
      </c>
      <c r="J83" s="64">
        <v>0.25</v>
      </c>
      <c r="K83" s="64">
        <v>353.79</v>
      </c>
      <c r="L83" s="64">
        <v>28.32</v>
      </c>
      <c r="M83" s="64">
        <v>90.05</v>
      </c>
      <c r="N83" s="64">
        <v>25.7</v>
      </c>
      <c r="O83" s="64">
        <v>0</v>
      </c>
      <c r="P83" s="64">
        <v>0.41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48" t="s">
        <v>2720</v>
      </c>
      <c r="B84" s="64">
        <v>7.95</v>
      </c>
      <c r="C84" s="64">
        <v>2.97</v>
      </c>
      <c r="D84" s="64">
        <v>11.7</v>
      </c>
      <c r="E84" s="64">
        <v>5.88</v>
      </c>
      <c r="F84" s="64">
        <v>5.09</v>
      </c>
      <c r="G84" s="64">
        <v>32.770000000000003</v>
      </c>
      <c r="H84" s="64">
        <v>5.91</v>
      </c>
      <c r="I84" s="64">
        <v>1.49</v>
      </c>
      <c r="J84" s="64">
        <v>0.18</v>
      </c>
      <c r="K84" s="64">
        <v>13.45</v>
      </c>
      <c r="L84" s="64">
        <v>28.16</v>
      </c>
      <c r="M84" s="64">
        <v>92.25</v>
      </c>
      <c r="N84" s="64">
        <v>25.5</v>
      </c>
      <c r="O84" s="64">
        <v>0</v>
      </c>
      <c r="P84" s="64">
        <v>0.42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48" t="s">
        <v>2721</v>
      </c>
      <c r="B85" s="64">
        <v>7.95</v>
      </c>
      <c r="C85" s="64">
        <v>2.93</v>
      </c>
      <c r="D85" s="64">
        <v>11.68</v>
      </c>
      <c r="E85" s="64">
        <v>6.13</v>
      </c>
      <c r="F85" s="64">
        <v>2.3199999999999998</v>
      </c>
      <c r="G85" s="64">
        <v>32.81</v>
      </c>
      <c r="H85" s="64">
        <v>5.91</v>
      </c>
      <c r="I85" s="64">
        <v>1.57</v>
      </c>
      <c r="J85" s="64">
        <v>0.14000000000000001</v>
      </c>
      <c r="K85" s="64">
        <v>3.57</v>
      </c>
      <c r="L85" s="64">
        <v>28.07</v>
      </c>
      <c r="M85" s="64">
        <v>93.47</v>
      </c>
      <c r="N85" s="64">
        <v>25.3</v>
      </c>
      <c r="O85" s="64">
        <v>0</v>
      </c>
      <c r="P85" s="64">
        <v>0.42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48" t="s">
        <v>2722</v>
      </c>
      <c r="B86" s="64">
        <v>7.95</v>
      </c>
      <c r="C86" s="64">
        <v>2.99</v>
      </c>
      <c r="D86" s="64">
        <v>11.71</v>
      </c>
      <c r="E86" s="64">
        <v>5.96</v>
      </c>
      <c r="F86" s="64">
        <v>3.93</v>
      </c>
      <c r="G86" s="64">
        <v>32.81</v>
      </c>
      <c r="H86" s="64">
        <v>5.91</v>
      </c>
      <c r="I86" s="64">
        <v>1.66</v>
      </c>
      <c r="J86" s="64">
        <v>0.1</v>
      </c>
      <c r="K86" s="64">
        <v>0.23</v>
      </c>
      <c r="L86" s="64">
        <v>28.04</v>
      </c>
      <c r="M86" s="64">
        <v>95.04</v>
      </c>
      <c r="N86" s="64">
        <v>25.4</v>
      </c>
      <c r="O86" s="64">
        <v>0</v>
      </c>
      <c r="P86" s="64">
        <v>0.44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48" t="s">
        <v>2723</v>
      </c>
      <c r="B87" s="64">
        <v>7.95</v>
      </c>
      <c r="C87" s="64">
        <v>3.01</v>
      </c>
      <c r="D87" s="64">
        <v>11.73</v>
      </c>
      <c r="E87" s="64">
        <v>5.89</v>
      </c>
      <c r="F87" s="64">
        <v>2.96</v>
      </c>
      <c r="G87" s="64">
        <v>32.81</v>
      </c>
      <c r="H87" s="64">
        <v>5.91</v>
      </c>
      <c r="I87" s="64">
        <v>1.78</v>
      </c>
      <c r="J87" s="64">
        <v>0.04</v>
      </c>
      <c r="K87" s="64">
        <v>243.7</v>
      </c>
      <c r="L87" s="64">
        <v>27.97</v>
      </c>
      <c r="M87" s="64">
        <v>96.4</v>
      </c>
      <c r="N87" s="64">
        <v>21.8</v>
      </c>
      <c r="O87" s="64">
        <v>0</v>
      </c>
      <c r="P87" s="64">
        <v>0.45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48" t="s">
        <v>2724</v>
      </c>
      <c r="B88" s="64">
        <v>7.99</v>
      </c>
      <c r="C88" s="64">
        <v>2.98</v>
      </c>
      <c r="D88" s="64">
        <v>11.74</v>
      </c>
      <c r="E88" s="64">
        <v>4.3600000000000003</v>
      </c>
      <c r="F88" s="64">
        <v>3.97</v>
      </c>
      <c r="G88" s="64">
        <v>32.72</v>
      </c>
      <c r="H88" s="64">
        <v>13.13</v>
      </c>
      <c r="I88" s="64">
        <v>1.86</v>
      </c>
      <c r="J88" s="64">
        <v>0.04</v>
      </c>
      <c r="K88" s="64">
        <v>244.11</v>
      </c>
      <c r="L88" s="64">
        <v>27.95</v>
      </c>
      <c r="M88" s="64">
        <v>97.12</v>
      </c>
      <c r="N88" s="64">
        <v>25.7</v>
      </c>
      <c r="O88" s="64">
        <v>0</v>
      </c>
      <c r="P88" s="64">
        <v>0.45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48" t="s">
        <v>2725</v>
      </c>
      <c r="B89" s="64">
        <v>7.96</v>
      </c>
      <c r="C89" s="64">
        <v>2.92</v>
      </c>
      <c r="D89" s="64">
        <v>11.68</v>
      </c>
      <c r="E89" s="64">
        <v>4.22</v>
      </c>
      <c r="F89" s="64">
        <v>3.45</v>
      </c>
      <c r="G89" s="64">
        <v>32.72</v>
      </c>
      <c r="H89" s="64">
        <v>13.13</v>
      </c>
      <c r="I89" s="64">
        <v>1.99</v>
      </c>
      <c r="J89" s="64">
        <v>0.09</v>
      </c>
      <c r="K89" s="64">
        <v>270.45</v>
      </c>
      <c r="L89" s="64">
        <v>27.91</v>
      </c>
      <c r="M89" s="64">
        <v>97.49</v>
      </c>
      <c r="N89" s="64">
        <v>22.2</v>
      </c>
      <c r="O89" s="64">
        <v>0</v>
      </c>
      <c r="P89" s="64">
        <v>0.45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48" t="s">
        <v>2726</v>
      </c>
      <c r="B90" s="64">
        <v>7.96</v>
      </c>
      <c r="C90" s="64">
        <v>2.99</v>
      </c>
      <c r="D90" s="64">
        <v>11.72</v>
      </c>
      <c r="E90" s="64">
        <v>4.3499999999999996</v>
      </c>
      <c r="F90" s="64">
        <v>3.69</v>
      </c>
      <c r="G90" s="64">
        <v>32.72</v>
      </c>
      <c r="H90" s="64">
        <v>13.13</v>
      </c>
      <c r="I90" s="64">
        <v>2.2799999999999998</v>
      </c>
      <c r="J90" s="64">
        <v>0.26</v>
      </c>
      <c r="K90" s="64">
        <v>0.23</v>
      </c>
      <c r="L90" s="64">
        <v>27.62</v>
      </c>
      <c r="M90" s="64">
        <v>101.7</v>
      </c>
      <c r="N90" s="64">
        <v>25.8</v>
      </c>
      <c r="O90" s="64">
        <v>0</v>
      </c>
      <c r="P90" s="64">
        <v>0.46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48" t="s">
        <v>2727</v>
      </c>
      <c r="B91" s="64">
        <v>7.96</v>
      </c>
      <c r="C91" s="64">
        <v>2.99</v>
      </c>
      <c r="D91" s="64">
        <v>11.72</v>
      </c>
      <c r="E91" s="64">
        <v>4.1900000000000004</v>
      </c>
      <c r="F91" s="64">
        <v>3.37</v>
      </c>
      <c r="G91" s="64">
        <v>32.72</v>
      </c>
      <c r="H91" s="64">
        <v>13.13</v>
      </c>
      <c r="I91" s="64">
        <v>2.44</v>
      </c>
      <c r="J91" s="64">
        <v>0.2</v>
      </c>
      <c r="K91" s="64">
        <v>6.67</v>
      </c>
      <c r="L91" s="64">
        <v>27.23</v>
      </c>
      <c r="M91" s="64">
        <v>103.37</v>
      </c>
      <c r="N91" s="64">
        <v>26.3</v>
      </c>
      <c r="O91" s="64">
        <v>0</v>
      </c>
      <c r="P91" s="64">
        <v>0.46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48" t="s">
        <v>2728</v>
      </c>
      <c r="B92" s="64">
        <v>7.99</v>
      </c>
      <c r="C92" s="64">
        <v>3</v>
      </c>
      <c r="D92" s="64">
        <v>11.75</v>
      </c>
      <c r="E92" s="64">
        <v>3.97</v>
      </c>
      <c r="F92" s="64">
        <v>3.6</v>
      </c>
      <c r="G92" s="64">
        <v>33.630000000000003</v>
      </c>
      <c r="H92" s="64">
        <v>13.32</v>
      </c>
      <c r="I92" s="64">
        <v>2.41</v>
      </c>
      <c r="J92" s="64">
        <v>0.15</v>
      </c>
      <c r="K92" s="64">
        <v>348.6</v>
      </c>
      <c r="L92" s="64">
        <v>27.11</v>
      </c>
      <c r="M92" s="64">
        <v>102.99</v>
      </c>
      <c r="N92" s="64">
        <v>25.7</v>
      </c>
      <c r="O92" s="64">
        <v>0</v>
      </c>
      <c r="P92" s="64">
        <v>0.48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48" t="s">
        <v>2729</v>
      </c>
      <c r="B93" s="64">
        <v>8.02</v>
      </c>
      <c r="C93" s="64">
        <v>3.02</v>
      </c>
      <c r="D93" s="64">
        <v>11.78</v>
      </c>
      <c r="E93" s="64">
        <v>3.91</v>
      </c>
      <c r="F93" s="64">
        <v>3.48</v>
      </c>
      <c r="G93" s="64">
        <v>33.67</v>
      </c>
      <c r="H93" s="64">
        <v>13.32</v>
      </c>
      <c r="I93" s="64">
        <v>2.33</v>
      </c>
      <c r="J93" s="64">
        <v>0.13</v>
      </c>
      <c r="K93" s="64">
        <v>329.73</v>
      </c>
      <c r="L93" s="64">
        <v>26.8</v>
      </c>
      <c r="M93" s="64">
        <v>104.67</v>
      </c>
      <c r="N93" s="64">
        <v>25.8</v>
      </c>
      <c r="O93" s="64">
        <v>0</v>
      </c>
      <c r="P93" s="64">
        <v>0.48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48" t="s">
        <v>2730</v>
      </c>
      <c r="B94" s="64">
        <v>7.99</v>
      </c>
      <c r="C94" s="64">
        <v>3.01</v>
      </c>
      <c r="D94" s="64">
        <v>11.76</v>
      </c>
      <c r="E94" s="64">
        <v>3.74</v>
      </c>
      <c r="F94" s="64">
        <v>3.45</v>
      </c>
      <c r="G94" s="64">
        <v>33.67</v>
      </c>
      <c r="H94" s="64">
        <v>13.32</v>
      </c>
      <c r="I94" s="64">
        <v>2.19</v>
      </c>
      <c r="J94" s="64">
        <v>0.1</v>
      </c>
      <c r="K94" s="64">
        <v>353.34</v>
      </c>
      <c r="L94" s="64">
        <v>26.71</v>
      </c>
      <c r="M94" s="64">
        <v>101.75</v>
      </c>
      <c r="N94" s="64">
        <v>25.8</v>
      </c>
      <c r="O94" s="64">
        <v>0</v>
      </c>
      <c r="P94" s="64">
        <v>0.48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48" t="s">
        <v>2731</v>
      </c>
      <c r="B95" s="64">
        <v>7.99</v>
      </c>
      <c r="C95" s="64">
        <v>2.96</v>
      </c>
      <c r="D95" s="64">
        <v>11.73</v>
      </c>
      <c r="E95" s="64">
        <v>4.26</v>
      </c>
      <c r="F95" s="64">
        <v>3.62</v>
      </c>
      <c r="G95" s="64">
        <v>33.67</v>
      </c>
      <c r="H95" s="64">
        <v>13.32</v>
      </c>
      <c r="I95" s="64">
        <v>2.46</v>
      </c>
      <c r="J95" s="64">
        <v>0.12</v>
      </c>
      <c r="K95" s="64">
        <v>347.03</v>
      </c>
      <c r="L95" s="64">
        <v>26.68</v>
      </c>
      <c r="M95" s="64">
        <v>101.34</v>
      </c>
      <c r="N95" s="64">
        <v>25.8</v>
      </c>
      <c r="O95" s="64">
        <v>0</v>
      </c>
      <c r="P95" s="64">
        <v>0.47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48" t="s">
        <v>2732</v>
      </c>
      <c r="B96" s="64">
        <v>7.99</v>
      </c>
      <c r="C96" s="64">
        <v>2.94</v>
      </c>
      <c r="D96" s="64">
        <v>11.71</v>
      </c>
      <c r="E96" s="64">
        <v>4.0599999999999996</v>
      </c>
      <c r="F96" s="64">
        <v>3.48</v>
      </c>
      <c r="G96" s="64">
        <v>31.3</v>
      </c>
      <c r="H96" s="64">
        <v>19.21</v>
      </c>
      <c r="I96" s="64">
        <v>2.5499999999999998</v>
      </c>
      <c r="J96" s="64">
        <v>0.22</v>
      </c>
      <c r="K96" s="64">
        <v>139.04</v>
      </c>
      <c r="L96" s="64">
        <v>26.6</v>
      </c>
      <c r="M96" s="64">
        <v>102.02</v>
      </c>
      <c r="N96" s="64">
        <v>25.8</v>
      </c>
      <c r="O96" s="64">
        <v>0</v>
      </c>
      <c r="P96" s="64">
        <v>0.46</v>
      </c>
      <c r="Q96" s="64">
        <v>9.58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2733</v>
      </c>
      <c r="B97" s="64">
        <v>7.98</v>
      </c>
      <c r="C97" s="64">
        <v>2.95</v>
      </c>
      <c r="D97" s="64">
        <v>11.72</v>
      </c>
      <c r="E97" s="64">
        <v>4.13</v>
      </c>
      <c r="F97" s="64">
        <v>3.4</v>
      </c>
      <c r="G97" s="64">
        <v>31.19</v>
      </c>
      <c r="H97" s="64">
        <v>19.21</v>
      </c>
      <c r="I97" s="64">
        <v>2.65</v>
      </c>
      <c r="J97" s="64">
        <v>0.2</v>
      </c>
      <c r="K97" s="64">
        <v>160.46</v>
      </c>
      <c r="L97" s="64">
        <v>26.46</v>
      </c>
      <c r="M97" s="64">
        <v>104</v>
      </c>
      <c r="N97" s="64">
        <v>25.8</v>
      </c>
      <c r="O97" s="64">
        <v>0</v>
      </c>
      <c r="P97" s="64">
        <v>0.46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48" t="s">
        <v>2734</v>
      </c>
      <c r="B98" s="64">
        <v>7.98</v>
      </c>
      <c r="C98" s="64">
        <v>2.93</v>
      </c>
      <c r="D98" s="64">
        <v>11.7</v>
      </c>
      <c r="E98" s="64">
        <v>4.16</v>
      </c>
      <c r="F98" s="64">
        <v>4.29</v>
      </c>
      <c r="G98" s="64">
        <v>31.19</v>
      </c>
      <c r="H98" s="64">
        <v>19.21</v>
      </c>
      <c r="I98" s="64">
        <v>2.87</v>
      </c>
      <c r="J98" s="64">
        <v>0.27</v>
      </c>
      <c r="K98" s="64">
        <v>142.02000000000001</v>
      </c>
      <c r="L98" s="64">
        <v>26.3</v>
      </c>
      <c r="M98" s="64">
        <v>105</v>
      </c>
      <c r="N98" s="64">
        <v>24.4</v>
      </c>
      <c r="O98" s="64">
        <v>0</v>
      </c>
      <c r="P98" s="64">
        <v>0.46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48" t="s">
        <v>2735</v>
      </c>
      <c r="B99" s="64">
        <v>7.96</v>
      </c>
      <c r="C99" s="64">
        <v>3</v>
      </c>
      <c r="D99" s="64">
        <v>11.73</v>
      </c>
      <c r="E99" s="64">
        <v>4.41</v>
      </c>
      <c r="F99" s="64">
        <v>3.67</v>
      </c>
      <c r="G99" s="64">
        <v>31.19</v>
      </c>
      <c r="H99" s="64">
        <v>19.21</v>
      </c>
      <c r="I99" s="64">
        <v>3.11</v>
      </c>
      <c r="J99" s="64">
        <v>0.12</v>
      </c>
      <c r="K99" s="64">
        <v>206.32</v>
      </c>
      <c r="L99" s="64">
        <v>26.11</v>
      </c>
      <c r="M99" s="64">
        <v>105.04</v>
      </c>
      <c r="N99" s="64">
        <v>11.1</v>
      </c>
      <c r="O99" s="64">
        <v>0</v>
      </c>
      <c r="P99" s="64">
        <v>0.46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48" t="s">
        <v>2736</v>
      </c>
      <c r="B100" s="64">
        <v>7.95</v>
      </c>
      <c r="C100" s="64">
        <v>2.99</v>
      </c>
      <c r="D100" s="64">
        <v>11.71</v>
      </c>
      <c r="E100" s="64">
        <v>4.3899999999999997</v>
      </c>
      <c r="F100" s="64">
        <v>3.71</v>
      </c>
      <c r="G100" s="64">
        <v>29.49</v>
      </c>
      <c r="H100" s="64">
        <v>7.11</v>
      </c>
      <c r="I100" s="64">
        <v>3.18</v>
      </c>
      <c r="J100" s="64">
        <v>0</v>
      </c>
      <c r="K100" s="64">
        <v>321.85000000000002</v>
      </c>
      <c r="L100" s="64">
        <v>26.02</v>
      </c>
      <c r="M100" s="64">
        <v>105.05</v>
      </c>
      <c r="N100" s="64">
        <v>25.7</v>
      </c>
      <c r="O100" s="64">
        <v>0</v>
      </c>
      <c r="P100" s="64">
        <v>0.45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2737</v>
      </c>
      <c r="B101" s="64">
        <v>7.94</v>
      </c>
      <c r="C101" s="64">
        <v>2.98</v>
      </c>
      <c r="D101" s="64">
        <v>11.7</v>
      </c>
      <c r="E101" s="64">
        <v>4.5599999999999996</v>
      </c>
      <c r="F101" s="64">
        <v>3.43</v>
      </c>
      <c r="G101" s="64">
        <v>29.41</v>
      </c>
      <c r="H101" s="64">
        <v>7.11</v>
      </c>
      <c r="I101" s="64">
        <v>3.18</v>
      </c>
      <c r="J101" s="64">
        <v>0.08</v>
      </c>
      <c r="K101" s="64">
        <v>5.9</v>
      </c>
      <c r="L101" s="64">
        <v>26.04</v>
      </c>
      <c r="M101" s="64">
        <v>105.05</v>
      </c>
      <c r="N101" s="64">
        <v>13.3</v>
      </c>
      <c r="O101" s="64">
        <v>0</v>
      </c>
      <c r="P101" s="64">
        <v>0.45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48" t="s">
        <v>2738</v>
      </c>
      <c r="B102" s="64">
        <v>7.97</v>
      </c>
      <c r="C102" s="64">
        <v>2.98</v>
      </c>
      <c r="D102" s="64">
        <v>11.72</v>
      </c>
      <c r="E102" s="64">
        <v>4.41</v>
      </c>
      <c r="F102" s="64">
        <v>3.61</v>
      </c>
      <c r="G102" s="64">
        <v>29.41</v>
      </c>
      <c r="H102" s="64">
        <v>7.11</v>
      </c>
      <c r="I102" s="64">
        <v>3.19</v>
      </c>
      <c r="J102" s="64">
        <v>0.04</v>
      </c>
      <c r="K102" s="64">
        <v>204.96</v>
      </c>
      <c r="L102" s="64">
        <v>25.98</v>
      </c>
      <c r="M102" s="64">
        <v>105.07</v>
      </c>
      <c r="N102" s="64">
        <v>25.4</v>
      </c>
      <c r="O102" s="64">
        <v>0</v>
      </c>
      <c r="P102" s="64">
        <v>0.44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48" t="s">
        <v>2739</v>
      </c>
      <c r="B103" s="64">
        <v>7.94</v>
      </c>
      <c r="C103" s="64">
        <v>2.89</v>
      </c>
      <c r="D103" s="64">
        <v>11.66</v>
      </c>
      <c r="E103" s="64">
        <v>4.09</v>
      </c>
      <c r="F103" s="64">
        <v>3.42</v>
      </c>
      <c r="G103" s="64">
        <v>29.41</v>
      </c>
      <c r="H103" s="64">
        <v>7.11</v>
      </c>
      <c r="I103" s="64">
        <v>3.16</v>
      </c>
      <c r="J103" s="64">
        <v>0.28999999999999998</v>
      </c>
      <c r="K103" s="64">
        <v>129.44</v>
      </c>
      <c r="L103" s="64">
        <v>25.85</v>
      </c>
      <c r="M103" s="64">
        <v>105.11</v>
      </c>
      <c r="N103" s="64">
        <v>16.7</v>
      </c>
      <c r="O103" s="64">
        <v>0</v>
      </c>
      <c r="P103" s="64">
        <v>0.43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48" t="s">
        <v>2740</v>
      </c>
      <c r="B104" s="64">
        <v>7.95</v>
      </c>
      <c r="C104" s="64">
        <v>2.93</v>
      </c>
      <c r="D104" s="64">
        <v>11.68</v>
      </c>
      <c r="E104" s="64">
        <v>5.6</v>
      </c>
      <c r="F104" s="64">
        <v>4.04</v>
      </c>
      <c r="G104" s="64">
        <v>30.47</v>
      </c>
      <c r="H104" s="64">
        <v>13.66</v>
      </c>
      <c r="I104" s="64">
        <v>3.17</v>
      </c>
      <c r="J104" s="64">
        <v>0.25</v>
      </c>
      <c r="K104" s="64">
        <v>145.29</v>
      </c>
      <c r="L104" s="64">
        <v>25.74</v>
      </c>
      <c r="M104" s="64">
        <v>105.11</v>
      </c>
      <c r="N104" s="64">
        <v>25.7</v>
      </c>
      <c r="O104" s="64">
        <v>0</v>
      </c>
      <c r="P104" s="64">
        <v>0.42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7.91</v>
      </c>
      <c r="C106" s="67">
        <f>MIN(C9:C104)</f>
        <v>2.89</v>
      </c>
      <c r="D106" s="67">
        <f t="shared" ref="D106:Q106" si="0">MIN(D9:D104)</f>
        <v>11.64</v>
      </c>
      <c r="E106" s="67">
        <f t="shared" si="0"/>
        <v>2.4</v>
      </c>
      <c r="F106" s="67">
        <f t="shared" si="0"/>
        <v>2.3199999999999998</v>
      </c>
      <c r="G106" s="67">
        <f t="shared" si="0"/>
        <v>0.87</v>
      </c>
      <c r="H106" s="67">
        <f t="shared" si="0"/>
        <v>0.71</v>
      </c>
      <c r="I106" s="67">
        <f t="shared" si="0"/>
        <v>1.02</v>
      </c>
      <c r="J106" s="67">
        <f t="shared" si="0"/>
        <v>0</v>
      </c>
      <c r="K106" s="67">
        <f t="shared" si="0"/>
        <v>0.23</v>
      </c>
      <c r="L106" s="67">
        <f t="shared" si="0"/>
        <v>24.89</v>
      </c>
      <c r="M106" s="67">
        <f t="shared" si="0"/>
        <v>77.900000000000006</v>
      </c>
      <c r="N106" s="67">
        <f t="shared" si="0"/>
        <v>11.1</v>
      </c>
      <c r="O106" s="67">
        <f t="shared" si="0"/>
        <v>0</v>
      </c>
      <c r="P106" s="67">
        <f t="shared" si="0"/>
        <v>0.26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9.35</v>
      </c>
      <c r="C107" s="66">
        <f t="shared" ref="C107:Q107" si="1">MAX(C9:C104)</f>
        <v>3.91</v>
      </c>
      <c r="D107" s="66">
        <f t="shared" si="1"/>
        <v>13.32</v>
      </c>
      <c r="E107" s="66">
        <f t="shared" si="1"/>
        <v>169.18</v>
      </c>
      <c r="F107" s="66">
        <f t="shared" si="1"/>
        <v>6.64</v>
      </c>
      <c r="G107" s="66">
        <f t="shared" si="1"/>
        <v>42.5</v>
      </c>
      <c r="H107" s="66">
        <f t="shared" si="1"/>
        <v>20.59</v>
      </c>
      <c r="I107" s="66">
        <f t="shared" si="1"/>
        <v>6.67</v>
      </c>
      <c r="J107" s="66">
        <f t="shared" si="1"/>
        <v>0.46</v>
      </c>
      <c r="K107" s="66">
        <f t="shared" si="1"/>
        <v>359.41</v>
      </c>
      <c r="L107" s="66">
        <f t="shared" si="1"/>
        <v>31.33</v>
      </c>
      <c r="M107" s="66">
        <f t="shared" si="1"/>
        <v>105.11</v>
      </c>
      <c r="N107" s="66">
        <f t="shared" si="1"/>
        <v>559.4</v>
      </c>
      <c r="O107" s="66">
        <f t="shared" si="1"/>
        <v>0</v>
      </c>
      <c r="P107" s="66">
        <f t="shared" si="1"/>
        <v>0.48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7.9938541666666767</v>
      </c>
      <c r="C108" s="67">
        <f t="shared" ref="C108:Q108" si="2">AVERAGE(C9:C104)</f>
        <v>2.9832291666666673</v>
      </c>
      <c r="D108" s="67">
        <f t="shared" si="2"/>
        <v>11.743854166666674</v>
      </c>
      <c r="E108" s="67">
        <f t="shared" si="2"/>
        <v>8.9309375000000006</v>
      </c>
      <c r="F108" s="67">
        <f t="shared" si="2"/>
        <v>4.0108333333333333</v>
      </c>
      <c r="G108" s="67">
        <f t="shared" si="2"/>
        <v>23.333978494623654</v>
      </c>
      <c r="H108" s="67">
        <f t="shared" si="2"/>
        <v>9.8711764705882423</v>
      </c>
      <c r="I108" s="67">
        <f t="shared" si="2"/>
        <v>2.6155208333333344</v>
      </c>
      <c r="J108" s="67">
        <f t="shared" si="2"/>
        <v>0.20937499999999995</v>
      </c>
      <c r="K108" s="67">
        <f t="shared" si="2"/>
        <v>243.44302083333332</v>
      </c>
      <c r="L108" s="67">
        <f t="shared" si="2"/>
        <v>27.325833333333321</v>
      </c>
      <c r="M108" s="67">
        <f t="shared" si="2"/>
        <v>96.195208333333326</v>
      </c>
      <c r="N108" s="67">
        <f t="shared" si="2"/>
        <v>120.62916666666661</v>
      </c>
      <c r="O108" s="67">
        <f t="shared" si="2"/>
        <v>0</v>
      </c>
      <c r="P108" s="67">
        <f t="shared" si="2"/>
        <v>0.35333333333333333</v>
      </c>
      <c r="Q108" s="67">
        <f t="shared" si="2"/>
        <v>9.5692708333333325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0.16061965398298547</v>
      </c>
      <c r="C109" s="67">
        <f t="shared" ref="C109:Q109" si="3">STDEV(C9:C104)</f>
        <v>0.11429872948289278</v>
      </c>
      <c r="D109" s="67">
        <f t="shared" si="3"/>
        <v>0.18709057638462134</v>
      </c>
      <c r="E109" s="67">
        <f t="shared" si="3"/>
        <v>23.034306043406559</v>
      </c>
      <c r="F109" s="67">
        <f t="shared" si="3"/>
        <v>0.92864549540734109</v>
      </c>
      <c r="G109" s="67">
        <f t="shared" si="3"/>
        <v>10.760968129610324</v>
      </c>
      <c r="H109" s="67">
        <f t="shared" si="3"/>
        <v>4.8011609240357016</v>
      </c>
      <c r="I109" s="67">
        <f t="shared" si="3"/>
        <v>1.1209881635054386</v>
      </c>
      <c r="J109" s="67">
        <f t="shared" si="3"/>
        <v>0.10292370705374067</v>
      </c>
      <c r="K109" s="67">
        <f t="shared" si="3"/>
        <v>122.90865726109723</v>
      </c>
      <c r="L109" s="67">
        <f t="shared" si="3"/>
        <v>2.0738454830867457</v>
      </c>
      <c r="M109" s="67">
        <f t="shared" si="3"/>
        <v>10.259555748991618</v>
      </c>
      <c r="N109" s="67">
        <f t="shared" si="3"/>
        <v>143.39834170418013</v>
      </c>
      <c r="O109" s="67">
        <f t="shared" si="3"/>
        <v>0</v>
      </c>
      <c r="P109" s="67">
        <f t="shared" si="3"/>
        <v>6.2872748119835925E-2</v>
      </c>
      <c r="Q109" s="67">
        <f t="shared" si="3"/>
        <v>4.5334889356680431E-2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2741</v>
      </c>
      <c r="B9" s="64">
        <v>7.95</v>
      </c>
      <c r="C9" s="64">
        <v>2.9</v>
      </c>
      <c r="D9" s="64">
        <v>11.66</v>
      </c>
      <c r="E9" s="64">
        <v>5.3</v>
      </c>
      <c r="F9" s="64">
        <v>2.58</v>
      </c>
      <c r="G9" s="64">
        <v>30.52</v>
      </c>
      <c r="H9" s="64">
        <v>13.66</v>
      </c>
      <c r="I9" s="64">
        <v>3.18</v>
      </c>
      <c r="J9" s="64">
        <v>7.0000000000000007E-2</v>
      </c>
      <c r="K9" s="64">
        <v>82.8</v>
      </c>
      <c r="L9" s="64">
        <v>25.77</v>
      </c>
      <c r="M9" s="64">
        <v>105.12</v>
      </c>
      <c r="N9" s="64">
        <v>22.4</v>
      </c>
      <c r="O9" s="64">
        <v>0</v>
      </c>
      <c r="P9" s="64">
        <v>0.42</v>
      </c>
      <c r="Q9" s="64">
        <v>9.5299999999999994</v>
      </c>
      <c r="R9" s="198"/>
      <c r="S9" s="198"/>
      <c r="T9" s="198"/>
      <c r="U9" s="198"/>
    </row>
    <row r="10" spans="1:21" s="12" customFormat="1" x14ac:dyDescent="0.25">
      <c r="A10" s="248" t="s">
        <v>2742</v>
      </c>
      <c r="B10" s="64">
        <v>7.94</v>
      </c>
      <c r="C10" s="64">
        <v>2.94</v>
      </c>
      <c r="D10" s="64">
        <v>11.68</v>
      </c>
      <c r="E10" s="64">
        <v>5.04</v>
      </c>
      <c r="F10" s="64">
        <v>4.08</v>
      </c>
      <c r="G10" s="64">
        <v>30.52</v>
      </c>
      <c r="H10" s="64">
        <v>13.66</v>
      </c>
      <c r="I10" s="64">
        <v>3.28</v>
      </c>
      <c r="J10" s="64">
        <v>0.08</v>
      </c>
      <c r="K10" s="64">
        <v>15.17</v>
      </c>
      <c r="L10" s="64">
        <v>25.86</v>
      </c>
      <c r="M10" s="64">
        <v>105.13</v>
      </c>
      <c r="N10" s="64">
        <v>17.8</v>
      </c>
      <c r="O10" s="64">
        <v>0</v>
      </c>
      <c r="P10" s="64">
        <v>0.41</v>
      </c>
      <c r="Q10" s="64">
        <v>9.5299999999999994</v>
      </c>
      <c r="R10" s="198"/>
      <c r="S10" s="198"/>
      <c r="T10" s="198"/>
      <c r="U10" s="198"/>
    </row>
    <row r="11" spans="1:21" s="12" customFormat="1" x14ac:dyDescent="0.25">
      <c r="A11" s="248" t="s">
        <v>2743</v>
      </c>
      <c r="B11" s="64">
        <v>7.94</v>
      </c>
      <c r="C11" s="64">
        <v>2.95</v>
      </c>
      <c r="D11" s="64">
        <v>11.68</v>
      </c>
      <c r="E11" s="64">
        <v>5.45</v>
      </c>
      <c r="F11" s="64">
        <v>3.09</v>
      </c>
      <c r="G11" s="64">
        <v>30.52</v>
      </c>
      <c r="H11" s="64">
        <v>13.66</v>
      </c>
      <c r="I11" s="64">
        <v>3.26</v>
      </c>
      <c r="J11" s="64">
        <v>0.05</v>
      </c>
      <c r="K11" s="64">
        <v>20.87</v>
      </c>
      <c r="L11" s="64">
        <v>25.96</v>
      </c>
      <c r="M11" s="64">
        <v>105.15</v>
      </c>
      <c r="N11" s="64">
        <v>24.2</v>
      </c>
      <c r="O11" s="64">
        <v>0</v>
      </c>
      <c r="P11" s="64">
        <v>0.41</v>
      </c>
      <c r="Q11" s="64">
        <v>9.5399999999999991</v>
      </c>
      <c r="R11" s="198"/>
      <c r="S11" s="198"/>
      <c r="T11" s="198"/>
      <c r="U11" s="198"/>
    </row>
    <row r="12" spans="1:21" s="12" customFormat="1" x14ac:dyDescent="0.25">
      <c r="A12" s="248" t="s">
        <v>2744</v>
      </c>
      <c r="B12" s="64">
        <v>7.96</v>
      </c>
      <c r="C12" s="64">
        <v>2.94</v>
      </c>
      <c r="D12" s="64">
        <v>11.69</v>
      </c>
      <c r="E12" s="64">
        <v>5.03</v>
      </c>
      <c r="F12" s="64">
        <v>3.66</v>
      </c>
      <c r="G12" s="64">
        <v>25.89</v>
      </c>
      <c r="H12" s="64">
        <v>8.7100000000000009</v>
      </c>
      <c r="I12" s="64">
        <v>3.21</v>
      </c>
      <c r="J12" s="64">
        <v>0.02</v>
      </c>
      <c r="K12" s="64">
        <v>57.58</v>
      </c>
      <c r="L12" s="64">
        <v>26.06</v>
      </c>
      <c r="M12" s="64">
        <v>105.14</v>
      </c>
      <c r="N12" s="64">
        <v>25.4</v>
      </c>
      <c r="O12" s="64">
        <v>0</v>
      </c>
      <c r="P12" s="64">
        <v>0.39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48" t="s">
        <v>2745</v>
      </c>
      <c r="B13" s="64">
        <v>7.97</v>
      </c>
      <c r="C13" s="64">
        <v>2.93</v>
      </c>
      <c r="D13" s="64">
        <v>11.7</v>
      </c>
      <c r="E13" s="64">
        <v>4.8899999999999997</v>
      </c>
      <c r="F13" s="64">
        <v>3.53</v>
      </c>
      <c r="G13" s="64">
        <v>25.67</v>
      </c>
      <c r="H13" s="64">
        <v>8.7100000000000009</v>
      </c>
      <c r="I13" s="64">
        <v>3.11</v>
      </c>
      <c r="J13" s="64">
        <v>0.05</v>
      </c>
      <c r="K13" s="64">
        <v>187.07</v>
      </c>
      <c r="L13" s="64">
        <v>26.05</v>
      </c>
      <c r="M13" s="64">
        <v>105.13</v>
      </c>
      <c r="N13" s="64">
        <v>25.5</v>
      </c>
      <c r="O13" s="64">
        <v>0</v>
      </c>
      <c r="P13" s="64">
        <v>0.38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48" t="s">
        <v>2746</v>
      </c>
      <c r="B14" s="64">
        <v>7.99</v>
      </c>
      <c r="C14" s="64">
        <v>2.98</v>
      </c>
      <c r="D14" s="64">
        <v>11.74</v>
      </c>
      <c r="E14" s="64">
        <v>4.8499999999999996</v>
      </c>
      <c r="F14" s="64">
        <v>4.2</v>
      </c>
      <c r="G14" s="64">
        <v>25.67</v>
      </c>
      <c r="H14" s="64">
        <v>8.7100000000000009</v>
      </c>
      <c r="I14" s="64">
        <v>3.33</v>
      </c>
      <c r="J14" s="64">
        <v>0.09</v>
      </c>
      <c r="K14" s="64">
        <v>128.96</v>
      </c>
      <c r="L14" s="64">
        <v>26.01</v>
      </c>
      <c r="M14" s="64">
        <v>105.15</v>
      </c>
      <c r="N14" s="64">
        <v>25.4</v>
      </c>
      <c r="O14" s="64">
        <v>0</v>
      </c>
      <c r="P14" s="64">
        <v>0.39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48" t="s">
        <v>2747</v>
      </c>
      <c r="B15" s="64">
        <v>8</v>
      </c>
      <c r="C15" s="64">
        <v>2.95</v>
      </c>
      <c r="D15" s="64">
        <v>11.74</v>
      </c>
      <c r="E15" s="64">
        <v>5.17</v>
      </c>
      <c r="F15" s="64">
        <v>3.4</v>
      </c>
      <c r="G15" s="64">
        <v>25.67</v>
      </c>
      <c r="H15" s="64">
        <v>8.7100000000000009</v>
      </c>
      <c r="I15" s="64">
        <v>3.44</v>
      </c>
      <c r="J15" s="64">
        <v>0.12</v>
      </c>
      <c r="K15" s="64">
        <v>126.99</v>
      </c>
      <c r="L15" s="64">
        <v>25.94</v>
      </c>
      <c r="M15" s="64">
        <v>105.18</v>
      </c>
      <c r="N15" s="64">
        <v>25.4</v>
      </c>
      <c r="O15" s="64">
        <v>0</v>
      </c>
      <c r="P15" s="64">
        <v>0.38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48" t="s">
        <v>2748</v>
      </c>
      <c r="B16" s="64">
        <v>7.98</v>
      </c>
      <c r="C16" s="64">
        <v>2.99</v>
      </c>
      <c r="D16" s="64">
        <v>11.74</v>
      </c>
      <c r="E16" s="64">
        <v>4.67</v>
      </c>
      <c r="F16" s="64">
        <v>3.42</v>
      </c>
      <c r="G16" s="64">
        <v>25.17</v>
      </c>
      <c r="H16" s="64">
        <v>1.92</v>
      </c>
      <c r="I16" s="64">
        <v>3.61</v>
      </c>
      <c r="J16" s="64">
        <v>0.04</v>
      </c>
      <c r="K16" s="64">
        <v>117.89</v>
      </c>
      <c r="L16" s="64">
        <v>25.96</v>
      </c>
      <c r="M16" s="64">
        <v>105.24</v>
      </c>
      <c r="N16" s="64">
        <v>25.4</v>
      </c>
      <c r="O16" s="64">
        <v>0</v>
      </c>
      <c r="P16" s="64">
        <v>0.38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48" t="s">
        <v>2749</v>
      </c>
      <c r="B17" s="64">
        <v>7.99</v>
      </c>
      <c r="C17" s="64">
        <v>3.02</v>
      </c>
      <c r="D17" s="64">
        <v>11.76</v>
      </c>
      <c r="E17" s="64">
        <v>4.99</v>
      </c>
      <c r="F17" s="64">
        <v>3.34</v>
      </c>
      <c r="G17" s="64">
        <v>25.15</v>
      </c>
      <c r="H17" s="64">
        <v>1.92</v>
      </c>
      <c r="I17" s="64">
        <v>3.72</v>
      </c>
      <c r="J17" s="64">
        <v>7.0000000000000007E-2</v>
      </c>
      <c r="K17" s="64">
        <v>225.82</v>
      </c>
      <c r="L17" s="64">
        <v>25.99</v>
      </c>
      <c r="M17" s="64">
        <v>105.28</v>
      </c>
      <c r="N17" s="64">
        <v>25.4</v>
      </c>
      <c r="O17" s="64">
        <v>0</v>
      </c>
      <c r="P17" s="64">
        <v>0.37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48" t="s">
        <v>2750</v>
      </c>
      <c r="B18" s="64">
        <v>8.02</v>
      </c>
      <c r="C18" s="64">
        <v>3.02</v>
      </c>
      <c r="D18" s="64">
        <v>11.78</v>
      </c>
      <c r="E18" s="64">
        <v>5.09</v>
      </c>
      <c r="F18" s="64">
        <v>3.54</v>
      </c>
      <c r="G18" s="64">
        <v>25.15</v>
      </c>
      <c r="H18" s="64">
        <v>1.92</v>
      </c>
      <c r="I18" s="64">
        <v>3.63</v>
      </c>
      <c r="J18" s="64">
        <v>0.11</v>
      </c>
      <c r="K18" s="64">
        <v>158.69</v>
      </c>
      <c r="L18" s="64">
        <v>25.97</v>
      </c>
      <c r="M18" s="64">
        <v>105.32</v>
      </c>
      <c r="N18" s="64">
        <v>25.4</v>
      </c>
      <c r="O18" s="64">
        <v>0</v>
      </c>
      <c r="P18" s="64">
        <v>0.37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48" t="s">
        <v>2751</v>
      </c>
      <c r="B19" s="64">
        <v>7.98</v>
      </c>
      <c r="C19" s="64">
        <v>2.97</v>
      </c>
      <c r="D19" s="64">
        <v>11.73</v>
      </c>
      <c r="E19" s="64">
        <v>4.8099999999999996</v>
      </c>
      <c r="F19" s="64">
        <v>4.42</v>
      </c>
      <c r="G19" s="64">
        <v>25.15</v>
      </c>
      <c r="H19" s="64">
        <v>1.92</v>
      </c>
      <c r="I19" s="64">
        <v>3.9</v>
      </c>
      <c r="J19" s="64">
        <v>0.03</v>
      </c>
      <c r="K19" s="64">
        <v>67.91</v>
      </c>
      <c r="L19" s="64">
        <v>25.95</v>
      </c>
      <c r="M19" s="64">
        <v>105.34</v>
      </c>
      <c r="N19" s="64">
        <v>25.4</v>
      </c>
      <c r="O19" s="64">
        <v>0</v>
      </c>
      <c r="P19" s="64">
        <v>0.37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48" t="s">
        <v>2752</v>
      </c>
      <c r="B20" s="64">
        <v>7.96</v>
      </c>
      <c r="C20" s="64">
        <v>2.96</v>
      </c>
      <c r="D20" s="64">
        <v>11.7</v>
      </c>
      <c r="E20" s="64">
        <v>5.32</v>
      </c>
      <c r="F20" s="64">
        <v>3.05</v>
      </c>
      <c r="G20" s="64">
        <v>21.87</v>
      </c>
      <c r="H20" s="64">
        <v>18.52</v>
      </c>
      <c r="I20" s="64">
        <v>3.82</v>
      </c>
      <c r="J20" s="64">
        <v>0.03</v>
      </c>
      <c r="K20" s="64">
        <v>141.86000000000001</v>
      </c>
      <c r="L20" s="64">
        <v>25.89</v>
      </c>
      <c r="M20" s="64">
        <v>105.22</v>
      </c>
      <c r="N20" s="64">
        <v>23.9</v>
      </c>
      <c r="O20" s="64">
        <v>0</v>
      </c>
      <c r="P20" s="64">
        <v>0.37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48" t="s">
        <v>2753</v>
      </c>
      <c r="B21" s="64">
        <v>7.94</v>
      </c>
      <c r="C21" s="64">
        <v>2.9</v>
      </c>
      <c r="D21" s="64">
        <v>11.66</v>
      </c>
      <c r="E21" s="64">
        <v>4.97</v>
      </c>
      <c r="F21" s="64">
        <v>4.4400000000000004</v>
      </c>
      <c r="G21" s="64">
        <v>21.72</v>
      </c>
      <c r="H21" s="64">
        <v>18.52</v>
      </c>
      <c r="I21" s="64">
        <v>3.75</v>
      </c>
      <c r="J21" s="64">
        <v>0.03</v>
      </c>
      <c r="K21" s="64">
        <v>345.79</v>
      </c>
      <c r="L21" s="64">
        <v>25.97</v>
      </c>
      <c r="M21" s="64">
        <v>105.34</v>
      </c>
      <c r="N21" s="64">
        <v>25.3</v>
      </c>
      <c r="O21" s="64">
        <v>0</v>
      </c>
      <c r="P21" s="64">
        <v>0.36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48" t="s">
        <v>2754</v>
      </c>
      <c r="B22" s="64">
        <v>7.95</v>
      </c>
      <c r="C22" s="64">
        <v>2.92</v>
      </c>
      <c r="D22" s="64">
        <v>11.67</v>
      </c>
      <c r="E22" s="64">
        <v>5.17</v>
      </c>
      <c r="F22" s="64">
        <v>2.71</v>
      </c>
      <c r="G22" s="64">
        <v>21.72</v>
      </c>
      <c r="H22" s="64">
        <v>18.52</v>
      </c>
      <c r="I22" s="64">
        <v>3.69</v>
      </c>
      <c r="J22" s="64">
        <v>7.0000000000000007E-2</v>
      </c>
      <c r="K22" s="64">
        <v>332.6</v>
      </c>
      <c r="L22" s="64">
        <v>25.96</v>
      </c>
      <c r="M22" s="64">
        <v>105.4</v>
      </c>
      <c r="N22" s="64">
        <v>21.7</v>
      </c>
      <c r="O22" s="64">
        <v>0</v>
      </c>
      <c r="P22" s="64">
        <v>0.36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48" t="s">
        <v>2755</v>
      </c>
      <c r="B23" s="64">
        <v>7.98</v>
      </c>
      <c r="C23" s="64">
        <v>3</v>
      </c>
      <c r="D23" s="64">
        <v>11.74</v>
      </c>
      <c r="E23" s="64">
        <v>5.31</v>
      </c>
      <c r="F23" s="64">
        <v>4.5</v>
      </c>
      <c r="G23" s="64">
        <v>21.72</v>
      </c>
      <c r="H23" s="64">
        <v>18.52</v>
      </c>
      <c r="I23" s="64">
        <v>3.58</v>
      </c>
      <c r="J23" s="64">
        <v>0.14000000000000001</v>
      </c>
      <c r="K23" s="64">
        <v>342.75</v>
      </c>
      <c r="L23" s="64">
        <v>25.92</v>
      </c>
      <c r="M23" s="64">
        <v>105.06</v>
      </c>
      <c r="N23" s="64">
        <v>23.3</v>
      </c>
      <c r="O23" s="64">
        <v>0</v>
      </c>
      <c r="P23" s="64">
        <v>0.35</v>
      </c>
      <c r="Q23" s="64">
        <v>9.5500000000000007</v>
      </c>
      <c r="R23" s="198"/>
      <c r="S23" s="198"/>
      <c r="T23" s="198"/>
      <c r="U23" s="198"/>
    </row>
    <row r="24" spans="1:21" s="12" customFormat="1" x14ac:dyDescent="0.25">
      <c r="A24" s="248" t="s">
        <v>2756</v>
      </c>
      <c r="B24" s="64">
        <v>7.98</v>
      </c>
      <c r="C24" s="64">
        <v>2.99</v>
      </c>
      <c r="D24" s="64">
        <v>11.74</v>
      </c>
      <c r="E24" s="64">
        <v>3.73</v>
      </c>
      <c r="F24" s="64">
        <v>2.9</v>
      </c>
      <c r="G24" s="64">
        <v>16.059999999999999</v>
      </c>
      <c r="H24" s="64">
        <v>6.03</v>
      </c>
      <c r="I24" s="64">
        <v>3.47</v>
      </c>
      <c r="J24" s="64">
        <v>0.09</v>
      </c>
      <c r="K24" s="64">
        <v>342.1</v>
      </c>
      <c r="L24" s="64">
        <v>25.9</v>
      </c>
      <c r="M24" s="64">
        <v>105.39</v>
      </c>
      <c r="N24" s="64">
        <v>19.8</v>
      </c>
      <c r="O24" s="64">
        <v>0</v>
      </c>
      <c r="P24" s="64">
        <v>0.34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48" t="s">
        <v>2757</v>
      </c>
      <c r="B25" s="64">
        <v>7.93</v>
      </c>
      <c r="C25" s="64">
        <v>2.94</v>
      </c>
      <c r="D25" s="64">
        <v>11.67</v>
      </c>
      <c r="E25" s="64">
        <v>4.09</v>
      </c>
      <c r="F25" s="64">
        <v>4.3099999999999996</v>
      </c>
      <c r="G25" s="64">
        <v>15.8</v>
      </c>
      <c r="H25" s="64">
        <v>6.03</v>
      </c>
      <c r="I25" s="64">
        <v>3.37</v>
      </c>
      <c r="J25" s="64">
        <v>0.1</v>
      </c>
      <c r="K25" s="64">
        <v>344.41</v>
      </c>
      <c r="L25" s="64">
        <v>25.96</v>
      </c>
      <c r="M25" s="64">
        <v>105.3</v>
      </c>
      <c r="N25" s="64">
        <v>18.3</v>
      </c>
      <c r="O25" s="64">
        <v>0</v>
      </c>
      <c r="P25" s="64">
        <v>0.34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48" t="s">
        <v>2758</v>
      </c>
      <c r="B26" s="64">
        <v>7.92</v>
      </c>
      <c r="C26" s="64">
        <v>2.93</v>
      </c>
      <c r="D26" s="64">
        <v>11.65</v>
      </c>
      <c r="E26" s="64">
        <v>4.1500000000000004</v>
      </c>
      <c r="F26" s="64">
        <v>2.89</v>
      </c>
      <c r="G26" s="64">
        <v>15.8</v>
      </c>
      <c r="H26" s="64">
        <v>6.03</v>
      </c>
      <c r="I26" s="64">
        <v>3.25</v>
      </c>
      <c r="J26" s="64">
        <v>0.12</v>
      </c>
      <c r="K26" s="64">
        <v>359.17</v>
      </c>
      <c r="L26" s="64">
        <v>25.98</v>
      </c>
      <c r="M26" s="64">
        <v>105.42</v>
      </c>
      <c r="N26" s="64">
        <v>21.7</v>
      </c>
      <c r="O26" s="64">
        <v>0</v>
      </c>
      <c r="P26" s="64">
        <v>0.33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48" t="s">
        <v>2759</v>
      </c>
      <c r="B27" s="64">
        <v>7.93</v>
      </c>
      <c r="C27" s="64">
        <v>2.94</v>
      </c>
      <c r="D27" s="64">
        <v>11.67</v>
      </c>
      <c r="E27" s="64">
        <v>4.54</v>
      </c>
      <c r="F27" s="64">
        <v>4.32</v>
      </c>
      <c r="G27" s="64">
        <v>15.8</v>
      </c>
      <c r="H27" s="64">
        <v>6.03</v>
      </c>
      <c r="I27" s="64">
        <v>3.16</v>
      </c>
      <c r="J27" s="64">
        <v>0.04</v>
      </c>
      <c r="K27" s="64">
        <v>220.65</v>
      </c>
      <c r="L27" s="64">
        <v>25.95</v>
      </c>
      <c r="M27" s="64">
        <v>105.2</v>
      </c>
      <c r="N27" s="64">
        <v>25.9</v>
      </c>
      <c r="O27" s="64">
        <v>0</v>
      </c>
      <c r="P27" s="64">
        <v>0.34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48" t="s">
        <v>2760</v>
      </c>
      <c r="B28" s="64">
        <v>7.95</v>
      </c>
      <c r="C28" s="64">
        <v>2.95</v>
      </c>
      <c r="D28" s="64">
        <v>11.69</v>
      </c>
      <c r="E28" s="64">
        <v>4.58</v>
      </c>
      <c r="F28" s="64">
        <v>3.1</v>
      </c>
      <c r="G28" s="64">
        <v>17.649999999999999</v>
      </c>
      <c r="H28" s="64">
        <v>8.84</v>
      </c>
      <c r="I28" s="64">
        <v>3.04</v>
      </c>
      <c r="J28" s="64">
        <v>0.19</v>
      </c>
      <c r="K28" s="64">
        <v>186.45</v>
      </c>
      <c r="L28" s="64">
        <v>25.91</v>
      </c>
      <c r="M28" s="64">
        <v>105.44</v>
      </c>
      <c r="N28" s="64">
        <v>26.2</v>
      </c>
      <c r="O28" s="64">
        <v>0</v>
      </c>
      <c r="P28" s="64">
        <v>0.32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48" t="s">
        <v>2761</v>
      </c>
      <c r="B29" s="64">
        <v>7.98</v>
      </c>
      <c r="C29" s="64">
        <v>2.99</v>
      </c>
      <c r="D29" s="64">
        <v>11.73</v>
      </c>
      <c r="E29" s="64">
        <v>4.6500000000000004</v>
      </c>
      <c r="F29" s="64">
        <v>3.66</v>
      </c>
      <c r="G29" s="64">
        <v>17.739999999999998</v>
      </c>
      <c r="H29" s="64">
        <v>8.84</v>
      </c>
      <c r="I29" s="64">
        <v>2.97</v>
      </c>
      <c r="J29" s="64">
        <v>0.14000000000000001</v>
      </c>
      <c r="K29" s="64">
        <v>159.69999999999999</v>
      </c>
      <c r="L29" s="64">
        <v>25.84</v>
      </c>
      <c r="M29" s="64">
        <v>105.07</v>
      </c>
      <c r="N29" s="64">
        <v>25.8</v>
      </c>
      <c r="O29" s="64">
        <v>0</v>
      </c>
      <c r="P29" s="64">
        <v>0.32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48" t="s">
        <v>2762</v>
      </c>
      <c r="B30" s="64">
        <v>7.98</v>
      </c>
      <c r="C30" s="64">
        <v>2.94</v>
      </c>
      <c r="D30" s="64">
        <v>11.7</v>
      </c>
      <c r="E30" s="64">
        <v>4.29</v>
      </c>
      <c r="F30" s="64">
        <v>3.54</v>
      </c>
      <c r="G30" s="64">
        <v>17.739999999999998</v>
      </c>
      <c r="H30" s="64">
        <v>8.84</v>
      </c>
      <c r="I30" s="64">
        <v>3.01</v>
      </c>
      <c r="J30" s="64">
        <v>0.02</v>
      </c>
      <c r="K30" s="64">
        <v>92.25</v>
      </c>
      <c r="L30" s="64">
        <v>25.74</v>
      </c>
      <c r="M30" s="64">
        <v>105.59</v>
      </c>
      <c r="N30" s="64">
        <v>25.8</v>
      </c>
      <c r="O30" s="64">
        <v>0</v>
      </c>
      <c r="P30" s="64">
        <v>0.32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48" t="s">
        <v>2763</v>
      </c>
      <c r="B31" s="64">
        <v>7.98</v>
      </c>
      <c r="C31" s="64">
        <v>2.96</v>
      </c>
      <c r="D31" s="64">
        <v>11.72</v>
      </c>
      <c r="E31" s="64">
        <v>4.0999999999999996</v>
      </c>
      <c r="F31" s="64">
        <v>3.34</v>
      </c>
      <c r="G31" s="64">
        <v>17.739999999999998</v>
      </c>
      <c r="H31" s="64">
        <v>8.84</v>
      </c>
      <c r="I31" s="64">
        <v>3.17</v>
      </c>
      <c r="J31" s="64">
        <v>0.1</v>
      </c>
      <c r="K31" s="64">
        <v>107.67</v>
      </c>
      <c r="L31" s="64">
        <v>25.69</v>
      </c>
      <c r="M31" s="64">
        <v>105.46</v>
      </c>
      <c r="N31" s="64">
        <v>26.3</v>
      </c>
      <c r="O31" s="64">
        <v>0</v>
      </c>
      <c r="P31" s="64">
        <v>0.32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48" t="s">
        <v>2764</v>
      </c>
      <c r="B32" s="64">
        <v>8.01</v>
      </c>
      <c r="C32" s="64">
        <v>2.97</v>
      </c>
      <c r="D32" s="64">
        <v>11.75</v>
      </c>
      <c r="E32" s="64">
        <v>4.13</v>
      </c>
      <c r="F32" s="64">
        <v>3.5</v>
      </c>
      <c r="G32" s="64">
        <v>19.03</v>
      </c>
      <c r="H32" s="64">
        <v>2.65</v>
      </c>
      <c r="I32" s="64">
        <v>3.3</v>
      </c>
      <c r="J32" s="64">
        <v>0.14000000000000001</v>
      </c>
      <c r="K32" s="64">
        <v>173.05</v>
      </c>
      <c r="L32" s="64">
        <v>25.73</v>
      </c>
      <c r="M32" s="64">
        <v>105.28</v>
      </c>
      <c r="N32" s="64">
        <v>29.7</v>
      </c>
      <c r="O32" s="64">
        <v>0</v>
      </c>
      <c r="P32" s="64">
        <v>0.32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48" t="s">
        <v>2765</v>
      </c>
      <c r="B33" s="64">
        <v>8.0399999999999991</v>
      </c>
      <c r="C33" s="64">
        <v>2.99</v>
      </c>
      <c r="D33" s="64">
        <v>11.78</v>
      </c>
      <c r="E33" s="64">
        <v>4.1500000000000004</v>
      </c>
      <c r="F33" s="64">
        <v>3.49</v>
      </c>
      <c r="G33" s="64">
        <v>19.09</v>
      </c>
      <c r="H33" s="64">
        <v>2.65</v>
      </c>
      <c r="I33" s="64">
        <v>3.46</v>
      </c>
      <c r="J33" s="64">
        <v>0.04</v>
      </c>
      <c r="K33" s="64">
        <v>294.87</v>
      </c>
      <c r="L33" s="64">
        <v>25.74</v>
      </c>
      <c r="M33" s="64">
        <v>105.19</v>
      </c>
      <c r="N33" s="64">
        <v>39.1</v>
      </c>
      <c r="O33" s="64">
        <v>0</v>
      </c>
      <c r="P33" s="64">
        <v>0.32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48" t="s">
        <v>2766</v>
      </c>
      <c r="B34" s="64">
        <v>8.01</v>
      </c>
      <c r="C34" s="64">
        <v>3</v>
      </c>
      <c r="D34" s="64">
        <v>11.76</v>
      </c>
      <c r="E34" s="64">
        <v>4.1900000000000004</v>
      </c>
      <c r="F34" s="64">
        <v>3.54</v>
      </c>
      <c r="G34" s="64">
        <v>19.09</v>
      </c>
      <c r="H34" s="64">
        <v>2.65</v>
      </c>
      <c r="I34" s="64">
        <v>3.63</v>
      </c>
      <c r="J34" s="64">
        <v>0.1</v>
      </c>
      <c r="K34" s="64">
        <v>343.69</v>
      </c>
      <c r="L34" s="64">
        <v>25.75</v>
      </c>
      <c r="M34" s="64">
        <v>105.55</v>
      </c>
      <c r="N34" s="64">
        <v>47.5</v>
      </c>
      <c r="O34" s="64">
        <v>0</v>
      </c>
      <c r="P34" s="64">
        <v>0.31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48" t="s">
        <v>2767</v>
      </c>
      <c r="B35" s="64">
        <v>7.98</v>
      </c>
      <c r="C35" s="64">
        <v>2.95</v>
      </c>
      <c r="D35" s="64">
        <v>11.71</v>
      </c>
      <c r="E35" s="64">
        <v>4.13</v>
      </c>
      <c r="F35" s="64">
        <v>3.78</v>
      </c>
      <c r="G35" s="64">
        <v>19.09</v>
      </c>
      <c r="H35" s="64">
        <v>2.65</v>
      </c>
      <c r="I35" s="64">
        <v>3.73</v>
      </c>
      <c r="J35" s="64">
        <v>0.05</v>
      </c>
      <c r="K35" s="64">
        <v>159.74</v>
      </c>
      <c r="L35" s="64">
        <v>25.83</v>
      </c>
      <c r="M35" s="64">
        <v>105.6</v>
      </c>
      <c r="N35" s="64">
        <v>61.2</v>
      </c>
      <c r="O35" s="64">
        <v>0</v>
      </c>
      <c r="P35" s="64">
        <v>0.32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48" t="s">
        <v>2768</v>
      </c>
      <c r="B36" s="64">
        <v>7.98</v>
      </c>
      <c r="C36" s="64">
        <v>2.97</v>
      </c>
      <c r="D36" s="64">
        <v>11.72</v>
      </c>
      <c r="E36" s="64">
        <v>4.58</v>
      </c>
      <c r="F36" s="64">
        <v>4.1399999999999997</v>
      </c>
      <c r="G36" s="64">
        <v>15.73</v>
      </c>
      <c r="H36" s="64">
        <v>9.1199999999999992</v>
      </c>
      <c r="I36" s="64">
        <v>3.76</v>
      </c>
      <c r="J36" s="64">
        <v>0.08</v>
      </c>
      <c r="K36" s="64">
        <v>296.93</v>
      </c>
      <c r="L36" s="64">
        <v>25.92</v>
      </c>
      <c r="M36" s="64">
        <v>105.14</v>
      </c>
      <c r="N36" s="64">
        <v>78.2</v>
      </c>
      <c r="O36" s="64">
        <v>0</v>
      </c>
      <c r="P36" s="64">
        <v>0.32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48" t="s">
        <v>2769</v>
      </c>
      <c r="B37" s="64">
        <v>7.96</v>
      </c>
      <c r="C37" s="64">
        <v>2.94</v>
      </c>
      <c r="D37" s="64">
        <v>11.69</v>
      </c>
      <c r="E37" s="64">
        <v>4.6399999999999997</v>
      </c>
      <c r="F37" s="64">
        <v>3.82</v>
      </c>
      <c r="G37" s="64">
        <v>15.57</v>
      </c>
      <c r="H37" s="64">
        <v>9.1199999999999992</v>
      </c>
      <c r="I37" s="64">
        <v>3.72</v>
      </c>
      <c r="J37" s="64">
        <v>0.18</v>
      </c>
      <c r="K37" s="64">
        <v>2.73</v>
      </c>
      <c r="L37" s="64">
        <v>26.02</v>
      </c>
      <c r="M37" s="64">
        <v>105.55</v>
      </c>
      <c r="N37" s="64">
        <v>95</v>
      </c>
      <c r="O37" s="64">
        <v>0</v>
      </c>
      <c r="P37" s="64">
        <v>0.3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48" t="s">
        <v>2770</v>
      </c>
      <c r="B38" s="64">
        <v>7.94</v>
      </c>
      <c r="C38" s="64">
        <v>2.92</v>
      </c>
      <c r="D38" s="64">
        <v>11.66</v>
      </c>
      <c r="E38" s="64">
        <v>4.6500000000000004</v>
      </c>
      <c r="F38" s="64">
        <v>3.61</v>
      </c>
      <c r="G38" s="64">
        <v>15.57</v>
      </c>
      <c r="H38" s="64">
        <v>9.1199999999999992</v>
      </c>
      <c r="I38" s="64">
        <v>3.63</v>
      </c>
      <c r="J38" s="64">
        <v>0.19</v>
      </c>
      <c r="K38" s="64">
        <v>344.32</v>
      </c>
      <c r="L38" s="64">
        <v>26.02</v>
      </c>
      <c r="M38" s="64">
        <v>105.16</v>
      </c>
      <c r="N38" s="64">
        <v>108.2</v>
      </c>
      <c r="O38" s="64">
        <v>0</v>
      </c>
      <c r="P38" s="64">
        <v>0.32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48" t="s">
        <v>2771</v>
      </c>
      <c r="B39" s="64">
        <v>7.96</v>
      </c>
      <c r="C39" s="64">
        <v>2.93</v>
      </c>
      <c r="D39" s="64">
        <v>11.69</v>
      </c>
      <c r="E39" s="64">
        <v>4.18</v>
      </c>
      <c r="F39" s="64">
        <v>4.34</v>
      </c>
      <c r="G39" s="64">
        <v>15.57</v>
      </c>
      <c r="H39" s="64">
        <v>9.1199999999999992</v>
      </c>
      <c r="I39" s="64">
        <v>3.46</v>
      </c>
      <c r="J39" s="64">
        <v>0.15</v>
      </c>
      <c r="K39" s="64">
        <v>335.93</v>
      </c>
      <c r="L39" s="64">
        <v>26.21</v>
      </c>
      <c r="M39" s="64">
        <v>105.68</v>
      </c>
      <c r="N39" s="64">
        <v>123.4</v>
      </c>
      <c r="O39" s="64">
        <v>0</v>
      </c>
      <c r="P39" s="64">
        <v>0.32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48" t="s">
        <v>2772</v>
      </c>
      <c r="B40" s="64">
        <v>7.96</v>
      </c>
      <c r="C40" s="64">
        <v>2.96</v>
      </c>
      <c r="D40" s="64">
        <v>11.7</v>
      </c>
      <c r="E40" s="64">
        <v>4.55</v>
      </c>
      <c r="F40" s="64">
        <v>3.48</v>
      </c>
      <c r="G40" s="64">
        <v>17.91</v>
      </c>
      <c r="H40" s="64">
        <v>3.92</v>
      </c>
      <c r="I40" s="64">
        <v>3.37</v>
      </c>
      <c r="J40" s="64">
        <v>0.19</v>
      </c>
      <c r="K40" s="64">
        <v>329.1</v>
      </c>
      <c r="L40" s="64">
        <v>26.31</v>
      </c>
      <c r="M40" s="64">
        <v>105.29</v>
      </c>
      <c r="N40" s="64">
        <v>158.9</v>
      </c>
      <c r="O40" s="64">
        <v>0</v>
      </c>
      <c r="P40" s="64">
        <v>0.32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48" t="s">
        <v>2773</v>
      </c>
      <c r="B41" s="64">
        <v>7.96</v>
      </c>
      <c r="C41" s="64">
        <v>3</v>
      </c>
      <c r="D41" s="64">
        <v>11.73</v>
      </c>
      <c r="E41" s="64">
        <v>4.1399999999999997</v>
      </c>
      <c r="F41" s="64">
        <v>3.24</v>
      </c>
      <c r="G41" s="64">
        <v>18.02</v>
      </c>
      <c r="H41" s="64">
        <v>3.92</v>
      </c>
      <c r="I41" s="64">
        <v>3.18</v>
      </c>
      <c r="J41" s="64">
        <v>0.21</v>
      </c>
      <c r="K41" s="64">
        <v>346.53</v>
      </c>
      <c r="L41" s="64">
        <v>26.66</v>
      </c>
      <c r="M41" s="64">
        <v>103.83</v>
      </c>
      <c r="N41" s="64">
        <v>170.7</v>
      </c>
      <c r="O41" s="64">
        <v>0</v>
      </c>
      <c r="P41" s="64">
        <v>0.32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48" t="s">
        <v>2774</v>
      </c>
      <c r="B42" s="64">
        <v>7.96</v>
      </c>
      <c r="C42" s="64">
        <v>2.97</v>
      </c>
      <c r="D42" s="64">
        <v>11.71</v>
      </c>
      <c r="E42" s="64">
        <v>4.0199999999999996</v>
      </c>
      <c r="F42" s="64">
        <v>3.9</v>
      </c>
      <c r="G42" s="64">
        <v>18.02</v>
      </c>
      <c r="H42" s="64">
        <v>3.92</v>
      </c>
      <c r="I42" s="64">
        <v>2.79</v>
      </c>
      <c r="J42" s="64">
        <v>0.22</v>
      </c>
      <c r="K42" s="64">
        <v>331.27</v>
      </c>
      <c r="L42" s="64">
        <v>26.77</v>
      </c>
      <c r="M42" s="64">
        <v>102.74</v>
      </c>
      <c r="N42" s="64">
        <v>205.6</v>
      </c>
      <c r="O42" s="64">
        <v>0</v>
      </c>
      <c r="P42" s="64">
        <v>0.33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48" t="s">
        <v>2775</v>
      </c>
      <c r="B43" s="64">
        <v>7.95</v>
      </c>
      <c r="C43" s="64">
        <v>2.95</v>
      </c>
      <c r="D43" s="64">
        <v>11.69</v>
      </c>
      <c r="E43" s="64">
        <v>3.65</v>
      </c>
      <c r="F43" s="64">
        <v>3.35</v>
      </c>
      <c r="G43" s="64">
        <v>18.02</v>
      </c>
      <c r="H43" s="64">
        <v>3.92</v>
      </c>
      <c r="I43" s="64">
        <v>2.77</v>
      </c>
      <c r="J43" s="64">
        <v>0.25</v>
      </c>
      <c r="K43" s="64">
        <v>339.27</v>
      </c>
      <c r="L43" s="64">
        <v>26.97</v>
      </c>
      <c r="M43" s="64">
        <v>102.05</v>
      </c>
      <c r="N43" s="64">
        <v>229.1</v>
      </c>
      <c r="O43" s="64">
        <v>0</v>
      </c>
      <c r="P43" s="64">
        <v>0.33</v>
      </c>
      <c r="Q43" s="64">
        <v>9.59</v>
      </c>
      <c r="R43" s="198"/>
      <c r="S43" s="198"/>
      <c r="T43" s="198"/>
      <c r="U43" s="198"/>
    </row>
    <row r="44" spans="1:21" s="12" customFormat="1" x14ac:dyDescent="0.25">
      <c r="A44" s="248" t="s">
        <v>2776</v>
      </c>
      <c r="B44" s="64">
        <v>7.96</v>
      </c>
      <c r="C44" s="64">
        <v>2.97</v>
      </c>
      <c r="D44" s="64">
        <v>11.71</v>
      </c>
      <c r="E44" s="64">
        <v>3.81</v>
      </c>
      <c r="F44" s="64">
        <v>4.2</v>
      </c>
      <c r="G44" s="64">
        <v>21.37</v>
      </c>
      <c r="H44" s="64">
        <v>11.95</v>
      </c>
      <c r="I44" s="64">
        <v>2.4300000000000002</v>
      </c>
      <c r="J44" s="64">
        <v>0.25</v>
      </c>
      <c r="K44" s="64">
        <v>345.84</v>
      </c>
      <c r="L44" s="64">
        <v>27.35</v>
      </c>
      <c r="M44" s="64">
        <v>99.88</v>
      </c>
      <c r="N44" s="64">
        <v>228.7</v>
      </c>
      <c r="O44" s="64">
        <v>0</v>
      </c>
      <c r="P44" s="64">
        <v>0.33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48" t="s">
        <v>2777</v>
      </c>
      <c r="B45" s="64">
        <v>8</v>
      </c>
      <c r="C45" s="64">
        <v>3</v>
      </c>
      <c r="D45" s="64">
        <v>11.76</v>
      </c>
      <c r="E45" s="64">
        <v>4.18</v>
      </c>
      <c r="F45" s="64">
        <v>3.63</v>
      </c>
      <c r="G45" s="64">
        <v>21.53</v>
      </c>
      <c r="H45" s="64">
        <v>11.95</v>
      </c>
      <c r="I45" s="64">
        <v>2.23</v>
      </c>
      <c r="J45" s="64">
        <v>0.25</v>
      </c>
      <c r="K45" s="64">
        <v>331.12</v>
      </c>
      <c r="L45" s="64">
        <v>27.54</v>
      </c>
      <c r="M45" s="64">
        <v>98.49</v>
      </c>
      <c r="N45" s="64">
        <v>304.3</v>
      </c>
      <c r="O45" s="64">
        <v>0</v>
      </c>
      <c r="P45" s="64">
        <v>0.33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48" t="s">
        <v>2778</v>
      </c>
      <c r="B46" s="64">
        <v>7.99</v>
      </c>
      <c r="C46" s="64">
        <v>3.03</v>
      </c>
      <c r="D46" s="64">
        <v>11.77</v>
      </c>
      <c r="E46" s="64">
        <v>3.94</v>
      </c>
      <c r="F46" s="64">
        <v>3.86</v>
      </c>
      <c r="G46" s="64">
        <v>21.53</v>
      </c>
      <c r="H46" s="64">
        <v>11.95</v>
      </c>
      <c r="I46" s="64">
        <v>2.0499999999999998</v>
      </c>
      <c r="J46" s="64">
        <v>0.27</v>
      </c>
      <c r="K46" s="64">
        <v>330.44</v>
      </c>
      <c r="L46" s="64">
        <v>28.11</v>
      </c>
      <c r="M46" s="64">
        <v>97.01</v>
      </c>
      <c r="N46" s="64">
        <v>327.8</v>
      </c>
      <c r="O46" s="64">
        <v>0</v>
      </c>
      <c r="P46" s="64">
        <v>0.33</v>
      </c>
      <c r="Q46" s="64">
        <v>9.5399999999999991</v>
      </c>
      <c r="R46" s="198"/>
      <c r="S46" s="198"/>
      <c r="T46" s="198"/>
      <c r="U46" s="198"/>
    </row>
    <row r="47" spans="1:21" s="12" customFormat="1" x14ac:dyDescent="0.25">
      <c r="A47" s="248" t="s">
        <v>2779</v>
      </c>
      <c r="B47" s="64">
        <v>7.99</v>
      </c>
      <c r="C47" s="64">
        <v>2.98</v>
      </c>
      <c r="D47" s="64">
        <v>11.73</v>
      </c>
      <c r="E47" s="64">
        <v>3.71</v>
      </c>
      <c r="F47" s="64">
        <v>3.9</v>
      </c>
      <c r="G47" s="64">
        <v>21.53</v>
      </c>
      <c r="H47" s="64">
        <v>11.95</v>
      </c>
      <c r="I47" s="64">
        <v>1.78</v>
      </c>
      <c r="J47" s="64">
        <v>0.25</v>
      </c>
      <c r="K47" s="64">
        <v>343.41</v>
      </c>
      <c r="L47" s="64">
        <v>28.58</v>
      </c>
      <c r="M47" s="64">
        <v>94.88</v>
      </c>
      <c r="N47" s="64">
        <v>370.8</v>
      </c>
      <c r="O47" s="64">
        <v>0</v>
      </c>
      <c r="P47" s="64">
        <v>0.34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48" t="s">
        <v>2780</v>
      </c>
      <c r="B48" s="64">
        <v>7.99</v>
      </c>
      <c r="C48" s="64">
        <v>2.96</v>
      </c>
      <c r="D48" s="64">
        <v>11.73</v>
      </c>
      <c r="E48" s="64">
        <v>4.09</v>
      </c>
      <c r="F48" s="64">
        <v>3.96</v>
      </c>
      <c r="G48" s="64">
        <v>20.309999999999999</v>
      </c>
      <c r="H48" s="64">
        <v>37.64</v>
      </c>
      <c r="I48" s="64">
        <v>1.65</v>
      </c>
      <c r="J48" s="64">
        <v>0.28000000000000003</v>
      </c>
      <c r="K48" s="64">
        <v>341.94</v>
      </c>
      <c r="L48" s="64">
        <v>29.17</v>
      </c>
      <c r="M48" s="64">
        <v>91.41</v>
      </c>
      <c r="N48" s="64">
        <v>401.6</v>
      </c>
      <c r="O48" s="64">
        <v>0</v>
      </c>
      <c r="P48" s="64">
        <v>0.34</v>
      </c>
      <c r="Q48" s="64">
        <v>9.51</v>
      </c>
      <c r="R48" s="198"/>
      <c r="S48" s="198"/>
      <c r="T48" s="198"/>
      <c r="U48" s="198"/>
    </row>
    <row r="49" spans="1:21" s="12" customFormat="1" x14ac:dyDescent="0.25">
      <c r="A49" s="248" t="s">
        <v>2781</v>
      </c>
      <c r="B49" s="64">
        <v>7.99</v>
      </c>
      <c r="C49" s="64">
        <v>2.97</v>
      </c>
      <c r="D49" s="64">
        <v>11.73</v>
      </c>
      <c r="E49" s="64">
        <v>3.79</v>
      </c>
      <c r="F49" s="64">
        <v>4.24</v>
      </c>
      <c r="G49" s="64">
        <v>20.25</v>
      </c>
      <c r="H49" s="64">
        <v>37.64</v>
      </c>
      <c r="I49" s="64">
        <v>1.54</v>
      </c>
      <c r="J49" s="64">
        <v>0.25</v>
      </c>
      <c r="K49" s="64">
        <v>327.29000000000002</v>
      </c>
      <c r="L49" s="64">
        <v>29.59</v>
      </c>
      <c r="M49" s="64">
        <v>87.75</v>
      </c>
      <c r="N49" s="64">
        <v>468.2</v>
      </c>
      <c r="O49" s="64">
        <v>0</v>
      </c>
      <c r="P49" s="64">
        <v>0.35</v>
      </c>
      <c r="Q49" s="64">
        <v>9.51</v>
      </c>
      <c r="R49" s="198"/>
      <c r="S49" s="198"/>
      <c r="T49" s="198"/>
      <c r="U49" s="198"/>
    </row>
    <row r="50" spans="1:21" s="12" customFormat="1" x14ac:dyDescent="0.25">
      <c r="A50" s="248" t="s">
        <v>2782</v>
      </c>
      <c r="B50" s="64">
        <v>8</v>
      </c>
      <c r="C50" s="64">
        <v>2.98</v>
      </c>
      <c r="D50" s="64">
        <v>11.74</v>
      </c>
      <c r="E50" s="64">
        <v>4.0199999999999996</v>
      </c>
      <c r="F50" s="64">
        <v>3.96</v>
      </c>
      <c r="G50" s="64">
        <v>20.25</v>
      </c>
      <c r="H50" s="64">
        <v>37.64</v>
      </c>
      <c r="I50" s="64">
        <v>1.63</v>
      </c>
      <c r="J50" s="64">
        <v>0.23</v>
      </c>
      <c r="K50" s="64">
        <v>324.66000000000003</v>
      </c>
      <c r="L50" s="64">
        <v>29.77</v>
      </c>
      <c r="M50" s="64">
        <v>86.64</v>
      </c>
      <c r="N50" s="64">
        <v>455.6</v>
      </c>
      <c r="O50" s="64">
        <v>0</v>
      </c>
      <c r="P50" s="64">
        <v>0.37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48" t="s">
        <v>2783</v>
      </c>
      <c r="B51" s="64">
        <v>7.98</v>
      </c>
      <c r="C51" s="64">
        <v>2.96</v>
      </c>
      <c r="D51" s="64">
        <v>11.72</v>
      </c>
      <c r="E51" s="64">
        <v>3.81</v>
      </c>
      <c r="F51" s="64">
        <v>3.86</v>
      </c>
      <c r="G51" s="64">
        <v>20.25</v>
      </c>
      <c r="H51" s="64">
        <v>37.64</v>
      </c>
      <c r="I51" s="64">
        <v>1.46</v>
      </c>
      <c r="J51" s="64">
        <v>0.26</v>
      </c>
      <c r="K51" s="64">
        <v>334.14</v>
      </c>
      <c r="L51" s="64">
        <v>30.35</v>
      </c>
      <c r="M51" s="64">
        <v>83.76</v>
      </c>
      <c r="N51" s="64">
        <v>406.5</v>
      </c>
      <c r="O51" s="64">
        <v>0</v>
      </c>
      <c r="P51" s="64">
        <v>0.39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48" t="s">
        <v>2784</v>
      </c>
      <c r="B52" s="64">
        <v>7.99</v>
      </c>
      <c r="C52" s="64">
        <v>2.97</v>
      </c>
      <c r="D52" s="64">
        <v>11.73</v>
      </c>
      <c r="E52" s="64">
        <v>3.83</v>
      </c>
      <c r="F52" s="64">
        <v>4.1399999999999997</v>
      </c>
      <c r="G52" s="64">
        <v>24.31</v>
      </c>
      <c r="H52" s="64">
        <v>34.700000000000003</v>
      </c>
      <c r="I52" s="64">
        <v>1.49</v>
      </c>
      <c r="J52" s="64">
        <v>0.28999999999999998</v>
      </c>
      <c r="K52" s="64">
        <v>335.7</v>
      </c>
      <c r="L52" s="64">
        <v>30.7</v>
      </c>
      <c r="M52" s="64">
        <v>83</v>
      </c>
      <c r="N52" s="64">
        <v>533.1</v>
      </c>
      <c r="O52" s="64">
        <v>0</v>
      </c>
      <c r="P52" s="64">
        <v>0.43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48" t="s">
        <v>2785</v>
      </c>
      <c r="B53" s="64">
        <v>7.97</v>
      </c>
      <c r="C53" s="64">
        <v>2.96</v>
      </c>
      <c r="D53" s="64">
        <v>11.71</v>
      </c>
      <c r="E53" s="64">
        <v>4.3899999999999997</v>
      </c>
      <c r="F53" s="64">
        <v>3.72</v>
      </c>
      <c r="G53" s="64">
        <v>24.5</v>
      </c>
      <c r="H53" s="64">
        <v>34.700000000000003</v>
      </c>
      <c r="I53" s="64">
        <v>1.65</v>
      </c>
      <c r="J53" s="64">
        <v>0.24</v>
      </c>
      <c r="K53" s="64">
        <v>319.02</v>
      </c>
      <c r="L53" s="64">
        <v>30.56</v>
      </c>
      <c r="M53" s="64">
        <v>84</v>
      </c>
      <c r="N53" s="64">
        <v>520.6</v>
      </c>
      <c r="O53" s="64">
        <v>0</v>
      </c>
      <c r="P53" s="64">
        <v>0.47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48" t="s">
        <v>2786</v>
      </c>
      <c r="B54" s="64">
        <v>7.95</v>
      </c>
      <c r="C54" s="64">
        <v>2.89</v>
      </c>
      <c r="D54" s="64">
        <v>11.66</v>
      </c>
      <c r="E54" s="64">
        <v>3.9</v>
      </c>
      <c r="F54" s="64">
        <v>4.43</v>
      </c>
      <c r="G54" s="64">
        <v>24.5</v>
      </c>
      <c r="H54" s="64">
        <v>34.700000000000003</v>
      </c>
      <c r="I54" s="64">
        <v>1.81</v>
      </c>
      <c r="J54" s="64">
        <v>0.32</v>
      </c>
      <c r="K54" s="64">
        <v>351.85</v>
      </c>
      <c r="L54" s="64">
        <v>30.06</v>
      </c>
      <c r="M54" s="64">
        <v>85.69</v>
      </c>
      <c r="N54" s="64">
        <v>593.4</v>
      </c>
      <c r="O54" s="64">
        <v>0</v>
      </c>
      <c r="P54" s="64">
        <v>0.51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48" t="s">
        <v>2787</v>
      </c>
      <c r="B55" s="64">
        <v>7.95</v>
      </c>
      <c r="C55" s="64">
        <v>2.94</v>
      </c>
      <c r="D55" s="64">
        <v>11.68</v>
      </c>
      <c r="E55" s="64">
        <v>3.75</v>
      </c>
      <c r="F55" s="64">
        <v>3.61</v>
      </c>
      <c r="G55" s="64">
        <v>24.5</v>
      </c>
      <c r="H55" s="64">
        <v>34.700000000000003</v>
      </c>
      <c r="I55" s="64">
        <v>1.98</v>
      </c>
      <c r="J55" s="64">
        <v>0.25</v>
      </c>
      <c r="K55" s="64">
        <v>325.12</v>
      </c>
      <c r="L55" s="64">
        <v>30.96</v>
      </c>
      <c r="M55" s="64">
        <v>82.3</v>
      </c>
      <c r="N55" s="64">
        <v>831.8</v>
      </c>
      <c r="O55" s="64">
        <v>0</v>
      </c>
      <c r="P55" s="64">
        <v>0.53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48" t="s">
        <v>2788</v>
      </c>
      <c r="B56" s="64">
        <v>7.95</v>
      </c>
      <c r="C56" s="64">
        <v>2.96</v>
      </c>
      <c r="D56" s="64">
        <v>11.69</v>
      </c>
      <c r="E56" s="64">
        <v>4.66</v>
      </c>
      <c r="F56" s="64">
        <v>4.67</v>
      </c>
      <c r="G56" s="64">
        <v>30.42</v>
      </c>
      <c r="H56" s="64">
        <v>18.37</v>
      </c>
      <c r="I56" s="64">
        <v>2.11</v>
      </c>
      <c r="J56" s="64">
        <v>0.28000000000000003</v>
      </c>
      <c r="K56" s="64">
        <v>325.89</v>
      </c>
      <c r="L56" s="64">
        <v>31.99</v>
      </c>
      <c r="M56" s="64">
        <v>77.92</v>
      </c>
      <c r="N56" s="64">
        <v>925.1</v>
      </c>
      <c r="O56" s="64">
        <v>0</v>
      </c>
      <c r="P56" s="64">
        <v>0.55000000000000004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48" t="s">
        <v>2789</v>
      </c>
      <c r="B57" s="64">
        <v>7.95</v>
      </c>
      <c r="C57" s="64">
        <v>2.99</v>
      </c>
      <c r="D57" s="64">
        <v>11.71</v>
      </c>
      <c r="E57" s="64">
        <v>4.78</v>
      </c>
      <c r="F57" s="64">
        <v>3.49</v>
      </c>
      <c r="G57" s="64">
        <v>30.7</v>
      </c>
      <c r="H57" s="64">
        <v>18.37</v>
      </c>
      <c r="I57" s="64">
        <v>2.2200000000000002</v>
      </c>
      <c r="J57" s="64">
        <v>0.33</v>
      </c>
      <c r="K57" s="64">
        <v>342.63</v>
      </c>
      <c r="L57" s="64">
        <v>31.83</v>
      </c>
      <c r="M57" s="64">
        <v>76.73</v>
      </c>
      <c r="N57" s="64">
        <v>904</v>
      </c>
      <c r="O57" s="64">
        <v>0</v>
      </c>
      <c r="P57" s="64">
        <v>0.56999999999999995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48" t="s">
        <v>2790</v>
      </c>
      <c r="B58" s="64">
        <v>7.96</v>
      </c>
      <c r="C58" s="64">
        <v>2.94</v>
      </c>
      <c r="D58" s="64">
        <v>11.69</v>
      </c>
      <c r="E58" s="64">
        <v>4.6100000000000003</v>
      </c>
      <c r="F58" s="64">
        <v>4.82</v>
      </c>
      <c r="G58" s="64">
        <v>30.7</v>
      </c>
      <c r="H58" s="64">
        <v>18.37</v>
      </c>
      <c r="I58" s="64">
        <v>2.4500000000000002</v>
      </c>
      <c r="J58" s="64">
        <v>0.18</v>
      </c>
      <c r="K58" s="64">
        <v>339.04</v>
      </c>
      <c r="L58" s="64">
        <v>31.8</v>
      </c>
      <c r="M58" s="64">
        <v>75.22</v>
      </c>
      <c r="N58" s="64">
        <v>853.8</v>
      </c>
      <c r="O58" s="64">
        <v>0</v>
      </c>
      <c r="P58" s="64">
        <v>0.57999999999999996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48" t="s">
        <v>2791</v>
      </c>
      <c r="B59" s="64">
        <v>7.96</v>
      </c>
      <c r="C59" s="64">
        <v>2.99</v>
      </c>
      <c r="D59" s="64">
        <v>11.72</v>
      </c>
      <c r="E59" s="64">
        <v>4.6100000000000003</v>
      </c>
      <c r="F59" s="64">
        <v>3.72</v>
      </c>
      <c r="G59" s="64">
        <v>30.7</v>
      </c>
      <c r="H59" s="64">
        <v>18.37</v>
      </c>
      <c r="I59" s="64">
        <v>2.61</v>
      </c>
      <c r="J59" s="64">
        <v>0.28000000000000003</v>
      </c>
      <c r="K59" s="64">
        <v>318.52999999999997</v>
      </c>
      <c r="L59" s="64">
        <v>31.59</v>
      </c>
      <c r="M59" s="64">
        <v>75.760000000000005</v>
      </c>
      <c r="N59" s="64">
        <v>794.1</v>
      </c>
      <c r="O59" s="64">
        <v>0</v>
      </c>
      <c r="P59" s="64">
        <v>0.6</v>
      </c>
      <c r="Q59" s="64">
        <v>9.59</v>
      </c>
      <c r="R59" s="198"/>
      <c r="S59" s="198"/>
      <c r="T59" s="198"/>
      <c r="U59" s="198"/>
    </row>
    <row r="60" spans="1:21" s="12" customFormat="1" x14ac:dyDescent="0.25">
      <c r="A60" s="248" t="s">
        <v>2792</v>
      </c>
      <c r="B60" s="64">
        <v>7.97</v>
      </c>
      <c r="C60" s="64">
        <v>3.04</v>
      </c>
      <c r="D60" s="64">
        <v>11.75</v>
      </c>
      <c r="E60" s="64">
        <v>4.78</v>
      </c>
      <c r="F60" s="64">
        <v>4.91</v>
      </c>
      <c r="G60" s="64">
        <v>32.06</v>
      </c>
      <c r="H60" s="64">
        <v>8.6</v>
      </c>
      <c r="I60" s="64">
        <v>2.72</v>
      </c>
      <c r="J60" s="64">
        <v>0.24</v>
      </c>
      <c r="K60" s="64">
        <v>329.8</v>
      </c>
      <c r="L60" s="64">
        <v>31.1</v>
      </c>
      <c r="M60" s="64">
        <v>75.819999999999993</v>
      </c>
      <c r="N60" s="64">
        <v>759.2</v>
      </c>
      <c r="O60" s="64">
        <v>0</v>
      </c>
      <c r="P60" s="64">
        <v>0.59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48" t="s">
        <v>2793</v>
      </c>
      <c r="B61" s="64">
        <v>7.98</v>
      </c>
      <c r="C61" s="64">
        <v>3.1</v>
      </c>
      <c r="D61" s="64">
        <v>11.79</v>
      </c>
      <c r="E61" s="64">
        <v>4.95</v>
      </c>
      <c r="F61" s="64">
        <v>4.25</v>
      </c>
      <c r="G61" s="64">
        <v>32.119999999999997</v>
      </c>
      <c r="H61" s="64">
        <v>8.6</v>
      </c>
      <c r="I61" s="64">
        <v>2.8</v>
      </c>
      <c r="J61" s="64">
        <v>0.2</v>
      </c>
      <c r="K61" s="64">
        <v>349.69</v>
      </c>
      <c r="L61" s="64">
        <v>31.59</v>
      </c>
      <c r="M61" s="64">
        <v>74.66</v>
      </c>
      <c r="N61" s="64">
        <v>458.5</v>
      </c>
      <c r="O61" s="64">
        <v>0</v>
      </c>
      <c r="P61" s="64">
        <v>0.49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48" t="s">
        <v>2794</v>
      </c>
      <c r="B62" s="64">
        <v>7.97</v>
      </c>
      <c r="C62" s="64">
        <v>3</v>
      </c>
      <c r="D62" s="64">
        <v>11.73</v>
      </c>
      <c r="E62" s="64">
        <v>4.74</v>
      </c>
      <c r="F62" s="64">
        <v>5.27</v>
      </c>
      <c r="G62" s="64">
        <v>32.119999999999997</v>
      </c>
      <c r="H62" s="64">
        <v>8.6</v>
      </c>
      <c r="I62" s="64">
        <v>2.76</v>
      </c>
      <c r="J62" s="64">
        <v>0.27</v>
      </c>
      <c r="K62" s="64">
        <v>324.92</v>
      </c>
      <c r="L62" s="64">
        <v>32.130000000000003</v>
      </c>
      <c r="M62" s="64">
        <v>71.61</v>
      </c>
      <c r="N62" s="64">
        <v>0</v>
      </c>
      <c r="O62" s="64">
        <v>0</v>
      </c>
      <c r="P62" s="64">
        <v>0.5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8" t="s">
        <v>2795</v>
      </c>
      <c r="B63" s="64">
        <v>8</v>
      </c>
      <c r="C63" s="64">
        <v>3.06</v>
      </c>
      <c r="D63" s="64">
        <v>11.78</v>
      </c>
      <c r="E63" s="64">
        <v>5.69</v>
      </c>
      <c r="F63" s="64">
        <v>5.43</v>
      </c>
      <c r="G63" s="64">
        <v>32.119999999999997</v>
      </c>
      <c r="H63" s="64">
        <v>8.6</v>
      </c>
      <c r="I63" s="64">
        <v>2.62</v>
      </c>
      <c r="J63" s="64">
        <v>0.25</v>
      </c>
      <c r="K63" s="64">
        <v>323.52</v>
      </c>
      <c r="L63" s="64">
        <v>31.78</v>
      </c>
      <c r="M63" s="64">
        <v>72.28</v>
      </c>
      <c r="N63" s="64">
        <v>0</v>
      </c>
      <c r="O63" s="64">
        <v>0</v>
      </c>
      <c r="P63" s="64">
        <v>0.48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48" t="s">
        <v>2796</v>
      </c>
      <c r="B64" s="64">
        <v>8.01</v>
      </c>
      <c r="C64" s="64">
        <v>3.08</v>
      </c>
      <c r="D64" s="64">
        <v>11.81</v>
      </c>
      <c r="E64" s="64">
        <v>4.49</v>
      </c>
      <c r="F64" s="64">
        <v>5.12</v>
      </c>
      <c r="G64" s="64">
        <v>33.04</v>
      </c>
      <c r="H64" s="64">
        <v>3.96</v>
      </c>
      <c r="I64" s="64">
        <v>2.42</v>
      </c>
      <c r="J64" s="64">
        <v>0.19</v>
      </c>
      <c r="K64" s="64">
        <v>329.17</v>
      </c>
      <c r="L64" s="64">
        <v>32.049999999999997</v>
      </c>
      <c r="M64" s="64">
        <v>71.3</v>
      </c>
      <c r="N64" s="64">
        <v>5.8</v>
      </c>
      <c r="O64" s="64">
        <v>0</v>
      </c>
      <c r="P64" s="64">
        <v>0.47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48" t="s">
        <v>2797</v>
      </c>
      <c r="B65" s="64">
        <v>7.98</v>
      </c>
      <c r="C65" s="64">
        <v>2.98</v>
      </c>
      <c r="D65" s="64">
        <v>11.73</v>
      </c>
      <c r="E65" s="64">
        <v>4.38</v>
      </c>
      <c r="F65" s="64">
        <v>5</v>
      </c>
      <c r="G65" s="64">
        <v>33.08</v>
      </c>
      <c r="H65" s="64">
        <v>3.96</v>
      </c>
      <c r="I65" s="64">
        <v>2.29</v>
      </c>
      <c r="J65" s="64">
        <v>0.26</v>
      </c>
      <c r="K65" s="64">
        <v>349.1</v>
      </c>
      <c r="L65" s="64">
        <v>31.39</v>
      </c>
      <c r="M65" s="64">
        <v>74.209999999999994</v>
      </c>
      <c r="N65" s="64">
        <v>54.5</v>
      </c>
      <c r="O65" s="64">
        <v>0</v>
      </c>
      <c r="P65" s="64">
        <v>0.44</v>
      </c>
      <c r="Q65" s="64">
        <v>9.52</v>
      </c>
      <c r="R65" s="198"/>
      <c r="S65" s="198"/>
      <c r="T65" s="198"/>
      <c r="U65" s="198"/>
    </row>
    <row r="66" spans="1:21" s="12" customFormat="1" x14ac:dyDescent="0.25">
      <c r="A66" s="248" t="s">
        <v>2798</v>
      </c>
      <c r="B66" s="64">
        <v>7.98</v>
      </c>
      <c r="C66" s="64">
        <v>2.95</v>
      </c>
      <c r="D66" s="64">
        <v>11.71</v>
      </c>
      <c r="E66" s="64">
        <v>4.5199999999999996</v>
      </c>
      <c r="F66" s="64">
        <v>5.48</v>
      </c>
      <c r="G66" s="64">
        <v>33.08</v>
      </c>
      <c r="H66" s="64">
        <v>3.96</v>
      </c>
      <c r="I66" s="64">
        <v>2.23</v>
      </c>
      <c r="J66" s="64">
        <v>0.19</v>
      </c>
      <c r="K66" s="64">
        <v>329.9</v>
      </c>
      <c r="L66" s="64">
        <v>31.46</v>
      </c>
      <c r="M66" s="64">
        <v>74.02</v>
      </c>
      <c r="N66" s="64">
        <v>80</v>
      </c>
      <c r="O66" s="64">
        <v>0</v>
      </c>
      <c r="P66" s="64">
        <v>0.43</v>
      </c>
      <c r="Q66" s="64">
        <v>9.52</v>
      </c>
      <c r="R66" s="198"/>
      <c r="S66" s="198"/>
      <c r="T66" s="198"/>
      <c r="U66" s="198"/>
    </row>
    <row r="67" spans="1:21" s="12" customFormat="1" x14ac:dyDescent="0.25">
      <c r="A67" s="248" t="s">
        <v>2799</v>
      </c>
      <c r="B67" s="64">
        <v>8.01</v>
      </c>
      <c r="C67" s="64">
        <v>3.02</v>
      </c>
      <c r="D67" s="64">
        <v>11.77</v>
      </c>
      <c r="E67" s="64">
        <v>4.58</v>
      </c>
      <c r="F67" s="64">
        <v>4.87</v>
      </c>
      <c r="G67" s="64">
        <v>33.08</v>
      </c>
      <c r="H67" s="64">
        <v>3.96</v>
      </c>
      <c r="I67" s="64">
        <v>2.08</v>
      </c>
      <c r="J67" s="64">
        <v>0.21</v>
      </c>
      <c r="K67" s="64">
        <v>336.03</v>
      </c>
      <c r="L67" s="64">
        <v>31.64</v>
      </c>
      <c r="M67" s="64">
        <v>72.489999999999995</v>
      </c>
      <c r="N67" s="64">
        <v>158.19999999999999</v>
      </c>
      <c r="O67" s="64">
        <v>0</v>
      </c>
      <c r="P67" s="64">
        <v>0.41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48" t="s">
        <v>2800</v>
      </c>
      <c r="B68" s="64">
        <v>7.98</v>
      </c>
      <c r="C68" s="64">
        <v>3</v>
      </c>
      <c r="D68" s="64">
        <v>11.74</v>
      </c>
      <c r="E68" s="64">
        <v>4.68</v>
      </c>
      <c r="F68" s="64">
        <v>4.9000000000000004</v>
      </c>
      <c r="G68" s="64">
        <v>34.28</v>
      </c>
      <c r="H68" s="64">
        <v>1.9</v>
      </c>
      <c r="I68" s="64">
        <v>1.95</v>
      </c>
      <c r="J68" s="64">
        <v>0.19</v>
      </c>
      <c r="K68" s="64">
        <v>344.84</v>
      </c>
      <c r="L68" s="64">
        <v>31.02</v>
      </c>
      <c r="M68" s="64">
        <v>74.92</v>
      </c>
      <c r="N68" s="64">
        <v>162.19999999999999</v>
      </c>
      <c r="O68" s="64">
        <v>0</v>
      </c>
      <c r="P68" s="64">
        <v>0.39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48" t="s">
        <v>2801</v>
      </c>
      <c r="B69" s="64">
        <v>7.96</v>
      </c>
      <c r="C69" s="64">
        <v>2.96</v>
      </c>
      <c r="D69" s="64">
        <v>11.7</v>
      </c>
      <c r="E69" s="64">
        <v>4.6900000000000004</v>
      </c>
      <c r="F69" s="64">
        <v>4.83</v>
      </c>
      <c r="G69" s="64">
        <v>34.33</v>
      </c>
      <c r="H69" s="64">
        <v>1.9</v>
      </c>
      <c r="I69" s="64">
        <v>1.87</v>
      </c>
      <c r="J69" s="64">
        <v>0.22</v>
      </c>
      <c r="K69" s="64">
        <v>335.48</v>
      </c>
      <c r="L69" s="64">
        <v>30.97</v>
      </c>
      <c r="M69" s="64">
        <v>74.849999999999994</v>
      </c>
      <c r="N69" s="64">
        <v>160.6</v>
      </c>
      <c r="O69" s="64">
        <v>0</v>
      </c>
      <c r="P69" s="64">
        <v>0.38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48" t="s">
        <v>2802</v>
      </c>
      <c r="B70" s="64">
        <v>7.94</v>
      </c>
      <c r="C70" s="64">
        <v>2.9</v>
      </c>
      <c r="D70" s="64">
        <v>11.66</v>
      </c>
      <c r="E70" s="64">
        <v>4.68</v>
      </c>
      <c r="F70" s="64">
        <v>4.25</v>
      </c>
      <c r="G70" s="64">
        <v>34.33</v>
      </c>
      <c r="H70" s="64">
        <v>1.9</v>
      </c>
      <c r="I70" s="64">
        <v>1.82</v>
      </c>
      <c r="J70" s="64">
        <v>0.23</v>
      </c>
      <c r="K70" s="64">
        <v>328</v>
      </c>
      <c r="L70" s="64">
        <v>31.02</v>
      </c>
      <c r="M70" s="64">
        <v>73.47</v>
      </c>
      <c r="N70" s="64">
        <v>134.9</v>
      </c>
      <c r="O70" s="64">
        <v>0</v>
      </c>
      <c r="P70" s="64">
        <v>0.36</v>
      </c>
      <c r="Q70" s="64">
        <v>9.5500000000000007</v>
      </c>
      <c r="R70" s="198"/>
      <c r="S70" s="198"/>
      <c r="T70" s="198"/>
      <c r="U70" s="198"/>
    </row>
    <row r="71" spans="1:21" s="12" customFormat="1" x14ac:dyDescent="0.25">
      <c r="A71" s="248" t="s">
        <v>2803</v>
      </c>
      <c r="B71" s="64">
        <v>7.95</v>
      </c>
      <c r="C71" s="64">
        <v>2.97</v>
      </c>
      <c r="D71" s="64">
        <v>11.7</v>
      </c>
      <c r="E71" s="64">
        <v>5.1100000000000003</v>
      </c>
      <c r="F71" s="64">
        <v>5.32</v>
      </c>
      <c r="G71" s="64">
        <v>34.33</v>
      </c>
      <c r="H71" s="64">
        <v>1.9</v>
      </c>
      <c r="I71" s="64">
        <v>1.78</v>
      </c>
      <c r="J71" s="64">
        <v>0.17</v>
      </c>
      <c r="K71" s="64">
        <v>332.68</v>
      </c>
      <c r="L71" s="64">
        <v>30.98</v>
      </c>
      <c r="M71" s="64">
        <v>72.69</v>
      </c>
      <c r="N71" s="64">
        <v>143.6</v>
      </c>
      <c r="O71" s="64">
        <v>0</v>
      </c>
      <c r="P71" s="64">
        <v>0.35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48" t="s">
        <v>2804</v>
      </c>
      <c r="B72" s="64">
        <v>7.97</v>
      </c>
      <c r="C72" s="64">
        <v>2.99</v>
      </c>
      <c r="D72" s="64">
        <v>11.73</v>
      </c>
      <c r="E72" s="64">
        <v>4.32</v>
      </c>
      <c r="F72" s="64">
        <v>4.12</v>
      </c>
      <c r="G72" s="64">
        <v>34.090000000000003</v>
      </c>
      <c r="H72" s="64">
        <v>0.95</v>
      </c>
      <c r="I72" s="64">
        <v>1.64</v>
      </c>
      <c r="J72" s="64">
        <v>0.11</v>
      </c>
      <c r="K72" s="64">
        <v>338.04</v>
      </c>
      <c r="L72" s="64">
        <v>31.02</v>
      </c>
      <c r="M72" s="64">
        <v>73.41</v>
      </c>
      <c r="N72" s="64">
        <v>123.9</v>
      </c>
      <c r="O72" s="64">
        <v>0</v>
      </c>
      <c r="P72" s="64">
        <v>0.33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48" t="s">
        <v>2805</v>
      </c>
      <c r="B73" s="64">
        <v>7.95</v>
      </c>
      <c r="C73" s="64">
        <v>2.98</v>
      </c>
      <c r="D73" s="64">
        <v>11.71</v>
      </c>
      <c r="E73" s="64">
        <v>3.91</v>
      </c>
      <c r="F73" s="64">
        <v>5.12</v>
      </c>
      <c r="G73" s="64">
        <v>34.08</v>
      </c>
      <c r="H73" s="64">
        <v>0.95</v>
      </c>
      <c r="I73" s="64">
        <v>1.56</v>
      </c>
      <c r="J73" s="64">
        <v>0.24</v>
      </c>
      <c r="K73" s="64">
        <v>335.15</v>
      </c>
      <c r="L73" s="64">
        <v>31.11</v>
      </c>
      <c r="M73" s="64">
        <v>72.099999999999994</v>
      </c>
      <c r="N73" s="64">
        <v>112.7</v>
      </c>
      <c r="O73" s="64">
        <v>0</v>
      </c>
      <c r="P73" s="64">
        <v>0.33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48" t="s">
        <v>2806</v>
      </c>
      <c r="B74" s="64">
        <v>7.94</v>
      </c>
      <c r="C74" s="64">
        <v>2.93</v>
      </c>
      <c r="D74" s="64">
        <v>11.67</v>
      </c>
      <c r="E74" s="64">
        <v>3.77</v>
      </c>
      <c r="F74" s="64">
        <v>4</v>
      </c>
      <c r="G74" s="64">
        <v>34.08</v>
      </c>
      <c r="H74" s="64">
        <v>0.95</v>
      </c>
      <c r="I74" s="64">
        <v>1.46</v>
      </c>
      <c r="J74" s="64">
        <v>0.14000000000000001</v>
      </c>
      <c r="K74" s="64">
        <v>333.68</v>
      </c>
      <c r="L74" s="64">
        <v>31</v>
      </c>
      <c r="M74" s="64">
        <v>72.930000000000007</v>
      </c>
      <c r="N74" s="64">
        <v>111.9</v>
      </c>
      <c r="O74" s="64">
        <v>0</v>
      </c>
      <c r="P74" s="64">
        <v>0.32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48" t="s">
        <v>2807</v>
      </c>
      <c r="B75" s="64">
        <v>7.96</v>
      </c>
      <c r="C75" s="64">
        <v>2.96</v>
      </c>
      <c r="D75" s="64">
        <v>11.7</v>
      </c>
      <c r="E75" s="64">
        <v>3.68</v>
      </c>
      <c r="F75" s="64">
        <v>4.88</v>
      </c>
      <c r="G75" s="64">
        <v>34.08</v>
      </c>
      <c r="H75" s="64">
        <v>0.95</v>
      </c>
      <c r="I75" s="64">
        <v>1.47</v>
      </c>
      <c r="J75" s="64">
        <v>0.21</v>
      </c>
      <c r="K75" s="64">
        <v>344.42</v>
      </c>
      <c r="L75" s="64">
        <v>31.07</v>
      </c>
      <c r="M75" s="64">
        <v>72.81</v>
      </c>
      <c r="N75" s="64">
        <v>110.3</v>
      </c>
      <c r="O75" s="64">
        <v>0</v>
      </c>
      <c r="P75" s="64">
        <v>0.32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48" t="s">
        <v>2808</v>
      </c>
      <c r="B76" s="64">
        <v>7.95</v>
      </c>
      <c r="C76" s="64">
        <v>2.96</v>
      </c>
      <c r="D76" s="64">
        <v>11.69</v>
      </c>
      <c r="E76" s="64">
        <v>3.98</v>
      </c>
      <c r="F76" s="64">
        <v>3.43</v>
      </c>
      <c r="G76" s="64">
        <v>32.9</v>
      </c>
      <c r="H76" s="64">
        <v>0.49</v>
      </c>
      <c r="I76" s="64">
        <v>1.39</v>
      </c>
      <c r="J76" s="64">
        <v>0.33</v>
      </c>
      <c r="K76" s="64">
        <v>347.02</v>
      </c>
      <c r="L76" s="64">
        <v>31.01</v>
      </c>
      <c r="M76" s="64">
        <v>71.760000000000005</v>
      </c>
      <c r="N76" s="64">
        <v>112.1</v>
      </c>
      <c r="O76" s="64">
        <v>0</v>
      </c>
      <c r="P76" s="64">
        <v>0.32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48" t="s">
        <v>2809</v>
      </c>
      <c r="B77" s="64">
        <v>7.96</v>
      </c>
      <c r="C77" s="64">
        <v>2.98</v>
      </c>
      <c r="D77" s="64">
        <v>11.72</v>
      </c>
      <c r="E77" s="64">
        <v>4.07</v>
      </c>
      <c r="F77" s="64">
        <v>4.22</v>
      </c>
      <c r="G77" s="64">
        <v>32.85</v>
      </c>
      <c r="H77" s="64">
        <v>0.49</v>
      </c>
      <c r="I77" s="64">
        <v>1.4</v>
      </c>
      <c r="J77" s="64">
        <v>0.13</v>
      </c>
      <c r="K77" s="64">
        <v>332.65</v>
      </c>
      <c r="L77" s="64">
        <v>31.14</v>
      </c>
      <c r="M77" s="64">
        <v>73.56</v>
      </c>
      <c r="N77" s="64">
        <v>108.7</v>
      </c>
      <c r="O77" s="64">
        <v>0</v>
      </c>
      <c r="P77" s="64">
        <v>0.32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48" t="s">
        <v>2810</v>
      </c>
      <c r="B78" s="64">
        <v>7.96</v>
      </c>
      <c r="C78" s="64">
        <v>2.93</v>
      </c>
      <c r="D78" s="64">
        <v>11.69</v>
      </c>
      <c r="E78" s="64">
        <v>3.68</v>
      </c>
      <c r="F78" s="64">
        <v>3.36</v>
      </c>
      <c r="G78" s="64">
        <v>32.85</v>
      </c>
      <c r="H78" s="64">
        <v>0.49</v>
      </c>
      <c r="I78" s="64">
        <v>1.36</v>
      </c>
      <c r="J78" s="64">
        <v>0.34</v>
      </c>
      <c r="K78" s="64">
        <v>345.74</v>
      </c>
      <c r="L78" s="64">
        <v>30.82</v>
      </c>
      <c r="M78" s="64">
        <v>72.430000000000007</v>
      </c>
      <c r="N78" s="64">
        <v>72.8</v>
      </c>
      <c r="O78" s="64">
        <v>0</v>
      </c>
      <c r="P78" s="64">
        <v>0.33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48" t="s">
        <v>2811</v>
      </c>
      <c r="B79" s="64">
        <v>7.97</v>
      </c>
      <c r="C79" s="64">
        <v>3</v>
      </c>
      <c r="D79" s="64">
        <v>11.73</v>
      </c>
      <c r="E79" s="64">
        <v>4</v>
      </c>
      <c r="F79" s="64">
        <v>3.94</v>
      </c>
      <c r="G79" s="64">
        <v>32.85</v>
      </c>
      <c r="H79" s="64">
        <v>0.49</v>
      </c>
      <c r="I79" s="64">
        <v>1.36</v>
      </c>
      <c r="J79" s="64">
        <v>0.27</v>
      </c>
      <c r="K79" s="64">
        <v>357.53</v>
      </c>
      <c r="L79" s="64">
        <v>30.63</v>
      </c>
      <c r="M79" s="64">
        <v>74.44</v>
      </c>
      <c r="N79" s="64">
        <v>83.1</v>
      </c>
      <c r="O79" s="64">
        <v>0</v>
      </c>
      <c r="P79" s="64">
        <v>0.32</v>
      </c>
      <c r="Q79" s="64">
        <v>9.5299999999999994</v>
      </c>
      <c r="R79" s="198"/>
      <c r="S79" s="198"/>
      <c r="T79" s="198"/>
      <c r="U79" s="198"/>
    </row>
    <row r="80" spans="1:21" s="12" customFormat="1" x14ac:dyDescent="0.25">
      <c r="A80" s="248" t="s">
        <v>2812</v>
      </c>
      <c r="B80" s="64">
        <v>7.97</v>
      </c>
      <c r="C80" s="64">
        <v>2.96</v>
      </c>
      <c r="D80" s="64">
        <v>11.71</v>
      </c>
      <c r="E80" s="64">
        <v>4.04</v>
      </c>
      <c r="F80" s="64">
        <v>3.97</v>
      </c>
      <c r="G80" s="64">
        <v>29.75</v>
      </c>
      <c r="H80" s="64">
        <v>5.77</v>
      </c>
      <c r="I80" s="64">
        <v>1.36</v>
      </c>
      <c r="J80" s="64">
        <v>0.23</v>
      </c>
      <c r="K80" s="64">
        <v>3.73</v>
      </c>
      <c r="L80" s="64">
        <v>30.53</v>
      </c>
      <c r="M80" s="64">
        <v>75.03</v>
      </c>
      <c r="N80" s="64">
        <v>61.2</v>
      </c>
      <c r="O80" s="64">
        <v>0</v>
      </c>
      <c r="P80" s="64">
        <v>0.32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48" t="s">
        <v>2813</v>
      </c>
      <c r="B81" s="64">
        <v>7.98</v>
      </c>
      <c r="C81" s="64">
        <v>2.91</v>
      </c>
      <c r="D81" s="64">
        <v>11.69</v>
      </c>
      <c r="E81" s="64">
        <v>3.59</v>
      </c>
      <c r="F81" s="64">
        <v>3.78</v>
      </c>
      <c r="G81" s="64">
        <v>29.61</v>
      </c>
      <c r="H81" s="64">
        <v>5.77</v>
      </c>
      <c r="I81" s="64">
        <v>1.34</v>
      </c>
      <c r="J81" s="64">
        <v>0.16</v>
      </c>
      <c r="K81" s="64">
        <v>355.44</v>
      </c>
      <c r="L81" s="64">
        <v>30.11</v>
      </c>
      <c r="M81" s="64">
        <v>76.69</v>
      </c>
      <c r="N81" s="64">
        <v>42.5</v>
      </c>
      <c r="O81" s="64">
        <v>0</v>
      </c>
      <c r="P81" s="64">
        <v>0.34</v>
      </c>
      <c r="Q81" s="64">
        <v>9.5299999999999994</v>
      </c>
      <c r="R81" s="198"/>
      <c r="S81" s="198"/>
      <c r="T81" s="198"/>
      <c r="U81" s="198"/>
    </row>
    <row r="82" spans="1:26" s="12" customFormat="1" x14ac:dyDescent="0.25">
      <c r="A82" s="248" t="s">
        <v>2814</v>
      </c>
      <c r="B82" s="64">
        <v>8.01</v>
      </c>
      <c r="C82" s="64">
        <v>2.98</v>
      </c>
      <c r="D82" s="64">
        <v>11.75</v>
      </c>
      <c r="E82" s="64">
        <v>3.84</v>
      </c>
      <c r="F82" s="64">
        <v>3.78</v>
      </c>
      <c r="G82" s="64">
        <v>29.61</v>
      </c>
      <c r="H82" s="64">
        <v>5.77</v>
      </c>
      <c r="I82" s="64">
        <v>1.43</v>
      </c>
      <c r="J82" s="64">
        <v>0.18</v>
      </c>
      <c r="K82" s="64">
        <v>351.61</v>
      </c>
      <c r="L82" s="64">
        <v>29.75</v>
      </c>
      <c r="M82" s="64">
        <v>80.13</v>
      </c>
      <c r="N82" s="64">
        <v>31</v>
      </c>
      <c r="O82" s="64">
        <v>0</v>
      </c>
      <c r="P82" s="64">
        <v>0.34</v>
      </c>
      <c r="Q82" s="64">
        <v>9.5299999999999994</v>
      </c>
      <c r="R82" s="198"/>
      <c r="S82" s="198"/>
      <c r="T82" s="198"/>
      <c r="U82" s="198"/>
    </row>
    <row r="83" spans="1:26" s="12" customFormat="1" x14ac:dyDescent="0.25">
      <c r="A83" s="248" t="s">
        <v>2815</v>
      </c>
      <c r="B83" s="64">
        <v>7.99</v>
      </c>
      <c r="C83" s="64">
        <v>3.01</v>
      </c>
      <c r="D83" s="64">
        <v>11.75</v>
      </c>
      <c r="E83" s="64">
        <v>4.18</v>
      </c>
      <c r="F83" s="64">
        <v>3.39</v>
      </c>
      <c r="G83" s="64">
        <v>29.61</v>
      </c>
      <c r="H83" s="64">
        <v>5.77</v>
      </c>
      <c r="I83" s="64">
        <v>1.5</v>
      </c>
      <c r="J83" s="64">
        <v>0.15</v>
      </c>
      <c r="K83" s="64">
        <v>343.92</v>
      </c>
      <c r="L83" s="64">
        <v>29.58</v>
      </c>
      <c r="M83" s="64">
        <v>81.37</v>
      </c>
      <c r="N83" s="64">
        <v>26.2</v>
      </c>
      <c r="O83" s="64">
        <v>0</v>
      </c>
      <c r="P83" s="64">
        <v>0.35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48" t="s">
        <v>2816</v>
      </c>
      <c r="B84" s="64">
        <v>7.99</v>
      </c>
      <c r="C84" s="64">
        <v>3.01</v>
      </c>
      <c r="D84" s="64">
        <v>11.76</v>
      </c>
      <c r="E84" s="64">
        <v>3.87</v>
      </c>
      <c r="F84" s="64">
        <v>3.15</v>
      </c>
      <c r="G84" s="64">
        <v>34.4</v>
      </c>
      <c r="H84" s="64">
        <v>4.25</v>
      </c>
      <c r="I84" s="64">
        <v>1.65</v>
      </c>
      <c r="J84" s="64">
        <v>0.08</v>
      </c>
      <c r="K84" s="64">
        <v>1</v>
      </c>
      <c r="L84" s="64">
        <v>29.31</v>
      </c>
      <c r="M84" s="64">
        <v>83.75</v>
      </c>
      <c r="N84" s="64">
        <v>25.8</v>
      </c>
      <c r="O84" s="64">
        <v>0</v>
      </c>
      <c r="P84" s="64">
        <v>0.36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48" t="s">
        <v>2817</v>
      </c>
      <c r="B85" s="64">
        <v>8</v>
      </c>
      <c r="C85" s="64">
        <v>3.01</v>
      </c>
      <c r="D85" s="64">
        <v>11.76</v>
      </c>
      <c r="E85" s="64">
        <v>4.0599999999999996</v>
      </c>
      <c r="F85" s="64">
        <v>3.74</v>
      </c>
      <c r="G85" s="64">
        <v>34.630000000000003</v>
      </c>
      <c r="H85" s="64">
        <v>4.25</v>
      </c>
      <c r="I85" s="64">
        <v>1.98</v>
      </c>
      <c r="J85" s="64">
        <v>0.16</v>
      </c>
      <c r="K85" s="64">
        <v>1.79</v>
      </c>
      <c r="L85" s="64">
        <v>29.2</v>
      </c>
      <c r="M85" s="64">
        <v>84.65</v>
      </c>
      <c r="N85" s="64">
        <v>25.4</v>
      </c>
      <c r="O85" s="64">
        <v>0</v>
      </c>
      <c r="P85" s="64">
        <v>0.37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48" t="s">
        <v>2818</v>
      </c>
      <c r="B86" s="64">
        <v>7.96</v>
      </c>
      <c r="C86" s="64">
        <v>2.98</v>
      </c>
      <c r="D86" s="64">
        <v>11.72</v>
      </c>
      <c r="E86" s="64">
        <v>4.3</v>
      </c>
      <c r="F86" s="64">
        <v>4.03</v>
      </c>
      <c r="G86" s="64">
        <v>34.630000000000003</v>
      </c>
      <c r="H86" s="64">
        <v>4.25</v>
      </c>
      <c r="I86" s="64">
        <v>2.2599999999999998</v>
      </c>
      <c r="J86" s="64">
        <v>0.18</v>
      </c>
      <c r="K86" s="64">
        <v>3.03</v>
      </c>
      <c r="L86" s="64">
        <v>29.08</v>
      </c>
      <c r="M86" s="64">
        <v>85.67</v>
      </c>
      <c r="N86" s="64">
        <v>25.4</v>
      </c>
      <c r="O86" s="64">
        <v>0</v>
      </c>
      <c r="P86" s="64">
        <v>0.4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48" t="s">
        <v>2819</v>
      </c>
      <c r="B87" s="64">
        <v>7.94</v>
      </c>
      <c r="C87" s="64">
        <v>2.94</v>
      </c>
      <c r="D87" s="64">
        <v>11.68</v>
      </c>
      <c r="E87" s="64">
        <v>4.21</v>
      </c>
      <c r="F87" s="64">
        <v>4.3499999999999996</v>
      </c>
      <c r="G87" s="64">
        <v>34.630000000000003</v>
      </c>
      <c r="H87" s="64">
        <v>4.25</v>
      </c>
      <c r="I87" s="64">
        <v>2.4300000000000002</v>
      </c>
      <c r="J87" s="64">
        <v>0.16</v>
      </c>
      <c r="K87" s="64">
        <v>356.99</v>
      </c>
      <c r="L87" s="64">
        <v>28.96</v>
      </c>
      <c r="M87" s="64">
        <v>86.7</v>
      </c>
      <c r="N87" s="64">
        <v>25.4</v>
      </c>
      <c r="O87" s="64">
        <v>0</v>
      </c>
      <c r="P87" s="64">
        <v>0.41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48" t="s">
        <v>2820</v>
      </c>
      <c r="B88" s="64">
        <v>7.96</v>
      </c>
      <c r="C88" s="64">
        <v>3.02</v>
      </c>
      <c r="D88" s="64">
        <v>11.73</v>
      </c>
      <c r="E88" s="64">
        <v>4.8499999999999996</v>
      </c>
      <c r="F88" s="64">
        <v>3.57</v>
      </c>
      <c r="G88" s="64">
        <v>38.71</v>
      </c>
      <c r="H88" s="64">
        <v>2.84</v>
      </c>
      <c r="I88" s="64">
        <v>2.5099999999999998</v>
      </c>
      <c r="J88" s="64">
        <v>0.03</v>
      </c>
      <c r="K88" s="64">
        <v>344.57</v>
      </c>
      <c r="L88" s="64">
        <v>28.78</v>
      </c>
      <c r="M88" s="64">
        <v>88.63</v>
      </c>
      <c r="N88" s="64">
        <v>25.4</v>
      </c>
      <c r="O88" s="64">
        <v>0</v>
      </c>
      <c r="P88" s="64">
        <v>0.42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48" t="s">
        <v>2821</v>
      </c>
      <c r="B89" s="64">
        <v>7.97</v>
      </c>
      <c r="C89" s="64">
        <v>2.99</v>
      </c>
      <c r="D89" s="64">
        <v>11.73</v>
      </c>
      <c r="E89" s="64">
        <v>5.07</v>
      </c>
      <c r="F89" s="64">
        <v>4.0199999999999996</v>
      </c>
      <c r="G89" s="64">
        <v>38.9</v>
      </c>
      <c r="H89" s="64">
        <v>2.84</v>
      </c>
      <c r="I89" s="64">
        <v>2.59</v>
      </c>
      <c r="J89" s="64">
        <v>7.0000000000000007E-2</v>
      </c>
      <c r="K89" s="64">
        <v>305.67</v>
      </c>
      <c r="L89" s="64">
        <v>28.67</v>
      </c>
      <c r="M89" s="64">
        <v>89.83</v>
      </c>
      <c r="N89" s="64">
        <v>25.4</v>
      </c>
      <c r="O89" s="64">
        <v>0</v>
      </c>
      <c r="P89" s="64">
        <v>0.44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48" t="s">
        <v>2822</v>
      </c>
      <c r="B90" s="64">
        <v>7.94</v>
      </c>
      <c r="C90" s="64">
        <v>2.94</v>
      </c>
      <c r="D90" s="64">
        <v>11.68</v>
      </c>
      <c r="E90" s="64">
        <v>4.83</v>
      </c>
      <c r="F90" s="64">
        <v>2.93</v>
      </c>
      <c r="G90" s="64">
        <v>38.9</v>
      </c>
      <c r="H90" s="64">
        <v>2.84</v>
      </c>
      <c r="I90" s="64">
        <v>2.75</v>
      </c>
      <c r="J90" s="64">
        <v>0.08</v>
      </c>
      <c r="K90" s="64">
        <v>154.9</v>
      </c>
      <c r="L90" s="64">
        <v>28.47</v>
      </c>
      <c r="M90" s="64">
        <v>92.72</v>
      </c>
      <c r="N90" s="64">
        <v>25.4</v>
      </c>
      <c r="O90" s="64">
        <v>0</v>
      </c>
      <c r="P90" s="64">
        <v>0.44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48" t="s">
        <v>2823</v>
      </c>
      <c r="B91" s="64">
        <v>7.94</v>
      </c>
      <c r="C91" s="64">
        <v>2.95</v>
      </c>
      <c r="D91" s="64">
        <v>11.68</v>
      </c>
      <c r="E91" s="64">
        <v>5.0999999999999996</v>
      </c>
      <c r="F91" s="64">
        <v>4.26</v>
      </c>
      <c r="G91" s="64">
        <v>38.9</v>
      </c>
      <c r="H91" s="64">
        <v>2.84</v>
      </c>
      <c r="I91" s="64">
        <v>2.81</v>
      </c>
      <c r="J91" s="64">
        <v>0.05</v>
      </c>
      <c r="K91" s="64">
        <v>219.34</v>
      </c>
      <c r="L91" s="64">
        <v>28.31</v>
      </c>
      <c r="M91" s="64">
        <v>93.61</v>
      </c>
      <c r="N91" s="64">
        <v>25.4</v>
      </c>
      <c r="O91" s="64">
        <v>0</v>
      </c>
      <c r="P91" s="64">
        <v>0.45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48" t="s">
        <v>2824</v>
      </c>
      <c r="B92" s="64">
        <v>7.95</v>
      </c>
      <c r="C92" s="64">
        <v>2.96</v>
      </c>
      <c r="D92" s="64">
        <v>11.7</v>
      </c>
      <c r="E92" s="64">
        <v>5.09</v>
      </c>
      <c r="F92" s="64">
        <v>3.14</v>
      </c>
      <c r="G92" s="64">
        <v>40.270000000000003</v>
      </c>
      <c r="H92" s="64">
        <v>1.7</v>
      </c>
      <c r="I92" s="64">
        <v>2.9</v>
      </c>
      <c r="J92" s="64">
        <v>0.08</v>
      </c>
      <c r="K92" s="64">
        <v>185.92</v>
      </c>
      <c r="L92" s="64">
        <v>28.35</v>
      </c>
      <c r="M92" s="64">
        <v>93.51</v>
      </c>
      <c r="N92" s="64">
        <v>25.2</v>
      </c>
      <c r="O92" s="64">
        <v>0</v>
      </c>
      <c r="P92" s="64">
        <v>0.45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48" t="s">
        <v>2825</v>
      </c>
      <c r="B93" s="64">
        <v>7.95</v>
      </c>
      <c r="C93" s="64">
        <v>2.92</v>
      </c>
      <c r="D93" s="64">
        <v>11.67</v>
      </c>
      <c r="E93" s="64">
        <v>5.45</v>
      </c>
      <c r="F93" s="64">
        <v>4.04</v>
      </c>
      <c r="G93" s="64">
        <v>40.33</v>
      </c>
      <c r="H93" s="64">
        <v>1.7</v>
      </c>
      <c r="I93" s="64">
        <v>3.07</v>
      </c>
      <c r="J93" s="64">
        <v>0.11</v>
      </c>
      <c r="K93" s="64">
        <v>193.44</v>
      </c>
      <c r="L93" s="64">
        <v>28.19</v>
      </c>
      <c r="M93" s="64">
        <v>95.63</v>
      </c>
      <c r="N93" s="64">
        <v>19.2</v>
      </c>
      <c r="O93" s="64">
        <v>0</v>
      </c>
      <c r="P93" s="64">
        <v>0.47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48" t="s">
        <v>2826</v>
      </c>
      <c r="B94" s="64">
        <v>8</v>
      </c>
      <c r="C94" s="64">
        <v>3.01</v>
      </c>
      <c r="D94" s="64">
        <v>11.76</v>
      </c>
      <c r="E94" s="64">
        <v>5.44</v>
      </c>
      <c r="F94" s="64">
        <v>2.69</v>
      </c>
      <c r="G94" s="64">
        <v>40.33</v>
      </c>
      <c r="H94" s="64">
        <v>1.7</v>
      </c>
      <c r="I94" s="64">
        <v>3.25</v>
      </c>
      <c r="J94" s="64">
        <v>0.18</v>
      </c>
      <c r="K94" s="64">
        <v>159.77000000000001</v>
      </c>
      <c r="L94" s="64">
        <v>28.09</v>
      </c>
      <c r="M94" s="64">
        <v>97.53</v>
      </c>
      <c r="N94" s="64">
        <v>24.3</v>
      </c>
      <c r="O94" s="64">
        <v>0</v>
      </c>
      <c r="P94" s="64">
        <v>0.46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48" t="s">
        <v>2827</v>
      </c>
      <c r="B95" s="64">
        <v>8.01</v>
      </c>
      <c r="C95" s="64">
        <v>3.03</v>
      </c>
      <c r="D95" s="64">
        <v>11.78</v>
      </c>
      <c r="E95" s="64">
        <v>5.24</v>
      </c>
      <c r="F95" s="64">
        <v>2.8</v>
      </c>
      <c r="G95" s="64">
        <v>40.33</v>
      </c>
      <c r="H95" s="64">
        <v>10.7</v>
      </c>
      <c r="I95" s="64">
        <v>3.31</v>
      </c>
      <c r="J95" s="64">
        <v>0.14000000000000001</v>
      </c>
      <c r="K95" s="64">
        <v>180.17</v>
      </c>
      <c r="L95" s="64">
        <v>27.82</v>
      </c>
      <c r="M95" s="64">
        <v>101.97</v>
      </c>
      <c r="N95" s="64">
        <v>25.3</v>
      </c>
      <c r="O95" s="64">
        <v>0</v>
      </c>
      <c r="P95" s="64">
        <v>0.46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48" t="s">
        <v>2828</v>
      </c>
      <c r="B96" s="64">
        <v>8.01</v>
      </c>
      <c r="C96" s="64">
        <v>3.01</v>
      </c>
      <c r="D96" s="64">
        <v>11.76</v>
      </c>
      <c r="E96" s="64">
        <v>5.24</v>
      </c>
      <c r="F96" s="64">
        <v>3.28</v>
      </c>
      <c r="G96" s="64">
        <v>41.42</v>
      </c>
      <c r="H96" s="64">
        <v>10.7</v>
      </c>
      <c r="I96" s="64">
        <v>3.41</v>
      </c>
      <c r="J96" s="64">
        <v>0.14000000000000001</v>
      </c>
      <c r="K96" s="64">
        <v>239.5</v>
      </c>
      <c r="L96" s="64">
        <v>27.81</v>
      </c>
      <c r="M96" s="64">
        <v>101.6</v>
      </c>
      <c r="N96" s="64">
        <v>25.3</v>
      </c>
      <c r="O96" s="64">
        <v>0</v>
      </c>
      <c r="P96" s="64">
        <v>0.45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2829</v>
      </c>
      <c r="B97" s="64">
        <v>8.01</v>
      </c>
      <c r="C97" s="64">
        <v>2.96</v>
      </c>
      <c r="D97" s="64">
        <v>11.74</v>
      </c>
      <c r="E97" s="64">
        <v>5.03</v>
      </c>
      <c r="F97" s="64">
        <v>3.22</v>
      </c>
      <c r="G97" s="64">
        <v>41.47</v>
      </c>
      <c r="H97" s="64">
        <v>11.7</v>
      </c>
      <c r="I97" s="64">
        <v>3.69</v>
      </c>
      <c r="J97" s="64">
        <v>0.01</v>
      </c>
      <c r="K97" s="64">
        <v>241.71</v>
      </c>
      <c r="L97" s="64">
        <v>27.87</v>
      </c>
      <c r="M97" s="64">
        <v>101.82</v>
      </c>
      <c r="N97" s="64">
        <v>25.3</v>
      </c>
      <c r="O97" s="64">
        <v>0</v>
      </c>
      <c r="P97" s="64">
        <v>0.45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48" t="s">
        <v>2830</v>
      </c>
      <c r="B98" s="64">
        <v>7.98</v>
      </c>
      <c r="C98" s="64">
        <v>2.93</v>
      </c>
      <c r="D98" s="64">
        <v>11.71</v>
      </c>
      <c r="E98" s="64">
        <v>5.23</v>
      </c>
      <c r="F98" s="64">
        <v>3.26</v>
      </c>
      <c r="G98" s="64">
        <v>41.47</v>
      </c>
      <c r="H98" s="64">
        <v>12.7</v>
      </c>
      <c r="I98" s="64">
        <v>3.87</v>
      </c>
      <c r="J98" s="64">
        <v>0.06</v>
      </c>
      <c r="K98" s="64">
        <v>332.34</v>
      </c>
      <c r="L98" s="64">
        <v>27.97</v>
      </c>
      <c r="M98" s="64">
        <v>100.23</v>
      </c>
      <c r="N98" s="64">
        <v>25.3</v>
      </c>
      <c r="O98" s="64">
        <v>0</v>
      </c>
      <c r="P98" s="64">
        <v>0.45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48" t="s">
        <v>2831</v>
      </c>
      <c r="B99" s="64">
        <v>8.02</v>
      </c>
      <c r="C99" s="64">
        <v>2.96</v>
      </c>
      <c r="D99" s="64">
        <v>11.76</v>
      </c>
      <c r="E99" s="64">
        <v>5.05</v>
      </c>
      <c r="F99" s="64">
        <v>3.52</v>
      </c>
      <c r="G99" s="64">
        <v>41.47</v>
      </c>
      <c r="H99" s="64">
        <v>12.7</v>
      </c>
      <c r="I99" s="64">
        <v>4.05</v>
      </c>
      <c r="J99" s="64">
        <v>0.19</v>
      </c>
      <c r="K99" s="64">
        <v>175.93</v>
      </c>
      <c r="L99" s="64">
        <v>27.91</v>
      </c>
      <c r="M99" s="64">
        <v>102.66</v>
      </c>
      <c r="N99" s="64">
        <v>25.4</v>
      </c>
      <c r="O99" s="64">
        <v>0</v>
      </c>
      <c r="P99" s="64">
        <v>0.44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48" t="s">
        <v>2832</v>
      </c>
      <c r="B100" s="64">
        <v>8.02</v>
      </c>
      <c r="C100" s="64">
        <v>3.01</v>
      </c>
      <c r="D100" s="64">
        <v>11.78</v>
      </c>
      <c r="E100" s="64">
        <v>5.51</v>
      </c>
      <c r="F100" s="64">
        <v>3.33</v>
      </c>
      <c r="G100" s="64">
        <v>42.89</v>
      </c>
      <c r="H100" s="64">
        <v>13.7</v>
      </c>
      <c r="I100" s="64">
        <v>4.0999999999999996</v>
      </c>
      <c r="J100" s="64">
        <v>0.04</v>
      </c>
      <c r="K100" s="64">
        <v>187.36</v>
      </c>
      <c r="L100" s="64">
        <v>27.79</v>
      </c>
      <c r="M100" s="64">
        <v>103.91</v>
      </c>
      <c r="N100" s="64">
        <v>25.5</v>
      </c>
      <c r="O100" s="64">
        <v>0</v>
      </c>
      <c r="P100" s="64">
        <v>0.44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2833</v>
      </c>
      <c r="B101" s="64">
        <v>8.0299999999999994</v>
      </c>
      <c r="C101" s="64">
        <v>3.04</v>
      </c>
      <c r="D101" s="64">
        <v>11.8</v>
      </c>
      <c r="E101" s="64">
        <v>5.8</v>
      </c>
      <c r="F101" s="64">
        <v>3.23</v>
      </c>
      <c r="G101" s="64">
        <v>42.96</v>
      </c>
      <c r="H101" s="64">
        <v>13.7</v>
      </c>
      <c r="I101" s="64">
        <v>4.22</v>
      </c>
      <c r="J101" s="64">
        <v>0.13</v>
      </c>
      <c r="K101" s="64">
        <v>158.05000000000001</v>
      </c>
      <c r="L101" s="64">
        <v>27.71</v>
      </c>
      <c r="M101" s="64">
        <v>103.93</v>
      </c>
      <c r="N101" s="64">
        <v>25.4</v>
      </c>
      <c r="O101" s="64">
        <v>0</v>
      </c>
      <c r="P101" s="64">
        <v>0.43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48" t="s">
        <v>2834</v>
      </c>
      <c r="B102" s="64">
        <v>7.99</v>
      </c>
      <c r="C102" s="64">
        <v>2.96</v>
      </c>
      <c r="D102" s="64">
        <v>11.73</v>
      </c>
      <c r="E102" s="64">
        <v>5.66</v>
      </c>
      <c r="F102" s="64">
        <v>2.94</v>
      </c>
      <c r="G102" s="64">
        <v>42.96</v>
      </c>
      <c r="H102" s="64">
        <v>13.7</v>
      </c>
      <c r="I102" s="64">
        <v>4.3899999999999997</v>
      </c>
      <c r="J102" s="64">
        <v>0.2</v>
      </c>
      <c r="K102" s="64">
        <v>141.99</v>
      </c>
      <c r="L102" s="64">
        <v>27.6</v>
      </c>
      <c r="M102" s="64">
        <v>103.93</v>
      </c>
      <c r="N102" s="64">
        <v>25.4</v>
      </c>
      <c r="O102" s="64">
        <v>0</v>
      </c>
      <c r="P102" s="64">
        <v>0.42</v>
      </c>
      <c r="Q102" s="64">
        <v>9.7100000000000009</v>
      </c>
      <c r="R102" s="198"/>
      <c r="S102" s="198"/>
      <c r="T102" s="198"/>
      <c r="U102" s="198"/>
    </row>
    <row r="103" spans="1:33" s="12" customFormat="1" x14ac:dyDescent="0.25">
      <c r="A103" s="248" t="s">
        <v>2835</v>
      </c>
      <c r="B103" s="64">
        <v>7.97</v>
      </c>
      <c r="C103" s="64">
        <v>2.91</v>
      </c>
      <c r="D103" s="64">
        <v>11.69</v>
      </c>
      <c r="E103" s="64">
        <v>5.15</v>
      </c>
      <c r="F103" s="64">
        <v>3.63</v>
      </c>
      <c r="G103" s="64">
        <v>42.96</v>
      </c>
      <c r="H103" s="64">
        <v>14.7</v>
      </c>
      <c r="I103" s="64">
        <v>4.46</v>
      </c>
      <c r="J103" s="64">
        <v>0.05</v>
      </c>
      <c r="K103" s="64">
        <v>337.28</v>
      </c>
      <c r="L103" s="64">
        <v>27.53</v>
      </c>
      <c r="M103" s="64">
        <v>103.94</v>
      </c>
      <c r="N103" s="64">
        <v>25.2</v>
      </c>
      <c r="O103" s="64">
        <v>0</v>
      </c>
      <c r="P103" s="64">
        <v>0.42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48" t="s">
        <v>2836</v>
      </c>
      <c r="B104" s="64">
        <v>7.96</v>
      </c>
      <c r="C104" s="64">
        <v>2.92</v>
      </c>
      <c r="D104" s="64">
        <v>11.68</v>
      </c>
      <c r="E104" s="64">
        <v>2.44</v>
      </c>
      <c r="F104" s="64">
        <v>4.13</v>
      </c>
      <c r="G104" s="64">
        <v>37.72</v>
      </c>
      <c r="H104" s="64">
        <v>31.53</v>
      </c>
      <c r="I104" s="64">
        <v>4.5</v>
      </c>
      <c r="J104" s="64">
        <v>0.04</v>
      </c>
      <c r="K104" s="64">
        <v>104</v>
      </c>
      <c r="L104" s="64">
        <v>27.45</v>
      </c>
      <c r="M104" s="64">
        <v>103.94</v>
      </c>
      <c r="N104" s="64">
        <v>25.4</v>
      </c>
      <c r="O104" s="64">
        <v>0</v>
      </c>
      <c r="P104" s="64">
        <v>0.41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2.89</v>
      </c>
      <c r="D106" s="67">
        <f t="shared" ref="D106:Q106" si="0">MIN(D9:D104)</f>
        <v>11.65</v>
      </c>
      <c r="E106" s="67">
        <f t="shared" si="0"/>
        <v>2.44</v>
      </c>
      <c r="F106" s="67">
        <f t="shared" si="0"/>
        <v>2.58</v>
      </c>
      <c r="G106" s="67">
        <f t="shared" si="0"/>
        <v>15.57</v>
      </c>
      <c r="H106" s="67">
        <f t="shared" si="0"/>
        <v>0.49</v>
      </c>
      <c r="I106" s="67">
        <f t="shared" si="0"/>
        <v>1.34</v>
      </c>
      <c r="J106" s="67">
        <f t="shared" si="0"/>
        <v>0.01</v>
      </c>
      <c r="K106" s="67">
        <f t="shared" si="0"/>
        <v>1</v>
      </c>
      <c r="L106" s="67">
        <f t="shared" si="0"/>
        <v>25.69</v>
      </c>
      <c r="M106" s="67">
        <f t="shared" si="0"/>
        <v>71.3</v>
      </c>
      <c r="N106" s="67">
        <f t="shared" si="0"/>
        <v>0</v>
      </c>
      <c r="O106" s="67">
        <f t="shared" si="0"/>
        <v>0</v>
      </c>
      <c r="P106" s="67">
        <f t="shared" si="0"/>
        <v>0.3</v>
      </c>
      <c r="Q106" s="67">
        <f t="shared" si="0"/>
        <v>9.48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8.0399999999999991</v>
      </c>
      <c r="C107" s="66">
        <f t="shared" ref="C107:Q107" si="1">MAX(C9:C104)</f>
        <v>3.1</v>
      </c>
      <c r="D107" s="66">
        <f t="shared" si="1"/>
        <v>11.81</v>
      </c>
      <c r="E107" s="66">
        <f t="shared" si="1"/>
        <v>5.8</v>
      </c>
      <c r="F107" s="66">
        <f t="shared" si="1"/>
        <v>5.48</v>
      </c>
      <c r="G107" s="66">
        <f t="shared" si="1"/>
        <v>42.96</v>
      </c>
      <c r="H107" s="66">
        <f t="shared" si="1"/>
        <v>37.64</v>
      </c>
      <c r="I107" s="66">
        <f t="shared" si="1"/>
        <v>4.5</v>
      </c>
      <c r="J107" s="66">
        <f t="shared" si="1"/>
        <v>0.34</v>
      </c>
      <c r="K107" s="66">
        <f t="shared" si="1"/>
        <v>359.17</v>
      </c>
      <c r="L107" s="66">
        <f t="shared" si="1"/>
        <v>32.130000000000003</v>
      </c>
      <c r="M107" s="66">
        <f t="shared" si="1"/>
        <v>105.68</v>
      </c>
      <c r="N107" s="66">
        <f t="shared" si="1"/>
        <v>925.1</v>
      </c>
      <c r="O107" s="66">
        <f t="shared" si="1"/>
        <v>0</v>
      </c>
      <c r="P107" s="66">
        <f t="shared" si="1"/>
        <v>0.6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7.9732291666666733</v>
      </c>
      <c r="C108" s="67">
        <f t="shared" ref="C108:Q108" si="2">AVERAGE(C9:C104)</f>
        <v>2.9704166666666665</v>
      </c>
      <c r="D108" s="67">
        <f t="shared" si="2"/>
        <v>11.718958333333338</v>
      </c>
      <c r="E108" s="67">
        <f t="shared" si="2"/>
        <v>4.5213541666666677</v>
      </c>
      <c r="F108" s="67">
        <f t="shared" si="2"/>
        <v>3.8677083333333333</v>
      </c>
      <c r="G108" s="67">
        <f t="shared" si="2"/>
        <v>28.42822916666665</v>
      </c>
      <c r="H108" s="67">
        <f t="shared" si="2"/>
        <v>9.9628125000000125</v>
      </c>
      <c r="I108" s="67">
        <f t="shared" si="2"/>
        <v>2.7359375000000004</v>
      </c>
      <c r="J108" s="67">
        <f t="shared" si="2"/>
        <v>0.15729166666666669</v>
      </c>
      <c r="K108" s="67">
        <f t="shared" si="2"/>
        <v>256.5209375</v>
      </c>
      <c r="L108" s="67">
        <f t="shared" si="2"/>
        <v>28.415416666666658</v>
      </c>
      <c r="M108" s="67">
        <f t="shared" si="2"/>
        <v>92.267812500000034</v>
      </c>
      <c r="N108" s="67">
        <f t="shared" si="2"/>
        <v>150.59791666666663</v>
      </c>
      <c r="O108" s="67">
        <f t="shared" si="2"/>
        <v>0</v>
      </c>
      <c r="P108" s="67">
        <f t="shared" si="2"/>
        <v>0.39020833333333343</v>
      </c>
      <c r="Q108" s="67">
        <f t="shared" si="2"/>
        <v>9.5812499999999954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2.502608288489027E-2</v>
      </c>
      <c r="C109" s="67">
        <f t="shared" ref="C109:Q109" si="3">STDEV(C9:C104)</f>
        <v>3.909278212196067E-2</v>
      </c>
      <c r="D109" s="67">
        <f t="shared" si="3"/>
        <v>3.6113247800034096E-2</v>
      </c>
      <c r="E109" s="67">
        <f t="shared" si="3"/>
        <v>0.6004184852718405</v>
      </c>
      <c r="F109" s="67">
        <f t="shared" si="3"/>
        <v>0.66196593832973638</v>
      </c>
      <c r="G109" s="67">
        <f t="shared" si="3"/>
        <v>8.3278959236623376</v>
      </c>
      <c r="H109" s="67">
        <f t="shared" si="3"/>
        <v>9.7827208251805242</v>
      </c>
      <c r="I109" s="67">
        <f t="shared" si="3"/>
        <v>0.88681521023562826</v>
      </c>
      <c r="J109" s="67">
        <f t="shared" si="3"/>
        <v>8.7075033181209696E-2</v>
      </c>
      <c r="K109" s="67">
        <f t="shared" si="3"/>
        <v>111.56477774749837</v>
      </c>
      <c r="L109" s="67">
        <f t="shared" si="3"/>
        <v>2.2047207326035489</v>
      </c>
      <c r="M109" s="67">
        <f t="shared" si="3"/>
        <v>13.283155158091724</v>
      </c>
      <c r="N109" s="67">
        <f t="shared" si="3"/>
        <v>225.53854378455176</v>
      </c>
      <c r="O109" s="67">
        <f t="shared" si="3"/>
        <v>0</v>
      </c>
      <c r="P109" s="67">
        <f t="shared" si="3"/>
        <v>7.091847308396737E-2</v>
      </c>
      <c r="Q109" s="67">
        <f t="shared" si="3"/>
        <v>5.4853872866198521E-2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8" t="s">
        <v>2837</v>
      </c>
      <c r="B9" s="64">
        <v>7.94</v>
      </c>
      <c r="C9" s="64">
        <v>2.96</v>
      </c>
      <c r="D9" s="64">
        <v>11.69</v>
      </c>
      <c r="E9" s="64">
        <v>3.88</v>
      </c>
      <c r="F9" s="64">
        <v>3.36</v>
      </c>
      <c r="G9" s="64">
        <v>37.479999999999997</v>
      </c>
      <c r="H9" s="64">
        <v>31.53</v>
      </c>
      <c r="I9" s="64">
        <v>4.37</v>
      </c>
      <c r="J9" s="64">
        <v>0.05</v>
      </c>
      <c r="K9" s="64">
        <v>91.99</v>
      </c>
      <c r="L9" s="64">
        <v>27.4</v>
      </c>
      <c r="M9" s="64">
        <v>103.94</v>
      </c>
      <c r="N9" s="64">
        <v>25.2</v>
      </c>
      <c r="O9" s="64">
        <v>0</v>
      </c>
      <c r="P9" s="64">
        <v>0.4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48" t="s">
        <v>2838</v>
      </c>
      <c r="B10" s="64">
        <v>7.95</v>
      </c>
      <c r="C10" s="64">
        <v>2.96</v>
      </c>
      <c r="D10" s="64">
        <v>11.7</v>
      </c>
      <c r="E10" s="64">
        <v>3.7</v>
      </c>
      <c r="F10" s="64">
        <v>4.05</v>
      </c>
      <c r="G10" s="64">
        <v>37.479999999999997</v>
      </c>
      <c r="H10" s="64">
        <v>31.53</v>
      </c>
      <c r="I10" s="64">
        <v>4.33</v>
      </c>
      <c r="J10" s="64">
        <v>0.09</v>
      </c>
      <c r="K10" s="64">
        <v>44.14</v>
      </c>
      <c r="L10" s="64">
        <v>27.4</v>
      </c>
      <c r="M10" s="64">
        <v>103.74</v>
      </c>
      <c r="N10" s="64">
        <v>25.4</v>
      </c>
      <c r="O10" s="64">
        <v>0</v>
      </c>
      <c r="P10" s="64">
        <v>0.39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48" t="s">
        <v>2839</v>
      </c>
      <c r="B11" s="64">
        <v>7.94</v>
      </c>
      <c r="C11" s="64">
        <v>2.92</v>
      </c>
      <c r="D11" s="64">
        <v>11.67</v>
      </c>
      <c r="E11" s="64">
        <v>3.62</v>
      </c>
      <c r="F11" s="64">
        <v>2.77</v>
      </c>
      <c r="G11" s="64">
        <v>37.479999999999997</v>
      </c>
      <c r="H11" s="64">
        <v>31.53</v>
      </c>
      <c r="I11" s="64">
        <v>4.22</v>
      </c>
      <c r="J11" s="64">
        <v>0.21</v>
      </c>
      <c r="K11" s="64">
        <v>354.76</v>
      </c>
      <c r="L11" s="64">
        <v>27.44</v>
      </c>
      <c r="M11" s="64">
        <v>103.11</v>
      </c>
      <c r="N11" s="64">
        <v>18.7</v>
      </c>
      <c r="O11" s="64">
        <v>0</v>
      </c>
      <c r="P11" s="64">
        <v>0.38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48" t="s">
        <v>2840</v>
      </c>
      <c r="B12" s="64">
        <v>7.97</v>
      </c>
      <c r="C12" s="64">
        <v>2.94</v>
      </c>
      <c r="D12" s="64">
        <v>11.7</v>
      </c>
      <c r="E12" s="64">
        <v>3.72</v>
      </c>
      <c r="F12" s="64">
        <v>4.42</v>
      </c>
      <c r="G12" s="64">
        <v>32.24</v>
      </c>
      <c r="H12" s="64">
        <v>5.54</v>
      </c>
      <c r="I12" s="64">
        <v>4.13</v>
      </c>
      <c r="J12" s="64">
        <v>0.12</v>
      </c>
      <c r="K12" s="64">
        <v>349.19</v>
      </c>
      <c r="L12" s="64">
        <v>27.43</v>
      </c>
      <c r="M12" s="64">
        <v>103.02</v>
      </c>
      <c r="N12" s="64">
        <v>22.6</v>
      </c>
      <c r="O12" s="64">
        <v>0</v>
      </c>
      <c r="P12" s="64">
        <v>0.37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48" t="s">
        <v>2841</v>
      </c>
      <c r="B13" s="64">
        <v>7.94</v>
      </c>
      <c r="C13" s="64">
        <v>2.94</v>
      </c>
      <c r="D13" s="64">
        <v>11.67</v>
      </c>
      <c r="E13" s="64">
        <v>3.87</v>
      </c>
      <c r="F13" s="64">
        <v>2.7</v>
      </c>
      <c r="G13" s="64">
        <v>32</v>
      </c>
      <c r="H13" s="64">
        <v>5.54</v>
      </c>
      <c r="I13" s="64">
        <v>3.95</v>
      </c>
      <c r="J13" s="64">
        <v>0.18</v>
      </c>
      <c r="K13" s="64">
        <v>352.79</v>
      </c>
      <c r="L13" s="64">
        <v>27.4</v>
      </c>
      <c r="M13" s="64">
        <v>102.77</v>
      </c>
      <c r="N13" s="64">
        <v>23.8</v>
      </c>
      <c r="O13" s="64">
        <v>0</v>
      </c>
      <c r="P13" s="64">
        <v>0.35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48" t="s">
        <v>2842</v>
      </c>
      <c r="B14" s="64">
        <v>7.95</v>
      </c>
      <c r="C14" s="64">
        <v>2.95</v>
      </c>
      <c r="D14" s="64">
        <v>11.69</v>
      </c>
      <c r="E14" s="64">
        <v>3.51</v>
      </c>
      <c r="F14" s="64">
        <v>4.45</v>
      </c>
      <c r="G14" s="64">
        <v>32</v>
      </c>
      <c r="H14" s="64">
        <v>5.54</v>
      </c>
      <c r="I14" s="64">
        <v>3.86</v>
      </c>
      <c r="J14" s="64">
        <v>0.18</v>
      </c>
      <c r="K14" s="64">
        <v>355.56</v>
      </c>
      <c r="L14" s="64">
        <v>27.34</v>
      </c>
      <c r="M14" s="64">
        <v>102.41</v>
      </c>
      <c r="N14" s="64">
        <v>17.899999999999999</v>
      </c>
      <c r="O14" s="64">
        <v>0</v>
      </c>
      <c r="P14" s="64">
        <v>0.36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48" t="s">
        <v>2843</v>
      </c>
      <c r="B15" s="64">
        <v>7.95</v>
      </c>
      <c r="C15" s="64">
        <v>2.96</v>
      </c>
      <c r="D15" s="64">
        <v>11.7</v>
      </c>
      <c r="E15" s="64">
        <v>3.86</v>
      </c>
      <c r="F15" s="64">
        <v>2.46</v>
      </c>
      <c r="G15" s="64">
        <v>32</v>
      </c>
      <c r="H15" s="64">
        <v>5.54</v>
      </c>
      <c r="I15" s="64">
        <v>3.65</v>
      </c>
      <c r="J15" s="64">
        <v>0.18</v>
      </c>
      <c r="K15" s="64">
        <v>337.1</v>
      </c>
      <c r="L15" s="64">
        <v>27.3</v>
      </c>
      <c r="M15" s="64">
        <v>102.21</v>
      </c>
      <c r="N15" s="64">
        <v>19.899999999999999</v>
      </c>
      <c r="O15" s="64">
        <v>0</v>
      </c>
      <c r="P15" s="64">
        <v>0.34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48" t="s">
        <v>2844</v>
      </c>
      <c r="B16" s="64">
        <v>7.98</v>
      </c>
      <c r="C16" s="64">
        <v>2.99</v>
      </c>
      <c r="D16" s="64">
        <v>11.74</v>
      </c>
      <c r="E16" s="64">
        <v>3.37</v>
      </c>
      <c r="F16" s="64">
        <v>3.79</v>
      </c>
      <c r="G16" s="64">
        <v>25.97</v>
      </c>
      <c r="H16" s="64">
        <v>15.94</v>
      </c>
      <c r="I16" s="64">
        <v>3.52</v>
      </c>
      <c r="J16" s="64">
        <v>0.14000000000000001</v>
      </c>
      <c r="K16" s="64">
        <v>352.38</v>
      </c>
      <c r="L16" s="64">
        <v>27.3</v>
      </c>
      <c r="M16" s="64">
        <v>101.45</v>
      </c>
      <c r="N16" s="64">
        <v>25.4</v>
      </c>
      <c r="O16" s="64">
        <v>0</v>
      </c>
      <c r="P16" s="64">
        <v>0.33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48" t="s">
        <v>2845</v>
      </c>
      <c r="B17" s="64">
        <v>8</v>
      </c>
      <c r="C17" s="64">
        <v>3.03</v>
      </c>
      <c r="D17" s="64">
        <v>11.77</v>
      </c>
      <c r="E17" s="64">
        <v>3.36</v>
      </c>
      <c r="F17" s="64">
        <v>3.3</v>
      </c>
      <c r="G17" s="64">
        <v>25.69</v>
      </c>
      <c r="H17" s="64">
        <v>15.94</v>
      </c>
      <c r="I17" s="64">
        <v>3.38</v>
      </c>
      <c r="J17" s="64">
        <v>0.19</v>
      </c>
      <c r="K17" s="64">
        <v>342.42</v>
      </c>
      <c r="L17" s="64">
        <v>27.21</v>
      </c>
      <c r="M17" s="64">
        <v>101.4</v>
      </c>
      <c r="N17" s="64">
        <v>25.6</v>
      </c>
      <c r="O17" s="64">
        <v>0</v>
      </c>
      <c r="P17" s="64">
        <v>0.32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48" t="s">
        <v>2846</v>
      </c>
      <c r="B18" s="64">
        <v>8</v>
      </c>
      <c r="C18" s="64">
        <v>3.02</v>
      </c>
      <c r="D18" s="64">
        <v>11.77</v>
      </c>
      <c r="E18" s="64">
        <v>3.59</v>
      </c>
      <c r="F18" s="64">
        <v>3.48</v>
      </c>
      <c r="G18" s="64">
        <v>25.69</v>
      </c>
      <c r="H18" s="64">
        <v>12.94</v>
      </c>
      <c r="I18" s="64">
        <v>3.35</v>
      </c>
      <c r="J18" s="64">
        <v>0.2</v>
      </c>
      <c r="K18" s="64">
        <v>340.3</v>
      </c>
      <c r="L18" s="64">
        <v>27.21</v>
      </c>
      <c r="M18" s="64">
        <v>101.14</v>
      </c>
      <c r="N18" s="64">
        <v>25.6</v>
      </c>
      <c r="O18" s="64">
        <v>0</v>
      </c>
      <c r="P18" s="64">
        <v>0.31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48" t="s">
        <v>2847</v>
      </c>
      <c r="B19" s="64">
        <v>8</v>
      </c>
      <c r="C19" s="64">
        <v>2.95</v>
      </c>
      <c r="D19" s="64">
        <v>11.73</v>
      </c>
      <c r="E19" s="64">
        <v>3.75</v>
      </c>
      <c r="F19" s="64">
        <v>3.45</v>
      </c>
      <c r="G19" s="64">
        <v>25.69</v>
      </c>
      <c r="H19" s="64">
        <v>12.94</v>
      </c>
      <c r="I19" s="64">
        <v>3.26</v>
      </c>
      <c r="J19" s="64">
        <v>0.19</v>
      </c>
      <c r="K19" s="64">
        <v>332.22</v>
      </c>
      <c r="L19" s="64">
        <v>27.09</v>
      </c>
      <c r="M19" s="64">
        <v>101.6</v>
      </c>
      <c r="N19" s="64">
        <v>25.7</v>
      </c>
      <c r="O19" s="64">
        <v>0</v>
      </c>
      <c r="P19" s="64">
        <v>0.3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48" t="s">
        <v>2848</v>
      </c>
      <c r="B20" s="64">
        <v>7.97</v>
      </c>
      <c r="C20" s="64">
        <v>2.95</v>
      </c>
      <c r="D20" s="64">
        <v>11.71</v>
      </c>
      <c r="E20" s="64">
        <v>3.46</v>
      </c>
      <c r="F20" s="64">
        <v>3.61</v>
      </c>
      <c r="G20" s="64">
        <v>23.26</v>
      </c>
      <c r="H20" s="64">
        <v>20.14</v>
      </c>
      <c r="I20" s="64">
        <v>3.17</v>
      </c>
      <c r="J20" s="64">
        <v>0.1</v>
      </c>
      <c r="K20" s="64">
        <v>342.79</v>
      </c>
      <c r="L20" s="64">
        <v>26.98</v>
      </c>
      <c r="M20" s="64">
        <v>102.31</v>
      </c>
      <c r="N20" s="64">
        <v>25.7</v>
      </c>
      <c r="O20" s="64">
        <v>0</v>
      </c>
      <c r="P20" s="64">
        <v>0.3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48" t="s">
        <v>2849</v>
      </c>
      <c r="B21" s="64">
        <v>7.98</v>
      </c>
      <c r="C21" s="64">
        <v>2.98</v>
      </c>
      <c r="D21" s="64">
        <v>11.73</v>
      </c>
      <c r="E21" s="64">
        <v>3.58</v>
      </c>
      <c r="F21" s="64">
        <v>3.24</v>
      </c>
      <c r="G21" s="64">
        <v>23.14</v>
      </c>
      <c r="H21" s="64">
        <v>20.14</v>
      </c>
      <c r="I21" s="64">
        <v>3.08</v>
      </c>
      <c r="J21" s="64">
        <v>0.16</v>
      </c>
      <c r="K21" s="64">
        <v>319.92</v>
      </c>
      <c r="L21" s="64">
        <v>26.9</v>
      </c>
      <c r="M21" s="64">
        <v>103.58</v>
      </c>
      <c r="N21" s="64">
        <v>25.8</v>
      </c>
      <c r="O21" s="64">
        <v>0</v>
      </c>
      <c r="P21" s="64">
        <v>0.3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48" t="s">
        <v>2850</v>
      </c>
      <c r="B22" s="64">
        <v>7.97</v>
      </c>
      <c r="C22" s="64">
        <v>2.95</v>
      </c>
      <c r="D22" s="64">
        <v>11.71</v>
      </c>
      <c r="E22" s="64">
        <v>3.44</v>
      </c>
      <c r="F22" s="64">
        <v>2.98</v>
      </c>
      <c r="G22" s="64">
        <v>23.14</v>
      </c>
      <c r="H22" s="64">
        <v>20.14</v>
      </c>
      <c r="I22" s="64">
        <v>3.16</v>
      </c>
      <c r="J22" s="64">
        <v>0.16</v>
      </c>
      <c r="K22" s="64">
        <v>342.6</v>
      </c>
      <c r="L22" s="64">
        <v>26.82</v>
      </c>
      <c r="M22" s="64">
        <v>103.95</v>
      </c>
      <c r="N22" s="64">
        <v>25.7</v>
      </c>
      <c r="O22" s="64">
        <v>0</v>
      </c>
      <c r="P22" s="64">
        <v>0.28999999999999998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48" t="s">
        <v>2851</v>
      </c>
      <c r="B23" s="64">
        <v>7.97</v>
      </c>
      <c r="C23" s="64">
        <v>2.93</v>
      </c>
      <c r="D23" s="64">
        <v>11.7</v>
      </c>
      <c r="E23" s="64">
        <v>3.38</v>
      </c>
      <c r="F23" s="64">
        <v>3.91</v>
      </c>
      <c r="G23" s="64">
        <v>23.14</v>
      </c>
      <c r="H23" s="64">
        <v>20.14</v>
      </c>
      <c r="I23" s="64">
        <v>3.02</v>
      </c>
      <c r="J23" s="64">
        <v>0.08</v>
      </c>
      <c r="K23" s="64">
        <v>342.46</v>
      </c>
      <c r="L23" s="64">
        <v>26.66</v>
      </c>
      <c r="M23" s="64">
        <v>103.98</v>
      </c>
      <c r="N23" s="64">
        <v>25.7</v>
      </c>
      <c r="O23" s="64">
        <v>0</v>
      </c>
      <c r="P23" s="64">
        <v>0.28999999999999998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48" t="s">
        <v>2852</v>
      </c>
      <c r="B24" s="64">
        <v>7.96</v>
      </c>
      <c r="C24" s="64">
        <v>2.92</v>
      </c>
      <c r="D24" s="64">
        <v>11.69</v>
      </c>
      <c r="E24" s="64">
        <v>3.94</v>
      </c>
      <c r="F24" s="64">
        <v>3.32</v>
      </c>
      <c r="G24" s="64">
        <v>21.22</v>
      </c>
      <c r="H24" s="64">
        <v>21.89</v>
      </c>
      <c r="I24" s="64">
        <v>3.23</v>
      </c>
      <c r="J24" s="64">
        <v>0.03</v>
      </c>
      <c r="K24" s="64">
        <v>69.83</v>
      </c>
      <c r="L24" s="64">
        <v>26.51</v>
      </c>
      <c r="M24" s="64">
        <v>103.99</v>
      </c>
      <c r="N24" s="64">
        <v>24.8</v>
      </c>
      <c r="O24" s="64">
        <v>0</v>
      </c>
      <c r="P24" s="64">
        <v>0.28999999999999998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48" t="s">
        <v>2853</v>
      </c>
      <c r="B25" s="64">
        <v>7.94</v>
      </c>
      <c r="C25" s="64">
        <v>2.94</v>
      </c>
      <c r="D25" s="64">
        <v>11.68</v>
      </c>
      <c r="E25" s="64">
        <v>4.0599999999999996</v>
      </c>
      <c r="F25" s="64">
        <v>4.37</v>
      </c>
      <c r="G25" s="64">
        <v>21.13</v>
      </c>
      <c r="H25" s="64">
        <v>19.89</v>
      </c>
      <c r="I25" s="64">
        <v>3.02</v>
      </c>
      <c r="J25" s="64">
        <v>0.05</v>
      </c>
      <c r="K25" s="64">
        <v>113.58</v>
      </c>
      <c r="L25" s="64">
        <v>26.35</v>
      </c>
      <c r="M25" s="64">
        <v>104.02</v>
      </c>
      <c r="N25" s="64">
        <v>25.4</v>
      </c>
      <c r="O25" s="64">
        <v>0</v>
      </c>
      <c r="P25" s="64">
        <v>0.28000000000000003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48" t="s">
        <v>2854</v>
      </c>
      <c r="B26" s="64">
        <v>7.96</v>
      </c>
      <c r="C26" s="64">
        <v>2.95</v>
      </c>
      <c r="D26" s="64">
        <v>11.7</v>
      </c>
      <c r="E26" s="64">
        <v>4.0199999999999996</v>
      </c>
      <c r="F26" s="64">
        <v>3.33</v>
      </c>
      <c r="G26" s="64">
        <v>21.13</v>
      </c>
      <c r="H26" s="64">
        <v>19.89</v>
      </c>
      <c r="I26" s="64">
        <v>2.97</v>
      </c>
      <c r="J26" s="64">
        <v>0.06</v>
      </c>
      <c r="K26" s="64">
        <v>69.28</v>
      </c>
      <c r="L26" s="64">
        <v>26.24</v>
      </c>
      <c r="M26" s="64">
        <v>104.03</v>
      </c>
      <c r="N26" s="64">
        <v>25.4</v>
      </c>
      <c r="O26" s="64">
        <v>0</v>
      </c>
      <c r="P26" s="64">
        <v>0.27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48" t="s">
        <v>2855</v>
      </c>
      <c r="B27" s="64">
        <v>7.97</v>
      </c>
      <c r="C27" s="64">
        <v>2.92</v>
      </c>
      <c r="D27" s="64">
        <v>11.69</v>
      </c>
      <c r="E27" s="64">
        <v>3.91</v>
      </c>
      <c r="F27" s="64">
        <v>4.54</v>
      </c>
      <c r="G27" s="64">
        <v>21.13</v>
      </c>
      <c r="H27" s="64">
        <v>19.89</v>
      </c>
      <c r="I27" s="64">
        <v>2.95</v>
      </c>
      <c r="J27" s="64">
        <v>0.03</v>
      </c>
      <c r="K27" s="64">
        <v>197.98</v>
      </c>
      <c r="L27" s="64">
        <v>26.11</v>
      </c>
      <c r="M27" s="64">
        <v>104.04</v>
      </c>
      <c r="N27" s="64">
        <v>20.2</v>
      </c>
      <c r="O27" s="64">
        <v>0</v>
      </c>
      <c r="P27" s="64">
        <v>0.27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48" t="s">
        <v>2856</v>
      </c>
      <c r="B28" s="64">
        <v>7.94</v>
      </c>
      <c r="C28" s="64">
        <v>2.91</v>
      </c>
      <c r="D28" s="64">
        <v>11.66</v>
      </c>
      <c r="E28" s="64">
        <v>3.74</v>
      </c>
      <c r="F28" s="64">
        <v>3.29</v>
      </c>
      <c r="G28" s="64">
        <v>21.02</v>
      </c>
      <c r="H28" s="64">
        <v>3.59</v>
      </c>
      <c r="I28" s="64">
        <v>2.93</v>
      </c>
      <c r="J28" s="64">
        <v>0.08</v>
      </c>
      <c r="K28" s="64">
        <v>171.58</v>
      </c>
      <c r="L28" s="64">
        <v>25.96</v>
      </c>
      <c r="M28" s="64">
        <v>104.03</v>
      </c>
      <c r="N28" s="64">
        <v>25.3</v>
      </c>
      <c r="O28" s="64">
        <v>0</v>
      </c>
      <c r="P28" s="64">
        <v>0.26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48" t="s">
        <v>2857</v>
      </c>
      <c r="B29" s="64">
        <v>7.93</v>
      </c>
      <c r="C29" s="64">
        <v>2.92</v>
      </c>
      <c r="D29" s="64">
        <v>11.66</v>
      </c>
      <c r="E29" s="64">
        <v>3.86</v>
      </c>
      <c r="F29" s="64">
        <v>3.74</v>
      </c>
      <c r="G29" s="64">
        <v>21.01</v>
      </c>
      <c r="H29" s="64">
        <v>3.59</v>
      </c>
      <c r="I29" s="64">
        <v>2.92</v>
      </c>
      <c r="J29" s="64">
        <v>0.31</v>
      </c>
      <c r="K29" s="64">
        <v>129.77000000000001</v>
      </c>
      <c r="L29" s="64">
        <v>25.8</v>
      </c>
      <c r="M29" s="64">
        <v>104.04</v>
      </c>
      <c r="N29" s="64">
        <v>8.6</v>
      </c>
      <c r="O29" s="64">
        <v>0</v>
      </c>
      <c r="P29" s="64">
        <v>0.27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48" t="s">
        <v>2858</v>
      </c>
      <c r="B30" s="64">
        <v>7.93</v>
      </c>
      <c r="C30" s="64">
        <v>2.88</v>
      </c>
      <c r="D30" s="64">
        <v>11.64</v>
      </c>
      <c r="E30" s="64">
        <v>3.75</v>
      </c>
      <c r="F30" s="64">
        <v>3.15</v>
      </c>
      <c r="G30" s="64">
        <v>21.01</v>
      </c>
      <c r="H30" s="64">
        <v>3.59</v>
      </c>
      <c r="I30" s="64">
        <v>3.15</v>
      </c>
      <c r="J30" s="64">
        <v>0.1</v>
      </c>
      <c r="K30" s="64">
        <v>5.64</v>
      </c>
      <c r="L30" s="64">
        <v>25.72</v>
      </c>
      <c r="M30" s="64">
        <v>104.04</v>
      </c>
      <c r="N30" s="64">
        <v>23.1</v>
      </c>
      <c r="O30" s="64">
        <v>0</v>
      </c>
      <c r="P30" s="64">
        <v>0.26</v>
      </c>
      <c r="Q30" s="64">
        <v>9.5500000000000007</v>
      </c>
      <c r="R30" s="198"/>
      <c r="S30" s="198"/>
      <c r="T30" s="198"/>
      <c r="U30" s="198"/>
    </row>
    <row r="31" spans="1:21" s="12" customFormat="1" x14ac:dyDescent="0.25">
      <c r="A31" s="248" t="s">
        <v>2859</v>
      </c>
      <c r="B31" s="64">
        <v>7.93</v>
      </c>
      <c r="C31" s="64">
        <v>2.9</v>
      </c>
      <c r="D31" s="64">
        <v>11.65</v>
      </c>
      <c r="E31" s="64">
        <v>3.77</v>
      </c>
      <c r="F31" s="64">
        <v>3.3</v>
      </c>
      <c r="G31" s="64">
        <v>21.01</v>
      </c>
      <c r="H31" s="64">
        <v>3.59</v>
      </c>
      <c r="I31" s="64">
        <v>2.98</v>
      </c>
      <c r="J31" s="64">
        <v>7.0000000000000007E-2</v>
      </c>
      <c r="K31" s="64">
        <v>216.44</v>
      </c>
      <c r="L31" s="64">
        <v>25.63</v>
      </c>
      <c r="M31" s="64">
        <v>104.08</v>
      </c>
      <c r="N31" s="64">
        <v>18</v>
      </c>
      <c r="O31" s="64">
        <v>0</v>
      </c>
      <c r="P31" s="64">
        <v>0.26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48" t="s">
        <v>2860</v>
      </c>
      <c r="B32" s="64">
        <v>7.93</v>
      </c>
      <c r="C32" s="64">
        <v>2.96</v>
      </c>
      <c r="D32" s="64">
        <v>11.68</v>
      </c>
      <c r="E32" s="64">
        <v>3.51</v>
      </c>
      <c r="F32" s="64">
        <v>2.98</v>
      </c>
      <c r="G32" s="64">
        <v>18.489999999999998</v>
      </c>
      <c r="H32" s="64">
        <v>12.36</v>
      </c>
      <c r="I32" s="64">
        <v>2.98</v>
      </c>
      <c r="J32" s="64">
        <v>0.03</v>
      </c>
      <c r="K32" s="64">
        <v>297.87</v>
      </c>
      <c r="L32" s="64">
        <v>25.7</v>
      </c>
      <c r="M32" s="64">
        <v>104.08</v>
      </c>
      <c r="N32" s="64">
        <v>30.3</v>
      </c>
      <c r="O32" s="64">
        <v>0</v>
      </c>
      <c r="P32" s="64">
        <v>0.25</v>
      </c>
      <c r="Q32" s="64">
        <v>9.5500000000000007</v>
      </c>
      <c r="R32" s="198"/>
      <c r="S32" s="198"/>
      <c r="T32" s="198"/>
      <c r="U32" s="198"/>
    </row>
    <row r="33" spans="1:21" s="12" customFormat="1" x14ac:dyDescent="0.25">
      <c r="A33" s="248" t="s">
        <v>2861</v>
      </c>
      <c r="B33" s="64">
        <v>8</v>
      </c>
      <c r="C33" s="64">
        <v>3.01</v>
      </c>
      <c r="D33" s="64">
        <v>11.76</v>
      </c>
      <c r="E33" s="64">
        <v>3.59</v>
      </c>
      <c r="F33" s="64">
        <v>3.16</v>
      </c>
      <c r="G33" s="64">
        <v>18.38</v>
      </c>
      <c r="H33" s="64">
        <v>11.36</v>
      </c>
      <c r="I33" s="64">
        <v>3.17</v>
      </c>
      <c r="J33" s="64">
        <v>0.06</v>
      </c>
      <c r="K33" s="64">
        <v>284.32</v>
      </c>
      <c r="L33" s="64">
        <v>25.85</v>
      </c>
      <c r="M33" s="64">
        <v>104.05</v>
      </c>
      <c r="N33" s="64">
        <v>40.799999999999997</v>
      </c>
      <c r="O33" s="64">
        <v>0</v>
      </c>
      <c r="P33" s="64">
        <v>0.25</v>
      </c>
      <c r="Q33" s="64">
        <v>9.58</v>
      </c>
      <c r="R33" s="198"/>
      <c r="S33" s="198"/>
      <c r="T33" s="198"/>
      <c r="U33" s="198"/>
    </row>
    <row r="34" spans="1:21" s="12" customFormat="1" x14ac:dyDescent="0.25">
      <c r="A34" s="248" t="s">
        <v>2862</v>
      </c>
      <c r="B34" s="64">
        <v>8</v>
      </c>
      <c r="C34" s="64">
        <v>3.01</v>
      </c>
      <c r="D34" s="64">
        <v>11.76</v>
      </c>
      <c r="E34" s="64">
        <v>3.42</v>
      </c>
      <c r="F34" s="64">
        <v>3.4</v>
      </c>
      <c r="G34" s="64">
        <v>18.38</v>
      </c>
      <c r="H34" s="64">
        <v>12.36</v>
      </c>
      <c r="I34" s="64">
        <v>3</v>
      </c>
      <c r="J34" s="64">
        <v>0.36</v>
      </c>
      <c r="K34" s="64">
        <v>141.13999999999999</v>
      </c>
      <c r="L34" s="64">
        <v>25.97</v>
      </c>
      <c r="M34" s="64">
        <v>104.05</v>
      </c>
      <c r="N34" s="64">
        <v>55.4</v>
      </c>
      <c r="O34" s="64">
        <v>0</v>
      </c>
      <c r="P34" s="64">
        <v>0.26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48" t="s">
        <v>2863</v>
      </c>
      <c r="B35" s="64">
        <v>8.01</v>
      </c>
      <c r="C35" s="64">
        <v>2.99</v>
      </c>
      <c r="D35" s="64">
        <v>11.76</v>
      </c>
      <c r="E35" s="64">
        <v>4.08</v>
      </c>
      <c r="F35" s="64">
        <v>3.52</v>
      </c>
      <c r="G35" s="64">
        <v>18.38</v>
      </c>
      <c r="H35" s="64">
        <v>10.36</v>
      </c>
      <c r="I35" s="64">
        <v>3.11</v>
      </c>
      <c r="J35" s="64">
        <v>0.59</v>
      </c>
      <c r="K35" s="64">
        <v>136.15</v>
      </c>
      <c r="L35" s="64">
        <v>26.13</v>
      </c>
      <c r="M35" s="64">
        <v>104.05</v>
      </c>
      <c r="N35" s="64">
        <v>75.5</v>
      </c>
      <c r="O35" s="64">
        <v>0</v>
      </c>
      <c r="P35" s="64">
        <v>0.26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48" t="s">
        <v>2864</v>
      </c>
      <c r="B36" s="64">
        <v>8</v>
      </c>
      <c r="C36" s="64">
        <v>3</v>
      </c>
      <c r="D36" s="64">
        <v>11.76</v>
      </c>
      <c r="E36" s="64">
        <v>3.8</v>
      </c>
      <c r="F36" s="64">
        <v>3.25</v>
      </c>
      <c r="G36" s="64">
        <v>20.11</v>
      </c>
      <c r="H36" s="64">
        <v>10.44</v>
      </c>
      <c r="I36" s="64">
        <v>3.23</v>
      </c>
      <c r="J36" s="64">
        <v>0.25</v>
      </c>
      <c r="K36" s="64">
        <v>113.71</v>
      </c>
      <c r="L36" s="64">
        <v>26.81</v>
      </c>
      <c r="M36" s="64">
        <v>104.03</v>
      </c>
      <c r="N36" s="64">
        <v>111.3</v>
      </c>
      <c r="O36" s="64">
        <v>0</v>
      </c>
      <c r="P36" s="64">
        <v>0.26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48" t="s">
        <v>2865</v>
      </c>
      <c r="B37" s="64">
        <v>8.01</v>
      </c>
      <c r="C37" s="64">
        <v>2.99</v>
      </c>
      <c r="D37" s="64">
        <v>11.76</v>
      </c>
      <c r="E37" s="64">
        <v>3.81</v>
      </c>
      <c r="F37" s="64">
        <v>3.3</v>
      </c>
      <c r="G37" s="64">
        <v>20.190000000000001</v>
      </c>
      <c r="H37" s="64">
        <v>14.44</v>
      </c>
      <c r="I37" s="64">
        <v>3.44</v>
      </c>
      <c r="J37" s="64">
        <v>0.15</v>
      </c>
      <c r="K37" s="64">
        <v>332.98</v>
      </c>
      <c r="L37" s="64">
        <v>27.64</v>
      </c>
      <c r="M37" s="64">
        <v>103.54</v>
      </c>
      <c r="N37" s="64">
        <v>148.6</v>
      </c>
      <c r="O37" s="64">
        <v>0</v>
      </c>
      <c r="P37" s="64">
        <v>0.32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48" t="s">
        <v>2866</v>
      </c>
      <c r="B38" s="64">
        <v>8.01</v>
      </c>
      <c r="C38" s="64">
        <v>3</v>
      </c>
      <c r="D38" s="64">
        <v>11.77</v>
      </c>
      <c r="E38" s="64">
        <v>3.91</v>
      </c>
      <c r="F38" s="64">
        <v>3.52</v>
      </c>
      <c r="G38" s="64">
        <v>20.190000000000001</v>
      </c>
      <c r="H38" s="64">
        <v>14.44</v>
      </c>
      <c r="I38" s="64">
        <v>3.65</v>
      </c>
      <c r="J38" s="64">
        <v>0.11</v>
      </c>
      <c r="K38" s="64">
        <v>324.87</v>
      </c>
      <c r="L38" s="64">
        <v>27.99</v>
      </c>
      <c r="M38" s="64">
        <v>102.52</v>
      </c>
      <c r="N38" s="64">
        <v>178.3</v>
      </c>
      <c r="O38" s="64">
        <v>0</v>
      </c>
      <c r="P38" s="64">
        <v>0.33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48" t="s">
        <v>2867</v>
      </c>
      <c r="B39" s="64">
        <v>8</v>
      </c>
      <c r="C39" s="64">
        <v>2.99</v>
      </c>
      <c r="D39" s="64">
        <v>11.75</v>
      </c>
      <c r="E39" s="64">
        <v>3.54</v>
      </c>
      <c r="F39" s="64">
        <v>3.59</v>
      </c>
      <c r="G39" s="64">
        <v>20.190000000000001</v>
      </c>
      <c r="H39" s="64">
        <v>13.44</v>
      </c>
      <c r="I39" s="64">
        <v>3.65</v>
      </c>
      <c r="J39" s="64">
        <v>0.15</v>
      </c>
      <c r="K39" s="64">
        <v>1.29</v>
      </c>
      <c r="L39" s="64">
        <v>29.36</v>
      </c>
      <c r="M39" s="64">
        <v>95.46</v>
      </c>
      <c r="N39" s="64">
        <v>266.2</v>
      </c>
      <c r="O39" s="64">
        <v>0</v>
      </c>
      <c r="P39" s="64">
        <v>0.34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48" t="s">
        <v>2868</v>
      </c>
      <c r="B40" s="64">
        <v>7.99</v>
      </c>
      <c r="C40" s="64">
        <v>3.03</v>
      </c>
      <c r="D40" s="64">
        <v>11.77</v>
      </c>
      <c r="E40" s="64">
        <v>4.7699999999999996</v>
      </c>
      <c r="F40" s="64">
        <v>4.3499999999999996</v>
      </c>
      <c r="G40" s="64">
        <v>28.57</v>
      </c>
      <c r="H40" s="64">
        <v>13.78</v>
      </c>
      <c r="I40" s="64">
        <v>3.57</v>
      </c>
      <c r="J40" s="64">
        <v>0.19</v>
      </c>
      <c r="K40" s="64">
        <v>358.49</v>
      </c>
      <c r="L40" s="64">
        <v>30.57</v>
      </c>
      <c r="M40" s="64">
        <v>89.1</v>
      </c>
      <c r="N40" s="64">
        <v>271</v>
      </c>
      <c r="O40" s="64">
        <v>0</v>
      </c>
      <c r="P40" s="64">
        <v>0.36</v>
      </c>
      <c r="Q40" s="64">
        <v>9.68</v>
      </c>
      <c r="R40" s="198"/>
      <c r="S40" s="198"/>
      <c r="T40" s="198"/>
      <c r="U40" s="198"/>
    </row>
    <row r="41" spans="1:21" s="12" customFormat="1" x14ac:dyDescent="0.25">
      <c r="A41" s="248" t="s">
        <v>2869</v>
      </c>
      <c r="B41" s="64">
        <v>7.99</v>
      </c>
      <c r="C41" s="64">
        <v>3.01</v>
      </c>
      <c r="D41" s="64">
        <v>11.75</v>
      </c>
      <c r="E41" s="64">
        <v>4.13</v>
      </c>
      <c r="F41" s="64">
        <v>2.87</v>
      </c>
      <c r="G41" s="64">
        <v>28.96</v>
      </c>
      <c r="H41" s="64">
        <v>12.78</v>
      </c>
      <c r="I41" s="64">
        <v>3.51</v>
      </c>
      <c r="J41" s="64">
        <v>0.24</v>
      </c>
      <c r="K41" s="64">
        <v>349.54</v>
      </c>
      <c r="L41" s="64">
        <v>30.41</v>
      </c>
      <c r="M41" s="64">
        <v>89.56</v>
      </c>
      <c r="N41" s="64">
        <v>258.89999999999998</v>
      </c>
      <c r="O41" s="64">
        <v>0</v>
      </c>
      <c r="P41" s="64">
        <v>0.36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48" t="s">
        <v>2870</v>
      </c>
      <c r="B42" s="64">
        <v>8.02</v>
      </c>
      <c r="C42" s="64">
        <v>3.07</v>
      </c>
      <c r="D42" s="64">
        <v>11.81</v>
      </c>
      <c r="E42" s="64">
        <v>4.17</v>
      </c>
      <c r="F42" s="64">
        <v>4.33</v>
      </c>
      <c r="G42" s="64">
        <v>28.96</v>
      </c>
      <c r="H42" s="64">
        <v>13.78</v>
      </c>
      <c r="I42" s="64">
        <v>3.41</v>
      </c>
      <c r="J42" s="64">
        <v>0.22</v>
      </c>
      <c r="K42" s="64">
        <v>337.49</v>
      </c>
      <c r="L42" s="64">
        <v>30.94</v>
      </c>
      <c r="M42" s="64">
        <v>87.8</v>
      </c>
      <c r="N42" s="64">
        <v>287.60000000000002</v>
      </c>
      <c r="O42" s="64">
        <v>0</v>
      </c>
      <c r="P42" s="64">
        <v>0.38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48" t="s">
        <v>2871</v>
      </c>
      <c r="B43" s="64">
        <v>7.98</v>
      </c>
      <c r="C43" s="64">
        <v>3.04</v>
      </c>
      <c r="D43" s="64">
        <v>11.76</v>
      </c>
      <c r="E43" s="64">
        <v>4.12</v>
      </c>
      <c r="F43" s="64">
        <v>2.84</v>
      </c>
      <c r="G43" s="64">
        <v>28.96</v>
      </c>
      <c r="H43" s="64">
        <v>13.78</v>
      </c>
      <c r="I43" s="64">
        <v>3.25</v>
      </c>
      <c r="J43" s="64">
        <v>0.22</v>
      </c>
      <c r="K43" s="64">
        <v>343.02</v>
      </c>
      <c r="L43" s="64">
        <v>30.63</v>
      </c>
      <c r="M43" s="64">
        <v>88.41</v>
      </c>
      <c r="N43" s="64">
        <v>362.7</v>
      </c>
      <c r="O43" s="64">
        <v>0</v>
      </c>
      <c r="P43" s="64">
        <v>0.39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48" t="s">
        <v>2872</v>
      </c>
      <c r="B44" s="64">
        <v>7.97</v>
      </c>
      <c r="C44" s="64">
        <v>2.97</v>
      </c>
      <c r="D44" s="64">
        <v>11.72</v>
      </c>
      <c r="E44" s="64">
        <v>3.76</v>
      </c>
      <c r="F44" s="64">
        <v>4.68</v>
      </c>
      <c r="G44" s="64">
        <v>31.81</v>
      </c>
      <c r="H44" s="64">
        <v>9.8000000000000007</v>
      </c>
      <c r="I44" s="64">
        <v>3.19</v>
      </c>
      <c r="J44" s="64">
        <v>0.26</v>
      </c>
      <c r="K44" s="64">
        <v>323.83</v>
      </c>
      <c r="L44" s="64">
        <v>30.76</v>
      </c>
      <c r="M44" s="64">
        <v>88.06</v>
      </c>
      <c r="N44" s="64">
        <v>292.89999999999998</v>
      </c>
      <c r="O44" s="64">
        <v>0</v>
      </c>
      <c r="P44" s="64">
        <v>0.42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48" t="s">
        <v>2873</v>
      </c>
      <c r="B45" s="64">
        <v>7.96</v>
      </c>
      <c r="C45" s="64">
        <v>2.96</v>
      </c>
      <c r="D45" s="64">
        <v>11.71</v>
      </c>
      <c r="E45" s="64">
        <v>3.62</v>
      </c>
      <c r="F45" s="64">
        <v>2.27</v>
      </c>
      <c r="G45" s="64">
        <v>31.94</v>
      </c>
      <c r="H45" s="64">
        <v>9.8000000000000007</v>
      </c>
      <c r="I45" s="64">
        <v>3.12</v>
      </c>
      <c r="J45" s="64">
        <v>0.2</v>
      </c>
      <c r="K45" s="64">
        <v>330.17</v>
      </c>
      <c r="L45" s="64">
        <v>30.85</v>
      </c>
      <c r="M45" s="64">
        <v>87.16</v>
      </c>
      <c r="N45" s="64">
        <v>207.6</v>
      </c>
      <c r="O45" s="64">
        <v>0</v>
      </c>
      <c r="P45" s="64">
        <v>0.46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48" t="s">
        <v>2874</v>
      </c>
      <c r="B46" s="64">
        <v>7.95</v>
      </c>
      <c r="C46" s="64">
        <v>2.94</v>
      </c>
      <c r="D46" s="64">
        <v>11.69</v>
      </c>
      <c r="E46" s="64">
        <v>4.22</v>
      </c>
      <c r="F46" s="64">
        <v>3.91</v>
      </c>
      <c r="G46" s="64">
        <v>31.94</v>
      </c>
      <c r="H46" s="64">
        <v>9.8000000000000007</v>
      </c>
      <c r="I46" s="64">
        <v>3.11</v>
      </c>
      <c r="J46" s="64">
        <v>0.31</v>
      </c>
      <c r="K46" s="64">
        <v>329.64</v>
      </c>
      <c r="L46" s="64">
        <v>32.81</v>
      </c>
      <c r="M46" s="64">
        <v>78.41</v>
      </c>
      <c r="N46" s="64">
        <v>493.8</v>
      </c>
      <c r="O46" s="64">
        <v>0</v>
      </c>
      <c r="P46" s="64">
        <v>0.47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48" t="s">
        <v>2875</v>
      </c>
      <c r="B47" s="64">
        <v>7.94</v>
      </c>
      <c r="C47" s="64">
        <v>2.95</v>
      </c>
      <c r="D47" s="64">
        <v>11.68</v>
      </c>
      <c r="E47" s="64">
        <v>3.58</v>
      </c>
      <c r="F47" s="64">
        <v>2.68</v>
      </c>
      <c r="G47" s="64">
        <v>31.94</v>
      </c>
      <c r="H47" s="64">
        <v>9.8000000000000007</v>
      </c>
      <c r="I47" s="64">
        <v>3.04</v>
      </c>
      <c r="J47" s="64">
        <v>0.26</v>
      </c>
      <c r="K47" s="64">
        <v>320.2</v>
      </c>
      <c r="L47" s="64">
        <v>33.42</v>
      </c>
      <c r="M47" s="64">
        <v>74.61</v>
      </c>
      <c r="N47" s="64">
        <v>170.9</v>
      </c>
      <c r="O47" s="64">
        <v>0</v>
      </c>
      <c r="P47" s="64">
        <v>0.49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48" t="s">
        <v>2876</v>
      </c>
      <c r="B48" s="64">
        <v>7.99</v>
      </c>
      <c r="C48" s="64">
        <v>3.05</v>
      </c>
      <c r="D48" s="64">
        <v>11.77</v>
      </c>
      <c r="E48" s="64">
        <v>3.3</v>
      </c>
      <c r="F48" s="64">
        <v>3.57</v>
      </c>
      <c r="G48" s="64">
        <v>35.47</v>
      </c>
      <c r="H48" s="64">
        <v>21.06</v>
      </c>
      <c r="I48" s="64">
        <v>3.02</v>
      </c>
      <c r="J48" s="64">
        <v>0.41</v>
      </c>
      <c r="K48" s="64">
        <v>329.97</v>
      </c>
      <c r="L48" s="64">
        <v>33.96</v>
      </c>
      <c r="M48" s="64">
        <v>71.069999999999993</v>
      </c>
      <c r="N48" s="64">
        <v>527.9</v>
      </c>
      <c r="O48" s="64">
        <v>0</v>
      </c>
      <c r="P48" s="64">
        <v>0.49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48" t="s">
        <v>2877</v>
      </c>
      <c r="B49" s="64">
        <v>8</v>
      </c>
      <c r="C49" s="64">
        <v>3.04</v>
      </c>
      <c r="D49" s="64">
        <v>11.78</v>
      </c>
      <c r="E49" s="64">
        <v>3.35</v>
      </c>
      <c r="F49" s="64">
        <v>2.97</v>
      </c>
      <c r="G49" s="64">
        <v>35.630000000000003</v>
      </c>
      <c r="H49" s="64">
        <v>21.06</v>
      </c>
      <c r="I49" s="64">
        <v>2.97</v>
      </c>
      <c r="J49" s="64">
        <v>0.63</v>
      </c>
      <c r="K49" s="64">
        <v>328.69</v>
      </c>
      <c r="L49" s="64">
        <v>34.79</v>
      </c>
      <c r="M49" s="64">
        <v>67.959999999999994</v>
      </c>
      <c r="N49" s="64">
        <v>460.8</v>
      </c>
      <c r="O49" s="64">
        <v>0</v>
      </c>
      <c r="P49" s="64">
        <v>0.5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48" t="s">
        <v>2878</v>
      </c>
      <c r="B50" s="64">
        <v>7.97</v>
      </c>
      <c r="C50" s="64">
        <v>2.98</v>
      </c>
      <c r="D50" s="64">
        <v>11.72</v>
      </c>
      <c r="E50" s="64">
        <v>3.57</v>
      </c>
      <c r="F50" s="64">
        <v>3.54</v>
      </c>
      <c r="G50" s="64">
        <v>35.630000000000003</v>
      </c>
      <c r="H50" s="64">
        <v>20.059999999999999</v>
      </c>
      <c r="I50" s="64">
        <v>2.82</v>
      </c>
      <c r="J50" s="64">
        <v>0.75</v>
      </c>
      <c r="K50" s="64">
        <v>323.29000000000002</v>
      </c>
      <c r="L50" s="64">
        <v>35.08</v>
      </c>
      <c r="M50" s="64">
        <v>66.52</v>
      </c>
      <c r="N50" s="64">
        <v>523.1</v>
      </c>
      <c r="O50" s="64">
        <v>0</v>
      </c>
      <c r="P50" s="64">
        <v>0.51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48" t="s">
        <v>2879</v>
      </c>
      <c r="B51" s="64">
        <v>7.99</v>
      </c>
      <c r="C51" s="64">
        <v>3</v>
      </c>
      <c r="D51" s="64">
        <v>11.75</v>
      </c>
      <c r="E51" s="64">
        <v>3.58</v>
      </c>
      <c r="F51" s="64">
        <v>3.55</v>
      </c>
      <c r="G51" s="64">
        <v>35.630000000000003</v>
      </c>
      <c r="H51" s="64">
        <v>20.059999999999999</v>
      </c>
      <c r="I51" s="64">
        <v>2.77</v>
      </c>
      <c r="J51" s="64">
        <v>0.49</v>
      </c>
      <c r="K51" s="64">
        <v>315.27</v>
      </c>
      <c r="L51" s="64">
        <v>35.26</v>
      </c>
      <c r="M51" s="64">
        <v>65.7</v>
      </c>
      <c r="N51" s="64">
        <v>481</v>
      </c>
      <c r="O51" s="64">
        <v>0</v>
      </c>
      <c r="P51" s="64">
        <v>0.51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48" t="s">
        <v>2880</v>
      </c>
      <c r="B52" s="64">
        <v>8.01</v>
      </c>
      <c r="C52" s="64">
        <v>3.03</v>
      </c>
      <c r="D52" s="64">
        <v>11.78</v>
      </c>
      <c r="E52" s="64">
        <v>3.51</v>
      </c>
      <c r="F52" s="64">
        <v>3.55</v>
      </c>
      <c r="G52" s="64">
        <v>36.619999999999997</v>
      </c>
      <c r="H52" s="64">
        <v>33.85</v>
      </c>
      <c r="I52" s="64">
        <v>2.7</v>
      </c>
      <c r="J52" s="64">
        <v>0.4</v>
      </c>
      <c r="K52" s="64">
        <v>321.97000000000003</v>
      </c>
      <c r="L52" s="64">
        <v>34.479999999999997</v>
      </c>
      <c r="M52" s="64">
        <v>68.73</v>
      </c>
      <c r="N52" s="64">
        <v>288.8</v>
      </c>
      <c r="O52" s="64">
        <v>0</v>
      </c>
      <c r="P52" s="64">
        <v>0.52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48" t="s">
        <v>2881</v>
      </c>
      <c r="B53" s="64">
        <v>8.01</v>
      </c>
      <c r="C53" s="64">
        <v>3.04</v>
      </c>
      <c r="D53" s="64">
        <v>11.78</v>
      </c>
      <c r="E53" s="64">
        <v>3.73</v>
      </c>
      <c r="F53" s="64">
        <v>4.22</v>
      </c>
      <c r="G53" s="64">
        <v>36.67</v>
      </c>
      <c r="H53" s="64">
        <v>33.85</v>
      </c>
      <c r="I53" s="64">
        <v>2.78</v>
      </c>
      <c r="J53" s="64">
        <v>0.28999999999999998</v>
      </c>
      <c r="K53" s="64">
        <v>320.11</v>
      </c>
      <c r="L53" s="64">
        <v>33.11</v>
      </c>
      <c r="M53" s="64">
        <v>74.88</v>
      </c>
      <c r="N53" s="64">
        <v>375.7</v>
      </c>
      <c r="O53" s="64">
        <v>0</v>
      </c>
      <c r="P53" s="64">
        <v>0.53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48" t="s">
        <v>2882</v>
      </c>
      <c r="B54" s="64">
        <v>8</v>
      </c>
      <c r="C54" s="64">
        <v>3.06</v>
      </c>
      <c r="D54" s="64">
        <v>11.78</v>
      </c>
      <c r="E54" s="64">
        <v>4.29</v>
      </c>
      <c r="F54" s="64">
        <v>4.99</v>
      </c>
      <c r="G54" s="64">
        <v>36.67</v>
      </c>
      <c r="H54" s="64">
        <v>33.85</v>
      </c>
      <c r="I54" s="64">
        <v>2.72</v>
      </c>
      <c r="J54" s="64">
        <v>0.3</v>
      </c>
      <c r="K54" s="64">
        <v>326.68</v>
      </c>
      <c r="L54" s="64">
        <v>32.64</v>
      </c>
      <c r="M54" s="64">
        <v>75.59</v>
      </c>
      <c r="N54" s="64">
        <v>318.39999999999998</v>
      </c>
      <c r="O54" s="64">
        <v>0</v>
      </c>
      <c r="P54" s="64">
        <v>0.54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48" t="s">
        <v>2883</v>
      </c>
      <c r="B55" s="64">
        <v>8</v>
      </c>
      <c r="C55" s="64">
        <v>3.08</v>
      </c>
      <c r="D55" s="64">
        <v>11.8</v>
      </c>
      <c r="E55" s="64">
        <v>6.54</v>
      </c>
      <c r="F55" s="64">
        <v>4.53</v>
      </c>
      <c r="G55" s="64">
        <v>36.67</v>
      </c>
      <c r="H55" s="64">
        <v>33.85</v>
      </c>
      <c r="I55" s="64">
        <v>2.61</v>
      </c>
      <c r="J55" s="64">
        <v>0.17</v>
      </c>
      <c r="K55" s="64">
        <v>324.23</v>
      </c>
      <c r="L55" s="64">
        <v>32.130000000000003</v>
      </c>
      <c r="M55" s="64">
        <v>77.48</v>
      </c>
      <c r="N55" s="64">
        <v>377.5</v>
      </c>
      <c r="O55" s="64">
        <v>0</v>
      </c>
      <c r="P55" s="64">
        <v>0.54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48" t="s">
        <v>2884</v>
      </c>
      <c r="B56" s="64">
        <v>7.98</v>
      </c>
      <c r="C56" s="64">
        <v>3.08</v>
      </c>
      <c r="D56" s="64">
        <v>11.78</v>
      </c>
      <c r="E56" s="64">
        <v>4.1399999999999997</v>
      </c>
      <c r="F56" s="64">
        <v>4.8499999999999996</v>
      </c>
      <c r="G56" s="64">
        <v>25.05</v>
      </c>
      <c r="H56" s="64">
        <v>16.41</v>
      </c>
      <c r="I56" s="64">
        <v>2.48</v>
      </c>
      <c r="J56" s="64">
        <v>0.2</v>
      </c>
      <c r="K56" s="64">
        <v>319.66000000000003</v>
      </c>
      <c r="L56" s="64">
        <v>31.1</v>
      </c>
      <c r="M56" s="64">
        <v>81.59</v>
      </c>
      <c r="N56" s="64">
        <v>586.20000000000005</v>
      </c>
      <c r="O56" s="64">
        <v>0</v>
      </c>
      <c r="P56" s="64">
        <v>0.53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48" t="s">
        <v>2885</v>
      </c>
      <c r="B57" s="64">
        <v>7.96</v>
      </c>
      <c r="C57" s="64">
        <v>3.04</v>
      </c>
      <c r="D57" s="64">
        <v>11.74</v>
      </c>
      <c r="E57" s="64">
        <v>4.4800000000000004</v>
      </c>
      <c r="F57" s="64">
        <v>5.64</v>
      </c>
      <c r="G57" s="64">
        <v>25.05</v>
      </c>
      <c r="H57" s="64">
        <v>16.41</v>
      </c>
      <c r="I57" s="64">
        <v>2.4300000000000002</v>
      </c>
      <c r="J57" s="64">
        <v>0.17</v>
      </c>
      <c r="K57" s="64">
        <v>340.34</v>
      </c>
      <c r="L57" s="64">
        <v>31.79</v>
      </c>
      <c r="M57" s="64">
        <v>79.239999999999995</v>
      </c>
      <c r="N57" s="64">
        <v>420.1</v>
      </c>
      <c r="O57" s="64">
        <v>0</v>
      </c>
      <c r="P57" s="64">
        <v>0.54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48" t="s">
        <v>2886</v>
      </c>
      <c r="B58" s="64">
        <v>7.95</v>
      </c>
      <c r="C58" s="64">
        <v>3.01</v>
      </c>
      <c r="D58" s="64">
        <v>11.73</v>
      </c>
      <c r="E58" s="64">
        <v>4.5199999999999996</v>
      </c>
      <c r="F58" s="64">
        <v>9.1</v>
      </c>
      <c r="G58" s="64">
        <v>25.05</v>
      </c>
      <c r="H58" s="64">
        <v>16.41</v>
      </c>
      <c r="I58" s="64">
        <v>2.37</v>
      </c>
      <c r="J58" s="64">
        <v>0.21</v>
      </c>
      <c r="K58" s="64">
        <v>327.92</v>
      </c>
      <c r="L58" s="64">
        <v>32.65</v>
      </c>
      <c r="M58" s="64">
        <v>73.650000000000006</v>
      </c>
      <c r="N58" s="64">
        <v>624.1</v>
      </c>
      <c r="O58" s="64">
        <v>0</v>
      </c>
      <c r="P58" s="64">
        <v>0.55000000000000004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48" t="s">
        <v>2887</v>
      </c>
      <c r="B59" s="64">
        <v>7.94</v>
      </c>
      <c r="C59" s="64">
        <v>3.05</v>
      </c>
      <c r="D59" s="64">
        <v>11.73</v>
      </c>
      <c r="E59" s="64">
        <v>4.34</v>
      </c>
      <c r="F59" s="64">
        <v>8.24</v>
      </c>
      <c r="G59" s="64">
        <v>25.05</v>
      </c>
      <c r="H59" s="64">
        <v>16.41</v>
      </c>
      <c r="I59" s="64">
        <v>2.14</v>
      </c>
      <c r="J59" s="64">
        <v>0.16</v>
      </c>
      <c r="K59" s="64">
        <v>335.27</v>
      </c>
      <c r="L59" s="64">
        <v>32.869999999999997</v>
      </c>
      <c r="M59" s="64">
        <v>72.3</v>
      </c>
      <c r="N59" s="64">
        <v>662.6</v>
      </c>
      <c r="O59" s="64">
        <v>0</v>
      </c>
      <c r="P59" s="64">
        <v>0.56000000000000005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48" t="s">
        <v>2888</v>
      </c>
      <c r="B60" s="64">
        <v>7.95</v>
      </c>
      <c r="C60" s="64">
        <v>3.1</v>
      </c>
      <c r="D60" s="64">
        <v>11.77</v>
      </c>
      <c r="E60" s="64">
        <v>4.6100000000000003</v>
      </c>
      <c r="F60" s="64">
        <v>3.68</v>
      </c>
      <c r="G60" s="64">
        <v>33.159999999999997</v>
      </c>
      <c r="H60" s="64">
        <v>30.31</v>
      </c>
      <c r="I60" s="64">
        <v>2.35</v>
      </c>
      <c r="J60" s="64">
        <v>0.19</v>
      </c>
      <c r="K60" s="64">
        <v>322.51</v>
      </c>
      <c r="L60" s="64">
        <v>32.729999999999997</v>
      </c>
      <c r="M60" s="64">
        <v>71.75</v>
      </c>
      <c r="N60" s="64">
        <v>716.2</v>
      </c>
      <c r="O60" s="64">
        <v>0</v>
      </c>
      <c r="P60" s="64">
        <v>0.56999999999999995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48" t="s">
        <v>2889</v>
      </c>
      <c r="B61" s="64">
        <v>7.93</v>
      </c>
      <c r="C61" s="64">
        <v>3.04</v>
      </c>
      <c r="D61" s="64">
        <v>11.72</v>
      </c>
      <c r="E61" s="64">
        <v>4.09</v>
      </c>
      <c r="F61" s="64">
        <v>4.78</v>
      </c>
      <c r="G61" s="64">
        <v>33.35</v>
      </c>
      <c r="H61" s="64">
        <v>30.31</v>
      </c>
      <c r="I61" s="64">
        <v>2.42</v>
      </c>
      <c r="J61" s="64">
        <v>0.19</v>
      </c>
      <c r="K61" s="64">
        <v>334.45</v>
      </c>
      <c r="L61" s="64">
        <v>32.799999999999997</v>
      </c>
      <c r="M61" s="64">
        <v>70.180000000000007</v>
      </c>
      <c r="N61" s="64">
        <v>540.1</v>
      </c>
      <c r="O61" s="64">
        <v>0</v>
      </c>
      <c r="P61" s="64">
        <v>0.48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48" t="s">
        <v>2890</v>
      </c>
      <c r="B62" s="64">
        <v>7.91</v>
      </c>
      <c r="C62" s="64">
        <v>2.99</v>
      </c>
      <c r="D62" s="64">
        <v>11.68</v>
      </c>
      <c r="E62" s="64">
        <v>3.83</v>
      </c>
      <c r="F62" s="64">
        <v>6.03</v>
      </c>
      <c r="G62" s="64">
        <v>33.35</v>
      </c>
      <c r="H62" s="64">
        <v>30.31</v>
      </c>
      <c r="I62" s="64">
        <v>2.4300000000000002</v>
      </c>
      <c r="J62" s="64">
        <v>0.13</v>
      </c>
      <c r="K62" s="64">
        <v>308.08999999999997</v>
      </c>
      <c r="L62" s="64">
        <v>32.200000000000003</v>
      </c>
      <c r="M62" s="64">
        <v>70.75</v>
      </c>
      <c r="N62" s="64">
        <v>656.5</v>
      </c>
      <c r="O62" s="64">
        <v>0</v>
      </c>
      <c r="P62" s="64">
        <v>0.51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48" t="s">
        <v>2891</v>
      </c>
      <c r="B63" s="64">
        <v>7.91</v>
      </c>
      <c r="C63" s="64">
        <v>2.99</v>
      </c>
      <c r="D63" s="64">
        <v>11.68</v>
      </c>
      <c r="E63" s="64">
        <v>5.84</v>
      </c>
      <c r="F63" s="64">
        <v>20.46</v>
      </c>
      <c r="G63" s="64">
        <v>33.35</v>
      </c>
      <c r="H63" s="64">
        <v>30.31</v>
      </c>
      <c r="I63" s="64">
        <v>2.4900000000000002</v>
      </c>
      <c r="J63" s="64">
        <v>0.19</v>
      </c>
      <c r="K63" s="64">
        <v>333.23</v>
      </c>
      <c r="L63" s="64">
        <v>32.72</v>
      </c>
      <c r="M63" s="64">
        <v>69.14</v>
      </c>
      <c r="N63" s="64">
        <v>748.6</v>
      </c>
      <c r="O63" s="64">
        <v>0</v>
      </c>
      <c r="P63" s="64">
        <v>0.47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48" t="s">
        <v>2892</v>
      </c>
      <c r="B64" s="64">
        <v>7.92</v>
      </c>
      <c r="C64" s="64">
        <v>2.99</v>
      </c>
      <c r="D64" s="64">
        <v>11.69</v>
      </c>
      <c r="E64" s="64">
        <v>4.4400000000000004</v>
      </c>
      <c r="F64" s="64">
        <v>10.94</v>
      </c>
      <c r="G64" s="64">
        <v>34.83</v>
      </c>
      <c r="H64" s="64">
        <v>12.88</v>
      </c>
      <c r="I64" s="64">
        <v>2.6</v>
      </c>
      <c r="J64" s="64">
        <v>0.16</v>
      </c>
      <c r="K64" s="64">
        <v>315.27999999999997</v>
      </c>
      <c r="L64" s="64">
        <v>32.799999999999997</v>
      </c>
      <c r="M64" s="64">
        <v>66.930000000000007</v>
      </c>
      <c r="N64" s="64">
        <v>448.3</v>
      </c>
      <c r="O64" s="64">
        <v>0</v>
      </c>
      <c r="P64" s="64">
        <v>0.46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48" t="s">
        <v>2893</v>
      </c>
      <c r="B65" s="64">
        <v>7.94</v>
      </c>
      <c r="C65" s="64">
        <v>3.04</v>
      </c>
      <c r="D65" s="64">
        <v>11.73</v>
      </c>
      <c r="E65" s="64">
        <v>4.18</v>
      </c>
      <c r="F65" s="64">
        <v>7.95</v>
      </c>
      <c r="G65" s="64">
        <v>34.9</v>
      </c>
      <c r="H65" s="64">
        <v>12.88</v>
      </c>
      <c r="I65" s="64">
        <v>2.5499999999999998</v>
      </c>
      <c r="J65" s="64">
        <v>0.16</v>
      </c>
      <c r="K65" s="64">
        <v>309.23</v>
      </c>
      <c r="L65" s="64">
        <v>32.76</v>
      </c>
      <c r="M65" s="64">
        <v>67.790000000000006</v>
      </c>
      <c r="N65" s="64">
        <v>212.4</v>
      </c>
      <c r="O65" s="64">
        <v>0</v>
      </c>
      <c r="P65" s="64">
        <v>0.46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48" t="s">
        <v>2894</v>
      </c>
      <c r="B66" s="64">
        <v>7.97</v>
      </c>
      <c r="C66" s="64">
        <v>3.01</v>
      </c>
      <c r="D66" s="64">
        <v>11.74</v>
      </c>
      <c r="E66" s="64">
        <v>4.1500000000000004</v>
      </c>
      <c r="F66" s="64">
        <v>6.61</v>
      </c>
      <c r="G66" s="64">
        <v>34.9</v>
      </c>
      <c r="H66" s="64">
        <v>12.88</v>
      </c>
      <c r="I66" s="64">
        <v>2.82</v>
      </c>
      <c r="J66" s="64">
        <v>0.09</v>
      </c>
      <c r="K66" s="64">
        <v>331.04</v>
      </c>
      <c r="L66" s="64">
        <v>32.270000000000003</v>
      </c>
      <c r="M66" s="64">
        <v>68.739999999999995</v>
      </c>
      <c r="N66" s="64">
        <v>206.7</v>
      </c>
      <c r="O66" s="64">
        <v>0</v>
      </c>
      <c r="P66" s="64">
        <v>0.45</v>
      </c>
      <c r="Q66" s="64">
        <v>9.48</v>
      </c>
      <c r="R66" s="198"/>
      <c r="S66" s="198"/>
      <c r="T66" s="198"/>
      <c r="U66" s="198"/>
    </row>
    <row r="67" spans="1:21" s="12" customFormat="1" x14ac:dyDescent="0.25">
      <c r="A67" s="248" t="s">
        <v>2895</v>
      </c>
      <c r="B67" s="64">
        <v>7.96</v>
      </c>
      <c r="C67" s="64">
        <v>3.04</v>
      </c>
      <c r="D67" s="64">
        <v>11.75</v>
      </c>
      <c r="E67" s="64">
        <v>3.92</v>
      </c>
      <c r="F67" s="64">
        <v>5.37</v>
      </c>
      <c r="G67" s="64">
        <v>34.9</v>
      </c>
      <c r="H67" s="64">
        <v>12.88</v>
      </c>
      <c r="I67" s="64">
        <v>2.78</v>
      </c>
      <c r="J67" s="64">
        <v>0.14000000000000001</v>
      </c>
      <c r="K67" s="64">
        <v>314.35000000000002</v>
      </c>
      <c r="L67" s="64">
        <v>31.97</v>
      </c>
      <c r="M67" s="64">
        <v>68.87</v>
      </c>
      <c r="N67" s="64">
        <v>168.7</v>
      </c>
      <c r="O67" s="64">
        <v>0</v>
      </c>
      <c r="P67" s="64">
        <v>0.43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48" t="s">
        <v>2896</v>
      </c>
      <c r="B68" s="64">
        <v>7.96</v>
      </c>
      <c r="C68" s="64">
        <v>3.01</v>
      </c>
      <c r="D68" s="64">
        <v>11.73</v>
      </c>
      <c r="E68" s="64">
        <v>3.87</v>
      </c>
      <c r="F68" s="64">
        <v>5.01</v>
      </c>
      <c r="G68" s="64">
        <v>38.130000000000003</v>
      </c>
      <c r="H68" s="64">
        <v>4.62</v>
      </c>
      <c r="I68" s="64">
        <v>2.61</v>
      </c>
      <c r="J68" s="64">
        <v>0.2</v>
      </c>
      <c r="K68" s="64">
        <v>332.09</v>
      </c>
      <c r="L68" s="64">
        <v>32.32</v>
      </c>
      <c r="M68" s="64">
        <v>67.900000000000006</v>
      </c>
      <c r="N68" s="64">
        <v>153.80000000000001</v>
      </c>
      <c r="O68" s="64">
        <v>0</v>
      </c>
      <c r="P68" s="64">
        <v>0.41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48" t="s">
        <v>2897</v>
      </c>
      <c r="B69" s="64">
        <v>7.95</v>
      </c>
      <c r="C69" s="64">
        <v>2.97</v>
      </c>
      <c r="D69" s="64">
        <v>11.7</v>
      </c>
      <c r="E69" s="64">
        <v>3.84</v>
      </c>
      <c r="F69" s="64">
        <v>4.82</v>
      </c>
      <c r="G69" s="64">
        <v>38.28</v>
      </c>
      <c r="H69" s="64">
        <v>4.62</v>
      </c>
      <c r="I69" s="64">
        <v>2.46</v>
      </c>
      <c r="J69" s="64">
        <v>0.27</v>
      </c>
      <c r="K69" s="64">
        <v>327.25</v>
      </c>
      <c r="L69" s="64">
        <v>32.56</v>
      </c>
      <c r="M69" s="64">
        <v>67.150000000000006</v>
      </c>
      <c r="N69" s="64">
        <v>160.4</v>
      </c>
      <c r="O69" s="64">
        <v>0</v>
      </c>
      <c r="P69" s="64">
        <v>0.41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48" t="s">
        <v>2898</v>
      </c>
      <c r="B70" s="64">
        <v>7.96</v>
      </c>
      <c r="C70" s="64">
        <v>2.97</v>
      </c>
      <c r="D70" s="64">
        <v>11.71</v>
      </c>
      <c r="E70" s="64">
        <v>3.99</v>
      </c>
      <c r="F70" s="64">
        <v>4.8499999999999996</v>
      </c>
      <c r="G70" s="64">
        <v>38.28</v>
      </c>
      <c r="H70" s="64">
        <v>4.62</v>
      </c>
      <c r="I70" s="64">
        <v>2.42</v>
      </c>
      <c r="J70" s="64">
        <v>0.26</v>
      </c>
      <c r="K70" s="64">
        <v>335.25</v>
      </c>
      <c r="L70" s="64">
        <v>32.56</v>
      </c>
      <c r="M70" s="64">
        <v>65.2</v>
      </c>
      <c r="N70" s="64">
        <v>161</v>
      </c>
      <c r="O70" s="64">
        <v>0</v>
      </c>
      <c r="P70" s="64">
        <v>0.44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48" t="s">
        <v>2899</v>
      </c>
      <c r="B71" s="64">
        <v>7.96</v>
      </c>
      <c r="C71" s="64">
        <v>2.97</v>
      </c>
      <c r="D71" s="64">
        <v>11.71</v>
      </c>
      <c r="E71" s="64">
        <v>4.07</v>
      </c>
      <c r="F71" s="64">
        <v>5.63</v>
      </c>
      <c r="G71" s="64">
        <v>38.28</v>
      </c>
      <c r="H71" s="64">
        <v>4.62</v>
      </c>
      <c r="I71" s="64">
        <v>2.41</v>
      </c>
      <c r="J71" s="64">
        <v>0.27</v>
      </c>
      <c r="K71" s="64">
        <v>334.11</v>
      </c>
      <c r="L71" s="64">
        <v>32.58</v>
      </c>
      <c r="M71" s="64">
        <v>64.89</v>
      </c>
      <c r="N71" s="64">
        <v>157.6</v>
      </c>
      <c r="O71" s="64">
        <v>0</v>
      </c>
      <c r="P71" s="64">
        <v>0.45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48" t="s">
        <v>2900</v>
      </c>
      <c r="B72" s="64">
        <v>7.96</v>
      </c>
      <c r="C72" s="64">
        <v>2.99</v>
      </c>
      <c r="D72" s="64">
        <v>11.72</v>
      </c>
      <c r="E72" s="64">
        <v>5.0999999999999996</v>
      </c>
      <c r="F72" s="64">
        <v>4.75</v>
      </c>
      <c r="G72" s="64">
        <v>31.17</v>
      </c>
      <c r="H72" s="64">
        <v>1.57</v>
      </c>
      <c r="I72" s="64">
        <v>2.46</v>
      </c>
      <c r="J72" s="64">
        <v>0.21</v>
      </c>
      <c r="K72" s="64">
        <v>339.41</v>
      </c>
      <c r="L72" s="64">
        <v>32.549999999999997</v>
      </c>
      <c r="M72" s="64">
        <v>65.349999999999994</v>
      </c>
      <c r="N72" s="64">
        <v>151.4</v>
      </c>
      <c r="O72" s="64">
        <v>0</v>
      </c>
      <c r="P72" s="64">
        <v>0.44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48" t="s">
        <v>2901</v>
      </c>
      <c r="B73" s="64">
        <v>7.96</v>
      </c>
      <c r="C73" s="64">
        <v>2.98</v>
      </c>
      <c r="D73" s="64">
        <v>11.71</v>
      </c>
      <c r="E73" s="64">
        <v>4.96</v>
      </c>
      <c r="F73" s="64">
        <v>5.42</v>
      </c>
      <c r="G73" s="64">
        <v>30.84</v>
      </c>
      <c r="H73" s="64">
        <v>1.57</v>
      </c>
      <c r="I73" s="64">
        <v>2.4900000000000002</v>
      </c>
      <c r="J73" s="64">
        <v>0.19</v>
      </c>
      <c r="K73" s="64">
        <v>323.05</v>
      </c>
      <c r="L73" s="64">
        <v>32.159999999999997</v>
      </c>
      <c r="M73" s="64">
        <v>66.680000000000007</v>
      </c>
      <c r="N73" s="64">
        <v>196</v>
      </c>
      <c r="O73" s="64">
        <v>0</v>
      </c>
      <c r="P73" s="64">
        <v>0.47</v>
      </c>
      <c r="Q73" s="64">
        <v>9.68</v>
      </c>
      <c r="R73" s="198"/>
      <c r="S73" s="198"/>
      <c r="T73" s="198"/>
      <c r="U73" s="198"/>
    </row>
    <row r="74" spans="1:21" s="12" customFormat="1" x14ac:dyDescent="0.25">
      <c r="A74" s="248" t="s">
        <v>2902</v>
      </c>
      <c r="B74" s="64">
        <v>7.95</v>
      </c>
      <c r="C74" s="64">
        <v>3</v>
      </c>
      <c r="D74" s="64">
        <v>11.72</v>
      </c>
      <c r="E74" s="64">
        <v>5.03</v>
      </c>
      <c r="F74" s="64">
        <v>2.96</v>
      </c>
      <c r="G74" s="64">
        <v>30.84</v>
      </c>
      <c r="H74" s="64">
        <v>1.57</v>
      </c>
      <c r="I74" s="64">
        <v>2.4500000000000002</v>
      </c>
      <c r="J74" s="64">
        <v>0.22</v>
      </c>
      <c r="K74" s="64">
        <v>347.83</v>
      </c>
      <c r="L74" s="64">
        <v>32.799999999999997</v>
      </c>
      <c r="M74" s="64">
        <v>67.22</v>
      </c>
      <c r="N74" s="64">
        <v>189.4</v>
      </c>
      <c r="O74" s="64">
        <v>0</v>
      </c>
      <c r="P74" s="64">
        <v>0.5</v>
      </c>
      <c r="Q74" s="64">
        <v>9.66</v>
      </c>
      <c r="R74" s="198"/>
      <c r="S74" s="198"/>
      <c r="T74" s="198"/>
      <c r="U74" s="198"/>
    </row>
    <row r="75" spans="1:21" s="12" customFormat="1" x14ac:dyDescent="0.25">
      <c r="A75" s="248" t="s">
        <v>2903</v>
      </c>
      <c r="B75" s="64">
        <v>7.97</v>
      </c>
      <c r="C75" s="64">
        <v>3.06</v>
      </c>
      <c r="D75" s="64">
        <v>11.76</v>
      </c>
      <c r="E75" s="64">
        <v>4.8</v>
      </c>
      <c r="F75" s="64">
        <v>3.76</v>
      </c>
      <c r="G75" s="64">
        <v>30.84</v>
      </c>
      <c r="H75" s="64">
        <v>1.57</v>
      </c>
      <c r="I75" s="64">
        <v>2.46</v>
      </c>
      <c r="J75" s="64">
        <v>0.13</v>
      </c>
      <c r="K75" s="64">
        <v>322.64999999999998</v>
      </c>
      <c r="L75" s="64">
        <v>32.479999999999997</v>
      </c>
      <c r="M75" s="64">
        <v>68.12</v>
      </c>
      <c r="N75" s="64">
        <v>159.69999999999999</v>
      </c>
      <c r="O75" s="64">
        <v>0</v>
      </c>
      <c r="P75" s="64">
        <v>0.5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48" t="s">
        <v>2904</v>
      </c>
      <c r="B76" s="64">
        <v>7.97</v>
      </c>
      <c r="C76" s="64">
        <v>3.02</v>
      </c>
      <c r="D76" s="64">
        <v>11.74</v>
      </c>
      <c r="E76" s="64">
        <v>4.8099999999999996</v>
      </c>
      <c r="F76" s="64">
        <v>4.4800000000000004</v>
      </c>
      <c r="G76" s="64">
        <v>35.06</v>
      </c>
      <c r="H76" s="64">
        <v>0.56999999999999995</v>
      </c>
      <c r="I76" s="64">
        <v>2.4300000000000002</v>
      </c>
      <c r="J76" s="64">
        <v>0.2</v>
      </c>
      <c r="K76" s="64">
        <v>340.4</v>
      </c>
      <c r="L76" s="64">
        <v>32.159999999999997</v>
      </c>
      <c r="M76" s="64">
        <v>69.62</v>
      </c>
      <c r="N76" s="64">
        <v>129.69999999999999</v>
      </c>
      <c r="O76" s="64">
        <v>0</v>
      </c>
      <c r="P76" s="64">
        <v>0.5</v>
      </c>
      <c r="Q76" s="64">
        <v>9.67</v>
      </c>
      <c r="R76" s="198"/>
      <c r="S76" s="198"/>
      <c r="T76" s="198"/>
      <c r="U76" s="198"/>
    </row>
    <row r="77" spans="1:21" s="12" customFormat="1" x14ac:dyDescent="0.25">
      <c r="A77" s="248" t="s">
        <v>2905</v>
      </c>
      <c r="B77" s="64">
        <v>7.95</v>
      </c>
      <c r="C77" s="64">
        <v>2.97</v>
      </c>
      <c r="D77" s="64">
        <v>11.7</v>
      </c>
      <c r="E77" s="64">
        <v>4.8099999999999996</v>
      </c>
      <c r="F77" s="64">
        <v>3.62</v>
      </c>
      <c r="G77" s="64">
        <v>35.26</v>
      </c>
      <c r="H77" s="64">
        <v>0.56999999999999995</v>
      </c>
      <c r="I77" s="64">
        <v>2.41</v>
      </c>
      <c r="J77" s="64">
        <v>0.2</v>
      </c>
      <c r="K77" s="64">
        <v>350.88</v>
      </c>
      <c r="L77" s="64">
        <v>31.59</v>
      </c>
      <c r="M77" s="64">
        <v>70.23</v>
      </c>
      <c r="N77" s="64">
        <v>107.2</v>
      </c>
      <c r="O77" s="64">
        <v>0</v>
      </c>
      <c r="P77" s="64">
        <v>0.47</v>
      </c>
      <c r="Q77" s="64">
        <v>9.67</v>
      </c>
      <c r="R77" s="198"/>
      <c r="S77" s="198"/>
      <c r="T77" s="198"/>
      <c r="U77" s="198"/>
    </row>
    <row r="78" spans="1:21" s="12" customFormat="1" x14ac:dyDescent="0.25">
      <c r="A78" s="248" t="s">
        <v>2906</v>
      </c>
      <c r="B78" s="64">
        <v>7.99</v>
      </c>
      <c r="C78" s="64">
        <v>3.07</v>
      </c>
      <c r="D78" s="64">
        <v>11.79</v>
      </c>
      <c r="E78" s="64">
        <v>4.54</v>
      </c>
      <c r="F78" s="64">
        <v>4.46</v>
      </c>
      <c r="G78" s="64">
        <v>35.26</v>
      </c>
      <c r="H78" s="64">
        <v>0.56999999999999995</v>
      </c>
      <c r="I78" s="64">
        <v>2.41</v>
      </c>
      <c r="J78" s="64">
        <v>0.14000000000000001</v>
      </c>
      <c r="K78" s="64">
        <v>359.13</v>
      </c>
      <c r="L78" s="64">
        <v>31.68</v>
      </c>
      <c r="M78" s="64">
        <v>70.66</v>
      </c>
      <c r="N78" s="64">
        <v>83.6</v>
      </c>
      <c r="O78" s="64">
        <v>0</v>
      </c>
      <c r="P78" s="64">
        <v>0.45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48" t="s">
        <v>2907</v>
      </c>
      <c r="B79" s="64">
        <v>7.97</v>
      </c>
      <c r="C79" s="64">
        <v>3.03</v>
      </c>
      <c r="D79" s="64">
        <v>11.75</v>
      </c>
      <c r="E79" s="64">
        <v>4.6500000000000004</v>
      </c>
      <c r="F79" s="64">
        <v>4.3499999999999996</v>
      </c>
      <c r="G79" s="64">
        <v>35.26</v>
      </c>
      <c r="H79" s="64">
        <v>0.56999999999999995</v>
      </c>
      <c r="I79" s="64">
        <v>2.27</v>
      </c>
      <c r="J79" s="64">
        <v>0.19</v>
      </c>
      <c r="K79" s="64">
        <v>349.19</v>
      </c>
      <c r="L79" s="64">
        <v>31.5</v>
      </c>
      <c r="M79" s="64">
        <v>71.849999999999994</v>
      </c>
      <c r="N79" s="64">
        <v>64.8</v>
      </c>
      <c r="O79" s="64">
        <v>0</v>
      </c>
      <c r="P79" s="64">
        <v>0.44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48" t="s">
        <v>2908</v>
      </c>
      <c r="B80" s="64">
        <v>7.96</v>
      </c>
      <c r="C80" s="64">
        <v>3.02</v>
      </c>
      <c r="D80" s="64">
        <v>11.73</v>
      </c>
      <c r="E80" s="64">
        <v>4.7300000000000004</v>
      </c>
      <c r="F80" s="64">
        <v>4.38</v>
      </c>
      <c r="G80" s="64">
        <v>38.869999999999997</v>
      </c>
      <c r="H80" s="64">
        <v>16.63</v>
      </c>
      <c r="I80" s="64">
        <v>2.04</v>
      </c>
      <c r="J80" s="64">
        <v>0.18</v>
      </c>
      <c r="K80" s="64">
        <v>346.49</v>
      </c>
      <c r="L80" s="64">
        <v>31.18</v>
      </c>
      <c r="M80" s="64">
        <v>73.06</v>
      </c>
      <c r="N80" s="64">
        <v>52.6</v>
      </c>
      <c r="O80" s="64">
        <v>0</v>
      </c>
      <c r="P80" s="64">
        <v>0.46</v>
      </c>
      <c r="Q80" s="64">
        <v>9.7100000000000009</v>
      </c>
      <c r="R80" s="198"/>
      <c r="S80" s="198"/>
      <c r="T80" s="198"/>
      <c r="U80" s="198"/>
    </row>
    <row r="81" spans="1:26" s="12" customFormat="1" x14ac:dyDescent="0.25">
      <c r="A81" s="248" t="s">
        <v>2909</v>
      </c>
      <c r="B81" s="64">
        <v>7.95</v>
      </c>
      <c r="C81" s="64">
        <v>2.96</v>
      </c>
      <c r="D81" s="64">
        <v>11.7</v>
      </c>
      <c r="E81" s="64">
        <v>4.88</v>
      </c>
      <c r="F81" s="64">
        <v>2.84</v>
      </c>
      <c r="G81" s="64">
        <v>39.03</v>
      </c>
      <c r="H81" s="64">
        <v>15.63</v>
      </c>
      <c r="I81" s="64">
        <v>2</v>
      </c>
      <c r="J81" s="64">
        <v>0.14000000000000001</v>
      </c>
      <c r="K81" s="64">
        <v>343.88</v>
      </c>
      <c r="L81" s="64">
        <v>30.89</v>
      </c>
      <c r="M81" s="64">
        <v>75.099999999999994</v>
      </c>
      <c r="N81" s="64">
        <v>41.5</v>
      </c>
      <c r="O81" s="64">
        <v>0</v>
      </c>
      <c r="P81" s="64">
        <v>0.46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48" t="s">
        <v>2910</v>
      </c>
      <c r="B82" s="64">
        <v>7.97</v>
      </c>
      <c r="C82" s="64">
        <v>2.99</v>
      </c>
      <c r="D82" s="64">
        <v>11.73</v>
      </c>
      <c r="E82" s="64">
        <v>5.03</v>
      </c>
      <c r="F82" s="64">
        <v>3.62</v>
      </c>
      <c r="G82" s="64">
        <v>39.03</v>
      </c>
      <c r="H82" s="64">
        <v>15.63</v>
      </c>
      <c r="I82" s="64">
        <v>2.1</v>
      </c>
      <c r="J82" s="64">
        <v>0.18</v>
      </c>
      <c r="K82" s="64">
        <v>350.63</v>
      </c>
      <c r="L82" s="64">
        <v>30.45</v>
      </c>
      <c r="M82" s="64">
        <v>79.48</v>
      </c>
      <c r="N82" s="64">
        <v>34.299999999999997</v>
      </c>
      <c r="O82" s="64">
        <v>0</v>
      </c>
      <c r="P82" s="64">
        <v>0.48</v>
      </c>
      <c r="Q82" s="64">
        <v>9.7200000000000006</v>
      </c>
      <c r="R82" s="198"/>
      <c r="S82" s="198"/>
      <c r="T82" s="198"/>
      <c r="U82" s="198"/>
    </row>
    <row r="83" spans="1:26" s="12" customFormat="1" x14ac:dyDescent="0.25">
      <c r="A83" s="248" t="s">
        <v>2911</v>
      </c>
      <c r="B83" s="64">
        <v>7.99</v>
      </c>
      <c r="C83" s="64">
        <v>3.01</v>
      </c>
      <c r="D83" s="64">
        <v>11.75</v>
      </c>
      <c r="E83" s="64">
        <v>4.8499999999999996</v>
      </c>
      <c r="F83" s="64">
        <v>3.47</v>
      </c>
      <c r="G83" s="64">
        <v>39.03</v>
      </c>
      <c r="H83" s="64">
        <v>13.63</v>
      </c>
      <c r="I83" s="64">
        <v>2.2000000000000002</v>
      </c>
      <c r="J83" s="64">
        <v>0.12</v>
      </c>
      <c r="K83" s="64">
        <v>339.03</v>
      </c>
      <c r="L83" s="64">
        <v>30.11</v>
      </c>
      <c r="M83" s="64">
        <v>80.42</v>
      </c>
      <c r="N83" s="64">
        <v>31.9</v>
      </c>
      <c r="O83" s="64">
        <v>0</v>
      </c>
      <c r="P83" s="64">
        <v>0.48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48" t="s">
        <v>2912</v>
      </c>
      <c r="B84" s="64">
        <v>7.99</v>
      </c>
      <c r="C84" s="64">
        <v>3.02</v>
      </c>
      <c r="D84" s="64">
        <v>11.76</v>
      </c>
      <c r="E84" s="64">
        <v>5.07</v>
      </c>
      <c r="F84" s="64">
        <v>3.43</v>
      </c>
      <c r="G84" s="64">
        <v>44.47</v>
      </c>
      <c r="H84" s="64">
        <v>21.85</v>
      </c>
      <c r="I84" s="64">
        <v>2.31</v>
      </c>
      <c r="J84" s="64">
        <v>0.04</v>
      </c>
      <c r="K84" s="64">
        <v>14.06</v>
      </c>
      <c r="L84" s="64">
        <v>30.11</v>
      </c>
      <c r="M84" s="64">
        <v>81.08</v>
      </c>
      <c r="N84" s="64">
        <v>31.5</v>
      </c>
      <c r="O84" s="64">
        <v>0</v>
      </c>
      <c r="P84" s="64">
        <v>0.51</v>
      </c>
      <c r="Q84" s="64">
        <v>9.76</v>
      </c>
      <c r="R84" s="198"/>
      <c r="S84" s="198"/>
      <c r="T84" s="198"/>
      <c r="U84" s="198"/>
    </row>
    <row r="85" spans="1:26" s="12" customFormat="1" x14ac:dyDescent="0.25">
      <c r="A85" s="248" t="s">
        <v>2913</v>
      </c>
      <c r="B85" s="64">
        <v>8.01</v>
      </c>
      <c r="C85" s="64">
        <v>3.03</v>
      </c>
      <c r="D85" s="64">
        <v>11.78</v>
      </c>
      <c r="E85" s="64">
        <v>4.71</v>
      </c>
      <c r="F85" s="64">
        <v>3.41</v>
      </c>
      <c r="G85" s="64">
        <v>44.72</v>
      </c>
      <c r="H85" s="64">
        <v>21.85</v>
      </c>
      <c r="I85" s="64">
        <v>2.5</v>
      </c>
      <c r="J85" s="64">
        <v>0.14000000000000001</v>
      </c>
      <c r="K85" s="64">
        <v>173.55</v>
      </c>
      <c r="L85" s="64">
        <v>30</v>
      </c>
      <c r="M85" s="64">
        <v>82.11</v>
      </c>
      <c r="N85" s="64">
        <v>31.5</v>
      </c>
      <c r="O85" s="64">
        <v>0</v>
      </c>
      <c r="P85" s="64">
        <v>0.53</v>
      </c>
      <c r="Q85" s="64">
        <v>9.7899999999999991</v>
      </c>
      <c r="R85" s="198"/>
      <c r="S85" s="198"/>
      <c r="T85" s="198"/>
      <c r="U85" s="198"/>
    </row>
    <row r="86" spans="1:26" s="12" customFormat="1" x14ac:dyDescent="0.25">
      <c r="A86" s="248" t="s">
        <v>2914</v>
      </c>
      <c r="B86" s="64">
        <v>8.02</v>
      </c>
      <c r="C86" s="64">
        <v>3.02</v>
      </c>
      <c r="D86" s="64">
        <v>11.78</v>
      </c>
      <c r="E86" s="64">
        <v>5.13</v>
      </c>
      <c r="F86" s="64">
        <v>3.25</v>
      </c>
      <c r="G86" s="64">
        <v>44.72</v>
      </c>
      <c r="H86" s="64">
        <v>21.85</v>
      </c>
      <c r="I86" s="64">
        <v>2.82</v>
      </c>
      <c r="J86" s="64">
        <v>0.09</v>
      </c>
      <c r="K86" s="64">
        <v>155.15</v>
      </c>
      <c r="L86" s="64">
        <v>29.89</v>
      </c>
      <c r="M86" s="64">
        <v>83.67</v>
      </c>
      <c r="N86" s="64">
        <v>31.5</v>
      </c>
      <c r="O86" s="64">
        <v>0</v>
      </c>
      <c r="P86" s="64">
        <v>0.53</v>
      </c>
      <c r="Q86" s="64">
        <v>9.84</v>
      </c>
      <c r="R86" s="198"/>
      <c r="S86" s="198"/>
      <c r="T86" s="198"/>
      <c r="U86" s="198"/>
    </row>
    <row r="87" spans="1:26" s="12" customFormat="1" x14ac:dyDescent="0.25">
      <c r="A87" s="248" t="s">
        <v>2915</v>
      </c>
      <c r="B87" s="64">
        <v>8.02</v>
      </c>
      <c r="C87" s="64">
        <v>3.03</v>
      </c>
      <c r="D87" s="64">
        <v>11.79</v>
      </c>
      <c r="E87" s="64">
        <v>4.93</v>
      </c>
      <c r="F87" s="64">
        <v>3.74</v>
      </c>
      <c r="G87" s="64">
        <v>44.72</v>
      </c>
      <c r="H87" s="64">
        <v>21.85</v>
      </c>
      <c r="I87" s="64">
        <v>3.35</v>
      </c>
      <c r="J87" s="64">
        <v>0.13</v>
      </c>
      <c r="K87" s="64">
        <v>350.16</v>
      </c>
      <c r="L87" s="64">
        <v>29.78</v>
      </c>
      <c r="M87" s="64">
        <v>84.44</v>
      </c>
      <c r="N87" s="64">
        <v>31.6</v>
      </c>
      <c r="O87" s="64">
        <v>0</v>
      </c>
      <c r="P87" s="64">
        <v>0.53</v>
      </c>
      <c r="Q87" s="64">
        <v>9.86</v>
      </c>
      <c r="R87" s="198"/>
      <c r="S87" s="198"/>
      <c r="T87" s="198"/>
      <c r="U87" s="198"/>
    </row>
    <row r="88" spans="1:26" s="12" customFormat="1" x14ac:dyDescent="0.25">
      <c r="A88" s="248" t="s">
        <v>2916</v>
      </c>
      <c r="B88" s="64">
        <v>8.0299999999999994</v>
      </c>
      <c r="C88" s="64">
        <v>3.05</v>
      </c>
      <c r="D88" s="64">
        <v>11.81</v>
      </c>
      <c r="E88" s="64">
        <v>5.25</v>
      </c>
      <c r="F88" s="64">
        <v>3.27</v>
      </c>
      <c r="G88" s="64">
        <v>45.39</v>
      </c>
      <c r="H88" s="64">
        <v>22.74</v>
      </c>
      <c r="I88" s="64">
        <v>3.61</v>
      </c>
      <c r="J88" s="64">
        <v>0.09</v>
      </c>
      <c r="K88" s="64">
        <v>335.05</v>
      </c>
      <c r="L88" s="64">
        <v>29.64</v>
      </c>
      <c r="M88" s="64">
        <v>85.22</v>
      </c>
      <c r="N88" s="64">
        <v>31.6</v>
      </c>
      <c r="O88" s="64">
        <v>0</v>
      </c>
      <c r="P88" s="64">
        <v>0.55000000000000004</v>
      </c>
      <c r="Q88" s="64">
        <v>9.85</v>
      </c>
      <c r="R88" s="198"/>
      <c r="S88" s="198"/>
      <c r="T88" s="198"/>
      <c r="U88" s="198"/>
    </row>
    <row r="89" spans="1:26" s="12" customFormat="1" x14ac:dyDescent="0.25">
      <c r="A89" s="248" t="s">
        <v>2917</v>
      </c>
      <c r="B89" s="64">
        <v>8.02</v>
      </c>
      <c r="C89" s="64">
        <v>3.05</v>
      </c>
      <c r="D89" s="64">
        <v>11.8</v>
      </c>
      <c r="E89" s="64">
        <v>5.37</v>
      </c>
      <c r="F89" s="64">
        <v>3.67</v>
      </c>
      <c r="G89" s="64">
        <v>45.42</v>
      </c>
      <c r="H89" s="64">
        <v>22.74</v>
      </c>
      <c r="I89" s="64">
        <v>3.78</v>
      </c>
      <c r="J89" s="64">
        <v>0.09</v>
      </c>
      <c r="K89" s="64">
        <v>348.17</v>
      </c>
      <c r="L89" s="64">
        <v>29.65</v>
      </c>
      <c r="M89" s="64">
        <v>84.3</v>
      </c>
      <c r="N89" s="64">
        <v>31.6</v>
      </c>
      <c r="O89" s="64">
        <v>0</v>
      </c>
      <c r="P89" s="64">
        <v>0.56000000000000005</v>
      </c>
      <c r="Q89" s="64">
        <v>9.89</v>
      </c>
      <c r="R89" s="198"/>
      <c r="S89" s="198"/>
      <c r="T89" s="198"/>
      <c r="U89" s="198"/>
    </row>
    <row r="90" spans="1:26" s="12" customFormat="1" x14ac:dyDescent="0.25">
      <c r="A90" s="248" t="s">
        <v>2918</v>
      </c>
      <c r="B90" s="64">
        <v>8</v>
      </c>
      <c r="C90" s="64">
        <v>3.01</v>
      </c>
      <c r="D90" s="64">
        <v>11.76</v>
      </c>
      <c r="E90" s="64">
        <v>5.55</v>
      </c>
      <c r="F90" s="64">
        <v>4.87</v>
      </c>
      <c r="G90" s="64">
        <v>45.42</v>
      </c>
      <c r="H90" s="64">
        <v>22.74</v>
      </c>
      <c r="I90" s="64">
        <v>4.09</v>
      </c>
      <c r="J90" s="64">
        <v>0.11</v>
      </c>
      <c r="K90" s="64">
        <v>337.47</v>
      </c>
      <c r="L90" s="64">
        <v>29.52</v>
      </c>
      <c r="M90" s="64">
        <v>85.83</v>
      </c>
      <c r="N90" s="64">
        <v>31.6</v>
      </c>
      <c r="O90" s="64">
        <v>0</v>
      </c>
      <c r="P90" s="64">
        <v>0.59</v>
      </c>
      <c r="Q90" s="64">
        <v>9.93</v>
      </c>
      <c r="R90" s="198"/>
      <c r="S90" s="198"/>
      <c r="T90" s="198"/>
      <c r="U90" s="198"/>
    </row>
    <row r="91" spans="1:26" s="12" customFormat="1" x14ac:dyDescent="0.25">
      <c r="A91" s="248" t="s">
        <v>2919</v>
      </c>
      <c r="B91" s="64">
        <v>8.02</v>
      </c>
      <c r="C91" s="64">
        <v>3.13</v>
      </c>
      <c r="D91" s="64">
        <v>11.84</v>
      </c>
      <c r="E91" s="64">
        <v>6.09</v>
      </c>
      <c r="F91" s="64">
        <v>2.4</v>
      </c>
      <c r="G91" s="64">
        <v>45.42</v>
      </c>
      <c r="H91" s="64">
        <v>22.74</v>
      </c>
      <c r="I91" s="64">
        <v>4.21</v>
      </c>
      <c r="J91" s="64">
        <v>0.1</v>
      </c>
      <c r="K91" s="64">
        <v>351.27</v>
      </c>
      <c r="L91" s="64">
        <v>29.51</v>
      </c>
      <c r="M91" s="64">
        <v>85.9</v>
      </c>
      <c r="N91" s="64">
        <v>31.4</v>
      </c>
      <c r="O91" s="64">
        <v>0</v>
      </c>
      <c r="P91" s="64">
        <v>0.61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48" t="s">
        <v>2920</v>
      </c>
      <c r="B92" s="64">
        <v>8.0299999999999994</v>
      </c>
      <c r="C92" s="64">
        <v>3.13</v>
      </c>
      <c r="D92" s="64">
        <v>11.85</v>
      </c>
      <c r="E92" s="64">
        <v>5.4</v>
      </c>
      <c r="F92" s="64">
        <v>3.99</v>
      </c>
      <c r="G92" s="64">
        <v>48.04</v>
      </c>
      <c r="H92" s="64">
        <v>22.13</v>
      </c>
      <c r="I92" s="64">
        <v>4.1100000000000003</v>
      </c>
      <c r="J92" s="64">
        <v>0.15</v>
      </c>
      <c r="K92" s="64">
        <v>354.22</v>
      </c>
      <c r="L92" s="64">
        <v>29.47</v>
      </c>
      <c r="M92" s="64">
        <v>86.83</v>
      </c>
      <c r="N92" s="64">
        <v>31.6</v>
      </c>
      <c r="O92" s="64">
        <v>0</v>
      </c>
      <c r="P92" s="64">
        <v>0.63</v>
      </c>
      <c r="Q92" s="64">
        <v>9.83</v>
      </c>
      <c r="R92" s="198"/>
      <c r="S92" s="198"/>
      <c r="T92" s="198"/>
      <c r="U92" s="198"/>
    </row>
    <row r="93" spans="1:26" s="12" customFormat="1" x14ac:dyDescent="0.25">
      <c r="A93" s="248" t="s">
        <v>2921</v>
      </c>
      <c r="B93" s="64">
        <v>7.99</v>
      </c>
      <c r="C93" s="64">
        <v>3.01</v>
      </c>
      <c r="D93" s="64">
        <v>11.75</v>
      </c>
      <c r="E93" s="64">
        <v>5.72</v>
      </c>
      <c r="F93" s="64">
        <v>2.92</v>
      </c>
      <c r="G93" s="64">
        <v>48.16</v>
      </c>
      <c r="H93" s="64">
        <v>22.13</v>
      </c>
      <c r="I93" s="64">
        <v>4.13</v>
      </c>
      <c r="J93" s="64">
        <v>0.08</v>
      </c>
      <c r="K93" s="64">
        <v>5.5</v>
      </c>
      <c r="L93" s="64">
        <v>29.39</v>
      </c>
      <c r="M93" s="64">
        <v>87.6</v>
      </c>
      <c r="N93" s="64">
        <v>31.6</v>
      </c>
      <c r="O93" s="64">
        <v>0</v>
      </c>
      <c r="P93" s="64">
        <v>0.67</v>
      </c>
      <c r="Q93" s="64">
        <v>9.84</v>
      </c>
      <c r="R93" s="198"/>
      <c r="S93" s="198"/>
      <c r="T93" s="198"/>
      <c r="U93" s="198"/>
    </row>
    <row r="94" spans="1:26" s="12" customFormat="1" x14ac:dyDescent="0.25">
      <c r="A94" s="248" t="s">
        <v>2922</v>
      </c>
      <c r="B94" s="64">
        <v>8.0299999999999994</v>
      </c>
      <c r="C94" s="64">
        <v>3.06</v>
      </c>
      <c r="D94" s="64">
        <v>11.81</v>
      </c>
      <c r="E94" s="64">
        <v>5.93</v>
      </c>
      <c r="F94" s="64">
        <v>3.28</v>
      </c>
      <c r="G94" s="64">
        <v>48.16</v>
      </c>
      <c r="H94" s="64">
        <v>22.13</v>
      </c>
      <c r="I94" s="64">
        <v>4.13</v>
      </c>
      <c r="J94" s="64">
        <v>0.12</v>
      </c>
      <c r="K94" s="64">
        <v>5.38</v>
      </c>
      <c r="L94" s="64">
        <v>29.34</v>
      </c>
      <c r="M94" s="64">
        <v>89.07</v>
      </c>
      <c r="N94" s="64">
        <v>31.6</v>
      </c>
      <c r="O94" s="64">
        <v>0</v>
      </c>
      <c r="P94" s="64">
        <v>0.68</v>
      </c>
      <c r="Q94" s="64">
        <v>9.8699999999999992</v>
      </c>
      <c r="R94" s="198"/>
      <c r="S94" s="198"/>
      <c r="T94" s="198"/>
      <c r="U94" s="198"/>
    </row>
    <row r="95" spans="1:26" s="12" customFormat="1" x14ac:dyDescent="0.25">
      <c r="A95" s="248" t="s">
        <v>2923</v>
      </c>
      <c r="B95" s="64">
        <v>7.99</v>
      </c>
      <c r="C95" s="64">
        <v>2.97</v>
      </c>
      <c r="D95" s="64">
        <v>11.74</v>
      </c>
      <c r="E95" s="64">
        <v>5.73</v>
      </c>
      <c r="F95" s="64">
        <v>3.71</v>
      </c>
      <c r="G95" s="64">
        <v>48.16</v>
      </c>
      <c r="H95" s="64">
        <v>22.13</v>
      </c>
      <c r="I95" s="64">
        <v>4.2</v>
      </c>
      <c r="J95" s="64">
        <v>0.09</v>
      </c>
      <c r="K95" s="64">
        <v>342.7</v>
      </c>
      <c r="L95" s="64">
        <v>29.19</v>
      </c>
      <c r="M95" s="64">
        <v>91.36</v>
      </c>
      <c r="N95" s="64">
        <v>31.6</v>
      </c>
      <c r="O95" s="64">
        <v>0</v>
      </c>
      <c r="P95" s="64">
        <v>0.69</v>
      </c>
      <c r="Q95" s="64">
        <v>9.9700000000000006</v>
      </c>
      <c r="R95" s="198"/>
      <c r="S95" s="198"/>
      <c r="T95" s="198"/>
      <c r="U95" s="198"/>
    </row>
    <row r="96" spans="1:26" s="12" customFormat="1" x14ac:dyDescent="0.25">
      <c r="A96" s="248" t="s">
        <v>2924</v>
      </c>
      <c r="B96" s="64">
        <v>7.99</v>
      </c>
      <c r="C96" s="64">
        <v>3.01</v>
      </c>
      <c r="D96" s="64">
        <v>11.75</v>
      </c>
      <c r="E96" s="64">
        <v>5.62</v>
      </c>
      <c r="F96" s="64">
        <v>2.3199999999999998</v>
      </c>
      <c r="G96" s="64">
        <v>47.6</v>
      </c>
      <c r="H96" s="64">
        <v>25.2</v>
      </c>
      <c r="I96" s="64">
        <v>4.18</v>
      </c>
      <c r="J96" s="64">
        <v>0.09</v>
      </c>
      <c r="K96" s="64">
        <v>5.28</v>
      </c>
      <c r="L96" s="64">
        <v>29.09</v>
      </c>
      <c r="M96" s="64">
        <v>92.82</v>
      </c>
      <c r="N96" s="64">
        <v>31.7</v>
      </c>
      <c r="O96" s="64">
        <v>0</v>
      </c>
      <c r="P96" s="64">
        <v>0.7</v>
      </c>
      <c r="Q96" s="64">
        <v>9.94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2925</v>
      </c>
      <c r="B97" s="64">
        <v>8.0500000000000007</v>
      </c>
      <c r="C97" s="64">
        <v>3.02</v>
      </c>
      <c r="D97" s="64">
        <v>11.81</v>
      </c>
      <c r="E97" s="64">
        <v>6.1</v>
      </c>
      <c r="F97" s="64">
        <v>4.4400000000000004</v>
      </c>
      <c r="G97" s="64">
        <v>47.57</v>
      </c>
      <c r="H97" s="64">
        <v>26.2</v>
      </c>
      <c r="I97" s="64">
        <v>4.13</v>
      </c>
      <c r="J97" s="64">
        <v>0.14000000000000001</v>
      </c>
      <c r="K97" s="64">
        <v>329.54</v>
      </c>
      <c r="L97" s="64">
        <v>28.98</v>
      </c>
      <c r="M97" s="64">
        <v>92.97</v>
      </c>
      <c r="N97" s="64">
        <v>31.8</v>
      </c>
      <c r="O97" s="64">
        <v>0</v>
      </c>
      <c r="P97" s="64">
        <v>0.71</v>
      </c>
      <c r="Q97" s="64">
        <v>10</v>
      </c>
      <c r="R97" s="198"/>
      <c r="S97" s="198"/>
      <c r="T97" s="198"/>
      <c r="U97" s="198"/>
    </row>
    <row r="98" spans="1:33" s="12" customFormat="1" x14ac:dyDescent="0.25">
      <c r="A98" s="248" t="s">
        <v>2926</v>
      </c>
      <c r="B98" s="64">
        <v>8</v>
      </c>
      <c r="C98" s="64">
        <v>3.04</v>
      </c>
      <c r="D98" s="64">
        <v>11.78</v>
      </c>
      <c r="E98" s="64">
        <v>5.92</v>
      </c>
      <c r="F98" s="64">
        <v>3.17</v>
      </c>
      <c r="G98" s="64">
        <v>47.57</v>
      </c>
      <c r="H98" s="64">
        <v>26.2</v>
      </c>
      <c r="I98" s="64">
        <v>4.2300000000000004</v>
      </c>
      <c r="J98" s="64">
        <v>0.12</v>
      </c>
      <c r="K98" s="64">
        <v>346.57</v>
      </c>
      <c r="L98" s="64">
        <v>28.92</v>
      </c>
      <c r="M98" s="64">
        <v>93.77</v>
      </c>
      <c r="N98" s="64">
        <v>31.5</v>
      </c>
      <c r="O98" s="64">
        <v>0</v>
      </c>
      <c r="P98" s="64">
        <v>0.71</v>
      </c>
      <c r="Q98" s="64">
        <v>10</v>
      </c>
      <c r="R98" s="198"/>
      <c r="S98" s="198"/>
      <c r="T98" s="198"/>
      <c r="U98" s="198"/>
    </row>
    <row r="99" spans="1:33" s="12" customFormat="1" x14ac:dyDescent="0.25">
      <c r="A99" s="248" t="s">
        <v>2927</v>
      </c>
      <c r="B99" s="64">
        <v>8.0299999999999994</v>
      </c>
      <c r="C99" s="64">
        <v>3.05</v>
      </c>
      <c r="D99" s="64">
        <v>11.81</v>
      </c>
      <c r="E99" s="64">
        <v>5.96</v>
      </c>
      <c r="F99" s="64">
        <v>3.52</v>
      </c>
      <c r="G99" s="64">
        <v>47.57</v>
      </c>
      <c r="H99" s="64">
        <v>28.2</v>
      </c>
      <c r="I99" s="64">
        <v>4.2300000000000004</v>
      </c>
      <c r="J99" s="64">
        <v>0.12</v>
      </c>
      <c r="K99" s="64">
        <v>345.22</v>
      </c>
      <c r="L99" s="64">
        <v>28.67</v>
      </c>
      <c r="M99" s="64">
        <v>97.11</v>
      </c>
      <c r="N99" s="64">
        <v>30.6</v>
      </c>
      <c r="O99" s="64">
        <v>0</v>
      </c>
      <c r="P99" s="64">
        <v>0.7</v>
      </c>
      <c r="Q99" s="64">
        <v>9.99</v>
      </c>
      <c r="R99" s="198"/>
      <c r="S99" s="198"/>
      <c r="T99" s="198"/>
      <c r="U99" s="198"/>
    </row>
    <row r="100" spans="1:33" s="12" customFormat="1" x14ac:dyDescent="0.25">
      <c r="A100" s="248" t="s">
        <v>2928</v>
      </c>
      <c r="B100" s="64">
        <v>8.08</v>
      </c>
      <c r="C100" s="64">
        <v>3.12</v>
      </c>
      <c r="D100" s="64">
        <v>11.88</v>
      </c>
      <c r="E100" s="64">
        <v>5.44</v>
      </c>
      <c r="F100" s="64">
        <v>3.5</v>
      </c>
      <c r="G100" s="64">
        <v>46.68</v>
      </c>
      <c r="H100" s="64">
        <v>39.799999999999997</v>
      </c>
      <c r="I100" s="64">
        <v>4.16</v>
      </c>
      <c r="J100" s="64">
        <v>0.09</v>
      </c>
      <c r="K100" s="64">
        <v>13.77</v>
      </c>
      <c r="L100" s="64">
        <v>28.37</v>
      </c>
      <c r="M100" s="64">
        <v>99.64</v>
      </c>
      <c r="N100" s="64">
        <v>30.4</v>
      </c>
      <c r="O100" s="64">
        <v>0</v>
      </c>
      <c r="P100" s="64">
        <v>0.69</v>
      </c>
      <c r="Q100" s="64">
        <v>10.050000000000001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2929</v>
      </c>
      <c r="B101" s="64">
        <v>8.07</v>
      </c>
      <c r="C101" s="64">
        <v>3.1</v>
      </c>
      <c r="D101" s="64">
        <v>11.87</v>
      </c>
      <c r="E101" s="64">
        <v>5.8</v>
      </c>
      <c r="F101" s="64">
        <v>3.36</v>
      </c>
      <c r="G101" s="64">
        <v>46.64</v>
      </c>
      <c r="H101" s="64">
        <v>39.799999999999997</v>
      </c>
      <c r="I101" s="64">
        <v>4.1900000000000004</v>
      </c>
      <c r="J101" s="64">
        <v>0.08</v>
      </c>
      <c r="K101" s="64">
        <v>339.84</v>
      </c>
      <c r="L101" s="64">
        <v>28.23</v>
      </c>
      <c r="M101" s="64">
        <v>100.85</v>
      </c>
      <c r="N101" s="64">
        <v>30.4</v>
      </c>
      <c r="O101" s="64">
        <v>0</v>
      </c>
      <c r="P101" s="64">
        <v>0.69</v>
      </c>
      <c r="Q101" s="64">
        <v>10.07</v>
      </c>
      <c r="R101" s="198"/>
      <c r="S101" s="198"/>
      <c r="T101" s="198"/>
      <c r="U101" s="198"/>
    </row>
    <row r="102" spans="1:33" s="12" customFormat="1" x14ac:dyDescent="0.25">
      <c r="A102" s="248" t="s">
        <v>2930</v>
      </c>
      <c r="B102" s="64">
        <v>8.07</v>
      </c>
      <c r="C102" s="64">
        <v>3.09</v>
      </c>
      <c r="D102" s="64">
        <v>11.86</v>
      </c>
      <c r="E102" s="64">
        <v>5.53</v>
      </c>
      <c r="F102" s="64">
        <v>3.68</v>
      </c>
      <c r="G102" s="64">
        <v>46.64</v>
      </c>
      <c r="H102" s="64">
        <v>39.799999999999997</v>
      </c>
      <c r="I102" s="64">
        <v>4.3</v>
      </c>
      <c r="J102" s="64">
        <v>0.04</v>
      </c>
      <c r="K102" s="64">
        <v>292.75</v>
      </c>
      <c r="L102" s="64">
        <v>28.12</v>
      </c>
      <c r="M102" s="64">
        <v>99.46</v>
      </c>
      <c r="N102" s="64">
        <v>31.2</v>
      </c>
      <c r="O102" s="64">
        <v>0</v>
      </c>
      <c r="P102" s="64">
        <v>0.68</v>
      </c>
      <c r="Q102" s="64">
        <v>10.08</v>
      </c>
      <c r="R102" s="198"/>
      <c r="S102" s="198"/>
      <c r="T102" s="198"/>
      <c r="U102" s="198"/>
    </row>
    <row r="103" spans="1:33" s="12" customFormat="1" x14ac:dyDescent="0.25">
      <c r="A103" s="248" t="s">
        <v>2931</v>
      </c>
      <c r="B103" s="64">
        <v>8.0299999999999994</v>
      </c>
      <c r="C103" s="64">
        <v>3.03</v>
      </c>
      <c r="D103" s="64">
        <v>11.8</v>
      </c>
      <c r="E103" s="64">
        <v>5.51</v>
      </c>
      <c r="F103" s="64">
        <v>3.46</v>
      </c>
      <c r="G103" s="64">
        <v>46.64</v>
      </c>
      <c r="H103" s="64">
        <v>39.799999999999997</v>
      </c>
      <c r="I103" s="64">
        <v>4.38</v>
      </c>
      <c r="J103" s="64">
        <v>0.12</v>
      </c>
      <c r="K103" s="64">
        <v>341.44</v>
      </c>
      <c r="L103" s="64">
        <v>28.07</v>
      </c>
      <c r="M103" s="64">
        <v>97.84</v>
      </c>
      <c r="N103" s="64">
        <v>31.8</v>
      </c>
      <c r="O103" s="64">
        <v>0</v>
      </c>
      <c r="P103" s="64">
        <v>0.68</v>
      </c>
      <c r="Q103" s="64">
        <v>10.09</v>
      </c>
      <c r="R103" s="198"/>
      <c r="S103" s="198"/>
      <c r="T103" s="198"/>
      <c r="U103" s="198"/>
    </row>
    <row r="104" spans="1:33" s="12" customFormat="1" x14ac:dyDescent="0.25">
      <c r="A104" s="248" t="s">
        <v>2932</v>
      </c>
      <c r="B104" s="64">
        <v>8.06</v>
      </c>
      <c r="C104" s="64">
        <v>3.08</v>
      </c>
      <c r="D104" s="64">
        <v>11.85</v>
      </c>
      <c r="E104" s="64">
        <v>4.21</v>
      </c>
      <c r="F104" s="64">
        <v>3.45</v>
      </c>
      <c r="G104" s="64">
        <v>39.54</v>
      </c>
      <c r="H104" s="64">
        <v>30.6</v>
      </c>
      <c r="I104" s="64">
        <v>4.4800000000000004</v>
      </c>
      <c r="J104" s="64">
        <v>0.1</v>
      </c>
      <c r="K104" s="64">
        <v>321.95</v>
      </c>
      <c r="L104" s="64">
        <v>28.05</v>
      </c>
      <c r="M104" s="64">
        <v>96.82</v>
      </c>
      <c r="N104" s="64">
        <v>32</v>
      </c>
      <c r="O104" s="64">
        <v>0</v>
      </c>
      <c r="P104" s="64">
        <v>0.67</v>
      </c>
      <c r="Q104" s="64">
        <v>10.06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7.91</v>
      </c>
      <c r="C106" s="67">
        <f>MIN(C9:C104)</f>
        <v>2.88</v>
      </c>
      <c r="D106" s="67">
        <f t="shared" ref="D106:Q106" si="0">MIN(D9:D104)</f>
        <v>11.64</v>
      </c>
      <c r="E106" s="67">
        <f t="shared" si="0"/>
        <v>3.3</v>
      </c>
      <c r="F106" s="67">
        <f t="shared" si="0"/>
        <v>2.27</v>
      </c>
      <c r="G106" s="67">
        <f t="shared" si="0"/>
        <v>18.38</v>
      </c>
      <c r="H106" s="67">
        <f t="shared" si="0"/>
        <v>0.56999999999999995</v>
      </c>
      <c r="I106" s="67">
        <f t="shared" si="0"/>
        <v>2</v>
      </c>
      <c r="J106" s="67">
        <f t="shared" si="0"/>
        <v>0.03</v>
      </c>
      <c r="K106" s="67">
        <f t="shared" si="0"/>
        <v>1.29</v>
      </c>
      <c r="L106" s="67">
        <f t="shared" si="0"/>
        <v>25.63</v>
      </c>
      <c r="M106" s="67">
        <f t="shared" si="0"/>
        <v>64.89</v>
      </c>
      <c r="N106" s="67">
        <f t="shared" si="0"/>
        <v>8.6</v>
      </c>
      <c r="O106" s="67">
        <f t="shared" si="0"/>
        <v>0</v>
      </c>
      <c r="P106" s="67">
        <f t="shared" si="0"/>
        <v>0.25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8.08</v>
      </c>
      <c r="C107" s="66">
        <f t="shared" ref="C107:Q107" si="1">MAX(C9:C104)</f>
        <v>3.13</v>
      </c>
      <c r="D107" s="66">
        <f t="shared" si="1"/>
        <v>11.88</v>
      </c>
      <c r="E107" s="66">
        <f t="shared" si="1"/>
        <v>6.54</v>
      </c>
      <c r="F107" s="66">
        <f t="shared" si="1"/>
        <v>20.46</v>
      </c>
      <c r="G107" s="66">
        <f t="shared" si="1"/>
        <v>48.16</v>
      </c>
      <c r="H107" s="66">
        <f t="shared" si="1"/>
        <v>39.799999999999997</v>
      </c>
      <c r="I107" s="66">
        <f t="shared" si="1"/>
        <v>4.4800000000000004</v>
      </c>
      <c r="J107" s="66">
        <f t="shared" si="1"/>
        <v>0.75</v>
      </c>
      <c r="K107" s="66">
        <f t="shared" si="1"/>
        <v>359.13</v>
      </c>
      <c r="L107" s="66">
        <f t="shared" si="1"/>
        <v>35.26</v>
      </c>
      <c r="M107" s="66">
        <f t="shared" si="1"/>
        <v>104.08</v>
      </c>
      <c r="N107" s="66">
        <f t="shared" si="1"/>
        <v>748.6</v>
      </c>
      <c r="O107" s="66">
        <f t="shared" si="1"/>
        <v>0</v>
      </c>
      <c r="P107" s="66">
        <f t="shared" si="1"/>
        <v>0.71</v>
      </c>
      <c r="Q107" s="66">
        <f t="shared" si="1"/>
        <v>10.09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7.9798958333333347</v>
      </c>
      <c r="C108" s="67">
        <f t="shared" ref="C108:Q108" si="2">AVERAGE(C9:C104)</f>
        <v>3.004375</v>
      </c>
      <c r="D108" s="67">
        <f t="shared" si="2"/>
        <v>11.743437499999997</v>
      </c>
      <c r="E108" s="67">
        <f t="shared" si="2"/>
        <v>4.3803124999999996</v>
      </c>
      <c r="F108" s="67">
        <f t="shared" si="2"/>
        <v>4.1821875000000004</v>
      </c>
      <c r="G108" s="67">
        <f t="shared" si="2"/>
        <v>33.407187499999999</v>
      </c>
      <c r="H108" s="67">
        <f t="shared" si="2"/>
        <v>17.193645833333328</v>
      </c>
      <c r="I108" s="67">
        <f t="shared" si="2"/>
        <v>3.1502083333333348</v>
      </c>
      <c r="J108" s="67">
        <f t="shared" si="2"/>
        <v>0.17937499999999998</v>
      </c>
      <c r="K108" s="67">
        <f t="shared" si="2"/>
        <v>280.5345833333335</v>
      </c>
      <c r="L108" s="67">
        <f t="shared" si="2"/>
        <v>29.830312500000002</v>
      </c>
      <c r="M108" s="67">
        <f t="shared" si="2"/>
        <v>86.752604166666671</v>
      </c>
      <c r="N108" s="67">
        <f t="shared" si="2"/>
        <v>163.12500000000003</v>
      </c>
      <c r="O108" s="67">
        <f t="shared" si="2"/>
        <v>0</v>
      </c>
      <c r="P108" s="67">
        <f t="shared" si="2"/>
        <v>0.45427083333333346</v>
      </c>
      <c r="Q108" s="67">
        <f t="shared" si="2"/>
        <v>9.6808333333333341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3.5909089647305742E-2</v>
      </c>
      <c r="C109" s="67">
        <f t="shared" ref="C109:Q109" si="3">STDEV(C9:C104)</f>
        <v>5.2190188632286819E-2</v>
      </c>
      <c r="D109" s="67">
        <f t="shared" si="3"/>
        <v>5.0426144534671452E-2</v>
      </c>
      <c r="E109" s="67">
        <f t="shared" si="3"/>
        <v>0.81595852980922146</v>
      </c>
      <c r="F109" s="67">
        <f t="shared" si="3"/>
        <v>2.1608030686103219</v>
      </c>
      <c r="G109" s="67">
        <f t="shared" si="3"/>
        <v>9.0121551488881888</v>
      </c>
      <c r="H109" s="67">
        <f t="shared" si="3"/>
        <v>10.272713178205018</v>
      </c>
      <c r="I109" s="67">
        <f t="shared" si="3"/>
        <v>0.68237044911437894</v>
      </c>
      <c r="J109" s="67">
        <f t="shared" si="3"/>
        <v>0.1216276673856906</v>
      </c>
      <c r="K109" s="67">
        <f t="shared" si="3"/>
        <v>107.78623786694078</v>
      </c>
      <c r="L109" s="67">
        <f t="shared" si="3"/>
        <v>2.6087211842405198</v>
      </c>
      <c r="M109" s="67">
        <f t="shared" si="3"/>
        <v>14.304568592607572</v>
      </c>
      <c r="N109" s="67">
        <f t="shared" si="3"/>
        <v>194.10774002301423</v>
      </c>
      <c r="O109" s="67">
        <f t="shared" si="3"/>
        <v>0</v>
      </c>
      <c r="P109" s="67">
        <f t="shared" si="3"/>
        <v>0.13198679991149534</v>
      </c>
      <c r="Q109" s="67">
        <f t="shared" si="3"/>
        <v>0.15084091771180771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8" t="s">
        <v>2933</v>
      </c>
      <c r="B9" s="64">
        <v>8.07</v>
      </c>
      <c r="C9" s="64">
        <v>3.11</v>
      </c>
      <c r="D9" s="64">
        <v>11.87</v>
      </c>
      <c r="E9" s="64">
        <v>3.93</v>
      </c>
      <c r="F9" s="64">
        <v>3.9</v>
      </c>
      <c r="G9" s="64">
        <v>39.21</v>
      </c>
      <c r="H9" s="64">
        <v>30.6</v>
      </c>
      <c r="I9" s="64">
        <v>4.5999999999999996</v>
      </c>
      <c r="J9" s="64">
        <v>0.04</v>
      </c>
      <c r="K9" s="64">
        <v>294.13</v>
      </c>
      <c r="L9" s="64">
        <v>28.04</v>
      </c>
      <c r="M9" s="64">
        <v>97.24</v>
      </c>
      <c r="N9" s="64">
        <v>31.8</v>
      </c>
      <c r="O9" s="64">
        <v>0</v>
      </c>
      <c r="P9" s="64">
        <v>0.66</v>
      </c>
      <c r="Q9" s="64">
        <v>10.08</v>
      </c>
      <c r="R9" s="198"/>
      <c r="S9" s="198"/>
      <c r="T9" s="198"/>
      <c r="U9" s="198"/>
    </row>
    <row r="10" spans="1:21" s="12" customFormat="1" x14ac:dyDescent="0.25">
      <c r="A10" s="248" t="s">
        <v>2934</v>
      </c>
      <c r="B10" s="64">
        <v>8.02</v>
      </c>
      <c r="C10" s="64">
        <v>3.01</v>
      </c>
      <c r="D10" s="64">
        <v>11.78</v>
      </c>
      <c r="E10" s="64">
        <v>3.71</v>
      </c>
      <c r="F10" s="64">
        <v>3.67</v>
      </c>
      <c r="G10" s="64">
        <v>39.21</v>
      </c>
      <c r="H10" s="64">
        <v>30.6</v>
      </c>
      <c r="I10" s="64">
        <v>4.7300000000000004</v>
      </c>
      <c r="J10" s="64">
        <v>0</v>
      </c>
      <c r="K10" s="64">
        <v>104.47</v>
      </c>
      <c r="L10" s="64">
        <v>28</v>
      </c>
      <c r="M10" s="64">
        <v>97.85</v>
      </c>
      <c r="N10" s="64">
        <v>31.8</v>
      </c>
      <c r="O10" s="64">
        <v>0</v>
      </c>
      <c r="P10" s="64">
        <v>0.66</v>
      </c>
      <c r="Q10" s="64">
        <v>10.07</v>
      </c>
      <c r="R10" s="198"/>
      <c r="S10" s="198"/>
      <c r="T10" s="198"/>
      <c r="U10" s="198"/>
    </row>
    <row r="11" spans="1:21" s="12" customFormat="1" x14ac:dyDescent="0.25">
      <c r="A11" s="248" t="s">
        <v>2935</v>
      </c>
      <c r="B11" s="64">
        <v>8</v>
      </c>
      <c r="C11" s="64">
        <v>3.03</v>
      </c>
      <c r="D11" s="64">
        <v>11.77</v>
      </c>
      <c r="E11" s="64">
        <v>4.25</v>
      </c>
      <c r="F11" s="64">
        <v>4.0599999999999996</v>
      </c>
      <c r="G11" s="64">
        <v>39.21</v>
      </c>
      <c r="H11" s="64">
        <v>30.6</v>
      </c>
      <c r="I11" s="64">
        <v>4.82</v>
      </c>
      <c r="J11" s="64">
        <v>0.1</v>
      </c>
      <c r="K11" s="64">
        <v>337.18</v>
      </c>
      <c r="L11" s="64">
        <v>27.93</v>
      </c>
      <c r="M11" s="64">
        <v>96.86</v>
      </c>
      <c r="N11" s="64">
        <v>16.7</v>
      </c>
      <c r="O11" s="64">
        <v>0</v>
      </c>
      <c r="P11" s="64">
        <v>0.65</v>
      </c>
      <c r="Q11" s="64">
        <v>10.029999999999999</v>
      </c>
      <c r="R11" s="198"/>
      <c r="S11" s="198"/>
      <c r="T11" s="198"/>
      <c r="U11" s="198"/>
    </row>
    <row r="12" spans="1:21" s="12" customFormat="1" x14ac:dyDescent="0.25">
      <c r="A12" s="248" t="s">
        <v>2936</v>
      </c>
      <c r="B12" s="64">
        <v>8.07</v>
      </c>
      <c r="C12" s="64">
        <v>3.08</v>
      </c>
      <c r="D12" s="64">
        <v>11.86</v>
      </c>
      <c r="E12" s="64">
        <v>4.3099999999999996</v>
      </c>
      <c r="F12" s="64">
        <v>2.4300000000000002</v>
      </c>
      <c r="G12" s="64">
        <v>40.86</v>
      </c>
      <c r="H12" s="64">
        <v>15.91</v>
      </c>
      <c r="I12" s="64">
        <v>4.9000000000000004</v>
      </c>
      <c r="J12" s="64">
        <v>0.11</v>
      </c>
      <c r="K12" s="64">
        <v>356.42</v>
      </c>
      <c r="L12" s="64">
        <v>27.94</v>
      </c>
      <c r="M12" s="64">
        <v>96.56</v>
      </c>
      <c r="N12" s="64">
        <v>27.1</v>
      </c>
      <c r="O12" s="64">
        <v>0</v>
      </c>
      <c r="P12" s="64">
        <v>0.64</v>
      </c>
      <c r="Q12" s="64">
        <v>9.93</v>
      </c>
      <c r="R12" s="198"/>
      <c r="S12" s="198"/>
      <c r="T12" s="198"/>
      <c r="U12" s="198"/>
    </row>
    <row r="13" spans="1:21" s="12" customFormat="1" x14ac:dyDescent="0.25">
      <c r="A13" s="248" t="s">
        <v>2937</v>
      </c>
      <c r="B13" s="64">
        <v>8.0399999999999991</v>
      </c>
      <c r="C13" s="64">
        <v>3.08</v>
      </c>
      <c r="D13" s="64">
        <v>11.83</v>
      </c>
      <c r="E13" s="64">
        <v>4.1500000000000004</v>
      </c>
      <c r="F13" s="64">
        <v>4.54</v>
      </c>
      <c r="G13" s="64">
        <v>40.93</v>
      </c>
      <c r="H13" s="64">
        <v>15.91</v>
      </c>
      <c r="I13" s="64">
        <v>4.82</v>
      </c>
      <c r="J13" s="64">
        <v>0.19</v>
      </c>
      <c r="K13" s="64">
        <v>320.14999999999998</v>
      </c>
      <c r="L13" s="64">
        <v>27.89</v>
      </c>
      <c r="M13" s="64">
        <v>97.77</v>
      </c>
      <c r="N13" s="64">
        <v>23.8</v>
      </c>
      <c r="O13" s="64">
        <v>0</v>
      </c>
      <c r="P13" s="64">
        <v>0.57999999999999996</v>
      </c>
      <c r="Q13" s="64">
        <v>9.91</v>
      </c>
      <c r="R13" s="198"/>
      <c r="S13" s="198"/>
      <c r="T13" s="198"/>
      <c r="U13" s="198"/>
    </row>
    <row r="14" spans="1:21" s="12" customFormat="1" x14ac:dyDescent="0.25">
      <c r="A14" s="248" t="s">
        <v>2938</v>
      </c>
      <c r="B14" s="64">
        <v>8.01</v>
      </c>
      <c r="C14" s="64">
        <v>3</v>
      </c>
      <c r="D14" s="64">
        <v>11.76</v>
      </c>
      <c r="E14" s="64">
        <v>4.5199999999999996</v>
      </c>
      <c r="F14" s="64">
        <v>2.34</v>
      </c>
      <c r="G14" s="64">
        <v>40.93</v>
      </c>
      <c r="H14" s="64">
        <v>15.91</v>
      </c>
      <c r="I14" s="64">
        <v>4.8600000000000003</v>
      </c>
      <c r="J14" s="64">
        <v>0.12</v>
      </c>
      <c r="K14" s="64">
        <v>322.3</v>
      </c>
      <c r="L14" s="64">
        <v>27.83</v>
      </c>
      <c r="M14" s="64">
        <v>96.81</v>
      </c>
      <c r="N14" s="64">
        <v>30.3</v>
      </c>
      <c r="O14" s="64">
        <v>0</v>
      </c>
      <c r="P14" s="64">
        <v>0.59</v>
      </c>
      <c r="Q14" s="64">
        <v>9.89</v>
      </c>
      <c r="R14" s="198"/>
      <c r="S14" s="198"/>
      <c r="T14" s="198"/>
      <c r="U14" s="198"/>
    </row>
    <row r="15" spans="1:21" s="12" customFormat="1" x14ac:dyDescent="0.25">
      <c r="A15" s="248" t="s">
        <v>2939</v>
      </c>
      <c r="B15" s="64">
        <v>7.99</v>
      </c>
      <c r="C15" s="64">
        <v>3.01</v>
      </c>
      <c r="D15" s="64">
        <v>11.76</v>
      </c>
      <c r="E15" s="64">
        <v>4.03</v>
      </c>
      <c r="F15" s="64">
        <v>4</v>
      </c>
      <c r="G15" s="64">
        <v>40.93</v>
      </c>
      <c r="H15" s="64">
        <v>15.91</v>
      </c>
      <c r="I15" s="64">
        <v>4.87</v>
      </c>
      <c r="J15" s="64">
        <v>0.09</v>
      </c>
      <c r="K15" s="64">
        <v>326.76</v>
      </c>
      <c r="L15" s="64">
        <v>27.74</v>
      </c>
      <c r="M15" s="64">
        <v>98.43</v>
      </c>
      <c r="N15" s="64">
        <v>31.8</v>
      </c>
      <c r="O15" s="64">
        <v>0</v>
      </c>
      <c r="P15" s="64">
        <v>0.56999999999999995</v>
      </c>
      <c r="Q15" s="64">
        <v>9.91</v>
      </c>
      <c r="R15" s="198"/>
      <c r="S15" s="198"/>
      <c r="T15" s="198"/>
      <c r="U15" s="198"/>
    </row>
    <row r="16" spans="1:21" s="12" customFormat="1" x14ac:dyDescent="0.25">
      <c r="A16" s="248" t="s">
        <v>2940</v>
      </c>
      <c r="B16" s="64">
        <v>7.99</v>
      </c>
      <c r="C16" s="64">
        <v>3.01</v>
      </c>
      <c r="D16" s="64">
        <v>11.76</v>
      </c>
      <c r="E16" s="64">
        <v>4.08</v>
      </c>
      <c r="F16" s="64">
        <v>3.21</v>
      </c>
      <c r="G16" s="64">
        <v>43.64</v>
      </c>
      <c r="H16" s="64">
        <v>26.19</v>
      </c>
      <c r="I16" s="64">
        <v>4.79</v>
      </c>
      <c r="J16" s="64">
        <v>0.1</v>
      </c>
      <c r="K16" s="64">
        <v>343.28</v>
      </c>
      <c r="L16" s="64">
        <v>27.62</v>
      </c>
      <c r="M16" s="64">
        <v>100.08</v>
      </c>
      <c r="N16" s="64">
        <v>23.2</v>
      </c>
      <c r="O16" s="64">
        <v>0</v>
      </c>
      <c r="P16" s="64">
        <v>0.56999999999999995</v>
      </c>
      <c r="Q16" s="64">
        <v>9.91</v>
      </c>
      <c r="R16" s="198"/>
      <c r="S16" s="198"/>
      <c r="T16" s="198"/>
      <c r="U16" s="198"/>
    </row>
    <row r="17" spans="1:21" s="12" customFormat="1" x14ac:dyDescent="0.25">
      <c r="A17" s="248" t="s">
        <v>2941</v>
      </c>
      <c r="B17" s="64">
        <v>8.02</v>
      </c>
      <c r="C17" s="64">
        <v>3.06</v>
      </c>
      <c r="D17" s="64">
        <v>11.8</v>
      </c>
      <c r="E17" s="64">
        <v>4.17</v>
      </c>
      <c r="F17" s="64">
        <v>3.14</v>
      </c>
      <c r="G17" s="64">
        <v>43.76</v>
      </c>
      <c r="H17" s="64">
        <v>26.19</v>
      </c>
      <c r="I17" s="64">
        <v>4.74</v>
      </c>
      <c r="J17" s="64">
        <v>7.0000000000000007E-2</v>
      </c>
      <c r="K17" s="64">
        <v>339.75</v>
      </c>
      <c r="L17" s="64">
        <v>27.65</v>
      </c>
      <c r="M17" s="64">
        <v>100.48</v>
      </c>
      <c r="N17" s="64">
        <v>31.7</v>
      </c>
      <c r="O17" s="64">
        <v>0</v>
      </c>
      <c r="P17" s="64">
        <v>0.55000000000000004</v>
      </c>
      <c r="Q17" s="64">
        <v>9.8800000000000008</v>
      </c>
      <c r="R17" s="198"/>
      <c r="S17" s="198"/>
      <c r="T17" s="198"/>
      <c r="U17" s="198"/>
    </row>
    <row r="18" spans="1:21" s="12" customFormat="1" x14ac:dyDescent="0.25">
      <c r="A18" s="248" t="s">
        <v>2942</v>
      </c>
      <c r="B18" s="64">
        <v>8.0399999999999991</v>
      </c>
      <c r="C18" s="64">
        <v>3.05</v>
      </c>
      <c r="D18" s="64">
        <v>11.82</v>
      </c>
      <c r="E18" s="64">
        <v>4.2</v>
      </c>
      <c r="F18" s="64">
        <v>2.94</v>
      </c>
      <c r="G18" s="64">
        <v>43.76</v>
      </c>
      <c r="H18" s="64">
        <v>26.19</v>
      </c>
      <c r="I18" s="64">
        <v>4.82</v>
      </c>
      <c r="J18" s="64">
        <v>0.09</v>
      </c>
      <c r="K18" s="64">
        <v>125.05</v>
      </c>
      <c r="L18" s="64">
        <v>27.65</v>
      </c>
      <c r="M18" s="64">
        <v>99.83</v>
      </c>
      <c r="N18" s="64">
        <v>31.7</v>
      </c>
      <c r="O18" s="64">
        <v>0</v>
      </c>
      <c r="P18" s="64">
        <v>0.54</v>
      </c>
      <c r="Q18" s="64">
        <v>9.9</v>
      </c>
      <c r="R18" s="198"/>
      <c r="S18" s="198"/>
      <c r="T18" s="198"/>
      <c r="U18" s="198"/>
    </row>
    <row r="19" spans="1:21" s="12" customFormat="1" x14ac:dyDescent="0.25">
      <c r="A19" s="248" t="s">
        <v>2943</v>
      </c>
      <c r="B19" s="64">
        <v>8</v>
      </c>
      <c r="C19" s="64">
        <v>2.99</v>
      </c>
      <c r="D19" s="64">
        <v>11.76</v>
      </c>
      <c r="E19" s="64">
        <v>4</v>
      </c>
      <c r="F19" s="64">
        <v>2.95</v>
      </c>
      <c r="G19" s="64">
        <v>43.76</v>
      </c>
      <c r="H19" s="64">
        <v>26.19</v>
      </c>
      <c r="I19" s="64">
        <v>4.9000000000000004</v>
      </c>
      <c r="J19" s="64">
        <v>0.01</v>
      </c>
      <c r="K19" s="64">
        <v>0.87</v>
      </c>
      <c r="L19" s="64">
        <v>27.7</v>
      </c>
      <c r="M19" s="64">
        <v>98.13</v>
      </c>
      <c r="N19" s="64">
        <v>31.9</v>
      </c>
      <c r="O19" s="64">
        <v>0</v>
      </c>
      <c r="P19" s="64">
        <v>0.52</v>
      </c>
      <c r="Q19" s="64">
        <v>9.89</v>
      </c>
      <c r="R19" s="198"/>
      <c r="S19" s="198"/>
      <c r="T19" s="198"/>
      <c r="U19" s="198"/>
    </row>
    <row r="20" spans="1:21" s="12" customFormat="1" x14ac:dyDescent="0.25">
      <c r="A20" s="248" t="s">
        <v>2944</v>
      </c>
      <c r="B20" s="64">
        <v>8.0399999999999991</v>
      </c>
      <c r="C20" s="64">
        <v>3.04</v>
      </c>
      <c r="D20" s="64">
        <v>11.81</v>
      </c>
      <c r="E20" s="64">
        <v>4.0599999999999996</v>
      </c>
      <c r="F20" s="64">
        <v>3</v>
      </c>
      <c r="G20" s="64">
        <v>44.25</v>
      </c>
      <c r="H20" s="64">
        <v>35.07</v>
      </c>
      <c r="I20" s="64">
        <v>4.91</v>
      </c>
      <c r="J20" s="64">
        <v>7.0000000000000007E-2</v>
      </c>
      <c r="K20" s="64">
        <v>282.82</v>
      </c>
      <c r="L20" s="64">
        <v>27.67</v>
      </c>
      <c r="M20" s="64">
        <v>98.71</v>
      </c>
      <c r="N20" s="64">
        <v>32</v>
      </c>
      <c r="O20" s="64">
        <v>0</v>
      </c>
      <c r="P20" s="64">
        <v>0.52</v>
      </c>
      <c r="Q20" s="64">
        <v>9.91</v>
      </c>
      <c r="R20" s="198"/>
      <c r="S20" s="198"/>
      <c r="T20" s="198"/>
      <c r="U20" s="198"/>
    </row>
    <row r="21" spans="1:21" s="12" customFormat="1" x14ac:dyDescent="0.25">
      <c r="A21" s="248" t="s">
        <v>2945</v>
      </c>
      <c r="B21" s="64">
        <v>8.06</v>
      </c>
      <c r="C21" s="64">
        <v>3.08</v>
      </c>
      <c r="D21" s="64">
        <v>11.85</v>
      </c>
      <c r="E21" s="64">
        <v>4.0199999999999996</v>
      </c>
      <c r="F21" s="64">
        <v>3.17</v>
      </c>
      <c r="G21" s="64">
        <v>44.27</v>
      </c>
      <c r="H21" s="64">
        <v>35.07</v>
      </c>
      <c r="I21" s="64">
        <v>4.8600000000000003</v>
      </c>
      <c r="J21" s="64">
        <v>0.1</v>
      </c>
      <c r="K21" s="64">
        <v>154.41</v>
      </c>
      <c r="L21" s="64">
        <v>27.47</v>
      </c>
      <c r="M21" s="64">
        <v>102.66</v>
      </c>
      <c r="N21" s="64">
        <v>32</v>
      </c>
      <c r="O21" s="64">
        <v>0</v>
      </c>
      <c r="P21" s="64">
        <v>0.51</v>
      </c>
      <c r="Q21" s="64">
        <v>9.93</v>
      </c>
      <c r="R21" s="198"/>
      <c r="S21" s="198"/>
      <c r="T21" s="198"/>
      <c r="U21" s="198"/>
    </row>
    <row r="22" spans="1:21" s="12" customFormat="1" x14ac:dyDescent="0.25">
      <c r="A22" s="248" t="s">
        <v>2946</v>
      </c>
      <c r="B22" s="64">
        <v>8.09</v>
      </c>
      <c r="C22" s="64">
        <v>3.15</v>
      </c>
      <c r="D22" s="64">
        <v>11.91</v>
      </c>
      <c r="E22" s="64">
        <v>3.9</v>
      </c>
      <c r="F22" s="64">
        <v>3.55</v>
      </c>
      <c r="G22" s="64">
        <v>44.27</v>
      </c>
      <c r="H22" s="64">
        <v>35.07</v>
      </c>
      <c r="I22" s="64">
        <v>5.07</v>
      </c>
      <c r="J22" s="64">
        <v>0.09</v>
      </c>
      <c r="K22" s="64">
        <v>308.67</v>
      </c>
      <c r="L22" s="64">
        <v>27.13</v>
      </c>
      <c r="M22" s="64">
        <v>102.7</v>
      </c>
      <c r="N22" s="64">
        <v>31.9</v>
      </c>
      <c r="O22" s="64">
        <v>0</v>
      </c>
      <c r="P22" s="64">
        <v>0.5</v>
      </c>
      <c r="Q22" s="64">
        <v>9.93</v>
      </c>
      <c r="R22" s="198"/>
      <c r="S22" s="198"/>
      <c r="T22" s="198"/>
      <c r="U22" s="198"/>
    </row>
    <row r="23" spans="1:21" s="12" customFormat="1" x14ac:dyDescent="0.25">
      <c r="A23" s="248" t="s">
        <v>2947</v>
      </c>
      <c r="B23" s="64">
        <v>8.01</v>
      </c>
      <c r="C23" s="64">
        <v>3.04</v>
      </c>
      <c r="D23" s="64">
        <v>11.78</v>
      </c>
      <c r="E23" s="64">
        <v>3.68</v>
      </c>
      <c r="F23" s="64">
        <v>3.78</v>
      </c>
      <c r="G23" s="64">
        <v>44.27</v>
      </c>
      <c r="H23" s="64">
        <v>35.07</v>
      </c>
      <c r="I23" s="64">
        <v>5.21</v>
      </c>
      <c r="J23" s="64">
        <v>0.1</v>
      </c>
      <c r="K23" s="64">
        <v>319.89</v>
      </c>
      <c r="L23" s="64">
        <v>26.9</v>
      </c>
      <c r="M23" s="64">
        <v>102.7</v>
      </c>
      <c r="N23" s="64">
        <v>31.7</v>
      </c>
      <c r="O23" s="64">
        <v>0</v>
      </c>
      <c r="P23" s="64">
        <v>0.49</v>
      </c>
      <c r="Q23" s="64">
        <v>9.93</v>
      </c>
      <c r="R23" s="198"/>
      <c r="S23" s="198"/>
      <c r="T23" s="198"/>
      <c r="U23" s="198"/>
    </row>
    <row r="24" spans="1:21" s="12" customFormat="1" x14ac:dyDescent="0.25">
      <c r="A24" s="248" t="s">
        <v>2948</v>
      </c>
      <c r="B24" s="64">
        <v>8.02</v>
      </c>
      <c r="C24" s="64">
        <v>2.99</v>
      </c>
      <c r="D24" s="64">
        <v>11.76</v>
      </c>
      <c r="E24" s="64">
        <v>4.24</v>
      </c>
      <c r="F24" s="64">
        <v>3.44</v>
      </c>
      <c r="G24" s="64">
        <v>36.090000000000003</v>
      </c>
      <c r="H24" s="64">
        <v>32.85</v>
      </c>
      <c r="I24" s="64">
        <v>5.35</v>
      </c>
      <c r="J24" s="64">
        <v>0.02</v>
      </c>
      <c r="K24" s="64">
        <v>108.03</v>
      </c>
      <c r="L24" s="64">
        <v>26.8</v>
      </c>
      <c r="M24" s="64">
        <v>102.7</v>
      </c>
      <c r="N24" s="64">
        <v>31.7</v>
      </c>
      <c r="O24" s="64">
        <v>0.2</v>
      </c>
      <c r="P24" s="64">
        <v>0.48</v>
      </c>
      <c r="Q24" s="64">
        <v>9.91</v>
      </c>
      <c r="R24" s="198"/>
      <c r="S24" s="198"/>
      <c r="T24" s="198"/>
      <c r="U24" s="198"/>
    </row>
    <row r="25" spans="1:21" s="12" customFormat="1" x14ac:dyDescent="0.25">
      <c r="A25" s="248" t="s">
        <v>2949</v>
      </c>
      <c r="B25" s="64">
        <v>8</v>
      </c>
      <c r="C25" s="64">
        <v>3.01</v>
      </c>
      <c r="D25" s="64">
        <v>11.76</v>
      </c>
      <c r="E25" s="64">
        <v>4.72</v>
      </c>
      <c r="F25" s="64">
        <v>3.2</v>
      </c>
      <c r="G25" s="64">
        <v>35.71</v>
      </c>
      <c r="H25" s="64">
        <v>32.85</v>
      </c>
      <c r="I25" s="64">
        <v>5.38</v>
      </c>
      <c r="J25" s="64">
        <v>0.05</v>
      </c>
      <c r="K25" s="64">
        <v>358.08</v>
      </c>
      <c r="L25" s="64">
        <v>26.64</v>
      </c>
      <c r="M25" s="64">
        <v>102.71</v>
      </c>
      <c r="N25" s="64">
        <v>32</v>
      </c>
      <c r="O25" s="64">
        <v>0</v>
      </c>
      <c r="P25" s="64">
        <v>0.47</v>
      </c>
      <c r="Q25" s="64">
        <v>9.91</v>
      </c>
      <c r="R25" s="198"/>
      <c r="S25" s="198"/>
      <c r="T25" s="198"/>
      <c r="U25" s="198"/>
    </row>
    <row r="26" spans="1:21" s="12" customFormat="1" x14ac:dyDescent="0.25">
      <c r="A26" s="248" t="s">
        <v>2950</v>
      </c>
      <c r="B26" s="64">
        <v>8.01</v>
      </c>
      <c r="C26" s="64">
        <v>3.03</v>
      </c>
      <c r="D26" s="64">
        <v>11.78</v>
      </c>
      <c r="E26" s="64">
        <v>4.4000000000000004</v>
      </c>
      <c r="F26" s="64">
        <v>3.45</v>
      </c>
      <c r="G26" s="64">
        <v>35.71</v>
      </c>
      <c r="H26" s="64">
        <v>32.85</v>
      </c>
      <c r="I26" s="64">
        <v>5.47</v>
      </c>
      <c r="J26" s="64">
        <v>0.13</v>
      </c>
      <c r="K26" s="64">
        <v>328.67</v>
      </c>
      <c r="L26" s="64">
        <v>26.56</v>
      </c>
      <c r="M26" s="64">
        <v>102.73</v>
      </c>
      <c r="N26" s="64">
        <v>31.9</v>
      </c>
      <c r="O26" s="64">
        <v>0.2</v>
      </c>
      <c r="P26" s="64">
        <v>0.47</v>
      </c>
      <c r="Q26" s="64">
        <v>9.89</v>
      </c>
      <c r="R26" s="198"/>
      <c r="S26" s="198"/>
      <c r="T26" s="198"/>
      <c r="U26" s="198"/>
    </row>
    <row r="27" spans="1:21" s="12" customFormat="1" x14ac:dyDescent="0.25">
      <c r="A27" s="248" t="s">
        <v>2951</v>
      </c>
      <c r="B27" s="64">
        <v>8.02</v>
      </c>
      <c r="C27" s="64">
        <v>3</v>
      </c>
      <c r="D27" s="64">
        <v>11.78</v>
      </c>
      <c r="E27" s="64">
        <v>4.43</v>
      </c>
      <c r="F27" s="64">
        <v>3.79</v>
      </c>
      <c r="G27" s="64">
        <v>35.71</v>
      </c>
      <c r="H27" s="64">
        <v>32.85</v>
      </c>
      <c r="I27" s="64">
        <v>5.48</v>
      </c>
      <c r="J27" s="64">
        <v>0.06</v>
      </c>
      <c r="K27" s="64">
        <v>288.87</v>
      </c>
      <c r="L27" s="64">
        <v>26.35</v>
      </c>
      <c r="M27" s="64">
        <v>102.73</v>
      </c>
      <c r="N27" s="64">
        <v>32</v>
      </c>
      <c r="O27" s="64">
        <v>0</v>
      </c>
      <c r="P27" s="64">
        <v>0.46</v>
      </c>
      <c r="Q27" s="64">
        <v>9.8800000000000008</v>
      </c>
      <c r="R27" s="198"/>
      <c r="S27" s="198"/>
      <c r="T27" s="198"/>
      <c r="U27" s="198"/>
    </row>
    <row r="28" spans="1:21" s="12" customFormat="1" x14ac:dyDescent="0.25">
      <c r="A28" s="248" t="s">
        <v>2952</v>
      </c>
      <c r="B28" s="64">
        <v>7.99</v>
      </c>
      <c r="C28" s="64">
        <v>2.97</v>
      </c>
      <c r="D28" s="64">
        <v>11.73</v>
      </c>
      <c r="E28" s="64">
        <v>5.15</v>
      </c>
      <c r="F28" s="64">
        <v>4.1500000000000004</v>
      </c>
      <c r="G28" s="64">
        <v>31.74</v>
      </c>
      <c r="H28" s="64">
        <v>20.27</v>
      </c>
      <c r="I28" s="64">
        <v>5.45</v>
      </c>
      <c r="J28" s="64">
        <v>0.06</v>
      </c>
      <c r="K28" s="64">
        <v>324.11</v>
      </c>
      <c r="L28" s="64">
        <v>26.14</v>
      </c>
      <c r="M28" s="64">
        <v>102.73</v>
      </c>
      <c r="N28" s="64">
        <v>21.7</v>
      </c>
      <c r="O28" s="64">
        <v>0</v>
      </c>
      <c r="P28" s="64">
        <v>0.46</v>
      </c>
      <c r="Q28" s="64">
        <v>9.81</v>
      </c>
      <c r="R28" s="198"/>
      <c r="S28" s="198"/>
      <c r="T28" s="198"/>
      <c r="U28" s="198"/>
    </row>
    <row r="29" spans="1:21" s="12" customFormat="1" x14ac:dyDescent="0.25">
      <c r="A29" s="248" t="s">
        <v>2953</v>
      </c>
      <c r="B29" s="64">
        <v>7.96</v>
      </c>
      <c r="C29" s="64">
        <v>2.97</v>
      </c>
      <c r="D29" s="64">
        <v>11.71</v>
      </c>
      <c r="E29" s="64">
        <v>5.27</v>
      </c>
      <c r="F29" s="64">
        <v>2.37</v>
      </c>
      <c r="G29" s="64">
        <v>31.55</v>
      </c>
      <c r="H29" s="64">
        <v>20.27</v>
      </c>
      <c r="I29" s="64">
        <v>5.36</v>
      </c>
      <c r="J29" s="64">
        <v>0.05</v>
      </c>
      <c r="K29" s="64">
        <v>300.92</v>
      </c>
      <c r="L29" s="64">
        <v>26.11</v>
      </c>
      <c r="M29" s="64">
        <v>102.73</v>
      </c>
      <c r="N29" s="64">
        <v>31.9</v>
      </c>
      <c r="O29" s="64">
        <v>0</v>
      </c>
      <c r="P29" s="64">
        <v>0.43</v>
      </c>
      <c r="Q29" s="64">
        <v>9.74</v>
      </c>
      <c r="R29" s="198"/>
      <c r="S29" s="198"/>
      <c r="T29" s="198"/>
      <c r="U29" s="198"/>
    </row>
    <row r="30" spans="1:21" s="12" customFormat="1" x14ac:dyDescent="0.25">
      <c r="A30" s="248" t="s">
        <v>2954</v>
      </c>
      <c r="B30" s="64">
        <v>7.99</v>
      </c>
      <c r="C30" s="64">
        <v>3.02</v>
      </c>
      <c r="D30" s="64">
        <v>11.76</v>
      </c>
      <c r="E30" s="64">
        <v>4.96</v>
      </c>
      <c r="F30" s="64">
        <v>4.58</v>
      </c>
      <c r="G30" s="64">
        <v>31.55</v>
      </c>
      <c r="H30" s="64">
        <v>20.27</v>
      </c>
      <c r="I30" s="64">
        <v>5.26</v>
      </c>
      <c r="J30" s="64">
        <v>7.0000000000000007E-2</v>
      </c>
      <c r="K30" s="64">
        <v>269.14</v>
      </c>
      <c r="L30" s="64">
        <v>26.14</v>
      </c>
      <c r="M30" s="64">
        <v>102.74</v>
      </c>
      <c r="N30" s="64">
        <v>32</v>
      </c>
      <c r="O30" s="64">
        <v>0</v>
      </c>
      <c r="P30" s="64">
        <v>0.44</v>
      </c>
      <c r="Q30" s="64">
        <v>9.77</v>
      </c>
      <c r="R30" s="198"/>
      <c r="S30" s="198"/>
      <c r="T30" s="198"/>
      <c r="U30" s="198"/>
    </row>
    <row r="31" spans="1:21" s="12" customFormat="1" x14ac:dyDescent="0.25">
      <c r="A31" s="248" t="s">
        <v>2955</v>
      </c>
      <c r="B31" s="64">
        <v>8.01</v>
      </c>
      <c r="C31" s="64">
        <v>3</v>
      </c>
      <c r="D31" s="64">
        <v>11.77</v>
      </c>
      <c r="E31" s="64">
        <v>4.5599999999999996</v>
      </c>
      <c r="F31" s="64">
        <v>2.2799999999999998</v>
      </c>
      <c r="G31" s="64">
        <v>31.55</v>
      </c>
      <c r="H31" s="64">
        <v>20.27</v>
      </c>
      <c r="I31" s="64">
        <v>5.05</v>
      </c>
      <c r="J31" s="64">
        <v>0.08</v>
      </c>
      <c r="K31" s="64">
        <v>274.38</v>
      </c>
      <c r="L31" s="64">
        <v>26.18</v>
      </c>
      <c r="M31" s="64">
        <v>102.74</v>
      </c>
      <c r="N31" s="64">
        <v>31.7</v>
      </c>
      <c r="O31" s="64">
        <v>0.2</v>
      </c>
      <c r="P31" s="64">
        <v>0.42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48" t="s">
        <v>2956</v>
      </c>
      <c r="B32" s="64">
        <v>8.01</v>
      </c>
      <c r="C32" s="64">
        <v>3.02</v>
      </c>
      <c r="D32" s="64">
        <v>11.78</v>
      </c>
      <c r="E32" s="64">
        <v>5.05</v>
      </c>
      <c r="F32" s="64">
        <v>4.6900000000000004</v>
      </c>
      <c r="G32" s="64">
        <v>25.25</v>
      </c>
      <c r="H32" s="64">
        <v>15.06</v>
      </c>
      <c r="I32" s="64">
        <v>4.9400000000000004</v>
      </c>
      <c r="J32" s="64">
        <v>0.09</v>
      </c>
      <c r="K32" s="64">
        <v>347.71</v>
      </c>
      <c r="L32" s="64">
        <v>26.31</v>
      </c>
      <c r="M32" s="64">
        <v>102.74</v>
      </c>
      <c r="N32" s="64">
        <v>31.1</v>
      </c>
      <c r="O32" s="64">
        <v>0</v>
      </c>
      <c r="P32" s="64">
        <v>0.41</v>
      </c>
      <c r="Q32" s="64">
        <v>9.76</v>
      </c>
      <c r="R32" s="198"/>
      <c r="S32" s="198"/>
      <c r="T32" s="198"/>
      <c r="U32" s="198"/>
    </row>
    <row r="33" spans="1:21" s="12" customFormat="1" x14ac:dyDescent="0.25">
      <c r="A33" s="248" t="s">
        <v>2957</v>
      </c>
      <c r="B33" s="64">
        <v>7.99</v>
      </c>
      <c r="C33" s="64">
        <v>2.97</v>
      </c>
      <c r="D33" s="64">
        <v>11.73</v>
      </c>
      <c r="E33" s="64">
        <v>4.76</v>
      </c>
      <c r="F33" s="64">
        <v>2.37</v>
      </c>
      <c r="G33" s="64">
        <v>24.96</v>
      </c>
      <c r="H33" s="64">
        <v>15.06</v>
      </c>
      <c r="I33" s="64">
        <v>4.82</v>
      </c>
      <c r="J33" s="64">
        <v>0.09</v>
      </c>
      <c r="K33" s="64">
        <v>281.22000000000003</v>
      </c>
      <c r="L33" s="64">
        <v>26.33</v>
      </c>
      <c r="M33" s="64">
        <v>102.74</v>
      </c>
      <c r="N33" s="64">
        <v>32.5</v>
      </c>
      <c r="O33" s="64">
        <v>0</v>
      </c>
      <c r="P33" s="64">
        <v>0.42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48" t="s">
        <v>2958</v>
      </c>
      <c r="B34" s="64">
        <v>7.99</v>
      </c>
      <c r="C34" s="64">
        <v>3</v>
      </c>
      <c r="D34" s="64">
        <v>11.75</v>
      </c>
      <c r="E34" s="64">
        <v>4.57</v>
      </c>
      <c r="F34" s="64">
        <v>4.08</v>
      </c>
      <c r="G34" s="64">
        <v>24.96</v>
      </c>
      <c r="H34" s="64">
        <v>15.06</v>
      </c>
      <c r="I34" s="64">
        <v>4.79</v>
      </c>
      <c r="J34" s="64">
        <v>0.1</v>
      </c>
      <c r="K34" s="64">
        <v>315.14999999999998</v>
      </c>
      <c r="L34" s="64">
        <v>26.41</v>
      </c>
      <c r="M34" s="64">
        <v>102.73</v>
      </c>
      <c r="N34" s="64">
        <v>38</v>
      </c>
      <c r="O34" s="64">
        <v>0</v>
      </c>
      <c r="P34" s="64">
        <v>0.42</v>
      </c>
      <c r="Q34" s="64">
        <v>9.7799999999999994</v>
      </c>
      <c r="R34" s="198"/>
      <c r="S34" s="198"/>
      <c r="T34" s="198"/>
      <c r="U34" s="198"/>
    </row>
    <row r="35" spans="1:21" s="12" customFormat="1" x14ac:dyDescent="0.25">
      <c r="A35" s="248" t="s">
        <v>2959</v>
      </c>
      <c r="B35" s="64">
        <v>8</v>
      </c>
      <c r="C35" s="64">
        <v>3.02</v>
      </c>
      <c r="D35" s="64">
        <v>11.77</v>
      </c>
      <c r="E35" s="64">
        <v>4.6100000000000003</v>
      </c>
      <c r="F35" s="64">
        <v>2.4500000000000002</v>
      </c>
      <c r="G35" s="64">
        <v>24.96</v>
      </c>
      <c r="H35" s="64">
        <v>15.06</v>
      </c>
      <c r="I35" s="64">
        <v>4.75</v>
      </c>
      <c r="J35" s="64">
        <v>0.08</v>
      </c>
      <c r="K35" s="64">
        <v>353.45</v>
      </c>
      <c r="L35" s="64">
        <v>26.55</v>
      </c>
      <c r="M35" s="64">
        <v>102.7</v>
      </c>
      <c r="N35" s="64">
        <v>41.6</v>
      </c>
      <c r="O35" s="64">
        <v>0</v>
      </c>
      <c r="P35" s="64">
        <v>0.42</v>
      </c>
      <c r="Q35" s="64">
        <v>9.7899999999999991</v>
      </c>
      <c r="R35" s="198"/>
      <c r="S35" s="198"/>
      <c r="T35" s="198"/>
      <c r="U35" s="198"/>
    </row>
    <row r="36" spans="1:21" s="12" customFormat="1" x14ac:dyDescent="0.25">
      <c r="A36" s="248" t="s">
        <v>2960</v>
      </c>
      <c r="B36" s="64">
        <v>8</v>
      </c>
      <c r="C36" s="64">
        <v>3</v>
      </c>
      <c r="D36" s="64">
        <v>11.75</v>
      </c>
      <c r="E36" s="64">
        <v>4.8499999999999996</v>
      </c>
      <c r="F36" s="64">
        <v>3.25</v>
      </c>
      <c r="G36" s="64">
        <v>27.32</v>
      </c>
      <c r="H36" s="64">
        <v>14.14</v>
      </c>
      <c r="I36" s="64">
        <v>4.7</v>
      </c>
      <c r="J36" s="64">
        <v>0.09</v>
      </c>
      <c r="K36" s="64">
        <v>329.42</v>
      </c>
      <c r="L36" s="64">
        <v>26.55</v>
      </c>
      <c r="M36" s="64">
        <v>102.72</v>
      </c>
      <c r="N36" s="64">
        <v>51.3</v>
      </c>
      <c r="O36" s="64">
        <v>0.4</v>
      </c>
      <c r="P36" s="64">
        <v>0.41</v>
      </c>
      <c r="Q36" s="64">
        <v>9.8000000000000007</v>
      </c>
      <c r="R36" s="198"/>
      <c r="S36" s="198"/>
      <c r="T36" s="198"/>
      <c r="U36" s="198"/>
    </row>
    <row r="37" spans="1:21" s="12" customFormat="1" x14ac:dyDescent="0.25">
      <c r="A37" s="248" t="s">
        <v>2961</v>
      </c>
      <c r="B37" s="64">
        <v>8.02</v>
      </c>
      <c r="C37" s="64">
        <v>2.97</v>
      </c>
      <c r="D37" s="64">
        <v>11.76</v>
      </c>
      <c r="E37" s="64">
        <v>4.9800000000000004</v>
      </c>
      <c r="F37" s="64">
        <v>3.59</v>
      </c>
      <c r="G37" s="64">
        <v>27.43</v>
      </c>
      <c r="H37" s="64">
        <v>14.14</v>
      </c>
      <c r="I37" s="64">
        <v>4.62</v>
      </c>
      <c r="J37" s="64">
        <v>0.11</v>
      </c>
      <c r="K37" s="64">
        <v>307.02</v>
      </c>
      <c r="L37" s="64">
        <v>26.3</v>
      </c>
      <c r="M37" s="64">
        <v>102.75</v>
      </c>
      <c r="N37" s="64">
        <v>56.3</v>
      </c>
      <c r="O37" s="64">
        <v>0.2</v>
      </c>
      <c r="P37" s="64">
        <v>0.41</v>
      </c>
      <c r="Q37" s="64">
        <v>9.8699999999999992</v>
      </c>
      <c r="R37" s="198"/>
      <c r="S37" s="198"/>
      <c r="T37" s="198"/>
      <c r="U37" s="198"/>
    </row>
    <row r="38" spans="1:21" s="12" customFormat="1" x14ac:dyDescent="0.25">
      <c r="A38" s="248" t="s">
        <v>2962</v>
      </c>
      <c r="B38" s="64">
        <v>8.0399999999999991</v>
      </c>
      <c r="C38" s="64">
        <v>3.03</v>
      </c>
      <c r="D38" s="64">
        <v>11.8</v>
      </c>
      <c r="E38" s="64">
        <v>4.87</v>
      </c>
      <c r="F38" s="64">
        <v>3.71</v>
      </c>
      <c r="G38" s="64">
        <v>27.43</v>
      </c>
      <c r="H38" s="64">
        <v>14.14</v>
      </c>
      <c r="I38" s="64">
        <v>4.68</v>
      </c>
      <c r="J38" s="64">
        <v>0.01</v>
      </c>
      <c r="K38" s="64">
        <v>320.82</v>
      </c>
      <c r="L38" s="64">
        <v>26.21</v>
      </c>
      <c r="M38" s="64">
        <v>102.75</v>
      </c>
      <c r="N38" s="64">
        <v>56.9</v>
      </c>
      <c r="O38" s="64">
        <v>0.2</v>
      </c>
      <c r="P38" s="64">
        <v>0.41</v>
      </c>
      <c r="Q38" s="64">
        <v>9.92</v>
      </c>
      <c r="R38" s="198"/>
      <c r="S38" s="198"/>
      <c r="T38" s="198"/>
      <c r="U38" s="198"/>
    </row>
    <row r="39" spans="1:21" s="12" customFormat="1" x14ac:dyDescent="0.25">
      <c r="A39" s="248" t="s">
        <v>2963</v>
      </c>
      <c r="B39" s="64">
        <v>8.0500000000000007</v>
      </c>
      <c r="C39" s="64">
        <v>3.03</v>
      </c>
      <c r="D39" s="64">
        <v>11.81</v>
      </c>
      <c r="E39" s="64">
        <v>4.8899999999999997</v>
      </c>
      <c r="F39" s="64">
        <v>3.17</v>
      </c>
      <c r="G39" s="64">
        <v>27.43</v>
      </c>
      <c r="H39" s="64">
        <v>14.14</v>
      </c>
      <c r="I39" s="64">
        <v>4.83</v>
      </c>
      <c r="J39" s="64">
        <v>0.05</v>
      </c>
      <c r="K39" s="64">
        <v>35.369999999999997</v>
      </c>
      <c r="L39" s="64">
        <v>26.21</v>
      </c>
      <c r="M39" s="64">
        <v>102.78</v>
      </c>
      <c r="N39" s="64">
        <v>67.5</v>
      </c>
      <c r="O39" s="64">
        <v>0.4</v>
      </c>
      <c r="P39" s="64">
        <v>0.42</v>
      </c>
      <c r="Q39" s="64">
        <v>9.9600000000000009</v>
      </c>
      <c r="R39" s="198"/>
      <c r="S39" s="198"/>
      <c r="T39" s="198"/>
      <c r="U39" s="198"/>
    </row>
    <row r="40" spans="1:21" s="12" customFormat="1" x14ac:dyDescent="0.25">
      <c r="A40" s="248" t="s">
        <v>2964</v>
      </c>
      <c r="B40" s="64">
        <v>8.0299999999999994</v>
      </c>
      <c r="C40" s="64">
        <v>3.03</v>
      </c>
      <c r="D40" s="64">
        <v>11.8</v>
      </c>
      <c r="E40" s="64">
        <v>4.47</v>
      </c>
      <c r="F40" s="64">
        <v>3.21</v>
      </c>
      <c r="G40" s="64">
        <v>24.98</v>
      </c>
      <c r="H40" s="64">
        <v>12.02</v>
      </c>
      <c r="I40" s="64">
        <v>4.91</v>
      </c>
      <c r="J40" s="64">
        <v>0.09</v>
      </c>
      <c r="K40" s="64">
        <v>303.38</v>
      </c>
      <c r="L40" s="64">
        <v>26.21</v>
      </c>
      <c r="M40" s="64">
        <v>102.78</v>
      </c>
      <c r="N40" s="64">
        <v>76</v>
      </c>
      <c r="O40" s="64">
        <v>0</v>
      </c>
      <c r="P40" s="64">
        <v>0.42</v>
      </c>
      <c r="Q40" s="64">
        <v>9.9600000000000009</v>
      </c>
      <c r="R40" s="198"/>
      <c r="S40" s="198"/>
      <c r="T40" s="198"/>
      <c r="U40" s="198"/>
    </row>
    <row r="41" spans="1:21" s="12" customFormat="1" x14ac:dyDescent="0.25">
      <c r="A41" s="248" t="s">
        <v>2965</v>
      </c>
      <c r="B41" s="64">
        <v>8.14</v>
      </c>
      <c r="C41" s="64">
        <v>3.2</v>
      </c>
      <c r="D41" s="64">
        <v>11.97</v>
      </c>
      <c r="E41" s="64">
        <v>4.63</v>
      </c>
      <c r="F41" s="64">
        <v>3.39</v>
      </c>
      <c r="G41" s="64">
        <v>24.87</v>
      </c>
      <c r="H41" s="64">
        <v>12.02</v>
      </c>
      <c r="I41" s="64">
        <v>5.07</v>
      </c>
      <c r="J41" s="64">
        <v>0.12</v>
      </c>
      <c r="K41" s="64">
        <v>273.16000000000003</v>
      </c>
      <c r="L41" s="64">
        <v>26.3</v>
      </c>
      <c r="M41" s="64">
        <v>102.78</v>
      </c>
      <c r="N41" s="64">
        <v>112.2</v>
      </c>
      <c r="O41" s="64">
        <v>0</v>
      </c>
      <c r="P41" s="64">
        <v>0.43</v>
      </c>
      <c r="Q41" s="64">
        <v>9.9700000000000006</v>
      </c>
      <c r="R41" s="198"/>
      <c r="S41" s="198"/>
      <c r="T41" s="198"/>
      <c r="U41" s="198"/>
    </row>
    <row r="42" spans="1:21" s="12" customFormat="1" x14ac:dyDescent="0.25">
      <c r="A42" s="248" t="s">
        <v>2966</v>
      </c>
      <c r="B42" s="64">
        <v>8.1300000000000008</v>
      </c>
      <c r="C42" s="64">
        <v>3.17</v>
      </c>
      <c r="D42" s="64">
        <v>11.95</v>
      </c>
      <c r="E42" s="64">
        <v>4.92</v>
      </c>
      <c r="F42" s="64">
        <v>3.44</v>
      </c>
      <c r="G42" s="64">
        <v>24.87</v>
      </c>
      <c r="H42" s="64">
        <v>12.02</v>
      </c>
      <c r="I42" s="64">
        <v>5.2</v>
      </c>
      <c r="J42" s="64">
        <v>0.12</v>
      </c>
      <c r="K42" s="64">
        <v>313.58999999999997</v>
      </c>
      <c r="L42" s="64">
        <v>26.69</v>
      </c>
      <c r="M42" s="64">
        <v>102.76</v>
      </c>
      <c r="N42" s="64">
        <v>142.1</v>
      </c>
      <c r="O42" s="64">
        <v>0</v>
      </c>
      <c r="P42" s="64">
        <v>0.43</v>
      </c>
      <c r="Q42" s="64">
        <v>9.99</v>
      </c>
      <c r="R42" s="198"/>
      <c r="S42" s="198"/>
      <c r="T42" s="198"/>
      <c r="U42" s="198"/>
    </row>
    <row r="43" spans="1:21" s="12" customFormat="1" x14ac:dyDescent="0.25">
      <c r="A43" s="248" t="s">
        <v>2967</v>
      </c>
      <c r="B43" s="64">
        <v>8.06</v>
      </c>
      <c r="C43" s="64">
        <v>3.07</v>
      </c>
      <c r="D43" s="64">
        <v>11.84</v>
      </c>
      <c r="E43" s="64">
        <v>4.95</v>
      </c>
      <c r="F43" s="64">
        <v>3.9</v>
      </c>
      <c r="G43" s="64">
        <v>24.87</v>
      </c>
      <c r="H43" s="64">
        <v>12.02</v>
      </c>
      <c r="I43" s="64">
        <v>5.19</v>
      </c>
      <c r="J43" s="64">
        <v>0.13</v>
      </c>
      <c r="K43" s="64">
        <v>318.33999999999997</v>
      </c>
      <c r="L43" s="64">
        <v>27.05</v>
      </c>
      <c r="M43" s="64">
        <v>102.75</v>
      </c>
      <c r="N43" s="64">
        <v>150.19999999999999</v>
      </c>
      <c r="O43" s="64">
        <v>0.2</v>
      </c>
      <c r="P43" s="64">
        <v>0.43</v>
      </c>
      <c r="Q43" s="64">
        <v>10</v>
      </c>
      <c r="R43" s="198"/>
      <c r="S43" s="198"/>
      <c r="T43" s="198"/>
      <c r="U43" s="198"/>
    </row>
    <row r="44" spans="1:21" s="12" customFormat="1" x14ac:dyDescent="0.25">
      <c r="A44" s="248" t="s">
        <v>2968</v>
      </c>
      <c r="B44" s="64">
        <v>8.07</v>
      </c>
      <c r="C44" s="64">
        <v>3.11</v>
      </c>
      <c r="D44" s="64">
        <v>11.87</v>
      </c>
      <c r="E44" s="64">
        <v>5.38</v>
      </c>
      <c r="F44" s="64">
        <v>4.6500000000000004</v>
      </c>
      <c r="G44" s="64">
        <v>22.23</v>
      </c>
      <c r="H44" s="64">
        <v>11.8</v>
      </c>
      <c r="I44" s="64">
        <v>5.2</v>
      </c>
      <c r="J44" s="64">
        <v>0.15</v>
      </c>
      <c r="K44" s="64">
        <v>310.26</v>
      </c>
      <c r="L44" s="64">
        <v>27.42</v>
      </c>
      <c r="M44" s="64">
        <v>102.73</v>
      </c>
      <c r="N44" s="64">
        <v>123.2</v>
      </c>
      <c r="O44" s="64">
        <v>0</v>
      </c>
      <c r="P44" s="64">
        <v>0.45</v>
      </c>
      <c r="Q44" s="64">
        <v>10</v>
      </c>
      <c r="R44" s="198"/>
      <c r="S44" s="198"/>
      <c r="T44" s="198"/>
      <c r="U44" s="198"/>
    </row>
    <row r="45" spans="1:21" s="12" customFormat="1" x14ac:dyDescent="0.25">
      <c r="A45" s="248" t="s">
        <v>2969</v>
      </c>
      <c r="B45" s="64">
        <v>8.0399999999999991</v>
      </c>
      <c r="C45" s="64">
        <v>3.1</v>
      </c>
      <c r="D45" s="64">
        <v>11.84</v>
      </c>
      <c r="E45" s="64">
        <v>5.21</v>
      </c>
      <c r="F45" s="64">
        <v>3.14</v>
      </c>
      <c r="G45" s="64">
        <v>22.1</v>
      </c>
      <c r="H45" s="64">
        <v>11.8</v>
      </c>
      <c r="I45" s="64">
        <v>5.13</v>
      </c>
      <c r="J45" s="64">
        <v>0.18</v>
      </c>
      <c r="K45" s="64">
        <v>325.41000000000003</v>
      </c>
      <c r="L45" s="64">
        <v>27.67</v>
      </c>
      <c r="M45" s="64">
        <v>102.78</v>
      </c>
      <c r="N45" s="64">
        <v>52.9</v>
      </c>
      <c r="O45" s="64">
        <v>0</v>
      </c>
      <c r="P45" s="64">
        <v>0.46</v>
      </c>
      <c r="Q45" s="64">
        <v>9.9</v>
      </c>
      <c r="R45" s="198"/>
      <c r="S45" s="198"/>
      <c r="T45" s="198"/>
      <c r="U45" s="198"/>
    </row>
    <row r="46" spans="1:21" s="12" customFormat="1" x14ac:dyDescent="0.25">
      <c r="A46" s="248" t="s">
        <v>2970</v>
      </c>
      <c r="B46" s="64">
        <v>7.99</v>
      </c>
      <c r="C46" s="64">
        <v>3.01</v>
      </c>
      <c r="D46" s="64">
        <v>11.76</v>
      </c>
      <c r="E46" s="64">
        <v>5.32</v>
      </c>
      <c r="F46" s="64">
        <v>3.79</v>
      </c>
      <c r="G46" s="64">
        <v>22.1</v>
      </c>
      <c r="H46" s="64">
        <v>11.8</v>
      </c>
      <c r="I46" s="64">
        <v>5.01</v>
      </c>
      <c r="J46" s="64">
        <v>0.34</v>
      </c>
      <c r="K46" s="64">
        <v>318.7</v>
      </c>
      <c r="L46" s="64">
        <v>28.06</v>
      </c>
      <c r="M46" s="64">
        <v>102.76</v>
      </c>
      <c r="N46" s="64">
        <v>168</v>
      </c>
      <c r="O46" s="64">
        <v>0</v>
      </c>
      <c r="P46" s="64">
        <v>0.47</v>
      </c>
      <c r="Q46" s="64">
        <v>9.89</v>
      </c>
      <c r="R46" s="198"/>
      <c r="S46" s="198"/>
      <c r="T46" s="198"/>
      <c r="U46" s="198"/>
    </row>
    <row r="47" spans="1:21" s="12" customFormat="1" x14ac:dyDescent="0.25">
      <c r="A47" s="248" t="s">
        <v>2971</v>
      </c>
      <c r="B47" s="64">
        <v>8</v>
      </c>
      <c r="C47" s="64">
        <v>3.06</v>
      </c>
      <c r="D47" s="64">
        <v>11.79</v>
      </c>
      <c r="E47" s="64">
        <v>5.44</v>
      </c>
      <c r="F47" s="64">
        <v>4.0199999999999996</v>
      </c>
      <c r="G47" s="64">
        <v>22.1</v>
      </c>
      <c r="H47" s="64">
        <v>11.8</v>
      </c>
      <c r="I47" s="64">
        <v>4.9000000000000004</v>
      </c>
      <c r="J47" s="64">
        <v>0.28999999999999998</v>
      </c>
      <c r="K47" s="64">
        <v>319.88</v>
      </c>
      <c r="L47" s="64">
        <v>28.63</v>
      </c>
      <c r="M47" s="64">
        <v>102.79</v>
      </c>
      <c r="N47" s="64">
        <v>133.4</v>
      </c>
      <c r="O47" s="64">
        <v>0</v>
      </c>
      <c r="P47" s="64">
        <v>0.49</v>
      </c>
      <c r="Q47" s="64">
        <v>9.9600000000000009</v>
      </c>
      <c r="R47" s="198"/>
      <c r="S47" s="198"/>
      <c r="T47" s="198"/>
      <c r="U47" s="198"/>
    </row>
    <row r="48" spans="1:21" s="12" customFormat="1" x14ac:dyDescent="0.25">
      <c r="A48" s="248" t="s">
        <v>2972</v>
      </c>
      <c r="B48" s="64">
        <v>7.98</v>
      </c>
      <c r="C48" s="64">
        <v>3.01</v>
      </c>
      <c r="D48" s="64">
        <v>11.75</v>
      </c>
      <c r="E48" s="64">
        <v>5.25</v>
      </c>
      <c r="F48" s="64">
        <v>3.21</v>
      </c>
      <c r="G48" s="64">
        <v>21.17</v>
      </c>
      <c r="H48" s="64">
        <v>38.72</v>
      </c>
      <c r="I48" s="64">
        <v>4.84</v>
      </c>
      <c r="J48" s="64">
        <v>0.36</v>
      </c>
      <c r="K48" s="64">
        <v>319.52</v>
      </c>
      <c r="L48" s="64">
        <v>29.34</v>
      </c>
      <c r="M48" s="64">
        <v>101.8</v>
      </c>
      <c r="N48" s="64">
        <v>263.3</v>
      </c>
      <c r="O48" s="64">
        <v>0</v>
      </c>
      <c r="P48" s="64">
        <v>0.5</v>
      </c>
      <c r="Q48" s="64">
        <v>9.9600000000000009</v>
      </c>
      <c r="R48" s="198"/>
      <c r="S48" s="198"/>
      <c r="T48" s="198"/>
      <c r="U48" s="198"/>
    </row>
    <row r="49" spans="1:21" s="12" customFormat="1" x14ac:dyDescent="0.25">
      <c r="A49" s="248" t="s">
        <v>2973</v>
      </c>
      <c r="B49" s="64">
        <v>7.97</v>
      </c>
      <c r="C49" s="64">
        <v>3.05</v>
      </c>
      <c r="D49" s="64">
        <v>11.76</v>
      </c>
      <c r="E49" s="64">
        <v>5.07</v>
      </c>
      <c r="F49" s="64">
        <v>3.99</v>
      </c>
      <c r="G49" s="64">
        <v>21.13</v>
      </c>
      <c r="H49" s="64">
        <v>38.72</v>
      </c>
      <c r="I49" s="64">
        <v>4.71</v>
      </c>
      <c r="J49" s="64">
        <v>0.34</v>
      </c>
      <c r="K49" s="64">
        <v>329.53</v>
      </c>
      <c r="L49" s="64">
        <v>29.78</v>
      </c>
      <c r="M49" s="64">
        <v>99.8</v>
      </c>
      <c r="N49" s="64">
        <v>171.9</v>
      </c>
      <c r="O49" s="64">
        <v>0</v>
      </c>
      <c r="P49" s="64">
        <v>0.52</v>
      </c>
      <c r="Q49" s="64">
        <v>10.01</v>
      </c>
      <c r="R49" s="198"/>
      <c r="S49" s="198"/>
      <c r="T49" s="198"/>
      <c r="U49" s="198"/>
    </row>
    <row r="50" spans="1:21" s="12" customFormat="1" x14ac:dyDescent="0.25">
      <c r="A50" s="248" t="s">
        <v>2974</v>
      </c>
      <c r="B50" s="64">
        <v>8.02</v>
      </c>
      <c r="C50" s="64">
        <v>3.13</v>
      </c>
      <c r="D50" s="64">
        <v>11.84</v>
      </c>
      <c r="E50" s="64">
        <v>4.93</v>
      </c>
      <c r="F50" s="64">
        <v>2.61</v>
      </c>
      <c r="G50" s="64">
        <v>21.13</v>
      </c>
      <c r="H50" s="64">
        <v>38.72</v>
      </c>
      <c r="I50" s="64">
        <v>4.5199999999999996</v>
      </c>
      <c r="J50" s="64">
        <v>0.41</v>
      </c>
      <c r="K50" s="64">
        <v>337.87</v>
      </c>
      <c r="L50" s="64">
        <v>29.49</v>
      </c>
      <c r="M50" s="64">
        <v>98.15</v>
      </c>
      <c r="N50" s="64">
        <v>123.5</v>
      </c>
      <c r="O50" s="64">
        <v>0</v>
      </c>
      <c r="P50" s="64">
        <v>0.54</v>
      </c>
      <c r="Q50" s="64">
        <v>9.9700000000000006</v>
      </c>
      <c r="R50" s="198"/>
      <c r="S50" s="198"/>
      <c r="T50" s="198"/>
      <c r="U50" s="198"/>
    </row>
    <row r="51" spans="1:21" s="12" customFormat="1" x14ac:dyDescent="0.25">
      <c r="A51" s="248" t="s">
        <v>2975</v>
      </c>
      <c r="B51" s="64">
        <v>7.99</v>
      </c>
      <c r="C51" s="64">
        <v>3.04</v>
      </c>
      <c r="D51" s="64">
        <v>11.77</v>
      </c>
      <c r="E51" s="64">
        <v>4.95</v>
      </c>
      <c r="F51" s="64">
        <v>4.3099999999999996</v>
      </c>
      <c r="G51" s="64">
        <v>21.13</v>
      </c>
      <c r="H51" s="64">
        <v>38.72</v>
      </c>
      <c r="I51" s="64">
        <v>4.45</v>
      </c>
      <c r="J51" s="64">
        <v>0.15</v>
      </c>
      <c r="K51" s="64">
        <v>343.33</v>
      </c>
      <c r="L51" s="64">
        <v>28.85</v>
      </c>
      <c r="M51" s="64">
        <v>100.4</v>
      </c>
      <c r="N51" s="64">
        <v>105.9</v>
      </c>
      <c r="O51" s="64">
        <v>0</v>
      </c>
      <c r="P51" s="64">
        <v>0.56000000000000005</v>
      </c>
      <c r="Q51" s="64">
        <v>10.029999999999999</v>
      </c>
      <c r="R51" s="198"/>
      <c r="S51" s="198"/>
      <c r="T51" s="198"/>
      <c r="U51" s="198"/>
    </row>
    <row r="52" spans="1:21" s="12" customFormat="1" x14ac:dyDescent="0.25">
      <c r="A52" s="248" t="s">
        <v>2976</v>
      </c>
      <c r="B52" s="64">
        <v>8.0299999999999994</v>
      </c>
      <c r="C52" s="64">
        <v>3.02</v>
      </c>
      <c r="D52" s="64">
        <v>11.79</v>
      </c>
      <c r="E52" s="64">
        <v>5.17</v>
      </c>
      <c r="F52" s="64">
        <v>2.46</v>
      </c>
      <c r="G52" s="64">
        <v>42.37</v>
      </c>
      <c r="H52" s="64">
        <v>32.020000000000003</v>
      </c>
      <c r="I52" s="64">
        <v>4.3899999999999997</v>
      </c>
      <c r="J52" s="64">
        <v>0.44</v>
      </c>
      <c r="K52" s="64">
        <v>350.2</v>
      </c>
      <c r="L52" s="64">
        <v>28.75</v>
      </c>
      <c r="M52" s="64">
        <v>102.58</v>
      </c>
      <c r="N52" s="64">
        <v>120.9</v>
      </c>
      <c r="O52" s="64">
        <v>0</v>
      </c>
      <c r="P52" s="64">
        <v>0.59</v>
      </c>
      <c r="Q52" s="64">
        <v>10.01</v>
      </c>
      <c r="R52" s="198"/>
      <c r="S52" s="198"/>
      <c r="T52" s="198"/>
      <c r="U52" s="198"/>
    </row>
    <row r="53" spans="1:21" s="12" customFormat="1" x14ac:dyDescent="0.25">
      <c r="A53" s="248" t="s">
        <v>2977</v>
      </c>
      <c r="B53" s="64">
        <v>8.11</v>
      </c>
      <c r="C53" s="64">
        <v>3.25</v>
      </c>
      <c r="D53" s="64">
        <v>11.98</v>
      </c>
      <c r="E53" s="64">
        <v>4.9400000000000004</v>
      </c>
      <c r="F53" s="64">
        <v>3.33</v>
      </c>
      <c r="G53" s="64">
        <v>43.35</v>
      </c>
      <c r="H53" s="64">
        <v>32.020000000000003</v>
      </c>
      <c r="I53" s="64">
        <v>4.41</v>
      </c>
      <c r="J53" s="64">
        <v>0.52</v>
      </c>
      <c r="K53" s="64">
        <v>347.78</v>
      </c>
      <c r="L53" s="64">
        <v>28.87</v>
      </c>
      <c r="M53" s="64">
        <v>101.84</v>
      </c>
      <c r="N53" s="64">
        <v>123.3</v>
      </c>
      <c r="O53" s="64">
        <v>0</v>
      </c>
      <c r="P53" s="64">
        <v>0.73</v>
      </c>
      <c r="Q53" s="64">
        <v>10.01</v>
      </c>
      <c r="R53" s="198"/>
      <c r="S53" s="198"/>
      <c r="T53" s="198"/>
      <c r="U53" s="198"/>
    </row>
    <row r="54" spans="1:21" s="12" customFormat="1" x14ac:dyDescent="0.25">
      <c r="A54" s="248" t="s">
        <v>2978</v>
      </c>
      <c r="B54" s="64">
        <v>8.1199999999999992</v>
      </c>
      <c r="C54" s="64">
        <v>3.38</v>
      </c>
      <c r="D54" s="64">
        <v>12.05</v>
      </c>
      <c r="E54" s="64">
        <v>5.22</v>
      </c>
      <c r="F54" s="64">
        <v>3.73</v>
      </c>
      <c r="G54" s="64">
        <v>43.35</v>
      </c>
      <c r="H54" s="64">
        <v>32.020000000000003</v>
      </c>
      <c r="I54" s="64">
        <v>4.53</v>
      </c>
      <c r="J54" s="64">
        <v>0.22</v>
      </c>
      <c r="K54" s="64">
        <v>333.67</v>
      </c>
      <c r="L54" s="64">
        <v>28.73</v>
      </c>
      <c r="M54" s="64">
        <v>102.14</v>
      </c>
      <c r="N54" s="64">
        <v>104.6</v>
      </c>
      <c r="O54" s="64">
        <v>0</v>
      </c>
      <c r="P54" s="64">
        <v>0.93</v>
      </c>
      <c r="Q54" s="64">
        <v>9.98</v>
      </c>
      <c r="R54" s="198"/>
      <c r="S54" s="198"/>
      <c r="T54" s="198"/>
      <c r="U54" s="198"/>
    </row>
    <row r="55" spans="1:21" s="12" customFormat="1" x14ac:dyDescent="0.25">
      <c r="A55" s="248" t="s">
        <v>2979</v>
      </c>
      <c r="B55" s="64">
        <v>8.07</v>
      </c>
      <c r="C55" s="64">
        <v>3.25</v>
      </c>
      <c r="D55" s="64">
        <v>11.95</v>
      </c>
      <c r="E55" s="64">
        <v>4.7</v>
      </c>
      <c r="F55" s="64">
        <v>2.99</v>
      </c>
      <c r="G55" s="64">
        <v>43.35</v>
      </c>
      <c r="H55" s="64">
        <v>32.020000000000003</v>
      </c>
      <c r="I55" s="64">
        <v>4.3600000000000003</v>
      </c>
      <c r="J55" s="64">
        <v>0.19</v>
      </c>
      <c r="K55" s="64">
        <v>104.66</v>
      </c>
      <c r="L55" s="64">
        <v>28.38</v>
      </c>
      <c r="M55" s="64">
        <v>102.72</v>
      </c>
      <c r="N55" s="64">
        <v>129.30000000000001</v>
      </c>
      <c r="O55" s="64">
        <v>0</v>
      </c>
      <c r="P55" s="64">
        <v>0.95</v>
      </c>
      <c r="Q55" s="64">
        <v>10.1</v>
      </c>
      <c r="R55" s="198"/>
      <c r="S55" s="198"/>
      <c r="T55" s="198"/>
      <c r="U55" s="198"/>
    </row>
    <row r="56" spans="1:21" s="12" customFormat="1" x14ac:dyDescent="0.25">
      <c r="A56" s="248" t="s">
        <v>2980</v>
      </c>
      <c r="B56" s="64">
        <v>8.0299999999999994</v>
      </c>
      <c r="C56" s="64">
        <v>3.18</v>
      </c>
      <c r="D56" s="64">
        <v>11.87</v>
      </c>
      <c r="E56" s="64">
        <v>5.17</v>
      </c>
      <c r="F56" s="64">
        <v>3.68</v>
      </c>
      <c r="G56" s="64">
        <v>56.66</v>
      </c>
      <c r="H56" s="64">
        <v>27.55</v>
      </c>
      <c r="I56" s="64">
        <v>3.97</v>
      </c>
      <c r="J56" s="64">
        <v>0.56999999999999995</v>
      </c>
      <c r="K56" s="64">
        <v>113.3</v>
      </c>
      <c r="L56" s="64">
        <v>27.98</v>
      </c>
      <c r="M56" s="64">
        <v>102.9</v>
      </c>
      <c r="N56" s="64">
        <v>101.8</v>
      </c>
      <c r="O56" s="64">
        <v>0</v>
      </c>
      <c r="P56" s="64">
        <v>0.91</v>
      </c>
      <c r="Q56" s="64">
        <v>10.199999999999999</v>
      </c>
      <c r="R56" s="198"/>
      <c r="S56" s="198"/>
      <c r="T56" s="198"/>
      <c r="U56" s="198"/>
    </row>
    <row r="57" spans="1:21" s="12" customFormat="1" x14ac:dyDescent="0.25">
      <c r="A57" s="248" t="s">
        <v>2981</v>
      </c>
      <c r="B57" s="64">
        <v>8.02</v>
      </c>
      <c r="C57" s="64">
        <v>3.1</v>
      </c>
      <c r="D57" s="64">
        <v>11.82</v>
      </c>
      <c r="E57" s="64">
        <v>4.5199999999999996</v>
      </c>
      <c r="F57" s="64">
        <v>3.25</v>
      </c>
      <c r="G57" s="64">
        <v>57.28</v>
      </c>
      <c r="H57" s="64">
        <v>27.55</v>
      </c>
      <c r="I57" s="64">
        <v>4.83</v>
      </c>
      <c r="J57" s="64">
        <v>0.66</v>
      </c>
      <c r="K57" s="64">
        <v>113.32</v>
      </c>
      <c r="L57" s="64">
        <v>27.52</v>
      </c>
      <c r="M57" s="64">
        <v>102.92</v>
      </c>
      <c r="N57" s="64">
        <v>104.1</v>
      </c>
      <c r="O57" s="64">
        <v>0.2</v>
      </c>
      <c r="P57" s="64">
        <v>0.85</v>
      </c>
      <c r="Q57" s="64">
        <v>10.25</v>
      </c>
      <c r="R57" s="198"/>
      <c r="S57" s="198"/>
      <c r="T57" s="198"/>
      <c r="U57" s="198"/>
    </row>
    <row r="58" spans="1:21" s="12" customFormat="1" x14ac:dyDescent="0.25">
      <c r="A58" s="248" t="s">
        <v>2982</v>
      </c>
      <c r="B58" s="64">
        <v>8.02</v>
      </c>
      <c r="C58" s="64">
        <v>3.02</v>
      </c>
      <c r="D58" s="64">
        <v>11.78</v>
      </c>
      <c r="E58" s="64">
        <v>4.6500000000000004</v>
      </c>
      <c r="F58" s="64">
        <v>3.48</v>
      </c>
      <c r="G58" s="64">
        <v>57.28</v>
      </c>
      <c r="H58" s="64">
        <v>27.55</v>
      </c>
      <c r="I58" s="64">
        <v>5.16</v>
      </c>
      <c r="J58" s="64">
        <v>1.22</v>
      </c>
      <c r="K58" s="64">
        <v>115.23</v>
      </c>
      <c r="L58" s="64">
        <v>27.2</v>
      </c>
      <c r="M58" s="64">
        <v>102.92</v>
      </c>
      <c r="N58" s="64">
        <v>106.1</v>
      </c>
      <c r="O58" s="64">
        <v>0.2</v>
      </c>
      <c r="P58" s="64">
        <v>0.79</v>
      </c>
      <c r="Q58" s="64">
        <v>10.25</v>
      </c>
      <c r="R58" s="198"/>
      <c r="S58" s="198"/>
      <c r="T58" s="198"/>
      <c r="U58" s="198"/>
    </row>
    <row r="59" spans="1:21" s="12" customFormat="1" x14ac:dyDescent="0.25">
      <c r="A59" s="248" t="s">
        <v>2983</v>
      </c>
      <c r="B59" s="64">
        <v>8.0500000000000007</v>
      </c>
      <c r="C59" s="64">
        <v>3.1</v>
      </c>
      <c r="D59" s="64">
        <v>11.85</v>
      </c>
      <c r="E59" s="64">
        <v>4.6100000000000003</v>
      </c>
      <c r="F59" s="64">
        <v>3.83</v>
      </c>
      <c r="G59" s="64">
        <v>57.28</v>
      </c>
      <c r="H59" s="64">
        <v>27.55</v>
      </c>
      <c r="I59" s="64">
        <v>5.55</v>
      </c>
      <c r="J59" s="64">
        <v>1.42</v>
      </c>
      <c r="K59" s="64">
        <v>113.16</v>
      </c>
      <c r="L59" s="64">
        <v>27.07</v>
      </c>
      <c r="M59" s="64">
        <v>102.92</v>
      </c>
      <c r="N59" s="64">
        <v>132.4</v>
      </c>
      <c r="O59" s="64">
        <v>0</v>
      </c>
      <c r="P59" s="64">
        <v>0.73</v>
      </c>
      <c r="Q59" s="64">
        <v>10.23</v>
      </c>
      <c r="R59" s="198"/>
      <c r="S59" s="198"/>
      <c r="T59" s="198"/>
      <c r="U59" s="198"/>
    </row>
    <row r="60" spans="1:21" s="12" customFormat="1" x14ac:dyDescent="0.25">
      <c r="A60" s="248" t="s">
        <v>2984</v>
      </c>
      <c r="B60" s="64">
        <v>8.02</v>
      </c>
      <c r="C60" s="64">
        <v>3.15</v>
      </c>
      <c r="D60" s="64">
        <v>11.85</v>
      </c>
      <c r="E60" s="64">
        <v>4.41</v>
      </c>
      <c r="F60" s="64">
        <v>4.49</v>
      </c>
      <c r="G60" s="64">
        <v>47.11</v>
      </c>
      <c r="H60" s="64">
        <v>18.43</v>
      </c>
      <c r="I60" s="64">
        <v>6.03</v>
      </c>
      <c r="J60" s="64">
        <v>1.34</v>
      </c>
      <c r="K60" s="64">
        <v>106.35</v>
      </c>
      <c r="L60" s="64">
        <v>26.92</v>
      </c>
      <c r="M60" s="64">
        <v>102.87</v>
      </c>
      <c r="N60" s="64">
        <v>130.30000000000001</v>
      </c>
      <c r="O60" s="64">
        <v>0.2</v>
      </c>
      <c r="P60" s="64">
        <v>0.6</v>
      </c>
      <c r="Q60" s="64">
        <v>10.210000000000001</v>
      </c>
      <c r="R60" s="198"/>
      <c r="S60" s="198"/>
      <c r="T60" s="198"/>
      <c r="U60" s="198"/>
    </row>
    <row r="61" spans="1:21" s="12" customFormat="1" x14ac:dyDescent="0.25">
      <c r="A61" s="248" t="s">
        <v>2985</v>
      </c>
      <c r="B61" s="64">
        <v>7.99</v>
      </c>
      <c r="C61" s="64">
        <v>3.06</v>
      </c>
      <c r="D61" s="64">
        <v>11.78</v>
      </c>
      <c r="E61" s="64">
        <v>4.25</v>
      </c>
      <c r="F61" s="64">
        <v>4.2300000000000004</v>
      </c>
      <c r="G61" s="64">
        <v>46.64</v>
      </c>
      <c r="H61" s="64">
        <v>18.43</v>
      </c>
      <c r="I61" s="64">
        <v>6.51</v>
      </c>
      <c r="J61" s="64">
        <v>0.78</v>
      </c>
      <c r="K61" s="64">
        <v>107.27</v>
      </c>
      <c r="L61" s="64">
        <v>26.82</v>
      </c>
      <c r="M61" s="64">
        <v>102.88</v>
      </c>
      <c r="N61" s="64">
        <v>122.3</v>
      </c>
      <c r="O61" s="64">
        <v>0.2</v>
      </c>
      <c r="P61" s="64">
        <v>0.53</v>
      </c>
      <c r="Q61" s="64">
        <v>10.09</v>
      </c>
      <c r="R61" s="198"/>
      <c r="S61" s="198"/>
      <c r="T61" s="198"/>
      <c r="U61" s="198"/>
    </row>
    <row r="62" spans="1:21" s="12" customFormat="1" x14ac:dyDescent="0.25">
      <c r="A62" s="248" t="s">
        <v>2986</v>
      </c>
      <c r="B62" s="64">
        <v>7.96</v>
      </c>
      <c r="C62" s="64">
        <v>3.02</v>
      </c>
      <c r="D62" s="64">
        <v>11.74</v>
      </c>
      <c r="E62" s="64">
        <v>4.4800000000000004</v>
      </c>
      <c r="F62" s="64">
        <v>3.19</v>
      </c>
      <c r="G62" s="64">
        <v>46.64</v>
      </c>
      <c r="H62" s="64">
        <v>18.43</v>
      </c>
      <c r="I62" s="64">
        <v>5.99</v>
      </c>
      <c r="J62" s="64">
        <v>0.7</v>
      </c>
      <c r="K62" s="64">
        <v>97.13</v>
      </c>
      <c r="L62" s="64">
        <v>26.53</v>
      </c>
      <c r="M62" s="64">
        <v>102.86</v>
      </c>
      <c r="N62" s="64">
        <v>126.3</v>
      </c>
      <c r="O62" s="64">
        <v>0</v>
      </c>
      <c r="P62" s="64">
        <v>0.49</v>
      </c>
      <c r="Q62" s="64">
        <v>9.9</v>
      </c>
      <c r="R62" s="198"/>
      <c r="S62" s="198"/>
      <c r="T62" s="198"/>
      <c r="U62" s="198"/>
    </row>
    <row r="63" spans="1:21" s="12" customFormat="1" x14ac:dyDescent="0.25">
      <c r="A63" s="248" t="s">
        <v>2987</v>
      </c>
      <c r="B63" s="64">
        <v>7.96</v>
      </c>
      <c r="C63" s="64">
        <v>3.02</v>
      </c>
      <c r="D63" s="64">
        <v>11.73</v>
      </c>
      <c r="E63" s="64">
        <v>4.9000000000000004</v>
      </c>
      <c r="F63" s="64">
        <v>3.73</v>
      </c>
      <c r="G63" s="64">
        <v>46.64</v>
      </c>
      <c r="H63" s="64">
        <v>18.43</v>
      </c>
      <c r="I63" s="64">
        <v>5.57</v>
      </c>
      <c r="J63" s="64">
        <v>0.34</v>
      </c>
      <c r="K63" s="64">
        <v>102.36</v>
      </c>
      <c r="L63" s="64">
        <v>26.23</v>
      </c>
      <c r="M63" s="64">
        <v>102.84</v>
      </c>
      <c r="N63" s="64">
        <v>139.5</v>
      </c>
      <c r="O63" s="64">
        <v>0.2</v>
      </c>
      <c r="P63" s="64">
        <v>0.46</v>
      </c>
      <c r="Q63" s="64">
        <v>9.82</v>
      </c>
      <c r="R63" s="198"/>
      <c r="S63" s="198"/>
      <c r="T63" s="198"/>
      <c r="U63" s="198"/>
    </row>
    <row r="64" spans="1:21" s="12" customFormat="1" x14ac:dyDescent="0.25">
      <c r="A64" s="248" t="s">
        <v>2988</v>
      </c>
      <c r="B64" s="64">
        <v>7.96</v>
      </c>
      <c r="C64" s="64">
        <v>2.94</v>
      </c>
      <c r="D64" s="64">
        <v>11.69</v>
      </c>
      <c r="E64" s="64">
        <v>4.32</v>
      </c>
      <c r="F64" s="64">
        <v>4.32</v>
      </c>
      <c r="G64" s="64">
        <v>30.6</v>
      </c>
      <c r="H64" s="64">
        <v>23.06</v>
      </c>
      <c r="I64" s="64">
        <v>5.35</v>
      </c>
      <c r="J64" s="64">
        <v>0.57999999999999996</v>
      </c>
      <c r="K64" s="64">
        <v>110.11</v>
      </c>
      <c r="L64" s="64">
        <v>26.41</v>
      </c>
      <c r="M64" s="64">
        <v>102.85</v>
      </c>
      <c r="N64" s="64">
        <v>161</v>
      </c>
      <c r="O64" s="64">
        <v>0</v>
      </c>
      <c r="P64" s="64">
        <v>0.47</v>
      </c>
      <c r="Q64" s="64">
        <v>9.9</v>
      </c>
      <c r="R64" s="198"/>
      <c r="S64" s="198"/>
      <c r="T64" s="198"/>
      <c r="U64" s="198"/>
    </row>
    <row r="65" spans="1:21" s="12" customFormat="1" x14ac:dyDescent="0.25">
      <c r="A65" s="248" t="s">
        <v>2989</v>
      </c>
      <c r="B65" s="64">
        <v>7.97</v>
      </c>
      <c r="C65" s="64">
        <v>3</v>
      </c>
      <c r="D65" s="64">
        <v>11.73</v>
      </c>
      <c r="E65" s="64">
        <v>4.53</v>
      </c>
      <c r="F65" s="64">
        <v>2.4</v>
      </c>
      <c r="G65" s="64">
        <v>29.85</v>
      </c>
      <c r="H65" s="64">
        <v>23.06</v>
      </c>
      <c r="I65" s="64">
        <v>5.16</v>
      </c>
      <c r="J65" s="64">
        <v>0.4</v>
      </c>
      <c r="K65" s="64">
        <v>97.39</v>
      </c>
      <c r="L65" s="64">
        <v>26.58</v>
      </c>
      <c r="M65" s="64">
        <v>102.83</v>
      </c>
      <c r="N65" s="64">
        <v>188</v>
      </c>
      <c r="O65" s="64">
        <v>0</v>
      </c>
      <c r="P65" s="64">
        <v>0.44</v>
      </c>
      <c r="Q65" s="64">
        <v>9.82</v>
      </c>
      <c r="R65" s="198"/>
      <c r="S65" s="198"/>
      <c r="T65" s="198"/>
      <c r="U65" s="198"/>
    </row>
    <row r="66" spans="1:21" s="12" customFormat="1" x14ac:dyDescent="0.25">
      <c r="A66" s="248" t="s">
        <v>2990</v>
      </c>
      <c r="B66" s="64">
        <v>7.99</v>
      </c>
      <c r="C66" s="64">
        <v>2.99</v>
      </c>
      <c r="D66" s="64">
        <v>11.75</v>
      </c>
      <c r="E66" s="64">
        <v>4.59</v>
      </c>
      <c r="F66" s="64">
        <v>3.45</v>
      </c>
      <c r="G66" s="64">
        <v>29.85</v>
      </c>
      <c r="H66" s="64">
        <v>23.06</v>
      </c>
      <c r="I66" s="64">
        <v>5.3</v>
      </c>
      <c r="J66" s="64">
        <v>0.37</v>
      </c>
      <c r="K66" s="64">
        <v>97.54</v>
      </c>
      <c r="L66" s="64">
        <v>26.94</v>
      </c>
      <c r="M66" s="64">
        <v>102.82</v>
      </c>
      <c r="N66" s="64">
        <v>200.7</v>
      </c>
      <c r="O66" s="64">
        <v>0</v>
      </c>
      <c r="P66" s="64">
        <v>0.39</v>
      </c>
      <c r="Q66" s="64">
        <v>9.89</v>
      </c>
      <c r="R66" s="198"/>
      <c r="S66" s="198"/>
      <c r="T66" s="198"/>
      <c r="U66" s="198"/>
    </row>
    <row r="67" spans="1:21" s="12" customFormat="1" x14ac:dyDescent="0.25">
      <c r="A67" s="248" t="s">
        <v>2991</v>
      </c>
      <c r="B67" s="64">
        <v>8</v>
      </c>
      <c r="C67" s="64">
        <v>3.01</v>
      </c>
      <c r="D67" s="64">
        <v>11.76</v>
      </c>
      <c r="E67" s="64">
        <v>4.18</v>
      </c>
      <c r="F67" s="64">
        <v>4.01</v>
      </c>
      <c r="G67" s="64">
        <v>29.85</v>
      </c>
      <c r="H67" s="64">
        <v>23.06</v>
      </c>
      <c r="I67" s="64">
        <v>5.0599999999999996</v>
      </c>
      <c r="J67" s="64">
        <v>0.5</v>
      </c>
      <c r="K67" s="64">
        <v>164.52</v>
      </c>
      <c r="L67" s="64">
        <v>27.11</v>
      </c>
      <c r="M67" s="64">
        <v>102.8</v>
      </c>
      <c r="N67" s="64">
        <v>209.1</v>
      </c>
      <c r="O67" s="64">
        <v>0</v>
      </c>
      <c r="P67" s="64">
        <v>0.38</v>
      </c>
      <c r="Q67" s="64">
        <v>10</v>
      </c>
      <c r="R67" s="198"/>
      <c r="S67" s="198"/>
      <c r="T67" s="198"/>
      <c r="U67" s="198"/>
    </row>
    <row r="68" spans="1:21" s="12" customFormat="1" x14ac:dyDescent="0.25">
      <c r="A68" s="248" t="s">
        <v>2992</v>
      </c>
      <c r="B68" s="64">
        <v>7.95</v>
      </c>
      <c r="C68" s="64">
        <v>2.97</v>
      </c>
      <c r="D68" s="64">
        <v>11.7</v>
      </c>
      <c r="E68" s="64">
        <v>4.3600000000000003</v>
      </c>
      <c r="F68" s="64">
        <v>6.65</v>
      </c>
      <c r="G68" s="64">
        <v>18.16</v>
      </c>
      <c r="H68" s="64">
        <v>23.06</v>
      </c>
      <c r="I68" s="64">
        <v>4.53</v>
      </c>
      <c r="J68" s="64">
        <v>0.46</v>
      </c>
      <c r="K68" s="64">
        <v>111.65</v>
      </c>
      <c r="L68" s="64">
        <v>27.14</v>
      </c>
      <c r="M68" s="64">
        <v>102.78</v>
      </c>
      <c r="N68" s="64">
        <v>241.5</v>
      </c>
      <c r="O68" s="64">
        <v>0</v>
      </c>
      <c r="P68" s="64">
        <v>0.31</v>
      </c>
      <c r="Q68" s="64">
        <v>10.01</v>
      </c>
      <c r="R68" s="198"/>
      <c r="S68" s="198"/>
      <c r="T68" s="198"/>
      <c r="U68" s="198"/>
    </row>
    <row r="69" spans="1:21" s="12" customFormat="1" x14ac:dyDescent="0.25">
      <c r="A69" s="248" t="s">
        <v>2993</v>
      </c>
      <c r="B69" s="64">
        <v>7.93</v>
      </c>
      <c r="C69" s="64">
        <v>3.02</v>
      </c>
      <c r="D69" s="64">
        <v>11.71</v>
      </c>
      <c r="E69" s="64">
        <v>5.26</v>
      </c>
      <c r="F69" s="64">
        <v>8.08</v>
      </c>
      <c r="G69" s="64">
        <v>17.61</v>
      </c>
      <c r="H69" s="64">
        <v>23.06</v>
      </c>
      <c r="I69" s="64">
        <v>4.34</v>
      </c>
      <c r="J69" s="64">
        <v>0.28000000000000003</v>
      </c>
      <c r="K69" s="64">
        <v>119.84</v>
      </c>
      <c r="L69" s="64">
        <v>27.53</v>
      </c>
      <c r="M69" s="64">
        <v>102.14</v>
      </c>
      <c r="N69" s="64">
        <v>240.1</v>
      </c>
      <c r="O69" s="64">
        <v>0</v>
      </c>
      <c r="P69" s="64">
        <v>0.26</v>
      </c>
      <c r="Q69" s="64">
        <v>9.89</v>
      </c>
      <c r="R69" s="198"/>
      <c r="S69" s="198"/>
      <c r="T69" s="198"/>
      <c r="U69" s="198"/>
    </row>
    <row r="70" spans="1:21" s="12" customFormat="1" x14ac:dyDescent="0.25">
      <c r="A70" s="248" t="s">
        <v>2994</v>
      </c>
      <c r="B70" s="64">
        <v>7.92</v>
      </c>
      <c r="C70" s="64">
        <v>2.97</v>
      </c>
      <c r="D70" s="64">
        <v>11.67</v>
      </c>
      <c r="E70" s="64">
        <v>4.88</v>
      </c>
      <c r="F70" s="64">
        <v>6.19</v>
      </c>
      <c r="G70" s="64">
        <v>17.61</v>
      </c>
      <c r="H70" s="64">
        <v>23.06</v>
      </c>
      <c r="I70" s="64">
        <v>2.2200000000000002</v>
      </c>
      <c r="J70" s="64">
        <v>0.28999999999999998</v>
      </c>
      <c r="K70" s="64">
        <v>103.56</v>
      </c>
      <c r="L70" s="64">
        <v>27.86</v>
      </c>
      <c r="M70" s="64">
        <v>100.05</v>
      </c>
      <c r="N70" s="64">
        <v>227.3</v>
      </c>
      <c r="O70" s="64">
        <v>0</v>
      </c>
      <c r="P70" s="64">
        <v>0.24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48" t="s">
        <v>2995</v>
      </c>
      <c r="B71" s="64">
        <v>7.93</v>
      </c>
      <c r="C71" s="64">
        <v>2.94</v>
      </c>
      <c r="D71" s="64">
        <v>11.67</v>
      </c>
      <c r="E71" s="64">
        <v>4.49</v>
      </c>
      <c r="F71" s="64">
        <v>7.31</v>
      </c>
      <c r="G71" s="64">
        <v>17.61</v>
      </c>
      <c r="H71" s="64">
        <v>23.06</v>
      </c>
      <c r="I71" s="64">
        <v>1.1200000000000001</v>
      </c>
      <c r="J71" s="64">
        <v>0.2</v>
      </c>
      <c r="K71" s="64">
        <v>130.27000000000001</v>
      </c>
      <c r="L71" s="64">
        <v>28.39</v>
      </c>
      <c r="M71" s="64">
        <v>93.29</v>
      </c>
      <c r="N71" s="64">
        <v>218.5</v>
      </c>
      <c r="O71" s="64">
        <v>0</v>
      </c>
      <c r="P71" s="64">
        <v>0.22</v>
      </c>
      <c r="Q71" s="64">
        <v>9.56</v>
      </c>
      <c r="R71" s="198"/>
      <c r="S71" s="198"/>
      <c r="T71" s="198"/>
      <c r="U71" s="198"/>
    </row>
    <row r="72" spans="1:21" s="12" customFormat="1" x14ac:dyDescent="0.25">
      <c r="A72" s="248" t="s">
        <v>2996</v>
      </c>
      <c r="B72" s="64">
        <v>7.95</v>
      </c>
      <c r="C72" s="64">
        <v>2.94</v>
      </c>
      <c r="D72" s="64">
        <v>11.68</v>
      </c>
      <c r="E72" s="64">
        <v>3.18</v>
      </c>
      <c r="F72" s="64">
        <v>10.7</v>
      </c>
      <c r="G72" s="64">
        <v>31.81</v>
      </c>
      <c r="H72" s="64">
        <v>23.06</v>
      </c>
      <c r="I72" s="64">
        <v>1.65</v>
      </c>
      <c r="J72" s="64">
        <v>0.34</v>
      </c>
      <c r="K72" s="64">
        <v>109.67</v>
      </c>
      <c r="L72" s="64">
        <v>28.51</v>
      </c>
      <c r="M72" s="64">
        <v>90.88</v>
      </c>
      <c r="N72" s="64">
        <v>210.4</v>
      </c>
      <c r="O72" s="64">
        <v>0</v>
      </c>
      <c r="P72" s="64">
        <v>0.23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48" t="s">
        <v>2997</v>
      </c>
      <c r="B73" s="64">
        <v>7.95</v>
      </c>
      <c r="C73" s="64">
        <v>3.04</v>
      </c>
      <c r="D73" s="64">
        <v>11.74</v>
      </c>
      <c r="E73" s="64">
        <v>3.15</v>
      </c>
      <c r="F73" s="64">
        <v>6.02</v>
      </c>
      <c r="G73" s="64">
        <v>32.47</v>
      </c>
      <c r="H73" s="64">
        <v>23.06</v>
      </c>
      <c r="I73" s="64">
        <v>1.89</v>
      </c>
      <c r="J73" s="64">
        <v>0.3</v>
      </c>
      <c r="K73" s="64">
        <v>332.99</v>
      </c>
      <c r="L73" s="64">
        <v>29.27</v>
      </c>
      <c r="M73" s="64">
        <v>88.46</v>
      </c>
      <c r="N73" s="64">
        <v>193.3</v>
      </c>
      <c r="O73" s="64">
        <v>0</v>
      </c>
      <c r="P73" s="64">
        <v>0.25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48" t="s">
        <v>2998</v>
      </c>
      <c r="B74" s="64">
        <v>7.96</v>
      </c>
      <c r="C74" s="64">
        <v>3.07</v>
      </c>
      <c r="D74" s="64">
        <v>11.76</v>
      </c>
      <c r="E74" s="64">
        <v>3.22</v>
      </c>
      <c r="F74" s="64">
        <v>5.36</v>
      </c>
      <c r="G74" s="64">
        <v>32.47</v>
      </c>
      <c r="H74" s="64">
        <v>23.06</v>
      </c>
      <c r="I74" s="64">
        <v>1.65</v>
      </c>
      <c r="J74" s="64">
        <v>0.2</v>
      </c>
      <c r="K74" s="64">
        <v>336.55</v>
      </c>
      <c r="L74" s="64">
        <v>29.67</v>
      </c>
      <c r="M74" s="64">
        <v>86.04</v>
      </c>
      <c r="N74" s="64">
        <v>179.4</v>
      </c>
      <c r="O74" s="64">
        <v>0</v>
      </c>
      <c r="P74" s="64">
        <v>0.43</v>
      </c>
      <c r="Q74" s="64">
        <v>9.4499999999999993</v>
      </c>
      <c r="R74" s="198"/>
      <c r="S74" s="198"/>
      <c r="T74" s="198"/>
      <c r="U74" s="198"/>
    </row>
    <row r="75" spans="1:21" s="12" customFormat="1" x14ac:dyDescent="0.25">
      <c r="A75" s="248" t="s">
        <v>2999</v>
      </c>
      <c r="B75" s="64">
        <v>7.97</v>
      </c>
      <c r="C75" s="64">
        <v>3.09</v>
      </c>
      <c r="D75" s="64">
        <v>11.78</v>
      </c>
      <c r="E75" s="64">
        <v>3.01</v>
      </c>
      <c r="F75" s="64">
        <v>4.1500000000000004</v>
      </c>
      <c r="G75" s="64">
        <v>32.47</v>
      </c>
      <c r="H75" s="64">
        <v>23.06</v>
      </c>
      <c r="I75" s="64">
        <v>2.0299999999999998</v>
      </c>
      <c r="J75" s="64">
        <v>0.06</v>
      </c>
      <c r="K75" s="64">
        <v>279.27</v>
      </c>
      <c r="L75" s="64">
        <v>29.5</v>
      </c>
      <c r="M75" s="64">
        <v>86.67</v>
      </c>
      <c r="N75" s="64">
        <v>155.19999999999999</v>
      </c>
      <c r="O75" s="64">
        <v>0</v>
      </c>
      <c r="P75" s="64">
        <v>0.45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48" t="s">
        <v>3000</v>
      </c>
      <c r="B76" s="64">
        <v>7.97</v>
      </c>
      <c r="C76" s="64">
        <v>3.1</v>
      </c>
      <c r="D76" s="64">
        <v>11.79</v>
      </c>
      <c r="E76" s="64">
        <v>3.22</v>
      </c>
      <c r="F76" s="64">
        <v>3.6</v>
      </c>
      <c r="G76" s="64">
        <v>53.56</v>
      </c>
      <c r="H76" s="64">
        <v>23.06</v>
      </c>
      <c r="I76" s="64">
        <v>2.48</v>
      </c>
      <c r="J76" s="64">
        <v>0.11</v>
      </c>
      <c r="K76" s="64">
        <v>142.83000000000001</v>
      </c>
      <c r="L76" s="64">
        <v>28.87</v>
      </c>
      <c r="M76" s="64">
        <v>87.66</v>
      </c>
      <c r="N76" s="64">
        <v>127.7</v>
      </c>
      <c r="O76" s="64">
        <v>0</v>
      </c>
      <c r="P76" s="64">
        <v>0.44</v>
      </c>
      <c r="Q76" s="64">
        <v>9.69</v>
      </c>
      <c r="R76" s="198"/>
      <c r="S76" s="198"/>
      <c r="T76" s="198"/>
      <c r="U76" s="198"/>
    </row>
    <row r="77" spans="1:21" s="12" customFormat="1" x14ac:dyDescent="0.25">
      <c r="A77" s="248" t="s">
        <v>3001</v>
      </c>
      <c r="B77" s="64">
        <v>7.98</v>
      </c>
      <c r="C77" s="64">
        <v>3.1</v>
      </c>
      <c r="D77" s="64">
        <v>11.8</v>
      </c>
      <c r="E77" s="64">
        <v>3.3</v>
      </c>
      <c r="F77" s="64">
        <v>5.46</v>
      </c>
      <c r="G77" s="64">
        <v>54.54</v>
      </c>
      <c r="H77" s="64">
        <v>23.06</v>
      </c>
      <c r="I77" s="64">
        <v>2.8</v>
      </c>
      <c r="J77" s="64">
        <v>0.38</v>
      </c>
      <c r="K77" s="64">
        <v>137.31</v>
      </c>
      <c r="L77" s="64">
        <v>28.45</v>
      </c>
      <c r="M77" s="64">
        <v>94.11</v>
      </c>
      <c r="N77" s="64">
        <v>110.6</v>
      </c>
      <c r="O77" s="64">
        <v>0</v>
      </c>
      <c r="P77" s="64">
        <v>0.44</v>
      </c>
      <c r="Q77" s="64">
        <v>9.86</v>
      </c>
      <c r="R77" s="198"/>
      <c r="S77" s="198"/>
      <c r="T77" s="198"/>
      <c r="U77" s="198"/>
    </row>
    <row r="78" spans="1:21" s="12" customFormat="1" x14ac:dyDescent="0.25">
      <c r="A78" s="248" t="s">
        <v>3002</v>
      </c>
      <c r="B78" s="64">
        <v>7.95</v>
      </c>
      <c r="C78" s="64">
        <v>2.98</v>
      </c>
      <c r="D78" s="64">
        <v>11.7</v>
      </c>
      <c r="E78" s="64">
        <v>3.4</v>
      </c>
      <c r="F78" s="64">
        <v>3.04</v>
      </c>
      <c r="G78" s="64">
        <v>54.54</v>
      </c>
      <c r="H78" s="64">
        <v>23.06</v>
      </c>
      <c r="I78" s="64">
        <v>3.08</v>
      </c>
      <c r="J78" s="64">
        <v>0.08</v>
      </c>
      <c r="K78" s="64">
        <v>142.59</v>
      </c>
      <c r="L78" s="64">
        <v>28.28</v>
      </c>
      <c r="M78" s="64">
        <v>96.58</v>
      </c>
      <c r="N78" s="64">
        <v>94.1</v>
      </c>
      <c r="O78" s="64">
        <v>0</v>
      </c>
      <c r="P78" s="64">
        <v>0.41</v>
      </c>
      <c r="Q78" s="64">
        <v>9.9</v>
      </c>
      <c r="R78" s="198"/>
      <c r="S78" s="198"/>
      <c r="T78" s="198"/>
      <c r="U78" s="198"/>
    </row>
    <row r="79" spans="1:21" s="12" customFormat="1" x14ac:dyDescent="0.25">
      <c r="A79" s="248" t="s">
        <v>3003</v>
      </c>
      <c r="B79" s="64">
        <v>7.96</v>
      </c>
      <c r="C79" s="64">
        <v>3.01</v>
      </c>
      <c r="D79" s="64">
        <v>11.73</v>
      </c>
      <c r="E79" s="64">
        <v>3.51</v>
      </c>
      <c r="F79" s="64">
        <v>4.7300000000000004</v>
      </c>
      <c r="G79" s="64">
        <v>26.95</v>
      </c>
      <c r="H79" s="64">
        <v>11.02</v>
      </c>
      <c r="I79" s="64">
        <v>3.13</v>
      </c>
      <c r="J79" s="64">
        <v>7.0000000000000007E-2</v>
      </c>
      <c r="K79" s="64">
        <v>218.97</v>
      </c>
      <c r="L79" s="64">
        <v>28.16</v>
      </c>
      <c r="M79" s="64">
        <v>97.97</v>
      </c>
      <c r="N79" s="64">
        <v>74.3</v>
      </c>
      <c r="O79" s="64">
        <v>0</v>
      </c>
      <c r="P79" s="64">
        <v>0.37</v>
      </c>
      <c r="Q79" s="64">
        <v>9.86</v>
      </c>
      <c r="R79" s="198"/>
      <c r="S79" s="198"/>
      <c r="T79" s="198"/>
      <c r="U79" s="198"/>
    </row>
    <row r="80" spans="1:21" s="12" customFormat="1" x14ac:dyDescent="0.25">
      <c r="A80" s="248" t="s">
        <v>3004</v>
      </c>
      <c r="B80" s="64">
        <v>7.93</v>
      </c>
      <c r="C80" s="64">
        <v>3.05</v>
      </c>
      <c r="D80" s="64">
        <v>11.73</v>
      </c>
      <c r="E80" s="64">
        <v>3.62</v>
      </c>
      <c r="F80" s="64">
        <v>8.18</v>
      </c>
      <c r="G80" s="211" t="s">
        <v>40</v>
      </c>
      <c r="H80" s="211" t="s">
        <v>40</v>
      </c>
      <c r="I80" s="64">
        <v>3.02</v>
      </c>
      <c r="J80" s="64">
        <v>0.04</v>
      </c>
      <c r="K80" s="64">
        <v>298.3</v>
      </c>
      <c r="L80" s="64">
        <v>27.84</v>
      </c>
      <c r="M80" s="64">
        <v>100.46</v>
      </c>
      <c r="N80" s="64">
        <v>58.8</v>
      </c>
      <c r="O80" s="64">
        <v>0</v>
      </c>
      <c r="P80" s="64">
        <v>0.36</v>
      </c>
      <c r="Q80" s="64">
        <v>9.84</v>
      </c>
      <c r="R80" s="198"/>
      <c r="S80" s="198"/>
      <c r="T80" s="198"/>
      <c r="U80" s="198"/>
    </row>
    <row r="81" spans="1:26" s="12" customFormat="1" x14ac:dyDescent="0.25">
      <c r="A81" s="248" t="s">
        <v>3005</v>
      </c>
      <c r="B81" s="64">
        <v>7.89</v>
      </c>
      <c r="C81" s="64">
        <v>3.03</v>
      </c>
      <c r="D81" s="64">
        <v>11.69</v>
      </c>
      <c r="E81" s="64">
        <v>3.5</v>
      </c>
      <c r="F81" s="64">
        <v>2.6</v>
      </c>
      <c r="G81" s="211" t="s">
        <v>40</v>
      </c>
      <c r="H81" s="211" t="s">
        <v>40</v>
      </c>
      <c r="I81" s="64">
        <v>2.73</v>
      </c>
      <c r="J81" s="64">
        <v>0.03</v>
      </c>
      <c r="K81" s="64">
        <v>1.84</v>
      </c>
      <c r="L81" s="64">
        <v>27.73</v>
      </c>
      <c r="M81" s="64">
        <v>99.99</v>
      </c>
      <c r="N81" s="64">
        <v>42.6</v>
      </c>
      <c r="O81" s="64">
        <v>0</v>
      </c>
      <c r="P81" s="64">
        <v>0.34</v>
      </c>
      <c r="Q81" s="64">
        <v>9.67</v>
      </c>
      <c r="R81" s="198"/>
      <c r="S81" s="198"/>
      <c r="T81" s="198"/>
      <c r="U81" s="198"/>
    </row>
    <row r="82" spans="1:26" s="12" customFormat="1" x14ac:dyDescent="0.25">
      <c r="A82" s="248" t="s">
        <v>3006</v>
      </c>
      <c r="B82" s="64">
        <v>7.89</v>
      </c>
      <c r="C82" s="64">
        <v>3.01</v>
      </c>
      <c r="D82" s="64">
        <v>11.68</v>
      </c>
      <c r="E82" s="64">
        <v>3.39</v>
      </c>
      <c r="F82" s="64">
        <v>3.99</v>
      </c>
      <c r="G82" s="211" t="s">
        <v>40</v>
      </c>
      <c r="H82" s="211" t="s">
        <v>40</v>
      </c>
      <c r="I82" s="64">
        <v>2.15</v>
      </c>
      <c r="J82" s="64">
        <v>0.04</v>
      </c>
      <c r="K82" s="64">
        <v>240.36</v>
      </c>
      <c r="L82" s="64">
        <v>27.53</v>
      </c>
      <c r="M82" s="64">
        <v>101.69</v>
      </c>
      <c r="N82" s="64">
        <v>34.700000000000003</v>
      </c>
      <c r="O82" s="64">
        <v>0</v>
      </c>
      <c r="P82" s="64">
        <v>0.37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48" t="s">
        <v>3007</v>
      </c>
      <c r="B83" s="64">
        <v>7.89</v>
      </c>
      <c r="C83" s="64">
        <v>2.97</v>
      </c>
      <c r="D83" s="64">
        <v>11.65</v>
      </c>
      <c r="E83" s="64">
        <v>3.41</v>
      </c>
      <c r="F83" s="64">
        <v>2.63</v>
      </c>
      <c r="G83" s="64">
        <v>57.77</v>
      </c>
      <c r="H83" s="64">
        <v>31.66</v>
      </c>
      <c r="I83" s="64">
        <v>2.17</v>
      </c>
      <c r="J83" s="64">
        <v>0.09</v>
      </c>
      <c r="K83" s="64">
        <v>216.95</v>
      </c>
      <c r="L83" s="64">
        <v>27.38</v>
      </c>
      <c r="M83" s="64">
        <v>101.49</v>
      </c>
      <c r="N83" s="64">
        <v>33.4</v>
      </c>
      <c r="O83" s="64">
        <v>0</v>
      </c>
      <c r="P83" s="64">
        <v>0.41</v>
      </c>
      <c r="Q83" s="64">
        <v>9.6999999999999993</v>
      </c>
      <c r="R83" s="198"/>
      <c r="S83" s="198"/>
      <c r="T83" s="198"/>
      <c r="U83" s="198"/>
    </row>
    <row r="84" spans="1:26" s="12" customFormat="1" x14ac:dyDescent="0.25">
      <c r="A84" s="248" t="s">
        <v>3008</v>
      </c>
      <c r="B84" s="64">
        <v>7.9</v>
      </c>
      <c r="C84" s="64">
        <v>2.96</v>
      </c>
      <c r="D84" s="64">
        <v>11.66</v>
      </c>
      <c r="E84" s="64">
        <v>2.95</v>
      </c>
      <c r="F84" s="64">
        <v>3.35</v>
      </c>
      <c r="G84" s="64">
        <v>108.32</v>
      </c>
      <c r="H84" s="64">
        <v>29.24</v>
      </c>
      <c r="I84" s="64">
        <v>2.4500000000000002</v>
      </c>
      <c r="J84" s="64">
        <v>0.06</v>
      </c>
      <c r="K84" s="64">
        <v>243.38</v>
      </c>
      <c r="L84" s="64">
        <v>27.37</v>
      </c>
      <c r="M84" s="64">
        <v>101.84</v>
      </c>
      <c r="N84" s="64">
        <v>33.200000000000003</v>
      </c>
      <c r="O84" s="64">
        <v>0</v>
      </c>
      <c r="P84" s="64">
        <v>0.42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48" t="s">
        <v>3009</v>
      </c>
      <c r="B85" s="64">
        <v>7.88</v>
      </c>
      <c r="C85" s="64">
        <v>2.92</v>
      </c>
      <c r="D85" s="64">
        <v>11.62</v>
      </c>
      <c r="E85" s="64">
        <v>3.69</v>
      </c>
      <c r="F85" s="64">
        <v>3.37</v>
      </c>
      <c r="G85" s="64">
        <v>108.32</v>
      </c>
      <c r="H85" s="64">
        <v>29.24</v>
      </c>
      <c r="I85" s="64">
        <v>2.64</v>
      </c>
      <c r="J85" s="64">
        <v>0.12</v>
      </c>
      <c r="K85" s="64">
        <v>196.29</v>
      </c>
      <c r="L85" s="64">
        <v>27.23</v>
      </c>
      <c r="M85" s="64">
        <v>102.33</v>
      </c>
      <c r="N85" s="64">
        <v>33.1</v>
      </c>
      <c r="O85" s="64">
        <v>0</v>
      </c>
      <c r="P85" s="64">
        <v>0.43</v>
      </c>
      <c r="Q85" s="64">
        <v>9.73</v>
      </c>
      <c r="R85" s="198"/>
      <c r="S85" s="198"/>
      <c r="T85" s="198"/>
      <c r="U85" s="198"/>
    </row>
    <row r="86" spans="1:26" s="12" customFormat="1" x14ac:dyDescent="0.25">
      <c r="A86" s="248" t="s">
        <v>3010</v>
      </c>
      <c r="B86" s="64">
        <v>7.9</v>
      </c>
      <c r="C86" s="64">
        <v>2.93</v>
      </c>
      <c r="D86" s="64">
        <v>11.64</v>
      </c>
      <c r="E86" s="64">
        <v>3.43</v>
      </c>
      <c r="F86" s="64">
        <v>2.75</v>
      </c>
      <c r="G86" s="64">
        <v>108.32</v>
      </c>
      <c r="H86" s="64">
        <v>29.24</v>
      </c>
      <c r="I86" s="64">
        <v>2.79</v>
      </c>
      <c r="J86" s="64">
        <v>0.09</v>
      </c>
      <c r="K86" s="64">
        <v>139.34</v>
      </c>
      <c r="L86" s="64">
        <v>27.11</v>
      </c>
      <c r="M86" s="64">
        <v>102.28</v>
      </c>
      <c r="N86" s="64">
        <v>33.200000000000003</v>
      </c>
      <c r="O86" s="64">
        <v>0</v>
      </c>
      <c r="P86" s="64">
        <v>0.44</v>
      </c>
      <c r="Q86" s="64">
        <v>9.6999999999999993</v>
      </c>
      <c r="R86" s="198"/>
      <c r="S86" s="198"/>
      <c r="T86" s="198"/>
      <c r="U86" s="198"/>
    </row>
    <row r="87" spans="1:26" s="12" customFormat="1" x14ac:dyDescent="0.25">
      <c r="A87" s="248" t="s">
        <v>3011</v>
      </c>
      <c r="B87" s="64">
        <v>7.96</v>
      </c>
      <c r="C87" s="64">
        <v>3.03</v>
      </c>
      <c r="D87" s="64">
        <v>11.74</v>
      </c>
      <c r="E87" s="64">
        <v>3.34</v>
      </c>
      <c r="F87" s="64">
        <v>3.58</v>
      </c>
      <c r="G87" s="64">
        <v>98.35</v>
      </c>
      <c r="H87" s="64">
        <v>90.74</v>
      </c>
      <c r="I87" s="64">
        <v>2.94</v>
      </c>
      <c r="J87" s="64">
        <v>0.05</v>
      </c>
      <c r="K87" s="64">
        <v>219.49</v>
      </c>
      <c r="L87" s="64">
        <v>27.01</v>
      </c>
      <c r="M87" s="64">
        <v>102.28</v>
      </c>
      <c r="N87" s="64">
        <v>33.200000000000003</v>
      </c>
      <c r="O87" s="64">
        <v>0</v>
      </c>
      <c r="P87" s="64">
        <v>0.44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48" t="s">
        <v>3012</v>
      </c>
      <c r="B88" s="64">
        <v>8.01</v>
      </c>
      <c r="C88" s="64">
        <v>3.05</v>
      </c>
      <c r="D88" s="64">
        <v>11.79</v>
      </c>
      <c r="E88" s="64">
        <v>4.09</v>
      </c>
      <c r="F88" s="64">
        <v>3.6</v>
      </c>
      <c r="G88" s="64">
        <v>89.63</v>
      </c>
      <c r="H88" s="64">
        <v>0.31</v>
      </c>
      <c r="I88" s="64">
        <v>3.1</v>
      </c>
      <c r="J88" s="64">
        <v>0.08</v>
      </c>
      <c r="K88" s="64">
        <v>174.78</v>
      </c>
      <c r="L88" s="64">
        <v>26.88</v>
      </c>
      <c r="M88" s="64">
        <v>102.25</v>
      </c>
      <c r="N88" s="64">
        <v>33.200000000000003</v>
      </c>
      <c r="O88" s="64">
        <v>0</v>
      </c>
      <c r="P88" s="64">
        <v>0.46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48" t="s">
        <v>3013</v>
      </c>
      <c r="B89" s="64">
        <v>8.01</v>
      </c>
      <c r="C89" s="64">
        <v>3.02</v>
      </c>
      <c r="D89" s="64">
        <v>11.77</v>
      </c>
      <c r="E89" s="64">
        <v>4.38</v>
      </c>
      <c r="F89" s="64">
        <v>3.43</v>
      </c>
      <c r="G89" s="64">
        <v>89.63</v>
      </c>
      <c r="H89" s="64">
        <v>0.31</v>
      </c>
      <c r="I89" s="64">
        <v>3.38</v>
      </c>
      <c r="J89" s="64">
        <v>0.16</v>
      </c>
      <c r="K89" s="64">
        <v>108.21</v>
      </c>
      <c r="L89" s="64">
        <v>27.02</v>
      </c>
      <c r="M89" s="64">
        <v>102.25</v>
      </c>
      <c r="N89" s="64">
        <v>32.9</v>
      </c>
      <c r="O89" s="64">
        <v>0</v>
      </c>
      <c r="P89" s="64">
        <v>0.47</v>
      </c>
      <c r="Q89" s="64">
        <v>9.75</v>
      </c>
      <c r="R89" s="198"/>
      <c r="S89" s="198"/>
      <c r="T89" s="198"/>
      <c r="U89" s="198"/>
    </row>
    <row r="90" spans="1:26" s="12" customFormat="1" x14ac:dyDescent="0.25">
      <c r="A90" s="248" t="s">
        <v>3014</v>
      </c>
      <c r="B90" s="64">
        <v>8</v>
      </c>
      <c r="C90" s="64">
        <v>3.01</v>
      </c>
      <c r="D90" s="64">
        <v>11.76</v>
      </c>
      <c r="E90" s="64">
        <v>4.8</v>
      </c>
      <c r="F90" s="64">
        <v>4.18</v>
      </c>
      <c r="G90" s="64">
        <v>89.63</v>
      </c>
      <c r="H90" s="64">
        <v>0.31</v>
      </c>
      <c r="I90" s="64">
        <v>3.65</v>
      </c>
      <c r="J90" s="64">
        <v>0.06</v>
      </c>
      <c r="K90" s="64">
        <v>348.62</v>
      </c>
      <c r="L90" s="64">
        <v>26.82</v>
      </c>
      <c r="M90" s="64">
        <v>102.25</v>
      </c>
      <c r="N90" s="64">
        <v>33.299999999999997</v>
      </c>
      <c r="O90" s="64">
        <v>0</v>
      </c>
      <c r="P90" s="64">
        <v>0.48</v>
      </c>
      <c r="Q90" s="64">
        <v>9.77</v>
      </c>
      <c r="R90" s="198"/>
      <c r="S90" s="198"/>
      <c r="T90" s="198"/>
      <c r="U90" s="198"/>
    </row>
    <row r="91" spans="1:26" s="12" customFormat="1" x14ac:dyDescent="0.25">
      <c r="A91" s="248" t="s">
        <v>3015</v>
      </c>
      <c r="B91" s="64">
        <v>7.99</v>
      </c>
      <c r="C91" s="64">
        <v>3</v>
      </c>
      <c r="D91" s="64">
        <v>11.75</v>
      </c>
      <c r="E91" s="64">
        <v>4.6500000000000004</v>
      </c>
      <c r="F91" s="64">
        <v>3.67</v>
      </c>
      <c r="G91" s="64">
        <v>81.36</v>
      </c>
      <c r="H91" s="64">
        <v>0.64</v>
      </c>
      <c r="I91" s="64">
        <v>3.94</v>
      </c>
      <c r="J91" s="64">
        <v>0.13</v>
      </c>
      <c r="K91" s="64">
        <v>160.22</v>
      </c>
      <c r="L91" s="64">
        <v>26.61</v>
      </c>
      <c r="M91" s="64">
        <v>101.68</v>
      </c>
      <c r="N91" s="64">
        <v>33.1</v>
      </c>
      <c r="O91" s="64">
        <v>0</v>
      </c>
      <c r="P91" s="64">
        <v>0.49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48" t="s">
        <v>3016</v>
      </c>
      <c r="B92" s="64">
        <v>7.98</v>
      </c>
      <c r="C92" s="64">
        <v>3</v>
      </c>
      <c r="D92" s="64">
        <v>11.74</v>
      </c>
      <c r="E92" s="64">
        <v>5.01</v>
      </c>
      <c r="F92" s="64">
        <v>3.67</v>
      </c>
      <c r="G92" s="64">
        <v>74.44</v>
      </c>
      <c r="H92" s="64">
        <v>0.94</v>
      </c>
      <c r="I92" s="64">
        <v>4.18</v>
      </c>
      <c r="J92" s="64">
        <v>0.24</v>
      </c>
      <c r="K92" s="64">
        <v>166.44</v>
      </c>
      <c r="L92" s="64">
        <v>26.71</v>
      </c>
      <c r="M92" s="64">
        <v>101.69</v>
      </c>
      <c r="N92" s="64">
        <v>32.9</v>
      </c>
      <c r="O92" s="64">
        <v>0</v>
      </c>
      <c r="P92" s="64">
        <v>0.51</v>
      </c>
      <c r="Q92" s="64">
        <v>9.84</v>
      </c>
      <c r="R92" s="198"/>
      <c r="S92" s="198"/>
      <c r="T92" s="198"/>
      <c r="U92" s="198"/>
    </row>
    <row r="93" spans="1:26" s="12" customFormat="1" x14ac:dyDescent="0.25">
      <c r="A93" s="248" t="s">
        <v>3017</v>
      </c>
      <c r="B93" s="64">
        <v>8.01</v>
      </c>
      <c r="C93" s="64">
        <v>3.03</v>
      </c>
      <c r="D93" s="64">
        <v>11.78</v>
      </c>
      <c r="E93" s="64">
        <v>4.83</v>
      </c>
      <c r="F93" s="64">
        <v>3.95</v>
      </c>
      <c r="G93" s="64">
        <v>74.44</v>
      </c>
      <c r="H93" s="64">
        <v>0.94</v>
      </c>
      <c r="I93" s="64">
        <v>4.4000000000000004</v>
      </c>
      <c r="J93" s="64">
        <v>0.42</v>
      </c>
      <c r="K93" s="64">
        <v>167.75</v>
      </c>
      <c r="L93" s="64">
        <v>26.55</v>
      </c>
      <c r="M93" s="64">
        <v>102.09</v>
      </c>
      <c r="N93" s="64">
        <v>33</v>
      </c>
      <c r="O93" s="64">
        <v>0</v>
      </c>
      <c r="P93" s="64">
        <v>0.51</v>
      </c>
      <c r="Q93" s="64">
        <v>9.86</v>
      </c>
      <c r="R93" s="198"/>
      <c r="S93" s="198"/>
      <c r="T93" s="198"/>
      <c r="U93" s="198"/>
    </row>
    <row r="94" spans="1:26" s="12" customFormat="1" x14ac:dyDescent="0.25">
      <c r="A94" s="248" t="s">
        <v>3018</v>
      </c>
      <c r="B94" s="64">
        <v>7.96</v>
      </c>
      <c r="C94" s="64">
        <v>2.94</v>
      </c>
      <c r="D94" s="64">
        <v>11.7</v>
      </c>
      <c r="E94" s="64">
        <v>5</v>
      </c>
      <c r="F94" s="64">
        <v>4.6399999999999997</v>
      </c>
      <c r="G94" s="64">
        <v>74.44</v>
      </c>
      <c r="H94" s="64">
        <v>0.94</v>
      </c>
      <c r="I94" s="64">
        <v>4.5999999999999996</v>
      </c>
      <c r="J94" s="64">
        <v>0.81</v>
      </c>
      <c r="K94" s="64">
        <v>138.66</v>
      </c>
      <c r="L94" s="64">
        <v>26.43</v>
      </c>
      <c r="M94" s="64">
        <v>101.85</v>
      </c>
      <c r="N94" s="64">
        <v>33</v>
      </c>
      <c r="O94" s="64">
        <v>0</v>
      </c>
      <c r="P94" s="64">
        <v>0.52</v>
      </c>
      <c r="Q94" s="64">
        <v>9.86</v>
      </c>
      <c r="R94" s="198"/>
      <c r="S94" s="198"/>
      <c r="T94" s="198"/>
      <c r="U94" s="198"/>
    </row>
    <row r="95" spans="1:26" s="12" customFormat="1" x14ac:dyDescent="0.25">
      <c r="A95" s="248" t="s">
        <v>3019</v>
      </c>
      <c r="B95" s="64">
        <v>7.93</v>
      </c>
      <c r="C95" s="64">
        <v>2.91</v>
      </c>
      <c r="D95" s="64">
        <v>11.66</v>
      </c>
      <c r="E95" s="64">
        <v>5.0999999999999996</v>
      </c>
      <c r="F95" s="64">
        <v>2.34</v>
      </c>
      <c r="G95" s="64">
        <v>68.47</v>
      </c>
      <c r="H95" s="64">
        <v>12.03</v>
      </c>
      <c r="I95" s="64">
        <v>4.7300000000000004</v>
      </c>
      <c r="J95" s="64">
        <v>0.48</v>
      </c>
      <c r="K95" s="64">
        <v>151.49</v>
      </c>
      <c r="L95" s="64">
        <v>26.32</v>
      </c>
      <c r="M95" s="64">
        <v>101.61</v>
      </c>
      <c r="N95" s="64">
        <v>33.1</v>
      </c>
      <c r="O95" s="64">
        <v>0</v>
      </c>
      <c r="P95" s="64">
        <v>0.51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48" t="s">
        <v>3020</v>
      </c>
      <c r="B96" s="64">
        <v>7.93</v>
      </c>
      <c r="C96" s="64">
        <v>2.96</v>
      </c>
      <c r="D96" s="64">
        <v>11.68</v>
      </c>
      <c r="E96" s="64">
        <v>4.9400000000000004</v>
      </c>
      <c r="F96" s="64">
        <v>4.76</v>
      </c>
      <c r="G96" s="64">
        <v>63.48</v>
      </c>
      <c r="H96" s="64">
        <v>21.73</v>
      </c>
      <c r="I96" s="64">
        <v>4.67</v>
      </c>
      <c r="J96" s="64">
        <v>0.62</v>
      </c>
      <c r="K96" s="64">
        <v>149.66</v>
      </c>
      <c r="L96" s="64">
        <v>26.3</v>
      </c>
      <c r="M96" s="64">
        <v>101.53</v>
      </c>
      <c r="N96" s="64">
        <v>33.200000000000003</v>
      </c>
      <c r="O96" s="64">
        <v>0</v>
      </c>
      <c r="P96" s="64">
        <v>0.51</v>
      </c>
      <c r="Q96" s="64">
        <v>9.85</v>
      </c>
      <c r="R96" s="198"/>
      <c r="S96" s="198"/>
      <c r="T96" s="198"/>
      <c r="U96" s="198"/>
      <c r="Z96" s="109"/>
    </row>
    <row r="97" spans="1:33" s="12" customFormat="1" x14ac:dyDescent="0.25">
      <c r="A97" s="248" t="s">
        <v>3021</v>
      </c>
      <c r="B97" s="64">
        <v>7.91</v>
      </c>
      <c r="C97" s="64">
        <v>2.94</v>
      </c>
      <c r="D97" s="64">
        <v>11.65</v>
      </c>
      <c r="E97" s="64">
        <v>5.43</v>
      </c>
      <c r="F97" s="64">
        <v>2.79</v>
      </c>
      <c r="G97" s="64">
        <v>63.48</v>
      </c>
      <c r="H97" s="64">
        <v>21.73</v>
      </c>
      <c r="I97" s="64">
        <v>4.7300000000000004</v>
      </c>
      <c r="J97" s="64">
        <v>0.65</v>
      </c>
      <c r="K97" s="64">
        <v>141.57</v>
      </c>
      <c r="L97" s="64">
        <v>26.1</v>
      </c>
      <c r="M97" s="64">
        <v>101.77</v>
      </c>
      <c r="N97" s="64">
        <v>33.200000000000003</v>
      </c>
      <c r="O97" s="64">
        <v>0</v>
      </c>
      <c r="P97" s="64">
        <v>0.5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48" t="s">
        <v>3022</v>
      </c>
      <c r="B98" s="64">
        <v>7.95</v>
      </c>
      <c r="C98" s="64">
        <v>3.02</v>
      </c>
      <c r="D98" s="64">
        <v>11.73</v>
      </c>
      <c r="E98" s="64">
        <v>4.95</v>
      </c>
      <c r="F98" s="64">
        <v>4.57</v>
      </c>
      <c r="G98" s="64">
        <v>63.48</v>
      </c>
      <c r="H98" s="64">
        <v>21.73</v>
      </c>
      <c r="I98" s="64">
        <v>4.7300000000000004</v>
      </c>
      <c r="J98" s="64">
        <v>0.44</v>
      </c>
      <c r="K98" s="64">
        <v>158.07</v>
      </c>
      <c r="L98" s="64">
        <v>26.05</v>
      </c>
      <c r="M98" s="64">
        <v>101.8</v>
      </c>
      <c r="N98" s="64">
        <v>33.1</v>
      </c>
      <c r="O98" s="64">
        <v>0</v>
      </c>
      <c r="P98" s="64">
        <v>0.49</v>
      </c>
      <c r="Q98" s="64">
        <v>9.83</v>
      </c>
      <c r="R98" s="198"/>
      <c r="S98" s="198"/>
      <c r="T98" s="198"/>
      <c r="U98" s="198"/>
    </row>
    <row r="99" spans="1:33" s="12" customFormat="1" x14ac:dyDescent="0.25">
      <c r="A99" s="248" t="s">
        <v>3023</v>
      </c>
      <c r="B99" s="64">
        <v>7.94</v>
      </c>
      <c r="C99" s="64">
        <v>3</v>
      </c>
      <c r="D99" s="64">
        <v>11.71</v>
      </c>
      <c r="E99" s="64">
        <v>5.08</v>
      </c>
      <c r="F99" s="64">
        <v>2.67</v>
      </c>
      <c r="G99" s="64">
        <v>58.46</v>
      </c>
      <c r="H99" s="64">
        <v>12.51</v>
      </c>
      <c r="I99" s="64">
        <v>4.75</v>
      </c>
      <c r="J99" s="64">
        <v>0.38</v>
      </c>
      <c r="K99" s="64">
        <v>142.82</v>
      </c>
      <c r="L99" s="64">
        <v>26.09</v>
      </c>
      <c r="M99" s="64">
        <v>101.5</v>
      </c>
      <c r="N99" s="64">
        <v>33.200000000000003</v>
      </c>
      <c r="O99" s="64">
        <v>0</v>
      </c>
      <c r="P99" s="64">
        <v>0.49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48" t="s">
        <v>3024</v>
      </c>
      <c r="B100" s="64">
        <v>7.94</v>
      </c>
      <c r="C100" s="64">
        <v>2.96</v>
      </c>
      <c r="D100" s="64">
        <v>11.69</v>
      </c>
      <c r="E100" s="64">
        <v>5.15</v>
      </c>
      <c r="F100" s="64">
        <v>3.95</v>
      </c>
      <c r="G100" s="64">
        <v>54.06</v>
      </c>
      <c r="H100" s="64">
        <v>4.79</v>
      </c>
      <c r="I100" s="64">
        <v>4.71</v>
      </c>
      <c r="J100" s="64">
        <v>0.66</v>
      </c>
      <c r="K100" s="64">
        <v>151.61000000000001</v>
      </c>
      <c r="L100" s="64">
        <v>26.17</v>
      </c>
      <c r="M100" s="64">
        <v>101.47</v>
      </c>
      <c r="N100" s="64">
        <v>33.4</v>
      </c>
      <c r="O100" s="64">
        <v>0</v>
      </c>
      <c r="P100" s="64">
        <v>0.47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3025</v>
      </c>
      <c r="B101" s="64">
        <v>7.96</v>
      </c>
      <c r="C101" s="64">
        <v>3.01</v>
      </c>
      <c r="D101" s="64">
        <v>11.73</v>
      </c>
      <c r="E101" s="64">
        <v>4.9800000000000004</v>
      </c>
      <c r="F101" s="64">
        <v>2.72</v>
      </c>
      <c r="G101" s="64">
        <v>54.06</v>
      </c>
      <c r="H101" s="64">
        <v>4.79</v>
      </c>
      <c r="I101" s="64">
        <v>4.6100000000000003</v>
      </c>
      <c r="J101" s="64">
        <v>0.26</v>
      </c>
      <c r="K101" s="64">
        <v>152.99</v>
      </c>
      <c r="L101" s="64">
        <v>26</v>
      </c>
      <c r="M101" s="64">
        <v>101.59</v>
      </c>
      <c r="N101" s="64">
        <v>33.299999999999997</v>
      </c>
      <c r="O101" s="64">
        <v>0</v>
      </c>
      <c r="P101" s="64">
        <v>0.47</v>
      </c>
      <c r="Q101" s="64">
        <v>9.84</v>
      </c>
      <c r="R101" s="198"/>
      <c r="S101" s="198"/>
      <c r="T101" s="198"/>
      <c r="U101" s="198"/>
    </row>
    <row r="102" spans="1:33" s="12" customFormat="1" x14ac:dyDescent="0.25">
      <c r="A102" s="248" t="s">
        <v>3026</v>
      </c>
      <c r="B102" s="64">
        <v>7.95</v>
      </c>
      <c r="C102" s="64">
        <v>3.06</v>
      </c>
      <c r="D102" s="64">
        <v>11.75</v>
      </c>
      <c r="E102" s="64">
        <v>4.8</v>
      </c>
      <c r="F102" s="64">
        <v>3.73</v>
      </c>
      <c r="G102" s="64">
        <v>54.06</v>
      </c>
      <c r="H102" s="64">
        <v>4.79</v>
      </c>
      <c r="I102" s="64">
        <v>4.63</v>
      </c>
      <c r="J102" s="64">
        <v>0.22</v>
      </c>
      <c r="K102" s="64">
        <v>118.04</v>
      </c>
      <c r="L102" s="64">
        <v>25.93</v>
      </c>
      <c r="M102" s="64">
        <v>101.89</v>
      </c>
      <c r="N102" s="64">
        <v>33.5</v>
      </c>
      <c r="O102" s="64">
        <v>0</v>
      </c>
      <c r="P102" s="64">
        <v>0.46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48" t="s">
        <v>3027</v>
      </c>
      <c r="B103" s="64">
        <v>7.97</v>
      </c>
      <c r="C103" s="64">
        <v>3.04</v>
      </c>
      <c r="D103" s="64">
        <v>11.76</v>
      </c>
      <c r="E103" s="64">
        <v>4.95</v>
      </c>
      <c r="F103" s="64">
        <v>2.68</v>
      </c>
      <c r="G103" s="64">
        <v>47.62</v>
      </c>
      <c r="H103" s="64">
        <v>2.5499999999999998</v>
      </c>
      <c r="I103" s="64">
        <v>4.5199999999999996</v>
      </c>
      <c r="J103" s="64">
        <v>0.12</v>
      </c>
      <c r="K103" s="64">
        <v>170.39</v>
      </c>
      <c r="L103" s="64">
        <v>25.86</v>
      </c>
      <c r="M103" s="64">
        <v>101.46</v>
      </c>
      <c r="N103" s="64">
        <v>33.299999999999997</v>
      </c>
      <c r="O103" s="64">
        <v>0</v>
      </c>
      <c r="P103" s="64">
        <v>0.45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48" t="s">
        <v>3028</v>
      </c>
      <c r="B104" s="64">
        <v>8.02</v>
      </c>
      <c r="C104" s="64">
        <v>3.09</v>
      </c>
      <c r="D104" s="64">
        <v>11.82</v>
      </c>
      <c r="E104" s="64">
        <v>3.15</v>
      </c>
      <c r="F104" s="64">
        <v>3.47</v>
      </c>
      <c r="G104" s="64">
        <v>41.99</v>
      </c>
      <c r="H104" s="64">
        <v>0.59</v>
      </c>
      <c r="I104" s="64">
        <v>4.5</v>
      </c>
      <c r="J104" s="64">
        <v>0.04</v>
      </c>
      <c r="K104" s="64">
        <v>90.58</v>
      </c>
      <c r="L104" s="64">
        <v>25.9</v>
      </c>
      <c r="M104" s="64">
        <v>101.46</v>
      </c>
      <c r="N104" s="64">
        <v>33.299999999999997</v>
      </c>
      <c r="O104" s="64">
        <v>0</v>
      </c>
      <c r="P104" s="64">
        <v>0.44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2.91</v>
      </c>
      <c r="D106" s="67">
        <f t="shared" ref="D106:Q106" si="0">MIN(D9:D104)</f>
        <v>11.62</v>
      </c>
      <c r="E106" s="67">
        <f t="shared" si="0"/>
        <v>2.95</v>
      </c>
      <c r="F106" s="67">
        <f t="shared" si="0"/>
        <v>2.2799999999999998</v>
      </c>
      <c r="G106" s="67">
        <f t="shared" si="0"/>
        <v>17.61</v>
      </c>
      <c r="H106" s="67">
        <f t="shared" si="0"/>
        <v>0.31</v>
      </c>
      <c r="I106" s="67">
        <f t="shared" si="0"/>
        <v>1.1200000000000001</v>
      </c>
      <c r="J106" s="67">
        <f t="shared" si="0"/>
        <v>0</v>
      </c>
      <c r="K106" s="67">
        <f t="shared" si="0"/>
        <v>0.87</v>
      </c>
      <c r="L106" s="67">
        <f t="shared" si="0"/>
        <v>25.86</v>
      </c>
      <c r="M106" s="67">
        <f t="shared" si="0"/>
        <v>86.04</v>
      </c>
      <c r="N106" s="67">
        <f t="shared" si="0"/>
        <v>16.7</v>
      </c>
      <c r="O106" s="67">
        <f t="shared" si="0"/>
        <v>0</v>
      </c>
      <c r="P106" s="67">
        <f t="shared" si="0"/>
        <v>0.22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8.14</v>
      </c>
      <c r="C107" s="66">
        <f t="shared" ref="C107:Q107" si="1">MAX(C9:C104)</f>
        <v>3.38</v>
      </c>
      <c r="D107" s="66">
        <f t="shared" si="1"/>
        <v>12.05</v>
      </c>
      <c r="E107" s="66">
        <f t="shared" si="1"/>
        <v>5.44</v>
      </c>
      <c r="F107" s="66">
        <f t="shared" si="1"/>
        <v>10.7</v>
      </c>
      <c r="G107" s="66">
        <f t="shared" si="1"/>
        <v>108.32</v>
      </c>
      <c r="H107" s="66">
        <f t="shared" si="1"/>
        <v>90.74</v>
      </c>
      <c r="I107" s="66">
        <f t="shared" si="1"/>
        <v>6.51</v>
      </c>
      <c r="J107" s="66">
        <f t="shared" si="1"/>
        <v>1.42</v>
      </c>
      <c r="K107" s="66">
        <f t="shared" si="1"/>
        <v>358.08</v>
      </c>
      <c r="L107" s="66">
        <f t="shared" si="1"/>
        <v>29.78</v>
      </c>
      <c r="M107" s="66">
        <f t="shared" si="1"/>
        <v>102.92</v>
      </c>
      <c r="N107" s="66">
        <f t="shared" si="1"/>
        <v>263.3</v>
      </c>
      <c r="O107" s="66">
        <f t="shared" si="1"/>
        <v>0.4</v>
      </c>
      <c r="P107" s="66">
        <f t="shared" si="1"/>
        <v>0.95</v>
      </c>
      <c r="Q107" s="66">
        <f t="shared" si="1"/>
        <v>10.25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7.9936458333333364</v>
      </c>
      <c r="C108" s="67">
        <f t="shared" ref="C108:Q108" si="2">AVERAGE(C9:C104)</f>
        <v>3.0355208333333326</v>
      </c>
      <c r="D108" s="67">
        <f t="shared" si="2"/>
        <v>11.770729166666667</v>
      </c>
      <c r="E108" s="67">
        <f t="shared" si="2"/>
        <v>4.4383333333333317</v>
      </c>
      <c r="F108" s="67">
        <f t="shared" si="2"/>
        <v>3.8337500000000024</v>
      </c>
      <c r="G108" s="67">
        <f t="shared" si="2"/>
        <v>44.161290322580648</v>
      </c>
      <c r="H108" s="67">
        <f t="shared" si="2"/>
        <v>21.189139784946224</v>
      </c>
      <c r="I108" s="67">
        <f t="shared" si="2"/>
        <v>4.3830208333333323</v>
      </c>
      <c r="J108" s="67">
        <f t="shared" si="2"/>
        <v>0.25427083333333322</v>
      </c>
      <c r="K108" s="67">
        <f t="shared" si="2"/>
        <v>220.61270833333344</v>
      </c>
      <c r="L108" s="67">
        <f t="shared" si="2"/>
        <v>27.281770833333344</v>
      </c>
      <c r="M108" s="67">
        <f t="shared" si="2"/>
        <v>100.6836458333333</v>
      </c>
      <c r="N108" s="67">
        <f t="shared" si="2"/>
        <v>81.46250000000002</v>
      </c>
      <c r="O108" s="67">
        <f t="shared" si="2"/>
        <v>3.1250000000000007E-2</v>
      </c>
      <c r="P108" s="67">
        <f t="shared" si="2"/>
        <v>0.48885416666666642</v>
      </c>
      <c r="Q108" s="67">
        <f t="shared" si="2"/>
        <v>9.8714583333333366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5.3076306373424399E-2</v>
      </c>
      <c r="C109" s="67">
        <f t="shared" ref="C109:Q109" si="3">STDEV(C9:C104)</f>
        <v>7.4323188868002488E-2</v>
      </c>
      <c r="D109" s="67">
        <f t="shared" si="3"/>
        <v>7.5452945136850413E-2</v>
      </c>
      <c r="E109" s="67">
        <f t="shared" si="3"/>
        <v>0.65599047917782116</v>
      </c>
      <c r="F109" s="67">
        <f t="shared" si="3"/>
        <v>1.3239774604537113</v>
      </c>
      <c r="G109" s="67">
        <f t="shared" si="3"/>
        <v>21.530900606469483</v>
      </c>
      <c r="H109" s="67">
        <f t="shared" si="3"/>
        <v>12.64915873263087</v>
      </c>
      <c r="I109" s="67">
        <f t="shared" si="3"/>
        <v>1.0996986379450764</v>
      </c>
      <c r="J109" s="67">
        <f t="shared" si="3"/>
        <v>0.27598911035598445</v>
      </c>
      <c r="K109" s="67">
        <f t="shared" si="3"/>
        <v>101.41771479723313</v>
      </c>
      <c r="L109" s="67">
        <f t="shared" si="3"/>
        <v>0.99604163387054712</v>
      </c>
      <c r="M109" s="67">
        <f t="shared" si="3"/>
        <v>3.656712103801409</v>
      </c>
      <c r="N109" s="67">
        <f t="shared" si="3"/>
        <v>64.882233802158012</v>
      </c>
      <c r="O109" s="67">
        <f t="shared" si="3"/>
        <v>8.3744599197421957E-2</v>
      </c>
      <c r="P109" s="67">
        <f t="shared" si="3"/>
        <v>0.1320834647738581</v>
      </c>
      <c r="Q109" s="67">
        <f t="shared" si="3"/>
        <v>0.15258460408412367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8" t="s">
        <v>3029</v>
      </c>
      <c r="B9" s="64">
        <v>7.99</v>
      </c>
      <c r="C9" s="64">
        <v>3.04</v>
      </c>
      <c r="D9" s="64">
        <v>11.77</v>
      </c>
      <c r="E9" s="64">
        <v>2.98</v>
      </c>
      <c r="F9" s="64">
        <v>3.52</v>
      </c>
      <c r="G9" s="64">
        <v>41.99</v>
      </c>
      <c r="H9" s="64">
        <v>0.59</v>
      </c>
      <c r="I9" s="64">
        <v>4.53</v>
      </c>
      <c r="J9" s="64">
        <v>0.08</v>
      </c>
      <c r="K9" s="64">
        <v>87.74</v>
      </c>
      <c r="L9" s="64">
        <v>25.74</v>
      </c>
      <c r="M9" s="64">
        <v>101.51</v>
      </c>
      <c r="N9" s="64">
        <v>33.299999999999997</v>
      </c>
      <c r="O9" s="64">
        <v>0</v>
      </c>
      <c r="P9" s="64">
        <v>0.44</v>
      </c>
      <c r="Q9" s="64">
        <v>9.83</v>
      </c>
      <c r="R9" s="198"/>
      <c r="S9" s="198"/>
      <c r="T9" s="198"/>
      <c r="U9" s="198"/>
    </row>
    <row r="10" spans="1:21" s="12" customFormat="1" x14ac:dyDescent="0.25">
      <c r="A10" s="248" t="s">
        <v>3030</v>
      </c>
      <c r="B10" s="64">
        <v>7.99</v>
      </c>
      <c r="C10" s="64">
        <v>3.02</v>
      </c>
      <c r="D10" s="64">
        <v>11.76</v>
      </c>
      <c r="E10" s="64">
        <v>3.3</v>
      </c>
      <c r="F10" s="64">
        <v>3.57</v>
      </c>
      <c r="G10" s="64">
        <v>41.99</v>
      </c>
      <c r="H10" s="64">
        <v>0.59</v>
      </c>
      <c r="I10" s="64">
        <v>4.59</v>
      </c>
      <c r="J10" s="64">
        <v>7.0000000000000007E-2</v>
      </c>
      <c r="K10" s="64">
        <v>211.1</v>
      </c>
      <c r="L10" s="64">
        <v>25.67</v>
      </c>
      <c r="M10" s="64">
        <v>101.99</v>
      </c>
      <c r="N10" s="64">
        <v>33.299999999999997</v>
      </c>
      <c r="O10" s="64">
        <v>0</v>
      </c>
      <c r="P10" s="64">
        <v>0.43</v>
      </c>
      <c r="Q10" s="64">
        <v>9.82</v>
      </c>
      <c r="R10" s="198"/>
      <c r="S10" s="198"/>
      <c r="T10" s="198"/>
      <c r="U10" s="198"/>
    </row>
    <row r="11" spans="1:21" s="12" customFormat="1" x14ac:dyDescent="0.25">
      <c r="A11" s="248" t="s">
        <v>3031</v>
      </c>
      <c r="B11" s="64">
        <v>7.98</v>
      </c>
      <c r="C11" s="64">
        <v>2.96</v>
      </c>
      <c r="D11" s="64">
        <v>11.72</v>
      </c>
      <c r="E11" s="64">
        <v>3.03</v>
      </c>
      <c r="F11" s="64">
        <v>3.57</v>
      </c>
      <c r="G11" s="64">
        <v>38.79</v>
      </c>
      <c r="H11" s="64">
        <v>0.31</v>
      </c>
      <c r="I11" s="64">
        <v>4.6100000000000003</v>
      </c>
      <c r="J11" s="64">
        <v>0.19</v>
      </c>
      <c r="K11" s="64">
        <v>107.66</v>
      </c>
      <c r="L11" s="64">
        <v>25.66</v>
      </c>
      <c r="M11" s="64">
        <v>101.47</v>
      </c>
      <c r="N11" s="64">
        <v>33.299999999999997</v>
      </c>
      <c r="O11" s="64">
        <v>0</v>
      </c>
      <c r="P11" s="64">
        <v>0.42</v>
      </c>
      <c r="Q11" s="64">
        <v>9.84</v>
      </c>
      <c r="R11" s="198"/>
      <c r="S11" s="198"/>
      <c r="T11" s="198"/>
      <c r="U11" s="198"/>
    </row>
    <row r="12" spans="1:21" s="12" customFormat="1" x14ac:dyDescent="0.25">
      <c r="A12" s="248" t="s">
        <v>3032</v>
      </c>
      <c r="B12" s="64">
        <v>7.99</v>
      </c>
      <c r="C12" s="64">
        <v>2.98</v>
      </c>
      <c r="D12" s="64">
        <v>11.74</v>
      </c>
      <c r="E12" s="64">
        <v>3.15</v>
      </c>
      <c r="F12" s="64">
        <v>3.45</v>
      </c>
      <c r="G12" s="64">
        <v>35.99</v>
      </c>
      <c r="H12" s="64">
        <v>0.06</v>
      </c>
      <c r="I12" s="64">
        <v>4.68</v>
      </c>
      <c r="J12" s="64">
        <v>0.34</v>
      </c>
      <c r="K12" s="64">
        <v>149.9</v>
      </c>
      <c r="L12" s="64">
        <v>25.75</v>
      </c>
      <c r="M12" s="64">
        <v>101.7</v>
      </c>
      <c r="N12" s="64">
        <v>33.4</v>
      </c>
      <c r="O12" s="64">
        <v>0</v>
      </c>
      <c r="P12" s="64">
        <v>0.42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48" t="s">
        <v>3033</v>
      </c>
      <c r="B13" s="64">
        <v>7.98</v>
      </c>
      <c r="C13" s="64">
        <v>2.95</v>
      </c>
      <c r="D13" s="64">
        <v>11.71</v>
      </c>
      <c r="E13" s="64">
        <v>3.33</v>
      </c>
      <c r="F13" s="64">
        <v>3.42</v>
      </c>
      <c r="G13" s="64">
        <v>35.99</v>
      </c>
      <c r="H13" s="64">
        <v>0.06</v>
      </c>
      <c r="I13" s="64">
        <v>4.7699999999999996</v>
      </c>
      <c r="J13" s="64">
        <v>0.19</v>
      </c>
      <c r="K13" s="64">
        <v>48.23</v>
      </c>
      <c r="L13" s="64">
        <v>25.76</v>
      </c>
      <c r="M13" s="64">
        <v>102.02</v>
      </c>
      <c r="N13" s="64">
        <v>33.4</v>
      </c>
      <c r="O13" s="64">
        <v>0</v>
      </c>
      <c r="P13" s="64">
        <v>0.39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48" t="s">
        <v>3034</v>
      </c>
      <c r="B14" s="64">
        <v>7.98</v>
      </c>
      <c r="C14" s="64">
        <v>2.97</v>
      </c>
      <c r="D14" s="64">
        <v>11.72</v>
      </c>
      <c r="E14" s="64">
        <v>3.01</v>
      </c>
      <c r="F14" s="64">
        <v>3.61</v>
      </c>
      <c r="G14" s="64">
        <v>35.99</v>
      </c>
      <c r="H14" s="64">
        <v>0.06</v>
      </c>
      <c r="I14" s="64">
        <v>4.9400000000000004</v>
      </c>
      <c r="J14" s="64">
        <v>0.28000000000000003</v>
      </c>
      <c r="K14" s="64">
        <v>337.91</v>
      </c>
      <c r="L14" s="64">
        <v>25.89</v>
      </c>
      <c r="M14" s="64">
        <v>102.02</v>
      </c>
      <c r="N14" s="64">
        <v>33.5</v>
      </c>
      <c r="O14" s="64">
        <v>0</v>
      </c>
      <c r="P14" s="64">
        <v>0.41</v>
      </c>
      <c r="Q14" s="64">
        <v>9.83</v>
      </c>
      <c r="R14" s="198"/>
      <c r="S14" s="198"/>
      <c r="T14" s="198"/>
      <c r="U14" s="198"/>
    </row>
    <row r="15" spans="1:21" s="12" customFormat="1" x14ac:dyDescent="0.25">
      <c r="A15" s="248" t="s">
        <v>3035</v>
      </c>
      <c r="B15" s="64">
        <v>7.96</v>
      </c>
      <c r="C15" s="64">
        <v>2.94</v>
      </c>
      <c r="D15" s="64">
        <v>11.7</v>
      </c>
      <c r="E15" s="64">
        <v>3.5</v>
      </c>
      <c r="F15" s="64">
        <v>4.3</v>
      </c>
      <c r="G15" s="64">
        <v>34.630000000000003</v>
      </c>
      <c r="H15" s="64">
        <v>7.88</v>
      </c>
      <c r="I15" s="64">
        <v>5.0599999999999996</v>
      </c>
      <c r="J15" s="64">
        <v>0.44</v>
      </c>
      <c r="K15" s="64">
        <v>331.33</v>
      </c>
      <c r="L15" s="64">
        <v>25.99</v>
      </c>
      <c r="M15" s="64">
        <v>101.99</v>
      </c>
      <c r="N15" s="64">
        <v>33.299999999999997</v>
      </c>
      <c r="O15" s="64">
        <v>0</v>
      </c>
      <c r="P15" s="64">
        <v>0.41</v>
      </c>
      <c r="Q15" s="64">
        <v>9.85</v>
      </c>
      <c r="R15" s="198"/>
      <c r="S15" s="198"/>
      <c r="T15" s="198"/>
      <c r="U15" s="198"/>
    </row>
    <row r="16" spans="1:21" s="12" customFormat="1" x14ac:dyDescent="0.25">
      <c r="A16" s="248" t="s">
        <v>3036</v>
      </c>
      <c r="B16" s="64">
        <v>7.93</v>
      </c>
      <c r="C16" s="64">
        <v>2.98</v>
      </c>
      <c r="D16" s="64">
        <v>11.69</v>
      </c>
      <c r="E16" s="64">
        <v>3.48</v>
      </c>
      <c r="F16" s="64">
        <v>3.25</v>
      </c>
      <c r="G16" s="64">
        <v>33.450000000000003</v>
      </c>
      <c r="H16" s="64">
        <v>14.72</v>
      </c>
      <c r="I16" s="64">
        <v>5.15</v>
      </c>
      <c r="J16" s="64">
        <v>1.03</v>
      </c>
      <c r="K16" s="64">
        <v>333.24</v>
      </c>
      <c r="L16" s="64">
        <v>25.95</v>
      </c>
      <c r="M16" s="64">
        <v>101.95</v>
      </c>
      <c r="N16" s="64">
        <v>33.700000000000003</v>
      </c>
      <c r="O16" s="64">
        <v>0</v>
      </c>
      <c r="P16" s="64">
        <v>0.4</v>
      </c>
      <c r="Q16" s="64">
        <v>9.7899999999999991</v>
      </c>
      <c r="R16" s="198"/>
      <c r="S16" s="198"/>
      <c r="T16" s="198"/>
      <c r="U16" s="198"/>
    </row>
    <row r="17" spans="1:21" s="12" customFormat="1" x14ac:dyDescent="0.25">
      <c r="A17" s="248" t="s">
        <v>3037</v>
      </c>
      <c r="B17" s="64">
        <v>7.91</v>
      </c>
      <c r="C17" s="64">
        <v>2.94</v>
      </c>
      <c r="D17" s="64">
        <v>11.66</v>
      </c>
      <c r="E17" s="64">
        <v>3.56</v>
      </c>
      <c r="F17" s="64">
        <v>3.56</v>
      </c>
      <c r="G17" s="64">
        <v>33.450000000000003</v>
      </c>
      <c r="H17" s="64">
        <v>14.72</v>
      </c>
      <c r="I17" s="64">
        <v>5.01</v>
      </c>
      <c r="J17" s="64">
        <v>0.78</v>
      </c>
      <c r="K17" s="64">
        <v>317.82</v>
      </c>
      <c r="L17" s="64">
        <v>25.41</v>
      </c>
      <c r="M17" s="64">
        <v>101.97</v>
      </c>
      <c r="N17" s="64">
        <v>34.200000000000003</v>
      </c>
      <c r="O17" s="64">
        <v>0</v>
      </c>
      <c r="P17" s="64">
        <v>0.39</v>
      </c>
      <c r="Q17" s="64">
        <v>9.75</v>
      </c>
      <c r="R17" s="198"/>
      <c r="S17" s="198"/>
      <c r="T17" s="198"/>
      <c r="U17" s="198"/>
    </row>
    <row r="18" spans="1:21" s="12" customFormat="1" x14ac:dyDescent="0.25">
      <c r="A18" s="248" t="s">
        <v>3038</v>
      </c>
      <c r="B18" s="64">
        <v>7.95</v>
      </c>
      <c r="C18" s="64">
        <v>2.99</v>
      </c>
      <c r="D18" s="64">
        <v>11.71</v>
      </c>
      <c r="E18" s="64">
        <v>3.33</v>
      </c>
      <c r="F18" s="64">
        <v>4.1500000000000004</v>
      </c>
      <c r="G18" s="64">
        <v>33.450000000000003</v>
      </c>
      <c r="H18" s="64">
        <v>14.72</v>
      </c>
      <c r="I18" s="64">
        <v>4.7699999999999996</v>
      </c>
      <c r="J18" s="64">
        <v>0.31</v>
      </c>
      <c r="K18" s="64">
        <v>311.56</v>
      </c>
      <c r="L18" s="64">
        <v>25.09</v>
      </c>
      <c r="M18" s="64">
        <v>101.99</v>
      </c>
      <c r="N18" s="64">
        <v>34.1</v>
      </c>
      <c r="O18" s="64">
        <v>0</v>
      </c>
      <c r="P18" s="64">
        <v>0.38</v>
      </c>
      <c r="Q18" s="64">
        <v>9.7200000000000006</v>
      </c>
      <c r="R18" s="198"/>
      <c r="S18" s="198"/>
      <c r="T18" s="198"/>
      <c r="U18" s="198"/>
    </row>
    <row r="19" spans="1:21" s="12" customFormat="1" x14ac:dyDescent="0.25">
      <c r="A19" s="248" t="s">
        <v>3039</v>
      </c>
      <c r="B19" s="64">
        <v>7.96</v>
      </c>
      <c r="C19" s="64">
        <v>3.03</v>
      </c>
      <c r="D19" s="64">
        <v>11.74</v>
      </c>
      <c r="E19" s="64">
        <v>3.5</v>
      </c>
      <c r="F19" s="64">
        <v>3.03</v>
      </c>
      <c r="G19" s="64">
        <v>29.65</v>
      </c>
      <c r="H19" s="212" t="s">
        <v>42</v>
      </c>
      <c r="I19" s="64">
        <v>4.34</v>
      </c>
      <c r="J19" s="64">
        <v>0.22</v>
      </c>
      <c r="K19" s="64">
        <v>321.82</v>
      </c>
      <c r="L19" s="64">
        <v>24.96</v>
      </c>
      <c r="M19" s="64">
        <v>101.98</v>
      </c>
      <c r="N19" s="64">
        <v>33.6</v>
      </c>
      <c r="O19" s="64">
        <v>0</v>
      </c>
      <c r="P19" s="64">
        <v>0.36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48" t="s">
        <v>3040</v>
      </c>
      <c r="B20" s="64">
        <v>7.94</v>
      </c>
      <c r="C20" s="64">
        <v>2.96</v>
      </c>
      <c r="D20" s="64">
        <v>11.69</v>
      </c>
      <c r="E20" s="64">
        <v>3.33</v>
      </c>
      <c r="F20" s="64">
        <v>3.84</v>
      </c>
      <c r="G20" s="64">
        <v>26.34</v>
      </c>
      <c r="H20" s="212" t="s">
        <v>42</v>
      </c>
      <c r="I20" s="64">
        <v>3.95</v>
      </c>
      <c r="J20" s="64">
        <v>0.12</v>
      </c>
      <c r="K20" s="64">
        <v>348.97</v>
      </c>
      <c r="L20" s="64">
        <v>24.77</v>
      </c>
      <c r="M20" s="64">
        <v>101.98</v>
      </c>
      <c r="N20" s="64">
        <v>33.6</v>
      </c>
      <c r="O20" s="64">
        <v>0</v>
      </c>
      <c r="P20" s="64">
        <v>0.35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48" t="s">
        <v>3041</v>
      </c>
      <c r="B21" s="64">
        <v>7.91</v>
      </c>
      <c r="C21" s="64">
        <v>2.94</v>
      </c>
      <c r="D21" s="64">
        <v>11.66</v>
      </c>
      <c r="E21" s="64">
        <v>3.18</v>
      </c>
      <c r="F21" s="64">
        <v>3.41</v>
      </c>
      <c r="G21" s="64">
        <v>26.34</v>
      </c>
      <c r="H21" s="212" t="s">
        <v>42</v>
      </c>
      <c r="I21" s="64">
        <v>3.63</v>
      </c>
      <c r="J21" s="64">
        <v>0.1</v>
      </c>
      <c r="K21" s="64">
        <v>344.24</v>
      </c>
      <c r="L21" s="64">
        <v>24.77</v>
      </c>
      <c r="M21" s="64">
        <v>101.98</v>
      </c>
      <c r="N21" s="64">
        <v>33.6</v>
      </c>
      <c r="O21" s="64">
        <v>0</v>
      </c>
      <c r="P21" s="64">
        <v>0.33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48" t="s">
        <v>3042</v>
      </c>
      <c r="B22" s="64">
        <v>7.93</v>
      </c>
      <c r="C22" s="64">
        <v>2.95</v>
      </c>
      <c r="D22" s="64">
        <v>11.68</v>
      </c>
      <c r="E22" s="64">
        <v>3.58</v>
      </c>
      <c r="F22" s="64">
        <v>3.02</v>
      </c>
      <c r="G22" s="64">
        <v>26.34</v>
      </c>
      <c r="H22" s="212" t="s">
        <v>42</v>
      </c>
      <c r="I22" s="64">
        <v>3.47</v>
      </c>
      <c r="J22" s="64">
        <v>0.61</v>
      </c>
      <c r="K22" s="64">
        <v>342.12</v>
      </c>
      <c r="L22" s="64">
        <v>24.82</v>
      </c>
      <c r="M22" s="64">
        <v>101.98</v>
      </c>
      <c r="N22" s="64">
        <v>33.299999999999997</v>
      </c>
      <c r="O22" s="64">
        <v>0</v>
      </c>
      <c r="P22" s="64">
        <v>0.33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48" t="s">
        <v>3043</v>
      </c>
      <c r="B23" s="64">
        <v>7.94</v>
      </c>
      <c r="C23" s="64">
        <v>2.93</v>
      </c>
      <c r="D23" s="64">
        <v>11.67</v>
      </c>
      <c r="E23" s="64">
        <v>3.56</v>
      </c>
      <c r="F23" s="64">
        <v>3.6</v>
      </c>
      <c r="G23" s="64">
        <v>25.17</v>
      </c>
      <c r="H23" s="212" t="s">
        <v>42</v>
      </c>
      <c r="I23" s="64">
        <v>3.3</v>
      </c>
      <c r="J23" s="64">
        <v>0.68</v>
      </c>
      <c r="K23" s="64">
        <v>333.99</v>
      </c>
      <c r="L23" s="64">
        <v>24.95</v>
      </c>
      <c r="M23" s="64">
        <v>101.98</v>
      </c>
      <c r="N23" s="64">
        <v>33.4</v>
      </c>
      <c r="O23" s="64">
        <v>0</v>
      </c>
      <c r="P23" s="64">
        <v>0.33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48" t="s">
        <v>3044</v>
      </c>
      <c r="B24" s="64">
        <v>7.95</v>
      </c>
      <c r="C24" s="64">
        <v>2.95</v>
      </c>
      <c r="D24" s="64">
        <v>11.69</v>
      </c>
      <c r="E24" s="64">
        <v>4.66</v>
      </c>
      <c r="F24" s="64">
        <v>3.54</v>
      </c>
      <c r="G24" s="64">
        <v>24.15</v>
      </c>
      <c r="H24" s="212" t="s">
        <v>42</v>
      </c>
      <c r="I24" s="64">
        <v>3.23</v>
      </c>
      <c r="J24" s="64">
        <v>0.89</v>
      </c>
      <c r="K24" s="64">
        <v>336.33</v>
      </c>
      <c r="L24" s="64">
        <v>25.01</v>
      </c>
      <c r="M24" s="64">
        <v>101.98</v>
      </c>
      <c r="N24" s="64">
        <v>33.5</v>
      </c>
      <c r="O24" s="64">
        <v>0</v>
      </c>
      <c r="P24" s="64">
        <v>0.31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48" t="s">
        <v>3045</v>
      </c>
      <c r="B25" s="64">
        <v>7.96</v>
      </c>
      <c r="C25" s="64">
        <v>2.98</v>
      </c>
      <c r="D25" s="64">
        <v>11.71</v>
      </c>
      <c r="E25" s="64">
        <v>4.3099999999999996</v>
      </c>
      <c r="F25" s="64">
        <v>3.87</v>
      </c>
      <c r="G25" s="64">
        <v>24.15</v>
      </c>
      <c r="H25" s="212" t="s">
        <v>42</v>
      </c>
      <c r="I25" s="64">
        <v>3.13</v>
      </c>
      <c r="J25" s="64">
        <v>0.81</v>
      </c>
      <c r="K25" s="64">
        <v>338.31</v>
      </c>
      <c r="L25" s="64">
        <v>24.96</v>
      </c>
      <c r="M25" s="64">
        <v>101.98</v>
      </c>
      <c r="N25" s="64">
        <v>33.6</v>
      </c>
      <c r="O25" s="64">
        <v>0</v>
      </c>
      <c r="P25" s="64">
        <v>0.3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48" t="s">
        <v>3046</v>
      </c>
      <c r="B26" s="64">
        <v>7.99</v>
      </c>
      <c r="C26" s="64">
        <v>2.99</v>
      </c>
      <c r="D26" s="64">
        <v>11.74</v>
      </c>
      <c r="E26" s="64">
        <v>4.47</v>
      </c>
      <c r="F26" s="64">
        <v>3.92</v>
      </c>
      <c r="G26" s="64">
        <v>24.15</v>
      </c>
      <c r="H26" s="212" t="s">
        <v>42</v>
      </c>
      <c r="I26" s="64">
        <v>3.01</v>
      </c>
      <c r="J26" s="64">
        <v>0.56999999999999995</v>
      </c>
      <c r="K26" s="64">
        <v>325.56</v>
      </c>
      <c r="L26" s="64">
        <v>25.02</v>
      </c>
      <c r="M26" s="64">
        <v>101.98</v>
      </c>
      <c r="N26" s="64">
        <v>33.6</v>
      </c>
      <c r="O26" s="64">
        <v>0</v>
      </c>
      <c r="P26" s="64">
        <v>0.3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48" t="s">
        <v>3047</v>
      </c>
      <c r="B27" s="64">
        <v>7.99</v>
      </c>
      <c r="C27" s="64">
        <v>2.98</v>
      </c>
      <c r="D27" s="64">
        <v>11.74</v>
      </c>
      <c r="E27" s="64">
        <v>4.01</v>
      </c>
      <c r="F27" s="64">
        <v>3.39</v>
      </c>
      <c r="G27" s="64">
        <v>22.19</v>
      </c>
      <c r="H27" s="212" t="s">
        <v>42</v>
      </c>
      <c r="I27" s="64">
        <v>2.78</v>
      </c>
      <c r="J27" s="64">
        <v>0.72</v>
      </c>
      <c r="K27" s="64">
        <v>335.55</v>
      </c>
      <c r="L27" s="64">
        <v>24.99</v>
      </c>
      <c r="M27" s="64">
        <v>101.98</v>
      </c>
      <c r="N27" s="64">
        <v>33.6</v>
      </c>
      <c r="O27" s="64">
        <v>0</v>
      </c>
      <c r="P27" s="64">
        <v>0.3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48" t="s">
        <v>3048</v>
      </c>
      <c r="B28" s="64">
        <v>7.98</v>
      </c>
      <c r="C28" s="64">
        <v>3</v>
      </c>
      <c r="D28" s="64">
        <v>11.74</v>
      </c>
      <c r="E28" s="64">
        <v>3.89</v>
      </c>
      <c r="F28" s="64">
        <v>3.54</v>
      </c>
      <c r="G28" s="64">
        <v>20.47</v>
      </c>
      <c r="H28" s="212" t="s">
        <v>42</v>
      </c>
      <c r="I28" s="64">
        <v>2.95</v>
      </c>
      <c r="J28" s="64">
        <v>0.6</v>
      </c>
      <c r="K28" s="64">
        <v>337.33</v>
      </c>
      <c r="L28" s="64">
        <v>24.89</v>
      </c>
      <c r="M28" s="64">
        <v>101.98</v>
      </c>
      <c r="N28" s="64">
        <v>33.6</v>
      </c>
      <c r="O28" s="64">
        <v>0</v>
      </c>
      <c r="P28" s="64">
        <v>0.31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48" t="s">
        <v>3049</v>
      </c>
      <c r="B29" s="64">
        <v>7.99</v>
      </c>
      <c r="C29" s="64">
        <v>2.98</v>
      </c>
      <c r="D29" s="64">
        <v>11.73</v>
      </c>
      <c r="E29" s="64">
        <v>4.04</v>
      </c>
      <c r="F29" s="64">
        <v>3.29</v>
      </c>
      <c r="G29" s="64">
        <v>20.47</v>
      </c>
      <c r="H29" s="212" t="s">
        <v>42</v>
      </c>
      <c r="I29" s="64">
        <v>2.93</v>
      </c>
      <c r="J29" s="64">
        <v>0.49</v>
      </c>
      <c r="K29" s="64">
        <v>340.17</v>
      </c>
      <c r="L29" s="64">
        <v>24.88</v>
      </c>
      <c r="M29" s="64">
        <v>101.98</v>
      </c>
      <c r="N29" s="64">
        <v>33.5</v>
      </c>
      <c r="O29" s="64">
        <v>0</v>
      </c>
      <c r="P29" s="64">
        <v>0.31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48" t="s">
        <v>3050</v>
      </c>
      <c r="B30" s="64">
        <v>7.98</v>
      </c>
      <c r="C30" s="64">
        <v>3</v>
      </c>
      <c r="D30" s="64">
        <v>11.74</v>
      </c>
      <c r="E30" s="64">
        <v>4.6900000000000004</v>
      </c>
      <c r="F30" s="64">
        <v>3.35</v>
      </c>
      <c r="G30" s="64">
        <v>20.47</v>
      </c>
      <c r="H30" s="212" t="s">
        <v>42</v>
      </c>
      <c r="I30" s="64">
        <v>2.97</v>
      </c>
      <c r="J30" s="64">
        <v>0.45</v>
      </c>
      <c r="K30" s="64">
        <v>342.75</v>
      </c>
      <c r="L30" s="64">
        <v>24.8</v>
      </c>
      <c r="M30" s="64">
        <v>101.98</v>
      </c>
      <c r="N30" s="64">
        <v>33.5</v>
      </c>
      <c r="O30" s="64">
        <v>0</v>
      </c>
      <c r="P30" s="64">
        <v>0.33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48" t="s">
        <v>3051</v>
      </c>
      <c r="B31" s="64">
        <v>7.97</v>
      </c>
      <c r="C31" s="64">
        <v>2.98</v>
      </c>
      <c r="D31" s="64">
        <v>11.72</v>
      </c>
      <c r="E31" s="64">
        <v>4.5999999999999996</v>
      </c>
      <c r="F31" s="64">
        <v>3.48</v>
      </c>
      <c r="G31" s="64">
        <v>30.96</v>
      </c>
      <c r="H31" s="212" t="s">
        <v>42</v>
      </c>
      <c r="I31" s="64">
        <v>2.89</v>
      </c>
      <c r="J31" s="64">
        <v>0.15</v>
      </c>
      <c r="K31" s="64">
        <v>90.23</v>
      </c>
      <c r="L31" s="64">
        <v>24.72</v>
      </c>
      <c r="M31" s="64">
        <v>102</v>
      </c>
      <c r="N31" s="64">
        <v>34.9</v>
      </c>
      <c r="O31" s="64">
        <v>0</v>
      </c>
      <c r="P31" s="64">
        <v>0.34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48" t="s">
        <v>3052</v>
      </c>
      <c r="B32" s="64">
        <v>7.98</v>
      </c>
      <c r="C32" s="64">
        <v>3.01</v>
      </c>
      <c r="D32" s="64">
        <v>11.74</v>
      </c>
      <c r="E32" s="64">
        <v>4.51</v>
      </c>
      <c r="F32" s="64">
        <v>3.63</v>
      </c>
      <c r="G32" s="64">
        <v>40.130000000000003</v>
      </c>
      <c r="H32" s="212" t="s">
        <v>42</v>
      </c>
      <c r="I32" s="64">
        <v>3.08</v>
      </c>
      <c r="J32" s="64">
        <v>0.38</v>
      </c>
      <c r="K32" s="64">
        <v>339.92</v>
      </c>
      <c r="L32" s="64">
        <v>24.71</v>
      </c>
      <c r="M32" s="64">
        <v>102</v>
      </c>
      <c r="N32" s="64">
        <v>42.1</v>
      </c>
      <c r="O32" s="64">
        <v>0</v>
      </c>
      <c r="P32" s="64">
        <v>0.36</v>
      </c>
      <c r="Q32" s="64">
        <v>9.76</v>
      </c>
      <c r="R32" s="198"/>
      <c r="S32" s="198"/>
      <c r="T32" s="198"/>
      <c r="U32" s="198"/>
    </row>
    <row r="33" spans="1:21" s="12" customFormat="1" x14ac:dyDescent="0.25">
      <c r="A33" s="248" t="s">
        <v>3053</v>
      </c>
      <c r="B33" s="64">
        <v>7.94</v>
      </c>
      <c r="C33" s="64">
        <v>2.96</v>
      </c>
      <c r="D33" s="64">
        <v>11.69</v>
      </c>
      <c r="E33" s="64">
        <v>4.1399999999999997</v>
      </c>
      <c r="F33" s="64">
        <v>3.63</v>
      </c>
      <c r="G33" s="64">
        <v>40.130000000000003</v>
      </c>
      <c r="H33" s="212" t="s">
        <v>42</v>
      </c>
      <c r="I33" s="64">
        <v>3.27</v>
      </c>
      <c r="J33" s="64">
        <v>0.04</v>
      </c>
      <c r="K33" s="64">
        <v>41.03</v>
      </c>
      <c r="L33" s="64">
        <v>24.88</v>
      </c>
      <c r="M33" s="64">
        <v>101.99</v>
      </c>
      <c r="N33" s="64">
        <v>54.6</v>
      </c>
      <c r="O33" s="64">
        <v>0</v>
      </c>
      <c r="P33" s="64">
        <v>0.38</v>
      </c>
      <c r="Q33" s="64">
        <v>9.76</v>
      </c>
      <c r="R33" s="198"/>
      <c r="S33" s="198"/>
      <c r="T33" s="198"/>
      <c r="U33" s="198"/>
    </row>
    <row r="34" spans="1:21" s="12" customFormat="1" x14ac:dyDescent="0.25">
      <c r="A34" s="248" t="s">
        <v>3054</v>
      </c>
      <c r="B34" s="64">
        <v>7.96</v>
      </c>
      <c r="C34" s="64">
        <v>2.98</v>
      </c>
      <c r="D34" s="64">
        <v>11.71</v>
      </c>
      <c r="E34" s="64">
        <v>4.5599999999999996</v>
      </c>
      <c r="F34" s="64">
        <v>3.15</v>
      </c>
      <c r="G34" s="64">
        <v>40.130000000000003</v>
      </c>
      <c r="H34" s="212" t="s">
        <v>42</v>
      </c>
      <c r="I34" s="64">
        <v>3.39</v>
      </c>
      <c r="J34" s="64">
        <v>0.1</v>
      </c>
      <c r="K34" s="64">
        <v>72.290000000000006</v>
      </c>
      <c r="L34" s="64">
        <v>25.14</v>
      </c>
      <c r="M34" s="64">
        <v>101.98</v>
      </c>
      <c r="N34" s="64">
        <v>78.900000000000006</v>
      </c>
      <c r="O34" s="64">
        <v>0</v>
      </c>
      <c r="P34" s="64">
        <v>0.4</v>
      </c>
      <c r="Q34" s="64">
        <v>9.77</v>
      </c>
      <c r="R34" s="198"/>
      <c r="S34" s="198"/>
      <c r="T34" s="198"/>
      <c r="U34" s="198"/>
    </row>
    <row r="35" spans="1:21" s="12" customFormat="1" x14ac:dyDescent="0.25">
      <c r="A35" s="248" t="s">
        <v>3055</v>
      </c>
      <c r="B35" s="64">
        <v>7.94</v>
      </c>
      <c r="C35" s="64">
        <v>3</v>
      </c>
      <c r="D35" s="64">
        <v>11.71</v>
      </c>
      <c r="E35" s="64">
        <v>4.46</v>
      </c>
      <c r="F35" s="64">
        <v>3.79</v>
      </c>
      <c r="G35" s="64">
        <v>53.84</v>
      </c>
      <c r="H35" s="212" t="s">
        <v>42</v>
      </c>
      <c r="I35" s="64">
        <v>3.46</v>
      </c>
      <c r="J35" s="64">
        <v>0.56000000000000005</v>
      </c>
      <c r="K35" s="64">
        <v>336.35</v>
      </c>
      <c r="L35" s="64">
        <v>25.98</v>
      </c>
      <c r="M35" s="64">
        <v>101.95</v>
      </c>
      <c r="N35" s="64">
        <v>110.6</v>
      </c>
      <c r="O35" s="64">
        <v>0</v>
      </c>
      <c r="P35" s="64">
        <v>0.41</v>
      </c>
      <c r="Q35" s="64">
        <v>9.7899999999999991</v>
      </c>
      <c r="R35" s="198"/>
      <c r="S35" s="198"/>
      <c r="T35" s="198"/>
      <c r="U35" s="198"/>
    </row>
    <row r="36" spans="1:21" s="12" customFormat="1" x14ac:dyDescent="0.25">
      <c r="A36" s="248" t="s">
        <v>3056</v>
      </c>
      <c r="B36" s="64">
        <v>7.93</v>
      </c>
      <c r="C36" s="64">
        <v>3.02</v>
      </c>
      <c r="D36" s="64">
        <v>11.71</v>
      </c>
      <c r="E36" s="64">
        <v>4.38</v>
      </c>
      <c r="F36" s="64">
        <v>3.58</v>
      </c>
      <c r="G36" s="64">
        <v>65.84</v>
      </c>
      <c r="H36" s="212" t="s">
        <v>42</v>
      </c>
      <c r="I36" s="64">
        <v>3.55</v>
      </c>
      <c r="J36" s="64">
        <v>0.77</v>
      </c>
      <c r="K36" s="64">
        <v>337.75</v>
      </c>
      <c r="L36" s="64">
        <v>27.13</v>
      </c>
      <c r="M36" s="64">
        <v>100.99</v>
      </c>
      <c r="N36" s="64">
        <v>158.19999999999999</v>
      </c>
      <c r="O36" s="64">
        <v>0</v>
      </c>
      <c r="P36" s="64">
        <v>0.44</v>
      </c>
      <c r="Q36" s="64">
        <v>9.7899999999999991</v>
      </c>
      <c r="R36" s="198"/>
      <c r="S36" s="198"/>
      <c r="T36" s="198"/>
      <c r="U36" s="198"/>
    </row>
    <row r="37" spans="1:21" s="12" customFormat="1" x14ac:dyDescent="0.25">
      <c r="A37" s="248" t="s">
        <v>3057</v>
      </c>
      <c r="B37" s="64">
        <v>7.92</v>
      </c>
      <c r="C37" s="64">
        <v>3</v>
      </c>
      <c r="D37" s="64">
        <v>11.69</v>
      </c>
      <c r="E37" s="64">
        <v>4.72</v>
      </c>
      <c r="F37" s="64">
        <v>2.88</v>
      </c>
      <c r="G37" s="64">
        <v>65.84</v>
      </c>
      <c r="H37" s="212" t="s">
        <v>42</v>
      </c>
      <c r="I37" s="64">
        <v>3.64</v>
      </c>
      <c r="J37" s="64">
        <v>0.78</v>
      </c>
      <c r="K37" s="64">
        <v>338.83</v>
      </c>
      <c r="L37" s="64">
        <v>27.9</v>
      </c>
      <c r="M37" s="64">
        <v>97.97</v>
      </c>
      <c r="N37" s="64">
        <v>134.69999999999999</v>
      </c>
      <c r="O37" s="64">
        <v>0</v>
      </c>
      <c r="P37" s="64">
        <v>0.46</v>
      </c>
      <c r="Q37" s="64">
        <v>9.86</v>
      </c>
      <c r="R37" s="198"/>
      <c r="S37" s="198"/>
      <c r="T37" s="198"/>
      <c r="U37" s="198"/>
    </row>
    <row r="38" spans="1:21" s="12" customFormat="1" x14ac:dyDescent="0.25">
      <c r="A38" s="248" t="s">
        <v>3058</v>
      </c>
      <c r="B38" s="64">
        <v>7.97</v>
      </c>
      <c r="C38" s="64">
        <v>3.02</v>
      </c>
      <c r="D38" s="64">
        <v>11.74</v>
      </c>
      <c r="E38" s="64">
        <v>4.84</v>
      </c>
      <c r="F38" s="64">
        <v>3.17</v>
      </c>
      <c r="G38" s="64">
        <v>65.84</v>
      </c>
      <c r="H38" s="212" t="s">
        <v>42</v>
      </c>
      <c r="I38" s="64">
        <v>3.66</v>
      </c>
      <c r="J38" s="64">
        <v>0.94</v>
      </c>
      <c r="K38" s="64">
        <v>338.23</v>
      </c>
      <c r="L38" s="64">
        <v>27.51</v>
      </c>
      <c r="M38" s="64">
        <v>101.16</v>
      </c>
      <c r="N38" s="64">
        <v>124.1</v>
      </c>
      <c r="O38" s="64">
        <v>0</v>
      </c>
      <c r="P38" s="64">
        <v>0.51</v>
      </c>
      <c r="Q38" s="64">
        <v>9.8699999999999992</v>
      </c>
      <c r="R38" s="198"/>
      <c r="S38" s="198"/>
      <c r="T38" s="198"/>
      <c r="U38" s="198"/>
    </row>
    <row r="39" spans="1:21" s="12" customFormat="1" x14ac:dyDescent="0.25">
      <c r="A39" s="248" t="s">
        <v>3059</v>
      </c>
      <c r="B39" s="64">
        <v>7.97</v>
      </c>
      <c r="C39" s="64">
        <v>3.02</v>
      </c>
      <c r="D39" s="64">
        <v>11.75</v>
      </c>
      <c r="E39" s="64">
        <v>4.71</v>
      </c>
      <c r="F39" s="64">
        <v>3.71</v>
      </c>
      <c r="G39" s="64">
        <v>78.44</v>
      </c>
      <c r="H39" s="212" t="s">
        <v>42</v>
      </c>
      <c r="I39" s="64">
        <v>3.69</v>
      </c>
      <c r="J39" s="64">
        <v>0.44</v>
      </c>
      <c r="K39" s="64">
        <v>342.22</v>
      </c>
      <c r="L39" s="64">
        <v>27.26</v>
      </c>
      <c r="M39" s="64">
        <v>101.93</v>
      </c>
      <c r="N39" s="64">
        <v>139.69999999999999</v>
      </c>
      <c r="O39" s="64">
        <v>0</v>
      </c>
      <c r="P39" s="64">
        <v>0.52</v>
      </c>
      <c r="Q39" s="64">
        <v>9.91</v>
      </c>
      <c r="R39" s="198"/>
      <c r="S39" s="198"/>
      <c r="T39" s="198"/>
      <c r="U39" s="198"/>
    </row>
    <row r="40" spans="1:21" s="12" customFormat="1" x14ac:dyDescent="0.25">
      <c r="A40" s="248" t="s">
        <v>3060</v>
      </c>
      <c r="B40" s="64">
        <v>7.94</v>
      </c>
      <c r="C40" s="64">
        <v>2.98</v>
      </c>
      <c r="D40" s="64">
        <v>11.7</v>
      </c>
      <c r="E40" s="64">
        <v>4.1399999999999997</v>
      </c>
      <c r="F40" s="64">
        <v>3.13</v>
      </c>
      <c r="G40" s="64">
        <v>89.46</v>
      </c>
      <c r="H40" s="212" t="s">
        <v>42</v>
      </c>
      <c r="I40" s="64">
        <v>3.69</v>
      </c>
      <c r="J40" s="64">
        <v>0.48</v>
      </c>
      <c r="K40" s="64">
        <v>114.26</v>
      </c>
      <c r="L40" s="64">
        <v>26.69</v>
      </c>
      <c r="M40" s="64">
        <v>101.95</v>
      </c>
      <c r="N40" s="64">
        <v>204.7</v>
      </c>
      <c r="O40" s="64">
        <v>0</v>
      </c>
      <c r="P40" s="64">
        <v>0.53</v>
      </c>
      <c r="Q40" s="64">
        <v>9.9499999999999993</v>
      </c>
      <c r="R40" s="198"/>
      <c r="S40" s="198"/>
      <c r="T40" s="198"/>
      <c r="U40" s="198"/>
    </row>
    <row r="41" spans="1:21" s="12" customFormat="1" x14ac:dyDescent="0.25">
      <c r="A41" s="248" t="s">
        <v>3061</v>
      </c>
      <c r="B41" s="64">
        <v>8</v>
      </c>
      <c r="C41" s="64">
        <v>3.03</v>
      </c>
      <c r="D41" s="64">
        <v>11.77</v>
      </c>
      <c r="E41" s="64">
        <v>4.46</v>
      </c>
      <c r="F41" s="64">
        <v>3.59</v>
      </c>
      <c r="G41" s="64">
        <v>89.46</v>
      </c>
      <c r="H41" s="212" t="s">
        <v>42</v>
      </c>
      <c r="I41" s="64">
        <v>3.68</v>
      </c>
      <c r="J41" s="64">
        <v>0.41</v>
      </c>
      <c r="K41" s="64">
        <v>338.95</v>
      </c>
      <c r="L41" s="64">
        <v>27.68</v>
      </c>
      <c r="M41" s="64">
        <v>101.27</v>
      </c>
      <c r="N41" s="64">
        <v>234</v>
      </c>
      <c r="O41" s="64">
        <v>0</v>
      </c>
      <c r="P41" s="64">
        <v>0.52</v>
      </c>
      <c r="Q41" s="64">
        <v>9.9499999999999993</v>
      </c>
      <c r="R41" s="198"/>
      <c r="S41" s="198"/>
      <c r="T41" s="198"/>
      <c r="U41" s="198"/>
    </row>
    <row r="42" spans="1:21" s="12" customFormat="1" x14ac:dyDescent="0.25">
      <c r="A42" s="248" t="s">
        <v>3062</v>
      </c>
      <c r="B42" s="64">
        <v>8.11</v>
      </c>
      <c r="C42" s="64">
        <v>3.21</v>
      </c>
      <c r="D42" s="64">
        <v>11.95</v>
      </c>
      <c r="E42" s="64">
        <v>4.43</v>
      </c>
      <c r="F42" s="64">
        <v>3.55</v>
      </c>
      <c r="G42" s="64">
        <v>89.46</v>
      </c>
      <c r="H42" s="212" t="s">
        <v>42</v>
      </c>
      <c r="I42" s="64">
        <v>3.93</v>
      </c>
      <c r="J42" s="64">
        <v>0.4</v>
      </c>
      <c r="K42" s="64">
        <v>343.43</v>
      </c>
      <c r="L42" s="64">
        <v>28.53</v>
      </c>
      <c r="M42" s="64">
        <v>97.8</v>
      </c>
      <c r="N42" s="64">
        <v>195.1</v>
      </c>
      <c r="O42" s="64">
        <v>0</v>
      </c>
      <c r="P42" s="64">
        <v>0.53</v>
      </c>
      <c r="Q42" s="64">
        <v>9.98</v>
      </c>
      <c r="R42" s="198"/>
      <c r="S42" s="198"/>
      <c r="T42" s="198"/>
      <c r="U42" s="198"/>
    </row>
    <row r="43" spans="1:21" s="12" customFormat="1" x14ac:dyDescent="0.25">
      <c r="A43" s="248" t="s">
        <v>3063</v>
      </c>
      <c r="B43" s="64">
        <v>8.11</v>
      </c>
      <c r="C43" s="64">
        <v>3.16</v>
      </c>
      <c r="D43" s="64">
        <v>11.92</v>
      </c>
      <c r="E43" s="64">
        <v>4.26</v>
      </c>
      <c r="F43" s="64">
        <v>3.38</v>
      </c>
      <c r="G43" s="64">
        <v>87.96</v>
      </c>
      <c r="H43" s="64">
        <v>63.78</v>
      </c>
      <c r="I43" s="64">
        <v>4.28</v>
      </c>
      <c r="J43" s="64">
        <v>0.87</v>
      </c>
      <c r="K43" s="64">
        <v>112.86</v>
      </c>
      <c r="L43" s="64">
        <v>27.71</v>
      </c>
      <c r="M43" s="64">
        <v>100.55</v>
      </c>
      <c r="N43" s="64">
        <v>209.5</v>
      </c>
      <c r="O43" s="64">
        <v>0</v>
      </c>
      <c r="P43" s="64">
        <v>0.53</v>
      </c>
      <c r="Q43" s="64">
        <v>10.029999999999999</v>
      </c>
      <c r="R43" s="198"/>
      <c r="S43" s="198"/>
      <c r="T43" s="198"/>
      <c r="U43" s="198"/>
    </row>
    <row r="44" spans="1:21" s="12" customFormat="1" x14ac:dyDescent="0.25">
      <c r="A44" s="248" t="s">
        <v>3064</v>
      </c>
      <c r="B44" s="64">
        <v>8.06</v>
      </c>
      <c r="C44" s="64">
        <v>3.08</v>
      </c>
      <c r="D44" s="64">
        <v>11.85</v>
      </c>
      <c r="E44" s="64">
        <v>4.41</v>
      </c>
      <c r="F44" s="64">
        <v>3.38</v>
      </c>
      <c r="G44" s="64">
        <v>86.65</v>
      </c>
      <c r="H44" s="64">
        <v>1.21</v>
      </c>
      <c r="I44" s="64">
        <v>4.72</v>
      </c>
      <c r="J44" s="64">
        <v>0.41</v>
      </c>
      <c r="K44" s="64">
        <v>112.04</v>
      </c>
      <c r="L44" s="64">
        <v>27.79</v>
      </c>
      <c r="M44" s="64">
        <v>100.02</v>
      </c>
      <c r="N44" s="64">
        <v>211.7</v>
      </c>
      <c r="O44" s="64">
        <v>0</v>
      </c>
      <c r="P44" s="64">
        <v>0.52</v>
      </c>
      <c r="Q44" s="64">
        <v>10.06</v>
      </c>
      <c r="R44" s="198"/>
      <c r="S44" s="198"/>
      <c r="T44" s="198"/>
      <c r="U44" s="198"/>
    </row>
    <row r="45" spans="1:21" s="12" customFormat="1" x14ac:dyDescent="0.25">
      <c r="A45" s="248" t="s">
        <v>3065</v>
      </c>
      <c r="B45" s="64">
        <v>8.06</v>
      </c>
      <c r="C45" s="64">
        <v>3.09</v>
      </c>
      <c r="D45" s="64">
        <v>11.85</v>
      </c>
      <c r="E45" s="64">
        <v>4.49</v>
      </c>
      <c r="F45" s="64">
        <v>3.45</v>
      </c>
      <c r="G45" s="64">
        <v>86.65</v>
      </c>
      <c r="H45" s="64">
        <v>1.21</v>
      </c>
      <c r="I45" s="64">
        <v>4.97</v>
      </c>
      <c r="J45" s="64">
        <v>0.32</v>
      </c>
      <c r="K45" s="64">
        <v>102.96</v>
      </c>
      <c r="L45" s="64">
        <v>28.14</v>
      </c>
      <c r="M45" s="64">
        <v>98.47</v>
      </c>
      <c r="N45" s="64">
        <v>202.6</v>
      </c>
      <c r="O45" s="64">
        <v>0</v>
      </c>
      <c r="P45" s="64">
        <v>0.52</v>
      </c>
      <c r="Q45" s="64">
        <v>10.07</v>
      </c>
      <c r="R45" s="198"/>
      <c r="S45" s="198"/>
      <c r="T45" s="198"/>
      <c r="U45" s="198"/>
    </row>
    <row r="46" spans="1:21" s="12" customFormat="1" x14ac:dyDescent="0.25">
      <c r="A46" s="248" t="s">
        <v>3066</v>
      </c>
      <c r="B46" s="64">
        <v>8.06</v>
      </c>
      <c r="C46" s="64">
        <v>3.13</v>
      </c>
      <c r="D46" s="64">
        <v>11.87</v>
      </c>
      <c r="E46" s="64">
        <v>4.6900000000000004</v>
      </c>
      <c r="F46" s="64">
        <v>3.36</v>
      </c>
      <c r="G46" s="64">
        <v>86.65</v>
      </c>
      <c r="H46" s="64">
        <v>1.21</v>
      </c>
      <c r="I46" s="64">
        <v>5.43</v>
      </c>
      <c r="J46" s="64">
        <v>0.68</v>
      </c>
      <c r="K46" s="64">
        <v>113.24</v>
      </c>
      <c r="L46" s="64">
        <v>28.17</v>
      </c>
      <c r="M46" s="64">
        <v>96.34</v>
      </c>
      <c r="N46" s="64">
        <v>191.2</v>
      </c>
      <c r="O46" s="64">
        <v>0</v>
      </c>
      <c r="P46" s="64">
        <v>0.53</v>
      </c>
      <c r="Q46" s="64">
        <v>10.07</v>
      </c>
      <c r="R46" s="198"/>
      <c r="S46" s="198"/>
      <c r="T46" s="198"/>
      <c r="U46" s="198"/>
    </row>
    <row r="47" spans="1:21" s="12" customFormat="1" x14ac:dyDescent="0.25">
      <c r="A47" s="248" t="s">
        <v>3067</v>
      </c>
      <c r="B47" s="64">
        <v>8.0399999999999991</v>
      </c>
      <c r="C47" s="64">
        <v>3.08</v>
      </c>
      <c r="D47" s="64">
        <v>11.84</v>
      </c>
      <c r="E47" s="64">
        <v>4.7699999999999996</v>
      </c>
      <c r="F47" s="64">
        <v>3.47</v>
      </c>
      <c r="G47" s="64">
        <v>76.87</v>
      </c>
      <c r="H47" s="64">
        <v>3.93</v>
      </c>
      <c r="I47" s="64">
        <v>5.7</v>
      </c>
      <c r="J47" s="64">
        <v>0.92</v>
      </c>
      <c r="K47" s="64">
        <v>115.66</v>
      </c>
      <c r="L47" s="64">
        <v>28.41</v>
      </c>
      <c r="M47" s="64">
        <v>95.33</v>
      </c>
      <c r="N47" s="64">
        <v>423.6</v>
      </c>
      <c r="O47" s="64">
        <v>0</v>
      </c>
      <c r="P47" s="64">
        <v>0.51</v>
      </c>
      <c r="Q47" s="64">
        <v>10.1</v>
      </c>
      <c r="R47" s="198"/>
      <c r="S47" s="198"/>
      <c r="T47" s="198"/>
      <c r="U47" s="198"/>
    </row>
    <row r="48" spans="1:21" s="12" customFormat="1" x14ac:dyDescent="0.25">
      <c r="A48" s="248" t="s">
        <v>3068</v>
      </c>
      <c r="B48" s="64">
        <v>7.99</v>
      </c>
      <c r="C48" s="64">
        <v>3.02</v>
      </c>
      <c r="D48" s="64">
        <v>11.76</v>
      </c>
      <c r="E48" s="64">
        <v>4.4800000000000004</v>
      </c>
      <c r="F48" s="64">
        <v>3.47</v>
      </c>
      <c r="G48" s="64">
        <v>68.319999999999993</v>
      </c>
      <c r="H48" s="64">
        <v>6.3</v>
      </c>
      <c r="I48" s="64">
        <v>5.93</v>
      </c>
      <c r="J48" s="64">
        <v>0.87</v>
      </c>
      <c r="K48" s="64">
        <v>112.74</v>
      </c>
      <c r="L48" s="64">
        <v>29.22</v>
      </c>
      <c r="M48" s="64">
        <v>91.2</v>
      </c>
      <c r="N48" s="64">
        <v>453.4</v>
      </c>
      <c r="O48" s="64">
        <v>0</v>
      </c>
      <c r="P48" s="64">
        <v>0.51</v>
      </c>
      <c r="Q48" s="64">
        <v>10.11</v>
      </c>
      <c r="R48" s="198"/>
      <c r="S48" s="198"/>
      <c r="T48" s="198"/>
      <c r="U48" s="198"/>
    </row>
    <row r="49" spans="1:21" s="12" customFormat="1" x14ac:dyDescent="0.25">
      <c r="A49" s="248" t="s">
        <v>3069</v>
      </c>
      <c r="B49" s="64">
        <v>7.95</v>
      </c>
      <c r="C49" s="64">
        <v>2.95</v>
      </c>
      <c r="D49" s="64">
        <v>11.69</v>
      </c>
      <c r="E49" s="64">
        <v>4.68</v>
      </c>
      <c r="F49" s="64">
        <v>3.89</v>
      </c>
      <c r="G49" s="64">
        <v>68.319999999999993</v>
      </c>
      <c r="H49" s="64">
        <v>6.3</v>
      </c>
      <c r="I49" s="64">
        <v>6.32</v>
      </c>
      <c r="J49" s="64">
        <v>1.04</v>
      </c>
      <c r="K49" s="64">
        <v>111.91</v>
      </c>
      <c r="L49" s="64">
        <v>29.08</v>
      </c>
      <c r="M49" s="64">
        <v>90.75</v>
      </c>
      <c r="N49" s="64">
        <v>391.4</v>
      </c>
      <c r="O49" s="64">
        <v>0</v>
      </c>
      <c r="P49" s="64">
        <v>0.5</v>
      </c>
      <c r="Q49" s="64">
        <v>10.07</v>
      </c>
      <c r="R49" s="198"/>
      <c r="S49" s="198"/>
      <c r="T49" s="198"/>
      <c r="U49" s="198"/>
    </row>
    <row r="50" spans="1:21" s="12" customFormat="1" x14ac:dyDescent="0.25">
      <c r="A50" s="248" t="s">
        <v>3070</v>
      </c>
      <c r="B50" s="64">
        <v>7.96</v>
      </c>
      <c r="C50" s="64">
        <v>2.97</v>
      </c>
      <c r="D50" s="64">
        <v>11.71</v>
      </c>
      <c r="E50" s="64">
        <v>4.5</v>
      </c>
      <c r="F50" s="64">
        <v>3.76</v>
      </c>
      <c r="G50" s="64">
        <v>68.319999999999993</v>
      </c>
      <c r="H50" s="64">
        <v>6.3</v>
      </c>
      <c r="I50" s="64">
        <v>6.54</v>
      </c>
      <c r="J50" s="64">
        <v>0.35</v>
      </c>
      <c r="K50" s="64">
        <v>119.78</v>
      </c>
      <c r="L50" s="64">
        <v>29.79</v>
      </c>
      <c r="M50" s="64">
        <v>88.24</v>
      </c>
      <c r="N50" s="64">
        <v>463.2</v>
      </c>
      <c r="O50" s="64">
        <v>0</v>
      </c>
      <c r="P50" s="64">
        <v>0.48</v>
      </c>
      <c r="Q50" s="64">
        <v>10.01</v>
      </c>
      <c r="R50" s="198"/>
      <c r="S50" s="198"/>
      <c r="T50" s="198"/>
      <c r="U50" s="198"/>
    </row>
    <row r="51" spans="1:21" s="12" customFormat="1" x14ac:dyDescent="0.25">
      <c r="A51" s="248" t="s">
        <v>3071</v>
      </c>
      <c r="B51" s="64">
        <v>7.98</v>
      </c>
      <c r="C51" s="64">
        <v>3.03</v>
      </c>
      <c r="D51" s="64">
        <v>11.75</v>
      </c>
      <c r="E51" s="64">
        <v>4.29</v>
      </c>
      <c r="F51" s="64">
        <v>3.51</v>
      </c>
      <c r="G51" s="64">
        <v>57.45</v>
      </c>
      <c r="H51" s="64">
        <v>13.17</v>
      </c>
      <c r="I51" s="64">
        <v>6.65</v>
      </c>
      <c r="J51" s="64">
        <v>0.78</v>
      </c>
      <c r="K51" s="64">
        <v>109.93</v>
      </c>
      <c r="L51" s="64">
        <v>30.35</v>
      </c>
      <c r="M51" s="64">
        <v>86.17</v>
      </c>
      <c r="N51" s="64">
        <v>536.70000000000005</v>
      </c>
      <c r="O51" s="64">
        <v>0</v>
      </c>
      <c r="P51" s="64">
        <v>0.48</v>
      </c>
      <c r="Q51" s="64">
        <v>9.99</v>
      </c>
      <c r="R51" s="198"/>
      <c r="S51" s="198"/>
      <c r="T51" s="198"/>
      <c r="U51" s="198"/>
    </row>
    <row r="52" spans="1:21" s="12" customFormat="1" x14ac:dyDescent="0.25">
      <c r="A52" s="248" t="s">
        <v>3072</v>
      </c>
      <c r="B52" s="64">
        <v>7.94</v>
      </c>
      <c r="C52" s="64">
        <v>2.94</v>
      </c>
      <c r="D52" s="64">
        <v>11.68</v>
      </c>
      <c r="E52" s="64">
        <v>4.33</v>
      </c>
      <c r="F52" s="64">
        <v>4.2699999999999996</v>
      </c>
      <c r="G52" s="64">
        <v>47.93</v>
      </c>
      <c r="H52" s="64">
        <v>15.89</v>
      </c>
      <c r="I52" s="64">
        <v>6.67</v>
      </c>
      <c r="J52" s="64">
        <v>0.43</v>
      </c>
      <c r="K52" s="64">
        <v>128.94</v>
      </c>
      <c r="L52" s="64">
        <v>31.02</v>
      </c>
      <c r="M52" s="64">
        <v>82.1</v>
      </c>
      <c r="N52" s="64">
        <v>536.9</v>
      </c>
      <c r="O52" s="64">
        <v>0</v>
      </c>
      <c r="P52" s="64">
        <v>0.47</v>
      </c>
      <c r="Q52" s="64">
        <v>9.9499999999999993</v>
      </c>
      <c r="R52" s="198"/>
      <c r="S52" s="198"/>
      <c r="T52" s="198"/>
      <c r="U52" s="198"/>
    </row>
    <row r="53" spans="1:21" s="12" customFormat="1" x14ac:dyDescent="0.25">
      <c r="A53" s="248" t="s">
        <v>3073</v>
      </c>
      <c r="B53" s="64">
        <v>7.93</v>
      </c>
      <c r="C53" s="64">
        <v>2.97</v>
      </c>
      <c r="D53" s="64">
        <v>11.68</v>
      </c>
      <c r="E53" s="64">
        <v>4.72</v>
      </c>
      <c r="F53" s="64">
        <v>3.17</v>
      </c>
      <c r="G53" s="64">
        <v>47.93</v>
      </c>
      <c r="H53" s="64">
        <v>15.89</v>
      </c>
      <c r="I53" s="64">
        <v>6.59</v>
      </c>
      <c r="J53" s="64">
        <v>0.36</v>
      </c>
      <c r="K53" s="64">
        <v>145.37</v>
      </c>
      <c r="L53" s="64">
        <v>32.22</v>
      </c>
      <c r="M53" s="64">
        <v>76.56</v>
      </c>
      <c r="N53" s="64">
        <v>549.79999999999995</v>
      </c>
      <c r="O53" s="64">
        <v>0</v>
      </c>
      <c r="P53" s="64">
        <v>0.46</v>
      </c>
      <c r="Q53" s="64">
        <v>9.8800000000000008</v>
      </c>
      <c r="R53" s="198"/>
      <c r="S53" s="198"/>
      <c r="T53" s="198"/>
      <c r="U53" s="198"/>
    </row>
    <row r="54" spans="1:21" s="12" customFormat="1" x14ac:dyDescent="0.25">
      <c r="A54" s="248" t="s">
        <v>3074</v>
      </c>
      <c r="B54" s="64">
        <v>7.96</v>
      </c>
      <c r="C54" s="64">
        <v>3.06</v>
      </c>
      <c r="D54" s="64">
        <v>11.76</v>
      </c>
      <c r="E54" s="64">
        <v>4.08</v>
      </c>
      <c r="F54" s="64">
        <v>4.42</v>
      </c>
      <c r="G54" s="64">
        <v>47.93</v>
      </c>
      <c r="H54" s="64">
        <v>15.89</v>
      </c>
      <c r="I54" s="64">
        <v>6.45</v>
      </c>
      <c r="J54" s="64">
        <v>0.75</v>
      </c>
      <c r="K54" s="64">
        <v>121.25</v>
      </c>
      <c r="L54" s="64">
        <v>31.74</v>
      </c>
      <c r="M54" s="64">
        <v>77.42</v>
      </c>
      <c r="N54" s="64">
        <v>490.5</v>
      </c>
      <c r="O54" s="64">
        <v>0</v>
      </c>
      <c r="P54" s="64">
        <v>0.45</v>
      </c>
      <c r="Q54" s="64">
        <v>9.85</v>
      </c>
      <c r="R54" s="198"/>
      <c r="S54" s="198"/>
      <c r="T54" s="198"/>
      <c r="U54" s="198"/>
    </row>
    <row r="55" spans="1:21" s="12" customFormat="1" x14ac:dyDescent="0.25">
      <c r="A55" s="248" t="s">
        <v>3075</v>
      </c>
      <c r="B55" s="64">
        <v>7.95</v>
      </c>
      <c r="C55" s="64">
        <v>3.08</v>
      </c>
      <c r="D55" s="64">
        <v>11.76</v>
      </c>
      <c r="E55" s="64">
        <v>4.3099999999999996</v>
      </c>
      <c r="F55" s="64">
        <v>5.07</v>
      </c>
      <c r="G55" s="64">
        <v>0</v>
      </c>
      <c r="H55" s="64">
        <v>6.02</v>
      </c>
      <c r="I55" s="64">
        <v>6.32</v>
      </c>
      <c r="J55" s="64">
        <v>0.53</v>
      </c>
      <c r="K55" s="64">
        <v>130.4</v>
      </c>
      <c r="L55" s="64">
        <v>2.48</v>
      </c>
      <c r="M55" s="64">
        <v>81.66</v>
      </c>
      <c r="N55" s="64">
        <v>455</v>
      </c>
      <c r="O55" s="64">
        <v>0</v>
      </c>
      <c r="P55" s="64">
        <v>0.42</v>
      </c>
      <c r="Q55" s="64">
        <v>9.85</v>
      </c>
      <c r="R55" s="198"/>
      <c r="S55" s="198"/>
      <c r="T55" s="198"/>
      <c r="U55" s="198"/>
    </row>
    <row r="56" spans="1:21" s="12" customFormat="1" x14ac:dyDescent="0.25">
      <c r="A56" s="248" t="s">
        <v>3076</v>
      </c>
      <c r="B56" s="64">
        <v>7.92</v>
      </c>
      <c r="C56" s="64">
        <v>3.02</v>
      </c>
      <c r="D56" s="64">
        <v>11.71</v>
      </c>
      <c r="E56" s="64">
        <v>3.59</v>
      </c>
      <c r="F56" s="64">
        <v>4.6900000000000004</v>
      </c>
      <c r="G56" s="64">
        <v>23.49</v>
      </c>
      <c r="H56" s="64">
        <v>0.95</v>
      </c>
      <c r="I56" s="64">
        <v>6.11</v>
      </c>
      <c r="J56" s="64">
        <v>0.42</v>
      </c>
      <c r="K56" s="64">
        <v>109.81</v>
      </c>
      <c r="L56" s="64">
        <v>31.38</v>
      </c>
      <c r="M56" s="64">
        <v>78.86</v>
      </c>
      <c r="N56" s="64">
        <v>328.4</v>
      </c>
      <c r="O56" s="64">
        <v>0</v>
      </c>
      <c r="P56" s="64">
        <v>0.4</v>
      </c>
      <c r="Q56" s="64">
        <v>0</v>
      </c>
      <c r="R56" s="198"/>
      <c r="S56" s="198"/>
      <c r="T56" s="198"/>
      <c r="U56" s="198"/>
    </row>
    <row r="57" spans="1:21" s="12" customFormat="1" x14ac:dyDescent="0.25">
      <c r="A57" s="248" t="s">
        <v>3077</v>
      </c>
      <c r="B57" s="64">
        <v>7.92</v>
      </c>
      <c r="C57" s="64">
        <v>2.96</v>
      </c>
      <c r="D57" s="64">
        <v>11.67</v>
      </c>
      <c r="E57" s="64">
        <v>3.23</v>
      </c>
      <c r="F57" s="64">
        <v>4.5</v>
      </c>
      <c r="G57" s="64">
        <v>23.49</v>
      </c>
      <c r="H57" s="64">
        <v>0.95</v>
      </c>
      <c r="I57" s="64">
        <v>5.7</v>
      </c>
      <c r="J57" s="64">
        <v>0.61</v>
      </c>
      <c r="K57" s="64">
        <v>122.28</v>
      </c>
      <c r="L57" s="64">
        <v>31.47</v>
      </c>
      <c r="M57" s="64">
        <v>78.05</v>
      </c>
      <c r="N57" s="64">
        <v>622.29999999999995</v>
      </c>
      <c r="O57" s="64">
        <v>0</v>
      </c>
      <c r="P57" s="64">
        <v>0.39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48" t="s">
        <v>3078</v>
      </c>
      <c r="B58" s="64">
        <v>7.94</v>
      </c>
      <c r="C58" s="64">
        <v>2.96</v>
      </c>
      <c r="D58" s="64">
        <v>11.69</v>
      </c>
      <c r="E58" s="64">
        <v>3.32</v>
      </c>
      <c r="F58" s="64">
        <v>7.11</v>
      </c>
      <c r="G58" s="64">
        <v>23.49</v>
      </c>
      <c r="H58" s="64">
        <v>0.95</v>
      </c>
      <c r="I58" s="64">
        <v>5.36</v>
      </c>
      <c r="J58" s="64">
        <v>0.47</v>
      </c>
      <c r="K58" s="64">
        <v>118.46</v>
      </c>
      <c r="L58" s="64">
        <v>32.24</v>
      </c>
      <c r="M58" s="64">
        <v>75.84</v>
      </c>
      <c r="N58" s="64">
        <v>690.5</v>
      </c>
      <c r="O58" s="64">
        <v>0</v>
      </c>
      <c r="P58" s="64">
        <v>0.37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48" t="s">
        <v>3079</v>
      </c>
      <c r="B59" s="64">
        <v>7.95</v>
      </c>
      <c r="C59" s="64">
        <v>2.98</v>
      </c>
      <c r="D59" s="64">
        <v>11.7</v>
      </c>
      <c r="E59" s="64">
        <v>3.31</v>
      </c>
      <c r="F59" s="64">
        <v>5.0999999999999996</v>
      </c>
      <c r="G59" s="64">
        <v>20.420000000000002</v>
      </c>
      <c r="H59" s="64">
        <v>0.33</v>
      </c>
      <c r="I59" s="64">
        <v>5.35</v>
      </c>
      <c r="J59" s="64">
        <v>0.95</v>
      </c>
      <c r="K59" s="64">
        <v>112.84</v>
      </c>
      <c r="L59" s="64">
        <v>32.11</v>
      </c>
      <c r="M59" s="64">
        <v>73.92</v>
      </c>
      <c r="N59" s="64">
        <v>798.3</v>
      </c>
      <c r="O59" s="64">
        <v>0</v>
      </c>
      <c r="P59" s="64">
        <v>0.35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48" t="s">
        <v>3080</v>
      </c>
      <c r="B60" s="64">
        <v>7.94</v>
      </c>
      <c r="C60" s="64">
        <v>2.95</v>
      </c>
      <c r="D60" s="64">
        <v>11.68</v>
      </c>
      <c r="E60" s="64">
        <v>3.39</v>
      </c>
      <c r="F60" s="64">
        <v>4.72</v>
      </c>
      <c r="G60" s="64">
        <v>17.73</v>
      </c>
      <c r="H60" s="64">
        <v>0.08</v>
      </c>
      <c r="I60" s="64">
        <v>5.13</v>
      </c>
      <c r="J60" s="64">
        <v>0.77</v>
      </c>
      <c r="K60" s="64">
        <v>118.76</v>
      </c>
      <c r="L60" s="64">
        <v>32.200000000000003</v>
      </c>
      <c r="M60" s="64">
        <v>73.69</v>
      </c>
      <c r="N60" s="64">
        <v>651.20000000000005</v>
      </c>
      <c r="O60" s="64">
        <v>0</v>
      </c>
      <c r="P60" s="64">
        <v>0.35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48" t="s">
        <v>3081</v>
      </c>
      <c r="B61" s="64">
        <v>7.96</v>
      </c>
      <c r="C61" s="64">
        <v>3</v>
      </c>
      <c r="D61" s="64">
        <v>11.72</v>
      </c>
      <c r="E61" s="64">
        <v>3.35</v>
      </c>
      <c r="F61" s="64">
        <v>5.03</v>
      </c>
      <c r="G61" s="64">
        <v>17.73</v>
      </c>
      <c r="H61" s="64">
        <v>0.08</v>
      </c>
      <c r="I61" s="64">
        <v>5.19</v>
      </c>
      <c r="J61" s="64">
        <v>0.63</v>
      </c>
      <c r="K61" s="64">
        <v>107.36</v>
      </c>
      <c r="L61" s="64">
        <v>32.19</v>
      </c>
      <c r="M61" s="64">
        <v>71.97</v>
      </c>
      <c r="N61" s="64">
        <v>541.79999999999995</v>
      </c>
      <c r="O61" s="64">
        <v>0</v>
      </c>
      <c r="P61" s="64">
        <v>0.32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48" t="s">
        <v>3082</v>
      </c>
      <c r="B62" s="64">
        <v>7.96</v>
      </c>
      <c r="C62" s="64">
        <v>2.98</v>
      </c>
      <c r="D62" s="64">
        <v>11.72</v>
      </c>
      <c r="E62" s="64">
        <v>3.26</v>
      </c>
      <c r="F62" s="64">
        <v>5.04</v>
      </c>
      <c r="G62" s="64">
        <v>17.73</v>
      </c>
      <c r="H62" s="64">
        <v>0.08</v>
      </c>
      <c r="I62" s="64">
        <v>5.47</v>
      </c>
      <c r="J62" s="64">
        <v>0.55000000000000004</v>
      </c>
      <c r="K62" s="64">
        <v>105.38</v>
      </c>
      <c r="L62" s="64">
        <v>32.5</v>
      </c>
      <c r="M62" s="64">
        <v>72.2</v>
      </c>
      <c r="N62" s="64">
        <v>792.4</v>
      </c>
      <c r="O62" s="64">
        <v>0</v>
      </c>
      <c r="P62" s="64">
        <v>0.32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48" t="s">
        <v>3083</v>
      </c>
      <c r="B63" s="64">
        <v>7.96</v>
      </c>
      <c r="C63" s="64">
        <v>2.99</v>
      </c>
      <c r="D63" s="64">
        <v>11.72</v>
      </c>
      <c r="E63" s="64">
        <v>3.63</v>
      </c>
      <c r="F63" s="64">
        <v>9.44</v>
      </c>
      <c r="G63" s="64">
        <v>34.17</v>
      </c>
      <c r="H63" s="64">
        <v>0.04</v>
      </c>
      <c r="I63" s="64">
        <v>5.5</v>
      </c>
      <c r="J63" s="64">
        <v>0.17</v>
      </c>
      <c r="K63" s="64">
        <v>57.78</v>
      </c>
      <c r="L63" s="64">
        <v>32.700000000000003</v>
      </c>
      <c r="M63" s="64">
        <v>70.55</v>
      </c>
      <c r="N63" s="64">
        <v>499.7</v>
      </c>
      <c r="O63" s="64">
        <v>0</v>
      </c>
      <c r="P63" s="64">
        <v>0.32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48" t="s">
        <v>3084</v>
      </c>
      <c r="B64" s="64">
        <v>7.96</v>
      </c>
      <c r="C64" s="64">
        <v>2.98</v>
      </c>
      <c r="D64" s="64">
        <v>11.72</v>
      </c>
      <c r="E64" s="64">
        <v>3.59</v>
      </c>
      <c r="F64" s="64">
        <v>5.68</v>
      </c>
      <c r="G64" s="64">
        <v>48.55</v>
      </c>
      <c r="H64" s="64">
        <v>0.01</v>
      </c>
      <c r="I64" s="64">
        <v>5.69</v>
      </c>
      <c r="J64" s="64">
        <v>0.18</v>
      </c>
      <c r="K64" s="64">
        <v>57.41</v>
      </c>
      <c r="L64" s="64">
        <v>33.25</v>
      </c>
      <c r="M64" s="64">
        <v>69.040000000000006</v>
      </c>
      <c r="N64" s="64">
        <v>418.4</v>
      </c>
      <c r="O64" s="64">
        <v>0</v>
      </c>
      <c r="P64" s="64">
        <v>0.32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48" t="s">
        <v>3085</v>
      </c>
      <c r="B65" s="64">
        <v>7.95</v>
      </c>
      <c r="C65" s="64">
        <v>3.01</v>
      </c>
      <c r="D65" s="64">
        <v>11.72</v>
      </c>
      <c r="E65" s="64">
        <v>3.68</v>
      </c>
      <c r="F65" s="64">
        <v>4.9000000000000004</v>
      </c>
      <c r="G65" s="64">
        <v>48.55</v>
      </c>
      <c r="H65" s="64">
        <v>0.01</v>
      </c>
      <c r="I65" s="64">
        <v>4.7699999999999996</v>
      </c>
      <c r="J65" s="64">
        <v>0.26</v>
      </c>
      <c r="K65" s="64">
        <v>111.09</v>
      </c>
      <c r="L65" s="64">
        <v>32.81</v>
      </c>
      <c r="M65" s="64">
        <v>69.27</v>
      </c>
      <c r="N65" s="64">
        <v>259.39999999999998</v>
      </c>
      <c r="O65" s="64">
        <v>0</v>
      </c>
      <c r="P65" s="64">
        <v>0.39</v>
      </c>
      <c r="Q65" s="64">
        <v>9.7200000000000006</v>
      </c>
      <c r="R65" s="198"/>
      <c r="S65" s="198"/>
      <c r="T65" s="198"/>
      <c r="U65" s="198"/>
    </row>
    <row r="66" spans="1:21" s="12" customFormat="1" x14ac:dyDescent="0.25">
      <c r="A66" s="248" t="s">
        <v>3086</v>
      </c>
      <c r="B66" s="64">
        <v>7.93</v>
      </c>
      <c r="C66" s="64">
        <v>3.03</v>
      </c>
      <c r="D66" s="64">
        <v>11.72</v>
      </c>
      <c r="E66" s="64">
        <v>3.52</v>
      </c>
      <c r="F66" s="64">
        <v>3.95</v>
      </c>
      <c r="G66" s="64">
        <v>48.55</v>
      </c>
      <c r="H66" s="64">
        <v>0.01</v>
      </c>
      <c r="I66" s="64">
        <v>4.7</v>
      </c>
      <c r="J66" s="64">
        <v>0.85</v>
      </c>
      <c r="K66" s="64">
        <v>114.67</v>
      </c>
      <c r="L66" s="64">
        <v>32.31</v>
      </c>
      <c r="M66" s="64">
        <v>70.84</v>
      </c>
      <c r="N66" s="64">
        <v>289.39999999999998</v>
      </c>
      <c r="O66" s="64">
        <v>0</v>
      </c>
      <c r="P66" s="64">
        <v>0.38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48" t="s">
        <v>3087</v>
      </c>
      <c r="B67" s="64">
        <v>7.95</v>
      </c>
      <c r="C67" s="64">
        <v>3.03</v>
      </c>
      <c r="D67" s="64">
        <v>11.73</v>
      </c>
      <c r="E67" s="64">
        <v>3.32</v>
      </c>
      <c r="F67" s="64">
        <v>4.3099999999999996</v>
      </c>
      <c r="G67" s="64">
        <v>38.03</v>
      </c>
      <c r="H67" s="64">
        <v>2.9</v>
      </c>
      <c r="I67" s="64">
        <v>4.16</v>
      </c>
      <c r="J67" s="64">
        <v>0.67</v>
      </c>
      <c r="K67" s="64">
        <v>111.52</v>
      </c>
      <c r="L67" s="64">
        <v>32.01</v>
      </c>
      <c r="M67" s="64">
        <v>71.099999999999994</v>
      </c>
      <c r="N67" s="64">
        <v>234.6</v>
      </c>
      <c r="O67" s="64">
        <v>0</v>
      </c>
      <c r="P67" s="64">
        <v>0.37</v>
      </c>
      <c r="Q67" s="64">
        <v>9.66</v>
      </c>
      <c r="R67" s="198"/>
      <c r="S67" s="198"/>
      <c r="T67" s="198"/>
      <c r="U67" s="198"/>
    </row>
    <row r="68" spans="1:21" s="12" customFormat="1" x14ac:dyDescent="0.25">
      <c r="A68" s="248" t="s">
        <v>3088</v>
      </c>
      <c r="B68" s="64">
        <v>7.95</v>
      </c>
      <c r="C68" s="64">
        <v>2.99</v>
      </c>
      <c r="D68" s="64">
        <v>11.71</v>
      </c>
      <c r="E68" s="64">
        <v>3.09</v>
      </c>
      <c r="F68" s="64">
        <v>3.46</v>
      </c>
      <c r="G68" s="64">
        <v>28.83</v>
      </c>
      <c r="H68" s="64">
        <v>3.12</v>
      </c>
      <c r="I68" s="64">
        <v>4.3</v>
      </c>
      <c r="J68" s="64">
        <v>0.31</v>
      </c>
      <c r="K68" s="64">
        <v>121.43</v>
      </c>
      <c r="L68" s="64">
        <v>32.4</v>
      </c>
      <c r="M68" s="64">
        <v>68.36</v>
      </c>
      <c r="N68" s="64">
        <v>199.2</v>
      </c>
      <c r="O68" s="64">
        <v>0</v>
      </c>
      <c r="P68" s="64">
        <v>0.38</v>
      </c>
      <c r="Q68" s="64">
        <v>9.69</v>
      </c>
      <c r="R68" s="198"/>
      <c r="S68" s="198"/>
      <c r="T68" s="198"/>
      <c r="U68" s="198"/>
    </row>
    <row r="69" spans="1:21" s="12" customFormat="1" x14ac:dyDescent="0.25">
      <c r="A69" s="248" t="s">
        <v>3089</v>
      </c>
      <c r="B69" s="64">
        <v>7.96</v>
      </c>
      <c r="C69" s="64">
        <v>2.94</v>
      </c>
      <c r="D69" s="64">
        <v>11.69</v>
      </c>
      <c r="E69" s="64">
        <v>3.75</v>
      </c>
      <c r="F69" s="64">
        <v>3.71</v>
      </c>
      <c r="G69" s="64">
        <v>28.83</v>
      </c>
      <c r="H69" s="64">
        <v>3.21</v>
      </c>
      <c r="I69" s="64">
        <v>4.6399999999999997</v>
      </c>
      <c r="J69" s="64">
        <v>1.43</v>
      </c>
      <c r="K69" s="64">
        <v>117.07</v>
      </c>
      <c r="L69" s="64">
        <v>32.15</v>
      </c>
      <c r="M69" s="64">
        <v>68.7</v>
      </c>
      <c r="N69" s="64">
        <v>224.8</v>
      </c>
      <c r="O69" s="64">
        <v>0</v>
      </c>
      <c r="P69" s="64">
        <v>0.37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48" t="s">
        <v>3090</v>
      </c>
      <c r="B70" s="64">
        <v>7.99</v>
      </c>
      <c r="C70" s="64">
        <v>2.99</v>
      </c>
      <c r="D70" s="64">
        <v>11.74</v>
      </c>
      <c r="E70" s="64">
        <v>3.06</v>
      </c>
      <c r="F70" s="64">
        <v>4.84</v>
      </c>
      <c r="G70" s="64">
        <v>28.83</v>
      </c>
      <c r="H70" s="64">
        <v>3.2</v>
      </c>
      <c r="I70" s="64">
        <v>4.5999999999999996</v>
      </c>
      <c r="J70" s="64">
        <v>0.54</v>
      </c>
      <c r="K70" s="64">
        <v>337.38</v>
      </c>
      <c r="L70" s="64">
        <v>32.24</v>
      </c>
      <c r="M70" s="64">
        <v>69.73</v>
      </c>
      <c r="N70" s="64">
        <v>183.1</v>
      </c>
      <c r="O70" s="64">
        <v>0</v>
      </c>
      <c r="P70" s="64">
        <v>0.36</v>
      </c>
      <c r="Q70" s="64">
        <v>9.66</v>
      </c>
      <c r="R70" s="198"/>
      <c r="S70" s="198"/>
      <c r="T70" s="198"/>
      <c r="U70" s="198"/>
    </row>
    <row r="71" spans="1:21" s="12" customFormat="1" x14ac:dyDescent="0.25">
      <c r="A71" s="248" t="s">
        <v>3091</v>
      </c>
      <c r="B71" s="64">
        <v>7.95</v>
      </c>
      <c r="C71" s="64">
        <v>3.05</v>
      </c>
      <c r="D71" s="64">
        <v>11.75</v>
      </c>
      <c r="E71" s="64">
        <v>3.48</v>
      </c>
      <c r="F71" s="64">
        <v>3.45</v>
      </c>
      <c r="G71" s="64">
        <v>29.31</v>
      </c>
      <c r="H71" s="64">
        <v>20.100000000000001</v>
      </c>
      <c r="I71" s="64">
        <v>4.68</v>
      </c>
      <c r="J71" s="64">
        <v>0.51</v>
      </c>
      <c r="K71" s="64">
        <v>107.6</v>
      </c>
      <c r="L71" s="64">
        <v>32.25</v>
      </c>
      <c r="M71" s="64">
        <v>70.87</v>
      </c>
      <c r="N71" s="64">
        <v>207.6</v>
      </c>
      <c r="O71" s="64">
        <v>0</v>
      </c>
      <c r="P71" s="64">
        <v>0.37</v>
      </c>
      <c r="Q71" s="64">
        <v>9.68</v>
      </c>
      <c r="R71" s="198"/>
      <c r="S71" s="198"/>
      <c r="T71" s="198"/>
      <c r="U71" s="198"/>
    </row>
    <row r="72" spans="1:21" s="12" customFormat="1" x14ac:dyDescent="0.25">
      <c r="A72" s="248" t="s">
        <v>3092</v>
      </c>
      <c r="B72" s="64">
        <v>7.95</v>
      </c>
      <c r="C72" s="64">
        <v>3.03</v>
      </c>
      <c r="D72" s="64">
        <v>11.73</v>
      </c>
      <c r="E72" s="64">
        <v>5.42</v>
      </c>
      <c r="F72" s="64">
        <v>3.99</v>
      </c>
      <c r="G72" s="212" t="s">
        <v>42</v>
      </c>
      <c r="H72" s="212" t="s">
        <v>42</v>
      </c>
      <c r="I72" s="64">
        <v>4.68</v>
      </c>
      <c r="J72" s="64">
        <v>0.28000000000000003</v>
      </c>
      <c r="K72" s="64">
        <v>93.5</v>
      </c>
      <c r="L72" s="64">
        <v>32.25</v>
      </c>
      <c r="M72" s="64">
        <v>71.19</v>
      </c>
      <c r="N72" s="64">
        <v>239</v>
      </c>
      <c r="O72" s="64">
        <v>0</v>
      </c>
      <c r="P72" s="64">
        <v>0.37</v>
      </c>
      <c r="Q72" s="64">
        <v>9.66</v>
      </c>
      <c r="R72" s="198"/>
      <c r="S72" s="198"/>
      <c r="T72" s="198"/>
      <c r="U72" s="198"/>
    </row>
    <row r="73" spans="1:21" s="12" customFormat="1" x14ac:dyDescent="0.25">
      <c r="A73" s="248" t="s">
        <v>3093</v>
      </c>
      <c r="B73" s="64">
        <v>7.97</v>
      </c>
      <c r="C73" s="64">
        <v>3.07</v>
      </c>
      <c r="D73" s="64">
        <v>11.77</v>
      </c>
      <c r="E73" s="64">
        <v>5.45</v>
      </c>
      <c r="F73" s="64">
        <v>5.0199999999999996</v>
      </c>
      <c r="G73" s="212" t="s">
        <v>42</v>
      </c>
      <c r="H73" s="212" t="s">
        <v>42</v>
      </c>
      <c r="I73" s="64">
        <v>4.58</v>
      </c>
      <c r="J73" s="64">
        <v>0.47</v>
      </c>
      <c r="K73" s="64">
        <v>107.74</v>
      </c>
      <c r="L73" s="64">
        <v>32.11</v>
      </c>
      <c r="M73" s="64">
        <v>72.28</v>
      </c>
      <c r="N73" s="64">
        <v>215.3</v>
      </c>
      <c r="O73" s="64">
        <v>0</v>
      </c>
      <c r="P73" s="64">
        <v>0.38</v>
      </c>
      <c r="Q73" s="64">
        <v>9.69</v>
      </c>
      <c r="R73" s="198"/>
      <c r="S73" s="198"/>
      <c r="T73" s="198"/>
      <c r="U73" s="198"/>
    </row>
    <row r="74" spans="1:21" s="12" customFormat="1" x14ac:dyDescent="0.25">
      <c r="A74" s="248" t="s">
        <v>3094</v>
      </c>
      <c r="B74" s="64">
        <v>7.95</v>
      </c>
      <c r="C74" s="64">
        <v>2.95</v>
      </c>
      <c r="D74" s="64">
        <v>11.69</v>
      </c>
      <c r="E74" s="64">
        <v>5.65</v>
      </c>
      <c r="F74" s="64">
        <v>3.21</v>
      </c>
      <c r="G74" s="212" t="s">
        <v>42</v>
      </c>
      <c r="H74" s="212" t="s">
        <v>42</v>
      </c>
      <c r="I74" s="64">
        <v>4.6500000000000004</v>
      </c>
      <c r="J74" s="64">
        <v>0.28999999999999998</v>
      </c>
      <c r="K74" s="64">
        <v>35.340000000000003</v>
      </c>
      <c r="L74" s="64">
        <v>32.26</v>
      </c>
      <c r="M74" s="64">
        <v>72.53</v>
      </c>
      <c r="N74" s="64">
        <v>221.2</v>
      </c>
      <c r="O74" s="64">
        <v>0</v>
      </c>
      <c r="P74" s="64">
        <v>0.37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48" t="s">
        <v>3095</v>
      </c>
      <c r="B75" s="64">
        <v>7.96</v>
      </c>
      <c r="C75" s="64">
        <v>2.95</v>
      </c>
      <c r="D75" s="64">
        <v>11.7</v>
      </c>
      <c r="E75" s="64">
        <v>5.22</v>
      </c>
      <c r="F75" s="64">
        <v>4.21</v>
      </c>
      <c r="G75" s="64">
        <v>24.08</v>
      </c>
      <c r="H75" s="212" t="s">
        <v>42</v>
      </c>
      <c r="I75" s="64">
        <v>4.53</v>
      </c>
      <c r="J75" s="64">
        <v>0.64</v>
      </c>
      <c r="K75" s="64">
        <v>110.98</v>
      </c>
      <c r="L75" s="64">
        <v>31.56</v>
      </c>
      <c r="M75" s="64">
        <v>75.91</v>
      </c>
      <c r="N75" s="64">
        <v>151.19999999999999</v>
      </c>
      <c r="O75" s="64">
        <v>0</v>
      </c>
      <c r="P75" s="64">
        <v>0.37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48" t="s">
        <v>3096</v>
      </c>
      <c r="B76" s="64">
        <v>7.97</v>
      </c>
      <c r="C76" s="64">
        <v>3.03</v>
      </c>
      <c r="D76" s="64">
        <v>11.75</v>
      </c>
      <c r="E76" s="64">
        <v>5.74</v>
      </c>
      <c r="F76" s="64">
        <v>6.63</v>
      </c>
      <c r="G76" s="64">
        <v>52.87</v>
      </c>
      <c r="H76" s="212" t="s">
        <v>42</v>
      </c>
      <c r="I76" s="64">
        <v>4.6399999999999997</v>
      </c>
      <c r="J76" s="64">
        <v>0.16</v>
      </c>
      <c r="K76" s="64">
        <v>67.78</v>
      </c>
      <c r="L76" s="64">
        <v>31.43</v>
      </c>
      <c r="M76" s="64">
        <v>77.34</v>
      </c>
      <c r="N76" s="64">
        <v>134.9</v>
      </c>
      <c r="O76" s="64">
        <v>0</v>
      </c>
      <c r="P76" s="64">
        <v>0.37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48" t="s">
        <v>3097</v>
      </c>
      <c r="B77" s="64">
        <v>7.98</v>
      </c>
      <c r="C77" s="64">
        <v>3.1</v>
      </c>
      <c r="D77" s="64">
        <v>11.79</v>
      </c>
      <c r="E77" s="64">
        <v>5.29</v>
      </c>
      <c r="F77" s="64">
        <v>6.1</v>
      </c>
      <c r="G77" s="64">
        <v>52.87</v>
      </c>
      <c r="H77" s="212" t="s">
        <v>42</v>
      </c>
      <c r="I77" s="64">
        <v>4.8</v>
      </c>
      <c r="J77" s="64">
        <v>0.88</v>
      </c>
      <c r="K77" s="64">
        <v>116.15</v>
      </c>
      <c r="L77" s="64">
        <v>31.02</v>
      </c>
      <c r="M77" s="64">
        <v>80.650000000000006</v>
      </c>
      <c r="N77" s="64">
        <v>101</v>
      </c>
      <c r="O77" s="64">
        <v>0</v>
      </c>
      <c r="P77" s="64">
        <v>0.4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48" t="s">
        <v>3098</v>
      </c>
      <c r="B78" s="64">
        <v>7.96</v>
      </c>
      <c r="C78" s="64">
        <v>3.03</v>
      </c>
      <c r="D78" s="64">
        <v>11.74</v>
      </c>
      <c r="E78" s="64">
        <v>5.6</v>
      </c>
      <c r="F78" s="64">
        <v>5.93</v>
      </c>
      <c r="G78" s="64">
        <v>52.87</v>
      </c>
      <c r="H78" s="212" t="s">
        <v>42</v>
      </c>
      <c r="I78" s="64">
        <v>4.24</v>
      </c>
      <c r="J78" s="64">
        <v>0.52</v>
      </c>
      <c r="K78" s="64">
        <v>110.74</v>
      </c>
      <c r="L78" s="64">
        <v>30.54</v>
      </c>
      <c r="M78" s="64">
        <v>82.56</v>
      </c>
      <c r="N78" s="64">
        <v>78.5</v>
      </c>
      <c r="O78" s="64">
        <v>0</v>
      </c>
      <c r="P78" s="64">
        <v>0.4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48" t="s">
        <v>3099</v>
      </c>
      <c r="B79" s="64">
        <v>7.96</v>
      </c>
      <c r="C79" s="64">
        <v>3.05</v>
      </c>
      <c r="D79" s="64">
        <v>11.75</v>
      </c>
      <c r="E79" s="64">
        <v>5.71</v>
      </c>
      <c r="F79" s="64">
        <v>3.95</v>
      </c>
      <c r="G79" s="64">
        <v>50.28</v>
      </c>
      <c r="H79" s="212" t="s">
        <v>42</v>
      </c>
      <c r="I79" s="64">
        <v>4.2300000000000004</v>
      </c>
      <c r="J79" s="64">
        <v>0.45</v>
      </c>
      <c r="K79" s="64">
        <v>109.04</v>
      </c>
      <c r="L79" s="64">
        <v>30.37</v>
      </c>
      <c r="M79" s="64">
        <v>82.84</v>
      </c>
      <c r="N79" s="64">
        <v>70.400000000000006</v>
      </c>
      <c r="O79" s="64">
        <v>0</v>
      </c>
      <c r="P79" s="64">
        <v>0.4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48" t="s">
        <v>3100</v>
      </c>
      <c r="B80" s="64">
        <v>7.95</v>
      </c>
      <c r="C80" s="64">
        <v>2.96</v>
      </c>
      <c r="D80" s="64">
        <v>11.7</v>
      </c>
      <c r="E80" s="64">
        <v>5.32</v>
      </c>
      <c r="F80" s="64">
        <v>3.47</v>
      </c>
      <c r="G80" s="64">
        <v>47.31</v>
      </c>
      <c r="H80" s="212" t="s">
        <v>42</v>
      </c>
      <c r="I80" s="64">
        <v>3.8</v>
      </c>
      <c r="J80" s="64">
        <v>0.14000000000000001</v>
      </c>
      <c r="K80" s="64">
        <v>108.95</v>
      </c>
      <c r="L80" s="64">
        <v>30.16</v>
      </c>
      <c r="M80" s="64">
        <v>85</v>
      </c>
      <c r="N80" s="64">
        <v>63.6</v>
      </c>
      <c r="O80" s="64">
        <v>0</v>
      </c>
      <c r="P80" s="64">
        <v>0.41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48" t="s">
        <v>3101</v>
      </c>
      <c r="B81" s="64">
        <v>7.96</v>
      </c>
      <c r="C81" s="64">
        <v>2.91</v>
      </c>
      <c r="D81" s="64">
        <v>11.68</v>
      </c>
      <c r="E81" s="64">
        <v>5.54</v>
      </c>
      <c r="F81" s="64">
        <v>4.08</v>
      </c>
      <c r="G81" s="64">
        <v>47.31</v>
      </c>
      <c r="H81" s="212" t="s">
        <v>42</v>
      </c>
      <c r="I81" s="64">
        <v>3.92</v>
      </c>
      <c r="J81" s="64">
        <v>0.44</v>
      </c>
      <c r="K81" s="64">
        <v>114.22</v>
      </c>
      <c r="L81" s="64">
        <v>29.94</v>
      </c>
      <c r="M81" s="64">
        <v>85.26</v>
      </c>
      <c r="N81" s="64">
        <v>54.4</v>
      </c>
      <c r="O81" s="64">
        <v>0</v>
      </c>
      <c r="P81" s="64">
        <v>0.42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48" t="s">
        <v>3102</v>
      </c>
      <c r="B82" s="64">
        <v>7.95</v>
      </c>
      <c r="C82" s="64">
        <v>2.94</v>
      </c>
      <c r="D82" s="64">
        <v>11.69</v>
      </c>
      <c r="E82" s="64">
        <v>5.18</v>
      </c>
      <c r="F82" s="64">
        <v>4.1100000000000003</v>
      </c>
      <c r="G82" s="64">
        <v>47.31</v>
      </c>
      <c r="H82" s="212" t="s">
        <v>42</v>
      </c>
      <c r="I82" s="64">
        <v>4</v>
      </c>
      <c r="J82" s="64">
        <v>0.54</v>
      </c>
      <c r="K82" s="64">
        <v>118.06</v>
      </c>
      <c r="L82" s="64">
        <v>29.73</v>
      </c>
      <c r="M82" s="64">
        <v>85.79</v>
      </c>
      <c r="N82" s="64">
        <v>47.1</v>
      </c>
      <c r="O82" s="64">
        <v>0</v>
      </c>
      <c r="P82" s="64">
        <v>0.43</v>
      </c>
      <c r="Q82" s="64">
        <v>9.7100000000000009</v>
      </c>
      <c r="R82" s="198"/>
      <c r="S82" s="198"/>
      <c r="T82" s="198"/>
      <c r="U82" s="198"/>
    </row>
    <row r="83" spans="1:26" s="12" customFormat="1" x14ac:dyDescent="0.25">
      <c r="A83" s="248" t="s">
        <v>3103</v>
      </c>
      <c r="B83" s="64">
        <v>7.94</v>
      </c>
      <c r="C83" s="64">
        <v>2.98</v>
      </c>
      <c r="D83" s="64">
        <v>11.7</v>
      </c>
      <c r="E83" s="64">
        <v>5.38</v>
      </c>
      <c r="F83" s="64">
        <v>4.0199999999999996</v>
      </c>
      <c r="G83" s="64">
        <v>55.15</v>
      </c>
      <c r="H83" s="212" t="s">
        <v>42</v>
      </c>
      <c r="I83" s="64">
        <v>3.97</v>
      </c>
      <c r="J83" s="64">
        <v>0.11</v>
      </c>
      <c r="K83" s="64">
        <v>91.34</v>
      </c>
      <c r="L83" s="64">
        <v>29.53</v>
      </c>
      <c r="M83" s="64">
        <v>86.64</v>
      </c>
      <c r="N83" s="64">
        <v>45.7</v>
      </c>
      <c r="O83" s="64">
        <v>0</v>
      </c>
      <c r="P83" s="64">
        <v>0.43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48" t="s">
        <v>3104</v>
      </c>
      <c r="B84" s="64">
        <v>7.94</v>
      </c>
      <c r="C84" s="64">
        <v>2.98</v>
      </c>
      <c r="D84" s="64">
        <v>11.7</v>
      </c>
      <c r="E84" s="64">
        <v>5.49</v>
      </c>
      <c r="F84" s="64">
        <v>4.04</v>
      </c>
      <c r="G84" s="64">
        <v>64.52</v>
      </c>
      <c r="H84" s="212" t="s">
        <v>42</v>
      </c>
      <c r="I84" s="64">
        <v>4.1100000000000003</v>
      </c>
      <c r="J84" s="64">
        <v>7.0000000000000007E-2</v>
      </c>
      <c r="K84" s="64">
        <v>50.89</v>
      </c>
      <c r="L84" s="64">
        <v>29.33</v>
      </c>
      <c r="M84" s="64">
        <v>89.09</v>
      </c>
      <c r="N84" s="64">
        <v>45.5</v>
      </c>
      <c r="O84" s="64">
        <v>0</v>
      </c>
      <c r="P84" s="64">
        <v>0.47</v>
      </c>
      <c r="Q84" s="64">
        <v>9.7200000000000006</v>
      </c>
      <c r="R84" s="198"/>
      <c r="S84" s="198"/>
      <c r="T84" s="198"/>
      <c r="U84" s="198"/>
    </row>
    <row r="85" spans="1:26" s="12" customFormat="1" x14ac:dyDescent="0.25">
      <c r="A85" s="248" t="s">
        <v>3105</v>
      </c>
      <c r="B85" s="64">
        <v>7.93</v>
      </c>
      <c r="C85" s="64">
        <v>2.94</v>
      </c>
      <c r="D85" s="64">
        <v>11.67</v>
      </c>
      <c r="E85" s="64">
        <v>5.51</v>
      </c>
      <c r="F85" s="64">
        <v>3.49</v>
      </c>
      <c r="G85" s="64">
        <v>64.52</v>
      </c>
      <c r="H85" s="212" t="s">
        <v>42</v>
      </c>
      <c r="I85" s="64">
        <v>4.2</v>
      </c>
      <c r="J85" s="64">
        <v>0.04</v>
      </c>
      <c r="K85" s="64">
        <v>331.52</v>
      </c>
      <c r="L85" s="64">
        <v>29.19</v>
      </c>
      <c r="M85" s="64">
        <v>89.18</v>
      </c>
      <c r="N85" s="64">
        <v>45.4</v>
      </c>
      <c r="O85" s="64">
        <v>0</v>
      </c>
      <c r="P85" s="64">
        <v>0.5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48" t="s">
        <v>3106</v>
      </c>
      <c r="B86" s="64">
        <v>7.93</v>
      </c>
      <c r="C86" s="64">
        <v>2.94</v>
      </c>
      <c r="D86" s="64">
        <v>11.67</v>
      </c>
      <c r="E86" s="64">
        <v>5.24</v>
      </c>
      <c r="F86" s="64">
        <v>4.25</v>
      </c>
      <c r="G86" s="64">
        <v>64.52</v>
      </c>
      <c r="H86" s="212" t="s">
        <v>42</v>
      </c>
      <c r="I86" s="64">
        <v>4.24</v>
      </c>
      <c r="J86" s="64">
        <v>0.21</v>
      </c>
      <c r="K86" s="64">
        <v>102.36</v>
      </c>
      <c r="L86" s="64">
        <v>29.09</v>
      </c>
      <c r="M86" s="64">
        <v>89.37</v>
      </c>
      <c r="N86" s="64">
        <v>45.2</v>
      </c>
      <c r="O86" s="64">
        <v>0</v>
      </c>
      <c r="P86" s="64">
        <v>0.56999999999999995</v>
      </c>
      <c r="Q86" s="64">
        <v>9.67</v>
      </c>
      <c r="R86" s="198"/>
      <c r="S86" s="198"/>
      <c r="T86" s="198"/>
      <c r="U86" s="198"/>
    </row>
    <row r="87" spans="1:26" s="12" customFormat="1" x14ac:dyDescent="0.25">
      <c r="A87" s="248" t="s">
        <v>3107</v>
      </c>
      <c r="B87" s="64">
        <v>7.96</v>
      </c>
      <c r="C87" s="64">
        <v>3.03</v>
      </c>
      <c r="D87" s="64">
        <v>11.74</v>
      </c>
      <c r="E87" s="64">
        <v>5.23</v>
      </c>
      <c r="F87" s="64">
        <v>3.92</v>
      </c>
      <c r="G87" s="64">
        <v>65.38</v>
      </c>
      <c r="H87" s="212" t="s">
        <v>42</v>
      </c>
      <c r="I87" s="64">
        <v>4.3</v>
      </c>
      <c r="J87" s="64">
        <v>0.06</v>
      </c>
      <c r="K87" s="64">
        <v>50.84</v>
      </c>
      <c r="L87" s="64">
        <v>28.99</v>
      </c>
      <c r="M87" s="64">
        <v>91.2</v>
      </c>
      <c r="N87" s="64">
        <v>45.2</v>
      </c>
      <c r="O87" s="64">
        <v>0</v>
      </c>
      <c r="P87" s="64">
        <v>0.6</v>
      </c>
      <c r="Q87" s="64">
        <v>9.7899999999999991</v>
      </c>
      <c r="R87" s="198"/>
      <c r="S87" s="198"/>
      <c r="T87" s="198"/>
      <c r="U87" s="198"/>
    </row>
    <row r="88" spans="1:26" s="12" customFormat="1" x14ac:dyDescent="0.25">
      <c r="A88" s="248" t="s">
        <v>3108</v>
      </c>
      <c r="B88" s="64">
        <v>7.96</v>
      </c>
      <c r="C88" s="64">
        <v>3.04</v>
      </c>
      <c r="D88" s="64">
        <v>11.74</v>
      </c>
      <c r="E88" s="64">
        <v>4.0199999999999996</v>
      </c>
      <c r="F88" s="64">
        <v>2.95</v>
      </c>
      <c r="G88" s="64">
        <v>66.42</v>
      </c>
      <c r="H88" s="64">
        <v>24.38</v>
      </c>
      <c r="I88" s="64">
        <v>4.41</v>
      </c>
      <c r="J88" s="64">
        <v>0.12</v>
      </c>
      <c r="K88" s="64">
        <v>72.16</v>
      </c>
      <c r="L88" s="64">
        <v>28.9</v>
      </c>
      <c r="M88" s="64">
        <v>91.89</v>
      </c>
      <c r="N88" s="64">
        <v>45.2</v>
      </c>
      <c r="O88" s="64">
        <v>0</v>
      </c>
      <c r="P88" s="64">
        <v>0.63</v>
      </c>
      <c r="Q88" s="64">
        <v>9.75</v>
      </c>
      <c r="R88" s="198"/>
      <c r="S88" s="198"/>
      <c r="T88" s="198"/>
      <c r="U88" s="198"/>
    </row>
    <row r="89" spans="1:26" s="12" customFormat="1" x14ac:dyDescent="0.25">
      <c r="A89" s="248" t="s">
        <v>3109</v>
      </c>
      <c r="B89" s="64">
        <v>7.96</v>
      </c>
      <c r="C89" s="64">
        <v>3.08</v>
      </c>
      <c r="D89" s="64">
        <v>11.76</v>
      </c>
      <c r="E89" s="64">
        <v>4.1100000000000003</v>
      </c>
      <c r="F89" s="64">
        <v>3.76</v>
      </c>
      <c r="G89" s="64">
        <v>66.42</v>
      </c>
      <c r="H89" s="64">
        <v>24.38</v>
      </c>
      <c r="I89" s="64">
        <v>4.47</v>
      </c>
      <c r="J89" s="64">
        <v>0.14000000000000001</v>
      </c>
      <c r="K89" s="64">
        <v>97.32</v>
      </c>
      <c r="L89" s="64">
        <v>28.86</v>
      </c>
      <c r="M89" s="64">
        <v>92.32</v>
      </c>
      <c r="N89" s="64">
        <v>45.4</v>
      </c>
      <c r="O89" s="64">
        <v>0</v>
      </c>
      <c r="P89" s="64">
        <v>0.65</v>
      </c>
      <c r="Q89" s="64">
        <v>9.75</v>
      </c>
      <c r="R89" s="198"/>
      <c r="S89" s="198"/>
      <c r="T89" s="198"/>
      <c r="U89" s="198"/>
    </row>
    <row r="90" spans="1:26" s="12" customFormat="1" x14ac:dyDescent="0.25">
      <c r="A90" s="248" t="s">
        <v>3110</v>
      </c>
      <c r="B90" s="64">
        <v>7.95</v>
      </c>
      <c r="C90" s="64">
        <v>3.03</v>
      </c>
      <c r="D90" s="64">
        <v>11.73</v>
      </c>
      <c r="E90" s="64">
        <v>4.12</v>
      </c>
      <c r="F90" s="64">
        <v>3.29</v>
      </c>
      <c r="G90" s="64">
        <v>66.42</v>
      </c>
      <c r="H90" s="64">
        <v>24.38</v>
      </c>
      <c r="I90" s="64">
        <v>4.54</v>
      </c>
      <c r="J90" s="64">
        <v>0.14000000000000001</v>
      </c>
      <c r="K90" s="64">
        <v>115.83</v>
      </c>
      <c r="L90" s="64">
        <v>28.8</v>
      </c>
      <c r="M90" s="64">
        <v>93.08</v>
      </c>
      <c r="N90" s="64">
        <v>45.2</v>
      </c>
      <c r="O90" s="64">
        <v>0</v>
      </c>
      <c r="P90" s="64">
        <v>0.68</v>
      </c>
      <c r="Q90" s="64">
        <v>9.81</v>
      </c>
      <c r="R90" s="198"/>
      <c r="S90" s="198"/>
      <c r="T90" s="198"/>
      <c r="U90" s="198"/>
    </row>
    <row r="91" spans="1:26" s="12" customFormat="1" x14ac:dyDescent="0.25">
      <c r="A91" s="248" t="s">
        <v>3111</v>
      </c>
      <c r="B91" s="64">
        <v>7.98</v>
      </c>
      <c r="C91" s="64">
        <v>2.97</v>
      </c>
      <c r="D91" s="64">
        <v>11.72</v>
      </c>
      <c r="E91" s="64">
        <v>4.4400000000000004</v>
      </c>
      <c r="F91" s="64">
        <v>3.65</v>
      </c>
      <c r="G91" s="64">
        <v>67.900000000000006</v>
      </c>
      <c r="H91" s="64">
        <v>24.72</v>
      </c>
      <c r="I91" s="64">
        <v>4.67</v>
      </c>
      <c r="J91" s="64">
        <v>0.11</v>
      </c>
      <c r="K91" s="64">
        <v>20.88</v>
      </c>
      <c r="L91" s="64">
        <v>28.82</v>
      </c>
      <c r="M91" s="64">
        <v>93.9</v>
      </c>
      <c r="N91" s="64">
        <v>45.4</v>
      </c>
      <c r="O91" s="64">
        <v>0</v>
      </c>
      <c r="P91" s="64">
        <v>0.69</v>
      </c>
      <c r="Q91" s="64">
        <v>9.75</v>
      </c>
      <c r="R91" s="198"/>
      <c r="S91" s="198"/>
      <c r="T91" s="198"/>
      <c r="U91" s="198"/>
    </row>
    <row r="92" spans="1:26" s="12" customFormat="1" x14ac:dyDescent="0.25">
      <c r="A92" s="248" t="s">
        <v>3112</v>
      </c>
      <c r="B92" s="64">
        <v>8</v>
      </c>
      <c r="C92" s="64">
        <v>3.03</v>
      </c>
      <c r="D92" s="64">
        <v>11.77</v>
      </c>
      <c r="E92" s="64">
        <v>4.28</v>
      </c>
      <c r="F92" s="64">
        <v>3.34</v>
      </c>
      <c r="G92" s="64">
        <v>69.67</v>
      </c>
      <c r="H92" s="64">
        <v>24.93</v>
      </c>
      <c r="I92" s="64">
        <v>4.71</v>
      </c>
      <c r="J92" s="64">
        <v>7.0000000000000007E-2</v>
      </c>
      <c r="K92" s="64">
        <v>92.28</v>
      </c>
      <c r="L92" s="64">
        <v>28.61</v>
      </c>
      <c r="M92" s="64">
        <v>96.69</v>
      </c>
      <c r="N92" s="64">
        <v>45.6</v>
      </c>
      <c r="O92" s="64">
        <v>0</v>
      </c>
      <c r="P92" s="64">
        <v>0.75</v>
      </c>
      <c r="Q92" s="64">
        <v>9.75</v>
      </c>
      <c r="R92" s="198"/>
      <c r="S92" s="198"/>
      <c r="T92" s="198"/>
      <c r="U92" s="198"/>
    </row>
    <row r="93" spans="1:26" s="12" customFormat="1" x14ac:dyDescent="0.25">
      <c r="A93" s="248" t="s">
        <v>3113</v>
      </c>
      <c r="B93" s="64">
        <v>8</v>
      </c>
      <c r="C93" s="64">
        <v>3</v>
      </c>
      <c r="D93" s="64">
        <v>11.76</v>
      </c>
      <c r="E93" s="64">
        <v>4.0199999999999996</v>
      </c>
      <c r="F93" s="64">
        <v>3.51</v>
      </c>
      <c r="G93" s="64">
        <v>69.67</v>
      </c>
      <c r="H93" s="64">
        <v>24.93</v>
      </c>
      <c r="I93" s="64">
        <v>4.93</v>
      </c>
      <c r="J93" s="64">
        <v>0.26</v>
      </c>
      <c r="K93" s="64">
        <v>329.77</v>
      </c>
      <c r="L93" s="64">
        <v>28.64</v>
      </c>
      <c r="M93" s="64">
        <v>95.37</v>
      </c>
      <c r="N93" s="64">
        <v>45.5</v>
      </c>
      <c r="O93" s="64">
        <v>0</v>
      </c>
      <c r="P93" s="64">
        <v>0.81</v>
      </c>
      <c r="Q93" s="64">
        <v>9.81</v>
      </c>
      <c r="R93" s="198"/>
      <c r="S93" s="198"/>
      <c r="T93" s="198"/>
      <c r="U93" s="198"/>
    </row>
    <row r="94" spans="1:26" s="12" customFormat="1" x14ac:dyDescent="0.25">
      <c r="A94" s="248" t="s">
        <v>3114</v>
      </c>
      <c r="B94" s="64">
        <v>8.02</v>
      </c>
      <c r="C94" s="64">
        <v>3.03</v>
      </c>
      <c r="D94" s="64">
        <v>11.78</v>
      </c>
      <c r="E94" s="64">
        <v>4.1399999999999997</v>
      </c>
      <c r="F94" s="64">
        <v>3.52</v>
      </c>
      <c r="G94" s="64">
        <v>69.67</v>
      </c>
      <c r="H94" s="64">
        <v>24.93</v>
      </c>
      <c r="I94" s="64">
        <v>5.29</v>
      </c>
      <c r="J94" s="64">
        <v>0.38</v>
      </c>
      <c r="K94" s="64">
        <v>335.24</v>
      </c>
      <c r="L94" s="64">
        <v>28.8</v>
      </c>
      <c r="M94" s="64">
        <v>94.67</v>
      </c>
      <c r="N94" s="64">
        <v>45.5</v>
      </c>
      <c r="O94" s="64">
        <v>0</v>
      </c>
      <c r="P94" s="64">
        <v>0.88</v>
      </c>
      <c r="Q94" s="64">
        <v>9.86</v>
      </c>
      <c r="R94" s="198"/>
      <c r="S94" s="198"/>
      <c r="T94" s="198"/>
      <c r="U94" s="198"/>
    </row>
    <row r="95" spans="1:26" s="12" customFormat="1" x14ac:dyDescent="0.25">
      <c r="A95" s="248" t="s">
        <v>3115</v>
      </c>
      <c r="B95" s="64">
        <v>8.06</v>
      </c>
      <c r="C95" s="64">
        <v>3.14</v>
      </c>
      <c r="D95" s="64">
        <v>11.88</v>
      </c>
      <c r="E95" s="64">
        <v>4</v>
      </c>
      <c r="F95" s="64">
        <v>3.47</v>
      </c>
      <c r="G95" s="64">
        <v>79.930000000000007</v>
      </c>
      <c r="H95" s="64">
        <v>36.18</v>
      </c>
      <c r="I95" s="64">
        <v>5.64</v>
      </c>
      <c r="J95" s="64">
        <v>0.56000000000000005</v>
      </c>
      <c r="K95" s="64">
        <v>341.9</v>
      </c>
      <c r="L95" s="64">
        <v>28.93</v>
      </c>
      <c r="M95" s="64">
        <v>94.59</v>
      </c>
      <c r="N95" s="64">
        <v>44.8</v>
      </c>
      <c r="O95" s="64">
        <v>0</v>
      </c>
      <c r="P95" s="64">
        <v>0.93</v>
      </c>
      <c r="Q95" s="64">
        <v>9.92</v>
      </c>
      <c r="R95" s="198"/>
      <c r="S95" s="198"/>
      <c r="T95" s="198"/>
      <c r="U95" s="198"/>
    </row>
    <row r="96" spans="1:26" s="12" customFormat="1" x14ac:dyDescent="0.25">
      <c r="A96" s="248" t="s">
        <v>3116</v>
      </c>
      <c r="B96" s="64">
        <v>8.0299999999999994</v>
      </c>
      <c r="C96" s="64">
        <v>3.07</v>
      </c>
      <c r="D96" s="64">
        <v>11.82</v>
      </c>
      <c r="E96" s="64">
        <v>4.45</v>
      </c>
      <c r="F96" s="64">
        <v>3.43</v>
      </c>
      <c r="G96" s="64">
        <v>92.2</v>
      </c>
      <c r="H96" s="64">
        <v>43.32</v>
      </c>
      <c r="I96" s="64">
        <v>5.98</v>
      </c>
      <c r="J96" s="64">
        <v>0.64</v>
      </c>
      <c r="K96" s="64">
        <v>341.2</v>
      </c>
      <c r="L96" s="64">
        <v>28.79</v>
      </c>
      <c r="M96" s="64">
        <v>96.55</v>
      </c>
      <c r="N96" s="64">
        <v>44.5</v>
      </c>
      <c r="O96" s="64">
        <v>0</v>
      </c>
      <c r="P96" s="64">
        <v>0.97</v>
      </c>
      <c r="Q96" s="64">
        <v>9.9700000000000006</v>
      </c>
      <c r="R96" s="198"/>
      <c r="S96" s="198"/>
      <c r="T96" s="213"/>
      <c r="U96" s="198"/>
      <c r="Z96" s="109"/>
    </row>
    <row r="97" spans="1:33" s="12" customFormat="1" x14ac:dyDescent="0.25">
      <c r="A97" s="248" t="s">
        <v>3117</v>
      </c>
      <c r="B97" s="64">
        <v>8.01</v>
      </c>
      <c r="C97" s="64">
        <v>2.95</v>
      </c>
      <c r="D97" s="64">
        <v>11.74</v>
      </c>
      <c r="E97" s="64">
        <v>4.5999999999999996</v>
      </c>
      <c r="F97" s="64">
        <v>3.33</v>
      </c>
      <c r="G97" s="64">
        <v>92.2</v>
      </c>
      <c r="H97" s="64">
        <v>43.32</v>
      </c>
      <c r="I97" s="64">
        <v>6.25</v>
      </c>
      <c r="J97" s="64">
        <v>0.78</v>
      </c>
      <c r="K97" s="64">
        <v>342.65</v>
      </c>
      <c r="L97" s="64">
        <v>28.75</v>
      </c>
      <c r="M97" s="64">
        <v>97.74</v>
      </c>
      <c r="N97" s="64">
        <v>44.6</v>
      </c>
      <c r="O97" s="64">
        <v>0</v>
      </c>
      <c r="P97" s="64">
        <v>1</v>
      </c>
      <c r="Q97" s="64">
        <v>10.029999999999999</v>
      </c>
      <c r="R97" s="198"/>
      <c r="S97" s="198"/>
      <c r="T97" s="198"/>
      <c r="U97" s="198"/>
    </row>
    <row r="98" spans="1:33" s="12" customFormat="1" x14ac:dyDescent="0.25">
      <c r="A98" s="248" t="s">
        <v>3118</v>
      </c>
      <c r="B98" s="64">
        <v>8.0500000000000007</v>
      </c>
      <c r="C98" s="64">
        <v>3.06</v>
      </c>
      <c r="D98" s="64">
        <v>11.83</v>
      </c>
      <c r="E98" s="64">
        <v>4.58</v>
      </c>
      <c r="F98" s="64">
        <v>3.59</v>
      </c>
      <c r="G98" s="64">
        <v>92.2</v>
      </c>
      <c r="H98" s="64">
        <v>43.32</v>
      </c>
      <c r="I98" s="64">
        <v>6.36</v>
      </c>
      <c r="J98" s="64">
        <v>0.27</v>
      </c>
      <c r="K98" s="64">
        <v>334.47</v>
      </c>
      <c r="L98" s="64">
        <v>28.58</v>
      </c>
      <c r="M98" s="64">
        <v>98.93</v>
      </c>
      <c r="N98" s="64">
        <v>44.8</v>
      </c>
      <c r="O98" s="64">
        <v>0</v>
      </c>
      <c r="P98" s="64">
        <v>1.04</v>
      </c>
      <c r="Q98" s="64">
        <v>10.11</v>
      </c>
      <c r="R98" s="198"/>
      <c r="S98" s="198"/>
      <c r="T98" s="198"/>
      <c r="U98" s="198"/>
    </row>
    <row r="99" spans="1:33" s="12" customFormat="1" x14ac:dyDescent="0.25">
      <c r="A99" s="248" t="s">
        <v>3119</v>
      </c>
      <c r="B99" s="64">
        <v>8.07</v>
      </c>
      <c r="C99" s="64">
        <v>3.18</v>
      </c>
      <c r="D99" s="64">
        <v>11.91</v>
      </c>
      <c r="E99" s="64">
        <v>4.62</v>
      </c>
      <c r="F99" s="64">
        <v>3.52</v>
      </c>
      <c r="G99" s="64">
        <v>105.68</v>
      </c>
      <c r="H99" s="64">
        <v>45.34</v>
      </c>
      <c r="I99" s="64">
        <v>6.43</v>
      </c>
      <c r="J99" s="64">
        <v>0.47</v>
      </c>
      <c r="K99" s="64">
        <v>342.93</v>
      </c>
      <c r="L99" s="64">
        <v>28.37</v>
      </c>
      <c r="M99" s="64">
        <v>100.91</v>
      </c>
      <c r="N99" s="64">
        <v>44.5</v>
      </c>
      <c r="O99" s="64">
        <v>0</v>
      </c>
      <c r="P99" s="64">
        <v>1.08</v>
      </c>
      <c r="Q99" s="64">
        <v>10.17</v>
      </c>
      <c r="R99" s="198"/>
      <c r="S99" s="198"/>
      <c r="T99" s="198"/>
      <c r="U99" s="198"/>
    </row>
    <row r="100" spans="1:33" s="12" customFormat="1" x14ac:dyDescent="0.25">
      <c r="A100" s="248" t="s">
        <v>3120</v>
      </c>
      <c r="B100" s="64">
        <v>8.06</v>
      </c>
      <c r="C100" s="64">
        <v>3.14</v>
      </c>
      <c r="D100" s="64">
        <v>11.88</v>
      </c>
      <c r="E100" s="64">
        <v>4.58</v>
      </c>
      <c r="F100" s="64">
        <v>3.82</v>
      </c>
      <c r="G100" s="64">
        <v>121.09</v>
      </c>
      <c r="H100" s="64">
        <v>46.62</v>
      </c>
      <c r="I100" s="64">
        <v>6.49</v>
      </c>
      <c r="J100" s="64">
        <v>0.49</v>
      </c>
      <c r="K100" s="64">
        <v>335.01</v>
      </c>
      <c r="L100" s="64">
        <v>28.37</v>
      </c>
      <c r="M100" s="64">
        <v>101.37</v>
      </c>
      <c r="N100" s="64">
        <v>44.5</v>
      </c>
      <c r="O100" s="64">
        <v>0</v>
      </c>
      <c r="P100" s="64">
        <v>1.1200000000000001</v>
      </c>
      <c r="Q100" s="64">
        <v>10.119999999999999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3121</v>
      </c>
      <c r="B101" s="64">
        <v>8.08</v>
      </c>
      <c r="C101" s="64">
        <v>3.17</v>
      </c>
      <c r="D101" s="64">
        <v>11.91</v>
      </c>
      <c r="E101" s="64">
        <v>4.57</v>
      </c>
      <c r="F101" s="64">
        <v>3.5</v>
      </c>
      <c r="G101" s="64">
        <v>121.09</v>
      </c>
      <c r="H101" s="64">
        <v>46.62</v>
      </c>
      <c r="I101" s="64">
        <v>6.53</v>
      </c>
      <c r="J101" s="64">
        <v>0.61</v>
      </c>
      <c r="K101" s="64">
        <v>343.96</v>
      </c>
      <c r="L101" s="64">
        <v>28.24</v>
      </c>
      <c r="M101" s="64">
        <v>101.64</v>
      </c>
      <c r="N101" s="64">
        <v>44.5</v>
      </c>
      <c r="O101" s="64">
        <v>0</v>
      </c>
      <c r="P101" s="64">
        <v>1.1499999999999999</v>
      </c>
      <c r="Q101" s="64">
        <v>10.18</v>
      </c>
      <c r="R101" s="198"/>
      <c r="S101" s="198"/>
      <c r="T101" s="198"/>
      <c r="U101" s="198"/>
    </row>
    <row r="102" spans="1:33" s="12" customFormat="1" x14ac:dyDescent="0.25">
      <c r="A102" s="248" t="s">
        <v>3122</v>
      </c>
      <c r="B102" s="64">
        <v>8.1</v>
      </c>
      <c r="C102" s="64">
        <v>3.25</v>
      </c>
      <c r="D102" s="64">
        <v>11.97</v>
      </c>
      <c r="E102" s="64">
        <v>4.83</v>
      </c>
      <c r="F102" s="64">
        <v>3.03</v>
      </c>
      <c r="G102" s="64">
        <v>121.09</v>
      </c>
      <c r="H102" s="64">
        <v>46.62</v>
      </c>
      <c r="I102" s="64">
        <v>6.52</v>
      </c>
      <c r="J102" s="64">
        <v>0.44</v>
      </c>
      <c r="K102" s="64">
        <v>341.96</v>
      </c>
      <c r="L102" s="64">
        <v>28.25</v>
      </c>
      <c r="M102" s="64">
        <v>101.65</v>
      </c>
      <c r="N102" s="64">
        <v>44.6</v>
      </c>
      <c r="O102" s="64">
        <v>0</v>
      </c>
      <c r="P102" s="64">
        <v>1.1599999999999999</v>
      </c>
      <c r="Q102" s="64">
        <v>10.119999999999999</v>
      </c>
      <c r="R102" s="198"/>
      <c r="S102" s="198"/>
      <c r="T102" s="198"/>
      <c r="U102" s="198"/>
    </row>
    <row r="103" spans="1:33" s="12" customFormat="1" x14ac:dyDescent="0.25">
      <c r="A103" s="248" t="s">
        <v>3123</v>
      </c>
      <c r="B103" s="64">
        <v>8.0399999999999991</v>
      </c>
      <c r="C103" s="64">
        <v>3.15</v>
      </c>
      <c r="D103" s="64">
        <v>11.87</v>
      </c>
      <c r="E103" s="64">
        <v>4.5</v>
      </c>
      <c r="F103" s="64">
        <v>4.5</v>
      </c>
      <c r="G103" s="64">
        <v>129.74</v>
      </c>
      <c r="H103" s="64">
        <v>54</v>
      </c>
      <c r="I103" s="64">
        <v>6.41</v>
      </c>
      <c r="J103" s="64">
        <v>0.52</v>
      </c>
      <c r="K103" s="64">
        <v>341.66</v>
      </c>
      <c r="L103" s="64">
        <v>28.2</v>
      </c>
      <c r="M103" s="64">
        <v>101.65</v>
      </c>
      <c r="N103" s="64">
        <v>44.5</v>
      </c>
      <c r="O103" s="64">
        <v>0</v>
      </c>
      <c r="P103" s="64">
        <v>1.17</v>
      </c>
      <c r="Q103" s="64">
        <v>10.199999999999999</v>
      </c>
      <c r="R103" s="198"/>
      <c r="S103" s="198"/>
      <c r="T103" s="198"/>
      <c r="U103" s="198"/>
    </row>
    <row r="104" spans="1:33" s="12" customFormat="1" x14ac:dyDescent="0.25">
      <c r="A104" s="248" t="s">
        <v>3124</v>
      </c>
      <c r="B104" s="64">
        <v>8.0399999999999991</v>
      </c>
      <c r="C104" s="64">
        <v>3.1</v>
      </c>
      <c r="D104" s="64">
        <v>11.84</v>
      </c>
      <c r="E104" s="64">
        <v>2.7</v>
      </c>
      <c r="F104" s="64">
        <v>3.49</v>
      </c>
      <c r="G104" s="64">
        <v>139.63</v>
      </c>
      <c r="H104" s="64">
        <v>64.66</v>
      </c>
      <c r="I104" s="64">
        <v>6.38</v>
      </c>
      <c r="J104" s="64">
        <v>0.75</v>
      </c>
      <c r="K104" s="64">
        <v>340.78</v>
      </c>
      <c r="L104" s="64">
        <v>28.27</v>
      </c>
      <c r="M104" s="64">
        <v>101.45</v>
      </c>
      <c r="N104" s="64">
        <v>44.3</v>
      </c>
      <c r="O104" s="64">
        <v>0</v>
      </c>
      <c r="P104" s="64">
        <v>1.17</v>
      </c>
      <c r="Q104" s="64">
        <v>10.210000000000001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7.91</v>
      </c>
      <c r="C106" s="67">
        <f>MIN(C9:C104)</f>
        <v>2.91</v>
      </c>
      <c r="D106" s="67">
        <f t="shared" ref="D106:Q106" si="0">MIN(D9:D104)</f>
        <v>11.66</v>
      </c>
      <c r="E106" s="67">
        <f t="shared" si="0"/>
        <v>2.7</v>
      </c>
      <c r="F106" s="67">
        <f t="shared" si="0"/>
        <v>2.88</v>
      </c>
      <c r="G106" s="67">
        <f t="shared" si="0"/>
        <v>0</v>
      </c>
      <c r="H106" s="67">
        <f t="shared" si="0"/>
        <v>0.01</v>
      </c>
      <c r="I106" s="67">
        <f t="shared" si="0"/>
        <v>2.78</v>
      </c>
      <c r="J106" s="67">
        <f t="shared" si="0"/>
        <v>0.04</v>
      </c>
      <c r="K106" s="67">
        <f t="shared" si="0"/>
        <v>20.88</v>
      </c>
      <c r="L106" s="67">
        <f t="shared" si="0"/>
        <v>2.48</v>
      </c>
      <c r="M106" s="67">
        <f t="shared" si="0"/>
        <v>68.36</v>
      </c>
      <c r="N106" s="67">
        <f t="shared" si="0"/>
        <v>33.299999999999997</v>
      </c>
      <c r="O106" s="67">
        <f t="shared" si="0"/>
        <v>0</v>
      </c>
      <c r="P106" s="67">
        <f t="shared" si="0"/>
        <v>0.3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8.11</v>
      </c>
      <c r="C107" s="66">
        <f t="shared" ref="C107:Q107" si="1">MAX(C9:C104)</f>
        <v>3.25</v>
      </c>
      <c r="D107" s="66">
        <f t="shared" si="1"/>
        <v>11.97</v>
      </c>
      <c r="E107" s="66">
        <f t="shared" si="1"/>
        <v>5.74</v>
      </c>
      <c r="F107" s="66">
        <f t="shared" si="1"/>
        <v>9.44</v>
      </c>
      <c r="G107" s="66">
        <f t="shared" si="1"/>
        <v>139.63</v>
      </c>
      <c r="H107" s="66">
        <f t="shared" si="1"/>
        <v>64.66</v>
      </c>
      <c r="I107" s="66">
        <f t="shared" si="1"/>
        <v>6.67</v>
      </c>
      <c r="J107" s="66">
        <f t="shared" si="1"/>
        <v>1.43</v>
      </c>
      <c r="K107" s="66">
        <f t="shared" si="1"/>
        <v>348.97</v>
      </c>
      <c r="L107" s="66">
        <f t="shared" si="1"/>
        <v>33.25</v>
      </c>
      <c r="M107" s="66">
        <f t="shared" si="1"/>
        <v>102.02</v>
      </c>
      <c r="N107" s="66">
        <f t="shared" si="1"/>
        <v>798.3</v>
      </c>
      <c r="O107" s="66">
        <f t="shared" si="1"/>
        <v>0</v>
      </c>
      <c r="P107" s="66">
        <f t="shared" si="1"/>
        <v>1.17</v>
      </c>
      <c r="Q107" s="66">
        <f t="shared" si="1"/>
        <v>10.210000000000001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7.9756250000000017</v>
      </c>
      <c r="C108" s="67">
        <f t="shared" ref="C108:Q108" si="2">AVERAGE(C9:C104)</f>
        <v>3.0142708333333328</v>
      </c>
      <c r="D108" s="67">
        <f t="shared" si="2"/>
        <v>11.744583333333338</v>
      </c>
      <c r="E108" s="67">
        <f t="shared" si="2"/>
        <v>4.2286458333333323</v>
      </c>
      <c r="F108" s="67">
        <f t="shared" si="2"/>
        <v>3.938958333333332</v>
      </c>
      <c r="G108" s="67">
        <f t="shared" si="2"/>
        <v>53.482365591397858</v>
      </c>
      <c r="H108" s="67">
        <f t="shared" si="2"/>
        <v>15.883571428571429</v>
      </c>
      <c r="I108" s="67">
        <f t="shared" si="2"/>
        <v>4.7140625000000016</v>
      </c>
      <c r="J108" s="67">
        <f t="shared" si="2"/>
        <v>0.46979166666666683</v>
      </c>
      <c r="K108" s="67">
        <f t="shared" si="2"/>
        <v>197.65093750000003</v>
      </c>
      <c r="L108" s="67">
        <f t="shared" si="2"/>
        <v>28.33197916666666</v>
      </c>
      <c r="M108" s="67">
        <f t="shared" si="2"/>
        <v>91.087395833333332</v>
      </c>
      <c r="N108" s="67">
        <f t="shared" si="2"/>
        <v>173.67812499999999</v>
      </c>
      <c r="O108" s="67">
        <f t="shared" si="2"/>
        <v>0</v>
      </c>
      <c r="P108" s="67">
        <f t="shared" si="2"/>
        <v>0.50270833333333331</v>
      </c>
      <c r="Q108" s="67">
        <f t="shared" si="2"/>
        <v>9.6935416666666647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4.5138675213169423E-2</v>
      </c>
      <c r="C109" s="67">
        <f t="shared" ref="C109:Q109" si="3">STDEV(C9:C104)</f>
        <v>6.6928788419470475E-2</v>
      </c>
      <c r="D109" s="67">
        <f t="shared" si="3"/>
        <v>6.7010080414762807E-2</v>
      </c>
      <c r="E109" s="67">
        <f t="shared" si="3"/>
        <v>0.76124360827553716</v>
      </c>
      <c r="F109" s="67">
        <f t="shared" si="3"/>
        <v>0.95922279851606385</v>
      </c>
      <c r="G109" s="67">
        <f t="shared" si="3"/>
        <v>28.859349227267966</v>
      </c>
      <c r="H109" s="67">
        <f t="shared" si="3"/>
        <v>18.62296777721448</v>
      </c>
      <c r="I109" s="67">
        <f t="shared" si="3"/>
        <v>1.068931171163136</v>
      </c>
      <c r="J109" s="67">
        <f t="shared" si="3"/>
        <v>0.28254102325956337</v>
      </c>
      <c r="K109" s="67">
        <f t="shared" si="3"/>
        <v>118.1781098982033</v>
      </c>
      <c r="L109" s="67">
        <f t="shared" si="3"/>
        <v>3.7398149742556881</v>
      </c>
      <c r="M109" s="67">
        <f t="shared" si="3"/>
        <v>11.871088474439834</v>
      </c>
      <c r="N109" s="67">
        <f t="shared" si="3"/>
        <v>195.54149065883431</v>
      </c>
      <c r="O109" s="67">
        <f t="shared" si="3"/>
        <v>0</v>
      </c>
      <c r="P109" s="67">
        <f t="shared" si="3"/>
        <v>0.22673647660789273</v>
      </c>
      <c r="Q109" s="67">
        <f t="shared" si="3"/>
        <v>1.0147127974966901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COUNT(H9:H104)+40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8" t="s">
        <v>3125</v>
      </c>
      <c r="B9" s="64">
        <v>8.0500000000000007</v>
      </c>
      <c r="C9" s="64">
        <v>3.13</v>
      </c>
      <c r="D9" s="64">
        <v>11.87</v>
      </c>
      <c r="E9" s="64">
        <v>3.8</v>
      </c>
      <c r="F9" s="64">
        <v>3.67</v>
      </c>
      <c r="G9" s="64">
        <v>139.63</v>
      </c>
      <c r="H9" s="64">
        <v>64.66</v>
      </c>
      <c r="I9" s="64">
        <v>6.39</v>
      </c>
      <c r="J9" s="64">
        <v>1.2</v>
      </c>
      <c r="K9" s="64">
        <v>336.02</v>
      </c>
      <c r="L9" s="64">
        <v>28.54</v>
      </c>
      <c r="M9" s="64">
        <v>98.08</v>
      </c>
      <c r="N9" s="64">
        <v>44</v>
      </c>
      <c r="O9" s="64">
        <v>0</v>
      </c>
      <c r="P9" s="64">
        <v>1.1399999999999999</v>
      </c>
      <c r="Q9" s="64">
        <v>10.15</v>
      </c>
      <c r="R9" s="198"/>
      <c r="S9" s="198"/>
      <c r="T9" s="198"/>
      <c r="U9" s="198"/>
    </row>
    <row r="10" spans="1:21" s="12" customFormat="1" x14ac:dyDescent="0.25">
      <c r="A10" s="248" t="s">
        <v>3126</v>
      </c>
      <c r="B10" s="64">
        <v>7.99</v>
      </c>
      <c r="C10" s="64">
        <v>3.07</v>
      </c>
      <c r="D10" s="64">
        <v>11.79</v>
      </c>
      <c r="E10" s="64">
        <v>3.78</v>
      </c>
      <c r="F10" s="64">
        <v>4.4800000000000004</v>
      </c>
      <c r="G10" s="64">
        <v>139.63</v>
      </c>
      <c r="H10" s="64">
        <v>64.66</v>
      </c>
      <c r="I10" s="64">
        <v>6.25</v>
      </c>
      <c r="J10" s="64">
        <v>1.41</v>
      </c>
      <c r="K10" s="64">
        <v>338.36</v>
      </c>
      <c r="L10" s="64">
        <v>28.53</v>
      </c>
      <c r="M10" s="64">
        <v>99.89</v>
      </c>
      <c r="N10" s="64">
        <v>44.9</v>
      </c>
      <c r="O10" s="64">
        <v>0</v>
      </c>
      <c r="P10" s="64">
        <v>1.1000000000000001</v>
      </c>
      <c r="Q10" s="64">
        <v>10.18</v>
      </c>
      <c r="R10" s="198"/>
      <c r="S10" s="198"/>
      <c r="T10" s="198"/>
      <c r="U10" s="198"/>
    </row>
    <row r="11" spans="1:21" s="12" customFormat="1" x14ac:dyDescent="0.25">
      <c r="A11" s="248" t="s">
        <v>3127</v>
      </c>
      <c r="B11" s="64">
        <v>8.02</v>
      </c>
      <c r="C11" s="64">
        <v>3.07</v>
      </c>
      <c r="D11" s="64">
        <v>11.81</v>
      </c>
      <c r="E11" s="64">
        <v>3.71</v>
      </c>
      <c r="F11" s="64">
        <v>2.85</v>
      </c>
      <c r="G11" s="64">
        <v>135.41</v>
      </c>
      <c r="H11" s="64">
        <v>56.55</v>
      </c>
      <c r="I11" s="64">
        <v>6.14</v>
      </c>
      <c r="J11" s="64">
        <v>1.6</v>
      </c>
      <c r="K11" s="64">
        <v>335.55</v>
      </c>
      <c r="L11" s="64">
        <v>28.52</v>
      </c>
      <c r="M11" s="64">
        <v>99.88</v>
      </c>
      <c r="N11" s="64">
        <v>44.9</v>
      </c>
      <c r="O11" s="64">
        <v>0</v>
      </c>
      <c r="P11" s="64">
        <v>1.05</v>
      </c>
      <c r="Q11" s="64">
        <v>10.1</v>
      </c>
      <c r="R11" s="198"/>
      <c r="S11" s="198"/>
      <c r="T11" s="198"/>
      <c r="U11" s="198"/>
    </row>
    <row r="12" spans="1:21" s="12" customFormat="1" x14ac:dyDescent="0.25">
      <c r="A12" s="248" t="s">
        <v>3128</v>
      </c>
      <c r="B12" s="64">
        <v>8.0299999999999994</v>
      </c>
      <c r="C12" s="64">
        <v>3.05</v>
      </c>
      <c r="D12" s="64">
        <v>11.81</v>
      </c>
      <c r="E12" s="64">
        <v>3.52</v>
      </c>
      <c r="F12" s="64">
        <v>3.25</v>
      </c>
      <c r="G12" s="64">
        <v>130.38</v>
      </c>
      <c r="H12" s="64">
        <v>51.41</v>
      </c>
      <c r="I12" s="64">
        <v>5.88</v>
      </c>
      <c r="J12" s="64">
        <v>1.45</v>
      </c>
      <c r="K12" s="64">
        <v>337.2</v>
      </c>
      <c r="L12" s="64">
        <v>28.39</v>
      </c>
      <c r="M12" s="64">
        <v>100.88</v>
      </c>
      <c r="N12" s="64">
        <v>45</v>
      </c>
      <c r="O12" s="64">
        <v>0</v>
      </c>
      <c r="P12" s="64">
        <v>1.01</v>
      </c>
      <c r="Q12" s="64">
        <v>10.029999999999999</v>
      </c>
      <c r="R12" s="198"/>
      <c r="S12" s="198"/>
      <c r="T12" s="198"/>
      <c r="U12" s="198"/>
    </row>
    <row r="13" spans="1:21" s="12" customFormat="1" x14ac:dyDescent="0.25">
      <c r="A13" s="248" t="s">
        <v>3129</v>
      </c>
      <c r="B13" s="64">
        <v>8</v>
      </c>
      <c r="C13" s="64">
        <v>3.03</v>
      </c>
      <c r="D13" s="64">
        <v>11.77</v>
      </c>
      <c r="E13" s="64">
        <v>3.63</v>
      </c>
      <c r="F13" s="64">
        <v>3.43</v>
      </c>
      <c r="G13" s="64">
        <v>130.38</v>
      </c>
      <c r="H13" s="64">
        <v>51.41</v>
      </c>
      <c r="I13" s="64">
        <v>5.6</v>
      </c>
      <c r="J13" s="64">
        <v>1.44</v>
      </c>
      <c r="K13" s="64">
        <v>335.7</v>
      </c>
      <c r="L13" s="64">
        <v>28.29</v>
      </c>
      <c r="M13" s="64">
        <v>99.21</v>
      </c>
      <c r="N13" s="64">
        <v>44.9</v>
      </c>
      <c r="O13" s="64">
        <v>0</v>
      </c>
      <c r="P13" s="64">
        <v>0.85</v>
      </c>
      <c r="Q13" s="64">
        <v>10.01</v>
      </c>
      <c r="R13" s="198"/>
      <c r="S13" s="198"/>
      <c r="T13" s="198"/>
      <c r="U13" s="198"/>
    </row>
    <row r="14" spans="1:21" s="12" customFormat="1" x14ac:dyDescent="0.25">
      <c r="A14" s="248" t="s">
        <v>3130</v>
      </c>
      <c r="B14" s="64">
        <v>8.0299999999999994</v>
      </c>
      <c r="C14" s="64">
        <v>3.04</v>
      </c>
      <c r="D14" s="64">
        <v>11.8</v>
      </c>
      <c r="E14" s="64">
        <v>3.36</v>
      </c>
      <c r="F14" s="64">
        <v>3.58</v>
      </c>
      <c r="G14" s="64">
        <v>130.38</v>
      </c>
      <c r="H14" s="64">
        <v>51.41</v>
      </c>
      <c r="I14" s="64">
        <v>5.39</v>
      </c>
      <c r="J14" s="64">
        <v>1.33</v>
      </c>
      <c r="K14" s="64">
        <v>335.58</v>
      </c>
      <c r="L14" s="64">
        <v>28.28</v>
      </c>
      <c r="M14" s="64">
        <v>97.57</v>
      </c>
      <c r="N14" s="64">
        <v>44.9</v>
      </c>
      <c r="O14" s="64">
        <v>0</v>
      </c>
      <c r="P14" s="64">
        <v>0.86</v>
      </c>
      <c r="Q14" s="64">
        <v>9.98</v>
      </c>
      <c r="R14" s="198"/>
      <c r="S14" s="198"/>
      <c r="T14" s="198"/>
      <c r="U14" s="198"/>
    </row>
    <row r="15" spans="1:21" s="12" customFormat="1" x14ac:dyDescent="0.25">
      <c r="A15" s="248" t="s">
        <v>3131</v>
      </c>
      <c r="B15" s="64">
        <v>8.0299999999999994</v>
      </c>
      <c r="C15" s="64">
        <v>3.06</v>
      </c>
      <c r="D15" s="64">
        <v>11.82</v>
      </c>
      <c r="E15" s="64">
        <v>3.41</v>
      </c>
      <c r="F15" s="64">
        <v>3.34</v>
      </c>
      <c r="G15" s="64">
        <v>122.85</v>
      </c>
      <c r="H15" s="64">
        <v>43.31</v>
      </c>
      <c r="I15" s="64">
        <v>5.27</v>
      </c>
      <c r="J15" s="64">
        <v>0.78</v>
      </c>
      <c r="K15" s="64">
        <v>332.59</v>
      </c>
      <c r="L15" s="64">
        <v>28.29</v>
      </c>
      <c r="M15" s="64">
        <v>96.02</v>
      </c>
      <c r="N15" s="64">
        <v>45.1</v>
      </c>
      <c r="O15" s="64">
        <v>0</v>
      </c>
      <c r="P15" s="64">
        <v>0.84</v>
      </c>
      <c r="Q15" s="64">
        <v>9.9700000000000006</v>
      </c>
      <c r="R15" s="198"/>
      <c r="S15" s="198"/>
      <c r="T15" s="198"/>
      <c r="U15" s="198"/>
    </row>
    <row r="16" spans="1:21" s="12" customFormat="1" x14ac:dyDescent="0.25">
      <c r="A16" s="248" t="s">
        <v>3132</v>
      </c>
      <c r="B16" s="64">
        <v>8.01</v>
      </c>
      <c r="C16" s="64">
        <v>2.99</v>
      </c>
      <c r="D16" s="64">
        <v>11.76</v>
      </c>
      <c r="E16" s="64">
        <v>3.59</v>
      </c>
      <c r="F16" s="64">
        <v>3.66</v>
      </c>
      <c r="G16" s="64">
        <v>113.86</v>
      </c>
      <c r="H16" s="64">
        <v>38.17</v>
      </c>
      <c r="I16" s="64">
        <v>5.19</v>
      </c>
      <c r="J16" s="64">
        <v>1.1499999999999999</v>
      </c>
      <c r="K16" s="64">
        <v>333.76</v>
      </c>
      <c r="L16" s="64">
        <v>28.24</v>
      </c>
      <c r="M16" s="64">
        <v>94.89</v>
      </c>
      <c r="N16" s="64">
        <v>45</v>
      </c>
      <c r="O16" s="64">
        <v>0</v>
      </c>
      <c r="P16" s="64">
        <v>0.81</v>
      </c>
      <c r="Q16" s="64">
        <v>9.94</v>
      </c>
      <c r="R16" s="198"/>
      <c r="S16" s="198"/>
      <c r="T16" s="198"/>
      <c r="U16" s="198"/>
    </row>
    <row r="17" spans="1:21" s="12" customFormat="1" x14ac:dyDescent="0.25">
      <c r="A17" s="248" t="s">
        <v>3133</v>
      </c>
      <c r="B17" s="64">
        <v>8.01</v>
      </c>
      <c r="C17" s="64">
        <v>2.97</v>
      </c>
      <c r="D17" s="64">
        <v>11.75</v>
      </c>
      <c r="E17" s="64">
        <v>3.46</v>
      </c>
      <c r="F17" s="64">
        <v>3.52</v>
      </c>
      <c r="G17" s="64">
        <v>113.86</v>
      </c>
      <c r="H17" s="64">
        <v>38.17</v>
      </c>
      <c r="I17" s="64">
        <v>5.19</v>
      </c>
      <c r="J17" s="64">
        <v>1.1599999999999999</v>
      </c>
      <c r="K17" s="64">
        <v>332.92</v>
      </c>
      <c r="L17" s="64">
        <v>27.97</v>
      </c>
      <c r="M17" s="64">
        <v>97.46</v>
      </c>
      <c r="N17" s="64">
        <v>45.4</v>
      </c>
      <c r="O17" s="64">
        <v>0</v>
      </c>
      <c r="P17" s="64">
        <v>0.8</v>
      </c>
      <c r="Q17" s="64">
        <v>9.93</v>
      </c>
      <c r="R17" s="198"/>
      <c r="S17" s="198"/>
      <c r="T17" s="198"/>
      <c r="U17" s="198"/>
    </row>
    <row r="18" spans="1:21" s="12" customFormat="1" x14ac:dyDescent="0.25">
      <c r="A18" s="248" t="s">
        <v>3134</v>
      </c>
      <c r="B18" s="64">
        <v>7.99</v>
      </c>
      <c r="C18" s="64">
        <v>2.97</v>
      </c>
      <c r="D18" s="64">
        <v>11.74</v>
      </c>
      <c r="E18" s="64">
        <v>3.39</v>
      </c>
      <c r="F18" s="64">
        <v>3.75</v>
      </c>
      <c r="G18" s="64">
        <v>113.86</v>
      </c>
      <c r="H18" s="64">
        <v>38.17</v>
      </c>
      <c r="I18" s="64">
        <v>5.25</v>
      </c>
      <c r="J18" s="64">
        <v>0.59</v>
      </c>
      <c r="K18" s="64">
        <v>326.86</v>
      </c>
      <c r="L18" s="64">
        <v>27.72</v>
      </c>
      <c r="M18" s="64">
        <v>100.77</v>
      </c>
      <c r="N18" s="64">
        <v>45.6</v>
      </c>
      <c r="O18" s="64">
        <v>0</v>
      </c>
      <c r="P18" s="64">
        <v>0.77</v>
      </c>
      <c r="Q18" s="64">
        <v>9.91</v>
      </c>
      <c r="R18" s="198"/>
      <c r="S18" s="198"/>
      <c r="T18" s="198"/>
      <c r="U18" s="198"/>
    </row>
    <row r="19" spans="1:21" s="12" customFormat="1" x14ac:dyDescent="0.25">
      <c r="A19" s="248" t="s">
        <v>3135</v>
      </c>
      <c r="B19" s="64">
        <v>7.95</v>
      </c>
      <c r="C19" s="64">
        <v>2.97</v>
      </c>
      <c r="D19" s="64">
        <v>11.7</v>
      </c>
      <c r="E19" s="64">
        <v>3.16</v>
      </c>
      <c r="F19" s="64">
        <v>3.81</v>
      </c>
      <c r="G19" s="64">
        <v>103.32</v>
      </c>
      <c r="H19" s="64">
        <v>28.4</v>
      </c>
      <c r="I19" s="64">
        <v>5.0999999999999996</v>
      </c>
      <c r="J19" s="64">
        <v>0.53</v>
      </c>
      <c r="K19" s="64">
        <v>336.66</v>
      </c>
      <c r="L19" s="64">
        <v>27.44</v>
      </c>
      <c r="M19" s="64">
        <v>101.63</v>
      </c>
      <c r="N19" s="64">
        <v>45.3</v>
      </c>
      <c r="O19" s="64">
        <v>0</v>
      </c>
      <c r="P19" s="64">
        <v>0.74</v>
      </c>
      <c r="Q19" s="64">
        <v>9.92</v>
      </c>
      <c r="R19" s="198"/>
      <c r="S19" s="198"/>
      <c r="T19" s="198"/>
      <c r="U19" s="198"/>
    </row>
    <row r="20" spans="1:21" s="12" customFormat="1" x14ac:dyDescent="0.25">
      <c r="A20" s="248" t="s">
        <v>3136</v>
      </c>
      <c r="B20" s="64">
        <v>7.94</v>
      </c>
      <c r="C20" s="64">
        <v>3</v>
      </c>
      <c r="D20" s="64">
        <v>11.71</v>
      </c>
      <c r="E20" s="64">
        <v>3.5</v>
      </c>
      <c r="F20" s="64">
        <v>3.18</v>
      </c>
      <c r="G20" s="64">
        <v>90.73</v>
      </c>
      <c r="H20" s="64">
        <v>22.2</v>
      </c>
      <c r="I20" s="64">
        <v>4.97</v>
      </c>
      <c r="J20" s="64">
        <v>0.51</v>
      </c>
      <c r="K20" s="64">
        <v>344.16</v>
      </c>
      <c r="L20" s="64">
        <v>27.41</v>
      </c>
      <c r="M20" s="64">
        <v>101.63</v>
      </c>
      <c r="N20" s="64">
        <v>45.2</v>
      </c>
      <c r="O20" s="64">
        <v>0</v>
      </c>
      <c r="P20" s="64">
        <v>0.71</v>
      </c>
      <c r="Q20" s="64">
        <v>9.86</v>
      </c>
      <c r="R20" s="198"/>
      <c r="S20" s="198"/>
      <c r="T20" s="198"/>
      <c r="U20" s="198"/>
    </row>
    <row r="21" spans="1:21" s="12" customFormat="1" x14ac:dyDescent="0.25">
      <c r="A21" s="248" t="s">
        <v>3137</v>
      </c>
      <c r="B21" s="64">
        <v>7.95</v>
      </c>
      <c r="C21" s="64">
        <v>2.97</v>
      </c>
      <c r="D21" s="64">
        <v>11.7</v>
      </c>
      <c r="E21" s="64">
        <v>3.08</v>
      </c>
      <c r="F21" s="64">
        <v>4.46</v>
      </c>
      <c r="G21" s="64">
        <v>90.73</v>
      </c>
      <c r="H21" s="64">
        <v>22.2</v>
      </c>
      <c r="I21" s="64">
        <v>4.9400000000000004</v>
      </c>
      <c r="J21" s="64">
        <v>0.13</v>
      </c>
      <c r="K21" s="64">
        <v>18.07</v>
      </c>
      <c r="L21" s="64">
        <v>27.29</v>
      </c>
      <c r="M21" s="64">
        <v>101.64</v>
      </c>
      <c r="N21" s="64">
        <v>45.2</v>
      </c>
      <c r="O21" s="64">
        <v>0</v>
      </c>
      <c r="P21" s="64">
        <v>0.68</v>
      </c>
      <c r="Q21" s="64">
        <v>9.81</v>
      </c>
      <c r="R21" s="198"/>
      <c r="S21" s="198"/>
      <c r="T21" s="198"/>
      <c r="U21" s="198"/>
    </row>
    <row r="22" spans="1:21" s="12" customFormat="1" x14ac:dyDescent="0.25">
      <c r="A22" s="248" t="s">
        <v>3138</v>
      </c>
      <c r="B22" s="64">
        <v>7.96</v>
      </c>
      <c r="C22" s="64">
        <v>2.96</v>
      </c>
      <c r="D22" s="64">
        <v>11.71</v>
      </c>
      <c r="E22" s="64">
        <v>3.5</v>
      </c>
      <c r="F22" s="64">
        <v>3.42</v>
      </c>
      <c r="G22" s="64">
        <v>90.73</v>
      </c>
      <c r="H22" s="64">
        <v>22.2</v>
      </c>
      <c r="I22" s="64">
        <v>4.8099999999999996</v>
      </c>
      <c r="J22" s="64">
        <v>0.1</v>
      </c>
      <c r="K22" s="64">
        <v>280.24</v>
      </c>
      <c r="L22" s="64">
        <v>27.29</v>
      </c>
      <c r="M22" s="64">
        <v>101.65</v>
      </c>
      <c r="N22" s="64">
        <v>45.2</v>
      </c>
      <c r="O22" s="64">
        <v>0</v>
      </c>
      <c r="P22" s="64">
        <v>0.65</v>
      </c>
      <c r="Q22" s="64">
        <v>9.7799999999999994</v>
      </c>
      <c r="R22" s="198"/>
      <c r="S22" s="198"/>
      <c r="T22" s="198"/>
      <c r="U22" s="198"/>
    </row>
    <row r="23" spans="1:21" s="12" customFormat="1" x14ac:dyDescent="0.25">
      <c r="A23" s="248" t="s">
        <v>3139</v>
      </c>
      <c r="B23" s="64">
        <v>7.96</v>
      </c>
      <c r="C23" s="64">
        <v>2.97</v>
      </c>
      <c r="D23" s="64">
        <v>11.71</v>
      </c>
      <c r="E23" s="64">
        <v>3.46</v>
      </c>
      <c r="F23" s="64">
        <v>3.88</v>
      </c>
      <c r="G23" s="64">
        <v>73.02</v>
      </c>
      <c r="H23" s="64">
        <v>19.989999999999998</v>
      </c>
      <c r="I23" s="64">
        <v>4.76</v>
      </c>
      <c r="J23" s="64">
        <v>0.19</v>
      </c>
      <c r="K23" s="64">
        <v>341.51</v>
      </c>
      <c r="L23" s="64">
        <v>27.33</v>
      </c>
      <c r="M23" s="64">
        <v>101.65</v>
      </c>
      <c r="N23" s="64">
        <v>45.3</v>
      </c>
      <c r="O23" s="64">
        <v>0</v>
      </c>
      <c r="P23" s="64">
        <v>0.62</v>
      </c>
      <c r="Q23" s="64">
        <v>9.7799999999999994</v>
      </c>
      <c r="R23" s="198"/>
      <c r="S23" s="198"/>
      <c r="T23" s="198"/>
      <c r="U23" s="198"/>
    </row>
    <row r="24" spans="1:21" s="12" customFormat="1" x14ac:dyDescent="0.25">
      <c r="A24" s="248" t="s">
        <v>3140</v>
      </c>
      <c r="B24" s="64">
        <v>7.94</v>
      </c>
      <c r="C24" s="64">
        <v>2.92</v>
      </c>
      <c r="D24" s="64">
        <v>11.67</v>
      </c>
      <c r="E24" s="64">
        <v>5.56</v>
      </c>
      <c r="F24" s="64">
        <v>4.16</v>
      </c>
      <c r="G24" s="64">
        <v>51.87</v>
      </c>
      <c r="H24" s="64">
        <v>16.78</v>
      </c>
      <c r="I24" s="64">
        <v>4.6900000000000004</v>
      </c>
      <c r="J24" s="64">
        <v>0.21</v>
      </c>
      <c r="K24" s="64">
        <v>321.77</v>
      </c>
      <c r="L24" s="64">
        <v>27.24</v>
      </c>
      <c r="M24" s="64">
        <v>101.65</v>
      </c>
      <c r="N24" s="64">
        <v>45</v>
      </c>
      <c r="O24" s="64">
        <v>0</v>
      </c>
      <c r="P24" s="64">
        <v>0.6</v>
      </c>
      <c r="Q24" s="64">
        <v>9.8000000000000007</v>
      </c>
      <c r="R24" s="198"/>
      <c r="S24" s="198"/>
      <c r="T24" s="198"/>
      <c r="U24" s="198"/>
    </row>
    <row r="25" spans="1:21" s="12" customFormat="1" x14ac:dyDescent="0.25">
      <c r="A25" s="248" t="s">
        <v>3141</v>
      </c>
      <c r="B25" s="64">
        <v>7.94</v>
      </c>
      <c r="C25" s="64">
        <v>2.94</v>
      </c>
      <c r="D25" s="64">
        <v>11.68</v>
      </c>
      <c r="E25" s="64">
        <v>5.3</v>
      </c>
      <c r="F25" s="64">
        <v>2.5299999999999998</v>
      </c>
      <c r="G25" s="64">
        <v>51.87</v>
      </c>
      <c r="H25" s="64">
        <v>16.78</v>
      </c>
      <c r="I25" s="64">
        <v>4.62</v>
      </c>
      <c r="J25" s="64">
        <v>0.62</v>
      </c>
      <c r="K25" s="64">
        <v>327.29000000000002</v>
      </c>
      <c r="L25" s="64">
        <v>27.2</v>
      </c>
      <c r="M25" s="64">
        <v>101.65</v>
      </c>
      <c r="N25" s="64">
        <v>44.4</v>
      </c>
      <c r="O25" s="64">
        <v>0</v>
      </c>
      <c r="P25" s="64">
        <v>0.56999999999999995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48" t="s">
        <v>3142</v>
      </c>
      <c r="B26" s="64">
        <v>7.98</v>
      </c>
      <c r="C26" s="64">
        <v>2.98</v>
      </c>
      <c r="D26" s="64">
        <v>11.73</v>
      </c>
      <c r="E26" s="64">
        <v>4.7699999999999996</v>
      </c>
      <c r="F26" s="64">
        <v>4.2699999999999996</v>
      </c>
      <c r="G26" s="64">
        <v>51.87</v>
      </c>
      <c r="H26" s="64">
        <v>16.78</v>
      </c>
      <c r="I26" s="64">
        <v>4.58</v>
      </c>
      <c r="J26" s="64">
        <v>0.24</v>
      </c>
      <c r="K26" s="64">
        <v>339.74</v>
      </c>
      <c r="L26" s="64">
        <v>27.18</v>
      </c>
      <c r="M26" s="64">
        <v>101.65</v>
      </c>
      <c r="N26" s="64">
        <v>45.1</v>
      </c>
      <c r="O26" s="64">
        <v>0</v>
      </c>
      <c r="P26" s="64">
        <v>0.55000000000000004</v>
      </c>
      <c r="Q26" s="64">
        <v>9.7100000000000009</v>
      </c>
      <c r="R26" s="198"/>
      <c r="S26" s="198"/>
      <c r="T26" s="198"/>
      <c r="U26" s="198"/>
    </row>
    <row r="27" spans="1:21" s="12" customFormat="1" x14ac:dyDescent="0.25">
      <c r="A27" s="248" t="s">
        <v>3143</v>
      </c>
      <c r="B27" s="64">
        <v>7.98</v>
      </c>
      <c r="C27" s="64">
        <v>3</v>
      </c>
      <c r="D27" s="64">
        <v>11.75</v>
      </c>
      <c r="E27" s="64">
        <v>5.45</v>
      </c>
      <c r="F27" s="64">
        <v>4.08</v>
      </c>
      <c r="G27" s="64">
        <v>43.79</v>
      </c>
      <c r="H27" s="64">
        <v>8.44</v>
      </c>
      <c r="I27" s="64">
        <v>4.41</v>
      </c>
      <c r="J27" s="64">
        <v>0.69</v>
      </c>
      <c r="K27" s="64">
        <v>335.55</v>
      </c>
      <c r="L27" s="64">
        <v>27.04</v>
      </c>
      <c r="M27" s="64">
        <v>101.65</v>
      </c>
      <c r="N27" s="64">
        <v>45.1</v>
      </c>
      <c r="O27" s="64">
        <v>0</v>
      </c>
      <c r="P27" s="64">
        <v>0.54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48" t="s">
        <v>3144</v>
      </c>
      <c r="B28" s="64">
        <v>7.99</v>
      </c>
      <c r="C28" s="64">
        <v>3.05</v>
      </c>
      <c r="D28" s="64">
        <v>11.77</v>
      </c>
      <c r="E28" s="64">
        <v>5.19</v>
      </c>
      <c r="F28" s="64">
        <v>2.88</v>
      </c>
      <c r="G28" s="64">
        <v>34.130000000000003</v>
      </c>
      <c r="H28" s="64">
        <v>3.15</v>
      </c>
      <c r="I28" s="64">
        <v>4.3600000000000003</v>
      </c>
      <c r="J28" s="64">
        <v>0.56000000000000005</v>
      </c>
      <c r="K28" s="64">
        <v>327.02999999999997</v>
      </c>
      <c r="L28" s="64">
        <v>27.08</v>
      </c>
      <c r="M28" s="64">
        <v>101.65</v>
      </c>
      <c r="N28" s="64">
        <v>45.1</v>
      </c>
      <c r="O28" s="64">
        <v>0</v>
      </c>
      <c r="P28" s="64">
        <v>0.51</v>
      </c>
      <c r="Q28" s="64">
        <v>9.68</v>
      </c>
      <c r="R28" s="198"/>
      <c r="S28" s="198"/>
      <c r="T28" s="198"/>
      <c r="U28" s="198"/>
    </row>
    <row r="29" spans="1:21" s="12" customFormat="1" x14ac:dyDescent="0.25">
      <c r="A29" s="248" t="s">
        <v>3145</v>
      </c>
      <c r="B29" s="64">
        <v>8</v>
      </c>
      <c r="C29" s="64">
        <v>3</v>
      </c>
      <c r="D29" s="64">
        <v>11.76</v>
      </c>
      <c r="E29" s="64">
        <v>4.9400000000000004</v>
      </c>
      <c r="F29" s="64">
        <v>3.29</v>
      </c>
      <c r="G29" s="64">
        <v>34.130000000000003</v>
      </c>
      <c r="H29" s="64">
        <v>3.15</v>
      </c>
      <c r="I29" s="64">
        <v>4.28</v>
      </c>
      <c r="J29" s="64">
        <v>0.5</v>
      </c>
      <c r="K29" s="64">
        <v>334.92</v>
      </c>
      <c r="L29" s="64">
        <v>26.99</v>
      </c>
      <c r="M29" s="64">
        <v>101.63</v>
      </c>
      <c r="N29" s="64">
        <v>45.2</v>
      </c>
      <c r="O29" s="64">
        <v>0</v>
      </c>
      <c r="P29" s="64">
        <v>0.49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48" t="s">
        <v>3146</v>
      </c>
      <c r="B30" s="64">
        <v>8.06</v>
      </c>
      <c r="C30" s="64">
        <v>3.09</v>
      </c>
      <c r="D30" s="64">
        <v>11.85</v>
      </c>
      <c r="E30" s="64">
        <v>5.0599999999999996</v>
      </c>
      <c r="F30" s="64">
        <v>3.41</v>
      </c>
      <c r="G30" s="64">
        <v>34.130000000000003</v>
      </c>
      <c r="H30" s="64">
        <v>3.15</v>
      </c>
      <c r="I30" s="64">
        <v>4.29</v>
      </c>
      <c r="J30" s="64">
        <v>0.32</v>
      </c>
      <c r="K30" s="64">
        <v>331.03</v>
      </c>
      <c r="L30" s="64">
        <v>26.96</v>
      </c>
      <c r="M30" s="64">
        <v>101.63</v>
      </c>
      <c r="N30" s="64">
        <v>45.2</v>
      </c>
      <c r="O30" s="64">
        <v>0</v>
      </c>
      <c r="P30" s="64">
        <v>0.48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48" t="s">
        <v>3147</v>
      </c>
      <c r="B31" s="64">
        <v>8.01</v>
      </c>
      <c r="C31" s="64">
        <v>3</v>
      </c>
      <c r="D31" s="64">
        <v>11.76</v>
      </c>
      <c r="E31" s="64">
        <v>5.21</v>
      </c>
      <c r="F31" s="64">
        <v>3.07</v>
      </c>
      <c r="G31" s="64">
        <v>30.94</v>
      </c>
      <c r="H31" s="64">
        <v>9.02</v>
      </c>
      <c r="I31" s="64">
        <v>4.3899999999999997</v>
      </c>
      <c r="J31" s="64">
        <v>0.09</v>
      </c>
      <c r="K31" s="64">
        <v>330.38</v>
      </c>
      <c r="L31" s="64">
        <v>26.81</v>
      </c>
      <c r="M31" s="64">
        <v>101.64</v>
      </c>
      <c r="N31" s="64">
        <v>46.5</v>
      </c>
      <c r="O31" s="64">
        <v>0</v>
      </c>
      <c r="P31" s="64">
        <v>0.48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48" t="s">
        <v>3148</v>
      </c>
      <c r="B32" s="64">
        <v>8</v>
      </c>
      <c r="C32" s="64">
        <v>2.99</v>
      </c>
      <c r="D32" s="64">
        <v>11.75</v>
      </c>
      <c r="E32" s="64">
        <v>4.8499999999999996</v>
      </c>
      <c r="F32" s="64">
        <v>3.22</v>
      </c>
      <c r="G32" s="64">
        <v>27.12</v>
      </c>
      <c r="H32" s="64">
        <v>12.74</v>
      </c>
      <c r="I32" s="64">
        <v>4.51</v>
      </c>
      <c r="J32" s="64">
        <v>0.22</v>
      </c>
      <c r="K32" s="64">
        <v>323.04000000000002</v>
      </c>
      <c r="L32" s="64">
        <v>26.89</v>
      </c>
      <c r="M32" s="64">
        <v>101.63</v>
      </c>
      <c r="N32" s="64">
        <v>55.2</v>
      </c>
      <c r="O32" s="64">
        <v>0</v>
      </c>
      <c r="P32" s="64">
        <v>0.47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48" t="s">
        <v>3149</v>
      </c>
      <c r="B33" s="64">
        <v>7.99</v>
      </c>
      <c r="C33" s="64">
        <v>2.98</v>
      </c>
      <c r="D33" s="64">
        <v>11.74</v>
      </c>
      <c r="E33" s="64">
        <v>5.04</v>
      </c>
      <c r="F33" s="64">
        <v>3.22</v>
      </c>
      <c r="G33" s="64">
        <v>27.12</v>
      </c>
      <c r="H33" s="64">
        <v>12.74</v>
      </c>
      <c r="I33" s="64">
        <v>4.75</v>
      </c>
      <c r="J33" s="64">
        <v>0.12</v>
      </c>
      <c r="K33" s="64">
        <v>336.11</v>
      </c>
      <c r="L33" s="64">
        <v>27.03</v>
      </c>
      <c r="M33" s="64">
        <v>101.63</v>
      </c>
      <c r="N33" s="64">
        <v>67.7</v>
      </c>
      <c r="O33" s="64">
        <v>0</v>
      </c>
      <c r="P33" s="64">
        <v>0.46</v>
      </c>
      <c r="Q33" s="64">
        <v>9.75</v>
      </c>
      <c r="R33" s="198"/>
      <c r="S33" s="198"/>
      <c r="T33" s="198"/>
      <c r="U33" s="198"/>
    </row>
    <row r="34" spans="1:21" s="12" customFormat="1" x14ac:dyDescent="0.25">
      <c r="A34" s="248" t="s">
        <v>3150</v>
      </c>
      <c r="B34" s="64">
        <v>7.99</v>
      </c>
      <c r="C34" s="64">
        <v>2.97</v>
      </c>
      <c r="D34" s="64">
        <v>11.73</v>
      </c>
      <c r="E34" s="64">
        <v>5.14</v>
      </c>
      <c r="F34" s="64">
        <v>3.25</v>
      </c>
      <c r="G34" s="64">
        <v>27.12</v>
      </c>
      <c r="H34" s="64">
        <v>12.74</v>
      </c>
      <c r="I34" s="64">
        <v>4.8899999999999997</v>
      </c>
      <c r="J34" s="64">
        <v>0.11</v>
      </c>
      <c r="K34" s="64">
        <v>321.33</v>
      </c>
      <c r="L34" s="64">
        <v>27.5</v>
      </c>
      <c r="M34" s="64">
        <v>101.52</v>
      </c>
      <c r="N34" s="64">
        <v>102.1</v>
      </c>
      <c r="O34" s="64">
        <v>0</v>
      </c>
      <c r="P34" s="64">
        <v>0.46</v>
      </c>
      <c r="Q34" s="64">
        <v>9.75</v>
      </c>
      <c r="R34" s="198"/>
      <c r="S34" s="198"/>
      <c r="T34" s="198"/>
      <c r="U34" s="198"/>
    </row>
    <row r="35" spans="1:21" s="12" customFormat="1" x14ac:dyDescent="0.25">
      <c r="A35" s="248" t="s">
        <v>3151</v>
      </c>
      <c r="B35" s="64">
        <v>7.97</v>
      </c>
      <c r="C35" s="64">
        <v>2.98</v>
      </c>
      <c r="D35" s="64">
        <v>11.72</v>
      </c>
      <c r="E35" s="64">
        <v>4.96</v>
      </c>
      <c r="F35" s="64">
        <v>3.74</v>
      </c>
      <c r="G35" s="64">
        <v>29.49</v>
      </c>
      <c r="H35" s="64">
        <v>10.64</v>
      </c>
      <c r="I35" s="64">
        <v>4.9800000000000004</v>
      </c>
      <c r="J35" s="64">
        <v>0.28999999999999998</v>
      </c>
      <c r="K35" s="64">
        <v>330.27</v>
      </c>
      <c r="L35" s="64">
        <v>28.28</v>
      </c>
      <c r="M35" s="64">
        <v>99.11</v>
      </c>
      <c r="N35" s="64">
        <v>125.5</v>
      </c>
      <c r="O35" s="64">
        <v>0</v>
      </c>
      <c r="P35" s="64">
        <v>0.45</v>
      </c>
      <c r="Q35" s="64">
        <v>9.8000000000000007</v>
      </c>
      <c r="R35" s="198"/>
      <c r="S35" s="198"/>
      <c r="T35" s="198"/>
      <c r="U35" s="198"/>
    </row>
    <row r="36" spans="1:21" s="12" customFormat="1" x14ac:dyDescent="0.25">
      <c r="A36" s="248" t="s">
        <v>3152</v>
      </c>
      <c r="B36" s="64">
        <v>7.95</v>
      </c>
      <c r="C36" s="64">
        <v>2.93</v>
      </c>
      <c r="D36" s="64">
        <v>11.68</v>
      </c>
      <c r="E36" s="64">
        <v>5.62</v>
      </c>
      <c r="F36" s="64">
        <v>3.38</v>
      </c>
      <c r="G36" s="64">
        <v>32.340000000000003</v>
      </c>
      <c r="H36" s="64">
        <v>9.32</v>
      </c>
      <c r="I36" s="64">
        <v>5.0999999999999996</v>
      </c>
      <c r="J36" s="64">
        <v>0.24</v>
      </c>
      <c r="K36" s="64">
        <v>323.60000000000002</v>
      </c>
      <c r="L36" s="64">
        <v>29.23</v>
      </c>
      <c r="M36" s="64">
        <v>94.53</v>
      </c>
      <c r="N36" s="64">
        <v>205.8</v>
      </c>
      <c r="O36" s="64">
        <v>0</v>
      </c>
      <c r="P36" s="64">
        <v>0.45</v>
      </c>
      <c r="Q36" s="64">
        <v>9.83</v>
      </c>
      <c r="R36" s="198"/>
      <c r="S36" s="198"/>
      <c r="T36" s="198"/>
      <c r="U36" s="198"/>
    </row>
    <row r="37" spans="1:21" s="12" customFormat="1" x14ac:dyDescent="0.25">
      <c r="A37" s="248" t="s">
        <v>3153</v>
      </c>
      <c r="B37" s="64">
        <v>7.96</v>
      </c>
      <c r="C37" s="64">
        <v>3.01</v>
      </c>
      <c r="D37" s="64">
        <v>11.73</v>
      </c>
      <c r="E37" s="64">
        <v>5.35</v>
      </c>
      <c r="F37" s="64">
        <v>3.32</v>
      </c>
      <c r="G37" s="64">
        <v>32.340000000000003</v>
      </c>
      <c r="H37" s="64">
        <v>9.32</v>
      </c>
      <c r="I37" s="64">
        <v>5.18</v>
      </c>
      <c r="J37" s="64">
        <v>0.11</v>
      </c>
      <c r="K37" s="64">
        <v>89.26</v>
      </c>
      <c r="L37" s="64">
        <v>30.06</v>
      </c>
      <c r="M37" s="64">
        <v>90.69</v>
      </c>
      <c r="N37" s="64">
        <v>264.60000000000002</v>
      </c>
      <c r="O37" s="64">
        <v>0</v>
      </c>
      <c r="P37" s="64">
        <v>0.5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48" t="s">
        <v>3154</v>
      </c>
      <c r="B38" s="64">
        <v>8</v>
      </c>
      <c r="C38" s="64">
        <v>3.05</v>
      </c>
      <c r="D38" s="64">
        <v>11.79</v>
      </c>
      <c r="E38" s="64">
        <v>5.14</v>
      </c>
      <c r="F38" s="64">
        <v>4.26</v>
      </c>
      <c r="G38" s="64">
        <v>32.340000000000003</v>
      </c>
      <c r="H38" s="64">
        <v>9.32</v>
      </c>
      <c r="I38" s="64">
        <v>5.13</v>
      </c>
      <c r="J38" s="64">
        <v>0.14000000000000001</v>
      </c>
      <c r="K38" s="64">
        <v>356</v>
      </c>
      <c r="L38" s="64">
        <v>30.7</v>
      </c>
      <c r="M38" s="64">
        <v>87.69</v>
      </c>
      <c r="N38" s="64">
        <v>273.39999999999998</v>
      </c>
      <c r="O38" s="64">
        <v>0</v>
      </c>
      <c r="P38" s="64">
        <v>0.53</v>
      </c>
      <c r="Q38" s="64">
        <v>9.8800000000000008</v>
      </c>
      <c r="R38" s="198"/>
      <c r="S38" s="198"/>
      <c r="T38" s="198"/>
      <c r="U38" s="198"/>
    </row>
    <row r="39" spans="1:21" s="12" customFormat="1" x14ac:dyDescent="0.25">
      <c r="A39" s="248" t="s">
        <v>3155</v>
      </c>
      <c r="B39" s="64">
        <v>8</v>
      </c>
      <c r="C39" s="64">
        <v>3.05</v>
      </c>
      <c r="D39" s="64">
        <v>11.78</v>
      </c>
      <c r="E39" s="64">
        <v>4.3899999999999997</v>
      </c>
      <c r="F39" s="64">
        <v>2.96</v>
      </c>
      <c r="G39" s="64">
        <v>36.28</v>
      </c>
      <c r="H39" s="64">
        <v>10.81</v>
      </c>
      <c r="I39" s="64">
        <v>5.15</v>
      </c>
      <c r="J39" s="64">
        <v>0.2</v>
      </c>
      <c r="K39" s="64">
        <v>338.91</v>
      </c>
      <c r="L39" s="64">
        <v>30.65</v>
      </c>
      <c r="M39" s="64">
        <v>87.33</v>
      </c>
      <c r="N39" s="64">
        <v>363.2</v>
      </c>
      <c r="O39" s="64">
        <v>0</v>
      </c>
      <c r="P39" s="64">
        <v>0.52</v>
      </c>
      <c r="Q39" s="64">
        <v>9.93</v>
      </c>
      <c r="R39" s="198"/>
      <c r="S39" s="198"/>
      <c r="T39" s="198"/>
      <c r="U39" s="198"/>
    </row>
    <row r="40" spans="1:21" s="12" customFormat="1" x14ac:dyDescent="0.25">
      <c r="A40" s="248" t="s">
        <v>3156</v>
      </c>
      <c r="B40" s="64">
        <v>7.99</v>
      </c>
      <c r="C40" s="64">
        <v>3</v>
      </c>
      <c r="D40" s="64">
        <v>11.75</v>
      </c>
      <c r="E40" s="64">
        <v>3.92</v>
      </c>
      <c r="F40" s="64">
        <v>4.13</v>
      </c>
      <c r="G40" s="64">
        <v>41</v>
      </c>
      <c r="H40" s="64">
        <v>12.98</v>
      </c>
      <c r="I40" s="64">
        <v>5.19</v>
      </c>
      <c r="J40" s="64">
        <v>0.28000000000000003</v>
      </c>
      <c r="K40" s="64">
        <v>96.07</v>
      </c>
      <c r="L40" s="64">
        <v>30.36</v>
      </c>
      <c r="M40" s="64">
        <v>89.01</v>
      </c>
      <c r="N40" s="64">
        <v>233.5</v>
      </c>
      <c r="O40" s="64">
        <v>0</v>
      </c>
      <c r="P40" s="64">
        <v>0.53</v>
      </c>
      <c r="Q40" s="64">
        <v>9.99</v>
      </c>
      <c r="R40" s="198"/>
      <c r="S40" s="198"/>
      <c r="T40" s="198"/>
      <c r="U40" s="198"/>
    </row>
    <row r="41" spans="1:21" s="12" customFormat="1" x14ac:dyDescent="0.25">
      <c r="A41" s="248" t="s">
        <v>3157</v>
      </c>
      <c r="B41" s="64">
        <v>8</v>
      </c>
      <c r="C41" s="64">
        <v>3.04</v>
      </c>
      <c r="D41" s="64">
        <v>11.78</v>
      </c>
      <c r="E41" s="64">
        <v>4.8600000000000003</v>
      </c>
      <c r="F41" s="64">
        <v>3.07</v>
      </c>
      <c r="G41" s="64">
        <v>41</v>
      </c>
      <c r="H41" s="64">
        <v>12.98</v>
      </c>
      <c r="I41" s="64">
        <v>5.22</v>
      </c>
      <c r="J41" s="64">
        <v>0.09</v>
      </c>
      <c r="K41" s="64">
        <v>11.24</v>
      </c>
      <c r="L41" s="64">
        <v>30.42</v>
      </c>
      <c r="M41" s="64">
        <v>88.12</v>
      </c>
      <c r="N41" s="64">
        <v>258.89999999999998</v>
      </c>
      <c r="O41" s="64">
        <v>0</v>
      </c>
      <c r="P41" s="64">
        <v>0.52</v>
      </c>
      <c r="Q41" s="64">
        <v>9.98</v>
      </c>
      <c r="R41" s="198"/>
      <c r="S41" s="198"/>
      <c r="T41" s="198"/>
      <c r="U41" s="198"/>
    </row>
    <row r="42" spans="1:21" s="12" customFormat="1" x14ac:dyDescent="0.25">
      <c r="A42" s="248" t="s">
        <v>3158</v>
      </c>
      <c r="B42" s="64">
        <v>8.01</v>
      </c>
      <c r="C42" s="64">
        <v>3.06</v>
      </c>
      <c r="D42" s="64">
        <v>11.8</v>
      </c>
      <c r="E42" s="64">
        <v>4.41</v>
      </c>
      <c r="F42" s="64">
        <v>4.04</v>
      </c>
      <c r="G42" s="64">
        <v>41</v>
      </c>
      <c r="H42" s="64">
        <v>12.98</v>
      </c>
      <c r="I42" s="64">
        <v>5.36</v>
      </c>
      <c r="J42" s="64">
        <v>0.64</v>
      </c>
      <c r="K42" s="64">
        <v>114.64</v>
      </c>
      <c r="L42" s="64">
        <v>29.67</v>
      </c>
      <c r="M42" s="64">
        <v>88.03</v>
      </c>
      <c r="N42" s="64">
        <v>291.3</v>
      </c>
      <c r="O42" s="64">
        <v>0</v>
      </c>
      <c r="P42" s="64">
        <v>0.52</v>
      </c>
      <c r="Q42" s="64">
        <v>10.02</v>
      </c>
      <c r="R42" s="198"/>
      <c r="S42" s="198"/>
      <c r="T42" s="198"/>
      <c r="U42" s="198"/>
    </row>
    <row r="43" spans="1:21" s="12" customFormat="1" x14ac:dyDescent="0.25">
      <c r="A43" s="248" t="s">
        <v>3159</v>
      </c>
      <c r="B43" s="64">
        <v>7.96</v>
      </c>
      <c r="C43" s="64">
        <v>2.99</v>
      </c>
      <c r="D43" s="64">
        <v>11.72</v>
      </c>
      <c r="E43" s="64">
        <v>4.71</v>
      </c>
      <c r="F43" s="64">
        <v>3.02</v>
      </c>
      <c r="G43" s="64">
        <v>42.36</v>
      </c>
      <c r="H43" s="64">
        <v>11.07</v>
      </c>
      <c r="I43" s="64">
        <v>5.32</v>
      </c>
      <c r="J43" s="64">
        <v>1.03</v>
      </c>
      <c r="K43" s="64">
        <v>115.99</v>
      </c>
      <c r="L43" s="64">
        <v>30.35</v>
      </c>
      <c r="M43" s="64">
        <v>84.53</v>
      </c>
      <c r="N43" s="64">
        <v>466</v>
      </c>
      <c r="O43" s="64">
        <v>0</v>
      </c>
      <c r="P43" s="64">
        <v>0.52</v>
      </c>
      <c r="Q43" s="64">
        <v>10.050000000000001</v>
      </c>
      <c r="R43" s="198"/>
      <c r="S43" s="198"/>
      <c r="T43" s="198"/>
      <c r="U43" s="198"/>
    </row>
    <row r="44" spans="1:21" s="12" customFormat="1" x14ac:dyDescent="0.25">
      <c r="A44" s="248" t="s">
        <v>3160</v>
      </c>
      <c r="B44" s="64">
        <v>7.94</v>
      </c>
      <c r="C44" s="64">
        <v>3</v>
      </c>
      <c r="D44" s="64">
        <v>11.71</v>
      </c>
      <c r="E44" s="64">
        <v>4.71</v>
      </c>
      <c r="F44" s="64">
        <v>2.87</v>
      </c>
      <c r="G44" s="64">
        <v>44</v>
      </c>
      <c r="H44" s="64">
        <v>9.85</v>
      </c>
      <c r="I44" s="64">
        <v>5.43</v>
      </c>
      <c r="J44" s="64">
        <v>0.25</v>
      </c>
      <c r="K44" s="64">
        <v>88.67</v>
      </c>
      <c r="L44" s="64">
        <v>30.92</v>
      </c>
      <c r="M44" s="64">
        <v>83.85</v>
      </c>
      <c r="N44" s="64">
        <v>498</v>
      </c>
      <c r="O44" s="64">
        <v>0</v>
      </c>
      <c r="P44" s="64">
        <v>0.49</v>
      </c>
      <c r="Q44" s="64">
        <v>10.039999999999999</v>
      </c>
      <c r="R44" s="198"/>
      <c r="S44" s="198"/>
      <c r="T44" s="198"/>
      <c r="U44" s="198"/>
    </row>
    <row r="45" spans="1:21" s="12" customFormat="1" x14ac:dyDescent="0.25">
      <c r="A45" s="248" t="s">
        <v>3161</v>
      </c>
      <c r="B45" s="64">
        <v>8.02</v>
      </c>
      <c r="C45" s="64">
        <v>3.07</v>
      </c>
      <c r="D45" s="64">
        <v>11.81</v>
      </c>
      <c r="E45" s="64">
        <v>4.45</v>
      </c>
      <c r="F45" s="64">
        <v>3.59</v>
      </c>
      <c r="G45" s="64">
        <v>44</v>
      </c>
      <c r="H45" s="64">
        <v>9.85</v>
      </c>
      <c r="I45" s="64">
        <v>5.55</v>
      </c>
      <c r="J45" s="64">
        <v>1.0900000000000001</v>
      </c>
      <c r="K45" s="64">
        <v>117.78</v>
      </c>
      <c r="L45" s="64">
        <v>31.57</v>
      </c>
      <c r="M45" s="64">
        <v>80.81</v>
      </c>
      <c r="N45" s="64">
        <v>624.4</v>
      </c>
      <c r="O45" s="64">
        <v>0</v>
      </c>
      <c r="P45" s="64">
        <v>0.49</v>
      </c>
      <c r="Q45" s="64">
        <v>10.01</v>
      </c>
      <c r="R45" s="198"/>
      <c r="S45" s="198"/>
      <c r="T45" s="198"/>
      <c r="U45" s="198"/>
    </row>
    <row r="46" spans="1:21" s="12" customFormat="1" x14ac:dyDescent="0.25">
      <c r="A46" s="248" t="s">
        <v>3162</v>
      </c>
      <c r="B46" s="64">
        <v>8.0399999999999991</v>
      </c>
      <c r="C46" s="64">
        <v>3.02</v>
      </c>
      <c r="D46" s="64">
        <v>11.8</v>
      </c>
      <c r="E46" s="64">
        <v>4.93</v>
      </c>
      <c r="F46" s="64">
        <v>3.48</v>
      </c>
      <c r="G46" s="64">
        <v>44</v>
      </c>
      <c r="H46" s="64">
        <v>9.85</v>
      </c>
      <c r="I46" s="64">
        <v>5.51</v>
      </c>
      <c r="J46" s="64">
        <v>0.35</v>
      </c>
      <c r="K46" s="64">
        <v>343.29</v>
      </c>
      <c r="L46" s="64">
        <v>33.17</v>
      </c>
      <c r="M46" s="64">
        <v>73.81</v>
      </c>
      <c r="N46" s="64">
        <v>622</v>
      </c>
      <c r="O46" s="64">
        <v>0</v>
      </c>
      <c r="P46" s="64">
        <v>0.48</v>
      </c>
      <c r="Q46" s="64">
        <v>10.02</v>
      </c>
      <c r="R46" s="198"/>
      <c r="S46" s="198"/>
      <c r="T46" s="198"/>
      <c r="U46" s="198"/>
    </row>
    <row r="47" spans="1:21" s="12" customFormat="1" x14ac:dyDescent="0.25">
      <c r="A47" s="248" t="s">
        <v>3163</v>
      </c>
      <c r="B47" s="64">
        <v>8.0500000000000007</v>
      </c>
      <c r="C47" s="64">
        <v>3.06</v>
      </c>
      <c r="D47" s="64">
        <v>11.83</v>
      </c>
      <c r="E47" s="64">
        <v>4.6100000000000003</v>
      </c>
      <c r="F47" s="64">
        <v>3.55</v>
      </c>
      <c r="G47" s="64">
        <v>40.93</v>
      </c>
      <c r="H47" s="64">
        <v>5.96</v>
      </c>
      <c r="I47" s="64">
        <v>5.96</v>
      </c>
      <c r="J47" s="64">
        <v>0.53</v>
      </c>
      <c r="K47" s="64">
        <v>107.52</v>
      </c>
      <c r="L47" s="64">
        <v>32.44</v>
      </c>
      <c r="M47" s="64">
        <v>76.17</v>
      </c>
      <c r="N47" s="64">
        <v>644.5</v>
      </c>
      <c r="O47" s="64">
        <v>0</v>
      </c>
      <c r="P47" s="64">
        <v>0.48</v>
      </c>
      <c r="Q47" s="64">
        <v>10</v>
      </c>
      <c r="R47" s="198"/>
      <c r="S47" s="198"/>
      <c r="T47" s="198"/>
      <c r="U47" s="198"/>
    </row>
    <row r="48" spans="1:21" s="12" customFormat="1" x14ac:dyDescent="0.25">
      <c r="A48" s="248" t="s">
        <v>3164</v>
      </c>
      <c r="B48" s="64">
        <v>8.0399999999999991</v>
      </c>
      <c r="C48" s="64">
        <v>3.01</v>
      </c>
      <c r="D48" s="64">
        <v>11.8</v>
      </c>
      <c r="E48" s="64">
        <v>4.71</v>
      </c>
      <c r="F48" s="64">
        <v>3.42</v>
      </c>
      <c r="G48" s="64">
        <v>37.26</v>
      </c>
      <c r="H48" s="64">
        <v>3.49</v>
      </c>
      <c r="I48" s="64">
        <v>5.72</v>
      </c>
      <c r="J48" s="64">
        <v>0.28999999999999998</v>
      </c>
      <c r="K48" s="64">
        <v>75.48</v>
      </c>
      <c r="L48" s="64">
        <v>32.520000000000003</v>
      </c>
      <c r="M48" s="64">
        <v>75.900000000000006</v>
      </c>
      <c r="N48" s="64">
        <v>625.1</v>
      </c>
      <c r="O48" s="64">
        <v>0</v>
      </c>
      <c r="P48" s="64">
        <v>0.48</v>
      </c>
      <c r="Q48" s="64">
        <v>9.98</v>
      </c>
      <c r="R48" s="198"/>
      <c r="S48" s="198"/>
      <c r="T48" s="198"/>
      <c r="U48" s="198"/>
    </row>
    <row r="49" spans="1:21" s="12" customFormat="1" x14ac:dyDescent="0.25">
      <c r="A49" s="248" t="s">
        <v>3165</v>
      </c>
      <c r="B49" s="64">
        <v>8.0500000000000007</v>
      </c>
      <c r="C49" s="64">
        <v>3.07</v>
      </c>
      <c r="D49" s="64">
        <v>11.83</v>
      </c>
      <c r="E49" s="64">
        <v>4.68</v>
      </c>
      <c r="F49" s="64">
        <v>3.62</v>
      </c>
      <c r="G49" s="64">
        <v>37.26</v>
      </c>
      <c r="H49" s="64">
        <v>3.49</v>
      </c>
      <c r="I49" s="64">
        <v>5.83</v>
      </c>
      <c r="J49" s="64">
        <v>0.42</v>
      </c>
      <c r="K49" s="64">
        <v>66.83</v>
      </c>
      <c r="L49" s="64">
        <v>33</v>
      </c>
      <c r="M49" s="64">
        <v>73.81</v>
      </c>
      <c r="N49" s="64">
        <v>642</v>
      </c>
      <c r="O49" s="64">
        <v>0</v>
      </c>
      <c r="P49" s="64">
        <v>0.48</v>
      </c>
      <c r="Q49" s="64">
        <v>9.9499999999999993</v>
      </c>
      <c r="R49" s="198"/>
      <c r="S49" s="198"/>
      <c r="T49" s="198"/>
      <c r="U49" s="198"/>
    </row>
    <row r="50" spans="1:21" s="12" customFormat="1" x14ac:dyDescent="0.25">
      <c r="A50" s="248" t="s">
        <v>3166</v>
      </c>
      <c r="B50" s="64">
        <v>8.06</v>
      </c>
      <c r="C50" s="64">
        <v>3.12</v>
      </c>
      <c r="D50" s="64">
        <v>11.87</v>
      </c>
      <c r="E50" s="64">
        <v>4.55</v>
      </c>
      <c r="F50" s="64">
        <v>3.37</v>
      </c>
      <c r="G50" s="64">
        <v>37.26</v>
      </c>
      <c r="H50" s="64">
        <v>3.49</v>
      </c>
      <c r="I50" s="64">
        <v>5.97</v>
      </c>
      <c r="J50" s="64">
        <v>1.06</v>
      </c>
      <c r="K50" s="64">
        <v>104.47</v>
      </c>
      <c r="L50" s="64">
        <v>32.71</v>
      </c>
      <c r="M50" s="64">
        <v>73.06</v>
      </c>
      <c r="N50" s="64">
        <v>629.5</v>
      </c>
      <c r="O50" s="64">
        <v>0</v>
      </c>
      <c r="P50" s="64">
        <v>0.47</v>
      </c>
      <c r="Q50" s="64">
        <v>9.93</v>
      </c>
      <c r="R50" s="198"/>
      <c r="S50" s="198"/>
      <c r="T50" s="198"/>
      <c r="U50" s="198"/>
    </row>
    <row r="51" spans="1:21" s="12" customFormat="1" x14ac:dyDescent="0.25">
      <c r="A51" s="248" t="s">
        <v>3167</v>
      </c>
      <c r="B51" s="64">
        <v>8.02</v>
      </c>
      <c r="C51" s="64">
        <v>3.03</v>
      </c>
      <c r="D51" s="64">
        <v>11.79</v>
      </c>
      <c r="E51" s="64">
        <v>4.76</v>
      </c>
      <c r="F51" s="64">
        <v>3.66</v>
      </c>
      <c r="G51" s="64">
        <v>37.32</v>
      </c>
      <c r="H51" s="64">
        <v>8.9600000000000009</v>
      </c>
      <c r="I51" s="64">
        <v>6.06</v>
      </c>
      <c r="J51" s="64">
        <v>0.28000000000000003</v>
      </c>
      <c r="K51" s="64">
        <v>55.04</v>
      </c>
      <c r="L51" s="64">
        <v>33.369999999999997</v>
      </c>
      <c r="M51" s="64">
        <v>70.150000000000006</v>
      </c>
      <c r="N51" s="64">
        <v>640.70000000000005</v>
      </c>
      <c r="O51" s="64">
        <v>0</v>
      </c>
      <c r="P51" s="64">
        <v>0.47</v>
      </c>
      <c r="Q51" s="64">
        <v>9.89</v>
      </c>
      <c r="R51" s="198"/>
      <c r="S51" s="198"/>
      <c r="T51" s="198"/>
      <c r="U51" s="198"/>
    </row>
    <row r="52" spans="1:21" s="12" customFormat="1" x14ac:dyDescent="0.25">
      <c r="A52" s="248" t="s">
        <v>3168</v>
      </c>
      <c r="B52" s="64">
        <v>8.0299999999999994</v>
      </c>
      <c r="C52" s="64">
        <v>3.04</v>
      </c>
      <c r="D52" s="64">
        <v>11.8</v>
      </c>
      <c r="E52" s="64">
        <v>4.72</v>
      </c>
      <c r="F52" s="64">
        <v>4.1500000000000004</v>
      </c>
      <c r="G52" s="64">
        <v>37.409999999999997</v>
      </c>
      <c r="H52" s="64">
        <v>12.43</v>
      </c>
      <c r="I52" s="64">
        <v>6.28</v>
      </c>
      <c r="J52" s="64">
        <v>0.56999999999999995</v>
      </c>
      <c r="K52" s="64">
        <v>106.78</v>
      </c>
      <c r="L52" s="64">
        <v>33.270000000000003</v>
      </c>
      <c r="M52" s="64">
        <v>69.650000000000006</v>
      </c>
      <c r="N52" s="64">
        <v>614.70000000000005</v>
      </c>
      <c r="O52" s="64">
        <v>0</v>
      </c>
      <c r="P52" s="64">
        <v>0.47</v>
      </c>
      <c r="Q52" s="64">
        <v>9.8800000000000008</v>
      </c>
      <c r="R52" s="198"/>
      <c r="S52" s="198"/>
      <c r="T52" s="198"/>
      <c r="U52" s="198"/>
    </row>
    <row r="53" spans="1:21" s="12" customFormat="1" x14ac:dyDescent="0.25">
      <c r="A53" s="248" t="s">
        <v>3169</v>
      </c>
      <c r="B53" s="64">
        <v>7.98</v>
      </c>
      <c r="C53" s="64">
        <v>2.99</v>
      </c>
      <c r="D53" s="64">
        <v>11.73</v>
      </c>
      <c r="E53" s="64">
        <v>5.01</v>
      </c>
      <c r="F53" s="64">
        <v>3.38</v>
      </c>
      <c r="G53" s="64">
        <v>37.409999999999997</v>
      </c>
      <c r="H53" s="64">
        <v>12.43</v>
      </c>
      <c r="I53" s="64">
        <v>6.46</v>
      </c>
      <c r="J53" s="64">
        <v>0.15</v>
      </c>
      <c r="K53" s="64">
        <v>61.16</v>
      </c>
      <c r="L53" s="64">
        <v>32.94</v>
      </c>
      <c r="M53" s="64">
        <v>70.64</v>
      </c>
      <c r="N53" s="64">
        <v>560.5</v>
      </c>
      <c r="O53" s="64">
        <v>0</v>
      </c>
      <c r="P53" s="64">
        <v>0.48</v>
      </c>
      <c r="Q53" s="64">
        <v>9.7899999999999991</v>
      </c>
      <c r="R53" s="198"/>
      <c r="S53" s="198"/>
      <c r="T53" s="198"/>
      <c r="U53" s="198"/>
    </row>
    <row r="54" spans="1:21" s="12" customFormat="1" x14ac:dyDescent="0.25">
      <c r="A54" s="248" t="s">
        <v>3170</v>
      </c>
      <c r="B54" s="64">
        <v>7.95</v>
      </c>
      <c r="C54" s="64">
        <v>2.98</v>
      </c>
      <c r="D54" s="64">
        <v>11.71</v>
      </c>
      <c r="E54" s="64">
        <v>4.95</v>
      </c>
      <c r="F54" s="64">
        <v>3.9</v>
      </c>
      <c r="G54" s="64">
        <v>37.409999999999997</v>
      </c>
      <c r="H54" s="64">
        <v>12.43</v>
      </c>
      <c r="I54" s="64">
        <v>6.37</v>
      </c>
      <c r="J54" s="64">
        <v>0.39</v>
      </c>
      <c r="K54" s="64">
        <v>340.15</v>
      </c>
      <c r="L54" s="64">
        <v>33.44</v>
      </c>
      <c r="M54" s="64">
        <v>69.3</v>
      </c>
      <c r="N54" s="64">
        <v>532.1</v>
      </c>
      <c r="O54" s="64">
        <v>0</v>
      </c>
      <c r="P54" s="64">
        <v>0.47</v>
      </c>
      <c r="Q54" s="64">
        <v>9.74</v>
      </c>
      <c r="R54" s="198"/>
      <c r="S54" s="198"/>
      <c r="T54" s="198"/>
      <c r="U54" s="198"/>
    </row>
    <row r="55" spans="1:21" s="12" customFormat="1" x14ac:dyDescent="0.25">
      <c r="A55" s="248" t="s">
        <v>3171</v>
      </c>
      <c r="B55" s="64">
        <v>8</v>
      </c>
      <c r="C55" s="64">
        <v>3.09</v>
      </c>
      <c r="D55" s="64">
        <v>11.8</v>
      </c>
      <c r="E55" s="64">
        <v>4.6900000000000004</v>
      </c>
      <c r="F55" s="64">
        <v>3.78</v>
      </c>
      <c r="G55" s="64">
        <v>36.67</v>
      </c>
      <c r="H55" s="64">
        <v>12.07</v>
      </c>
      <c r="I55" s="64">
        <v>6.24</v>
      </c>
      <c r="J55" s="64">
        <v>0.16</v>
      </c>
      <c r="K55" s="64">
        <v>0.46</v>
      </c>
      <c r="L55" s="64">
        <v>33.14</v>
      </c>
      <c r="M55" s="64">
        <v>70.75</v>
      </c>
      <c r="N55" s="64">
        <v>515.1</v>
      </c>
      <c r="O55" s="64">
        <v>0</v>
      </c>
      <c r="P55" s="64">
        <v>0.47</v>
      </c>
      <c r="Q55" s="64">
        <v>9.7799999999999994</v>
      </c>
      <c r="R55" s="198"/>
      <c r="S55" s="198"/>
      <c r="T55" s="198"/>
      <c r="U55" s="198"/>
    </row>
    <row r="56" spans="1:21" s="12" customFormat="1" x14ac:dyDescent="0.25">
      <c r="A56" s="248" t="s">
        <v>3172</v>
      </c>
      <c r="B56" s="64">
        <v>8</v>
      </c>
      <c r="C56" s="64">
        <v>3.1</v>
      </c>
      <c r="D56" s="64">
        <v>11.81</v>
      </c>
      <c r="E56" s="64">
        <v>3.64</v>
      </c>
      <c r="F56" s="64">
        <v>3.75</v>
      </c>
      <c r="G56" s="64">
        <v>35.79</v>
      </c>
      <c r="H56" s="64">
        <v>11.55</v>
      </c>
      <c r="I56" s="64">
        <v>5.99</v>
      </c>
      <c r="J56" s="64">
        <v>0.95</v>
      </c>
      <c r="K56" s="64">
        <v>330.55</v>
      </c>
      <c r="L56" s="64">
        <v>33.21</v>
      </c>
      <c r="M56" s="64">
        <v>71.41</v>
      </c>
      <c r="N56" s="64">
        <v>461.5</v>
      </c>
      <c r="O56" s="64">
        <v>0</v>
      </c>
      <c r="P56" s="64">
        <v>0.47</v>
      </c>
      <c r="Q56" s="64">
        <v>9.75</v>
      </c>
      <c r="R56" s="198"/>
      <c r="S56" s="198"/>
      <c r="T56" s="198"/>
      <c r="U56" s="198"/>
    </row>
    <row r="57" spans="1:21" s="12" customFormat="1" x14ac:dyDescent="0.25">
      <c r="A57" s="248" t="s">
        <v>3173</v>
      </c>
      <c r="B57" s="64">
        <v>7.97</v>
      </c>
      <c r="C57" s="64">
        <v>3.04</v>
      </c>
      <c r="D57" s="64">
        <v>11.75</v>
      </c>
      <c r="E57" s="64">
        <v>3.69</v>
      </c>
      <c r="F57" s="64">
        <v>4.3</v>
      </c>
      <c r="G57" s="64">
        <v>35.79</v>
      </c>
      <c r="H57" s="64">
        <v>11.55</v>
      </c>
      <c r="I57" s="64">
        <v>5.73</v>
      </c>
      <c r="J57" s="64">
        <v>0.41</v>
      </c>
      <c r="K57" s="64">
        <v>6.9</v>
      </c>
      <c r="L57" s="64">
        <v>33.21</v>
      </c>
      <c r="M57" s="64">
        <v>70.92</v>
      </c>
      <c r="N57" s="64">
        <v>632</v>
      </c>
      <c r="O57" s="64">
        <v>0</v>
      </c>
      <c r="P57" s="64">
        <v>0.49</v>
      </c>
      <c r="Q57" s="64">
        <v>9.7100000000000009</v>
      </c>
      <c r="R57" s="198"/>
      <c r="S57" s="198"/>
      <c r="T57" s="198"/>
      <c r="U57" s="198"/>
    </row>
    <row r="58" spans="1:21" s="12" customFormat="1" x14ac:dyDescent="0.25">
      <c r="A58" s="248" t="s">
        <v>3174</v>
      </c>
      <c r="B58" s="64">
        <v>7.94</v>
      </c>
      <c r="C58" s="64">
        <v>3</v>
      </c>
      <c r="D58" s="64">
        <v>11.71</v>
      </c>
      <c r="E58" s="64">
        <v>3.77</v>
      </c>
      <c r="F58" s="64">
        <v>3.61</v>
      </c>
      <c r="G58" s="64">
        <v>35.79</v>
      </c>
      <c r="H58" s="64">
        <v>11.55</v>
      </c>
      <c r="I58" s="64">
        <v>5.42</v>
      </c>
      <c r="J58" s="64">
        <v>0.51</v>
      </c>
      <c r="K58" s="64">
        <v>25.85</v>
      </c>
      <c r="L58" s="64">
        <v>33.94</v>
      </c>
      <c r="M58" s="64">
        <v>68.77</v>
      </c>
      <c r="N58" s="64">
        <v>579.79999999999995</v>
      </c>
      <c r="O58" s="64">
        <v>0</v>
      </c>
      <c r="P58" s="64">
        <v>0.5</v>
      </c>
      <c r="Q58" s="64">
        <v>9.74</v>
      </c>
      <c r="R58" s="198"/>
      <c r="S58" s="198"/>
      <c r="T58" s="198"/>
      <c r="U58" s="198"/>
    </row>
    <row r="59" spans="1:21" s="12" customFormat="1" x14ac:dyDescent="0.25">
      <c r="A59" s="248" t="s">
        <v>3175</v>
      </c>
      <c r="B59" s="64">
        <v>7.93</v>
      </c>
      <c r="C59" s="64">
        <v>2.96</v>
      </c>
      <c r="D59" s="64">
        <v>11.68</v>
      </c>
      <c r="E59" s="64">
        <v>4.08</v>
      </c>
      <c r="F59" s="64">
        <v>3.28</v>
      </c>
      <c r="G59" s="64">
        <v>36.869999999999997</v>
      </c>
      <c r="H59" s="64">
        <v>15.22</v>
      </c>
      <c r="I59" s="64">
        <v>5.34</v>
      </c>
      <c r="J59" s="64">
        <v>0.22</v>
      </c>
      <c r="K59" s="64">
        <v>99.98</v>
      </c>
      <c r="L59" s="64">
        <v>33.270000000000003</v>
      </c>
      <c r="M59" s="64">
        <v>67.900000000000006</v>
      </c>
      <c r="N59" s="64">
        <v>586</v>
      </c>
      <c r="O59" s="64">
        <v>0</v>
      </c>
      <c r="P59" s="64">
        <v>0.48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48" t="s">
        <v>3176</v>
      </c>
      <c r="B60" s="64">
        <v>7.94</v>
      </c>
      <c r="C60" s="64">
        <v>2.92</v>
      </c>
      <c r="D60" s="64">
        <v>11.66</v>
      </c>
      <c r="E60" s="64">
        <v>3.4</v>
      </c>
      <c r="F60" s="64">
        <v>4.34</v>
      </c>
      <c r="G60" s="64">
        <v>38.159999999999997</v>
      </c>
      <c r="H60" s="64">
        <v>17.54</v>
      </c>
      <c r="I60" s="64">
        <v>5.17</v>
      </c>
      <c r="J60" s="64">
        <v>0.81</v>
      </c>
      <c r="K60" s="64">
        <v>101.74</v>
      </c>
      <c r="L60" s="64">
        <v>32.979999999999997</v>
      </c>
      <c r="M60" s="64">
        <v>69.489999999999995</v>
      </c>
      <c r="N60" s="64">
        <v>606.1</v>
      </c>
      <c r="O60" s="64">
        <v>0</v>
      </c>
      <c r="P60" s="64">
        <v>0.47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48" t="s">
        <v>3177</v>
      </c>
      <c r="B61" s="64">
        <v>7.93</v>
      </c>
      <c r="C61" s="64">
        <v>2.9</v>
      </c>
      <c r="D61" s="64">
        <v>11.64</v>
      </c>
      <c r="E61" s="64">
        <v>3.6</v>
      </c>
      <c r="F61" s="64">
        <v>3.22</v>
      </c>
      <c r="G61" s="64">
        <v>38.159999999999997</v>
      </c>
      <c r="H61" s="64">
        <v>17.54</v>
      </c>
      <c r="I61" s="64">
        <v>5.12</v>
      </c>
      <c r="J61" s="64">
        <v>0.23</v>
      </c>
      <c r="K61" s="64">
        <v>93.57</v>
      </c>
      <c r="L61" s="64">
        <v>32.79</v>
      </c>
      <c r="M61" s="64">
        <v>69.650000000000006</v>
      </c>
      <c r="N61" s="64">
        <v>516.1</v>
      </c>
      <c r="O61" s="64">
        <v>0</v>
      </c>
      <c r="P61" s="64">
        <v>0.45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48" t="s">
        <v>3178</v>
      </c>
      <c r="B62" s="64">
        <v>7.93</v>
      </c>
      <c r="C62" s="64">
        <v>2.91</v>
      </c>
      <c r="D62" s="64">
        <v>11.66</v>
      </c>
      <c r="E62" s="64">
        <v>3.53</v>
      </c>
      <c r="F62" s="64">
        <v>3.94</v>
      </c>
      <c r="G62" s="64">
        <v>38.159999999999997</v>
      </c>
      <c r="H62" s="64">
        <v>17.54</v>
      </c>
      <c r="I62" s="64">
        <v>5.25</v>
      </c>
      <c r="J62" s="64">
        <v>0.39</v>
      </c>
      <c r="K62" s="64">
        <v>88.77</v>
      </c>
      <c r="L62" s="64">
        <v>33.369999999999997</v>
      </c>
      <c r="M62" s="64">
        <v>67.28</v>
      </c>
      <c r="N62" s="64">
        <v>674.9</v>
      </c>
      <c r="O62" s="64">
        <v>0</v>
      </c>
      <c r="P62" s="64">
        <v>0.46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48" t="s">
        <v>3179</v>
      </c>
      <c r="B63" s="64">
        <v>7.96</v>
      </c>
      <c r="C63" s="64">
        <v>2.98</v>
      </c>
      <c r="D63" s="64">
        <v>11.72</v>
      </c>
      <c r="E63" s="64">
        <v>3.74</v>
      </c>
      <c r="F63" s="64">
        <v>4.08</v>
      </c>
      <c r="G63" s="64">
        <v>34.74</v>
      </c>
      <c r="H63" s="64">
        <v>13.53</v>
      </c>
      <c r="I63" s="64">
        <v>5.39</v>
      </c>
      <c r="J63" s="64">
        <v>0.93</v>
      </c>
      <c r="K63" s="64">
        <v>113.08</v>
      </c>
      <c r="L63" s="64">
        <v>32.64</v>
      </c>
      <c r="M63" s="64">
        <v>69.27</v>
      </c>
      <c r="N63" s="64">
        <v>714.9</v>
      </c>
      <c r="O63" s="64">
        <v>0</v>
      </c>
      <c r="P63" s="64">
        <v>0.45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48" t="s">
        <v>3180</v>
      </c>
      <c r="B64" s="64">
        <v>7.99</v>
      </c>
      <c r="C64" s="64">
        <v>3.02</v>
      </c>
      <c r="D64" s="64">
        <v>11.76</v>
      </c>
      <c r="E64" s="64">
        <v>3.45</v>
      </c>
      <c r="F64" s="64">
        <v>4.17</v>
      </c>
      <c r="G64" s="64">
        <v>30.83</v>
      </c>
      <c r="H64" s="64">
        <v>10.98</v>
      </c>
      <c r="I64" s="64">
        <v>5.3</v>
      </c>
      <c r="J64" s="64">
        <v>0.78</v>
      </c>
      <c r="K64" s="64">
        <v>110.84</v>
      </c>
      <c r="L64" s="64">
        <v>32.840000000000003</v>
      </c>
      <c r="M64" s="64">
        <v>68.03</v>
      </c>
      <c r="N64" s="64">
        <v>569.20000000000005</v>
      </c>
      <c r="O64" s="64">
        <v>0</v>
      </c>
      <c r="P64" s="64">
        <v>0.44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48" t="s">
        <v>3181</v>
      </c>
      <c r="B65" s="64">
        <v>7.98</v>
      </c>
      <c r="C65" s="64">
        <v>3.06</v>
      </c>
      <c r="D65" s="64">
        <v>11.78</v>
      </c>
      <c r="E65" s="64">
        <v>3.74</v>
      </c>
      <c r="F65" s="64">
        <v>4.13</v>
      </c>
      <c r="G65" s="64">
        <v>30.83</v>
      </c>
      <c r="H65" s="64">
        <v>10.98</v>
      </c>
      <c r="I65" s="64">
        <v>5.73</v>
      </c>
      <c r="J65" s="64">
        <v>1.07</v>
      </c>
      <c r="K65" s="64">
        <v>112.95</v>
      </c>
      <c r="L65" s="64">
        <v>32.630000000000003</v>
      </c>
      <c r="M65" s="64">
        <v>68.22</v>
      </c>
      <c r="N65" s="64">
        <v>373.5</v>
      </c>
      <c r="O65" s="64">
        <v>0</v>
      </c>
      <c r="P65" s="64">
        <v>0.43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48" t="s">
        <v>3182</v>
      </c>
      <c r="B66" s="64">
        <v>7.99</v>
      </c>
      <c r="C66" s="64">
        <v>3.02</v>
      </c>
      <c r="D66" s="64">
        <v>11.76</v>
      </c>
      <c r="E66" s="64">
        <v>3.47</v>
      </c>
      <c r="F66" s="64">
        <v>4.01</v>
      </c>
      <c r="G66" s="64">
        <v>30.83</v>
      </c>
      <c r="H66" s="64">
        <v>10.98</v>
      </c>
      <c r="I66" s="64">
        <v>5.83</v>
      </c>
      <c r="J66" s="64">
        <v>0.75</v>
      </c>
      <c r="K66" s="64">
        <v>109.99</v>
      </c>
      <c r="L66" s="64">
        <v>32.76</v>
      </c>
      <c r="M66" s="64">
        <v>68.59</v>
      </c>
      <c r="N66" s="64">
        <v>276.5</v>
      </c>
      <c r="O66" s="64">
        <v>0</v>
      </c>
      <c r="P66" s="64">
        <v>0.42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48" t="s">
        <v>3183</v>
      </c>
      <c r="B67" s="64">
        <v>7.98</v>
      </c>
      <c r="C67" s="64">
        <v>3.01</v>
      </c>
      <c r="D67" s="64">
        <v>11.75</v>
      </c>
      <c r="E67" s="64">
        <v>3.53</v>
      </c>
      <c r="F67" s="64">
        <v>3.78</v>
      </c>
      <c r="G67" s="64">
        <v>33.49</v>
      </c>
      <c r="H67" s="64">
        <v>13.69</v>
      </c>
      <c r="I67" s="64">
        <v>6</v>
      </c>
      <c r="J67" s="64">
        <v>0.32</v>
      </c>
      <c r="K67" s="64">
        <v>331.54</v>
      </c>
      <c r="L67" s="64">
        <v>32.72</v>
      </c>
      <c r="M67" s="64">
        <v>67.180000000000007</v>
      </c>
      <c r="N67" s="64">
        <v>220.6</v>
      </c>
      <c r="O67" s="64">
        <v>0</v>
      </c>
      <c r="P67" s="64">
        <v>0.42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48" t="s">
        <v>3184</v>
      </c>
      <c r="B68" s="64">
        <v>7.97</v>
      </c>
      <c r="C68" s="64">
        <v>3</v>
      </c>
      <c r="D68" s="64">
        <v>11.73</v>
      </c>
      <c r="E68" s="64">
        <v>3.77</v>
      </c>
      <c r="F68" s="64">
        <v>3.73</v>
      </c>
      <c r="G68" s="64">
        <v>36.67</v>
      </c>
      <c r="H68" s="64">
        <v>15.42</v>
      </c>
      <c r="I68" s="64">
        <v>6.08</v>
      </c>
      <c r="J68" s="64">
        <v>0.2</v>
      </c>
      <c r="K68" s="64">
        <v>117.1</v>
      </c>
      <c r="L68" s="64">
        <v>31.8</v>
      </c>
      <c r="M68" s="64">
        <v>71.19</v>
      </c>
      <c r="N68" s="64">
        <v>122.7</v>
      </c>
      <c r="O68" s="64">
        <v>0</v>
      </c>
      <c r="P68" s="64">
        <v>0.42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48" t="s">
        <v>3185</v>
      </c>
      <c r="B69" s="64">
        <v>7.95</v>
      </c>
      <c r="C69" s="64">
        <v>2.97</v>
      </c>
      <c r="D69" s="64">
        <v>11.71</v>
      </c>
      <c r="E69" s="64">
        <v>3.48</v>
      </c>
      <c r="F69" s="64">
        <v>4.47</v>
      </c>
      <c r="G69" s="64">
        <v>36.67</v>
      </c>
      <c r="H69" s="64">
        <v>15.42</v>
      </c>
      <c r="I69" s="64">
        <v>6.01</v>
      </c>
      <c r="J69" s="64">
        <v>0.8</v>
      </c>
      <c r="K69" s="64">
        <v>107.28</v>
      </c>
      <c r="L69" s="64">
        <v>31.34</v>
      </c>
      <c r="M69" s="64">
        <v>74.05</v>
      </c>
      <c r="N69" s="64">
        <v>199.4</v>
      </c>
      <c r="O69" s="64">
        <v>0</v>
      </c>
      <c r="P69" s="64">
        <v>0.43</v>
      </c>
      <c r="Q69" s="64">
        <v>9.68</v>
      </c>
      <c r="R69" s="198"/>
      <c r="S69" s="198"/>
      <c r="T69" s="198"/>
      <c r="U69" s="198"/>
    </row>
    <row r="70" spans="1:21" s="12" customFormat="1" x14ac:dyDescent="0.25">
      <c r="A70" s="248" t="s">
        <v>3186</v>
      </c>
      <c r="B70" s="64">
        <v>7.94</v>
      </c>
      <c r="C70" s="64">
        <v>2.95</v>
      </c>
      <c r="D70" s="64">
        <v>11.68</v>
      </c>
      <c r="E70" s="64">
        <v>3.86</v>
      </c>
      <c r="F70" s="64">
        <v>3.14</v>
      </c>
      <c r="G70" s="64">
        <v>36.67</v>
      </c>
      <c r="H70" s="64">
        <v>15.42</v>
      </c>
      <c r="I70" s="64">
        <v>5.84</v>
      </c>
      <c r="J70" s="64">
        <v>0.21</v>
      </c>
      <c r="K70" s="64">
        <v>83.76</v>
      </c>
      <c r="L70" s="64">
        <v>31.58</v>
      </c>
      <c r="M70" s="64">
        <v>73.2</v>
      </c>
      <c r="N70" s="64">
        <v>162.5</v>
      </c>
      <c r="O70" s="64">
        <v>0</v>
      </c>
      <c r="P70" s="64">
        <v>0.43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48" t="s">
        <v>3187</v>
      </c>
      <c r="B71" s="64">
        <v>7.96</v>
      </c>
      <c r="C71" s="64">
        <v>2.96</v>
      </c>
      <c r="D71" s="64">
        <v>11.71</v>
      </c>
      <c r="E71" s="64">
        <v>3.94</v>
      </c>
      <c r="F71" s="64">
        <v>4.07</v>
      </c>
      <c r="G71" s="64">
        <v>35.31</v>
      </c>
      <c r="H71" s="64">
        <v>13.29</v>
      </c>
      <c r="I71" s="64">
        <v>5.77</v>
      </c>
      <c r="J71" s="64">
        <v>1.18</v>
      </c>
      <c r="K71" s="64">
        <v>114.28</v>
      </c>
      <c r="L71" s="64">
        <v>31.65</v>
      </c>
      <c r="M71" s="64">
        <v>74.010000000000005</v>
      </c>
      <c r="N71" s="64">
        <v>164.7</v>
      </c>
      <c r="O71" s="64">
        <v>0</v>
      </c>
      <c r="P71" s="64">
        <v>0.42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48" t="s">
        <v>3188</v>
      </c>
      <c r="B72" s="64">
        <v>7.96</v>
      </c>
      <c r="C72" s="64">
        <v>2.99</v>
      </c>
      <c r="D72" s="64">
        <v>11.72</v>
      </c>
      <c r="E72" s="64">
        <v>2.77</v>
      </c>
      <c r="F72" s="64">
        <v>4.42</v>
      </c>
      <c r="G72" s="64">
        <v>33.700000000000003</v>
      </c>
      <c r="H72" s="64">
        <v>10.220000000000001</v>
      </c>
      <c r="I72" s="64">
        <v>5.67</v>
      </c>
      <c r="J72" s="64">
        <v>0.57999999999999996</v>
      </c>
      <c r="K72" s="64">
        <v>100.05</v>
      </c>
      <c r="L72" s="64">
        <v>31.77</v>
      </c>
      <c r="M72" s="64">
        <v>72.77</v>
      </c>
      <c r="N72" s="64">
        <v>136.9</v>
      </c>
      <c r="O72" s="64">
        <v>0</v>
      </c>
      <c r="P72" s="64">
        <v>0.43</v>
      </c>
      <c r="Q72" s="64">
        <v>9.67</v>
      </c>
      <c r="R72" s="198"/>
      <c r="S72" s="198"/>
      <c r="T72" s="198"/>
      <c r="U72" s="198"/>
    </row>
    <row r="73" spans="1:21" s="12" customFormat="1" x14ac:dyDescent="0.25">
      <c r="A73" s="248" t="s">
        <v>3189</v>
      </c>
      <c r="B73" s="64">
        <v>7.96</v>
      </c>
      <c r="C73" s="64">
        <v>3.01</v>
      </c>
      <c r="D73" s="64">
        <v>11.73</v>
      </c>
      <c r="E73" s="64">
        <v>4.26</v>
      </c>
      <c r="F73" s="64">
        <v>3.03</v>
      </c>
      <c r="G73" s="64">
        <v>33.700000000000003</v>
      </c>
      <c r="H73" s="64">
        <v>10.220000000000001</v>
      </c>
      <c r="I73" s="64">
        <v>5.7</v>
      </c>
      <c r="J73" s="64">
        <v>1.1000000000000001</v>
      </c>
      <c r="K73" s="64">
        <v>115.78</v>
      </c>
      <c r="L73" s="64">
        <v>31.86</v>
      </c>
      <c r="M73" s="64">
        <v>71.319999999999993</v>
      </c>
      <c r="N73" s="64">
        <v>114.4</v>
      </c>
      <c r="O73" s="64">
        <v>0</v>
      </c>
      <c r="P73" s="64">
        <v>0.42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48" t="s">
        <v>3190</v>
      </c>
      <c r="B74" s="64">
        <v>7.96</v>
      </c>
      <c r="C74" s="64">
        <v>2.98</v>
      </c>
      <c r="D74" s="64">
        <v>11.71</v>
      </c>
      <c r="E74" s="64">
        <v>4.04</v>
      </c>
      <c r="F74" s="64">
        <v>4.1100000000000003</v>
      </c>
      <c r="G74" s="64">
        <v>33.700000000000003</v>
      </c>
      <c r="H74" s="64">
        <v>10.220000000000001</v>
      </c>
      <c r="I74" s="64">
        <v>5.82</v>
      </c>
      <c r="J74" s="64">
        <v>0.7</v>
      </c>
      <c r="K74" s="64">
        <v>111.11</v>
      </c>
      <c r="L74" s="64">
        <v>31.77</v>
      </c>
      <c r="M74" s="64">
        <v>71.510000000000005</v>
      </c>
      <c r="N74" s="64">
        <v>115.1</v>
      </c>
      <c r="O74" s="64">
        <v>0</v>
      </c>
      <c r="P74" s="64">
        <v>0.42</v>
      </c>
      <c r="Q74" s="64">
        <v>9.58</v>
      </c>
      <c r="R74" s="198"/>
      <c r="S74" s="198"/>
      <c r="T74" s="198"/>
      <c r="U74" s="198"/>
    </row>
    <row r="75" spans="1:21" s="12" customFormat="1" x14ac:dyDescent="0.25">
      <c r="A75" s="248" t="s">
        <v>3191</v>
      </c>
      <c r="B75" s="64">
        <v>7.92</v>
      </c>
      <c r="C75" s="64">
        <v>2.94</v>
      </c>
      <c r="D75" s="64">
        <v>11.67</v>
      </c>
      <c r="E75" s="64">
        <v>3.89</v>
      </c>
      <c r="F75" s="64">
        <v>5.0599999999999996</v>
      </c>
      <c r="G75" s="64">
        <v>34.39</v>
      </c>
      <c r="H75" s="64">
        <v>9.75</v>
      </c>
      <c r="I75" s="64">
        <v>5.77</v>
      </c>
      <c r="J75" s="64">
        <v>0.75</v>
      </c>
      <c r="K75" s="64">
        <v>110.11</v>
      </c>
      <c r="L75" s="64">
        <v>31.82</v>
      </c>
      <c r="M75" s="64">
        <v>70.959999999999994</v>
      </c>
      <c r="N75" s="64">
        <v>135.80000000000001</v>
      </c>
      <c r="O75" s="64">
        <v>0</v>
      </c>
      <c r="P75" s="64">
        <v>0.42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48" t="s">
        <v>3192</v>
      </c>
      <c r="B76" s="64">
        <v>7.92</v>
      </c>
      <c r="C76" s="64">
        <v>2.93</v>
      </c>
      <c r="D76" s="64">
        <v>11.66</v>
      </c>
      <c r="E76" s="64">
        <v>4.0199999999999996</v>
      </c>
      <c r="F76" s="64">
        <v>2.93</v>
      </c>
      <c r="G76" s="64">
        <v>35.18</v>
      </c>
      <c r="H76" s="64">
        <v>9.4600000000000009</v>
      </c>
      <c r="I76" s="64">
        <v>5.63</v>
      </c>
      <c r="J76" s="64">
        <v>0.17</v>
      </c>
      <c r="K76" s="64">
        <v>96.41</v>
      </c>
      <c r="L76" s="64">
        <v>31.7</v>
      </c>
      <c r="M76" s="64">
        <v>70.91</v>
      </c>
      <c r="N76" s="64">
        <v>119.6</v>
      </c>
      <c r="O76" s="64">
        <v>0</v>
      </c>
      <c r="P76" s="64">
        <v>0.42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48" t="s">
        <v>3193</v>
      </c>
      <c r="B77" s="64">
        <v>7.93</v>
      </c>
      <c r="C77" s="64">
        <v>2.9</v>
      </c>
      <c r="D77" s="64">
        <v>11.65</v>
      </c>
      <c r="E77" s="64">
        <v>3.9</v>
      </c>
      <c r="F77" s="64">
        <v>3.64</v>
      </c>
      <c r="G77" s="64">
        <v>35.18</v>
      </c>
      <c r="H77" s="64">
        <v>9.4600000000000009</v>
      </c>
      <c r="I77" s="64">
        <v>5.66</v>
      </c>
      <c r="J77" s="64">
        <v>0.51</v>
      </c>
      <c r="K77" s="64">
        <v>115.66</v>
      </c>
      <c r="L77" s="64">
        <v>31.45</v>
      </c>
      <c r="M77" s="64">
        <v>74.37</v>
      </c>
      <c r="N77" s="64">
        <v>105.1</v>
      </c>
      <c r="O77" s="64">
        <v>0</v>
      </c>
      <c r="P77" s="64">
        <v>0.41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48" t="s">
        <v>3194</v>
      </c>
      <c r="B78" s="64">
        <v>7.96</v>
      </c>
      <c r="C78" s="64">
        <v>2.96</v>
      </c>
      <c r="D78" s="64">
        <v>11.7</v>
      </c>
      <c r="E78" s="64">
        <v>3.62</v>
      </c>
      <c r="F78" s="64">
        <v>3.89</v>
      </c>
      <c r="G78" s="64">
        <v>35.18</v>
      </c>
      <c r="H78" s="64">
        <v>9.4600000000000009</v>
      </c>
      <c r="I78" s="64">
        <v>5.42</v>
      </c>
      <c r="J78" s="64">
        <v>0.62</v>
      </c>
      <c r="K78" s="64">
        <v>107.24</v>
      </c>
      <c r="L78" s="64">
        <v>31.29</v>
      </c>
      <c r="M78" s="64">
        <v>76.89</v>
      </c>
      <c r="N78" s="64">
        <v>87.5</v>
      </c>
      <c r="O78" s="64">
        <v>0</v>
      </c>
      <c r="P78" s="64">
        <v>0.41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48" t="s">
        <v>3195</v>
      </c>
      <c r="B79" s="64">
        <v>7.97</v>
      </c>
      <c r="C79" s="64">
        <v>2.97</v>
      </c>
      <c r="D79" s="64">
        <v>11.72</v>
      </c>
      <c r="E79" s="64">
        <v>3.41</v>
      </c>
      <c r="F79" s="64">
        <v>3.9</v>
      </c>
      <c r="G79" s="64">
        <v>34.51</v>
      </c>
      <c r="H79" s="64">
        <v>10.3</v>
      </c>
      <c r="I79" s="64">
        <v>5.27</v>
      </c>
      <c r="J79" s="64">
        <v>0.71</v>
      </c>
      <c r="K79" s="64">
        <v>117.9</v>
      </c>
      <c r="L79" s="64">
        <v>31.24</v>
      </c>
      <c r="M79" s="64">
        <v>77.819999999999993</v>
      </c>
      <c r="N79" s="64">
        <v>78.2</v>
      </c>
      <c r="O79" s="64">
        <v>0</v>
      </c>
      <c r="P79" s="64">
        <v>0.42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48" t="s">
        <v>3196</v>
      </c>
      <c r="B80" s="64">
        <v>7.98</v>
      </c>
      <c r="C80" s="64">
        <v>2.94</v>
      </c>
      <c r="D80" s="64">
        <v>11.71</v>
      </c>
      <c r="E80" s="64">
        <v>4.08</v>
      </c>
      <c r="F80" s="64">
        <v>3.92</v>
      </c>
      <c r="G80" s="64">
        <v>33.75</v>
      </c>
      <c r="H80" s="64">
        <v>10.84</v>
      </c>
      <c r="I80" s="64">
        <v>5.25</v>
      </c>
      <c r="J80" s="64">
        <v>0.89</v>
      </c>
      <c r="K80" s="64">
        <v>114.98</v>
      </c>
      <c r="L80" s="64">
        <v>31.04</v>
      </c>
      <c r="M80" s="64">
        <v>78.13</v>
      </c>
      <c r="N80" s="64">
        <v>62.2</v>
      </c>
      <c r="O80" s="64">
        <v>0</v>
      </c>
      <c r="P80" s="64">
        <v>0.41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48" t="s">
        <v>3197</v>
      </c>
      <c r="B81" s="64">
        <v>7.99</v>
      </c>
      <c r="C81" s="64">
        <v>2.97</v>
      </c>
      <c r="D81" s="64">
        <v>11.74</v>
      </c>
      <c r="E81" s="64">
        <v>3.9</v>
      </c>
      <c r="F81" s="64">
        <v>3.92</v>
      </c>
      <c r="G81" s="64">
        <v>33.75</v>
      </c>
      <c r="H81" s="64">
        <v>10.84</v>
      </c>
      <c r="I81" s="64">
        <v>5.33</v>
      </c>
      <c r="J81" s="64">
        <v>0.89</v>
      </c>
      <c r="K81" s="64">
        <v>115.01</v>
      </c>
      <c r="L81" s="64">
        <v>30.86</v>
      </c>
      <c r="M81" s="64">
        <v>78.489999999999995</v>
      </c>
      <c r="N81" s="64">
        <v>49.7</v>
      </c>
      <c r="O81" s="64">
        <v>0</v>
      </c>
      <c r="P81" s="64">
        <v>0.42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48" t="s">
        <v>3198</v>
      </c>
      <c r="B82" s="64">
        <v>7.99</v>
      </c>
      <c r="C82" s="64">
        <v>3</v>
      </c>
      <c r="D82" s="64">
        <v>11.75</v>
      </c>
      <c r="E82" s="64">
        <v>4.0999999999999996</v>
      </c>
      <c r="F82" s="64">
        <v>3.59</v>
      </c>
      <c r="G82" s="64">
        <v>33.75</v>
      </c>
      <c r="H82" s="64">
        <v>10.84</v>
      </c>
      <c r="I82" s="64">
        <v>5.59</v>
      </c>
      <c r="J82" s="64">
        <v>1</v>
      </c>
      <c r="K82" s="64">
        <v>122.37</v>
      </c>
      <c r="L82" s="64">
        <v>30.67</v>
      </c>
      <c r="M82" s="64">
        <v>79.430000000000007</v>
      </c>
      <c r="N82" s="64">
        <v>43.6</v>
      </c>
      <c r="O82" s="64">
        <v>0</v>
      </c>
      <c r="P82" s="64">
        <v>0.42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48" t="s">
        <v>3199</v>
      </c>
      <c r="B83" s="64">
        <v>7.98</v>
      </c>
      <c r="C83" s="64">
        <v>3.01</v>
      </c>
      <c r="D83" s="64">
        <v>11.75</v>
      </c>
      <c r="E83" s="64">
        <v>4.03</v>
      </c>
      <c r="F83" s="64">
        <v>3.86</v>
      </c>
      <c r="G83" s="64">
        <v>33.32</v>
      </c>
      <c r="H83" s="64">
        <v>8.86</v>
      </c>
      <c r="I83" s="64">
        <v>5.66</v>
      </c>
      <c r="J83" s="64">
        <v>1.29</v>
      </c>
      <c r="K83" s="64">
        <v>118.56</v>
      </c>
      <c r="L83" s="64">
        <v>30.47</v>
      </c>
      <c r="M83" s="64">
        <v>80.69</v>
      </c>
      <c r="N83" s="64">
        <v>42.3</v>
      </c>
      <c r="O83" s="64">
        <v>0</v>
      </c>
      <c r="P83" s="64">
        <v>0.42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48" t="s">
        <v>3200</v>
      </c>
      <c r="B84" s="64">
        <v>7.98</v>
      </c>
      <c r="C84" s="64">
        <v>2.91</v>
      </c>
      <c r="D84" s="64">
        <v>11.69</v>
      </c>
      <c r="E84" s="64">
        <v>3.94</v>
      </c>
      <c r="F84" s="64">
        <v>3.7</v>
      </c>
      <c r="G84" s="64">
        <v>32.81</v>
      </c>
      <c r="H84" s="64">
        <v>7.61</v>
      </c>
      <c r="I84" s="64">
        <v>5.7</v>
      </c>
      <c r="J84" s="64">
        <v>0.84</v>
      </c>
      <c r="K84" s="64">
        <v>114.43</v>
      </c>
      <c r="L84" s="64">
        <v>30.27</v>
      </c>
      <c r="M84" s="64">
        <v>81.42</v>
      </c>
      <c r="N84" s="64">
        <v>42.2</v>
      </c>
      <c r="O84" s="64">
        <v>0</v>
      </c>
      <c r="P84" s="64">
        <v>0.41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48" t="s">
        <v>3201</v>
      </c>
      <c r="B85" s="64">
        <v>7.97</v>
      </c>
      <c r="C85" s="64">
        <v>2.94</v>
      </c>
      <c r="D85" s="64">
        <v>11.71</v>
      </c>
      <c r="E85" s="64">
        <v>3.95</v>
      </c>
      <c r="F85" s="64">
        <v>4.4800000000000004</v>
      </c>
      <c r="G85" s="64">
        <v>32.81</v>
      </c>
      <c r="H85" s="64">
        <v>7.61</v>
      </c>
      <c r="I85" s="64">
        <v>5.83</v>
      </c>
      <c r="J85" s="64">
        <v>0.72</v>
      </c>
      <c r="K85" s="64">
        <v>114.68</v>
      </c>
      <c r="L85" s="64">
        <v>30.11</v>
      </c>
      <c r="M85" s="64">
        <v>82.12</v>
      </c>
      <c r="N85" s="64">
        <v>42</v>
      </c>
      <c r="O85" s="64">
        <v>0</v>
      </c>
      <c r="P85" s="64">
        <v>0.4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48" t="s">
        <v>3202</v>
      </c>
      <c r="B86" s="64">
        <v>7.96</v>
      </c>
      <c r="C86" s="64">
        <v>2.99</v>
      </c>
      <c r="D86" s="64">
        <v>11.72</v>
      </c>
      <c r="E86" s="64">
        <v>4.34</v>
      </c>
      <c r="F86" s="64">
        <v>4.6100000000000003</v>
      </c>
      <c r="G86" s="64">
        <v>32.81</v>
      </c>
      <c r="H86" s="64">
        <v>7.61</v>
      </c>
      <c r="I86" s="64">
        <v>5.94</v>
      </c>
      <c r="J86" s="64">
        <v>0.56999999999999995</v>
      </c>
      <c r="K86" s="64">
        <v>112.31</v>
      </c>
      <c r="L86" s="64">
        <v>30.03</v>
      </c>
      <c r="M86" s="64">
        <v>83.62</v>
      </c>
      <c r="N86" s="64">
        <v>41.9</v>
      </c>
      <c r="O86" s="64">
        <v>0</v>
      </c>
      <c r="P86" s="64">
        <v>0.43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48" t="s">
        <v>3203</v>
      </c>
      <c r="B87" s="64">
        <v>7.94</v>
      </c>
      <c r="C87" s="64">
        <v>2.98</v>
      </c>
      <c r="D87" s="64">
        <v>11.69</v>
      </c>
      <c r="E87" s="64">
        <v>4.46</v>
      </c>
      <c r="F87" s="64">
        <v>2.36</v>
      </c>
      <c r="G87" s="64">
        <v>34.33</v>
      </c>
      <c r="H87" s="64">
        <v>9.64</v>
      </c>
      <c r="I87" s="64">
        <v>5.9</v>
      </c>
      <c r="J87" s="64">
        <v>0.33</v>
      </c>
      <c r="K87" s="64">
        <v>116.19</v>
      </c>
      <c r="L87" s="64">
        <v>29.89</v>
      </c>
      <c r="M87" s="64">
        <v>85.1</v>
      </c>
      <c r="N87" s="64">
        <v>41.9</v>
      </c>
      <c r="O87" s="64">
        <v>0</v>
      </c>
      <c r="P87" s="64">
        <v>0.43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48" t="s">
        <v>3204</v>
      </c>
      <c r="B88" s="64">
        <v>7.96</v>
      </c>
      <c r="C88" s="64">
        <v>3.04</v>
      </c>
      <c r="D88" s="64">
        <v>11.75</v>
      </c>
      <c r="E88" s="64">
        <v>3.55</v>
      </c>
      <c r="F88" s="64">
        <v>3.77</v>
      </c>
      <c r="G88" s="64">
        <v>36.08</v>
      </c>
      <c r="H88" s="64">
        <v>12.56</v>
      </c>
      <c r="I88" s="64">
        <v>5.78</v>
      </c>
      <c r="J88" s="64">
        <v>0.42</v>
      </c>
      <c r="K88" s="64">
        <v>112.5</v>
      </c>
      <c r="L88" s="64">
        <v>29.92</v>
      </c>
      <c r="M88" s="64">
        <v>84.45</v>
      </c>
      <c r="N88" s="64">
        <v>41.6</v>
      </c>
      <c r="O88" s="64">
        <v>0</v>
      </c>
      <c r="P88" s="64">
        <v>0.44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48" t="s">
        <v>3205</v>
      </c>
      <c r="B89" s="64">
        <v>7.93</v>
      </c>
      <c r="C89" s="64">
        <v>2.96</v>
      </c>
      <c r="D89" s="64">
        <v>11.68</v>
      </c>
      <c r="E89" s="64">
        <v>3.43</v>
      </c>
      <c r="F89" s="64">
        <v>4.4800000000000004</v>
      </c>
      <c r="G89" s="64">
        <v>36.08</v>
      </c>
      <c r="H89" s="64">
        <v>12.56</v>
      </c>
      <c r="I89" s="64">
        <v>5.62</v>
      </c>
      <c r="J89" s="64">
        <v>0.11</v>
      </c>
      <c r="K89" s="64">
        <v>105.56</v>
      </c>
      <c r="L89" s="64">
        <v>29.95</v>
      </c>
      <c r="M89" s="64">
        <v>84.51</v>
      </c>
      <c r="N89" s="64">
        <v>41.9</v>
      </c>
      <c r="O89" s="64">
        <v>0</v>
      </c>
      <c r="P89" s="64">
        <v>0.48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48" t="s">
        <v>3206</v>
      </c>
      <c r="B90" s="64">
        <v>7.96</v>
      </c>
      <c r="C90" s="64">
        <v>3.02</v>
      </c>
      <c r="D90" s="64">
        <v>11.74</v>
      </c>
      <c r="E90" s="64">
        <v>3.28</v>
      </c>
      <c r="F90" s="64">
        <v>2.39</v>
      </c>
      <c r="G90" s="64">
        <v>36.08</v>
      </c>
      <c r="H90" s="64">
        <v>12.56</v>
      </c>
      <c r="I90" s="64">
        <v>5.54</v>
      </c>
      <c r="J90" s="64">
        <v>0.2</v>
      </c>
      <c r="K90" s="64">
        <v>74.099999999999994</v>
      </c>
      <c r="L90" s="64">
        <v>30.03</v>
      </c>
      <c r="M90" s="64">
        <v>83.19</v>
      </c>
      <c r="N90" s="64">
        <v>41.9</v>
      </c>
      <c r="O90" s="64">
        <v>0</v>
      </c>
      <c r="P90" s="64">
        <v>0.5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48" t="s">
        <v>3207</v>
      </c>
      <c r="B91" s="64">
        <v>7.95</v>
      </c>
      <c r="C91" s="64">
        <v>3</v>
      </c>
      <c r="D91" s="64">
        <v>11.72</v>
      </c>
      <c r="E91" s="64">
        <v>3.04</v>
      </c>
      <c r="F91" s="64">
        <v>3.7</v>
      </c>
      <c r="G91" s="64">
        <v>38.58</v>
      </c>
      <c r="H91" s="64">
        <v>15.56</v>
      </c>
      <c r="I91" s="64">
        <v>5.42</v>
      </c>
      <c r="J91" s="64">
        <v>0.15</v>
      </c>
      <c r="K91" s="64">
        <v>327.19</v>
      </c>
      <c r="L91" s="64">
        <v>29.95</v>
      </c>
      <c r="M91" s="64">
        <v>84.53</v>
      </c>
      <c r="N91" s="64">
        <v>42.2</v>
      </c>
      <c r="O91" s="64">
        <v>0</v>
      </c>
      <c r="P91" s="64">
        <v>0.54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48" t="s">
        <v>3208</v>
      </c>
      <c r="B92" s="64">
        <v>7.96</v>
      </c>
      <c r="C92" s="64">
        <v>2.98</v>
      </c>
      <c r="D92" s="64">
        <v>11.72</v>
      </c>
      <c r="E92" s="64">
        <v>3.1</v>
      </c>
      <c r="F92" s="64">
        <v>3.54</v>
      </c>
      <c r="G92" s="64">
        <v>41.57</v>
      </c>
      <c r="H92" s="64">
        <v>17.46</v>
      </c>
      <c r="I92" s="64">
        <v>5.3</v>
      </c>
      <c r="J92" s="64">
        <v>0.24</v>
      </c>
      <c r="K92" s="64">
        <v>327.05</v>
      </c>
      <c r="L92" s="64">
        <v>29.83</v>
      </c>
      <c r="M92" s="64">
        <v>85.24</v>
      </c>
      <c r="N92" s="64">
        <v>42</v>
      </c>
      <c r="O92" s="64">
        <v>0</v>
      </c>
      <c r="P92" s="64">
        <v>0.6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48" t="s">
        <v>3209</v>
      </c>
      <c r="B93" s="64">
        <v>7.96</v>
      </c>
      <c r="C93" s="64">
        <v>3</v>
      </c>
      <c r="D93" s="64">
        <v>11.73</v>
      </c>
      <c r="E93" s="64">
        <v>3.78</v>
      </c>
      <c r="F93" s="64">
        <v>2.63</v>
      </c>
      <c r="G93" s="64">
        <v>41.57</v>
      </c>
      <c r="H93" s="64">
        <v>17.46</v>
      </c>
      <c r="I93" s="64">
        <v>5.27</v>
      </c>
      <c r="J93" s="64">
        <v>0.02</v>
      </c>
      <c r="K93" s="64">
        <v>52.63</v>
      </c>
      <c r="L93" s="64">
        <v>29.7</v>
      </c>
      <c r="M93" s="64">
        <v>86.26</v>
      </c>
      <c r="N93" s="64">
        <v>42.1</v>
      </c>
      <c r="O93" s="64">
        <v>0</v>
      </c>
      <c r="P93" s="64">
        <v>0.64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48" t="s">
        <v>3210</v>
      </c>
      <c r="B94" s="64">
        <v>7.97</v>
      </c>
      <c r="C94" s="64">
        <v>3.03</v>
      </c>
      <c r="D94" s="64">
        <v>11.75</v>
      </c>
      <c r="E94" s="64">
        <v>2.96</v>
      </c>
      <c r="F94" s="64">
        <v>3.43</v>
      </c>
      <c r="G94" s="64">
        <v>41.57</v>
      </c>
      <c r="H94" s="64">
        <v>17.46</v>
      </c>
      <c r="I94" s="64">
        <v>5.55</v>
      </c>
      <c r="J94" s="64">
        <v>0.72</v>
      </c>
      <c r="K94" s="64">
        <v>333.53</v>
      </c>
      <c r="L94" s="64">
        <v>29.73</v>
      </c>
      <c r="M94" s="64">
        <v>87.37</v>
      </c>
      <c r="N94" s="64">
        <v>41.7</v>
      </c>
      <c r="O94" s="64">
        <v>0</v>
      </c>
      <c r="P94" s="64">
        <v>0.69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48" t="s">
        <v>3211</v>
      </c>
      <c r="B95" s="64">
        <v>7.99</v>
      </c>
      <c r="C95" s="64">
        <v>3.02</v>
      </c>
      <c r="D95" s="64">
        <v>11.76</v>
      </c>
      <c r="E95" s="64">
        <v>2.95</v>
      </c>
      <c r="F95" s="64">
        <v>3.67</v>
      </c>
      <c r="G95" s="64">
        <v>44.68</v>
      </c>
      <c r="H95" s="64">
        <v>17.97</v>
      </c>
      <c r="I95" s="64">
        <v>5.52</v>
      </c>
      <c r="J95" s="64">
        <v>0.93</v>
      </c>
      <c r="K95" s="64">
        <v>331.93</v>
      </c>
      <c r="L95" s="64">
        <v>29.75</v>
      </c>
      <c r="M95" s="64">
        <v>87.6</v>
      </c>
      <c r="N95" s="64">
        <v>41.8</v>
      </c>
      <c r="O95" s="64">
        <v>0</v>
      </c>
      <c r="P95" s="64">
        <v>0.71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48" t="s">
        <v>3212</v>
      </c>
      <c r="B96" s="64">
        <v>8</v>
      </c>
      <c r="C96" s="64">
        <v>3.06</v>
      </c>
      <c r="D96" s="64">
        <v>11.79</v>
      </c>
      <c r="E96" s="64">
        <v>3.45</v>
      </c>
      <c r="F96" s="64">
        <v>3.7</v>
      </c>
      <c r="G96" s="64">
        <v>48.24</v>
      </c>
      <c r="H96" s="64">
        <v>18.3</v>
      </c>
      <c r="I96" s="64">
        <v>5.55</v>
      </c>
      <c r="J96" s="64">
        <v>0.65</v>
      </c>
      <c r="K96" s="64">
        <v>334.49</v>
      </c>
      <c r="L96" s="64">
        <v>29.63</v>
      </c>
      <c r="M96" s="64">
        <v>88.07</v>
      </c>
      <c r="N96" s="64">
        <v>41.8</v>
      </c>
      <c r="O96" s="64">
        <v>0</v>
      </c>
      <c r="P96" s="64">
        <v>0.73</v>
      </c>
      <c r="Q96" s="64">
        <v>9.77</v>
      </c>
      <c r="R96" s="198"/>
      <c r="S96" s="198"/>
      <c r="T96" s="213"/>
      <c r="U96" s="198"/>
      <c r="Z96" s="109"/>
    </row>
    <row r="97" spans="1:33" s="12" customFormat="1" x14ac:dyDescent="0.25">
      <c r="A97" s="248" t="s">
        <v>3213</v>
      </c>
      <c r="B97" s="64">
        <v>8.0399999999999991</v>
      </c>
      <c r="C97" s="64">
        <v>3.13</v>
      </c>
      <c r="D97" s="64">
        <v>11.85</v>
      </c>
      <c r="E97" s="64">
        <v>3.34</v>
      </c>
      <c r="F97" s="64">
        <v>3.87</v>
      </c>
      <c r="G97" s="64">
        <v>48.24</v>
      </c>
      <c r="H97" s="64">
        <v>18.3</v>
      </c>
      <c r="I97" s="64">
        <v>5.62</v>
      </c>
      <c r="J97" s="64">
        <v>0.65</v>
      </c>
      <c r="K97" s="64">
        <v>333.41</v>
      </c>
      <c r="L97" s="64">
        <v>29.74</v>
      </c>
      <c r="M97" s="64">
        <v>88.03</v>
      </c>
      <c r="N97" s="64">
        <v>41.9</v>
      </c>
      <c r="O97" s="64">
        <v>0</v>
      </c>
      <c r="P97" s="64">
        <v>0.75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48" t="s">
        <v>3214</v>
      </c>
      <c r="B98" s="64">
        <v>7.99</v>
      </c>
      <c r="C98" s="64">
        <v>3.03</v>
      </c>
      <c r="D98" s="64">
        <v>11.76</v>
      </c>
      <c r="E98" s="64">
        <v>3.41</v>
      </c>
      <c r="F98" s="64">
        <v>3.46</v>
      </c>
      <c r="G98" s="64">
        <v>48.24</v>
      </c>
      <c r="H98" s="64">
        <v>18.3</v>
      </c>
      <c r="I98" s="64">
        <v>5.65</v>
      </c>
      <c r="J98" s="64">
        <v>1.21</v>
      </c>
      <c r="K98" s="64">
        <v>340.06</v>
      </c>
      <c r="L98" s="64">
        <v>29.56</v>
      </c>
      <c r="M98" s="64">
        <v>93.99</v>
      </c>
      <c r="N98" s="64">
        <v>42.8</v>
      </c>
      <c r="O98" s="64">
        <v>0</v>
      </c>
      <c r="P98" s="64">
        <v>0.76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48" t="s">
        <v>3215</v>
      </c>
      <c r="B99" s="64">
        <v>7.98</v>
      </c>
      <c r="C99" s="64">
        <v>3</v>
      </c>
      <c r="D99" s="64">
        <v>11.74</v>
      </c>
      <c r="E99" s="64">
        <v>3.5</v>
      </c>
      <c r="F99" s="64">
        <v>3.46</v>
      </c>
      <c r="G99" s="64">
        <v>52.4</v>
      </c>
      <c r="H99" s="64">
        <v>16.77</v>
      </c>
      <c r="I99" s="64">
        <v>5.69</v>
      </c>
      <c r="J99" s="64">
        <v>1.25</v>
      </c>
      <c r="K99" s="64">
        <v>337.86</v>
      </c>
      <c r="L99" s="64">
        <v>29.04</v>
      </c>
      <c r="M99" s="64">
        <v>96.45</v>
      </c>
      <c r="N99" s="64">
        <v>42.5</v>
      </c>
      <c r="O99" s="64">
        <v>0</v>
      </c>
      <c r="P99" s="64">
        <v>0.75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48" t="s">
        <v>3216</v>
      </c>
      <c r="B100" s="64">
        <v>8.01</v>
      </c>
      <c r="C100" s="64">
        <v>3.07</v>
      </c>
      <c r="D100" s="64">
        <v>11.8</v>
      </c>
      <c r="E100" s="64">
        <v>3.34</v>
      </c>
      <c r="F100" s="64">
        <v>3.67</v>
      </c>
      <c r="G100" s="64">
        <v>57.36</v>
      </c>
      <c r="H100" s="64">
        <v>15.8</v>
      </c>
      <c r="I100" s="64">
        <v>5.62</v>
      </c>
      <c r="J100" s="64">
        <v>1.56</v>
      </c>
      <c r="K100" s="64">
        <v>337.43</v>
      </c>
      <c r="L100" s="64">
        <v>28.69</v>
      </c>
      <c r="M100" s="64">
        <v>97.46</v>
      </c>
      <c r="N100" s="64">
        <v>42.2</v>
      </c>
      <c r="O100" s="64">
        <v>0</v>
      </c>
      <c r="P100" s="64">
        <v>0.76</v>
      </c>
      <c r="Q100" s="64">
        <v>9.8699999999999992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8" t="s">
        <v>3217</v>
      </c>
      <c r="B101" s="64">
        <v>8</v>
      </c>
      <c r="C101" s="64">
        <v>3.07</v>
      </c>
      <c r="D101" s="64">
        <v>11.8</v>
      </c>
      <c r="E101" s="64">
        <v>3.23</v>
      </c>
      <c r="F101" s="64">
        <v>3.69</v>
      </c>
      <c r="G101" s="64">
        <v>57.36</v>
      </c>
      <c r="H101" s="64">
        <v>15.8</v>
      </c>
      <c r="I101" s="64">
        <v>5.48</v>
      </c>
      <c r="J101" s="64">
        <v>1.76</v>
      </c>
      <c r="K101" s="64">
        <v>335.69</v>
      </c>
      <c r="L101" s="64">
        <v>28.49</v>
      </c>
      <c r="M101" s="64">
        <v>98.29</v>
      </c>
      <c r="N101" s="64">
        <v>42.2</v>
      </c>
      <c r="O101" s="64">
        <v>0</v>
      </c>
      <c r="P101" s="64">
        <v>0.76</v>
      </c>
      <c r="Q101" s="64">
        <v>9.89</v>
      </c>
      <c r="R101" s="198"/>
      <c r="S101" s="198"/>
      <c r="T101" s="198"/>
      <c r="U101" s="198"/>
    </row>
    <row r="102" spans="1:33" s="12" customFormat="1" x14ac:dyDescent="0.25">
      <c r="A102" s="248" t="s">
        <v>3218</v>
      </c>
      <c r="B102" s="64">
        <v>8.02</v>
      </c>
      <c r="C102" s="64">
        <v>3.04</v>
      </c>
      <c r="D102" s="64">
        <v>11.79</v>
      </c>
      <c r="E102" s="64">
        <v>3.61</v>
      </c>
      <c r="F102" s="64">
        <v>4.51</v>
      </c>
      <c r="G102" s="64">
        <v>57.36</v>
      </c>
      <c r="H102" s="64">
        <v>15.8</v>
      </c>
      <c r="I102" s="64">
        <v>5.38</v>
      </c>
      <c r="J102" s="64">
        <v>1.53</v>
      </c>
      <c r="K102" s="64">
        <v>334.79</v>
      </c>
      <c r="L102" s="64">
        <v>28.27</v>
      </c>
      <c r="M102" s="64">
        <v>99.87</v>
      </c>
      <c r="N102" s="64">
        <v>42</v>
      </c>
      <c r="O102" s="64">
        <v>0</v>
      </c>
      <c r="P102" s="64">
        <v>0.78</v>
      </c>
      <c r="Q102" s="64">
        <v>9.9499999999999993</v>
      </c>
      <c r="R102" s="198"/>
      <c r="S102" s="198"/>
      <c r="T102" s="198"/>
      <c r="U102" s="198"/>
    </row>
    <row r="103" spans="1:33" s="12" customFormat="1" x14ac:dyDescent="0.25">
      <c r="A103" s="248" t="s">
        <v>3219</v>
      </c>
      <c r="B103" s="64">
        <v>7.97</v>
      </c>
      <c r="C103" s="64">
        <v>3.03</v>
      </c>
      <c r="D103" s="64">
        <v>11.75</v>
      </c>
      <c r="E103" s="64">
        <v>3.95</v>
      </c>
      <c r="F103" s="64">
        <v>4.3600000000000003</v>
      </c>
      <c r="G103" s="64">
        <v>65.92</v>
      </c>
      <c r="H103" s="64">
        <v>19.010000000000002</v>
      </c>
      <c r="I103" s="64">
        <v>5.17</v>
      </c>
      <c r="J103" s="64">
        <v>1.22</v>
      </c>
      <c r="K103" s="64">
        <v>335.99</v>
      </c>
      <c r="L103" s="64">
        <v>28.15</v>
      </c>
      <c r="M103" s="64">
        <v>101.09</v>
      </c>
      <c r="N103" s="64">
        <v>41.9</v>
      </c>
      <c r="O103" s="64">
        <v>0</v>
      </c>
      <c r="P103" s="64">
        <v>0.79</v>
      </c>
      <c r="Q103" s="64">
        <v>9.9</v>
      </c>
      <c r="R103" s="198"/>
      <c r="S103" s="198"/>
      <c r="T103" s="198"/>
      <c r="U103" s="198"/>
    </row>
    <row r="104" spans="1:33" s="12" customFormat="1" x14ac:dyDescent="0.25">
      <c r="A104" s="248" t="s">
        <v>3220</v>
      </c>
      <c r="B104" s="64">
        <v>7.98</v>
      </c>
      <c r="C104" s="64">
        <v>3</v>
      </c>
      <c r="D104" s="64">
        <v>11.74</v>
      </c>
      <c r="E104" s="64">
        <v>4.55</v>
      </c>
      <c r="F104" s="64">
        <v>2.21</v>
      </c>
      <c r="G104" s="64">
        <v>75.69</v>
      </c>
      <c r="H104" s="64">
        <v>23.92</v>
      </c>
      <c r="I104" s="64">
        <v>5.01</v>
      </c>
      <c r="J104" s="64">
        <v>1.83</v>
      </c>
      <c r="K104" s="64">
        <v>336.63</v>
      </c>
      <c r="L104" s="64">
        <v>27.94</v>
      </c>
      <c r="M104" s="64">
        <v>101.53</v>
      </c>
      <c r="N104" s="64">
        <v>42.2</v>
      </c>
      <c r="O104" s="64">
        <v>0</v>
      </c>
      <c r="P104" s="64">
        <v>0.77</v>
      </c>
      <c r="Q104" s="64">
        <v>9.7799999999999994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</v>
      </c>
      <c r="D106" s="67">
        <f t="shared" ref="D106:Q106" si="0">MIN(D9:D104)</f>
        <v>11.64</v>
      </c>
      <c r="E106" s="67">
        <f t="shared" si="0"/>
        <v>2.77</v>
      </c>
      <c r="F106" s="67">
        <f t="shared" si="0"/>
        <v>2.21</v>
      </c>
      <c r="G106" s="67">
        <f t="shared" si="0"/>
        <v>27.12</v>
      </c>
      <c r="H106" s="67">
        <f t="shared" si="0"/>
        <v>3.15</v>
      </c>
      <c r="I106" s="67">
        <f t="shared" si="0"/>
        <v>4.28</v>
      </c>
      <c r="J106" s="67">
        <f t="shared" si="0"/>
        <v>0.02</v>
      </c>
      <c r="K106" s="67">
        <f t="shared" si="0"/>
        <v>0.46</v>
      </c>
      <c r="L106" s="67">
        <f t="shared" si="0"/>
        <v>26.81</v>
      </c>
      <c r="M106" s="67">
        <f t="shared" si="0"/>
        <v>67.180000000000007</v>
      </c>
      <c r="N106" s="67">
        <f t="shared" si="0"/>
        <v>41.6</v>
      </c>
      <c r="O106" s="67">
        <f t="shared" si="0"/>
        <v>0</v>
      </c>
      <c r="P106" s="67">
        <f t="shared" si="0"/>
        <v>0.4</v>
      </c>
      <c r="Q106" s="67">
        <f t="shared" si="0"/>
        <v>9.52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8.06</v>
      </c>
      <c r="C107" s="66">
        <f t="shared" ref="C107:Q107" si="1">MAX(C9:C104)</f>
        <v>3.13</v>
      </c>
      <c r="D107" s="66">
        <f t="shared" si="1"/>
        <v>11.87</v>
      </c>
      <c r="E107" s="66">
        <f t="shared" si="1"/>
        <v>5.62</v>
      </c>
      <c r="F107" s="66">
        <f t="shared" si="1"/>
        <v>5.0599999999999996</v>
      </c>
      <c r="G107" s="66">
        <f t="shared" si="1"/>
        <v>139.63</v>
      </c>
      <c r="H107" s="66">
        <f t="shared" si="1"/>
        <v>64.66</v>
      </c>
      <c r="I107" s="66">
        <f t="shared" si="1"/>
        <v>6.46</v>
      </c>
      <c r="J107" s="66">
        <f t="shared" si="1"/>
        <v>1.83</v>
      </c>
      <c r="K107" s="66">
        <f t="shared" si="1"/>
        <v>356</v>
      </c>
      <c r="L107" s="66">
        <f t="shared" si="1"/>
        <v>33.94</v>
      </c>
      <c r="M107" s="66">
        <f t="shared" si="1"/>
        <v>101.65</v>
      </c>
      <c r="N107" s="66">
        <f t="shared" si="1"/>
        <v>714.9</v>
      </c>
      <c r="O107" s="66">
        <f t="shared" si="1"/>
        <v>0</v>
      </c>
      <c r="P107" s="66">
        <f t="shared" si="1"/>
        <v>1.1399999999999999</v>
      </c>
      <c r="Q107" s="66">
        <f t="shared" si="1"/>
        <v>10.18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7.9814583333333369</v>
      </c>
      <c r="C108" s="67">
        <f t="shared" ref="C108:Q108" si="2">AVERAGE(C9:C104)</f>
        <v>3.0047916666666654</v>
      </c>
      <c r="D108" s="67">
        <f t="shared" si="2"/>
        <v>11.745520833333332</v>
      </c>
      <c r="E108" s="67">
        <f t="shared" si="2"/>
        <v>4.0506249999999984</v>
      </c>
      <c r="F108" s="67">
        <f t="shared" si="2"/>
        <v>3.6492708333333326</v>
      </c>
      <c r="G108" s="67">
        <f t="shared" si="2"/>
        <v>50.693645833333278</v>
      </c>
      <c r="H108" s="67">
        <f t="shared" si="2"/>
        <v>16.591979166666665</v>
      </c>
      <c r="I108" s="67">
        <f t="shared" si="2"/>
        <v>5.4394791666666658</v>
      </c>
      <c r="J108" s="67">
        <f t="shared" si="2"/>
        <v>0.64260416666666675</v>
      </c>
      <c r="K108" s="67">
        <f t="shared" si="2"/>
        <v>208.11239583333341</v>
      </c>
      <c r="L108" s="67">
        <f t="shared" si="2"/>
        <v>30.177083333333325</v>
      </c>
      <c r="M108" s="67">
        <f t="shared" si="2"/>
        <v>85.524583333333339</v>
      </c>
      <c r="N108" s="67">
        <f t="shared" si="2"/>
        <v>205.4875000000001</v>
      </c>
      <c r="O108" s="67">
        <f t="shared" si="2"/>
        <v>0</v>
      </c>
      <c r="P108" s="67">
        <f t="shared" si="2"/>
        <v>0.5607291666666665</v>
      </c>
      <c r="Q108" s="67">
        <f t="shared" si="2"/>
        <v>9.7733333333333317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3.3841088904549316E-2</v>
      </c>
      <c r="C109" s="67">
        <f t="shared" ref="C109:Q109" si="3">STDEV(C9:C104)</f>
        <v>5.0450166483824499E-2</v>
      </c>
      <c r="D109" s="67">
        <f t="shared" si="3"/>
        <v>5.0028829407950517E-2</v>
      </c>
      <c r="E109" s="67">
        <f t="shared" si="3"/>
        <v>0.7002553105832211</v>
      </c>
      <c r="F109" s="67">
        <f t="shared" si="3"/>
        <v>0.53440029308152837</v>
      </c>
      <c r="G109" s="67">
        <f t="shared" si="3"/>
        <v>29.807619129124305</v>
      </c>
      <c r="H109" s="67">
        <f t="shared" si="3"/>
        <v>12.67231309586224</v>
      </c>
      <c r="I109" s="67">
        <f t="shared" si="3"/>
        <v>0.48996749578908255</v>
      </c>
      <c r="J109" s="67">
        <f t="shared" si="3"/>
        <v>0.45000875966133091</v>
      </c>
      <c r="K109" s="67">
        <f t="shared" si="3"/>
        <v>122.76244081661203</v>
      </c>
      <c r="L109" s="67">
        <f t="shared" si="3"/>
        <v>2.0971574328708882</v>
      </c>
      <c r="M109" s="67">
        <f t="shared" si="3"/>
        <v>12.417473165848303</v>
      </c>
      <c r="N109" s="67">
        <f t="shared" si="3"/>
        <v>224.75431276232064</v>
      </c>
      <c r="O109" s="67">
        <f t="shared" si="3"/>
        <v>0</v>
      </c>
      <c r="P109" s="67">
        <f t="shared" si="3"/>
        <v>0.1688240740607109</v>
      </c>
      <c r="Q109" s="67">
        <f t="shared" si="3"/>
        <v>0.15993200309517505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216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01/08/2024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x14ac:dyDescent="0.25">
      <c r="A9" s="94" t="str">
        <f>'01'!$B$2</f>
        <v>01/08/2024 00:15</v>
      </c>
      <c r="B9" s="249" t="s">
        <v>32</v>
      </c>
      <c r="C9" s="249" t="s">
        <v>32</v>
      </c>
      <c r="D9" s="249" t="s">
        <v>32</v>
      </c>
      <c r="E9" s="249" t="s">
        <v>32</v>
      </c>
      <c r="F9" s="249" t="s">
        <v>32</v>
      </c>
      <c r="G9" s="249" t="s">
        <v>32</v>
      </c>
      <c r="H9" s="249" t="s">
        <v>32</v>
      </c>
      <c r="I9" s="249" t="s">
        <v>32</v>
      </c>
      <c r="J9" s="249" t="s">
        <v>32</v>
      </c>
      <c r="K9" s="249" t="s">
        <v>32</v>
      </c>
      <c r="L9" s="249" t="s">
        <v>32</v>
      </c>
      <c r="M9" s="249" t="s">
        <v>32</v>
      </c>
      <c r="N9" s="249" t="s">
        <v>32</v>
      </c>
      <c r="O9" s="249" t="s">
        <v>32</v>
      </c>
      <c r="P9" s="249" t="s">
        <v>32</v>
      </c>
      <c r="Q9" s="249" t="s">
        <v>32</v>
      </c>
      <c r="R9" s="118"/>
      <c r="S9" s="118"/>
      <c r="T9" s="118"/>
      <c r="U9" s="118"/>
    </row>
    <row r="10" spans="1:21" x14ac:dyDescent="0.25">
      <c r="A10" s="94" t="str">
        <f>'02'!$B$2</f>
        <v>02/08/2024 00:15</v>
      </c>
      <c r="B10" s="61">
        <f>'02'!B108</f>
        <v>8.04265306122449</v>
      </c>
      <c r="C10" s="61">
        <f>'02'!C108</f>
        <v>3.2234693877551019</v>
      </c>
      <c r="D10" s="61">
        <f>'02'!D108</f>
        <v>11.908571428571427</v>
      </c>
      <c r="E10" s="61">
        <f>'02'!E108</f>
        <v>3.7740816326530613</v>
      </c>
      <c r="F10" s="61">
        <f>'02'!F108</f>
        <v>4.3151020408163276</v>
      </c>
      <c r="G10" s="61">
        <f>'02'!G108</f>
        <v>14.887755102040819</v>
      </c>
      <c r="H10" s="61">
        <f>'02'!H108</f>
        <v>7.736326530612252</v>
      </c>
      <c r="I10" s="61">
        <f>'02'!I108</f>
        <v>1.0038297872340427</v>
      </c>
      <c r="J10" s="61">
        <f>'02'!J108</f>
        <v>0.33179999999999987</v>
      </c>
      <c r="K10" s="61">
        <f>'02'!K108</f>
        <v>160.4178</v>
      </c>
      <c r="L10" s="61">
        <f>'02'!L108</f>
        <v>25.660400000000003</v>
      </c>
      <c r="M10" s="61">
        <f>'02'!M108</f>
        <v>100.41000000000003</v>
      </c>
      <c r="N10" s="61">
        <f>'02'!N108</f>
        <v>84.023999999999972</v>
      </c>
      <c r="O10" s="61">
        <f>'02'!O108</f>
        <v>1.5686274509803921E-2</v>
      </c>
      <c r="P10" s="201">
        <f>'02'!P108</f>
        <v>0.35918367346938773</v>
      </c>
      <c r="Q10" s="61">
        <f>'02'!Q108</f>
        <v>9.1846808510638294</v>
      </c>
      <c r="R10" s="118"/>
      <c r="S10" s="118"/>
      <c r="T10" s="118"/>
      <c r="U10" s="118"/>
    </row>
    <row r="11" spans="1:21" x14ac:dyDescent="0.25">
      <c r="A11" s="94" t="str">
        <f>'03'!$B$2</f>
        <v>03/08/2024 00:15</v>
      </c>
      <c r="B11" s="61">
        <f>'03'!B108</f>
        <v>8.0271874999999984</v>
      </c>
      <c r="C11" s="61">
        <f>'03'!C108</f>
        <v>3.1384374999999989</v>
      </c>
      <c r="D11" s="61">
        <f>'03'!D108</f>
        <v>11.850937500000002</v>
      </c>
      <c r="E11" s="61">
        <f>'03'!E108</f>
        <v>3.8979166666666671</v>
      </c>
      <c r="F11" s="61">
        <f>'03'!F108</f>
        <v>8.5043750000000031</v>
      </c>
      <c r="G11" s="61">
        <f>'03'!G108</f>
        <v>18.297415730337082</v>
      </c>
      <c r="H11" s="61">
        <f>'03'!H108</f>
        <v>7.9198780487804861</v>
      </c>
      <c r="I11" s="61">
        <f>'03'!I108</f>
        <v>0.8988541666666664</v>
      </c>
      <c r="J11" s="61">
        <f>'03'!J108</f>
        <v>0.28239583333333346</v>
      </c>
      <c r="K11" s="61">
        <f>'03'!K108</f>
        <v>110.57031250000004</v>
      </c>
      <c r="L11" s="61">
        <f>'03'!L108</f>
        <v>24.61</v>
      </c>
      <c r="M11" s="61">
        <f>'03'!M108</f>
        <v>100.8991666666667</v>
      </c>
      <c r="N11" s="61">
        <f>'03'!N108</f>
        <v>80.729166666666671</v>
      </c>
      <c r="O11" s="61">
        <f>'03'!O108</f>
        <v>0.65416666666666667</v>
      </c>
      <c r="P11" s="201">
        <f>'03'!P108</f>
        <v>0.26729166666666654</v>
      </c>
      <c r="Q11" s="61">
        <f>'03'!Q108</f>
        <v>9.1661458333333332</v>
      </c>
      <c r="R11" s="118"/>
      <c r="S11" s="118"/>
      <c r="T11" s="118"/>
      <c r="U11" s="118"/>
    </row>
    <row r="12" spans="1:21" x14ac:dyDescent="0.25">
      <c r="A12" s="94" t="str">
        <f>'04'!$B$2</f>
        <v>04/08/2024 00:15</v>
      </c>
      <c r="B12" s="61">
        <f>'04'!B108</f>
        <v>8.2240624999999987</v>
      </c>
      <c r="C12" s="61">
        <f>'04'!C108</f>
        <v>3.4675000000000007</v>
      </c>
      <c r="D12" s="61">
        <f>'04'!D108</f>
        <v>12.180416666666666</v>
      </c>
      <c r="E12" s="61">
        <f>'04'!E108</f>
        <v>4.0533333333333328</v>
      </c>
      <c r="F12" s="61">
        <f>'04'!F108</f>
        <v>3.8699999999999997</v>
      </c>
      <c r="G12" s="61">
        <f>'04'!G108</f>
        <v>21.576354166666665</v>
      </c>
      <c r="H12" s="61">
        <f>'04'!H108</f>
        <v>7.3492708333333328</v>
      </c>
      <c r="I12" s="61">
        <f>'04'!I108</f>
        <v>1.9088541666666672</v>
      </c>
      <c r="J12" s="61">
        <f>'04'!J108</f>
        <v>0.18052083333333335</v>
      </c>
      <c r="K12" s="61">
        <f>'04'!K108</f>
        <v>216.5428125</v>
      </c>
      <c r="L12" s="61">
        <f>'04'!L108</f>
        <v>26.283229166666647</v>
      </c>
      <c r="M12" s="61">
        <f>'04'!M108</f>
        <v>99.261666666666656</v>
      </c>
      <c r="N12" s="61">
        <f>'04'!N108</f>
        <v>134.06041666666664</v>
      </c>
      <c r="O12" s="61">
        <f>'04'!O108</f>
        <v>4.7916666666666663E-2</v>
      </c>
      <c r="P12" s="201">
        <f>'04'!P108</f>
        <v>0.32354166666666678</v>
      </c>
      <c r="Q12" s="61">
        <f>'04'!Q108</f>
        <v>9.2033333333333278</v>
      </c>
      <c r="R12" s="118"/>
      <c r="S12" s="118"/>
      <c r="T12" s="118"/>
      <c r="U12" s="118"/>
    </row>
    <row r="13" spans="1:21" x14ac:dyDescent="0.25">
      <c r="A13" s="94" t="str">
        <f>'05'!$B$2</f>
        <v>05/08/2024 00:15</v>
      </c>
      <c r="B13" s="61">
        <f>'05'!B108</f>
        <v>8.1970833333333335</v>
      </c>
      <c r="C13" s="61">
        <f>'05'!C108</f>
        <v>3.4996875000000003</v>
      </c>
      <c r="D13" s="61">
        <f>'05'!D108</f>
        <v>12.175729166666663</v>
      </c>
      <c r="E13" s="61">
        <f>'05'!E108</f>
        <v>4.3917708333333341</v>
      </c>
      <c r="F13" s="61">
        <f>'05'!F108</f>
        <v>3.9734374999999993</v>
      </c>
      <c r="G13" s="61">
        <f>'05'!G108</f>
        <v>41.401354166666657</v>
      </c>
      <c r="H13" s="61">
        <f>'05'!H108</f>
        <v>13.781354166666674</v>
      </c>
      <c r="I13" s="61">
        <f>'05'!I108</f>
        <v>2.2663541666666682</v>
      </c>
      <c r="J13" s="61">
        <f>'05'!J108</f>
        <v>0.21760416666666671</v>
      </c>
      <c r="K13" s="61">
        <f>'05'!K108</f>
        <v>225.66718750000007</v>
      </c>
      <c r="L13" s="61">
        <f>'05'!L108</f>
        <v>27.964895833333333</v>
      </c>
      <c r="M13" s="61">
        <f>'05'!M108</f>
        <v>93.737499999999997</v>
      </c>
      <c r="N13" s="61">
        <f>'05'!N108</f>
        <v>227.02604166666677</v>
      </c>
      <c r="O13" s="61">
        <f>'05'!O108</f>
        <v>1.2499999999999999E-2</v>
      </c>
      <c r="P13" s="201">
        <f>'05'!P108</f>
        <v>0.38562500000000005</v>
      </c>
      <c r="Q13" s="61">
        <f>'05'!Q108</f>
        <v>9.2655208333333317</v>
      </c>
      <c r="R13" s="118"/>
      <c r="S13" s="118"/>
      <c r="T13" s="118"/>
      <c r="U13" s="118"/>
    </row>
    <row r="14" spans="1:21" x14ac:dyDescent="0.25">
      <c r="A14" s="94" t="str">
        <f>'06'!$B$2</f>
        <v>06/08/2024 00:15</v>
      </c>
      <c r="B14" s="61">
        <f>'06'!B108</f>
        <v>8.0888541666666658</v>
      </c>
      <c r="C14" s="61">
        <f>'06'!C108</f>
        <v>3.2505208333333333</v>
      </c>
      <c r="D14" s="61">
        <f>'06'!D108</f>
        <v>11.958749999999997</v>
      </c>
      <c r="E14" s="61">
        <f>'06'!E108</f>
        <v>4.1601041666666676</v>
      </c>
      <c r="F14" s="61">
        <f>'06'!F108</f>
        <v>5.8119791666666698</v>
      </c>
      <c r="G14" s="61">
        <f>'06'!G108</f>
        <v>39.768541666666671</v>
      </c>
      <c r="H14" s="61">
        <f>'06'!H108</f>
        <v>22.594270833333322</v>
      </c>
      <c r="I14" s="61">
        <f>'06'!I108</f>
        <v>2.4286458333333338</v>
      </c>
      <c r="J14" s="61">
        <f>'06'!J108</f>
        <v>0.23739583333333325</v>
      </c>
      <c r="K14" s="61">
        <f>'06'!K108</f>
        <v>250.44739583333345</v>
      </c>
      <c r="L14" s="61">
        <f>'06'!L108</f>
        <v>26.885833333333327</v>
      </c>
      <c r="M14" s="61">
        <f>'06'!M108</f>
        <v>97.509687500000027</v>
      </c>
      <c r="N14" s="61">
        <f>'06'!N108</f>
        <v>176.72083333333333</v>
      </c>
      <c r="O14" s="61">
        <f>'06'!O108</f>
        <v>0.5541666666666667</v>
      </c>
      <c r="P14" s="201">
        <f>'06'!P108</f>
        <v>0.44864583333333319</v>
      </c>
      <c r="Q14" s="61">
        <f>'06'!Q108</f>
        <v>9.34739583333333</v>
      </c>
      <c r="R14" s="118"/>
      <c r="S14" s="118"/>
      <c r="T14" s="118"/>
      <c r="U14" s="118"/>
    </row>
    <row r="15" spans="1:21" x14ac:dyDescent="0.25">
      <c r="A15" s="94" t="str">
        <f>'07'!$B$2</f>
        <v>07/08/2024 00:15</v>
      </c>
      <c r="B15" s="61">
        <f>'07'!B108</f>
        <v>8.2973118279569906</v>
      </c>
      <c r="C15" s="61">
        <f>'07'!C108</f>
        <v>3.5435483870967732</v>
      </c>
      <c r="D15" s="61">
        <f>'07'!D108</f>
        <v>12.279247311827962</v>
      </c>
      <c r="E15" s="61">
        <f>'07'!E108</f>
        <v>4.4322580645161267</v>
      </c>
      <c r="F15" s="61">
        <f>'07'!F108</f>
        <v>3.6300000000000003</v>
      </c>
      <c r="G15" s="100">
        <f>'07'!$G$108</f>
        <v>34.416666666666693</v>
      </c>
      <c r="H15" s="61">
        <f>'07'!H108</f>
        <v>17.960606060606064</v>
      </c>
      <c r="I15" s="61">
        <f>'07'!I108</f>
        <v>3.1439784946236569</v>
      </c>
      <c r="J15" s="61">
        <f>'07'!J108</f>
        <v>0.19161290322580646</v>
      </c>
      <c r="K15" s="61">
        <f>'07'!K108</f>
        <v>251.66838709677424</v>
      </c>
      <c r="L15" s="61">
        <f>'07'!L108</f>
        <v>25.365268817204296</v>
      </c>
      <c r="M15" s="61">
        <f>'07'!M108</f>
        <v>101.63021505376346</v>
      </c>
      <c r="N15" s="61">
        <f>'07'!N108</f>
        <v>111.5709677419355</v>
      </c>
      <c r="O15" s="61">
        <f>'07'!O108</f>
        <v>0.25376344086021502</v>
      </c>
      <c r="P15" s="201">
        <f>'07'!P108</f>
        <v>0.54505376344086032</v>
      </c>
      <c r="Q15" s="61">
        <f>'07'!Q108</f>
        <v>9.4431182795698945</v>
      </c>
      <c r="R15" s="118"/>
      <c r="S15" s="118"/>
      <c r="T15" s="118"/>
      <c r="U15" s="118"/>
    </row>
    <row r="16" spans="1:21" x14ac:dyDescent="0.25">
      <c r="A16" s="94" t="str">
        <f>'08'!$B$2</f>
        <v>08/08/2024 00:15</v>
      </c>
      <c r="B16" s="61">
        <f>'08'!B108</f>
        <v>8.0678124999999987</v>
      </c>
      <c r="C16" s="61">
        <f>'08'!C108</f>
        <v>3.1620833333333347</v>
      </c>
      <c r="D16" s="61">
        <f>'08'!D108</f>
        <v>11.895833333333327</v>
      </c>
      <c r="E16" s="61">
        <f>'08'!E108</f>
        <v>4.1464583333333342</v>
      </c>
      <c r="F16" s="61">
        <f>'08'!F108</f>
        <v>3.5114583333333331</v>
      </c>
      <c r="G16" s="100">
        <f>'08'!$G$108</f>
        <v>37.419895833333335</v>
      </c>
      <c r="H16" s="61">
        <f>'08'!H108</f>
        <v>15.325479452054784</v>
      </c>
      <c r="I16" s="61">
        <f>'08'!I108</f>
        <v>3.1112499999999996</v>
      </c>
      <c r="J16" s="61">
        <f>'08'!J108</f>
        <v>0.2692708333333334</v>
      </c>
      <c r="K16" s="61">
        <f>'08'!K108</f>
        <v>237.81531249999992</v>
      </c>
      <c r="L16" s="61">
        <f>'08'!L108</f>
        <v>26.324479166666663</v>
      </c>
      <c r="M16" s="61">
        <f>'08'!M108</f>
        <v>100.72229166666665</v>
      </c>
      <c r="N16" s="61">
        <f>'08'!N108</f>
        <v>155.15937500000004</v>
      </c>
      <c r="O16" s="61">
        <f>'08'!O108</f>
        <v>2.5000000000000005E-2</v>
      </c>
      <c r="P16" s="201">
        <f>'08'!P108</f>
        <v>0.5149999999999999</v>
      </c>
      <c r="Q16" s="61">
        <f>'08'!Q108</f>
        <v>9.3576041666666647</v>
      </c>
      <c r="R16" s="118"/>
      <c r="S16" s="118"/>
      <c r="T16" s="118"/>
      <c r="U16" s="118"/>
    </row>
    <row r="17" spans="1:21" x14ac:dyDescent="0.25">
      <c r="A17" s="94" t="str">
        <f>'09'!$B$2</f>
        <v>09/08/2024 00:15</v>
      </c>
      <c r="B17" s="61">
        <f>'09'!B108</f>
        <v>8.0586458333333351</v>
      </c>
      <c r="C17" s="61">
        <f>'09'!C108</f>
        <v>3.1303124999999992</v>
      </c>
      <c r="D17" s="61">
        <f>'09'!D108</f>
        <v>11.872291666666664</v>
      </c>
      <c r="E17" s="61">
        <f>'09'!E108</f>
        <v>4.0547916666666692</v>
      </c>
      <c r="F17" s="61">
        <f>'09'!F108</f>
        <v>3.7442708333333332</v>
      </c>
      <c r="G17" s="100">
        <f>'09'!$G$108</f>
        <v>56.675104166666664</v>
      </c>
      <c r="H17" s="61">
        <f>'09'!H108</f>
        <v>26.181600000000003</v>
      </c>
      <c r="I17" s="61">
        <f>'09'!I108</f>
        <v>2.6698958333333334</v>
      </c>
      <c r="J17" s="61">
        <f>'09'!J108</f>
        <v>0.22708333333333322</v>
      </c>
      <c r="K17" s="61">
        <f>'09'!K108</f>
        <v>293.79979166666675</v>
      </c>
      <c r="L17" s="61">
        <f>'09'!L108</f>
        <v>26.322291666666668</v>
      </c>
      <c r="M17" s="61">
        <f>'09'!M108</f>
        <v>100.51364583333329</v>
      </c>
      <c r="N17" s="61">
        <f>'09'!N108</f>
        <v>151.33854166666669</v>
      </c>
      <c r="O17" s="61">
        <f>'09'!O108</f>
        <v>7.7083333333333337E-2</v>
      </c>
      <c r="P17" s="201">
        <f>'09'!P108</f>
        <v>0.53229166666666672</v>
      </c>
      <c r="Q17" s="61">
        <f>'09'!Q108</f>
        <v>9.417812499999993</v>
      </c>
      <c r="R17" s="118"/>
      <c r="S17" s="118"/>
      <c r="T17" s="118"/>
      <c r="U17" s="118"/>
    </row>
    <row r="18" spans="1:21" x14ac:dyDescent="0.25">
      <c r="A18" s="94" t="str">
        <f>'10'!$B$2</f>
        <v>10/08/2024 00:15</v>
      </c>
      <c r="B18" s="61">
        <f>'10'!B108</f>
        <v>8.026250000000001</v>
      </c>
      <c r="C18" s="61">
        <f>'10'!C108</f>
        <v>3.084375000000001</v>
      </c>
      <c r="D18" s="61">
        <f>'10'!D108</f>
        <v>11.821458333333331</v>
      </c>
      <c r="E18" s="61">
        <f>'10'!E108</f>
        <v>3.7222916666666652</v>
      </c>
      <c r="F18" s="61">
        <f>'10'!F108</f>
        <v>4.0634375</v>
      </c>
      <c r="G18" s="101">
        <f>'10'!$G$108</f>
        <v>75.921770833333269</v>
      </c>
      <c r="H18" s="61">
        <f>'10'!H108</f>
        <v>28.568461538461545</v>
      </c>
      <c r="I18" s="61">
        <f>'10'!I108</f>
        <v>2.9919791666666669</v>
      </c>
      <c r="J18" s="61">
        <f>'10'!J108</f>
        <v>0.22416666666666663</v>
      </c>
      <c r="K18" s="61">
        <f>'10'!K108</f>
        <v>250.00781249999989</v>
      </c>
      <c r="L18" s="61">
        <f>'10'!L108</f>
        <v>28.444791666666671</v>
      </c>
      <c r="M18" s="61">
        <f>'10'!M108</f>
        <v>91.35114583333332</v>
      </c>
      <c r="N18" s="61">
        <f>'10'!N108</f>
        <v>272.87604166666659</v>
      </c>
      <c r="O18" s="61">
        <f>'10'!O108</f>
        <v>0</v>
      </c>
      <c r="P18" s="201">
        <f>'10'!P108</f>
        <v>0.49104166666666665</v>
      </c>
      <c r="Q18" s="61">
        <f>'10'!Q108</f>
        <v>9.3412499999999969</v>
      </c>
      <c r="R18" s="118"/>
      <c r="S18" s="118"/>
      <c r="T18" s="118"/>
      <c r="U18" s="118"/>
    </row>
    <row r="19" spans="1:21" x14ac:dyDescent="0.25">
      <c r="A19" s="94" t="str">
        <f>'11'!$B$2</f>
        <v>11/08/2024 00:15</v>
      </c>
      <c r="B19" s="61">
        <f>'11'!B108</f>
        <v>7.9945833333333276</v>
      </c>
      <c r="C19" s="61">
        <f>'11'!C108</f>
        <v>3.0323958333333345</v>
      </c>
      <c r="D19" s="61">
        <f>'11'!D108</f>
        <v>11.769687499999996</v>
      </c>
      <c r="E19" s="61">
        <f>'11'!E108</f>
        <v>4.0956250000000018</v>
      </c>
      <c r="F19" s="61">
        <f>'11'!F108</f>
        <v>3.7983333333333333</v>
      </c>
      <c r="G19" s="99">
        <f>'11'!$G$108</f>
        <v>52.180625000000013</v>
      </c>
      <c r="H19" s="61">
        <f>'11'!H108</f>
        <v>24.753020833333327</v>
      </c>
      <c r="I19" s="61">
        <f>'11'!I108</f>
        <v>2.0236458333333327</v>
      </c>
      <c r="J19" s="61">
        <f>'11'!J108</f>
        <v>0.22093749999999998</v>
      </c>
      <c r="K19" s="61">
        <f>'11'!K108</f>
        <v>273.30354166666655</v>
      </c>
      <c r="L19" s="61">
        <f>'11'!L108</f>
        <v>26.971354166666668</v>
      </c>
      <c r="M19" s="61">
        <f>'11'!M108</f>
        <v>97.896458333333328</v>
      </c>
      <c r="N19" s="61">
        <f>'11'!N108</f>
        <v>121.66145833333337</v>
      </c>
      <c r="O19" s="61">
        <f>'11'!O108</f>
        <v>8.7500000000000008E-2</v>
      </c>
      <c r="P19" s="201">
        <f>'11'!P108</f>
        <v>0.43958333333333327</v>
      </c>
      <c r="Q19" s="61">
        <f>'11'!Q108</f>
        <v>9.2510416666666675</v>
      </c>
      <c r="R19" s="118"/>
      <c r="S19" s="118"/>
      <c r="T19" s="118"/>
      <c r="U19" s="118"/>
    </row>
    <row r="20" spans="1:21" x14ac:dyDescent="0.25">
      <c r="A20" s="94" t="str">
        <f>'12'!$B$2</f>
        <v>12/08/2024 00:15</v>
      </c>
      <c r="B20" s="61">
        <f>'12'!B108</f>
        <v>7.9935416666666663</v>
      </c>
      <c r="C20" s="61">
        <f>'12'!C108</f>
        <v>3.058125</v>
      </c>
      <c r="D20" s="61">
        <f>'12'!D108</f>
        <v>11.781770833333333</v>
      </c>
      <c r="E20" s="61">
        <f>'12'!E108</f>
        <v>8.4877083333333339</v>
      </c>
      <c r="F20" s="61">
        <f>'12'!F108</f>
        <v>4.1178124999999994</v>
      </c>
      <c r="G20" s="101">
        <f>'12'!$G$108</f>
        <v>68.852473118279576</v>
      </c>
      <c r="H20" s="61">
        <f>'12'!H108</f>
        <v>36.81881720430107</v>
      </c>
      <c r="I20" s="61">
        <f>'12'!I108</f>
        <v>3.6871875000000003</v>
      </c>
      <c r="J20" s="61">
        <f>'12'!J108</f>
        <v>0.19854166666666662</v>
      </c>
      <c r="K20" s="61">
        <f>'12'!K108</f>
        <v>252.94500000000008</v>
      </c>
      <c r="L20" s="61">
        <f>'12'!L108</f>
        <v>28.474062499999985</v>
      </c>
      <c r="M20" s="61">
        <f>'12'!M108</f>
        <v>94.082708333333287</v>
      </c>
      <c r="N20" s="61">
        <f>'12'!N108</f>
        <v>203.10520833333314</v>
      </c>
      <c r="O20" s="61">
        <f>'12'!O108</f>
        <v>0</v>
      </c>
      <c r="P20" s="201">
        <f>'12'!P108</f>
        <v>0.53604166666666686</v>
      </c>
      <c r="Q20" s="61">
        <f>'12'!Q108</f>
        <v>9.3220833333333371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13/08/2024 00:15</v>
      </c>
      <c r="B21" s="91">
        <f>'13'!B108</f>
        <v>8.452291666666671</v>
      </c>
      <c r="C21" s="91">
        <f>'13'!C108</f>
        <v>3.7213541666666674</v>
      </c>
      <c r="D21" s="91">
        <f>'13'!D108</f>
        <v>12.497083333333343</v>
      </c>
      <c r="E21" s="91">
        <f>'13'!E108</f>
        <v>4.469270833333332</v>
      </c>
      <c r="F21" s="91">
        <f>'13'!F108</f>
        <v>4.0970833333333321</v>
      </c>
      <c r="G21" s="100">
        <f>'13'!$G$108</f>
        <v>78.352291666666673</v>
      </c>
      <c r="H21" s="91">
        <f>'13'!H108</f>
        <v>30.824791666666655</v>
      </c>
      <c r="I21" s="91">
        <f>'13'!I108</f>
        <v>3.7079166666666663</v>
      </c>
      <c r="J21" s="91">
        <f>'13'!J108</f>
        <v>0.21812499999999982</v>
      </c>
      <c r="K21" s="91">
        <f>'13'!K108</f>
        <v>275.60572916666666</v>
      </c>
      <c r="L21" s="91">
        <f>'13'!L108</f>
        <v>30.322708333333338</v>
      </c>
      <c r="M21" s="91">
        <f>'13'!M108</f>
        <v>87.465208333333337</v>
      </c>
      <c r="N21" s="91">
        <f>'13'!N108</f>
        <v>240.50520833333323</v>
      </c>
      <c r="O21" s="91">
        <f>'13'!O108</f>
        <v>0</v>
      </c>
      <c r="P21" s="202">
        <f>'13'!P108</f>
        <v>0.53583333333333327</v>
      </c>
      <c r="Q21" s="91">
        <f>'13'!Q108</f>
        <v>9.4029166666666679</v>
      </c>
      <c r="R21" s="204"/>
      <c r="S21" s="204"/>
      <c r="T21" s="204"/>
      <c r="U21" s="204"/>
    </row>
    <row r="22" spans="1:21" s="89" customFormat="1" x14ac:dyDescent="0.25">
      <c r="A22" s="94" t="str">
        <f>'14'!$B$2</f>
        <v>14/08/2024 00:15</v>
      </c>
      <c r="B22" s="90">
        <f>'14'!B108</f>
        <v>8.0476041666666642</v>
      </c>
      <c r="C22" s="90">
        <f>'14'!C108</f>
        <v>3.1103125000000009</v>
      </c>
      <c r="D22" s="90">
        <f>'14'!D108</f>
        <v>11.853125</v>
      </c>
      <c r="E22" s="90">
        <f>'14'!E108</f>
        <v>4.4859375000000004</v>
      </c>
      <c r="F22" s="90">
        <f>'14'!F108</f>
        <v>3.4173958333333334</v>
      </c>
      <c r="G22" s="100">
        <f>'14'!$G$108</f>
        <v>73.107187500000052</v>
      </c>
      <c r="H22" s="100">
        <f>'14'!$G$108</f>
        <v>73.107187500000052</v>
      </c>
      <c r="I22" s="90">
        <f>'14'!I108</f>
        <v>4.838541666666667</v>
      </c>
      <c r="J22" s="90">
        <f>'14'!J108</f>
        <v>0.21614583333333348</v>
      </c>
      <c r="K22" s="90">
        <f>'14'!K108</f>
        <v>279.81552083333338</v>
      </c>
      <c r="L22" s="90">
        <f>'14'!L108</f>
        <v>28.535833333333319</v>
      </c>
      <c r="M22" s="90">
        <f>'14'!M108</f>
        <v>100.26458333333331</v>
      </c>
      <c r="N22" s="90">
        <f>'14'!N108</f>
        <v>99.713541666666615</v>
      </c>
      <c r="O22" s="90">
        <f>'14'!O108</f>
        <v>2.0833333333333333E-3</v>
      </c>
      <c r="P22" s="203">
        <f>'14'!P108</f>
        <v>0.55666666666666675</v>
      </c>
      <c r="Q22" s="90">
        <f>'14'!Q108</f>
        <v>9.5092708333333373</v>
      </c>
      <c r="R22" s="205"/>
      <c r="S22" s="205"/>
      <c r="T22" s="205"/>
      <c r="U22" s="205"/>
    </row>
    <row r="23" spans="1:21" x14ac:dyDescent="0.25">
      <c r="A23" s="94" t="str">
        <f>'15'!$B$2</f>
        <v>15/08/2024 00:15</v>
      </c>
      <c r="B23" s="61">
        <f>'15'!B108</f>
        <v>8.0290625000000002</v>
      </c>
      <c r="C23" s="61">
        <f>'15'!C108</f>
        <v>3.0779166666666673</v>
      </c>
      <c r="D23" s="61">
        <f>'15'!D108</f>
        <v>11.821354166666671</v>
      </c>
      <c r="E23" s="61">
        <f>'15'!E108</f>
        <v>4.4465624999999998</v>
      </c>
      <c r="F23" s="61">
        <f>'15'!F108</f>
        <v>3.3918749999999984</v>
      </c>
      <c r="G23" s="100">
        <f>'15'!$G$108</f>
        <v>44.170312499999987</v>
      </c>
      <c r="H23" s="61">
        <f>'15'!H108</f>
        <v>20.66541176470588</v>
      </c>
      <c r="I23" s="61">
        <f>'15'!I108</f>
        <v>4.982187500000002</v>
      </c>
      <c r="J23" s="61">
        <f>'15'!J108</f>
        <v>0.40135416666666662</v>
      </c>
      <c r="K23" s="61">
        <f>'15'!K108</f>
        <v>297.32218749999993</v>
      </c>
      <c r="L23" s="61">
        <f>'15'!L108</f>
        <v>27.651041666666668</v>
      </c>
      <c r="M23" s="61">
        <f>'15'!M108</f>
        <v>99.899583333333339</v>
      </c>
      <c r="N23" s="61">
        <f>'15'!N108</f>
        <v>137.68854166666671</v>
      </c>
      <c r="O23" s="61">
        <f>'15'!O108</f>
        <v>3.125E-2</v>
      </c>
      <c r="P23" s="201">
        <f>'15'!P108</f>
        <v>0.5306249999999999</v>
      </c>
      <c r="Q23" s="61">
        <f>'15'!Q108</f>
        <v>9.5217708333333366</v>
      </c>
      <c r="R23" s="118"/>
      <c r="S23" s="118"/>
      <c r="T23" s="118"/>
      <c r="U23" s="118"/>
    </row>
    <row r="24" spans="1:21" x14ac:dyDescent="0.25">
      <c r="A24" s="94" t="str">
        <f>'16'!$B$2</f>
        <v>16/08/2024 00:15</v>
      </c>
      <c r="B24" s="61">
        <f>'16'!B108</f>
        <v>8.0362500000000008</v>
      </c>
      <c r="C24" s="61">
        <f>'16'!C108</f>
        <v>3.089375</v>
      </c>
      <c r="D24" s="61">
        <f>'16'!D108</f>
        <v>11.832500000000003</v>
      </c>
      <c r="E24" s="61">
        <f>'16'!E108</f>
        <v>4.0895833333333345</v>
      </c>
      <c r="F24" s="61">
        <f>'16'!F108</f>
        <v>3.4080208333333331</v>
      </c>
      <c r="G24" s="100">
        <f>'16'!$G$108</f>
        <v>50.984062499999993</v>
      </c>
      <c r="H24" s="61">
        <f>'16'!H108</f>
        <v>15.082395833333337</v>
      </c>
      <c r="I24" s="61">
        <f>'16'!I108</f>
        <v>3.3017708333333342</v>
      </c>
      <c r="J24" s="61">
        <f>'16'!J108</f>
        <v>0.38677083333333345</v>
      </c>
      <c r="K24" s="61">
        <f>'16'!K108</f>
        <v>274.27895833333326</v>
      </c>
      <c r="L24" s="61">
        <f>'16'!L108</f>
        <v>26.214791666666674</v>
      </c>
      <c r="M24" s="61">
        <f>'16'!M108</f>
        <v>101.85072916666667</v>
      </c>
      <c r="N24" s="61">
        <f>'16'!N108</f>
        <v>118.61979166666664</v>
      </c>
      <c r="O24" s="61">
        <f>'16'!O108</f>
        <v>3.9583333333333338E-2</v>
      </c>
      <c r="P24" s="201">
        <f>'16'!P108</f>
        <v>0.56708333333333338</v>
      </c>
      <c r="Q24" s="61">
        <f>'16'!Q108</f>
        <v>9.5573958333333326</v>
      </c>
      <c r="R24" s="118"/>
      <c r="S24" s="118"/>
      <c r="T24" s="118"/>
      <c r="U24" s="118"/>
    </row>
    <row r="25" spans="1:21" x14ac:dyDescent="0.25">
      <c r="A25" s="94" t="str">
        <f>'17'!$B$2</f>
        <v>17/08/2024 00:15</v>
      </c>
      <c r="B25" s="61">
        <f>'17'!B108</f>
        <v>7.9693749999999932</v>
      </c>
      <c r="C25" s="61">
        <f>'17'!C108</f>
        <v>3.0569791666666668</v>
      </c>
      <c r="D25" s="61">
        <f>'17'!D108</f>
        <v>11.761354166666679</v>
      </c>
      <c r="E25" s="61">
        <f>'17'!E108</f>
        <v>4.3271875</v>
      </c>
      <c r="F25" s="61">
        <f>'17'!F108</f>
        <v>4.595416666666666</v>
      </c>
      <c r="G25" s="101">
        <f>'17'!$G$108</f>
        <v>78.068229166666654</v>
      </c>
      <c r="H25" s="61">
        <f>'17'!H108</f>
        <v>28.191041666666653</v>
      </c>
      <c r="I25" s="61">
        <f>'17'!I108</f>
        <v>3.4605208333333337</v>
      </c>
      <c r="J25" s="61">
        <f>'17'!J108</f>
        <v>0.21625000000000003</v>
      </c>
      <c r="K25" s="61">
        <f>'17'!K108</f>
        <v>310.30010416666653</v>
      </c>
      <c r="L25" s="61">
        <f>'17'!L108</f>
        <v>29.20635416666666</v>
      </c>
      <c r="M25" s="61">
        <f>'17'!M108</f>
        <v>95.468854166666645</v>
      </c>
      <c r="N25" s="61">
        <f>'17'!N108</f>
        <v>221.63020833333346</v>
      </c>
      <c r="O25" s="61">
        <f>'17'!O108</f>
        <v>0</v>
      </c>
      <c r="P25" s="201">
        <f>'17'!P108</f>
        <v>0.57874999999999976</v>
      </c>
      <c r="Q25" s="61">
        <f>'17'!Q108</f>
        <v>9.2466666666666644</v>
      </c>
      <c r="R25" s="118"/>
      <c r="S25" s="118"/>
      <c r="T25" s="118"/>
      <c r="U25" s="118"/>
    </row>
    <row r="26" spans="1:21" x14ac:dyDescent="0.25">
      <c r="A26" s="94" t="str">
        <f>'18'!$B$2</f>
        <v>18/08/2024 00:15</v>
      </c>
      <c r="B26" s="61">
        <f>'18'!B108</f>
        <v>7.9855208333333367</v>
      </c>
      <c r="C26" s="61">
        <f>'18'!C108</f>
        <v>3.0315624999999997</v>
      </c>
      <c r="D26" s="61">
        <f>'18'!D108</f>
        <v>11.761979166666668</v>
      </c>
      <c r="E26" s="61">
        <f>'18'!E108</f>
        <v>4.3878124999999999</v>
      </c>
      <c r="F26" s="61">
        <f>'18'!F108</f>
        <v>3.5088541666666671</v>
      </c>
      <c r="G26" s="99">
        <f>'18'!$G$108</f>
        <v>88.998958333333334</v>
      </c>
      <c r="H26" s="61">
        <f>'18'!H108</f>
        <v>22.309499999999993</v>
      </c>
      <c r="I26" s="61">
        <f>'18'!I108</f>
        <v>3.2424999999999993</v>
      </c>
      <c r="J26" s="61">
        <f>'18'!J108</f>
        <v>0.49802083333333352</v>
      </c>
      <c r="K26" s="61">
        <f>'18'!K108</f>
        <v>309.40708333333339</v>
      </c>
      <c r="L26" s="61">
        <f>'18'!L108</f>
        <v>27.746562499999996</v>
      </c>
      <c r="M26" s="61">
        <f>'18'!M108</f>
        <v>98.334062500000002</v>
      </c>
      <c r="N26" s="61">
        <f>'18'!N108</f>
        <v>155.3979166666667</v>
      </c>
      <c r="O26" s="61">
        <f>'18'!O108</f>
        <v>4.3750000000000004E-2</v>
      </c>
      <c r="P26" s="201">
        <f>'18'!P108</f>
        <v>0.57739583333333322</v>
      </c>
      <c r="Q26" s="61">
        <f>'18'!Q108</f>
        <v>9.4715624999999974</v>
      </c>
      <c r="R26" s="118"/>
      <c r="S26" s="118"/>
      <c r="T26" s="118"/>
      <c r="U26" s="118"/>
    </row>
    <row r="27" spans="1:21" x14ac:dyDescent="0.25">
      <c r="A27" s="94" t="str">
        <f>'19'!$B$2</f>
        <v>19/08/2024 00:15</v>
      </c>
      <c r="B27" s="61">
        <f>'19'!B108</f>
        <v>8.0217708333333331</v>
      </c>
      <c r="C27" s="61">
        <f>'19'!C108</f>
        <v>3.0968749999999994</v>
      </c>
      <c r="D27" s="61">
        <f>'19'!D108</f>
        <v>11.825208333333329</v>
      </c>
      <c r="E27" s="61">
        <f>'19'!E108</f>
        <v>4.7320833333333345</v>
      </c>
      <c r="F27" s="61">
        <f>'19'!F108</f>
        <v>4.5971874999999995</v>
      </c>
      <c r="G27" s="61">
        <f>'19'!G108</f>
        <v>111.63790123456788</v>
      </c>
      <c r="H27" s="6" t="s">
        <v>42</v>
      </c>
      <c r="I27" s="61">
        <f>'19'!I108</f>
        <v>5.4032291666666667</v>
      </c>
      <c r="J27" s="61">
        <f>'19'!J108</f>
        <v>0.45812499999999989</v>
      </c>
      <c r="K27" s="61">
        <f>'19'!K108</f>
        <v>249.83135416666661</v>
      </c>
      <c r="L27" s="61">
        <f>'19'!L108</f>
        <v>30.275312499999998</v>
      </c>
      <c r="M27" s="61">
        <f>'19'!M108</f>
        <v>84.309687499999981</v>
      </c>
      <c r="N27" s="61">
        <f>'19'!N108</f>
        <v>235.06562499999993</v>
      </c>
      <c r="O27" s="61">
        <f>'19'!O108</f>
        <v>0</v>
      </c>
      <c r="P27" s="201">
        <f>'19'!P108</f>
        <v>0.74447916666666625</v>
      </c>
      <c r="Q27" s="61">
        <f>'19'!Q108</f>
        <v>9.5155208333333334</v>
      </c>
      <c r="R27" s="118"/>
      <c r="S27" s="118"/>
      <c r="T27" s="118"/>
      <c r="U27" s="118"/>
    </row>
    <row r="28" spans="1:21" x14ac:dyDescent="0.25">
      <c r="A28" s="94" t="str">
        <f>'20'!$B$2</f>
        <v>20/08/2024 00:15</v>
      </c>
      <c r="B28" s="61">
        <f>'20'!B108</f>
        <v>7.9972916666666682</v>
      </c>
      <c r="C28" s="61">
        <f>'20'!C108</f>
        <v>3.0689583333333341</v>
      </c>
      <c r="D28" s="61">
        <f>'20'!D108</f>
        <v>11.790833333333332</v>
      </c>
      <c r="E28" s="61">
        <f>'20'!E108</f>
        <v>4.3397916666666658</v>
      </c>
      <c r="F28" s="61">
        <f>'20'!F108</f>
        <v>5.6513541666666667</v>
      </c>
      <c r="G28" s="61">
        <f>'20'!G108</f>
        <v>41.757604166666695</v>
      </c>
      <c r="H28" s="209" t="s">
        <v>36</v>
      </c>
      <c r="I28" s="61">
        <f>'20'!I108</f>
        <v>2.572291666666668</v>
      </c>
      <c r="J28" s="61">
        <f>'20'!J108</f>
        <v>0.21083333333333332</v>
      </c>
      <c r="K28" s="61">
        <f>'20'!K108</f>
        <v>220.45499999999996</v>
      </c>
      <c r="L28" s="61">
        <f>'20'!L108</f>
        <v>28.612708333333334</v>
      </c>
      <c r="M28" s="61">
        <f>'20'!M108</f>
        <v>96.914479166666624</v>
      </c>
      <c r="N28" s="61">
        <f>'20'!N108</f>
        <v>80.640624999999986</v>
      </c>
      <c r="O28" s="61">
        <f>'20'!O108</f>
        <v>0</v>
      </c>
      <c r="P28" s="201">
        <f>'20'!P108</f>
        <v>0.41874999999999996</v>
      </c>
      <c r="Q28" s="61">
        <f>'20'!Q108</f>
        <v>9.1757291666666685</v>
      </c>
      <c r="R28" s="118"/>
      <c r="S28" s="118"/>
      <c r="T28" s="118"/>
      <c r="U28" s="118"/>
    </row>
    <row r="29" spans="1:21" x14ac:dyDescent="0.25">
      <c r="A29" s="94" t="str">
        <f>'21'!$B$2</f>
        <v>21/08/2024 00:15</v>
      </c>
      <c r="B29" s="61">
        <f>'21'!B108</f>
        <v>7.9972916666666718</v>
      </c>
      <c r="C29" s="61">
        <f>'21'!C108</f>
        <v>3.0185416666666671</v>
      </c>
      <c r="D29" s="61">
        <f>'21'!D108</f>
        <v>11.76458333333334</v>
      </c>
      <c r="E29" s="61">
        <f>'21'!E108</f>
        <v>4.5365625000000014</v>
      </c>
      <c r="F29" s="61">
        <f>'21'!F108</f>
        <v>3.9952083333333355</v>
      </c>
      <c r="G29" s="61">
        <f>'21'!G108</f>
        <v>37.914943820224714</v>
      </c>
      <c r="H29" s="209" t="s">
        <v>36</v>
      </c>
      <c r="I29" s="61">
        <f>'21'!I108</f>
        <v>4.0486458333333317</v>
      </c>
      <c r="J29" s="61">
        <f>'21'!J108</f>
        <v>0.34593750000000006</v>
      </c>
      <c r="K29" s="61">
        <f>'21'!K108</f>
        <v>212.16187500000012</v>
      </c>
      <c r="L29" s="61">
        <f>'21'!L108</f>
        <v>28.97937499999999</v>
      </c>
      <c r="M29" s="61">
        <f>'21'!M108</f>
        <v>91.6875</v>
      </c>
      <c r="N29" s="61">
        <f>'21'!N108</f>
        <v>70.127083333333346</v>
      </c>
      <c r="O29" s="61">
        <f>'21'!O108</f>
        <v>0</v>
      </c>
      <c r="P29" s="201">
        <f>'21'!P108</f>
        <v>0.48875000000000007</v>
      </c>
      <c r="Q29" s="61">
        <f>'21'!Q108</f>
        <v>9.5883333333333347</v>
      </c>
      <c r="R29" s="118"/>
      <c r="S29" s="118"/>
      <c r="T29" s="118"/>
      <c r="U29" s="118"/>
    </row>
    <row r="30" spans="1:21" x14ac:dyDescent="0.25">
      <c r="A30" s="94" t="str">
        <f>'22'!$B$2</f>
        <v>22/08/2024 00:15</v>
      </c>
      <c r="B30" s="61">
        <f>'22'!B108</f>
        <v>8.0009374999999974</v>
      </c>
      <c r="C30" s="61">
        <f>'22'!C108</f>
        <v>3.0255208333333345</v>
      </c>
      <c r="D30" s="61">
        <f>'22'!D108</f>
        <v>11.771562499999995</v>
      </c>
      <c r="E30" s="61">
        <f>'22'!E108</f>
        <v>4.2087500000000029</v>
      </c>
      <c r="F30" s="61">
        <f>'22'!F108</f>
        <v>3.4526041666666676</v>
      </c>
      <c r="G30" s="61">
        <f>'22'!G108</f>
        <v>15.447187499999989</v>
      </c>
      <c r="H30" s="209" t="s">
        <v>36</v>
      </c>
      <c r="I30" s="61">
        <f>'22'!I108</f>
        <v>4.5010416666666675</v>
      </c>
      <c r="J30" s="61">
        <f>'22'!J108</f>
        <v>0.18041666666666664</v>
      </c>
      <c r="K30" s="61">
        <f>'22'!K108</f>
        <v>199.13583333333327</v>
      </c>
      <c r="L30" s="61">
        <f>'22'!L108</f>
        <v>25.799062499999991</v>
      </c>
      <c r="M30" s="61">
        <f>'22'!M108</f>
        <v>105.10562499999997</v>
      </c>
      <c r="N30" s="61">
        <f>'22'!N108</f>
        <v>38.328125000000007</v>
      </c>
      <c r="O30" s="61">
        <f>'22'!O108</f>
        <v>0</v>
      </c>
      <c r="P30" s="201">
        <f>'22'!P108</f>
        <v>0.42072916666666665</v>
      </c>
      <c r="Q30" s="61">
        <f>'22'!Q108</f>
        <v>9.6198958333333326</v>
      </c>
      <c r="R30" s="118"/>
      <c r="S30" s="118"/>
      <c r="T30" s="118"/>
      <c r="U30" s="118"/>
    </row>
    <row r="31" spans="1:21" x14ac:dyDescent="0.25">
      <c r="A31" s="94" t="str">
        <f>'23'!$B$2</f>
        <v>23/08/2024 00:15</v>
      </c>
      <c r="B31" s="61">
        <f>'23'!B108</f>
        <v>7.96927083333334</v>
      </c>
      <c r="C31" s="61">
        <f>'23'!C108</f>
        <v>2.9885416666666664</v>
      </c>
      <c r="D31" s="61">
        <f>'23'!D108</f>
        <v>11.726354166666674</v>
      </c>
      <c r="E31" s="61">
        <f>'23'!E108</f>
        <v>4.0703125000000027</v>
      </c>
      <c r="F31" s="61">
        <f>'23'!F108</f>
        <v>3.8753125000000002</v>
      </c>
      <c r="G31" s="61">
        <f>'23'!G108</f>
        <v>19.810729166666665</v>
      </c>
      <c r="H31" s="10" t="s">
        <v>43</v>
      </c>
      <c r="I31" s="61">
        <f>'23'!I108</f>
        <v>2.8325000000000009</v>
      </c>
      <c r="J31" s="61">
        <f>'23'!J108</f>
        <v>0.18135416666666668</v>
      </c>
      <c r="K31" s="61">
        <f>'23'!K108</f>
        <v>263.41166666666663</v>
      </c>
      <c r="L31" s="61">
        <f>'23'!L108</f>
        <v>26.969583333333343</v>
      </c>
      <c r="M31" s="61">
        <f>'23'!M108</f>
        <v>99.690833333333316</v>
      </c>
      <c r="N31" s="61">
        <f>'23'!N108</f>
        <v>98.62812499999994</v>
      </c>
      <c r="O31" s="61">
        <f>'23'!O108</f>
        <v>0</v>
      </c>
      <c r="P31" s="201">
        <f>'23'!P108</f>
        <v>0.39427083333333329</v>
      </c>
      <c r="Q31" s="61">
        <f>'23'!Q108</f>
        <v>9.5154166666666651</v>
      </c>
      <c r="R31" s="118"/>
      <c r="S31" s="206"/>
      <c r="T31" s="118"/>
      <c r="U31" s="118"/>
    </row>
    <row r="32" spans="1:21" x14ac:dyDescent="0.25">
      <c r="A32" s="94" t="str">
        <f>'24'!$B$2</f>
        <v>24/08/2024 00:15</v>
      </c>
      <c r="B32" s="61">
        <f>'24'!B108</f>
        <v>7.9561458333333377</v>
      </c>
      <c r="C32" s="61">
        <f>'24'!C108</f>
        <v>2.9620833333333327</v>
      </c>
      <c r="D32" s="61">
        <f>'24'!D108</f>
        <v>11.702187500000006</v>
      </c>
      <c r="E32" s="61">
        <f>'24'!E108</f>
        <v>4.8014583333333327</v>
      </c>
      <c r="F32" s="61">
        <f>'24'!F108</f>
        <v>6.2188541666666675</v>
      </c>
      <c r="G32" s="61">
        <f>'24'!G108</f>
        <v>9.8785185185185167</v>
      </c>
      <c r="H32" s="61">
        <f>'24'!H108</f>
        <v>7.3447999999999976</v>
      </c>
      <c r="I32" s="61">
        <f>'24'!I108</f>
        <v>2.0831249999999994</v>
      </c>
      <c r="J32" s="61">
        <f>'24'!J108</f>
        <v>0.1554166666666667</v>
      </c>
      <c r="K32" s="61">
        <f>'24'!K108</f>
        <v>241.89906249999993</v>
      </c>
      <c r="L32" s="61">
        <f>'24'!L108</f>
        <v>26.834479166666668</v>
      </c>
      <c r="M32" s="61">
        <f>'24'!M108</f>
        <v>100.01208333333329</v>
      </c>
      <c r="N32" s="61">
        <f>'24'!N108</f>
        <v>114.60312500000011</v>
      </c>
      <c r="O32" s="61">
        <f>'24'!O108</f>
        <v>0</v>
      </c>
      <c r="P32" s="201">
        <f>'24'!P108</f>
        <v>0.29218749999999993</v>
      </c>
      <c r="Q32" s="61">
        <f>'24'!Q108</f>
        <v>8.092708333333329</v>
      </c>
      <c r="R32" s="118"/>
      <c r="S32" s="118"/>
      <c r="T32" s="118"/>
      <c r="U32" s="118"/>
    </row>
    <row r="33" spans="1:21" x14ac:dyDescent="0.25">
      <c r="A33" s="94" t="str">
        <f>'25'!$B$2</f>
        <v>25/08/2024 00:15</v>
      </c>
      <c r="B33" s="61">
        <f>'25'!B108</f>
        <v>7.9691666666666707</v>
      </c>
      <c r="C33" s="61">
        <f>'25'!C108</f>
        <v>2.9636458333333349</v>
      </c>
      <c r="D33" s="61">
        <f>'25'!D108</f>
        <v>11.713020833333339</v>
      </c>
      <c r="E33" s="61">
        <f>'25'!E108</f>
        <v>4.0676041666666665</v>
      </c>
      <c r="F33" s="61">
        <f>'25'!F108</f>
        <v>3.7369791666666665</v>
      </c>
      <c r="G33" s="61">
        <f>'25'!G108</f>
        <v>12.978645833333339</v>
      </c>
      <c r="H33" s="61">
        <f>'25'!H108</f>
        <v>2.5881250000000002</v>
      </c>
      <c r="I33" s="61">
        <f>'25'!I108</f>
        <v>1.5679166666666668</v>
      </c>
      <c r="J33" s="61">
        <f>'25'!J108</f>
        <v>0.16989583333333338</v>
      </c>
      <c r="K33" s="61">
        <f>'25'!K108</f>
        <v>255.00708333333341</v>
      </c>
      <c r="L33" s="61">
        <f>'25'!L108</f>
        <v>25.490312499999998</v>
      </c>
      <c r="M33" s="61">
        <f>'25'!M108</f>
        <v>102.94479166666667</v>
      </c>
      <c r="N33" s="61">
        <f>'25'!N108</f>
        <v>75.039583333333312</v>
      </c>
      <c r="O33" s="61">
        <f>'25'!O108</f>
        <v>0</v>
      </c>
      <c r="P33" s="201">
        <f>'25'!P108</f>
        <v>0.32364583333333358</v>
      </c>
      <c r="Q33" s="61">
        <f>'25'!Q108</f>
        <v>9.5286458333333304</v>
      </c>
      <c r="R33" s="118"/>
      <c r="S33" s="206"/>
      <c r="T33" s="118"/>
      <c r="U33" s="118"/>
    </row>
    <row r="34" spans="1:21" x14ac:dyDescent="0.25">
      <c r="A34" s="94" t="str">
        <f>'26'!$B$2</f>
        <v>26/08/2024 00:15</v>
      </c>
      <c r="B34" s="61">
        <f>'26'!B108</f>
        <v>7.9938541666666767</v>
      </c>
      <c r="C34" s="61">
        <f>'26'!C108</f>
        <v>2.9832291666666673</v>
      </c>
      <c r="D34" s="61">
        <f>'26'!D108</f>
        <v>11.743854166666674</v>
      </c>
      <c r="E34" s="61">
        <f>'26'!E108</f>
        <v>8.9309375000000006</v>
      </c>
      <c r="F34" s="61">
        <f>'26'!F108</f>
        <v>4.0108333333333333</v>
      </c>
      <c r="G34" s="61">
        <f>'26'!G108</f>
        <v>23.333978494623654</v>
      </c>
      <c r="H34" s="61">
        <f>'26'!H108</f>
        <v>9.8711764705882423</v>
      </c>
      <c r="I34" s="61">
        <f>'26'!I108</f>
        <v>2.6155208333333344</v>
      </c>
      <c r="J34" s="61">
        <f>'26'!J108</f>
        <v>0.20937499999999995</v>
      </c>
      <c r="K34" s="61">
        <f>'26'!K108</f>
        <v>243.44302083333332</v>
      </c>
      <c r="L34" s="61">
        <f>'26'!L108</f>
        <v>27.325833333333321</v>
      </c>
      <c r="M34" s="61">
        <f>'26'!M108</f>
        <v>96.195208333333326</v>
      </c>
      <c r="N34" s="61">
        <f>'26'!N108</f>
        <v>120.62916666666661</v>
      </c>
      <c r="O34" s="61">
        <f>'26'!O108</f>
        <v>0</v>
      </c>
      <c r="P34" s="201">
        <f>'26'!P108</f>
        <v>0.35333333333333333</v>
      </c>
      <c r="Q34" s="61">
        <f>'26'!Q108</f>
        <v>9.5692708333333325</v>
      </c>
      <c r="R34" s="118"/>
      <c r="S34" s="118"/>
      <c r="T34" s="118"/>
      <c r="U34" s="118"/>
    </row>
    <row r="35" spans="1:21" x14ac:dyDescent="0.25">
      <c r="A35" s="94" t="str">
        <f>'27'!$B$2</f>
        <v>27/08/2024 00:15</v>
      </c>
      <c r="B35" s="61">
        <f>'27'!B108</f>
        <v>7.9732291666666733</v>
      </c>
      <c r="C35" s="61">
        <f>'27'!C108</f>
        <v>2.9704166666666665</v>
      </c>
      <c r="D35" s="61">
        <f>'27'!D108</f>
        <v>11.718958333333338</v>
      </c>
      <c r="E35" s="61">
        <f>'27'!E108</f>
        <v>4.5213541666666677</v>
      </c>
      <c r="F35" s="61">
        <f>'27'!F108</f>
        <v>3.8677083333333333</v>
      </c>
      <c r="G35" s="61">
        <f>'27'!G108</f>
        <v>28.42822916666665</v>
      </c>
      <c r="H35" s="61">
        <f>'27'!H108</f>
        <v>9.9628125000000125</v>
      </c>
      <c r="I35" s="61">
        <f>'27'!I108</f>
        <v>2.7359375000000004</v>
      </c>
      <c r="J35" s="61">
        <f>'27'!J108</f>
        <v>0.15729166666666669</v>
      </c>
      <c r="K35" s="61">
        <f>'27'!K108</f>
        <v>256.5209375</v>
      </c>
      <c r="L35" s="61">
        <f>'27'!L108</f>
        <v>28.415416666666658</v>
      </c>
      <c r="M35" s="61">
        <f>'27'!M108</f>
        <v>92.267812500000034</v>
      </c>
      <c r="N35" s="61">
        <f>'27'!N108</f>
        <v>150.59791666666663</v>
      </c>
      <c r="O35" s="61">
        <f>'27'!O108</f>
        <v>0</v>
      </c>
      <c r="P35" s="201">
        <f>'27'!P108</f>
        <v>0.39020833333333343</v>
      </c>
      <c r="Q35" s="61">
        <f>'27'!Q108</f>
        <v>9.5812499999999954</v>
      </c>
      <c r="R35" s="118"/>
      <c r="S35" s="118"/>
      <c r="T35" s="118"/>
      <c r="U35" s="118"/>
    </row>
    <row r="36" spans="1:21" x14ac:dyDescent="0.25">
      <c r="A36" s="94" t="str">
        <f>'28'!$B$2</f>
        <v>28/08/2024 00:15</v>
      </c>
      <c r="B36" s="61">
        <f>'28'!B108</f>
        <v>7.9798958333333347</v>
      </c>
      <c r="C36" s="61">
        <f>'28'!C108</f>
        <v>3.004375</v>
      </c>
      <c r="D36" s="61">
        <f>'28'!D108</f>
        <v>11.743437499999997</v>
      </c>
      <c r="E36" s="61">
        <f>'28'!E108</f>
        <v>4.3803124999999996</v>
      </c>
      <c r="F36" s="61">
        <f>'28'!F108</f>
        <v>4.1821875000000004</v>
      </c>
      <c r="G36" s="61">
        <f>'28'!G108</f>
        <v>33.407187499999999</v>
      </c>
      <c r="H36" s="61">
        <f>'28'!H108</f>
        <v>17.193645833333328</v>
      </c>
      <c r="I36" s="61">
        <f>'28'!I108</f>
        <v>3.1502083333333348</v>
      </c>
      <c r="J36" s="61">
        <f>'28'!J108</f>
        <v>0.17937499999999998</v>
      </c>
      <c r="K36" s="61">
        <f>'28'!K108</f>
        <v>280.5345833333335</v>
      </c>
      <c r="L36" s="61">
        <f>'28'!L108</f>
        <v>29.830312500000002</v>
      </c>
      <c r="M36" s="61">
        <f>'28'!M108</f>
        <v>86.752604166666671</v>
      </c>
      <c r="N36" s="61">
        <f>'28'!N108</f>
        <v>163.12500000000003</v>
      </c>
      <c r="O36" s="61">
        <f>'28'!O108</f>
        <v>0</v>
      </c>
      <c r="P36" s="201">
        <f>'28'!P108</f>
        <v>0.45427083333333346</v>
      </c>
      <c r="Q36" s="61">
        <f>'28'!Q108</f>
        <v>9.6808333333333341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29/08/2024 00:15</v>
      </c>
      <c r="B37" s="61">
        <f>'29'!B108</f>
        <v>7.9936458333333364</v>
      </c>
      <c r="C37" s="61">
        <f>'29'!C108</f>
        <v>3.0355208333333326</v>
      </c>
      <c r="D37" s="61">
        <f>'29'!D108</f>
        <v>11.770729166666667</v>
      </c>
      <c r="E37" s="61">
        <f>'29'!E108</f>
        <v>4.4383333333333317</v>
      </c>
      <c r="F37" s="61">
        <f>'29'!F108</f>
        <v>3.8337500000000024</v>
      </c>
      <c r="G37" s="61">
        <f>'29'!G108</f>
        <v>44.161290322580648</v>
      </c>
      <c r="H37" s="61">
        <f>'29'!H108</f>
        <v>21.189139784946224</v>
      </c>
      <c r="I37" s="61">
        <f>'29'!I108</f>
        <v>4.3830208333333323</v>
      </c>
      <c r="J37" s="61">
        <f>'29'!J108</f>
        <v>0.25427083333333322</v>
      </c>
      <c r="K37" s="61">
        <f>'29'!K108</f>
        <v>220.61270833333344</v>
      </c>
      <c r="L37" s="61">
        <f>'29'!L108</f>
        <v>27.281770833333344</v>
      </c>
      <c r="M37" s="61">
        <f>'29'!M108</f>
        <v>100.6836458333333</v>
      </c>
      <c r="N37" s="61">
        <f>'29'!N108</f>
        <v>81.46250000000002</v>
      </c>
      <c r="O37" s="61">
        <f>'29'!O108</f>
        <v>3.1250000000000007E-2</v>
      </c>
      <c r="P37" s="201">
        <f>'29'!P108</f>
        <v>0.48885416666666642</v>
      </c>
      <c r="Q37" s="61">
        <f>'29'!Q108</f>
        <v>9.8714583333333366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30/08/2024 00:15</v>
      </c>
      <c r="B38" s="61">
        <f>'30'!B108</f>
        <v>7.9756250000000017</v>
      </c>
      <c r="C38" s="61">
        <f>'30'!C108</f>
        <v>3.0142708333333328</v>
      </c>
      <c r="D38" s="61">
        <f>'30'!D108</f>
        <v>11.744583333333338</v>
      </c>
      <c r="E38" s="61">
        <f>'30'!E108</f>
        <v>4.2286458333333323</v>
      </c>
      <c r="F38" s="61">
        <f>'30'!F108</f>
        <v>3.938958333333332</v>
      </c>
      <c r="G38" s="61">
        <f>'30'!G108</f>
        <v>53.482365591397858</v>
      </c>
      <c r="H38" s="61">
        <f>'30'!H108</f>
        <v>15.883571428571429</v>
      </c>
      <c r="I38" s="61">
        <f>'30'!I108</f>
        <v>4.7140625000000016</v>
      </c>
      <c r="J38" s="61">
        <f>'30'!J108</f>
        <v>0.46979166666666683</v>
      </c>
      <c r="K38" s="61">
        <f>'30'!K108</f>
        <v>197.65093750000003</v>
      </c>
      <c r="L38" s="61">
        <f>'30'!L108</f>
        <v>28.33197916666666</v>
      </c>
      <c r="M38" s="61">
        <f>'30'!M108</f>
        <v>91.087395833333332</v>
      </c>
      <c r="N38" s="61">
        <f>'30'!N108</f>
        <v>173.67812499999999</v>
      </c>
      <c r="O38" s="61">
        <f>'30'!O108</f>
        <v>0</v>
      </c>
      <c r="P38" s="61">
        <f>'30'!P108</f>
        <v>0.50270833333333331</v>
      </c>
      <c r="Q38" s="61">
        <f>'30'!Q108</f>
        <v>9.6935416666666647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31/08/2024 00:15</v>
      </c>
      <c r="B39" s="61">
        <f>'31'!B108</f>
        <v>7.9814583333333369</v>
      </c>
      <c r="C39" s="61">
        <f>'31'!C108</f>
        <v>3.0047916666666654</v>
      </c>
      <c r="D39" s="61">
        <f>'31'!D108</f>
        <v>11.745520833333332</v>
      </c>
      <c r="E39" s="61">
        <f>'31'!E108</f>
        <v>4.0506249999999984</v>
      </c>
      <c r="F39" s="61">
        <f>'31'!F108</f>
        <v>3.6492708333333326</v>
      </c>
      <c r="G39" s="61">
        <f>'31'!G108</f>
        <v>50.693645833333278</v>
      </c>
      <c r="H39" s="61">
        <f>'31'!H108</f>
        <v>16.591979166666665</v>
      </c>
      <c r="I39" s="61">
        <f>'31'!I108</f>
        <v>5.4394791666666658</v>
      </c>
      <c r="J39" s="61">
        <f>'31'!J108</f>
        <v>0.64260416666666675</v>
      </c>
      <c r="K39" s="61">
        <f>'31'!K108</f>
        <v>208.11239583333341</v>
      </c>
      <c r="L39" s="61">
        <f>'31'!L108</f>
        <v>30.177083333333325</v>
      </c>
      <c r="M39" s="61">
        <f>'31'!M108</f>
        <v>85.524583333333339</v>
      </c>
      <c r="N39" s="61">
        <f>'31'!N108</f>
        <v>205.4875000000001</v>
      </c>
      <c r="O39" s="61">
        <f>'31'!O108</f>
        <v>0</v>
      </c>
      <c r="P39" s="61">
        <f>'31'!P108</f>
        <v>0.5607291666666665</v>
      </c>
      <c r="Q39" s="61">
        <f>'31'!Q108</f>
        <v>9.7733333333333317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>MIN(B9:B39)</f>
        <v>7.9561458333333377</v>
      </c>
      <c r="C41" s="16">
        <f>MIN(C9:C39)</f>
        <v>2.9620833333333327</v>
      </c>
      <c r="D41" s="16">
        <f>MIN(D9:D39)</f>
        <v>11.702187500000006</v>
      </c>
      <c r="E41" s="16">
        <f>MIN(E9:E39)</f>
        <v>3.7222916666666652</v>
      </c>
      <c r="F41" s="16">
        <f>MIN(F9:F39)</f>
        <v>3.3918749999999984</v>
      </c>
      <c r="G41" s="16">
        <f>MIN(G9:G39)</f>
        <v>9.8785185185185167</v>
      </c>
      <c r="H41" s="16">
        <f>MIN(H9:H39)</f>
        <v>2.5881250000000002</v>
      </c>
      <c r="I41" s="16">
        <f>MIN(I9:I39)</f>
        <v>0.8988541666666664</v>
      </c>
      <c r="J41" s="16">
        <f>MIN(J9:J39)</f>
        <v>0.1554166666666667</v>
      </c>
      <c r="K41" s="16">
        <f>MIN(K9:K39)</f>
        <v>110.57031250000004</v>
      </c>
      <c r="L41" s="16">
        <f>MIN(L9:L39)</f>
        <v>24.61</v>
      </c>
      <c r="M41" s="16">
        <f>MIN(M9:M39)</f>
        <v>84.309687499999981</v>
      </c>
      <c r="N41" s="16">
        <f>MIN(N9:N39)</f>
        <v>38.328125000000007</v>
      </c>
      <c r="O41" s="16">
        <f>MIN(O9:O39)</f>
        <v>0</v>
      </c>
      <c r="P41" s="16">
        <f>MIN(P9:P39)</f>
        <v>0.26729166666666654</v>
      </c>
      <c r="Q41" s="16">
        <f>MIN(Q9:Q39)</f>
        <v>8.092708333333329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>MAX(B9:B39)</f>
        <v>8.452291666666671</v>
      </c>
      <c r="C42" s="16">
        <f>MAX(C9:C39)</f>
        <v>3.7213541666666674</v>
      </c>
      <c r="D42" s="16">
        <f>MAX(D9:D39)</f>
        <v>12.497083333333343</v>
      </c>
      <c r="E42" s="16">
        <f>MAX(E9:E39)</f>
        <v>8.9309375000000006</v>
      </c>
      <c r="F42" s="16">
        <f>MAX(F9:F39)</f>
        <v>8.5043750000000031</v>
      </c>
      <c r="G42" s="16">
        <f>MAX(G9:G39)</f>
        <v>111.63790123456788</v>
      </c>
      <c r="H42" s="16">
        <f>MAX(H9:H39)</f>
        <v>73.107187500000052</v>
      </c>
      <c r="I42" s="16">
        <f>MAX(I9:I39)</f>
        <v>5.4394791666666658</v>
      </c>
      <c r="J42" s="16">
        <f>MAX(J9:J39)</f>
        <v>0.64260416666666675</v>
      </c>
      <c r="K42" s="16">
        <f>MAX(K9:K39)</f>
        <v>310.30010416666653</v>
      </c>
      <c r="L42" s="16">
        <f>MAX(L9:L39)</f>
        <v>30.322708333333338</v>
      </c>
      <c r="M42" s="16">
        <f>MAX(M9:M39)</f>
        <v>105.10562499999997</v>
      </c>
      <c r="N42" s="16">
        <f>MAX(N9:N39)</f>
        <v>272.87604166666659</v>
      </c>
      <c r="O42" s="16">
        <f>MAX(O9:O39)</f>
        <v>0.65416666666666667</v>
      </c>
      <c r="P42" s="16">
        <f>MAX(P9:P39)</f>
        <v>0.74447916666666625</v>
      </c>
      <c r="Q42" s="16">
        <f>MAX(Q9:Q39)</f>
        <v>9.8714583333333366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>AVERAGE(B9:B39)</f>
        <v>8.0449224407504936</v>
      </c>
      <c r="C43" s="16">
        <f>AVERAGE(C9:C39)</f>
        <v>3.1271575369395062</v>
      </c>
      <c r="D43" s="16">
        <f>AVERAGE(D9:D39)</f>
        <v>11.859430763568866</v>
      </c>
      <c r="E43" s="16">
        <f>AVERAGE(E9:E39)</f>
        <v>4.5576488232389734</v>
      </c>
      <c r="F43" s="16">
        <f>AVERAGE(F9:F39)</f>
        <v>4.2256353458049905</v>
      </c>
      <c r="G43" s="16">
        <f>AVERAGE(G9:G39)</f>
        <v>45.267040842196792</v>
      </c>
      <c r="H43" s="16">
        <f>AVERAGE(H9:H39)</f>
        <v>19.991786564678456</v>
      </c>
      <c r="I43" s="16">
        <f>AVERAGE(I9:I39)</f>
        <v>3.190496387173035</v>
      </c>
      <c r="J43" s="16">
        <f>AVERAGE(J9:J39)</f>
        <v>0.27108945788530464</v>
      </c>
      <c r="K43" s="16">
        <f>AVERAGE(K9:K39)</f>
        <v>243.95637984767021</v>
      </c>
      <c r="L43" s="16">
        <f>AVERAGE(L9:L39)</f>
        <v>27.576904238351254</v>
      </c>
      <c r="M43" s="16">
        <f>AVERAGE(M9:M39)</f>
        <v>96.482458557347655</v>
      </c>
      <c r="N43" s="16">
        <f>AVERAGE(N9:N39)</f>
        <v>143.30799198028672</v>
      </c>
      <c r="O43" s="16">
        <f>AVERAGE(O9:O39)</f>
        <v>6.2523323845667292E-2</v>
      </c>
      <c r="P43" s="16">
        <f>AVERAGE(P9:P39)</f>
        <v>0.46741902567478605</v>
      </c>
      <c r="Q43" s="16">
        <f>AVERAGE(Q9:Q39)</f>
        <v>9.4071835821322338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>STDEV(B9:B39)</f>
        <v>0.11028734257023726</v>
      </c>
      <c r="C44" s="16">
        <f>STDEV(C9:C39)</f>
        <v>0.18908064796838672</v>
      </c>
      <c r="D44" s="16">
        <f>STDEV(D9:D39)</f>
        <v>0.18603534021292059</v>
      </c>
      <c r="E44" s="16">
        <f>STDEV(E9:E39)</f>
        <v>1.1579543697061592</v>
      </c>
      <c r="F44" s="16">
        <f>STDEV(F9:F39)</f>
        <v>1.0654950563256913</v>
      </c>
      <c r="G44" s="16">
        <f>STDEV(G9:G39)</f>
        <v>25.126531387303693</v>
      </c>
      <c r="H44" s="16">
        <f>STDEV(H9:H39)</f>
        <v>13.970191292312084</v>
      </c>
      <c r="I44" s="16">
        <f>STDEV(I9:I39)</f>
        <v>1.2088594905854728</v>
      </c>
      <c r="J44" s="16">
        <f>STDEV(J9:J39)</f>
        <v>0.11919232108620433</v>
      </c>
      <c r="K44" s="16">
        <f>STDEV(K9:K39)</f>
        <v>43.063935963299897</v>
      </c>
      <c r="L44" s="16">
        <f>STDEV(L9:L39)</f>
        <v>1.5509475655738794</v>
      </c>
      <c r="M44" s="16">
        <f>STDEV(M9:M39)</f>
        <v>5.4967153108458673</v>
      </c>
      <c r="N44" s="16">
        <f>STDEV(N9:N39)</f>
        <v>59.22851422469072</v>
      </c>
      <c r="O44" s="16">
        <f>STDEV(O9:O39)</f>
        <v>0.15586415392499786</v>
      </c>
      <c r="P44" s="16">
        <f>STDEV(P9:P39)</f>
        <v>0.10457941318737449</v>
      </c>
      <c r="Q44" s="16">
        <f>STDEV(Q9:Q39)</f>
        <v>0.3079093290352759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COUNT(B9:B39)+1</f>
        <v>31</v>
      </c>
      <c r="C45" s="13">
        <f t="shared" ref="C45:Q45" si="0">COUNT(C9:C39)+1</f>
        <v>31</v>
      </c>
      <c r="D45" s="13">
        <f t="shared" si="0"/>
        <v>31</v>
      </c>
      <c r="E45" s="13">
        <f t="shared" si="0"/>
        <v>31</v>
      </c>
      <c r="F45" s="13">
        <f t="shared" si="0"/>
        <v>31</v>
      </c>
      <c r="G45" s="13">
        <f t="shared" si="0"/>
        <v>31</v>
      </c>
      <c r="H45" s="13">
        <f>COUNT(H9:H39)+5</f>
        <v>30</v>
      </c>
      <c r="I45" s="13">
        <f t="shared" si="0"/>
        <v>31</v>
      </c>
      <c r="J45" s="13">
        <f t="shared" si="0"/>
        <v>31</v>
      </c>
      <c r="K45" s="13">
        <f t="shared" si="0"/>
        <v>31</v>
      </c>
      <c r="L45" s="13">
        <f t="shared" si="0"/>
        <v>31</v>
      </c>
      <c r="M45" s="13">
        <f t="shared" si="0"/>
        <v>31</v>
      </c>
      <c r="N45" s="13">
        <f t="shared" si="0"/>
        <v>31</v>
      </c>
      <c r="O45" s="13">
        <f t="shared" si="0"/>
        <v>31</v>
      </c>
      <c r="P45" s="13">
        <f t="shared" si="0"/>
        <v>31</v>
      </c>
      <c r="Q45" s="13">
        <f t="shared" si="0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1">IF(C45&gt;=28,"&gt;90%",IF(C45&lt;=28,"&lt;90%"))</f>
        <v>&gt;90%</v>
      </c>
      <c r="D46" s="13" t="str">
        <f t="shared" si="1"/>
        <v>&gt;90%</v>
      </c>
      <c r="E46" s="13" t="str">
        <f t="shared" si="1"/>
        <v>&gt;90%</v>
      </c>
      <c r="F46" s="13" t="str">
        <f t="shared" si="1"/>
        <v>&gt;90%</v>
      </c>
      <c r="G46" s="13" t="str">
        <f t="shared" si="1"/>
        <v>&gt;90%</v>
      </c>
      <c r="H46" s="13" t="str">
        <f t="shared" si="1"/>
        <v>&gt;90%</v>
      </c>
      <c r="I46" s="13" t="str">
        <f t="shared" si="1"/>
        <v>&gt;90%</v>
      </c>
      <c r="J46" s="13" t="str">
        <f t="shared" si="1"/>
        <v>&gt;90%</v>
      </c>
      <c r="K46" s="13" t="str">
        <f t="shared" si="1"/>
        <v>&gt;90%</v>
      </c>
      <c r="L46" s="13" t="str">
        <f t="shared" si="1"/>
        <v>&gt;90%</v>
      </c>
      <c r="M46" s="13" t="str">
        <f t="shared" si="1"/>
        <v>&gt;90%</v>
      </c>
      <c r="N46" s="13" t="str">
        <f t="shared" si="1"/>
        <v>&gt;90%</v>
      </c>
      <c r="O46" s="13" t="str">
        <f t="shared" si="1"/>
        <v>&gt;90%</v>
      </c>
      <c r="P46" s="13" t="str">
        <f t="shared" si="1"/>
        <v>&gt;90%</v>
      </c>
      <c r="Q46" s="13" t="str">
        <f t="shared" si="1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2">IF(C45&gt;=28,"OK",IF(C45&lt;=28,"LESS"))</f>
        <v>OK</v>
      </c>
      <c r="D47" s="13" t="str">
        <f t="shared" si="2"/>
        <v>OK</v>
      </c>
      <c r="E47" s="13" t="str">
        <f t="shared" si="2"/>
        <v>OK</v>
      </c>
      <c r="F47" s="13" t="str">
        <f t="shared" si="2"/>
        <v>OK</v>
      </c>
      <c r="G47" s="13" t="str">
        <f t="shared" si="2"/>
        <v>OK</v>
      </c>
      <c r="H47" s="13" t="str">
        <f t="shared" si="2"/>
        <v>OK</v>
      </c>
      <c r="I47" s="13" t="str">
        <f t="shared" si="2"/>
        <v>OK</v>
      </c>
      <c r="J47" s="13" t="str">
        <f t="shared" si="2"/>
        <v>OK</v>
      </c>
      <c r="K47" s="13" t="str">
        <f t="shared" si="2"/>
        <v>OK</v>
      </c>
      <c r="L47" s="13" t="str">
        <f t="shared" si="2"/>
        <v>OK</v>
      </c>
      <c r="M47" s="13" t="str">
        <f t="shared" si="2"/>
        <v>OK</v>
      </c>
      <c r="N47" s="13" t="str">
        <f t="shared" si="2"/>
        <v>OK</v>
      </c>
      <c r="O47" s="13" t="str">
        <f t="shared" si="2"/>
        <v>OK</v>
      </c>
      <c r="P47" s="13" t="str">
        <f t="shared" si="2"/>
        <v>OK</v>
      </c>
      <c r="Q47" s="13" t="str">
        <f t="shared" si="2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70" sqref="H7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1" t="s">
        <v>226</v>
      </c>
      <c r="E1" s="221"/>
      <c r="F1" s="221"/>
      <c r="G1" s="221"/>
      <c r="H1" s="221"/>
      <c r="I1" s="221"/>
      <c r="J1" s="222"/>
    </row>
    <row r="2" spans="2:24" ht="22.5" customHeight="1" thickBot="1" x14ac:dyDescent="0.3">
      <c r="B2" s="54"/>
      <c r="C2" s="111" t="s">
        <v>0</v>
      </c>
      <c r="D2" s="112" t="s">
        <v>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0" t="s">
        <v>1</v>
      </c>
      <c r="H5" s="220"/>
      <c r="I5" s="40"/>
      <c r="J5" s="40"/>
      <c r="K5" s="40"/>
      <c r="L5" s="40"/>
      <c r="M5" s="41"/>
      <c r="O5" s="68"/>
      <c r="P5" s="69"/>
      <c r="Q5" s="69"/>
      <c r="R5" s="69"/>
      <c r="S5" s="207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 t="s">
        <v>3223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197.1</v>
      </c>
      <c r="I8" s="60">
        <v>0</v>
      </c>
      <c r="J8" s="61">
        <f>F8/H8</f>
        <v>1.0147133434804667</v>
      </c>
      <c r="K8" s="61">
        <f>(H8-F8)*100/F8</f>
        <v>-1.4500000000000028</v>
      </c>
      <c r="L8" s="60" t="s">
        <v>67</v>
      </c>
      <c r="M8" s="78" t="s">
        <v>216</v>
      </c>
      <c r="O8" s="63">
        <v>45507.475694444445</v>
      </c>
      <c r="P8" s="64" t="s">
        <v>70</v>
      </c>
      <c r="Q8" s="64">
        <v>5094.75</v>
      </c>
      <c r="R8" s="64">
        <v>3919.01</v>
      </c>
      <c r="S8" s="77" t="s">
        <v>3221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216</v>
      </c>
    </row>
    <row r="9" spans="2:24" ht="15.75" x14ac:dyDescent="0.25">
      <c r="B9" s="63">
        <v>45516.488194444442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199.21</v>
      </c>
      <c r="I9" s="60">
        <v>0</v>
      </c>
      <c r="J9" s="61">
        <f t="shared" ref="J9:J14" si="0">F9/H9</f>
        <v>1.0039656643742783</v>
      </c>
      <c r="K9" s="61">
        <f t="shared" ref="K9:K14" si="1">(H9-F9)*100/F9</f>
        <v>-0.39499999999999602</v>
      </c>
      <c r="L9" s="60" t="s">
        <v>67</v>
      </c>
      <c r="M9" s="62" t="s">
        <v>216</v>
      </c>
      <c r="O9" s="63">
        <v>45516.47152777778</v>
      </c>
      <c r="P9" s="64" t="s">
        <v>70</v>
      </c>
      <c r="Q9" s="64">
        <v>5113.24</v>
      </c>
      <c r="R9" s="64">
        <v>4024.24</v>
      </c>
      <c r="S9" s="77" t="s">
        <v>3221</v>
      </c>
      <c r="T9" s="77">
        <v>829.35</v>
      </c>
      <c r="U9" s="86">
        <v>0.94540000000000002</v>
      </c>
      <c r="V9" s="86">
        <v>0.94099999999999995</v>
      </c>
      <c r="W9" s="60" t="s">
        <v>67</v>
      </c>
      <c r="X9" s="62" t="s">
        <v>216</v>
      </c>
    </row>
    <row r="10" spans="2:24" ht="15.75" x14ac:dyDescent="0.25">
      <c r="B10" s="63">
        <v>45530.492361111108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198.89</v>
      </c>
      <c r="I10" s="60">
        <v>0</v>
      </c>
      <c r="J10" s="61">
        <f t="shared" si="0"/>
        <v>1.0055809744079642</v>
      </c>
      <c r="K10" s="61">
        <f t="shared" si="1"/>
        <v>-0.55500000000000682</v>
      </c>
      <c r="L10" s="60" t="s">
        <v>67</v>
      </c>
      <c r="M10" s="62" t="s">
        <v>216</v>
      </c>
      <c r="O10" s="63">
        <v>45530.476388888892</v>
      </c>
      <c r="P10" s="64" t="s">
        <v>70</v>
      </c>
      <c r="Q10" s="64">
        <v>5014.24</v>
      </c>
      <c r="R10" s="64">
        <v>4123.1400000000003</v>
      </c>
      <c r="S10" s="77" t="s">
        <v>3221</v>
      </c>
      <c r="T10" s="77">
        <v>831.21</v>
      </c>
      <c r="U10" s="86">
        <v>0.93210000000000004</v>
      </c>
      <c r="V10" s="86">
        <v>0.92410000000000003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3221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3221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8" t="s">
        <v>25</v>
      </c>
      <c r="D21" s="218"/>
      <c r="E21" s="218"/>
      <c r="F21" s="218"/>
      <c r="G21" s="218"/>
      <c r="H21" s="218"/>
      <c r="I21" s="45">
        <f>COUNT(B8:B20)</f>
        <v>2</v>
      </c>
      <c r="J21" s="46"/>
      <c r="K21" s="46"/>
      <c r="L21" s="47"/>
      <c r="M21" s="48"/>
      <c r="O21" s="80"/>
      <c r="P21" s="217" t="s">
        <v>84</v>
      </c>
      <c r="Q21" s="217"/>
      <c r="R21" s="217"/>
      <c r="S21" s="217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9" t="s">
        <v>2</v>
      </c>
      <c r="H24" s="219"/>
      <c r="I24" s="40"/>
      <c r="J24" s="51"/>
      <c r="K24" s="51"/>
      <c r="L24" s="40"/>
      <c r="M24" s="41"/>
      <c r="O24" s="68"/>
      <c r="P24" s="69"/>
      <c r="Q24" s="69"/>
      <c r="R24" s="69"/>
      <c r="S24" s="207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/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0</v>
      </c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216</v>
      </c>
      <c r="O27" s="63">
        <v>45507.475694444445</v>
      </c>
      <c r="P27" s="64" t="s">
        <v>71</v>
      </c>
      <c r="Q27" s="64">
        <v>4951.96</v>
      </c>
      <c r="R27" s="64">
        <v>3900.55</v>
      </c>
      <c r="S27" s="77" t="s">
        <v>3222</v>
      </c>
      <c r="T27" s="77">
        <v>840.88</v>
      </c>
      <c r="U27" s="86">
        <v>0.99790000000000001</v>
      </c>
      <c r="V27" s="86">
        <v>1.0043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222</v>
      </c>
      <c r="O28" s="63">
        <v>45516.47152777778</v>
      </c>
      <c r="P28" s="64" t="s">
        <v>71</v>
      </c>
      <c r="Q28" s="64">
        <v>5024.26</v>
      </c>
      <c r="R28" s="64">
        <v>4021.13</v>
      </c>
      <c r="S28" s="77" t="s">
        <v>3222</v>
      </c>
      <c r="T28" s="77">
        <v>842.15</v>
      </c>
      <c r="U28" s="86">
        <v>0.94320000000000004</v>
      </c>
      <c r="V28" s="86">
        <v>0.9425</v>
      </c>
      <c r="W28" s="60" t="s">
        <v>67</v>
      </c>
      <c r="X28" s="62" t="s">
        <v>216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223</v>
      </c>
      <c r="O29" s="63">
        <v>45530.476388888892</v>
      </c>
      <c r="P29" s="64" t="s">
        <v>71</v>
      </c>
      <c r="Q29" s="64">
        <v>5124.13</v>
      </c>
      <c r="R29" s="64">
        <v>4124.26</v>
      </c>
      <c r="S29" s="77" t="s">
        <v>3222</v>
      </c>
      <c r="T29" s="77">
        <v>839.86</v>
      </c>
      <c r="U29" s="86">
        <v>0.96209999999999996</v>
      </c>
      <c r="V29" s="86">
        <v>0.95320000000000005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 t="s">
        <v>3222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7" t="s">
        <v>85</v>
      </c>
      <c r="Q40" s="217"/>
      <c r="R40" s="217"/>
      <c r="S40" s="217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8" t="s">
        <v>26</v>
      </c>
      <c r="E41" s="218"/>
      <c r="F41" s="218"/>
      <c r="G41" s="218"/>
      <c r="H41" s="218"/>
      <c r="I41" s="218"/>
      <c r="J41" s="52">
        <f>COUNT(B27:B39)</f>
        <v>0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9" t="s">
        <v>23</v>
      </c>
      <c r="H44" s="219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8" t="s">
        <v>27</v>
      </c>
      <c r="E61" s="218"/>
      <c r="F61" s="218"/>
      <c r="G61" s="218"/>
      <c r="H61" s="218"/>
      <c r="I61" s="218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9" t="s">
        <v>3</v>
      </c>
      <c r="H64" s="219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45507.527777777781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222</v>
      </c>
    </row>
    <row r="68" spans="2:13" ht="15.75" x14ac:dyDescent="0.25">
      <c r="B68" s="63">
        <v>45516.523611111108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223</v>
      </c>
    </row>
    <row r="69" spans="2:13" ht="15.75" x14ac:dyDescent="0.25">
      <c r="B69" s="63">
        <v>45530.537499999999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5.13</v>
      </c>
      <c r="I69" s="60">
        <v>0</v>
      </c>
      <c r="J69" s="61">
        <f t="shared" si="4"/>
        <v>0.97465886939571156</v>
      </c>
      <c r="K69" s="61">
        <f t="shared" si="5"/>
        <v>2.5999999999999979</v>
      </c>
      <c r="L69" s="60" t="s">
        <v>67</v>
      </c>
      <c r="M69" s="62" t="s">
        <v>223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8" t="s">
        <v>28</v>
      </c>
      <c r="E81" s="218"/>
      <c r="F81" s="218"/>
      <c r="G81" s="218"/>
      <c r="H81" s="218"/>
      <c r="I81" s="218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9" t="s">
        <v>24</v>
      </c>
      <c r="H84" s="219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8" t="s">
        <v>29</v>
      </c>
      <c r="E101" s="218"/>
      <c r="F101" s="218"/>
      <c r="G101" s="218"/>
      <c r="H101" s="218"/>
      <c r="I101" s="218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0" t="s">
        <v>4</v>
      </c>
      <c r="H104" s="220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8" t="s">
        <v>69</v>
      </c>
      <c r="D119" s="218"/>
      <c r="E119" s="218"/>
      <c r="F119" s="218"/>
      <c r="G119" s="218"/>
      <c r="H119" s="218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3" t="s">
        <v>227</v>
      </c>
      <c r="C2" s="223"/>
      <c r="D2" s="224">
        <v>45505</v>
      </c>
      <c r="E2" s="224"/>
    </row>
    <row r="3" spans="1:5" x14ac:dyDescent="0.25">
      <c r="B3" s="223" t="s">
        <v>21</v>
      </c>
      <c r="C3" s="223"/>
      <c r="D3" s="224"/>
      <c r="E3" s="224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48" t="s">
        <v>245</v>
      </c>
      <c r="C8" s="248" t="s">
        <v>385</v>
      </c>
      <c r="D8" s="33">
        <f t="shared" ref="D8:D13" si="0">C8-B8</f>
        <v>1.4583333333357587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1.4583333333357587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5" t="s">
        <v>22</v>
      </c>
      <c r="C44" s="225"/>
      <c r="D44" s="20">
        <f>SUM(D11:D42)</f>
        <v>1.4583333333357587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1" t="s">
        <v>220</v>
      </c>
      <c r="C2" s="241"/>
      <c r="D2" s="241"/>
      <c r="E2" s="241"/>
      <c r="F2" s="242">
        <v>44713</v>
      </c>
      <c r="G2" s="243"/>
      <c r="H2" s="243"/>
    </row>
    <row r="3" spans="2:24" s="12" customFormat="1" ht="15" customHeight="1" x14ac:dyDescent="0.25">
      <c r="B3" s="241"/>
      <c r="C3" s="241"/>
      <c r="D3" s="241"/>
      <c r="E3" s="241"/>
      <c r="F3" s="243"/>
      <c r="G3" s="243"/>
      <c r="H3" s="24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4" t="s">
        <v>4</v>
      </c>
      <c r="C12" s="246" t="s">
        <v>133</v>
      </c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127"/>
      <c r="U12" s="125"/>
    </row>
    <row r="13" spans="2:24" ht="15" customHeight="1" x14ac:dyDescent="0.25">
      <c r="B13" s="245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5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5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5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9" t="s">
        <v>133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28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8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0" t="s">
        <v>3</v>
      </c>
      <c r="C36" s="232" t="s">
        <v>133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2:25" ht="15.75" customHeight="1" x14ac:dyDescent="0.25">
      <c r="B37" s="231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1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1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1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4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5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5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5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5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9" t="s">
        <v>133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28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7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7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8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9" t="s">
        <v>133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28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7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8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6" t="s">
        <v>24</v>
      </c>
      <c r="C77" s="228" t="s">
        <v>133</v>
      </c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177"/>
      <c r="S77" s="177"/>
      <c r="T77" s="178"/>
    </row>
    <row r="78" spans="2:20" x14ac:dyDescent="0.25">
      <c r="B78" s="227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7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7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7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7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7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2024-09-04T17:59:00Z</dcterms:modified>
</cp:coreProperties>
</file>